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3"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B2" i="13" l="1"/>
  <c r="M28" i="12"/>
  <c r="I28" i="12"/>
  <c r="F28" i="12"/>
  <c r="G28" i="12"/>
  <c r="H28" i="12"/>
  <c r="J28" i="12"/>
  <c r="K28" i="12"/>
  <c r="L28" i="12"/>
  <c r="E28" i="12"/>
  <c r="CL27" i="12" l="1"/>
  <c r="BF33" i="12" l="1"/>
  <c r="BG33" i="12"/>
  <c r="BH33" i="12"/>
  <c r="BI33" i="12"/>
  <c r="BJ33" i="12"/>
  <c r="BK33" i="12"/>
  <c r="BL33" i="12"/>
  <c r="BM33" i="12"/>
  <c r="BN33" i="12"/>
  <c r="BO33" i="12"/>
  <c r="BP33" i="12"/>
  <c r="BQ33" i="12"/>
  <c r="BR33" i="12"/>
  <c r="BS33" i="12"/>
  <c r="BT33" i="12"/>
  <c r="BU33" i="12"/>
  <c r="BV33" i="12"/>
  <c r="BW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AI33" i="12"/>
  <c r="AJ33" i="12"/>
  <c r="AK33" i="12"/>
  <c r="AL33" i="12"/>
  <c r="AM33" i="12"/>
  <c r="AN33" i="12"/>
  <c r="AO33" i="12"/>
  <c r="AP33" i="12"/>
  <c r="AQ33" i="12"/>
  <c r="AR33" i="12"/>
  <c r="AS33" i="12"/>
  <c r="AT33" i="12"/>
  <c r="AU33" i="12"/>
  <c r="AV33" i="12"/>
  <c r="AW33" i="12"/>
  <c r="AX33" i="12"/>
  <c r="AY33" i="12"/>
  <c r="AZ33" i="12"/>
  <c r="BA33" i="12"/>
  <c r="BB33" i="12"/>
  <c r="BC33" i="12"/>
  <c r="BD33" i="12"/>
  <c r="BE33" i="12"/>
  <c r="E33"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J34" i="12"/>
  <c r="BN34" i="12"/>
  <c r="K34" i="12"/>
  <c r="S34" i="12"/>
  <c r="AA34" i="12"/>
  <c r="AI34" i="12"/>
  <c r="AQ34" i="12"/>
  <c r="AY34" i="12"/>
  <c r="BG34" i="12"/>
  <c r="BO34" i="12"/>
  <c r="BW34" i="12"/>
  <c r="BW35" i="12" s="1"/>
  <c r="Z34" i="12"/>
  <c r="BV34" i="12"/>
  <c r="BV35" i="12" s="1"/>
  <c r="L34" i="12"/>
  <c r="T34" i="12"/>
  <c r="AB34" i="12"/>
  <c r="AJ34" i="12"/>
  <c r="AR34" i="12"/>
  <c r="AZ34" i="12"/>
  <c r="BH34" i="12"/>
  <c r="BP34" i="12"/>
  <c r="AP34" i="12"/>
  <c r="E34" i="12"/>
  <c r="M34" i="12"/>
  <c r="U34" i="12"/>
  <c r="AC34" i="12"/>
  <c r="AK34" i="12"/>
  <c r="AS34" i="12"/>
  <c r="BA34" i="12"/>
  <c r="BI34" i="12"/>
  <c r="BQ34" i="12"/>
  <c r="R34" i="12"/>
  <c r="F34" i="12"/>
  <c r="N34" i="12"/>
  <c r="V34" i="12"/>
  <c r="AD34" i="12"/>
  <c r="AL34" i="12"/>
  <c r="AL35" i="12" s="1"/>
  <c r="AT34" i="12"/>
  <c r="BB34" i="12"/>
  <c r="BJ34" i="12"/>
  <c r="BJ35" i="12" s="1"/>
  <c r="BR34" i="12"/>
  <c r="BR35" i="12" s="1"/>
  <c r="G34" i="12"/>
  <c r="O34" i="12"/>
  <c r="W34" i="12"/>
  <c r="AE34" i="12"/>
  <c r="AE35" i="12" s="1"/>
  <c r="AM34" i="12"/>
  <c r="AM35" i="12" s="1"/>
  <c r="AU34" i="12"/>
  <c r="BC34" i="12"/>
  <c r="BC35" i="12" s="1"/>
  <c r="BK34" i="12"/>
  <c r="BK35" i="12" s="1"/>
  <c r="BS34" i="12"/>
  <c r="BS35" i="12" s="1"/>
  <c r="AH34" i="12"/>
  <c r="AH35" i="12" s="1"/>
  <c r="BF34" i="12"/>
  <c r="H34" i="12"/>
  <c r="P34" i="12"/>
  <c r="X34" i="12"/>
  <c r="AF34" i="12"/>
  <c r="AF35" i="12" s="1"/>
  <c r="AN34" i="12"/>
  <c r="AN35" i="12" s="1"/>
  <c r="AV34" i="12"/>
  <c r="AV35" i="12" s="1"/>
  <c r="BD34" i="12"/>
  <c r="BD35" i="12" s="1"/>
  <c r="BL34" i="12"/>
  <c r="BL35" i="12" s="1"/>
  <c r="BT34" i="12"/>
  <c r="BT35" i="12" s="1"/>
  <c r="AX34" i="12"/>
  <c r="AX35" i="12" s="1"/>
  <c r="I34" i="12"/>
  <c r="Q34" i="12"/>
  <c r="Y34" i="12"/>
  <c r="AG34" i="12"/>
  <c r="AG35" i="12" s="1"/>
  <c r="AO34" i="12"/>
  <c r="AO35" i="12" s="1"/>
  <c r="AW34" i="12"/>
  <c r="AW35" i="12" s="1"/>
  <c r="BE34" i="12"/>
  <c r="BE35" i="12" s="1"/>
  <c r="BM34" i="12"/>
  <c r="BM35" i="12" s="1"/>
  <c r="BU34" i="12"/>
  <c r="BU35" i="12" s="1"/>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C27" i="12" s="1"/>
  <c r="AC37" i="12" s="1"/>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I25" i="12"/>
  <c r="I26" i="12" s="1"/>
  <c r="Q25" i="12"/>
  <c r="Q26" i="12" s="1"/>
  <c r="Y25" i="12"/>
  <c r="Y27"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C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J5" i="12"/>
  <c r="R5" i="12"/>
  <c r="Z5" i="12"/>
  <c r="AH5" i="12"/>
  <c r="AP5" i="12"/>
  <c r="AX5" i="12"/>
  <c r="BF5" i="12"/>
  <c r="BN5" i="12"/>
  <c r="BV5" i="12"/>
  <c r="CD5" i="12"/>
  <c r="CC25" i="12"/>
  <c r="CC27" i="12" s="1"/>
  <c r="CK25" i="12"/>
  <c r="CK26"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U35" i="12" l="1"/>
  <c r="AP35" i="12"/>
  <c r="BF35" i="12"/>
  <c r="AC26" i="12"/>
  <c r="Y37" i="12"/>
  <c r="X36" i="12"/>
  <c r="X35" i="12"/>
  <c r="W36" i="12"/>
  <c r="W35" i="12"/>
  <c r="BZ27" i="12"/>
  <c r="AT27" i="12"/>
  <c r="AT37" i="12" s="1"/>
  <c r="N27" i="12"/>
  <c r="N37" i="12" s="1"/>
  <c r="BQ27" i="12"/>
  <c r="BQ37" i="12" s="1"/>
  <c r="AK27" i="12"/>
  <c r="AK37" i="12" s="1"/>
  <c r="E27" i="12"/>
  <c r="M31" i="12" s="1"/>
  <c r="BH27" i="12"/>
  <c r="BH37" i="12" s="1"/>
  <c r="AB27" i="12"/>
  <c r="AB37" i="12" s="1"/>
  <c r="Z27" i="12"/>
  <c r="Z37" i="12" s="1"/>
  <c r="AY35" i="12"/>
  <c r="S36" i="12"/>
  <c r="S35" i="12"/>
  <c r="BM27" i="12"/>
  <c r="BM37" i="12" s="1"/>
  <c r="AG27" i="12"/>
  <c r="AG37" i="12" s="1"/>
  <c r="AX27" i="12"/>
  <c r="AX37" i="12" s="1"/>
  <c r="BD27" i="12"/>
  <c r="BD37" i="12" s="1"/>
  <c r="X27" i="12"/>
  <c r="X37" i="12" s="1"/>
  <c r="AH27" i="12"/>
  <c r="AH37" i="12" s="1"/>
  <c r="BC27" i="12"/>
  <c r="BC37" i="12" s="1"/>
  <c r="W27" i="12"/>
  <c r="W37" i="12" s="1"/>
  <c r="F36" i="12"/>
  <c r="F35" i="12"/>
  <c r="BI35" i="12"/>
  <c r="AC35" i="12"/>
  <c r="AZ35" i="12"/>
  <c r="T35" i="12"/>
  <c r="T36" i="12"/>
  <c r="CE27" i="12"/>
  <c r="CE28" i="12" s="1"/>
  <c r="AY27" i="12"/>
  <c r="AY37" i="12" s="1"/>
  <c r="S27" i="12"/>
  <c r="S37" i="12" s="1"/>
  <c r="Y36" i="12"/>
  <c r="Y35" i="12"/>
  <c r="CJ27" i="12"/>
  <c r="CJ28" i="12" s="1"/>
  <c r="P36" i="12"/>
  <c r="P35" i="12"/>
  <c r="CI27" i="12"/>
  <c r="O36" i="12"/>
  <c r="O35" i="12"/>
  <c r="BR27" i="12"/>
  <c r="BR37" i="12" s="1"/>
  <c r="AL27" i="12"/>
  <c r="AL37" i="12" s="1"/>
  <c r="F27" i="12"/>
  <c r="F37" i="12" s="1"/>
  <c r="BI27" i="12"/>
  <c r="BI37" i="12" s="1"/>
  <c r="AP27" i="12"/>
  <c r="AP37" i="12" s="1"/>
  <c r="AZ27" i="12"/>
  <c r="AZ37" i="12" s="1"/>
  <c r="T27" i="12"/>
  <c r="T37" i="12" s="1"/>
  <c r="AQ35" i="12"/>
  <c r="K36" i="12"/>
  <c r="K35" i="12"/>
  <c r="BE27" i="12"/>
  <c r="BE37" i="12" s="1"/>
  <c r="CB27" i="12"/>
  <c r="AV27" i="12"/>
  <c r="AV37" i="12" s="1"/>
  <c r="P27" i="12"/>
  <c r="P37" i="12" s="1"/>
  <c r="CA27" i="12"/>
  <c r="CA28" i="12" s="1"/>
  <c r="AU27" i="12"/>
  <c r="AU37" i="12" s="1"/>
  <c r="O27" i="12"/>
  <c r="O37" i="12" s="1"/>
  <c r="AD35" i="12"/>
  <c r="R35" i="12"/>
  <c r="R36" i="12"/>
  <c r="BA35" i="12"/>
  <c r="U35" i="12"/>
  <c r="U36" i="12"/>
  <c r="CF27" i="12"/>
  <c r="AR35" i="12"/>
  <c r="L36" i="12"/>
  <c r="L35" i="12"/>
  <c r="BW27" i="12"/>
  <c r="BW37" i="12" s="1"/>
  <c r="AQ27" i="12"/>
  <c r="AQ37" i="12" s="1"/>
  <c r="K27" i="12"/>
  <c r="K37" i="12" s="1"/>
  <c r="CK27" i="12"/>
  <c r="CK28" i="12" s="1"/>
  <c r="Q36" i="12"/>
  <c r="Q35" i="12"/>
  <c r="H36" i="12"/>
  <c r="H35" i="12"/>
  <c r="G36" i="12"/>
  <c r="G35" i="12"/>
  <c r="BJ27" i="12"/>
  <c r="BJ37" i="12" s="1"/>
  <c r="AD27" i="12"/>
  <c r="AD37" i="12" s="1"/>
  <c r="R27" i="12"/>
  <c r="R37" i="12" s="1"/>
  <c r="BA27" i="12"/>
  <c r="BA37" i="12" s="1"/>
  <c r="U27" i="12"/>
  <c r="U37" i="12" s="1"/>
  <c r="U38" i="12" s="1"/>
  <c r="BX27" i="12"/>
  <c r="AR27" i="12"/>
  <c r="AR37" i="12" s="1"/>
  <c r="L27" i="12"/>
  <c r="L37" i="12" s="1"/>
  <c r="BO35" i="12"/>
  <c r="AI35" i="12"/>
  <c r="BN35" i="12"/>
  <c r="CI28" i="12"/>
  <c r="AW27" i="12"/>
  <c r="AW37" i="12" s="1"/>
  <c r="Q27" i="12"/>
  <c r="BT27" i="12"/>
  <c r="BT37" i="12" s="1"/>
  <c r="AN27" i="12"/>
  <c r="AN37" i="12" s="1"/>
  <c r="H27" i="12"/>
  <c r="H37" i="12" s="1"/>
  <c r="BS27" i="12"/>
  <c r="BS37" i="12" s="1"/>
  <c r="AM27" i="12"/>
  <c r="AM37" i="12" s="1"/>
  <c r="G27" i="12"/>
  <c r="G37" i="12" s="1"/>
  <c r="BB35" i="12"/>
  <c r="V35" i="12"/>
  <c r="V36" i="12"/>
  <c r="CG27" i="12"/>
  <c r="CC28" i="12" s="1"/>
  <c r="AS35" i="12"/>
  <c r="M36" i="12"/>
  <c r="M35" i="12"/>
  <c r="BP35" i="12"/>
  <c r="AJ35" i="12"/>
  <c r="BO27" i="12"/>
  <c r="BO37" i="12" s="1"/>
  <c r="AI27" i="12"/>
  <c r="AI37" i="12" s="1"/>
  <c r="BN27" i="12"/>
  <c r="BN37" i="12" s="1"/>
  <c r="I36" i="12"/>
  <c r="I35" i="12"/>
  <c r="CD27" i="12"/>
  <c r="BB27" i="12"/>
  <c r="BB37" i="12" s="1"/>
  <c r="V27" i="12"/>
  <c r="V37" i="12" s="1"/>
  <c r="BY27" i="12"/>
  <c r="AS27" i="12"/>
  <c r="AS37" i="12" s="1"/>
  <c r="M27" i="12"/>
  <c r="BP27" i="12"/>
  <c r="BP37" i="12" s="1"/>
  <c r="AJ27" i="12"/>
  <c r="AJ37" i="12" s="1"/>
  <c r="BV27" i="12"/>
  <c r="BV37" i="12" s="1"/>
  <c r="BG35" i="12"/>
  <c r="AA35" i="12"/>
  <c r="J35" i="12"/>
  <c r="J36" i="12"/>
  <c r="BU27" i="12"/>
  <c r="BU37" i="12" s="1"/>
  <c r="AO27" i="12"/>
  <c r="AO37" i="12" s="1"/>
  <c r="I27" i="12"/>
  <c r="BL27" i="12"/>
  <c r="BL37" i="12" s="1"/>
  <c r="AF27" i="12"/>
  <c r="AF37" i="12" s="1"/>
  <c r="BF27" i="12"/>
  <c r="BF37" i="12" s="1"/>
  <c r="BK27" i="12"/>
  <c r="BK37" i="12" s="1"/>
  <c r="AE27" i="12"/>
  <c r="AE37" i="12" s="1"/>
  <c r="CH27" i="12"/>
  <c r="CH28" i="12" s="1"/>
  <c r="AT35" i="12"/>
  <c r="N36" i="12"/>
  <c r="N35" i="12"/>
  <c r="BQ35" i="12"/>
  <c r="AK35" i="12"/>
  <c r="E35" i="12"/>
  <c r="E36" i="12"/>
  <c r="BH35" i="12"/>
  <c r="AB35" i="12"/>
  <c r="Z35" i="12"/>
  <c r="BG27" i="12"/>
  <c r="BG37" i="12" s="1"/>
  <c r="AA27" i="12"/>
  <c r="AA37" i="12" s="1"/>
  <c r="J27" i="12"/>
  <c r="J37" i="12" s="1"/>
  <c r="BZ31" i="6"/>
  <c r="BZ32" i="6" s="1"/>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AI8" i="10"/>
  <c r="AF9" i="10"/>
  <c r="AD9" i="10"/>
  <c r="L74" i="11"/>
  <c r="L75" i="11" s="1"/>
  <c r="U74" i="11"/>
  <c r="U75" i="11" s="1"/>
  <c r="AJ8" i="10"/>
  <c r="Y9" i="10"/>
  <c r="AH8" i="10"/>
  <c r="S9" i="10"/>
  <c r="W9" i="10"/>
  <c r="AI74" i="11"/>
  <c r="AI75" i="11" s="1"/>
  <c r="O74" i="11"/>
  <c r="O75" i="11" s="1"/>
  <c r="AD32" i="9"/>
  <c r="X32" i="9"/>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Z28" i="12"/>
  <c r="I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BH28" i="12"/>
  <c r="BP28" i="12"/>
  <c r="BC28" i="12"/>
  <c r="V28" i="12"/>
  <c r="AU28" i="12"/>
  <c r="BK28" i="12"/>
  <c r="AM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BR28" i="12"/>
  <c r="AG28" i="12"/>
  <c r="CF28" i="12"/>
  <c r="T28" i="12"/>
  <c r="AT28" i="12"/>
  <c r="BZ28" i="12"/>
  <c r="AD28" i="12"/>
  <c r="N28" i="12"/>
  <c r="AC28" i="12"/>
  <c r="AA28" i="12"/>
  <c r="AH28" i="12"/>
  <c r="BY28" i="12"/>
  <c r="X28" i="12"/>
  <c r="BW28" i="12"/>
  <c r="Z28" i="12"/>
  <c r="C39" i="13"/>
  <c r="CB28" i="12"/>
  <c r="P28" i="12"/>
  <c r="BO28" i="12"/>
  <c r="CD28" i="12"/>
  <c r="R28" i="12"/>
  <c r="BI28" i="12"/>
  <c r="BT28" i="12"/>
  <c r="BG28" i="12"/>
  <c r="BV28" i="12"/>
  <c r="BA28" i="12"/>
  <c r="BL28" i="12"/>
  <c r="AY28" i="12"/>
  <c r="AS28" i="12"/>
  <c r="BD28" i="12"/>
  <c r="BF28" i="12"/>
  <c r="AK28" i="12"/>
  <c r="AI28" i="12"/>
  <c r="CL17" i="9"/>
  <c r="CL15" i="9"/>
  <c r="AV28" i="12" l="1"/>
  <c r="CG28" i="12"/>
  <c r="AE28" i="12"/>
  <c r="AP28" i="12"/>
  <c r="BB28" i="12"/>
  <c r="AJ28" i="12"/>
  <c r="AF28" i="12"/>
  <c r="BS28" i="12"/>
  <c r="AQ28" i="12"/>
  <c r="BJ28" i="12"/>
  <c r="AN28" i="12"/>
  <c r="O28" i="12"/>
  <c r="AX28" i="12"/>
  <c r="BN28" i="12"/>
  <c r="E31" i="12"/>
  <c r="S28" i="12"/>
  <c r="AL28" i="12"/>
  <c r="AB28" i="12"/>
  <c r="AR28" i="12"/>
  <c r="BM28" i="12"/>
  <c r="BQ28" i="12"/>
  <c r="AO28" i="12"/>
  <c r="X38" i="12"/>
  <c r="W28" i="12"/>
  <c r="G38" i="12"/>
  <c r="O38" i="12"/>
  <c r="AW28" i="12"/>
  <c r="I37" i="12"/>
  <c r="I38" i="12" s="1"/>
  <c r="R38" i="12"/>
  <c r="T38" i="12"/>
  <c r="S38" i="12"/>
  <c r="M37" i="12"/>
  <c r="M38" i="12" s="1"/>
  <c r="H38" i="12"/>
  <c r="K38" i="12"/>
  <c r="P38" i="12"/>
  <c r="E37" i="12"/>
  <c r="E38" i="12" s="1"/>
  <c r="L38" i="12"/>
  <c r="W38" i="12"/>
  <c r="Y38" i="12"/>
  <c r="J38" i="12"/>
  <c r="V38" i="12"/>
  <c r="Q37" i="12"/>
  <c r="Q38" i="12" s="1"/>
  <c r="F38" i="12"/>
  <c r="N38" i="12"/>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R5" i="11" l="1"/>
  <c r="BJ50" i="10"/>
  <c r="V33" i="6"/>
  <c r="V34" i="6" s="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<sst xmlns="http://schemas.openxmlformats.org/spreadsheetml/2006/main" count="911" uniqueCount="757">
  <si>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</si>
  <si>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</si>
  <si>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</si>
  <si>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</si>
  <si>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</si>
  <si>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</si>
  <si>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</si>
  <si>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</si>
  <si>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</si>
  <si>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</si>
  <si>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</si>
  <si>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</si>
  <si>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</si>
  <si>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</si>
  <si>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</si>
  <si>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</si>
  <si>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</si>
  <si>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</si>
  <si>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</si>
  <si>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</si>
  <si>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</si>
  <si>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</si>
  <si>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</si>
  <si>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</si>
  <si>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</si>
  <si>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</si>
  <si>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</si>
  <si>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</si>
  <si>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</si>
  <si>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</si>
  <si>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</si>
  <si>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</si>
  <si>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</si>
  <si>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</si>
  <si>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</si>
  <si>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</si>
  <si>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</si>
  <si>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</si>
  <si>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</si>
  <si>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</si>
  <si>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</si>
  <si>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</si>
  <si>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</si>
  <si>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</si>
  <si>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</si>
  <si>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</si>
  <si>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</si>
  <si>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</si>
  <si>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</si>
  <si>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</si>
  <si>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</si>
  <si>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</si>
  <si>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</si>
  <si>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</si>
  <si>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</si>
  <si>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</si>
  <si>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</si>
  <si>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</si>
  <si>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</si>
  <si>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</si>
  <si>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</si>
  <si>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</si>
  <si>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</si>
  <si>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</si>
  <si>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</si>
  <si>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</si>
  <si>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</si>
  <si>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</si>
  <si>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</si>
  <si>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</si>
  <si>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</si>
  <si>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</si>
  <si>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</si>
  <si>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</si>
  <si>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</si>
  <si>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</si>
  <si>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</si>
  <si>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</si>
  <si>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</si>
  <si>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</si>
  <si>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</si>
  <si>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</si>
  <si>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</si>
  <si>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</si>
  <si>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</si>
  <si>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</si>
  <si>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</si>
  <si>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</si>
  <si>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</si>
  <si>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</si>
  <si>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</si>
  <si>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</si>
  <si>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</si>
  <si>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</si>
  <si>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</si>
  <si>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</si>
  <si>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</si>
  <si>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</si>
  <si>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</si>
  <si>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</si>
  <si>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</si>
  <si>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</si>
  <si>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</si>
  <si>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</si>
  <si>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</si>
  <si>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</si>
  <si>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</si>
  <si>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</si>
  <si>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</si>
  <si>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</si>
  <si>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</si>
  <si>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</si>
  <si>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</si>
  <si>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</si>
  <si>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</si>
  <si>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</si>
  <si>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</si>
  <si>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</si>
  <si>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</si>
  <si>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</si>
  <si>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</si>
  <si>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</si>
  <si>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</si>
  <si>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</si>
  <si>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</si>
  <si>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</si>
  <si>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</si>
  <si>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</si>
  <si>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</si>
  <si>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</si>
  <si>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</si>
  <si>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</si>
  <si>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</si>
  <si>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</si>
  <si>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</si>
  <si>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</si>
  <si>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</si>
  <si>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</si>
  <si>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</si>
  <si>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</si>
  <si>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</si>
  <si>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</si>
  <si>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</si>
  <si>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</si>
  <si>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</si>
  <si>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</si>
  <si>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</si>
  <si>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</si>
  <si>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</si>
  <si>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</si>
  <si>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</si>
  <si>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</si>
  <si>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</si>
  <si>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</si>
  <si>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</si>
  <si>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</si>
  <si>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</si>
  <si>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</si>
  <si>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</si>
  <si>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</si>
  <si>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</si>
  <si>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</si>
  <si>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</si>
  <si>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</si>
  <si>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</si>
  <si>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</si>
  <si>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</si>
  <si>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</si>
  <si>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</si>
  <si>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</si>
  <si>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</si>
  <si>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</si>
  <si>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</si>
  <si>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</si>
  <si>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</si>
  <si>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</si>
  <si>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</si>
  <si>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</si>
  <si>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</si>
  <si>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</si>
  <si>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</si>
  <si>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</si>
  <si>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</si>
  <si>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</si>
  <si>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</si>
  <si>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</si>
  <si>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</si>
  <si>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</si>
  <si>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</si>
  <si>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</si>
  <si>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</si>
  <si>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</si>
  <si>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</si>
  <si>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</si>
  <si>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</si>
  <si>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</si>
  <si>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</si>
  <si>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</si>
  <si>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</si>
  <si>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</si>
  <si>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</si>
  <si>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</si>
  <si>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</si>
  <si>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</si>
  <si>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</si>
  <si>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</si>
  <si>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</si>
  <si>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</si>
  <si>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</si>
  <si>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</si>
  <si>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</si>
  <si>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</si>
  <si>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</si>
  <si>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</si>
  <si>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</si>
  <si>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</si>
  <si>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</si>
  <si>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</si>
  <si>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</si>
  <si>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</si>
  <si>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</si>
  <si>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</si>
  <si>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</si>
  <si>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</si>
  <si>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</si>
  <si>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</si>
  <si>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</si>
  <si>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</si>
  <si>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</si>
  <si>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</si>
  <si>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</si>
  <si>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</si>
  <si>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</si>
  <si>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</si>
  <si>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</si>
  <si>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</si>
  <si>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</si>
  <si>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</si>
  <si>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</si>
  <si>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</si>
  <si>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</si>
  <si>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</si>
  <si>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</si>
  <si>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</si>
  <si>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</si>
  <si>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</si>
  <si>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</si>
  <si>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</si>
  <si>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</si>
  <si>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</si>
  <si>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</si>
  <si>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</si>
  <si>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</si>
  <si>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</si>
  <si>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</si>
  <si>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</si>
  <si>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</si>
  <si>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</si>
  <si>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</si>
  <si>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</si>
  <si>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</si>
  <si>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</si>
  <si>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</si>
  <si>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</si>
  <si>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</si>
  <si>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</si>
  <si>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</si>
  <si>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</si>
  <si>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</si>
  <si>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</si>
  <si>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</si>
  <si>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</si>
  <si>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</si>
  <si>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</si>
  <si>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</si>
  <si>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</si>
  <si>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</si>
  <si>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</si>
  <si>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</si>
  <si>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</si>
  <si>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</si>
  <si>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</si>
  <si>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</si>
  <si>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</si>
  <si>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</si>
  <si>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</si>
  <si>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</si>
  <si>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</si>
  <si>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</si>
  <si>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</si>
  <si>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</si>
  <si>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</si>
  <si>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</si>
  <si>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</si>
  <si>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</si>
  <si>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</si>
  <si>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</si>
  <si>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</si>
  <si>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</si>
  <si>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</si>
  <si>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</si>
  <si>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</si>
  <si>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</si>
  <si>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</si>
  <si>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</si>
  <si>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</si>
  <si>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</si>
  <si>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</si>
  <si>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</si>
  <si>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</si>
  <si>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</si>
  <si>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</si>
  <si>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</si>
  <si>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</si>
  <si>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</si>
  <si>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</si>
  <si>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</si>
  <si>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</si>
  <si>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</si>
  <si>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</si>
  <si>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</si>
  <si>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</si>
  <si>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</si>
  <si>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</si>
  <si>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</si>
  <si>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</si>
  <si>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</si>
  <si>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</si>
  <si>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</si>
  <si>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</si>
  <si>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</si>
  <si>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</si>
  <si>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</si>
  <si>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</si>
  <si>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</si>
  <si>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</si>
  <si>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</si>
  <si>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</si>
  <si>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</si>
  <si>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</si>
  <si>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</si>
  <si>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</si>
  <si>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</si>
  <si>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</si>
  <si>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</si>
  <si>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</si>
  <si>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</si>
  <si>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</si>
  <si>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</si>
  <si>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</si>
  <si>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</si>
  <si>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</si>
  <si>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</si>
  <si>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</si>
  <si>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</si>
  <si>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</si>
  <si>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</si>
  <si>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</si>
  <si>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</si>
  <si>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</si>
  <si>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</si>
  <si>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</si>
  <si>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</si>
  <si>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</si>
  <si>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</si>
  <si>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</si>
  <si>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</si>
  <si>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</si>
  <si>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</si>
  <si>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</si>
  <si>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</si>
  <si>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</si>
  <si>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</si>
  <si>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</si>
  <si>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</si>
  <si>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</si>
  <si>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</si>
  <si>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</si>
  <si>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</si>
  <si>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</si>
  <si>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</si>
  <si>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</si>
  <si>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</si>
  <si>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</si>
  <si>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</si>
  <si>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</si>
  <si>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</si>
  <si>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</si>
  <si>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</si>
  <si>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</si>
  <si>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</si>
  <si>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</si>
  <si>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</si>
  <si>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</si>
  <si>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</si>
  <si>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</si>
  <si>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</si>
  <si>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</si>
  <si>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</si>
  <si>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</si>
  <si>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</si>
  <si>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</si>
  <si>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</si>
  <si>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</si>
  <si>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</si>
  <si>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</si>
  <si>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</si>
  <si>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</si>
  <si>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</si>
  <si>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</si>
  <si>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</si>
  <si>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</si>
  <si>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</si>
  <si>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</si>
  <si>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</si>
  <si>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</si>
  <si>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</si>
  <si>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</si>
  <si>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</si>
  <si>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</si>
  <si>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</si>
  <si>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</si>
  <si>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</si>
  <si>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</si>
  <si>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</si>
  <si>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</si>
  <si>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</si>
  <si>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</si>
  <si>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</si>
  <si>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</si>
  <si>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</si>
  <si>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</si>
  <si>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</si>
  <si>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</si>
  <si>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</si>
  <si>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</si>
  <si>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</si>
  <si>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</si>
  <si>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</si>
  <si>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</si>
  <si>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</si>
  <si>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</si>
  <si>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</si>
  <si>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</si>
  <si>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</si>
  <si>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</si>
  <si>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</si>
  <si>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</si>
  <si>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</si>
  <si>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</si>
  <si>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</si>
  <si>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</si>
  <si>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</si>
  <si>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</si>
  <si>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</si>
  <si>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</si>
  <si>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</si>
  <si>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</si>
  <si>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</si>
  <si>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</si>
  <si>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</si>
  <si>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</si>
  <si>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</si>
  <si>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</si>
  <si>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</si>
  <si>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</si>
  <si>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</si>
  <si>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</si>
  <si>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</si>
  <si>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</si>
  <si>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</si>
  <si>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</si>
  <si>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</si>
  <si>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</si>
  <si>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</si>
  <si>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</si>
  <si>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</si>
  <si>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</si>
  <si>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</si>
  <si>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</si>
  <si>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</si>
  <si>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</si>
  <si>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</si>
  <si>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</si>
  <si>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</si>
  <si>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</si>
  <si>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</si>
  <si>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</si>
  <si>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</si>
  <si>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</si>
  <si>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</si>
  <si>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</si>
  <si>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</si>
  <si>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</si>
  <si>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</si>
  <si>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</si>
  <si>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</si>
  <si>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</si>
  <si>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</si>
  <si>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</si>
  <si>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</si>
  <si>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</si>
  <si>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</si>
  <si>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</si>
  <si>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</si>
  <si>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</si>
  <si>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</si>
  <si>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</si>
  <si>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</si>
  <si>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</si>
  <si>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</si>
  <si>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</si>
  <si>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</si>
  <si>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</si>
  <si>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</si>
  <si>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</si>
  <si>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</si>
  <si>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</si>
  <si>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</si>
  <si>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</si>
  <si>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</si>
  <si>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</si>
  <si>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</si>
  <si>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</si>
  <si>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</si>
  <si>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</si>
  <si>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</si>
  <si>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</si>
  <si>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</si>
  <si>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</si>
  <si>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</si>
  <si>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</si>
  <si>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</si>
  <si>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</si>
  <si>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</si>
  <si>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</si>
  <si>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</si>
  <si>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</si>
  <si>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</si>
  <si>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</si>
  <si>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</si>
  <si>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</si>
  <si>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</si>
  <si>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</si>
  <si>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</si>
  <si>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</si>
  <si>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</si>
  <si>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</si>
  <si>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</si>
  <si>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</si>
  <si>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</si>
  <si>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</si>
  <si>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</si>
  <si>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</si>
  <si>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</si>
  <si>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</si>
  <si>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</si>
  <si>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</si>
  <si>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</si>
  <si>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</si>
  <si>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</si>
  <si>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</si>
  <si>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</si>
  <si>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</si>
  <si>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</si>
  <si>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</si>
  <si>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</si>
  <si>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</si>
  <si>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</si>
  <si>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</si>
  <si>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</si>
  <si>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</si>
  <si>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</si>
  <si>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</si>
  <si>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</si>
  <si>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</si>
  <si>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</si>
  <si>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</si>
  <si>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</si>
  <si>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</si>
  <si>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</si>
  <si>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</si>
  <si>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</si>
  <si>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</si>
  <si>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</si>
  <si>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</si>
  <si>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</si>
  <si>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</si>
  <si>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</si>
  <si>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</si>
  <si>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</si>
  <si>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</si>
  <si>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</si>
  <si>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</si>
  <si>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</si>
  <si>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</si>
  <si>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</si>
  <si>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</si>
  <si>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</si>
  <si>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</si>
  <si>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</si>
  <si>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</si>
  <si>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</si>
  <si>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</si>
  <si>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</si>
  <si>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</si>
  <si>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</si>
  <si>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</si>
  <si>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</si>
  <si>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</si>
  <si>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</si>
  <si>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</si>
  <si>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</si>
  <si>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</si>
  <si>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</si>
  <si>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</si>
  <si>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</si>
  <si>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</si>
  <si>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</si>
  <si>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</si>
  <si>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</si>
  <si>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</si>
  <si>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</si>
  <si>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</si>
  <si>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</si>
  <si>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</si>
  <si>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</si>
  <si>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</si>
  <si>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</si>
  <si>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</si>
  <si>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</si>
  <si>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</si>
  <si>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</si>
  <si>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</si>
  <si>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</si>
  <si>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</si>
  <si>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</si>
  <si>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</si>
  <si>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</si>
  <si>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</si>
  <si>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</si>
  <si>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</si>
  <si>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</si>
  <si>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</si>
  <si>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</si>
  <si>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</si>
  <si>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</si>
  <si>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</si>
  <si>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</si>
  <si>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</si>
  <si>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</si>
  <si>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</si>
  <si>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</si>
  <si>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</si>
  <si>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</si>
  <si>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</si>
  <si>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</si>
  <si>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</si>
  <si>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</si>
  <si>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</si>
  <si>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</si>
  <si>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</si>
  <si>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</si>
  <si>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</si>
  <si>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</si>
  <si>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</si>
  <si>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</si>
  <si>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</si>
  <si>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</si>
  <si>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</si>
  <si>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</si>
  <si>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</si>
  <si>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</si>
  <si>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</si>
  <si>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</si>
  <si>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</si>
  <si>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</si>
  <si>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</si>
  <si>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</si>
  <si>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</si>
  <si>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</si>
  <si>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</si>
  <si>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</si>
  <si>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</si>
  <si>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</si>
  <si>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</si>
  <si>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</si>
  <si>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</si>
  <si>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</si>
  <si>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</si>
  <si>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</si>
  <si>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</si>
  <si>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</si>
  <si>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</si>
  <si>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</si>
  <si>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</si>
  <si>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</si>
  <si>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</si>
  <si>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</si>
  <si>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</si>
  <si>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</si>
  <si>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</si>
  <si>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</si>
  <si>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</si>
  <si>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</si>
  <si>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</si>
  <si>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</si>
  <si>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</si>
  <si>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</si>
  <si>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</si>
  <si>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</si>
  <si>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</si>
  <si>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</si>
  <si>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</si>
  <si>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</si>
  <si>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</si>
  <si>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</si>
  <si>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</si>
  <si>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</si>
  <si>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</si>
  <si>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</si>
  <si>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</si>
  <si>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</si>
  <si>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</si>
  <si>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</si>
  <si>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</si>
  <si>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</si>
  <si>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</si>
  <si>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</si>
  <si>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</si>
  <si>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</si>
  <si>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</si>
  <si>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</si>
  <si>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</si>
  <si>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</si>
  <si>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</si>
  <si>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</si>
  <si>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</si>
  <si>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</si>
  <si>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</si>
  <si>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</si>
  <si>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</si>
  <si>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</si>
  <si>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</si>
  <si>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</si>
  <si>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</si>
  <si>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</si>
  <si>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</si>
  <si>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</si>
  <si>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经营活动产生的现金流量净额</t>
    <phoneticPr fontId="1" type="noConversion"/>
  </si>
  <si>
    <t>环比增长</t>
    <phoneticPr fontId="1" type="noConversion"/>
  </si>
  <si>
    <t>复合增长 = POWER(现有价值/基础价值， 1/年数） -1 
（2012年开始为正）因此，以2012为基数</t>
    <phoneticPr fontId="1" type="noConversion"/>
  </si>
  <si>
    <t>自由现金流</t>
    <phoneticPr fontId="1" type="noConversion"/>
  </si>
  <si>
    <t>复合增长 = POWER(现有价值/基础价值， 1/年数） -1 
（2013年开始为正）因此，以2013为基数</t>
    <phoneticPr fontId="1" type="noConversion"/>
  </si>
  <si>
    <t>自由现金流复合增长率</t>
    <phoneticPr fontId="1" type="noConversion"/>
  </si>
  <si>
    <t>(13)息前税后经营利润=11-12  NOPAT</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</si>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</sst>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6"/>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2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0" borderId="0" xfId="0" applyNumberFormat="1" applyFont="1">
      <alignment vertical="center"/>
    </xf>
    <xf numFmtId="179" fontId="26" fillId="0" borderId="0" xfId="0" applyNumberFormat="1" applyFont="1">
      <alignment vertical="center"/>
    </xf>
    <xf numFmtId="0" fontId="0" fillId="0" borderId="0" xfId="0" applyNumberFormat="1">
      <alignment vertical="center"/>
    </xf>
    <xf numFmtId="49" fontId="0" fillId="46" borderId="16" xfId="0" applyNumberFormat="1" applyFill="1" applyBorder="1">
      <alignment vertical="center"/>
    </xf>
    <xf numFmtId="0" fontId="0" fillId="46" borderId="16" xfId="0" applyFill="1" applyBorder="1">
      <alignment vertical="center"/>
    </xf>
    <xf numFmtId="14" fontId="0" fillId="46" borderId="16" xfId="0" applyNumberFormat="1" applyFill="1" applyBorder="1">
      <alignment vertical="center"/>
    </xf>
    <xf numFmtId="10" fontId="26" fillId="0" borderId="16" xfId="0" applyNumberFormat="1" applyFont="1" applyBorder="1" applyAlignment="1">
      <alignment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0.29581512745548982</c:v>
                </c:pt>
                <c:pt idx="1">
                  <c:v>0.33796481702045877</c:v>
                </c:pt>
                <c:pt idx="2">
                  <c:v>0.31002263226818011</c:v>
                </c:pt>
                <c:pt idx="3">
                  <c:v>0.29857706047160804</c:v>
                </c:pt>
                <c:pt idx="4">
                  <c:v>0.22955259871779499</c:v>
                </c:pt>
                <c:pt idx="5">
                  <c:v>0.25082091669271261</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191617536"/>
        <c:axId val="188078848"/>
      </c:lineChart>
      <c:catAx>
        <c:axId val="191617536"/>
        <c:scaling>
          <c:orientation val="minMax"/>
        </c:scaling>
        <c:delete val="0"/>
        <c:axPos val="b"/>
        <c:majorTickMark val="out"/>
        <c:minorTickMark val="none"/>
        <c:tickLblPos val="nextTo"/>
        <c:crossAx val="188078848"/>
        <c:crosses val="autoZero"/>
        <c:auto val="1"/>
        <c:lblAlgn val="ctr"/>
        <c:lblOffset val="100"/>
        <c:noMultiLvlLbl val="0"/>
      </c:catAx>
      <c:valAx>
        <c:axId val="188078848"/>
        <c:scaling>
          <c:orientation val="minMax"/>
        </c:scaling>
        <c:delete val="0"/>
        <c:axPos val="l"/>
        <c:majorGridlines/>
        <c:numFmt formatCode="0.00%" sourceLinked="1"/>
        <c:majorTickMark val="out"/>
        <c:minorTickMark val="none"/>
        <c:tickLblPos val="nextTo"/>
        <c:crossAx val="1916175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0.10481854707692559</c:v>
                </c:pt>
                <c:pt idx="1">
                  <c:v>0.15178455719668479</c:v>
                </c:pt>
                <c:pt idx="2">
                  <c:v>0.13900760945483567</c:v>
                </c:pt>
                <c:pt idx="3">
                  <c:v>0.12286860881053902</c:v>
                </c:pt>
                <c:pt idx="4">
                  <c:v>6.5262427674836213E-2</c:v>
                </c:pt>
                <c:pt idx="5">
                  <c:v>8.7060498811348849E-2</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192956928"/>
        <c:axId val="191504960"/>
      </c:lineChart>
      <c:catAx>
        <c:axId val="192956928"/>
        <c:scaling>
          <c:orientation val="minMax"/>
        </c:scaling>
        <c:delete val="0"/>
        <c:axPos val="b"/>
        <c:majorTickMark val="out"/>
        <c:minorTickMark val="none"/>
        <c:tickLblPos val="nextTo"/>
        <c:crossAx val="191504960"/>
        <c:crosses val="autoZero"/>
        <c:auto val="1"/>
        <c:lblAlgn val="ctr"/>
        <c:lblOffset val="100"/>
        <c:noMultiLvlLbl val="0"/>
      </c:catAx>
      <c:valAx>
        <c:axId val="191504960"/>
        <c:scaling>
          <c:orientation val="minMax"/>
        </c:scaling>
        <c:delete val="0"/>
        <c:axPos val="l"/>
        <c:majorGridlines/>
        <c:numFmt formatCode="0.00%" sourceLinked="1"/>
        <c:majorTickMark val="out"/>
        <c:minorTickMark val="none"/>
        <c:tickLblPos val="nextTo"/>
        <c:crossAx val="1929569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0.27563009440758607</c:v>
                </c:pt>
                <c:pt idx="1">
                  <c:v>0.17786356564051892</c:v>
                </c:pt>
                <c:pt idx="2">
                  <c:v>0.15919198610083191</c:v>
                </c:pt>
                <c:pt idx="3">
                  <c:v>0.13924172939674531</c:v>
                </c:pt>
                <c:pt idx="4">
                  <c:v>8.4900154601680808E-2</c:v>
                </c:pt>
                <c:pt idx="5">
                  <c:v>0.12241343093924165</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0.2235716132956746</c:v>
                </c:pt>
                <c:pt idx="1">
                  <c:v>0.15185496929106088</c:v>
                </c:pt>
                <c:pt idx="2">
                  <c:v>0.14020962481684332</c:v>
                </c:pt>
                <c:pt idx="3">
                  <c:v>0.12389742925278872</c:v>
                </c:pt>
                <c:pt idx="4">
                  <c:v>6.9999971108208353E-2</c:v>
                </c:pt>
                <c:pt idx="5">
                  <c:v>0.1035857855822984</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0.26913504450387693</c:v>
                </c:pt>
                <c:pt idx="1">
                  <c:v>0.17160970259715849</c:v>
                </c:pt>
                <c:pt idx="2">
                  <c:v>0.15294866860453055</c:v>
                </c:pt>
                <c:pt idx="3">
                  <c:v>0.13771116222576296</c:v>
                </c:pt>
                <c:pt idx="4">
                  <c:v>8.0093926561728451E-2</c:v>
                </c:pt>
                <c:pt idx="5">
                  <c:v>0.1191203395879262</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0.21859455351532417</c:v>
                </c:pt>
                <c:pt idx="1">
                  <c:v>0.14651943285139848</c:v>
                </c:pt>
                <c:pt idx="2">
                  <c:v>0.13470015150764739</c:v>
                </c:pt>
                <c:pt idx="3">
                  <c:v>0.12253706284093099</c:v>
                </c:pt>
                <c:pt idx="4">
                  <c:v>6.6037247771430524E-2</c:v>
                </c:pt>
                <c:pt idx="5">
                  <c:v>0.10042568955882833</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192957952"/>
        <c:axId val="191506688"/>
      </c:lineChart>
      <c:catAx>
        <c:axId val="192957952"/>
        <c:scaling>
          <c:orientation val="minMax"/>
        </c:scaling>
        <c:delete val="0"/>
        <c:axPos val="b"/>
        <c:majorTickMark val="out"/>
        <c:minorTickMark val="none"/>
        <c:tickLblPos val="nextTo"/>
        <c:crossAx val="191506688"/>
        <c:crosses val="autoZero"/>
        <c:auto val="1"/>
        <c:lblAlgn val="ctr"/>
        <c:lblOffset val="100"/>
        <c:noMultiLvlLbl val="0"/>
      </c:catAx>
      <c:valAx>
        <c:axId val="191506688"/>
        <c:scaling>
          <c:orientation val="minMax"/>
        </c:scaling>
        <c:delete val="0"/>
        <c:axPos val="l"/>
        <c:majorGridlines/>
        <c:numFmt formatCode="0.00%" sourceLinked="1"/>
        <c:majorTickMark val="out"/>
        <c:minorTickMark val="none"/>
        <c:tickLblPos val="nextTo"/>
        <c:crossAx val="192957952"/>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961085805.88</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593914495.89999998</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465371083.73000002</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237103392.43000001</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100051057.8</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110771945</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193353216"/>
        <c:axId val="191508992"/>
      </c:barChart>
      <c:catAx>
        <c:axId val="193353216"/>
        <c:scaling>
          <c:orientation val="minMax"/>
        </c:scaling>
        <c:delete val="0"/>
        <c:axPos val="b"/>
        <c:numFmt formatCode="General" sourceLinked="1"/>
        <c:majorTickMark val="out"/>
        <c:minorTickMark val="none"/>
        <c:tickLblPos val="nextTo"/>
        <c:crossAx val="191508992"/>
        <c:crosses val="autoZero"/>
        <c:auto val="1"/>
        <c:lblAlgn val="ctr"/>
        <c:lblOffset val="100"/>
        <c:noMultiLvlLbl val="0"/>
      </c:catAx>
      <c:valAx>
        <c:axId val="191508992"/>
        <c:scaling>
          <c:orientation val="minMax"/>
        </c:scaling>
        <c:delete val="0"/>
        <c:axPos val="l"/>
        <c:majorGridlines/>
        <c:numFmt formatCode="General" sourceLinked="1"/>
        <c:majorTickMark val="out"/>
        <c:minorTickMark val="none"/>
        <c:tickLblPos val="nextTo"/>
        <c:crossAx val="193353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355302661.08400017</c:v>
                </c:pt>
                <c:pt idx="1">
                  <c:v>154403534.98679978</c:v>
                </c:pt>
                <c:pt idx="2">
                  <c:v>88114435.294799805</c:v>
                </c:pt>
                <c:pt idx="3">
                  <c:v>-81083739.043199837</c:v>
                </c:pt>
                <c:pt idx="4">
                  <c:v>-50644954.889199987</c:v>
                </c:pt>
                <c:pt idx="5">
                  <c:v>-33891942.645600036</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193355264"/>
        <c:axId val="193552384"/>
      </c:barChart>
      <c:catAx>
        <c:axId val="193355264"/>
        <c:scaling>
          <c:orientation val="minMax"/>
        </c:scaling>
        <c:delete val="0"/>
        <c:axPos val="b"/>
        <c:majorTickMark val="out"/>
        <c:minorTickMark val="none"/>
        <c:tickLblPos val="nextTo"/>
        <c:crossAx val="193552384"/>
        <c:crosses val="autoZero"/>
        <c:auto val="1"/>
        <c:lblAlgn val="ctr"/>
        <c:lblOffset val="100"/>
        <c:noMultiLvlLbl val="0"/>
      </c:catAx>
      <c:valAx>
        <c:axId val="193552384"/>
        <c:scaling>
          <c:orientation val="minMax"/>
        </c:scaling>
        <c:delete val="0"/>
        <c:axPos val="l"/>
        <c:majorGridlines/>
        <c:numFmt formatCode="#,##0.00_ " sourceLinked="1"/>
        <c:majorTickMark val="out"/>
        <c:minorTickMark val="none"/>
        <c:tickLblPos val="nextTo"/>
        <c:crossAx val="1933552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5097149218.6999998</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4399416613.54</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3993312242.1900001</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3636192269.79</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1646264150.74</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1589716698.8199999</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193634816"/>
        <c:axId val="193554112"/>
      </c:barChart>
      <c:catAx>
        <c:axId val="193634816"/>
        <c:scaling>
          <c:orientation val="minMax"/>
        </c:scaling>
        <c:delete val="0"/>
        <c:axPos val="b"/>
        <c:numFmt formatCode="General" sourceLinked="0"/>
        <c:majorTickMark val="out"/>
        <c:minorTickMark val="none"/>
        <c:tickLblPos val="nextTo"/>
        <c:crossAx val="193554112"/>
        <c:crosses val="autoZero"/>
        <c:auto val="1"/>
        <c:lblAlgn val="ctr"/>
        <c:lblOffset val="100"/>
        <c:noMultiLvlLbl val="0"/>
      </c:catAx>
      <c:valAx>
        <c:axId val="193554112"/>
        <c:scaling>
          <c:orientation val="minMax"/>
        </c:scaling>
        <c:delete val="0"/>
        <c:axPos val="l"/>
        <c:majorGridlines/>
        <c:numFmt formatCode="General" sourceLinked="1"/>
        <c:majorTickMark val="out"/>
        <c:minorTickMark val="none"/>
        <c:tickLblPos val="nextTo"/>
        <c:crossAx val="1936348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1,474,754,700.57  1,421,201,537.69  1,395,858,553.07  1,543,287,033.90  1,387,588,912.52  1,371,880,035.20  1,349,397,589.59  1,345,278,086.23  1,311,069,339.74  1,268,382,275.08  1,090,431,178.70  1,065,290,545.74  1,029,096,146.12  916,861,</c:v>
                </c:pt>
              </c:strCache>
            </c:strRef>
          </c:tx>
          <c:invertIfNegative val="0"/>
          <c:cat>
            <c:numRef>
              <c:f>投资和筹资活动现金流表!$E$12</c:f>
              <c:numCache>
                <c:formatCode>#,##0.00_ </c:formatCode>
                <c:ptCount val="1"/>
                <c:pt idx="0">
                  <c:v>1474754700.5699999</c:v>
                </c:pt>
              </c:numCache>
            </c:numRef>
          </c:cat>
          <c:val>
            <c:numRef>
              <c:f>投资和筹资活动现金流表!$E$12:$U$12</c:f>
              <c:numCache>
                <c:formatCode>#,##0.00_ </c:formatCode>
                <c:ptCount val="5"/>
                <c:pt idx="0">
                  <c:v>1474754700.5699999</c:v>
                </c:pt>
                <c:pt idx="1">
                  <c:v>1387588912.5200002</c:v>
                </c:pt>
                <c:pt idx="2">
                  <c:v>1311069339.7399998</c:v>
                </c:pt>
                <c:pt idx="3">
                  <c:v>1029096146.12</c:v>
                </c:pt>
                <c:pt idx="4">
                  <c:v>771446100.32000005</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193637888"/>
        <c:axId val="193557568"/>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5.2929231505300739E-2</c:v>
                </c:pt>
                <c:pt idx="1">
                  <c:v>4.4510958831338876E-2</c:v>
                </c:pt>
                <c:pt idx="2">
                  <c:v>1.5400091770892939E-2</c:v>
                </c:pt>
                <c:pt idx="3">
                  <c:v>0.16306461459669314</c:v>
                </c:pt>
                <c:pt idx="4">
                  <c:v>0.3409614306571675</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193975296"/>
        <c:axId val="193558144"/>
      </c:lineChart>
      <c:valAx>
        <c:axId val="193557568"/>
        <c:scaling>
          <c:orientation val="minMax"/>
        </c:scaling>
        <c:delete val="0"/>
        <c:axPos val="r"/>
        <c:numFmt formatCode="#,##0.00_ " sourceLinked="1"/>
        <c:majorTickMark val="out"/>
        <c:minorTickMark val="none"/>
        <c:tickLblPos val="nextTo"/>
        <c:crossAx val="193637888"/>
        <c:crosses val="max"/>
        <c:crossBetween val="between"/>
      </c:valAx>
      <c:catAx>
        <c:axId val="193637888"/>
        <c:scaling>
          <c:orientation val="minMax"/>
        </c:scaling>
        <c:delete val="1"/>
        <c:axPos val="b"/>
        <c:numFmt formatCode="#,##0.00_ " sourceLinked="1"/>
        <c:majorTickMark val="out"/>
        <c:minorTickMark val="none"/>
        <c:tickLblPos val="nextTo"/>
        <c:crossAx val="193557568"/>
        <c:crosses val="autoZero"/>
        <c:auto val="1"/>
        <c:lblAlgn val="ctr"/>
        <c:lblOffset val="100"/>
        <c:noMultiLvlLbl val="0"/>
      </c:catAx>
      <c:valAx>
        <c:axId val="193558144"/>
        <c:scaling>
          <c:orientation val="minMax"/>
        </c:scaling>
        <c:delete val="0"/>
        <c:axPos val="l"/>
        <c:numFmt formatCode="0.00%" sourceLinked="1"/>
        <c:majorTickMark val="out"/>
        <c:minorTickMark val="none"/>
        <c:tickLblPos val="nextTo"/>
        <c:crossAx val="193975296"/>
        <c:crosses val="autoZero"/>
        <c:crossBetween val="between"/>
      </c:valAx>
      <c:catAx>
        <c:axId val="193975296"/>
        <c:scaling>
          <c:orientation val="minMax"/>
        </c:scaling>
        <c:delete val="1"/>
        <c:axPos val="b"/>
        <c:majorTickMark val="out"/>
        <c:minorTickMark val="none"/>
        <c:tickLblPos val="nextTo"/>
        <c:crossAx val="193558144"/>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-1.5206527729067514</c:v>
                </c:pt>
                <c:pt idx="1">
                  <c:v>2.8875183341435906</c:v>
                </c:pt>
                <c:pt idx="2">
                  <c:v>1.0265509160409632</c:v>
                </c:pt>
                <c:pt idx="3">
                  <c:v>0.41912457270612818</c:v>
                </c:pt>
                <c:pt idx="4">
                  <c:v>0.21342433177688597</c:v>
                </c:pt>
                <c:pt idx="5">
                  <c:v>0.38900805208777078</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188907520"/>
        <c:axId val="193558720"/>
      </c:lineChart>
      <c:catAx>
        <c:axId val="188907520"/>
        <c:scaling>
          <c:orientation val="minMax"/>
        </c:scaling>
        <c:delete val="0"/>
        <c:axPos val="b"/>
        <c:majorTickMark val="out"/>
        <c:minorTickMark val="none"/>
        <c:tickLblPos val="nextTo"/>
        <c:crossAx val="193558720"/>
        <c:crosses val="autoZero"/>
        <c:auto val="1"/>
        <c:lblAlgn val="ctr"/>
        <c:lblOffset val="100"/>
        <c:noMultiLvlLbl val="0"/>
      </c:catAx>
      <c:valAx>
        <c:axId val="193558720"/>
        <c:scaling>
          <c:orientation val="minMax"/>
        </c:scaling>
        <c:delete val="0"/>
        <c:axPos val="l"/>
        <c:majorGridlines/>
        <c:numFmt formatCode="#,##0.00_ " sourceLinked="1"/>
        <c:majorTickMark val="out"/>
        <c:minorTickMark val="none"/>
        <c:tickLblPos val="nextTo"/>
        <c:crossAx val="18890752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258899816.76999998</c:v>
                </c:pt>
                <c:pt idx="1">
                  <c:v>229155509.89000002</c:v>
                </c:pt>
                <c:pt idx="2">
                  <c:v>168215136.31</c:v>
                </c:pt>
                <c:pt idx="3">
                  <c:v>276300892.07999998</c:v>
                </c:pt>
                <c:pt idx="4">
                  <c:v>331273541.5</c:v>
                </c:pt>
                <c:pt idx="5">
                  <c:v>213202533.84999999</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-389687791.44999999</c:v>
                </c:pt>
                <c:pt idx="1">
                  <c:v>18035726.640000001</c:v>
                </c:pt>
                <c:pt idx="2">
                  <c:v>296310794.95999998</c:v>
                </c:pt>
                <c:pt idx="3">
                  <c:v>309325371.79000002</c:v>
                </c:pt>
                <c:pt idx="4">
                  <c:v>0</c:v>
                </c:pt>
                <c:pt idx="5">
                  <c:v>180319.01</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198883096.36000001</c:v>
                </c:pt>
                <c:pt idx="1">
                  <c:v>713769227.51999998</c:v>
                </c:pt>
                <c:pt idx="2">
                  <c:v>476859520.26999998</c:v>
                </c:pt>
                <c:pt idx="3">
                  <c:v>245450357.61000001</c:v>
                </c:pt>
                <c:pt idx="4">
                  <c:v>70701834.230000004</c:v>
                </c:pt>
                <c:pt idx="5">
                  <c:v>83007647.939999998</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-99286236.129999995</c:v>
                </c:pt>
                <c:pt idx="1">
                  <c:v>-204303594.58000001</c:v>
                </c:pt>
                <c:pt idx="2">
                  <c:v>233059413.56</c:v>
                </c:pt>
                <c:pt idx="3">
                  <c:v>457387363.81999999</c:v>
                </c:pt>
                <c:pt idx="4">
                  <c:v>-122991317.05</c:v>
                </c:pt>
                <c:pt idx="5">
                  <c:v>29147441.25</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193977856"/>
        <c:axId val="192628416"/>
      </c:barChart>
      <c:catAx>
        <c:axId val="193977856"/>
        <c:scaling>
          <c:orientation val="minMax"/>
        </c:scaling>
        <c:delete val="0"/>
        <c:axPos val="b"/>
        <c:majorTickMark val="none"/>
        <c:minorTickMark val="none"/>
        <c:tickLblPos val="nextTo"/>
        <c:crossAx val="192628416"/>
        <c:crosses val="autoZero"/>
        <c:auto val="1"/>
        <c:lblAlgn val="ctr"/>
        <c:lblOffset val="100"/>
        <c:noMultiLvlLbl val="0"/>
      </c:catAx>
      <c:valAx>
        <c:axId val="192628416"/>
        <c:scaling>
          <c:orientation val="minMax"/>
        </c:scaling>
        <c:delete val="0"/>
        <c:axPos val="l"/>
        <c:majorGridlines/>
        <c:numFmt formatCode="#,##0.00_ " sourceLinked="1"/>
        <c:majorTickMark val="none"/>
        <c:minorTickMark val="none"/>
        <c:tickLblPos val="nextTo"/>
        <c:crossAx val="193977856"/>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-100709204</c:v>
                </c:pt>
                <c:pt idx="1">
                  <c:v>-102709204</c:v>
                </c:pt>
                <c:pt idx="2">
                  <c:v>0</c:v>
                </c:pt>
                <c:pt idx="3">
                  <c:v>338645398</c:v>
                </c:pt>
                <c:pt idx="4">
                  <c:v>0</c:v>
                </c:pt>
                <c:pt idx="5">
                  <c:v>-26250000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-86191881.900000006</c:v>
                </c:pt>
                <c:pt idx="1">
                  <c:v>-121835392.09999999</c:v>
                </c:pt>
                <c:pt idx="2">
                  <c:v>284968445.44999999</c:v>
                </c:pt>
                <c:pt idx="3">
                  <c:v>82952979.530000001</c:v>
                </c:pt>
                <c:pt idx="4">
                  <c:v>-90789806.590000018</c:v>
                </c:pt>
                <c:pt idx="5">
                  <c:v>86229824.829999983</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194352640"/>
        <c:axId val="192630720"/>
      </c:barChart>
      <c:catAx>
        <c:axId val="194352640"/>
        <c:scaling>
          <c:orientation val="minMax"/>
        </c:scaling>
        <c:delete val="0"/>
        <c:axPos val="b"/>
        <c:majorTickMark val="out"/>
        <c:minorTickMark val="none"/>
        <c:tickLblPos val="nextTo"/>
        <c:crossAx val="192630720"/>
        <c:crosses val="autoZero"/>
        <c:auto val="1"/>
        <c:lblAlgn val="ctr"/>
        <c:lblOffset val="100"/>
        <c:noMultiLvlLbl val="0"/>
      </c:catAx>
      <c:valAx>
        <c:axId val="192630720"/>
        <c:scaling>
          <c:orientation val="minMax"/>
        </c:scaling>
        <c:delete val="0"/>
        <c:axPos val="l"/>
        <c:majorGridlines/>
        <c:numFmt formatCode="#,##0.00_ " sourceLinked="1"/>
        <c:majorTickMark val="out"/>
        <c:minorTickMark val="none"/>
        <c:tickLblPos val="nextTo"/>
        <c:crossAx val="1943526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215000000</c:v>
                </c:pt>
                <c:pt idx="1">
                  <c:v>236000000</c:v>
                </c:pt>
                <c:pt idx="2">
                  <c:v>468000000</c:v>
                </c:pt>
                <c:pt idx="3">
                  <c:v>99500000</c:v>
                </c:pt>
                <c:pt idx="4">
                  <c:v>108781830.8</c:v>
                </c:pt>
                <c:pt idx="5">
                  <c:v>152400000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194353664"/>
        <c:axId val="192632448"/>
      </c:barChart>
      <c:catAx>
        <c:axId val="194353664"/>
        <c:scaling>
          <c:orientation val="minMax"/>
        </c:scaling>
        <c:delete val="0"/>
        <c:axPos val="b"/>
        <c:majorTickMark val="out"/>
        <c:minorTickMark val="none"/>
        <c:tickLblPos val="nextTo"/>
        <c:crossAx val="192632448"/>
        <c:crosses val="autoZero"/>
        <c:auto val="1"/>
        <c:lblAlgn val="ctr"/>
        <c:lblOffset val="100"/>
        <c:noMultiLvlLbl val="0"/>
      </c:catAx>
      <c:valAx>
        <c:axId val="192632448"/>
        <c:scaling>
          <c:orientation val="minMax"/>
        </c:scaling>
        <c:delete val="0"/>
        <c:axPos val="l"/>
        <c:majorGridlines/>
        <c:numFmt formatCode="#,##0.00_ " sourceLinked="1"/>
        <c:majorTickMark val="out"/>
        <c:minorTickMark val="none"/>
        <c:tickLblPos val="nextTo"/>
        <c:crossAx val="1943536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285621293.67000002</c:v>
                </c:pt>
                <c:pt idx="1">
                  <c:v>286038903.38</c:v>
                </c:pt>
                <c:pt idx="2">
                  <c:v>-8630000</c:v>
                </c:pt>
                <c:pt idx="3">
                  <c:v>-58500000</c:v>
                </c:pt>
                <c:pt idx="4">
                  <c:v>1850000</c:v>
                </c:pt>
                <c:pt idx="5">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194506752"/>
        <c:axId val="192634176"/>
      </c:barChart>
      <c:catAx>
        <c:axId val="194506752"/>
        <c:scaling>
          <c:orientation val="minMax"/>
        </c:scaling>
        <c:delete val="0"/>
        <c:axPos val="b"/>
        <c:majorTickMark val="out"/>
        <c:minorTickMark val="none"/>
        <c:tickLblPos val="nextTo"/>
        <c:crossAx val="192634176"/>
        <c:crosses val="autoZero"/>
        <c:auto val="1"/>
        <c:lblAlgn val="ctr"/>
        <c:lblOffset val="100"/>
        <c:noMultiLvlLbl val="0"/>
      </c:catAx>
      <c:valAx>
        <c:axId val="192634176"/>
        <c:scaling>
          <c:orientation val="minMax"/>
        </c:scaling>
        <c:delete val="0"/>
        <c:axPos val="l"/>
        <c:majorGridlines/>
        <c:numFmt formatCode="#,##0.00_ " sourceLinked="1"/>
        <c:majorTickMark val="out"/>
        <c:minorTickMark val="none"/>
        <c:tickLblPos val="nextTo"/>
        <c:crossAx val="1945067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14859461.9</c:v>
                </c:pt>
                <c:pt idx="1">
                  <c:v>19388891.059999999</c:v>
                </c:pt>
                <c:pt idx="2">
                  <c:v>15384302.83</c:v>
                </c:pt>
                <c:pt idx="3">
                  <c:v>831488.96</c:v>
                </c:pt>
                <c:pt idx="4">
                  <c:v>3773806.59</c:v>
                </c:pt>
                <c:pt idx="5">
                  <c:v>2937854.71</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321762420</c:v>
                </c:pt>
                <c:pt idx="1">
                  <c:v>361446501.03999996</c:v>
                </c:pt>
                <c:pt idx="2">
                  <c:v>421647251.72000003</c:v>
                </c:pt>
                <c:pt idx="3">
                  <c:v>92215531.510000005</c:v>
                </c:pt>
                <c:pt idx="4">
                  <c:v>8016000</c:v>
                </c:pt>
                <c:pt idx="5">
                  <c:v>95161510.459999993</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5097149218.7000008</c:v>
                </c:pt>
                <c:pt idx="1">
                  <c:v>4399416613.54</c:v>
                </c:pt>
                <c:pt idx="2">
                  <c:v>3993312242.1900001</c:v>
                </c:pt>
                <c:pt idx="3">
                  <c:v>3636192269.79</c:v>
                </c:pt>
                <c:pt idx="4">
                  <c:v>1646264150.74</c:v>
                </c:pt>
                <c:pt idx="5">
                  <c:v>1589716698.8200002</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5428070583.6000004</c:v>
                </c:pt>
                <c:pt idx="1">
                  <c:v>4760863114.5800009</c:v>
                </c:pt>
                <c:pt idx="2">
                  <c:v>4414959493.9099998</c:v>
                </c:pt>
                <c:pt idx="3">
                  <c:v>3728407801.2999992</c:v>
                </c:pt>
                <c:pt idx="4">
                  <c:v>1654280150.7399998</c:v>
                </c:pt>
                <c:pt idx="5">
                  <c:v>1684878209.2800002</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194093056"/>
        <c:axId val="194430080"/>
      </c:barChart>
      <c:catAx>
        <c:axId val="194093056"/>
        <c:scaling>
          <c:orientation val="minMax"/>
        </c:scaling>
        <c:delete val="0"/>
        <c:axPos val="b"/>
        <c:majorTickMark val="out"/>
        <c:minorTickMark val="none"/>
        <c:tickLblPos val="nextTo"/>
        <c:crossAx val="194430080"/>
        <c:crosses val="autoZero"/>
        <c:auto val="1"/>
        <c:lblAlgn val="ctr"/>
        <c:lblOffset val="100"/>
        <c:noMultiLvlLbl val="0"/>
      </c:catAx>
      <c:valAx>
        <c:axId val="194430080"/>
        <c:scaling>
          <c:orientation val="minMax"/>
        </c:scaling>
        <c:delete val="0"/>
        <c:axPos val="l"/>
        <c:majorGridlines/>
        <c:numFmt formatCode="#,##0.00_ " sourceLinked="1"/>
        <c:majorTickMark val="out"/>
        <c:minorTickMark val="none"/>
        <c:tickLblPos val="nextTo"/>
        <c:crossAx val="194093056"/>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7.7217112076577332E-2</c:v>
                </c:pt>
                <c:pt idx="1">
                  <c:v>7.7136192037539797E-2</c:v>
                </c:pt>
                <c:pt idx="2">
                  <c:v>7.7395892938634581E-2</c:v>
                </c:pt>
                <c:pt idx="3">
                  <c:v>7.8386483800335097E-2</c:v>
                </c:pt>
                <c:pt idx="4">
                  <c:v>7.9904606478058943E-2</c:v>
                </c:pt>
                <c:pt idx="5">
                  <c:v>7.825614668688527E-2</c:v>
                </c:pt>
                <c:pt idx="6">
                  <c:v>7.992596728694501E-2</c:v>
                </c:pt>
                <c:pt idx="7">
                  <c:v>7.1714842694191899E-2</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94094592"/>
        <c:axId val="194432384"/>
      </c:lineChart>
      <c:catAx>
        <c:axId val="1940945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194432384"/>
        <c:crosses val="autoZero"/>
        <c:auto val="1"/>
        <c:lblAlgn val="ctr"/>
        <c:lblOffset val="100"/>
        <c:noMultiLvlLbl val="0"/>
      </c:catAx>
      <c:valAx>
        <c:axId val="19443238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194094592"/>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0.26754104862358213</c:v>
                </c:pt>
                <c:pt idx="1">
                  <c:v>0.4616114930510784</c:v>
                </c:pt>
                <c:pt idx="2">
                  <c:v>0.84391727254587068</c:v>
                </c:pt>
                <c:pt idx="3">
                  <c:v>1.5307935096739178</c:v>
                </c:pt>
                <c:pt idx="4">
                  <c:v>-0.73795198766751857</c:v>
                </c:pt>
                <c:pt idx="5">
                  <c:v>-0.17801982904536698</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1.1450376398000861</c:v>
                </c:pt>
                <c:pt idx="1">
                  <c:v>0</c:v>
                </c:pt>
                <c:pt idx="2">
                  <c:v>0</c:v>
                </c:pt>
                <c:pt idx="3">
                  <c:v>0</c:v>
                </c:pt>
                <c:pt idx="4">
                  <c:v>0</c:v>
                </c:pt>
                <c:pt idx="5">
                  <c:v>-1</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0.20437902000269875</c:v>
                </c:pt>
                <c:pt idx="1">
                  <c:v>-8.7154129604151559E-2</c:v>
                </c:pt>
                <c:pt idx="2">
                  <c:v>0.10933929111157369</c:v>
                </c:pt>
                <c:pt idx="3">
                  <c:v>0.21574308558185346</c:v>
                </c:pt>
                <c:pt idx="4">
                  <c:v>8.8440932255886701E-2</c:v>
                </c:pt>
                <c:pt idx="5">
                  <c:v>0.18076706886018806</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0.27070189671194095</c:v>
                </c:pt>
                <c:pt idx="1">
                  <c:v>2.0487680964614445E-2</c:v>
                </c:pt>
                <c:pt idx="2">
                  <c:v>0.23241536727246587</c:v>
                </c:pt>
                <c:pt idx="3">
                  <c:v>0.1772592592765706</c:v>
                </c:pt>
                <c:pt idx="4">
                  <c:v>0.36610497762277999</c:v>
                </c:pt>
                <c:pt idx="5">
                  <c:v>0.19506569564150772</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0.32654218431928611</c:v>
                </c:pt>
                <c:pt idx="1">
                  <c:v>0.13297056904243559</c:v>
                </c:pt>
                <c:pt idx="2">
                  <c:v>0.39403258937984492</c:v>
                </c:pt>
                <c:pt idx="3">
                  <c:v>0.13027685183926532</c:v>
                </c:pt>
                <c:pt idx="4">
                  <c:v>0.98399746521597586</c:v>
                </c:pt>
                <c:pt idx="5">
                  <c:v>0.22816196245889908</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7.8639015581433935E-2</c:v>
                </c:pt>
                <c:pt idx="1">
                  <c:v>2.9565932838214341E-2</c:v>
                </c:pt>
                <c:pt idx="2">
                  <c:v>0.13113488821649932</c:v>
                </c:pt>
                <c:pt idx="3">
                  <c:v>1.7348831700918774</c:v>
                </c:pt>
                <c:pt idx="4">
                  <c:v>0.333983211131828</c:v>
                </c:pt>
                <c:pt idx="5">
                  <c:v>0.28725532450037139</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0.11905078472622498</c:v>
                </c:pt>
                <c:pt idx="1">
                  <c:v>-8.4951910169006384E-2</c:v>
                </c:pt>
                <c:pt idx="2">
                  <c:v>2.2168903314061703</c:v>
                </c:pt>
                <c:pt idx="3">
                  <c:v>10.503933571606787</c:v>
                </c:pt>
                <c:pt idx="4">
                  <c:v>-0.91576426265985522</c:v>
                </c:pt>
                <c:pt idx="5">
                  <c:v>15.764960249476124</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-0.8</c:v>
                </c:pt>
                <c:pt idx="1">
                  <c:v>-0.28000000000000003</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194245120"/>
        <c:axId val="194434112"/>
      </c:lineChart>
      <c:catAx>
        <c:axId val="194245120"/>
        <c:scaling>
          <c:orientation val="minMax"/>
        </c:scaling>
        <c:delete val="0"/>
        <c:axPos val="b"/>
        <c:majorTickMark val="out"/>
        <c:minorTickMark val="none"/>
        <c:tickLblPos val="nextTo"/>
        <c:crossAx val="194434112"/>
        <c:crosses val="autoZero"/>
        <c:auto val="1"/>
        <c:lblAlgn val="ctr"/>
        <c:lblOffset val="100"/>
        <c:noMultiLvlLbl val="0"/>
      </c:catAx>
      <c:valAx>
        <c:axId val="194434112"/>
        <c:scaling>
          <c:orientation val="minMax"/>
        </c:scaling>
        <c:delete val="0"/>
        <c:axPos val="l"/>
        <c:majorGridlines/>
        <c:numFmt formatCode="0.00%" sourceLinked="1"/>
        <c:majorTickMark val="out"/>
        <c:minorTickMark val="none"/>
        <c:tickLblPos val="nextTo"/>
        <c:crossAx val="19424512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0.18638287154125796</c:v>
                </c:pt>
                <c:pt idx="1">
                  <c:v>0.16765007709960444</c:v>
                </c:pt>
                <c:pt idx="2">
                  <c:v>0.12368891487980024</c:v>
                </c:pt>
                <c:pt idx="3">
                  <c:v>7.9431481421302449E-2</c:v>
                </c:pt>
                <c:pt idx="4">
                  <c:v>7.0737596523572019E-2</c:v>
                </c:pt>
                <c:pt idx="5">
                  <c:v>0.2650391163530022</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2.3486361252408234E-2</c:v>
                </c:pt>
                <c:pt idx="1">
                  <c:v>1.248362203021313E-2</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0.65131927518622101</c:v>
                </c:pt>
                <c:pt idx="1">
                  <c:v>0.68845823223992286</c:v>
                </c:pt>
                <c:pt idx="2">
                  <c:v>0.72107826463444713</c:v>
                </c:pt>
                <c:pt idx="3">
                  <c:v>0.75486853381453356</c:v>
                </c:pt>
                <c:pt idx="4">
                  <c:v>0.6220809369317889</c:v>
                </c:pt>
                <c:pt idx="5">
                  <c:v>0.45786460770340337</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0.94405810349138974</c:v>
                </c:pt>
                <c:pt idx="1">
                  <c:v>0.75100049456547369</c:v>
                </c:pt>
                <c:pt idx="2">
                  <c:v>0.70354366240952571</c:v>
                </c:pt>
                <c:pt idx="3">
                  <c:v>1</c:v>
                </c:pt>
                <c:pt idx="4">
                  <c:v>1</c:v>
                </c:pt>
                <c:pt idx="5">
                  <c:v>1</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5.5941896508610298E-2</c:v>
                </c:pt>
                <c:pt idx="1">
                  <c:v>0.24899950543452634</c:v>
                </c:pt>
                <c:pt idx="2">
                  <c:v>0.29645633759047424</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194246656"/>
        <c:axId val="194436416"/>
      </c:lineChart>
      <c:catAx>
        <c:axId val="194246656"/>
        <c:scaling>
          <c:orientation val="minMax"/>
        </c:scaling>
        <c:delete val="0"/>
        <c:axPos val="b"/>
        <c:majorTickMark val="out"/>
        <c:minorTickMark val="none"/>
        <c:tickLblPos val="nextTo"/>
        <c:crossAx val="194436416"/>
        <c:crosses val="autoZero"/>
        <c:auto val="1"/>
        <c:lblAlgn val="ctr"/>
        <c:lblOffset val="100"/>
        <c:noMultiLvlLbl val="0"/>
      </c:catAx>
      <c:valAx>
        <c:axId val="194436416"/>
        <c:scaling>
          <c:orientation val="minMax"/>
        </c:scaling>
        <c:delete val="0"/>
        <c:axPos val="l"/>
        <c:majorGridlines/>
        <c:numFmt formatCode="0.00%" sourceLinked="1"/>
        <c:majorTickMark val="out"/>
        <c:minorTickMark val="none"/>
        <c:tickLblPos val="nextTo"/>
        <c:crossAx val="1942466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1.9395581830454343</c:v>
                </c:pt>
                <c:pt idx="1">
                  <c:v>1.8419105536218976</c:v>
                </c:pt>
                <c:pt idx="2">
                  <c:v>1.3639534974233432</c:v>
                </c:pt>
                <c:pt idx="3">
                  <c:v>1.330104201284283</c:v>
                </c:pt>
                <c:pt idx="4">
                  <c:v>1.2145050777754036</c:v>
                </c:pt>
                <c:pt idx="5">
                  <c:v>1.7526602783047824</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194248192"/>
        <c:axId val="194733760"/>
      </c:lineChart>
      <c:catAx>
        <c:axId val="194248192"/>
        <c:scaling>
          <c:orientation val="minMax"/>
        </c:scaling>
        <c:delete val="0"/>
        <c:axPos val="b"/>
        <c:majorTickMark val="out"/>
        <c:minorTickMark val="none"/>
        <c:tickLblPos val="nextTo"/>
        <c:crossAx val="194733760"/>
        <c:crosses val="autoZero"/>
        <c:auto val="1"/>
        <c:lblAlgn val="ctr"/>
        <c:lblOffset val="100"/>
        <c:noMultiLvlLbl val="0"/>
      </c:catAx>
      <c:valAx>
        <c:axId val="194733760"/>
        <c:scaling>
          <c:orientation val="minMax"/>
        </c:scaling>
        <c:delete val="0"/>
        <c:axPos val="l"/>
        <c:majorGridlines/>
        <c:numFmt formatCode="0.00%" sourceLinked="1"/>
        <c:majorTickMark val="out"/>
        <c:minorTickMark val="none"/>
        <c:tickLblPos val="nextTo"/>
        <c:crossAx val="194248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1011699382.3000001</c:v>
                </c:pt>
                <c:pt idx="1">
                  <c:v>798159068.22000003</c:v>
                </c:pt>
                <c:pt idx="2">
                  <c:v>546081549.03999996</c:v>
                </c:pt>
                <c:pt idx="3">
                  <c:v>296152955</c:v>
                </c:pt>
                <c:pt idx="4">
                  <c:v>117019801.84</c:v>
                </c:pt>
                <c:pt idx="5">
                  <c:v>446558631.75</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127485626.63</c:v>
                </c:pt>
                <c:pt idx="1">
                  <c:v>59432815.659999996</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3535406998.1700001</c:v>
                </c:pt>
                <c:pt idx="1">
                  <c:v>3277655403.8000007</c:v>
                </c:pt>
                <c:pt idx="2">
                  <c:v>3183531330.2999997</c:v>
                </c:pt>
                <c:pt idx="3">
                  <c:v>2814457730.4299994</c:v>
                </c:pt>
                <c:pt idx="4">
                  <c:v>1029096146.12</c:v>
                </c:pt>
                <c:pt idx="5">
                  <c:v>771446100.32000005</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5428070583.6000004</c:v>
                </c:pt>
                <c:pt idx="1">
                  <c:v>4760863114.5800009</c:v>
                </c:pt>
                <c:pt idx="2">
                  <c:v>4414959493.9099998</c:v>
                </c:pt>
                <c:pt idx="3">
                  <c:v>3728407801.2999992</c:v>
                </c:pt>
                <c:pt idx="4">
                  <c:v>1654280150.7399998</c:v>
                </c:pt>
                <c:pt idx="5">
                  <c:v>1684878209.2800002</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197820928"/>
        <c:axId val="194735488"/>
      </c:barChart>
      <c:catAx>
        <c:axId val="197820928"/>
        <c:scaling>
          <c:orientation val="minMax"/>
        </c:scaling>
        <c:delete val="0"/>
        <c:axPos val="b"/>
        <c:majorTickMark val="out"/>
        <c:minorTickMark val="none"/>
        <c:tickLblPos val="nextTo"/>
        <c:crossAx val="194735488"/>
        <c:crosses val="autoZero"/>
        <c:auto val="1"/>
        <c:lblAlgn val="ctr"/>
        <c:lblOffset val="100"/>
        <c:noMultiLvlLbl val="0"/>
      </c:catAx>
      <c:valAx>
        <c:axId val="194735488"/>
        <c:scaling>
          <c:orientation val="minMax"/>
        </c:scaling>
        <c:delete val="0"/>
        <c:axPos val="l"/>
        <c:majorGridlines/>
        <c:numFmt formatCode="#,##0.00_ " sourceLinked="1"/>
        <c:majorTickMark val="out"/>
        <c:minorTickMark val="none"/>
        <c:tickLblPos val="nextTo"/>
        <c:crossAx val="1978209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303762420</c:v>
                </c:pt>
                <c:pt idx="1">
                  <c:v>271446501.03999996</c:v>
                </c:pt>
                <c:pt idx="2">
                  <c:v>296647251.72000003</c:v>
                </c:pt>
                <c:pt idx="3">
                  <c:v>92215531.510000005</c:v>
                </c:pt>
                <c:pt idx="4">
                  <c:v>8016000</c:v>
                </c:pt>
                <c:pt idx="5">
                  <c:v>95161510.459999993</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18000000</c:v>
                </c:pt>
                <c:pt idx="1">
                  <c:v>90000000</c:v>
                </c:pt>
                <c:pt idx="2">
                  <c:v>125000000</c:v>
                </c:pt>
                <c:pt idx="3">
                  <c:v>0</c:v>
                </c:pt>
                <c:pt idx="4">
                  <c:v>0</c:v>
                </c:pt>
                <c:pt idx="5">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197822464"/>
        <c:axId val="194737792"/>
      </c:barChart>
      <c:catAx>
        <c:axId val="197822464"/>
        <c:scaling>
          <c:orientation val="minMax"/>
        </c:scaling>
        <c:delete val="0"/>
        <c:axPos val="b"/>
        <c:majorTickMark val="out"/>
        <c:minorTickMark val="none"/>
        <c:tickLblPos val="nextTo"/>
        <c:crossAx val="194737792"/>
        <c:crosses val="autoZero"/>
        <c:auto val="1"/>
        <c:lblAlgn val="ctr"/>
        <c:lblOffset val="100"/>
        <c:noMultiLvlLbl val="0"/>
      </c:catAx>
      <c:valAx>
        <c:axId val="194737792"/>
        <c:scaling>
          <c:orientation val="minMax"/>
        </c:scaling>
        <c:delete val="0"/>
        <c:axPos val="l"/>
        <c:majorGridlines/>
        <c:numFmt formatCode="#,##0.00_ " sourceLinked="1"/>
        <c:majorTickMark val="out"/>
        <c:minorTickMark val="none"/>
        <c:tickLblPos val="nextTo"/>
        <c:crossAx val="1978224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707936962.30000019</c:v>
                </c:pt>
                <c:pt idx="1">
                  <c:v>526712567.18000031</c:v>
                </c:pt>
                <c:pt idx="2">
                  <c:v>249434297.31999969</c:v>
                </c:pt>
                <c:pt idx="3">
                  <c:v>203937423.48999977</c:v>
                </c:pt>
                <c:pt idx="4">
                  <c:v>109003801.83999979</c:v>
                </c:pt>
                <c:pt idx="5">
                  <c:v>351397121.29000008</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-707936962.30000007</c:v>
                </c:pt>
                <c:pt idx="1">
                  <c:v>-526712567.18000007</c:v>
                </c:pt>
                <c:pt idx="2">
                  <c:v>-249434297.31999993</c:v>
                </c:pt>
                <c:pt idx="3">
                  <c:v>-203937423.49000001</c:v>
                </c:pt>
                <c:pt idx="4">
                  <c:v>-109003801.84</c:v>
                </c:pt>
                <c:pt idx="5">
                  <c:v>-351397121.29000002</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197697536"/>
        <c:axId val="194739520"/>
      </c:barChart>
      <c:catAx>
        <c:axId val="197697536"/>
        <c:scaling>
          <c:orientation val="minMax"/>
        </c:scaling>
        <c:delete val="0"/>
        <c:axPos val="b"/>
        <c:majorTickMark val="out"/>
        <c:minorTickMark val="none"/>
        <c:tickLblPos val="nextTo"/>
        <c:crossAx val="194739520"/>
        <c:crosses val="autoZero"/>
        <c:auto val="1"/>
        <c:lblAlgn val="ctr"/>
        <c:lblOffset val="100"/>
        <c:noMultiLvlLbl val="0"/>
      </c:catAx>
      <c:valAx>
        <c:axId val="194739520"/>
        <c:scaling>
          <c:orientation val="minMax"/>
        </c:scaling>
        <c:delete val="0"/>
        <c:axPos val="l"/>
        <c:majorGridlines/>
        <c:numFmt formatCode="#,##0.00_ " sourceLinked="1"/>
        <c:majorTickMark val="out"/>
        <c:minorTickMark val="none"/>
        <c:tickLblPos val="nextTo"/>
        <c:crossAx val="1976975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0.70418487254451023</c:v>
                </c:pt>
                <c:pt idx="1">
                  <c:v>0.66203518297954123</c:v>
                </c:pt>
                <c:pt idx="2">
                  <c:v>0.68997736773181984</c:v>
                </c:pt>
                <c:pt idx="3">
                  <c:v>0.70142293952839196</c:v>
                </c:pt>
                <c:pt idx="4">
                  <c:v>0.77044740128220501</c:v>
                </c:pt>
                <c:pt idx="5">
                  <c:v>0.74917908330728744</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0.29581512745548982</c:v>
                </c:pt>
                <c:pt idx="1">
                  <c:v>0.33796481702045877</c:v>
                </c:pt>
                <c:pt idx="2">
                  <c:v>0.31002263226818011</c:v>
                </c:pt>
                <c:pt idx="3">
                  <c:v>0.29857706047160804</c:v>
                </c:pt>
                <c:pt idx="4">
                  <c:v>0.22955259871779499</c:v>
                </c:pt>
                <c:pt idx="5">
                  <c:v>0.25082091669271261</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7.5889650560409336E-3</c:v>
                </c:pt>
                <c:pt idx="1">
                  <c:v>8.1470504819672347E-3</c:v>
                </c:pt>
                <c:pt idx="2">
                  <c:v>8.3187640290299583E-3</c:v>
                </c:pt>
                <c:pt idx="3">
                  <c:v>7.0945356813724852E-3</c:v>
                </c:pt>
                <c:pt idx="4">
                  <c:v>4.3656922222353491E-3</c:v>
                </c:pt>
                <c:pt idx="5">
                  <c:v>4.6583858122278762E-3</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5.3326919673011314E-2</c:v>
                </c:pt>
                <c:pt idx="1">
                  <c:v>5.0733984074694066E-2</c:v>
                </c:pt>
                <c:pt idx="2">
                  <c:v>4.8426031382103954E-2</c:v>
                </c:pt>
                <c:pt idx="3">
                  <c:v>5.0720300370752633E-2</c:v>
                </c:pt>
                <c:pt idx="4">
                  <c:v>6.0618316632299218E-2</c:v>
                </c:pt>
                <c:pt idx="5">
                  <c:v>6.3261186310451814E-2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0.10258564351994318</c:v>
                </c:pt>
                <c:pt idx="1">
                  <c:v>0.10264993359906215</c:v>
                </c:pt>
                <c:pt idx="2">
                  <c:v>8.8585871121782456E-2</c:v>
                </c:pt>
                <c:pt idx="3">
                  <c:v>9.5337584797471994E-2</c:v>
                </c:pt>
                <c:pt idx="4">
                  <c:v>7.9862856466823937E-2</c:v>
                </c:pt>
                <c:pt idx="5">
                  <c:v>7.3614362701020369E-2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3.5424406207468289E-3</c:v>
                </c:pt>
                <c:pt idx="1">
                  <c:v>-1.9892800907294944E-4</c:v>
                </c:pt>
                <c:pt idx="2">
                  <c:v>1.0366811613328572E-2</c:v>
                </c:pt>
                <c:pt idx="3">
                  <c:v>6.1160901742517825E-3</c:v>
                </c:pt>
                <c:pt idx="4">
                  <c:v>6.6762221718769119E-3</c:v>
                </c:pt>
                <c:pt idx="5">
                  <c:v>2.1136596044723757E-3</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2.0488005175381273E-3</c:v>
                </c:pt>
                <c:pt idx="1">
                  <c:v>4.2499352040264386E-4</c:v>
                </c:pt>
                <c:pt idx="2">
                  <c:v>8.3278720599874474E-4</c:v>
                </c:pt>
                <c:pt idx="3">
                  <c:v>8.3899292099488918E-4</c:v>
                </c:pt>
                <c:pt idx="4">
                  <c:v>6.2220350959640814E-4</c:v>
                </c:pt>
                <c:pt idx="5">
                  <c:v>1.3533311456507893E-4</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2.3309228974687161E-3</c:v>
                </c:pt>
                <c:pt idx="1">
                  <c:v>1.5686536178070966E-3</c:v>
                </c:pt>
                <c:pt idx="2">
                  <c:v>4.3473129511542195E-3</c:v>
                </c:pt>
                <c:pt idx="3">
                  <c:v>-3.8579208786302624E-4</c:v>
                </c:pt>
                <c:pt idx="4">
                  <c:v>1.7468706590459424E-3</c:v>
                </c:pt>
                <c:pt idx="5">
                  <c:v>-3.7708248550554729E-3</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0.1714236922847491</c:v>
                </c:pt>
                <c:pt idx="1">
                  <c:v>0.16332568728486022</c:v>
                </c:pt>
                <c:pt idx="2">
                  <c:v>0.16087757830339794</c:v>
                </c:pt>
                <c:pt idx="3">
                  <c:v>0.15972171185698078</c:v>
                </c:pt>
                <c:pt idx="4">
                  <c:v>0.15389216166187775</c:v>
                </c:pt>
                <c:pt idx="5">
                  <c:v>0.14001210268768202</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0.10481854707692559</c:v>
                </c:pt>
                <c:pt idx="1">
                  <c:v>0.15178455719668479</c:v>
                </c:pt>
                <c:pt idx="2">
                  <c:v>0.13900760945483567</c:v>
                </c:pt>
                <c:pt idx="3">
                  <c:v>0.12286860881053902</c:v>
                </c:pt>
                <c:pt idx="4">
                  <c:v>6.5262427674836213E-2</c:v>
                </c:pt>
                <c:pt idx="5">
                  <c:v>8.7060498811348849E-2</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197700096"/>
        <c:axId val="197575808"/>
      </c:lineChart>
      <c:catAx>
        <c:axId val="197700096"/>
        <c:scaling>
          <c:orientation val="minMax"/>
        </c:scaling>
        <c:delete val="0"/>
        <c:axPos val="b"/>
        <c:majorTickMark val="out"/>
        <c:minorTickMark val="none"/>
        <c:tickLblPos val="nextTo"/>
        <c:crossAx val="197575808"/>
        <c:crosses val="autoZero"/>
        <c:auto val="1"/>
        <c:lblAlgn val="ctr"/>
        <c:lblOffset val="100"/>
        <c:noMultiLvlLbl val="0"/>
      </c:catAx>
      <c:valAx>
        <c:axId val="197575808"/>
        <c:scaling>
          <c:orientation val="minMax"/>
        </c:scaling>
        <c:delete val="0"/>
        <c:axPos val="l"/>
        <c:majorGridlines/>
        <c:numFmt formatCode="0.00%" sourceLinked="1"/>
        <c:majorTickMark val="out"/>
        <c:minorTickMark val="none"/>
        <c:tickLblPos val="nextTo"/>
        <c:crossAx val="197700096"/>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0.4682118664982986</c:v>
                </c:pt>
                <c:pt idx="1">
                  <c:v>0.99951013762153873</c:v>
                </c:pt>
                <c:pt idx="2">
                  <c:v>0.99150518649296382</c:v>
                </c:pt>
                <c:pt idx="3">
                  <c:v>0.99168377926027695</c:v>
                </c:pt>
                <c:pt idx="4">
                  <c:v>0.93232078016077069</c:v>
                </c:pt>
                <c:pt idx="5">
                  <c:v>0.8435934153840926</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-1.6022113027340783E-3</c:v>
                </c:pt>
                <c:pt idx="1">
                  <c:v>-9.2273238747086735E-4</c:v>
                </c:pt>
                <c:pt idx="2">
                  <c:v>0</c:v>
                </c:pt>
                <c:pt idx="3">
                  <c:v>0</c:v>
                </c:pt>
                <c:pt idx="4">
                  <c:v>0</c:v>
                </c:pt>
                <c:pt idx="5">
                  <c:v>1.9978683066840489E-2</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0.53339034480443537</c:v>
                </c:pt>
                <c:pt idx="1">
                  <c:v>1.4125947659321756E-3</c:v>
                </c:pt>
                <c:pt idx="2">
                  <c:v>8.4948135070361877E-3</c:v>
                </c:pt>
                <c:pt idx="3">
                  <c:v>8.3162207397230112E-3</c:v>
                </c:pt>
                <c:pt idx="4">
                  <c:v>6.767921983922931E-2</c:v>
                </c:pt>
                <c:pt idx="5">
                  <c:v>0.13642790154906698</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194842624"/>
        <c:axId val="197578112"/>
      </c:lineChart>
      <c:catAx>
        <c:axId val="194842624"/>
        <c:scaling>
          <c:orientation val="minMax"/>
        </c:scaling>
        <c:delete val="0"/>
        <c:axPos val="b"/>
        <c:majorTickMark val="out"/>
        <c:minorTickMark val="none"/>
        <c:tickLblPos val="nextTo"/>
        <c:crossAx val="197578112"/>
        <c:crosses val="autoZero"/>
        <c:auto val="1"/>
        <c:lblAlgn val="ctr"/>
        <c:lblOffset val="100"/>
        <c:noMultiLvlLbl val="0"/>
      </c:catAx>
      <c:valAx>
        <c:axId val="197578112"/>
        <c:scaling>
          <c:orientation val="minMax"/>
        </c:scaling>
        <c:delete val="0"/>
        <c:axPos val="l"/>
        <c:majorGridlines/>
        <c:numFmt formatCode="0.00%" sourceLinked="1"/>
        <c:majorTickMark val="out"/>
        <c:minorTickMark val="none"/>
        <c:tickLblPos val="nextTo"/>
        <c:crossAx val="1948426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0.21859455351532417</c:v>
                </c:pt>
                <c:pt idx="1">
                  <c:v>0.14651943285139848</c:v>
                </c:pt>
                <c:pt idx="2">
                  <c:v>0.13470015150764739</c:v>
                </c:pt>
                <c:pt idx="3">
                  <c:v>0.12253706284093099</c:v>
                </c:pt>
                <c:pt idx="4">
                  <c:v>6.6037247771430524E-2</c:v>
                </c:pt>
                <c:pt idx="5">
                  <c:v>0.10042568955882833</c:v>
                </c:pt>
                <c:pt idx="6">
                  <c:v>0.14031219842322906</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194843648"/>
        <c:axId val="197580416"/>
      </c:lineChart>
      <c:catAx>
        <c:axId val="194843648"/>
        <c:scaling>
          <c:orientation val="minMax"/>
        </c:scaling>
        <c:delete val="0"/>
        <c:axPos val="b"/>
        <c:majorTickMark val="out"/>
        <c:minorTickMark val="none"/>
        <c:tickLblPos val="nextTo"/>
        <c:crossAx val="197580416"/>
        <c:crosses val="autoZero"/>
        <c:auto val="1"/>
        <c:lblAlgn val="ctr"/>
        <c:lblOffset val="100"/>
        <c:noMultiLvlLbl val="0"/>
      </c:catAx>
      <c:valAx>
        <c:axId val="197580416"/>
        <c:scaling>
          <c:orientation val="minMax"/>
        </c:scaling>
        <c:delete val="0"/>
        <c:axPos val="l"/>
        <c:majorGridlines/>
        <c:numFmt formatCode="0.00%" sourceLinked="1"/>
        <c:majorTickMark val="out"/>
        <c:minorTickMark val="none"/>
        <c:tickLblPos val="nextTo"/>
        <c:crossAx val="1948436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0.4682118664982986</c:v>
                </c:pt>
                <c:pt idx="1">
                  <c:v>0.99951013762153873</c:v>
                </c:pt>
                <c:pt idx="2">
                  <c:v>0.99150518649296382</c:v>
                </c:pt>
                <c:pt idx="3">
                  <c:v>0.99168377926027695</c:v>
                </c:pt>
                <c:pt idx="4">
                  <c:v>0.93232078016077069</c:v>
                </c:pt>
                <c:pt idx="5">
                  <c:v>0.8435934153840926</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-1.6022113027340783E-3</c:v>
                </c:pt>
                <c:pt idx="1">
                  <c:v>-9.2273238747086735E-4</c:v>
                </c:pt>
                <c:pt idx="2">
                  <c:v>0</c:v>
                </c:pt>
                <c:pt idx="3">
                  <c:v>0</c:v>
                </c:pt>
                <c:pt idx="4">
                  <c:v>0</c:v>
                </c:pt>
                <c:pt idx="5">
                  <c:v>1.9978683066840489E-2</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0.53339034480443537</c:v>
                </c:pt>
                <c:pt idx="1">
                  <c:v>1.4125947659321756E-3</c:v>
                </c:pt>
                <c:pt idx="2">
                  <c:v>8.4948135070361877E-3</c:v>
                </c:pt>
                <c:pt idx="3">
                  <c:v>8.3162207397230112E-3</c:v>
                </c:pt>
                <c:pt idx="4">
                  <c:v>6.767921983922931E-2</c:v>
                </c:pt>
                <c:pt idx="5">
                  <c:v>0.13642790154906698</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194844672"/>
        <c:axId val="197582144"/>
      </c:lineChart>
      <c:catAx>
        <c:axId val="194844672"/>
        <c:scaling>
          <c:orientation val="minMax"/>
        </c:scaling>
        <c:delete val="0"/>
        <c:axPos val="b"/>
        <c:majorTickMark val="out"/>
        <c:minorTickMark val="none"/>
        <c:tickLblPos val="nextTo"/>
        <c:crossAx val="197582144"/>
        <c:crosses val="autoZero"/>
        <c:auto val="1"/>
        <c:lblAlgn val="ctr"/>
        <c:lblOffset val="100"/>
        <c:noMultiLvlLbl val="0"/>
      </c:catAx>
      <c:valAx>
        <c:axId val="197582144"/>
        <c:scaling>
          <c:orientation val="minMax"/>
        </c:scaling>
        <c:delete val="0"/>
        <c:axPos val="l"/>
        <c:majorGridlines/>
        <c:numFmt formatCode="0.00%" sourceLinked="1"/>
        <c:majorTickMark val="out"/>
        <c:minorTickMark val="none"/>
        <c:tickLblPos val="nextTo"/>
        <c:crossAx val="194844672"/>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2.3564371363979597E-2</c:v>
                </c:pt>
                <c:pt idx="1">
                  <c:v>3.5161012435791172E-2</c:v>
                </c:pt>
                <c:pt idx="2">
                  <c:v>3.9218792661754098E-2</c:v>
                </c:pt>
                <c:pt idx="3">
                  <c:v>1.0992158583590039E-2</c:v>
                </c:pt>
                <c:pt idx="4">
                  <c:v>5.6610356747892387E-2</c:v>
                </c:pt>
                <c:pt idx="5">
                  <c:v>2.690138921888352E-2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194846208"/>
        <c:axId val="198665920"/>
      </c:lineChart>
      <c:catAx>
        <c:axId val="194846208"/>
        <c:scaling>
          <c:orientation val="minMax"/>
        </c:scaling>
        <c:delete val="0"/>
        <c:axPos val="b"/>
        <c:majorTickMark val="out"/>
        <c:minorTickMark val="none"/>
        <c:tickLblPos val="nextTo"/>
        <c:crossAx val="198665920"/>
        <c:crosses val="autoZero"/>
        <c:auto val="1"/>
        <c:lblAlgn val="ctr"/>
        <c:lblOffset val="100"/>
        <c:noMultiLvlLbl val="0"/>
      </c:catAx>
      <c:valAx>
        <c:axId val="198665920"/>
        <c:scaling>
          <c:orientation val="minMax"/>
        </c:scaling>
        <c:delete val="0"/>
        <c:axPos val="l"/>
        <c:majorGridlines/>
        <c:numFmt formatCode="0.00%" sourceLinked="1"/>
        <c:majorTickMark val="out"/>
        <c:minorTickMark val="none"/>
        <c:tickLblPos val="nextTo"/>
        <c:crossAx val="1948462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3490821643.5799999</c:v>
                </c:pt>
                <c:pt idx="1">
                  <c:v>3455902430.25</c:v>
                </c:pt>
                <c:pt idx="2">
                  <c:v>3025827440.4899998</c:v>
                </c:pt>
                <c:pt idx="3">
                  <c:v>1712230060.6500001</c:v>
                </c:pt>
                <c:pt idx="4">
                  <c:v>1227431183.24</c:v>
                </c:pt>
                <c:pt idx="5">
                  <c:v>928899703.54999995</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2458183794.1599998</c:v>
                </c:pt>
                <c:pt idx="1">
                  <c:v>2287928997.77</c:v>
                </c:pt>
                <c:pt idx="2">
                  <c:v>2087752452.5999999</c:v>
                </c:pt>
                <c:pt idx="3">
                  <c:v>1200997442.29</c:v>
                </c:pt>
                <c:pt idx="4">
                  <c:v>945671165.38</c:v>
                </c:pt>
                <c:pt idx="5">
                  <c:v>695912228.38999999</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1032637849.4200001</c:v>
                </c:pt>
                <c:pt idx="1">
                  <c:v>1167973432.48</c:v>
                </c:pt>
                <c:pt idx="2">
                  <c:v>938074987.88999987</c:v>
                </c:pt>
                <c:pt idx="3">
                  <c:v>511232618.36000013</c:v>
                </c:pt>
                <c:pt idx="4">
                  <c:v>281760017.86000001</c:v>
                </c:pt>
                <c:pt idx="5">
                  <c:v>232987475.15999997</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198459904"/>
        <c:axId val="198667648"/>
      </c:barChart>
      <c:catAx>
        <c:axId val="198459904"/>
        <c:scaling>
          <c:orientation val="minMax"/>
        </c:scaling>
        <c:delete val="0"/>
        <c:axPos val="b"/>
        <c:majorTickMark val="out"/>
        <c:minorTickMark val="none"/>
        <c:tickLblPos val="nextTo"/>
        <c:crossAx val="198667648"/>
        <c:crosses val="autoZero"/>
        <c:auto val="1"/>
        <c:lblAlgn val="ctr"/>
        <c:lblOffset val="100"/>
        <c:noMultiLvlLbl val="0"/>
      </c:catAx>
      <c:valAx>
        <c:axId val="198667648"/>
        <c:scaling>
          <c:orientation val="minMax"/>
        </c:scaling>
        <c:delete val="0"/>
        <c:axPos val="l"/>
        <c:majorGridlines/>
        <c:numFmt formatCode="#,##0.00_ " sourceLinked="1"/>
        <c:majorTickMark val="out"/>
        <c:minorTickMark val="none"/>
        <c:tickLblPos val="nextTo"/>
        <c:crossAx val="1984599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-1.2092409950450271E-2</c:v>
                </c:pt>
                <c:pt idx="1">
                  <c:v>-9.5432857033850987E-3</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198460416"/>
        <c:axId val="198669952"/>
      </c:lineChart>
      <c:catAx>
        <c:axId val="198460416"/>
        <c:scaling>
          <c:orientation val="minMax"/>
        </c:scaling>
        <c:delete val="0"/>
        <c:axPos val="b"/>
        <c:majorTickMark val="out"/>
        <c:minorTickMark val="none"/>
        <c:tickLblPos val="nextTo"/>
        <c:crossAx val="198669952"/>
        <c:crosses val="autoZero"/>
        <c:auto val="1"/>
        <c:lblAlgn val="ctr"/>
        <c:lblOffset val="100"/>
        <c:noMultiLvlLbl val="0"/>
      </c:catAx>
      <c:valAx>
        <c:axId val="198669952"/>
        <c:scaling>
          <c:orientation val="minMax"/>
        </c:scaling>
        <c:delete val="0"/>
        <c:axPos val="l"/>
        <c:majorGridlines/>
        <c:numFmt formatCode="0.00%" sourceLinked="1"/>
        <c:majorTickMark val="out"/>
        <c:minorTickMark val="none"/>
        <c:tickLblPos val="nextTo"/>
        <c:crossAx val="1984604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0.41127571049016937</c:v>
                </c:pt>
                <c:pt idx="1">
                  <c:v>1.0154888923091523E-3</c:v>
                </c:pt>
                <c:pt idx="2">
                  <c:v>6.660344178716881E-3</c:v>
                </c:pt>
                <c:pt idx="3">
                  <c:v>5.9482009498476058E-3</c:v>
                </c:pt>
                <c:pt idx="4">
                  <c:v>4.9692517425603329E-2</c:v>
                </c:pt>
                <c:pt idx="5">
                  <c:v>2.9287446267382083E-2</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01933312"/>
        <c:axId val="198671680"/>
      </c:lineChart>
      <c:catAx>
        <c:axId val="201933312"/>
        <c:scaling>
          <c:orientation val="minMax"/>
        </c:scaling>
        <c:delete val="0"/>
        <c:axPos val="b"/>
        <c:majorTickMark val="out"/>
        <c:minorTickMark val="none"/>
        <c:tickLblPos val="nextTo"/>
        <c:crossAx val="198671680"/>
        <c:crosses val="autoZero"/>
        <c:auto val="1"/>
        <c:lblAlgn val="ctr"/>
        <c:lblOffset val="100"/>
        <c:noMultiLvlLbl val="0"/>
      </c:catAx>
      <c:valAx>
        <c:axId val="198671680"/>
        <c:scaling>
          <c:orientation val="minMax"/>
        </c:scaling>
        <c:delete val="0"/>
        <c:axPos val="l"/>
        <c:majorGridlines/>
        <c:numFmt formatCode="0.00%" sourceLinked="1"/>
        <c:majorTickMark val="out"/>
        <c:minorTickMark val="none"/>
        <c:tickLblPos val="nextTo"/>
        <c:crossAx val="2019333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4.6329408060880679</c:v>
                </c:pt>
                <c:pt idx="1">
                  <c:v>5.5240009629781959</c:v>
                </c:pt>
                <c:pt idx="2">
                  <c:v>4.4150323006825714</c:v>
                </c:pt>
                <c:pt idx="3">
                  <c:v>2.7715086663018624</c:v>
                </c:pt>
                <c:pt idx="4">
                  <c:v>2.4154223704171329</c:v>
                </c:pt>
                <c:pt idx="5">
                  <c:v>1.9896176349554768</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0.98738890469666474</c:v>
                </c:pt>
                <c:pt idx="1">
                  <c:v>1.0543824790865282</c:v>
                </c:pt>
                <c:pt idx="2">
                  <c:v>0.95046259218214169</c:v>
                </c:pt>
                <c:pt idx="3">
                  <c:v>0.60836943548212452</c:v>
                </c:pt>
                <c:pt idx="4">
                  <c:v>1.1927274121740543</c:v>
                </c:pt>
                <c:pt idx="5">
                  <c:v>1.2041018849725047</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3.4504534693339011</c:v>
                </c:pt>
                <c:pt idx="1">
                  <c:v>4.3298417168361167</c:v>
                </c:pt>
                <c:pt idx="2">
                  <c:v>5.5409809135821231</c:v>
                </c:pt>
                <c:pt idx="3">
                  <c:v>5.7815734462281494</c:v>
                </c:pt>
                <c:pt idx="4">
                  <c:v>10.489089572363611</c:v>
                </c:pt>
                <c:pt idx="5">
                  <c:v>2.0801293212265848</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27.382080128227866</c:v>
                </c:pt>
                <c:pt idx="1">
                  <c:v>58.148051575081645</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01934336"/>
        <c:axId val="198567040"/>
      </c:lineChart>
      <c:catAx>
        <c:axId val="201934336"/>
        <c:scaling>
          <c:orientation val="minMax"/>
        </c:scaling>
        <c:delete val="0"/>
        <c:axPos val="b"/>
        <c:majorTickMark val="out"/>
        <c:minorTickMark val="none"/>
        <c:tickLblPos val="nextTo"/>
        <c:crossAx val="198567040"/>
        <c:crosses val="autoZero"/>
        <c:auto val="1"/>
        <c:lblAlgn val="ctr"/>
        <c:lblOffset val="100"/>
        <c:noMultiLvlLbl val="0"/>
      </c:catAx>
      <c:valAx>
        <c:axId val="198567040"/>
        <c:scaling>
          <c:orientation val="minMax"/>
        </c:scaling>
        <c:delete val="0"/>
        <c:axPos val="l"/>
        <c:majorGridlines/>
        <c:numFmt formatCode="#,##0.00_ " sourceLinked="1"/>
        <c:majorTickMark val="out"/>
        <c:minorTickMark val="none"/>
        <c:tickLblPos val="nextTo"/>
        <c:crossAx val="2019343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2.0988330261987191</c:v>
                </c:pt>
                <c:pt idx="1">
                  <c:v>2.3433744126492879</c:v>
                </c:pt>
                <c:pt idx="2">
                  <c:v>2.1806367960917146</c:v>
                </c:pt>
                <c:pt idx="3">
                  <c:v>1.3059797897413687</c:v>
                </c:pt>
                <c:pt idx="4">
                  <c:v>1.1927274121740543</c:v>
                </c:pt>
                <c:pt idx="5">
                  <c:v>6.4529025470093537E-2</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2.9515497717911332</c:v>
                </c:pt>
                <c:pt idx="1">
                  <c:v>3.1688974404538524</c:v>
                </c:pt>
                <c:pt idx="2">
                  <c:v>2.9437770285671343</c:v>
                </c:pt>
                <c:pt idx="3">
                  <c:v>1.7689496914896394</c:v>
                </c:pt>
                <c:pt idx="4">
                  <c:v>1.7461299344840917</c:v>
                </c:pt>
                <c:pt idx="5">
                  <c:v>1.7158259513105503</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182.00851392883808</c:v>
                </c:pt>
                <c:pt idx="1">
                  <c:v>125.3307362073387</c:v>
                </c:pt>
                <c:pt idx="2">
                  <c:v>53.320167389578906</c:v>
                </c:pt>
                <c:pt idx="3">
                  <c:v>56.040323649593809</c:v>
                </c:pt>
                <c:pt idx="4">
                  <c:v>7.8521372997279713</c:v>
                </c:pt>
                <c:pt idx="5">
                  <c:v>7.7589561899819248</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21.004317078588048</c:v>
                </c:pt>
                <c:pt idx="1">
                  <c:v>19.83737361391724</c:v>
                </c:pt>
                <c:pt idx="2">
                  <c:v>15.55132439460335</c:v>
                </c:pt>
                <c:pt idx="3">
                  <c:v>8.0576311137360861</c:v>
                </c:pt>
                <c:pt idx="4">
                  <c:v>16.434368578601241</c:v>
                </c:pt>
                <c:pt idx="5">
                  <c:v>28.146050451751236</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199462912"/>
        <c:axId val="198569344"/>
      </c:lineChart>
      <c:catAx>
        <c:axId val="199462912"/>
        <c:scaling>
          <c:orientation val="minMax"/>
        </c:scaling>
        <c:delete val="0"/>
        <c:axPos val="b"/>
        <c:majorTickMark val="out"/>
        <c:minorTickMark val="none"/>
        <c:tickLblPos val="nextTo"/>
        <c:crossAx val="198569344"/>
        <c:crosses val="autoZero"/>
        <c:auto val="1"/>
        <c:lblAlgn val="ctr"/>
        <c:lblOffset val="100"/>
        <c:noMultiLvlLbl val="0"/>
      </c:catAx>
      <c:valAx>
        <c:axId val="198569344"/>
        <c:scaling>
          <c:orientation val="minMax"/>
        </c:scaling>
        <c:delete val="0"/>
        <c:axPos val="l"/>
        <c:majorGridlines/>
        <c:numFmt formatCode="#,##0.00_ " sourceLinked="1"/>
        <c:majorTickMark val="out"/>
        <c:minorTickMark val="none"/>
        <c:tickLblPos val="nextTo"/>
        <c:crossAx val="199462912"/>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3.7053002122235328</c:v>
                </c:pt>
                <c:pt idx="1">
                  <c:v>4.3288151445780283</c:v>
                </c:pt>
                <c:pt idx="2">
                  <c:v>4.5708953103913217</c:v>
                </c:pt>
                <c:pt idx="3">
                  <c:v>3.5035364600893959</c:v>
                </c:pt>
                <c:pt idx="4">
                  <c:v>3.3145425352393501</c:v>
                </c:pt>
                <c:pt idx="5">
                  <c:v>3.2539617035004409</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5.5406251486374849</c:v>
                </c:pt>
                <c:pt idx="1">
                  <c:v>5.7108019247176269</c:v>
                </c:pt>
                <c:pt idx="2">
                  <c:v>5.1030168427967961</c:v>
                </c:pt>
                <c:pt idx="3">
                  <c:v>2.8509857793242426</c:v>
                </c:pt>
                <c:pt idx="4">
                  <c:v>2.5486005279766752</c:v>
                </c:pt>
                <c:pt idx="5">
                  <c:v>2.4370120159485409</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4.3899733574025035</c:v>
                </c:pt>
                <c:pt idx="1">
                  <c:v>4.6029733460470963</c:v>
                </c:pt>
                <c:pt idx="2">
                  <c:v>5.4352863276908421</c:v>
                </c:pt>
                <c:pt idx="3">
                  <c:v>3.6711920828995481</c:v>
                </c:pt>
                <c:pt idx="4">
                  <c:v>3.7132459901196122</c:v>
                </c:pt>
                <c:pt idx="5">
                  <c:v>5.0490135765015864</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01935872"/>
        <c:axId val="198571648"/>
      </c:lineChart>
      <c:catAx>
        <c:axId val="201935872"/>
        <c:scaling>
          <c:orientation val="minMax"/>
        </c:scaling>
        <c:delete val="0"/>
        <c:axPos val="b"/>
        <c:majorTickMark val="out"/>
        <c:minorTickMark val="none"/>
        <c:tickLblPos val="nextTo"/>
        <c:crossAx val="198571648"/>
        <c:crosses val="autoZero"/>
        <c:auto val="1"/>
        <c:lblAlgn val="ctr"/>
        <c:lblOffset val="100"/>
        <c:noMultiLvlLbl val="0"/>
      </c:catAx>
      <c:valAx>
        <c:axId val="198571648"/>
        <c:scaling>
          <c:orientation val="minMax"/>
        </c:scaling>
        <c:delete val="0"/>
        <c:axPos val="l"/>
        <c:majorGridlines/>
        <c:numFmt formatCode="#,##0.00_ " sourceLinked="1"/>
        <c:majorTickMark val="out"/>
        <c:minorTickMark val="none"/>
        <c:tickLblPos val="nextTo"/>
        <c:crossAx val="2019358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0.10503940441560113</c:v>
                </c:pt>
                <c:pt idx="1">
                  <c:v>0.15740080159887304</c:v>
                </c:pt>
                <c:pt idx="2">
                  <c:v>0.12344551607612109</c:v>
                </c:pt>
                <c:pt idx="3">
                  <c:v>6.8885086611466209E-2</c:v>
                </c:pt>
                <c:pt idx="4">
                  <c:v>6.3200945038048406E-2</c:v>
                </c:pt>
                <c:pt idx="5">
                  <c:v>7.7463717800000664E-2</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199464448"/>
        <c:axId val="202047488"/>
      </c:lineChart>
      <c:catAx>
        <c:axId val="199464448"/>
        <c:scaling>
          <c:orientation val="minMax"/>
        </c:scaling>
        <c:delete val="0"/>
        <c:axPos val="b"/>
        <c:majorTickMark val="out"/>
        <c:minorTickMark val="none"/>
        <c:tickLblPos val="nextTo"/>
        <c:crossAx val="202047488"/>
        <c:crosses val="autoZero"/>
        <c:auto val="1"/>
        <c:lblAlgn val="ctr"/>
        <c:lblOffset val="100"/>
        <c:noMultiLvlLbl val="0"/>
      </c:catAx>
      <c:valAx>
        <c:axId val="202047488"/>
        <c:scaling>
          <c:orientation val="minMax"/>
        </c:scaling>
        <c:delete val="0"/>
        <c:axPos val="l"/>
        <c:majorGridlines/>
        <c:numFmt formatCode="0.00%" sourceLinked="1"/>
        <c:majorTickMark val="out"/>
        <c:minorTickMark val="none"/>
        <c:tickLblPos val="nextTo"/>
        <c:crossAx val="1994644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0.12905328096567811</c:v>
                </c:pt>
                <c:pt idx="1">
                  <c:v>0.17777643697121268</c:v>
                </c:pt>
                <c:pt idx="2">
                  <c:v>0.15783967986709066</c:v>
                </c:pt>
                <c:pt idx="3">
                  <c:v>0.13808376443890119</c:v>
                </c:pt>
                <c:pt idx="4">
                  <c:v>7.9154178374009093E-2</c:v>
                </c:pt>
                <c:pt idx="5">
                  <c:v>0.10326716429491961</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199466496"/>
        <c:axId val="202049216"/>
      </c:lineChart>
      <c:catAx>
        <c:axId val="199466496"/>
        <c:scaling>
          <c:orientation val="minMax"/>
        </c:scaling>
        <c:delete val="0"/>
        <c:axPos val="b"/>
        <c:majorTickMark val="out"/>
        <c:minorTickMark val="none"/>
        <c:tickLblPos val="nextTo"/>
        <c:crossAx val="202049216"/>
        <c:crosses val="autoZero"/>
        <c:auto val="1"/>
        <c:lblAlgn val="ctr"/>
        <c:lblOffset val="100"/>
        <c:noMultiLvlLbl val="0"/>
      </c:catAx>
      <c:valAx>
        <c:axId val="202049216"/>
        <c:scaling>
          <c:orientation val="minMax"/>
        </c:scaling>
        <c:delete val="0"/>
        <c:axPos val="l"/>
        <c:majorGridlines/>
        <c:numFmt formatCode="0.00%" sourceLinked="1"/>
        <c:majorTickMark val="out"/>
        <c:minorTickMark val="none"/>
        <c:tickLblPos val="nextTo"/>
        <c:crossAx val="1994664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763074598.58000016</c:v>
                </c:pt>
                <c:pt idx="1">
                  <c:v>506356864.06999975</c:v>
                </c:pt>
                <c:pt idx="2">
                  <c:v>407579414.66999984</c:v>
                </c:pt>
                <c:pt idx="3">
                  <c:v>209811642.54000014</c:v>
                </c:pt>
                <c:pt idx="4">
                  <c:v>81056177.170000017</c:v>
                </c:pt>
                <c:pt idx="5">
                  <c:v>93285393.259999961</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5097149218.7000008</c:v>
                </c:pt>
                <c:pt idx="1">
                  <c:v>4399416613.54</c:v>
                </c:pt>
                <c:pt idx="2">
                  <c:v>3993312242.1900001</c:v>
                </c:pt>
                <c:pt idx="3">
                  <c:v>3636192269.79</c:v>
                </c:pt>
                <c:pt idx="4">
                  <c:v>1646264150.74</c:v>
                </c:pt>
                <c:pt idx="5">
                  <c:v>1589716698.8200002</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01995776"/>
        <c:axId val="202052096"/>
      </c:barChart>
      <c:catAx>
        <c:axId val="201995776"/>
        <c:scaling>
          <c:orientation val="minMax"/>
        </c:scaling>
        <c:delete val="0"/>
        <c:axPos val="b"/>
        <c:majorTickMark val="out"/>
        <c:minorTickMark val="none"/>
        <c:tickLblPos val="nextTo"/>
        <c:crossAx val="202052096"/>
        <c:crosses val="autoZero"/>
        <c:auto val="1"/>
        <c:lblAlgn val="ctr"/>
        <c:lblOffset val="100"/>
        <c:noMultiLvlLbl val="0"/>
      </c:catAx>
      <c:valAx>
        <c:axId val="202052096"/>
        <c:scaling>
          <c:orientation val="minMax"/>
        </c:scaling>
        <c:delete val="0"/>
        <c:axPos val="l"/>
        <c:majorGridlines/>
        <c:numFmt formatCode="#,##0.00_ " sourceLinked="1"/>
        <c:majorTickMark val="out"/>
        <c:minorTickMark val="none"/>
        <c:tickLblPos val="nextTo"/>
        <c:crossAx val="2019957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3490821643.5799999</c:v>
                </c:pt>
                <c:pt idx="1">
                  <c:v>3455902430.25</c:v>
                </c:pt>
                <c:pt idx="2">
                  <c:v>3025827440.4899998</c:v>
                </c:pt>
                <c:pt idx="3">
                  <c:v>1712230060.6500001</c:v>
                </c:pt>
                <c:pt idx="4">
                  <c:v>1227431183.24</c:v>
                </c:pt>
                <c:pt idx="5">
                  <c:v>928899703.54999995</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450501986.37</c:v>
                </c:pt>
                <c:pt idx="1">
                  <c:v>614378020.56999981</c:v>
                </c:pt>
                <c:pt idx="2">
                  <c:v>477595634.53999984</c:v>
                </c:pt>
                <c:pt idx="3">
                  <c:v>236431172.36000013</c:v>
                </c:pt>
                <c:pt idx="4">
                  <c:v>97156306.820000008</c:v>
                </c:pt>
                <c:pt idx="5">
                  <c:v>95924838.299999967</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01996800"/>
        <c:axId val="202053824"/>
      </c:barChart>
      <c:catAx>
        <c:axId val="201996800"/>
        <c:scaling>
          <c:orientation val="minMax"/>
        </c:scaling>
        <c:delete val="0"/>
        <c:axPos val="b"/>
        <c:majorTickMark val="out"/>
        <c:minorTickMark val="none"/>
        <c:tickLblPos val="nextTo"/>
        <c:crossAx val="202053824"/>
        <c:crosses val="autoZero"/>
        <c:auto val="1"/>
        <c:lblAlgn val="ctr"/>
        <c:lblOffset val="100"/>
        <c:noMultiLvlLbl val="0"/>
      </c:catAx>
      <c:valAx>
        <c:axId val="202053824"/>
        <c:scaling>
          <c:orientation val="minMax"/>
        </c:scaling>
        <c:delete val="0"/>
        <c:axPos val="l"/>
        <c:majorGridlines/>
        <c:numFmt formatCode="#,##0.00_ " sourceLinked="1"/>
        <c:majorTickMark val="out"/>
        <c:minorTickMark val="none"/>
        <c:tickLblPos val="nextTo"/>
        <c:crossAx val="201996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-1541608.46</c:v>
                </c:pt>
                <c:pt idx="1">
                  <c:v>-567184.34</c:v>
                </c:pt>
                <c:pt idx="2">
                  <c:v>0</c:v>
                </c:pt>
                <c:pt idx="3">
                  <c:v>0</c:v>
                </c:pt>
                <c:pt idx="4">
                  <c:v>0</c:v>
                </c:pt>
                <c:pt idx="5">
                  <c:v>2271772.0499999998</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127485626.63</c:v>
                </c:pt>
                <c:pt idx="1">
                  <c:v>59432815.659999996</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01997824"/>
        <c:axId val="202211328"/>
      </c:barChart>
      <c:catAx>
        <c:axId val="201997824"/>
        <c:scaling>
          <c:orientation val="minMax"/>
        </c:scaling>
        <c:delete val="0"/>
        <c:axPos val="b"/>
        <c:majorTickMark val="out"/>
        <c:minorTickMark val="none"/>
        <c:tickLblPos val="nextTo"/>
        <c:crossAx val="202211328"/>
        <c:crosses val="autoZero"/>
        <c:auto val="1"/>
        <c:lblAlgn val="ctr"/>
        <c:lblOffset val="100"/>
        <c:noMultiLvlLbl val="0"/>
      </c:catAx>
      <c:valAx>
        <c:axId val="202211328"/>
        <c:scaling>
          <c:orientation val="minMax"/>
        </c:scaling>
        <c:delete val="0"/>
        <c:axPos val="l"/>
        <c:majorGridlines/>
        <c:numFmt formatCode="#,##0.00_ " sourceLinked="1"/>
        <c:majorTickMark val="out"/>
        <c:minorTickMark val="none"/>
        <c:tickLblPos val="nextTo"/>
        <c:crossAx val="20199782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0.63966851625162091</c:v>
                </c:pt>
                <c:pt idx="1">
                  <c:v>0.75793341333718578</c:v>
                </c:pt>
                <c:pt idx="2">
                  <c:v>0.78368181133502568</c:v>
                </c:pt>
                <c:pt idx="3">
                  <c:v>0.92745913109815969</c:v>
                </c:pt>
                <c:pt idx="4">
                  <c:v>0.87439477567709023</c:v>
                </c:pt>
                <c:pt idx="5">
                  <c:v>0.95907751766189797</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0.56823588917466294</c:v>
                </c:pt>
                <c:pt idx="1">
                  <c:v>0.56657393048946569</c:v>
                </c:pt>
                <c:pt idx="2">
                  <c:v>0.65815070066836778</c:v>
                </c:pt>
                <c:pt idx="3">
                  <c:v>0.84585674693955237</c:v>
                </c:pt>
                <c:pt idx="4">
                  <c:v>0.79115461738101256</c:v>
                </c:pt>
                <c:pt idx="5">
                  <c:v>0.90688097383174537</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0.54354070990805325</c:v>
                </c:pt>
                <c:pt idx="1">
                  <c:v>1.3607199739025844</c:v>
                </c:pt>
                <c:pt idx="2">
                  <c:v>1.1337250059142303</c:v>
                </c:pt>
                <c:pt idx="3">
                  <c:v>1.1667037956718835</c:v>
                </c:pt>
                <c:pt idx="4">
                  <c:v>0.88261296677945422</c:v>
                </c:pt>
                <c:pt idx="5">
                  <c:v>1.0264271539736358</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0.26063388393493914</c:v>
                </c:pt>
                <c:pt idx="1">
                  <c:v>1.4096169681257191</c:v>
                </c:pt>
                <c:pt idx="2">
                  <c:v>1.1699794030473629</c:v>
                </c:pt>
                <c:pt idx="3">
                  <c:v>1.1698605217449047</c:v>
                </c:pt>
                <c:pt idx="4">
                  <c:v>0.87225720109790361</c:v>
                </c:pt>
                <c:pt idx="5">
                  <c:v>0.8898247093051922</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02667520"/>
        <c:axId val="202213056"/>
      </c:lineChart>
      <c:catAx>
        <c:axId val="202667520"/>
        <c:scaling>
          <c:orientation val="minMax"/>
        </c:scaling>
        <c:delete val="0"/>
        <c:axPos val="b"/>
        <c:majorTickMark val="out"/>
        <c:minorTickMark val="none"/>
        <c:tickLblPos val="nextTo"/>
        <c:crossAx val="202213056"/>
        <c:crosses val="autoZero"/>
        <c:auto val="1"/>
        <c:lblAlgn val="ctr"/>
        <c:lblOffset val="100"/>
        <c:noMultiLvlLbl val="0"/>
      </c:catAx>
      <c:valAx>
        <c:axId val="202213056"/>
        <c:scaling>
          <c:orientation val="minMax"/>
        </c:scaling>
        <c:delete val="0"/>
        <c:axPos val="l"/>
        <c:majorGridlines/>
        <c:numFmt formatCode="#,##0.00_ " sourceLinked="1"/>
        <c:majorTickMark val="out"/>
        <c:minorTickMark val="none"/>
        <c:tickLblPos val="nextTo"/>
        <c:crossAx val="20266752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自由现金流复合增长率</c:v>
                </c:pt>
              </c:strCache>
            </c:strRef>
          </c:tx>
          <c:val>
            <c:numRef>
              <c:f>自由现金流分析表!$B$28:$Y$28</c:f>
              <c:numCache>
                <c:formatCode>0.00%</c:formatCode>
                <c:ptCount val="6"/>
                <c:pt idx="0">
                  <c:v>-0.64466528960116176</c:v>
                </c:pt>
                <c:pt idx="1">
                  <c:v>1.0796826069333858</c:v>
                </c:pt>
                <c:pt idx="2">
                  <c:v>1.3517674973412026</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602112"/>
        <c:axId val="202215360"/>
      </c:lineChart>
      <c:catAx>
        <c:axId val="192602112"/>
        <c:scaling>
          <c:orientation val="minMax"/>
        </c:scaling>
        <c:delete val="0"/>
        <c:axPos val="b"/>
        <c:majorTickMark val="out"/>
        <c:minorTickMark val="none"/>
        <c:tickLblPos val="nextTo"/>
        <c:crossAx val="202215360"/>
        <c:crosses val="autoZero"/>
        <c:auto val="1"/>
        <c:lblAlgn val="ctr"/>
        <c:lblOffset val="100"/>
        <c:noMultiLvlLbl val="0"/>
      </c:catAx>
      <c:valAx>
        <c:axId val="202215360"/>
        <c:scaling>
          <c:orientation val="minMax"/>
        </c:scaling>
        <c:delete val="0"/>
        <c:axPos val="l"/>
        <c:majorGridlines/>
        <c:numFmt formatCode="0.00%" sourceLinked="1"/>
        <c:majorTickMark val="out"/>
        <c:minorTickMark val="none"/>
        <c:tickLblPos val="nextTo"/>
        <c:crossAx val="1926021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198883096.36000001</c:v>
                </c:pt>
                <c:pt idx="1">
                  <c:v>713769227.51999998</c:v>
                </c:pt>
                <c:pt idx="2">
                  <c:v>476859520.26999998</c:v>
                </c:pt>
                <c:pt idx="3">
                  <c:v>245450357.61000001</c:v>
                </c:pt>
                <c:pt idx="4">
                  <c:v>70701834.230000004</c:v>
                </c:pt>
                <c:pt idx="5">
                  <c:v>83007647.939999998</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365902852.78474098</c:v>
                </c:pt>
                <c:pt idx="1">
                  <c:v>524552620.09044313</c:v>
                </c:pt>
                <c:pt idx="2">
                  <c:v>420613039.12535894</c:v>
                </c:pt>
                <c:pt idx="3">
                  <c:v>210379325.51565036</c:v>
                </c:pt>
                <c:pt idx="4">
                  <c:v>80105138.822039142</c:v>
                </c:pt>
                <c:pt idx="5">
                  <c:v>80870471.536777064</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763074598.58000016</c:v>
                </c:pt>
                <c:pt idx="1">
                  <c:v>506356864.06999975</c:v>
                </c:pt>
                <c:pt idx="2">
                  <c:v>407579414.66999984</c:v>
                </c:pt>
                <c:pt idx="3">
                  <c:v>209811642.54000014</c:v>
                </c:pt>
                <c:pt idx="4">
                  <c:v>81056177.170000017</c:v>
                </c:pt>
                <c:pt idx="5">
                  <c:v>93285393.259999961</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603648"/>
        <c:axId val="202217088"/>
      </c:lineChart>
      <c:catAx>
        <c:axId val="192603648"/>
        <c:scaling>
          <c:orientation val="minMax"/>
        </c:scaling>
        <c:delete val="0"/>
        <c:axPos val="b"/>
        <c:majorTickMark val="out"/>
        <c:minorTickMark val="none"/>
        <c:tickLblPos val="nextTo"/>
        <c:crossAx val="202217088"/>
        <c:crosses val="autoZero"/>
        <c:auto val="1"/>
        <c:lblAlgn val="ctr"/>
        <c:lblOffset val="100"/>
        <c:noMultiLvlLbl val="0"/>
      </c:catAx>
      <c:valAx>
        <c:axId val="202217088"/>
        <c:scaling>
          <c:orientation val="minMax"/>
        </c:scaling>
        <c:delete val="0"/>
        <c:axPos val="l"/>
        <c:majorGridlines/>
        <c:numFmt formatCode="#,##0.00_ " sourceLinked="1"/>
        <c:majorTickMark val="out"/>
        <c:minorTickMark val="none"/>
        <c:tickLblPos val="nextTo"/>
        <c:crossAx val="1926036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1229227</xdr:colOff>
      <xdr:row>25</xdr:row>
      <xdr:rowOff>82967</xdr:rowOff>
    </xdr:from>
    <xdr:to>
      <xdr:col>40</xdr:col>
      <xdr:colOff>522372</xdr:colOff>
      <xdr:row>34</xdr:row>
      <xdr:rowOff>74194</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699135</xdr:colOff>
      <xdr:row>28</xdr:row>
      <xdr:rowOff>328612</xdr:rowOff>
    </xdr:from>
    <xdr:to>
      <xdr:col>40</xdr:col>
      <xdr:colOff>182880</xdr:colOff>
      <xdr:row>28</xdr:row>
      <xdr:rowOff>3388995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373380</xdr:colOff>
      <xdr:row>38</xdr:row>
      <xdr:rowOff>90487</xdr:rowOff>
    </xdr:from>
    <xdr:to>
      <xdr:col>28</xdr:col>
      <xdr:colOff>487680</xdr:colOff>
      <xdr:row>52</xdr:row>
      <xdr:rowOff>90487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365271</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1012865</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J85"/>
  <sheetViews>
    <sheetView workbookViewId="0">
      <selection activeCell="Y25" sqref="Y25"/>
    </sheetView>
  </sheetViews>
  <sheetFormatPr defaultRowHeight="13.5"/>
  <cols>
    <col min="1" max="1" width="34" style="188" bestFit="1" customWidth="1"/>
    <col min="2" max="3" width="12.75" style="188" hidden="1" customWidth="1"/>
    <col min="4" max="4" width="13.875" style="188" hidden="1" customWidth="1"/>
    <col min="5" max="5" width="12.75" style="188" bestFit="1" customWidth="1"/>
    <col min="6" max="8" width="12.75" style="188" hidden="1" customWidth="1"/>
    <col min="9" max="9" width="12.75" style="188" bestFit="1" customWidth="1"/>
    <col min="10" max="12" width="12.75" style="188" hidden="1" customWidth="1"/>
    <col min="13" max="13" width="12.75" style="188" bestFit="1" customWidth="1"/>
    <col min="14" max="16" width="12.75" style="188" hidden="1" customWidth="1"/>
    <col min="17" max="17" width="12.75" style="188" bestFit="1" customWidth="1"/>
    <col min="18" max="20" width="12.75" style="188" hidden="1" customWidth="1"/>
    <col min="21" max="21" width="12.75" style="188" bestFit="1" customWidth="1"/>
    <col min="22" max="24" width="12.75" style="188" hidden="1" customWidth="1"/>
    <col min="25" max="25" width="12.75" style="188" bestFit="1" customWidth="1"/>
    <col min="26" max="28" width="12.75" style="188" hidden="1" customWidth="1"/>
    <col min="29" max="29" width="12.75" style="188" bestFit="1" customWidth="1"/>
    <col min="30" max="32" width="12.75" style="188" hidden="1" customWidth="1"/>
    <col min="33" max="35" width="12.75" style="188" bestFit="1" customWidth="1"/>
    <col min="36" max="36" width="9.5" style="188" hidden="1" customWidth="1"/>
    <col min="37" max="16384" width="9" style="188"/>
  </cols>
  <sheetData>
    <row r="1" spans="1:36">
      <c r="A1" s="188">
        <v>2602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20091231</v>
      </c>
      <c r="AI1" s="188">
        <v>20081231</v>
      </c>
      <c r="AJ1" s="188">
        <v>19700101</v>
      </c>
    </row>
    <row r="2" spans="1:36">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row>
    <row r="3" spans="1:36">
      <c r="A3" s="188" t="s">
        <v>107</v>
      </c>
    </row>
    <row r="4" spans="1:36">
      <c r="A4" s="188" t="s">
        <v>108</v>
      </c>
      <c r="B4" s="188">
        <v>3020687859.5700002</v>
      </c>
      <c r="C4" s="188">
        <v>3282938514.5300002</v>
      </c>
      <c r="D4" s="188">
        <v>3041930554.29</v>
      </c>
      <c r="E4" s="188">
        <v>481128456.18000001</v>
      </c>
      <c r="F4" s="188">
        <v>751423458.69000006</v>
      </c>
      <c r="G4" s="188">
        <v>708006214.20000005</v>
      </c>
      <c r="H4" s="188">
        <v>577252247.96000004</v>
      </c>
      <c r="I4" s="188">
        <v>567009068.22000003</v>
      </c>
      <c r="J4" s="188">
        <v>429597461.94999999</v>
      </c>
      <c r="K4" s="188">
        <v>380946066.27999997</v>
      </c>
      <c r="L4" s="188">
        <v>406594807.25999999</v>
      </c>
      <c r="M4" s="188">
        <v>532931549.04000002</v>
      </c>
      <c r="N4" s="188">
        <v>392312468.94</v>
      </c>
      <c r="O4" s="188">
        <v>182554966.77000001</v>
      </c>
      <c r="P4" s="188">
        <v>277378734.86000001</v>
      </c>
      <c r="Q4" s="188">
        <v>289352955</v>
      </c>
      <c r="R4" s="188">
        <v>228581798.34999999</v>
      </c>
      <c r="S4" s="188">
        <v>76264788.909999996</v>
      </c>
      <c r="T4" s="188">
        <v>81609545.260000005</v>
      </c>
      <c r="U4" s="188">
        <v>117019801.84</v>
      </c>
      <c r="V4" s="188">
        <v>288407000.22000003</v>
      </c>
      <c r="W4" s="188">
        <v>395385802.33999997</v>
      </c>
      <c r="X4" s="188">
        <v>415229005.37</v>
      </c>
      <c r="Y4" s="188">
        <v>446558631.75</v>
      </c>
      <c r="Z4" s="188">
        <v>445462625.06999999</v>
      </c>
      <c r="AA4" s="188">
        <v>448243718.80000001</v>
      </c>
      <c r="AB4" s="188">
        <v>475663134.92000002</v>
      </c>
      <c r="AC4" s="188">
        <v>543271781.39999998</v>
      </c>
      <c r="AD4" s="188">
        <v>583991549.62</v>
      </c>
      <c r="AE4" s="188">
        <v>61509212.060000002</v>
      </c>
      <c r="AF4" s="188">
        <v>71515655.140000001</v>
      </c>
      <c r="AG4" s="188">
        <v>80573415.659999996</v>
      </c>
      <c r="AH4" s="188">
        <v>55436295.049999997</v>
      </c>
      <c r="AI4" s="188">
        <v>17079246.809999999</v>
      </c>
      <c r="AJ4" s="188">
        <v>0</v>
      </c>
    </row>
    <row r="5" spans="1:36">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row>
    <row r="6" spans="1:36">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row>
    <row r="7" spans="1:36">
      <c r="A7" s="188" t="s">
        <v>111</v>
      </c>
      <c r="B7" s="188">
        <v>420252926.75</v>
      </c>
      <c r="C7" s="188">
        <v>334834109.93000001</v>
      </c>
      <c r="D7" s="188">
        <v>366428993.47000003</v>
      </c>
      <c r="E7" s="188">
        <v>334284367.25999999</v>
      </c>
      <c r="F7" s="188">
        <v>349412919.16000003</v>
      </c>
      <c r="G7" s="188">
        <v>324076355.58999997</v>
      </c>
      <c r="H7" s="188">
        <v>318123530.88</v>
      </c>
      <c r="I7" s="188">
        <v>258672033.36000001</v>
      </c>
      <c r="J7" s="188">
        <v>346907091.43000001</v>
      </c>
      <c r="K7" s="188">
        <v>342763564.54000002</v>
      </c>
      <c r="L7" s="188">
        <v>223121141.13999999</v>
      </c>
      <c r="M7" s="188">
        <v>220377606.75</v>
      </c>
      <c r="N7" s="188">
        <v>174017939.71000001</v>
      </c>
      <c r="O7" s="188">
        <v>128159625.53</v>
      </c>
      <c r="P7" s="188">
        <v>140851254.58000001</v>
      </c>
      <c r="Q7" s="188">
        <v>123076303.98</v>
      </c>
      <c r="R7" s="188">
        <v>120773159.01000001</v>
      </c>
      <c r="S7" s="188">
        <v>137764604.19</v>
      </c>
      <c r="T7" s="188">
        <v>168526468.13</v>
      </c>
      <c r="U7" s="188">
        <v>129905834.78</v>
      </c>
      <c r="V7" s="188">
        <v>92012403.010000005</v>
      </c>
      <c r="W7" s="188">
        <v>68310936.540000007</v>
      </c>
      <c r="X7" s="188">
        <v>39988570.32</v>
      </c>
      <c r="Y7" s="188">
        <v>51109032.579999998</v>
      </c>
      <c r="Z7" s="188">
        <v>35903495.109999999</v>
      </c>
      <c r="AA7" s="188">
        <v>12905106.49</v>
      </c>
      <c r="AB7" s="188">
        <v>8505971.7300000004</v>
      </c>
      <c r="AC7" s="188">
        <v>27385132.170000002</v>
      </c>
      <c r="AD7" s="188">
        <v>24127772.25</v>
      </c>
      <c r="AE7" s="188">
        <v>8456550.9499999993</v>
      </c>
      <c r="AF7" s="188">
        <v>16797733.16</v>
      </c>
      <c r="AG7" s="188">
        <v>5128117</v>
      </c>
      <c r="AH7" s="188">
        <v>15677000</v>
      </c>
      <c r="AI7" s="188">
        <v>14578432</v>
      </c>
      <c r="AJ7" s="188">
        <v>0</v>
      </c>
    </row>
    <row r="8" spans="1:36">
      <c r="A8" s="188" t="s">
        <v>112</v>
      </c>
      <c r="B8" s="188">
        <v>1281896501.4000001</v>
      </c>
      <c r="C8" s="188">
        <v>1421258727.0699999</v>
      </c>
      <c r="D8" s="188">
        <v>1175992988.54</v>
      </c>
      <c r="E8" s="188">
        <v>784501395.24000001</v>
      </c>
      <c r="F8" s="188">
        <v>664708942.33000004</v>
      </c>
      <c r="G8" s="188">
        <v>569250965.98000002</v>
      </c>
      <c r="H8" s="188">
        <v>651633273.22000003</v>
      </c>
      <c r="I8" s="188">
        <v>601784829.24000001</v>
      </c>
      <c r="J8" s="188">
        <v>646000396.51999998</v>
      </c>
      <c r="K8" s="188">
        <v>595095492.66999996</v>
      </c>
      <c r="L8" s="188">
        <v>658328071.97000003</v>
      </c>
      <c r="M8" s="188">
        <v>621165704.38</v>
      </c>
      <c r="N8" s="188">
        <v>616672886.65999997</v>
      </c>
      <c r="O8" s="188">
        <v>527856304.77999997</v>
      </c>
      <c r="P8" s="188">
        <v>484188862.68000001</v>
      </c>
      <c r="Q8" s="188">
        <v>453525311.32999998</v>
      </c>
      <c r="R8" s="188">
        <v>385926879.38999999</v>
      </c>
      <c r="S8" s="188">
        <v>336441775.00999999</v>
      </c>
      <c r="T8" s="188">
        <v>318185572.13999999</v>
      </c>
      <c r="U8" s="188">
        <v>320598796.60000002</v>
      </c>
      <c r="V8" s="188">
        <v>294845107.22000003</v>
      </c>
      <c r="W8" s="188">
        <v>283736232.56999999</v>
      </c>
      <c r="X8" s="188">
        <v>261454601.63999999</v>
      </c>
      <c r="Y8" s="188">
        <v>254009575.75999999</v>
      </c>
      <c r="Z8" s="188">
        <v>242028796.78</v>
      </c>
      <c r="AA8" s="188">
        <v>249019659.22999999</v>
      </c>
      <c r="AB8" s="188">
        <v>258149554.09</v>
      </c>
      <c r="AC8" s="188">
        <v>252272064.47999999</v>
      </c>
      <c r="AD8" s="188">
        <v>239825913.99000001</v>
      </c>
      <c r="AE8" s="188">
        <v>259524802.11000001</v>
      </c>
      <c r="AF8" s="188">
        <v>219957283.72</v>
      </c>
      <c r="AG8" s="188">
        <v>206681611.46000001</v>
      </c>
      <c r="AH8" s="188">
        <v>169662465.16999999</v>
      </c>
      <c r="AI8" s="188">
        <v>108236756.84999999</v>
      </c>
      <c r="AJ8" s="188">
        <v>0</v>
      </c>
    </row>
    <row r="9" spans="1:36">
      <c r="A9" s="188" t="s">
        <v>113</v>
      </c>
      <c r="B9" s="188">
        <v>62380851.520000003</v>
      </c>
      <c r="C9" s="188">
        <v>53883098.5</v>
      </c>
      <c r="D9" s="188">
        <v>298396557.63</v>
      </c>
      <c r="E9" s="188">
        <v>54809865.060000002</v>
      </c>
      <c r="F9" s="188">
        <v>64123037.719999999</v>
      </c>
      <c r="G9" s="188">
        <v>52416057.890000001</v>
      </c>
      <c r="H9" s="188">
        <v>62855589.740000002</v>
      </c>
      <c r="I9" s="188">
        <v>18702777.579999998</v>
      </c>
      <c r="J9" s="188">
        <v>52097782.840000004</v>
      </c>
      <c r="K9" s="188">
        <v>50939192.740000002</v>
      </c>
      <c r="L9" s="188">
        <v>58160432.329999998</v>
      </c>
      <c r="M9" s="188">
        <v>22011286.859999999</v>
      </c>
      <c r="N9" s="188">
        <v>76655153.150000006</v>
      </c>
      <c r="O9" s="188">
        <v>79246364.569999993</v>
      </c>
      <c r="P9" s="188">
        <v>60454703.219999999</v>
      </c>
      <c r="Q9" s="188">
        <v>30514987.66</v>
      </c>
      <c r="R9" s="188">
        <v>53442317.450000003</v>
      </c>
      <c r="S9" s="188">
        <v>26172479.82</v>
      </c>
      <c r="T9" s="188">
        <v>17037443.190000001</v>
      </c>
      <c r="U9" s="188">
        <v>19683690.140000001</v>
      </c>
      <c r="V9" s="188">
        <v>29954108.359999999</v>
      </c>
      <c r="W9" s="188">
        <v>20858926.34</v>
      </c>
      <c r="X9" s="188">
        <v>13888845.130000001</v>
      </c>
      <c r="Y9" s="188">
        <v>11886743.68</v>
      </c>
      <c r="Z9" s="188">
        <v>50172713.590000004</v>
      </c>
      <c r="AA9" s="188">
        <v>60272263.530000001</v>
      </c>
      <c r="AB9" s="188">
        <v>52311140.32</v>
      </c>
      <c r="AC9" s="188">
        <v>28614641.300000001</v>
      </c>
      <c r="AD9" s="188">
        <v>22304773.27</v>
      </c>
      <c r="AE9" s="188">
        <v>22472662.27</v>
      </c>
      <c r="AF9" s="188">
        <v>30573634.23</v>
      </c>
      <c r="AG9" s="188">
        <v>12773456.609999999</v>
      </c>
      <c r="AH9" s="188">
        <v>4847257.83</v>
      </c>
      <c r="AI9" s="188">
        <v>6116355.25</v>
      </c>
      <c r="AJ9" s="188">
        <v>0</v>
      </c>
    </row>
    <row r="10" spans="1:36">
      <c r="A10" s="188" t="s">
        <v>114</v>
      </c>
      <c r="B10" s="188">
        <v>0</v>
      </c>
      <c r="C10" s="188">
        <v>1101526.27</v>
      </c>
      <c r="D10" s="188">
        <v>877021.17</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row>
    <row r="11" spans="1:36">
      <c r="A11" s="188" t="s">
        <v>115</v>
      </c>
      <c r="B11" s="188">
        <v>0</v>
      </c>
      <c r="C11" s="188">
        <v>0</v>
      </c>
      <c r="D11" s="188">
        <v>73751671.209999993</v>
      </c>
      <c r="E11" s="188">
        <v>88751671.209999993</v>
      </c>
      <c r="F11" s="188">
        <v>73757719.840000004</v>
      </c>
      <c r="G11" s="188">
        <v>94000000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row>
    <row r="12" spans="1:36">
      <c r="A12" s="188" t="s">
        <v>116</v>
      </c>
      <c r="B12" s="188">
        <v>259423087.75</v>
      </c>
      <c r="C12" s="188">
        <v>353287511.17000002</v>
      </c>
      <c r="D12" s="188">
        <v>495293596.81999999</v>
      </c>
      <c r="E12" s="188">
        <v>15806292.68</v>
      </c>
      <c r="F12" s="188">
        <v>38711751.700000003</v>
      </c>
      <c r="G12" s="188">
        <v>275666953.37</v>
      </c>
      <c r="H12" s="188">
        <v>19572179.649999999</v>
      </c>
      <c r="I12" s="188">
        <v>18675703.699999999</v>
      </c>
      <c r="J12" s="188">
        <v>41705118.93</v>
      </c>
      <c r="K12" s="188">
        <v>61729067.299999997</v>
      </c>
      <c r="L12" s="188">
        <v>29619994.710000001</v>
      </c>
      <c r="M12" s="188">
        <v>54231344.210000001</v>
      </c>
      <c r="N12" s="188">
        <v>37356560.780000001</v>
      </c>
      <c r="O12" s="188">
        <v>37664423.899999999</v>
      </c>
      <c r="P12" s="188">
        <v>28754230.129999999</v>
      </c>
      <c r="Q12" s="188">
        <v>24606045.629999999</v>
      </c>
      <c r="R12" s="188">
        <v>43050640.090000004</v>
      </c>
      <c r="S12" s="188">
        <v>22989396.059999999</v>
      </c>
      <c r="T12" s="188">
        <v>25007392.390000001</v>
      </c>
      <c r="U12" s="188">
        <v>23639092.5</v>
      </c>
      <c r="V12" s="188">
        <v>2481272.0099999998</v>
      </c>
      <c r="W12" s="188">
        <v>20132043.73</v>
      </c>
      <c r="X12" s="188">
        <v>17179577.079999998</v>
      </c>
      <c r="Y12" s="188">
        <v>17095775.710000001</v>
      </c>
      <c r="Z12" s="188">
        <v>15582138.74</v>
      </c>
      <c r="AA12" s="188">
        <v>17334330.879999999</v>
      </c>
      <c r="AB12" s="188">
        <v>11473020.73</v>
      </c>
      <c r="AC12" s="188">
        <v>8465135.6999999993</v>
      </c>
      <c r="AD12" s="188">
        <v>4573486.24</v>
      </c>
      <c r="AE12" s="188">
        <v>3240659</v>
      </c>
      <c r="AF12" s="188">
        <v>942113.39</v>
      </c>
      <c r="AG12" s="188">
        <v>1166585.29</v>
      </c>
      <c r="AH12" s="188">
        <v>2810371.89</v>
      </c>
      <c r="AI12" s="188">
        <v>3737012.25</v>
      </c>
      <c r="AJ12" s="188">
        <v>0</v>
      </c>
    </row>
    <row r="13" spans="1:36">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row>
    <row r="14" spans="1:36">
      <c r="A14" s="188" t="s">
        <v>118</v>
      </c>
      <c r="B14" s="188">
        <v>507429508.02999997</v>
      </c>
      <c r="C14" s="188">
        <v>488594535.51999998</v>
      </c>
      <c r="D14" s="188">
        <v>549559433.70000005</v>
      </c>
      <c r="E14" s="188">
        <v>473892789.31</v>
      </c>
      <c r="F14" s="188">
        <v>456552265.89999998</v>
      </c>
      <c r="G14" s="188">
        <v>412339042.38</v>
      </c>
      <c r="H14" s="188">
        <v>421811947.35000002</v>
      </c>
      <c r="I14" s="188">
        <v>413438054.49000001</v>
      </c>
      <c r="J14" s="188">
        <v>373528309.89999998</v>
      </c>
      <c r="K14" s="188">
        <v>383396267.25999999</v>
      </c>
      <c r="L14" s="188">
        <v>414385138.33999997</v>
      </c>
      <c r="M14" s="188">
        <v>387825595.67000002</v>
      </c>
      <c r="N14" s="188">
        <v>400065338.60000002</v>
      </c>
      <c r="O14" s="188">
        <v>422988514.31</v>
      </c>
      <c r="P14" s="188">
        <v>426209760.06999999</v>
      </c>
      <c r="Q14" s="188">
        <v>430416835</v>
      </c>
      <c r="R14" s="188">
        <v>463533794.06999999</v>
      </c>
      <c r="S14" s="188">
        <v>411570866.14999998</v>
      </c>
      <c r="T14" s="188">
        <v>431272318.49000001</v>
      </c>
      <c r="U14" s="188">
        <v>412096972.68000001</v>
      </c>
      <c r="V14" s="188">
        <v>388557724.57999998</v>
      </c>
      <c r="W14" s="188">
        <v>347228318</v>
      </c>
      <c r="X14" s="188">
        <v>334163204.47000003</v>
      </c>
      <c r="Y14" s="188">
        <v>330013181.5</v>
      </c>
      <c r="Z14" s="188">
        <v>312122382.77999997</v>
      </c>
      <c r="AA14" s="188">
        <v>312611359.94</v>
      </c>
      <c r="AB14" s="188">
        <v>274100015.80000001</v>
      </c>
      <c r="AC14" s="188">
        <v>241106061.11000001</v>
      </c>
      <c r="AD14" s="188">
        <v>242359974.72999999</v>
      </c>
      <c r="AE14" s="188">
        <v>221608475.88999999</v>
      </c>
      <c r="AF14" s="188">
        <v>193280057.78</v>
      </c>
      <c r="AG14" s="188">
        <v>179425331.99000001</v>
      </c>
      <c r="AH14" s="188">
        <v>146823501.56</v>
      </c>
      <c r="AI14" s="188">
        <v>104262137.18000001</v>
      </c>
      <c r="AJ14" s="188">
        <v>0</v>
      </c>
    </row>
    <row r="15" spans="1:36">
      <c r="A15" s="188" t="s">
        <v>119</v>
      </c>
      <c r="B15" s="188">
        <v>21500000</v>
      </c>
      <c r="C15" s="188">
        <v>21500000</v>
      </c>
      <c r="D15" s="188">
        <v>0</v>
      </c>
      <c r="E15" s="188">
        <v>10270961.24</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row>
    <row r="16" spans="1:36">
      <c r="A16" s="188" t="s">
        <v>120</v>
      </c>
      <c r="B16" s="188">
        <v>0</v>
      </c>
      <c r="C16" s="188">
        <v>0</v>
      </c>
      <c r="D16" s="188">
        <v>0</v>
      </c>
      <c r="E16" s="188">
        <v>0</v>
      </c>
      <c r="F16" s="188">
        <v>11282756.65</v>
      </c>
      <c r="G16" s="188">
        <v>6527242.54</v>
      </c>
      <c r="H16" s="188">
        <v>6181424.4199999999</v>
      </c>
      <c r="I16" s="188">
        <v>9574079.5399999991</v>
      </c>
      <c r="J16" s="188">
        <v>12814627.4</v>
      </c>
      <c r="K16" s="188">
        <v>8144721.9400000004</v>
      </c>
      <c r="L16" s="188">
        <v>7372770.3600000003</v>
      </c>
      <c r="M16" s="188">
        <v>6859599.8399999999</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row>
    <row r="17" spans="1:36">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row>
    <row r="18" spans="1:36">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row>
    <row r="19" spans="1:36">
      <c r="A19" s="188" t="s">
        <v>123</v>
      </c>
      <c r="B19" s="188">
        <v>716489113.33000004</v>
      </c>
      <c r="C19" s="188">
        <v>387218850.56</v>
      </c>
      <c r="D19" s="188">
        <v>67685939.230000004</v>
      </c>
      <c r="E19" s="188">
        <v>75883286.75</v>
      </c>
      <c r="F19" s="188">
        <v>47601261.950000003</v>
      </c>
      <c r="G19" s="188">
        <v>43526652.539999999</v>
      </c>
      <c r="H19" s="188">
        <v>68678961.209999993</v>
      </c>
      <c r="I19" s="188">
        <v>47827583.329999998</v>
      </c>
      <c r="J19" s="188">
        <v>26666684.719999999</v>
      </c>
      <c r="K19" s="188">
        <v>113144026.58</v>
      </c>
      <c r="L19" s="188">
        <v>21214072.25</v>
      </c>
      <c r="M19" s="188">
        <v>28725906.379999999</v>
      </c>
      <c r="N19" s="188">
        <v>31148357.989999998</v>
      </c>
      <c r="O19" s="188">
        <v>28083448.609999999</v>
      </c>
      <c r="P19" s="188">
        <v>22792603.34</v>
      </c>
      <c r="Q19" s="188">
        <v>26127572.870000001</v>
      </c>
      <c r="R19" s="188">
        <v>31283371.07</v>
      </c>
      <c r="S19" s="188">
        <v>24100376.879999999</v>
      </c>
      <c r="T19" s="188">
        <v>15883105.359999999</v>
      </c>
      <c r="U19" s="188">
        <v>18482916.02</v>
      </c>
      <c r="V19" s="188">
        <v>14368101.859999999</v>
      </c>
      <c r="W19" s="188">
        <v>16602116.57</v>
      </c>
      <c r="X19" s="188">
        <v>15338459.140000001</v>
      </c>
      <c r="Y19" s="188">
        <v>12559385.59</v>
      </c>
      <c r="Z19" s="188">
        <v>3482839.23</v>
      </c>
      <c r="AA19" s="188">
        <v>4431279.7699999996</v>
      </c>
      <c r="AB19" s="188">
        <v>5948283.7699999996</v>
      </c>
      <c r="AC19" s="188">
        <v>8379974.8099999996</v>
      </c>
      <c r="AD19" s="188">
        <v>13169079.48</v>
      </c>
      <c r="AE19" s="188">
        <v>6756829.5199999996</v>
      </c>
      <c r="AF19" s="188">
        <v>9451258.8100000005</v>
      </c>
      <c r="AG19" s="188">
        <v>5169154.2699999996</v>
      </c>
      <c r="AH19" s="188">
        <v>2908824.1</v>
      </c>
      <c r="AI19" s="188">
        <v>3722638.94</v>
      </c>
      <c r="AJ19" s="188">
        <v>0</v>
      </c>
    </row>
    <row r="20" spans="1:36">
      <c r="A20" s="188" t="s">
        <v>124</v>
      </c>
      <c r="B20" s="188">
        <v>6290059848.3500004</v>
      </c>
      <c r="C20" s="188">
        <v>6344616873.5500002</v>
      </c>
      <c r="D20" s="188">
        <v>6069916756.0600004</v>
      </c>
      <c r="E20" s="188">
        <v>2319329084.9299998</v>
      </c>
      <c r="F20" s="188">
        <v>2457574113.9400001</v>
      </c>
      <c r="G20" s="188">
        <v>2485809484.4899998</v>
      </c>
      <c r="H20" s="188">
        <v>2126109154.4300001</v>
      </c>
      <c r="I20" s="188">
        <v>1935684129.46</v>
      </c>
      <c r="J20" s="188">
        <v>1929317473.6900001</v>
      </c>
      <c r="K20" s="188">
        <v>1936158399.3099999</v>
      </c>
      <c r="L20" s="188">
        <v>1818796428.3599999</v>
      </c>
      <c r="M20" s="188">
        <v>1874128593.1300001</v>
      </c>
      <c r="N20" s="188">
        <v>1728228705.8299999</v>
      </c>
      <c r="O20" s="188">
        <v>1406553648.47</v>
      </c>
      <c r="P20" s="188">
        <v>1440630148.8800001</v>
      </c>
      <c r="Q20" s="188">
        <v>1377620011.47</v>
      </c>
      <c r="R20" s="188">
        <v>1326591959.4300001</v>
      </c>
      <c r="S20" s="188">
        <v>1035304287.02</v>
      </c>
      <c r="T20" s="188">
        <v>1057521844.96</v>
      </c>
      <c r="U20" s="188">
        <v>1041427104.5599999</v>
      </c>
      <c r="V20" s="188">
        <v>1110625717.26</v>
      </c>
      <c r="W20" s="188">
        <v>1152254376.0899999</v>
      </c>
      <c r="X20" s="188">
        <v>1097242263.1500001</v>
      </c>
      <c r="Y20" s="188">
        <v>1123232326.5699999</v>
      </c>
      <c r="Z20" s="188">
        <v>1104754991.3</v>
      </c>
      <c r="AA20" s="188">
        <v>1104817718.6400001</v>
      </c>
      <c r="AB20" s="188">
        <v>1086151121.3599999</v>
      </c>
      <c r="AC20" s="188">
        <v>1109494790.97</v>
      </c>
      <c r="AD20" s="188">
        <v>1130352549.5799999</v>
      </c>
      <c r="AE20" s="188">
        <v>583569191.79999995</v>
      </c>
      <c r="AF20" s="188">
        <v>542517736.23000002</v>
      </c>
      <c r="AG20" s="188">
        <v>490917672.27999997</v>
      </c>
      <c r="AH20" s="188">
        <v>398165715.60000002</v>
      </c>
      <c r="AI20" s="188">
        <v>257732579.28</v>
      </c>
      <c r="AJ20" s="188">
        <v>0</v>
      </c>
    </row>
    <row r="21" spans="1:36">
      <c r="A21" s="188" t="s">
        <v>125</v>
      </c>
    </row>
    <row r="22" spans="1:36">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row>
    <row r="23" spans="1:36">
      <c r="A23" s="188" t="s">
        <v>127</v>
      </c>
      <c r="B23" s="188">
        <v>526110372.89999998</v>
      </c>
      <c r="C23" s="188">
        <v>380294533.20999998</v>
      </c>
      <c r="D23" s="188">
        <v>495656793.67000002</v>
      </c>
      <c r="E23" s="188">
        <v>431548293.67000002</v>
      </c>
      <c r="F23" s="188">
        <v>415325000</v>
      </c>
      <c r="G23" s="188">
        <v>333325000</v>
      </c>
      <c r="H23" s="188">
        <v>274750000</v>
      </c>
      <c r="I23" s="188">
        <v>231150000</v>
      </c>
      <c r="J23" s="188">
        <v>207100000</v>
      </c>
      <c r="K23" s="188">
        <v>177100000</v>
      </c>
      <c r="L23" s="188">
        <v>31150000</v>
      </c>
      <c r="M23" s="188">
        <v>13150000</v>
      </c>
      <c r="N23" s="188">
        <v>11400000</v>
      </c>
      <c r="O23" s="188">
        <v>9900000</v>
      </c>
      <c r="P23" s="188">
        <v>9900000</v>
      </c>
      <c r="Q23" s="188">
        <v>6800000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row>
    <row r="24" spans="1:36">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row>
    <row r="25" spans="1:36">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row>
    <row r="26" spans="1:36">
      <c r="A26" s="188" t="s">
        <v>130</v>
      </c>
      <c r="B26" s="188">
        <v>200616476.50999999</v>
      </c>
      <c r="C26" s="188">
        <v>136602008.19</v>
      </c>
      <c r="D26" s="188">
        <v>205033933.12</v>
      </c>
      <c r="E26" s="188">
        <v>127485626.63</v>
      </c>
      <c r="F26" s="188">
        <v>77180105.909999996</v>
      </c>
      <c r="G26" s="188">
        <v>71112323.189999998</v>
      </c>
      <c r="H26" s="188">
        <v>41882391.369999997</v>
      </c>
      <c r="I26" s="188">
        <v>59432815.659999996</v>
      </c>
      <c r="J26" s="188">
        <v>17688723.84</v>
      </c>
      <c r="K26" s="188">
        <v>17688723.84</v>
      </c>
      <c r="L26" s="188">
        <v>154000000</v>
      </c>
      <c r="M26" s="188">
        <v>0</v>
      </c>
      <c r="N26" s="188">
        <v>0</v>
      </c>
      <c r="O26" s="188">
        <v>0</v>
      </c>
      <c r="P26" s="188">
        <v>0</v>
      </c>
      <c r="Q26" s="188">
        <v>0</v>
      </c>
      <c r="R26" s="188">
        <v>6800000</v>
      </c>
      <c r="S26" s="188">
        <v>0</v>
      </c>
      <c r="T26" s="188">
        <v>0</v>
      </c>
      <c r="U26" s="188">
        <v>0</v>
      </c>
      <c r="V26" s="188">
        <v>0</v>
      </c>
      <c r="W26" s="188">
        <v>0</v>
      </c>
      <c r="X26" s="188">
        <v>0</v>
      </c>
      <c r="Y26" s="188">
        <v>0</v>
      </c>
      <c r="Z26" s="188">
        <v>10793820.49</v>
      </c>
      <c r="AA26" s="188">
        <v>10161954.15</v>
      </c>
      <c r="AB26" s="188">
        <v>11637847.42</v>
      </c>
      <c r="AC26" s="188">
        <v>10882081.48</v>
      </c>
      <c r="AD26" s="188">
        <v>9955446.0600000005</v>
      </c>
      <c r="AE26" s="188">
        <v>9611004.1699999999</v>
      </c>
      <c r="AF26" s="188">
        <v>9039649.9900000002</v>
      </c>
      <c r="AG26" s="188">
        <v>8296076.1100000003</v>
      </c>
      <c r="AH26" s="188">
        <v>5524269.5</v>
      </c>
      <c r="AI26" s="188">
        <v>0</v>
      </c>
      <c r="AJ26" s="188">
        <v>0</v>
      </c>
    </row>
    <row r="27" spans="1:36">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row>
    <row r="28" spans="1:36">
      <c r="A28" s="188" t="s">
        <v>132</v>
      </c>
      <c r="B28" s="188">
        <v>1128090866.3699999</v>
      </c>
      <c r="C28" s="188">
        <v>1140189617.28</v>
      </c>
      <c r="D28" s="188">
        <v>1174636525.0899999</v>
      </c>
      <c r="E28" s="188">
        <v>1182708039.3299999</v>
      </c>
      <c r="F28" s="188">
        <v>1107218642.0799999</v>
      </c>
      <c r="G28" s="188">
        <v>1090411190.54</v>
      </c>
      <c r="H28" s="188">
        <v>1089327958.29</v>
      </c>
      <c r="I28" s="188">
        <v>1090569352.6500001</v>
      </c>
      <c r="J28" s="188">
        <v>984029102.54999995</v>
      </c>
      <c r="K28" s="188">
        <v>995800535.25999999</v>
      </c>
      <c r="L28" s="188">
        <v>1014843247.4299999</v>
      </c>
      <c r="M28" s="188">
        <v>1027872495.48</v>
      </c>
      <c r="N28" s="188">
        <v>958387905.51999998</v>
      </c>
      <c r="O28" s="188">
        <v>963303445.16999996</v>
      </c>
      <c r="P28" s="188">
        <v>959009769.94000006</v>
      </c>
      <c r="Q28" s="188">
        <v>967935984.21000004</v>
      </c>
      <c r="R28" s="188">
        <v>784632191.98000002</v>
      </c>
      <c r="S28" s="188">
        <v>745737695.25</v>
      </c>
      <c r="T28" s="188">
        <v>698402870.14999998</v>
      </c>
      <c r="U28" s="188">
        <v>702943783.85000002</v>
      </c>
      <c r="V28" s="188">
        <v>552908769.85000002</v>
      </c>
      <c r="W28" s="188">
        <v>558564258.23000002</v>
      </c>
      <c r="X28" s="188">
        <v>550741896.66999996</v>
      </c>
      <c r="Y28" s="188">
        <v>541371753.25999999</v>
      </c>
      <c r="Z28" s="188">
        <v>414705173.35000002</v>
      </c>
      <c r="AA28" s="188">
        <v>409164544.69999999</v>
      </c>
      <c r="AB28" s="188">
        <v>380984242.18000001</v>
      </c>
      <c r="AC28" s="188">
        <v>384320634.94</v>
      </c>
      <c r="AD28" s="188">
        <v>267607200.83000001</v>
      </c>
      <c r="AE28" s="188">
        <v>252951427.02000001</v>
      </c>
      <c r="AF28" s="188">
        <v>222714866.03999999</v>
      </c>
      <c r="AG28" s="188">
        <v>223227731.28</v>
      </c>
      <c r="AH28" s="188">
        <v>151324597.56</v>
      </c>
      <c r="AI28" s="188">
        <v>72683726.890000001</v>
      </c>
      <c r="AJ28" s="188">
        <v>0</v>
      </c>
    </row>
    <row r="29" spans="1:36">
      <c r="A29" s="188" t="s">
        <v>133</v>
      </c>
      <c r="B29" s="188">
        <v>39222353.630000003</v>
      </c>
      <c r="C29" s="188">
        <v>31648344.309999999</v>
      </c>
      <c r="D29" s="188">
        <v>28513935.559999999</v>
      </c>
      <c r="E29" s="188">
        <v>19179441.489999998</v>
      </c>
      <c r="F29" s="188">
        <v>47304443.359999999</v>
      </c>
      <c r="G29" s="188">
        <v>41590348.030000001</v>
      </c>
      <c r="H29" s="188">
        <v>36936450.329999998</v>
      </c>
      <c r="I29" s="188">
        <v>27574260.989999998</v>
      </c>
      <c r="J29" s="188">
        <v>104557626.44</v>
      </c>
      <c r="K29" s="188">
        <v>91211798.409999996</v>
      </c>
      <c r="L29" s="188">
        <v>74966572.469999999</v>
      </c>
      <c r="M29" s="188">
        <v>56748273.469999999</v>
      </c>
      <c r="N29" s="188">
        <v>76914879.159999996</v>
      </c>
      <c r="O29" s="188">
        <v>54416851.609999999</v>
      </c>
      <c r="P29" s="188">
        <v>44212865.700000003</v>
      </c>
      <c r="Q29" s="188">
        <v>30553536.260000002</v>
      </c>
      <c r="R29" s="188">
        <v>190578945.38999999</v>
      </c>
      <c r="S29" s="188">
        <v>162708012.77000001</v>
      </c>
      <c r="T29" s="188">
        <v>166286384.69</v>
      </c>
      <c r="U29" s="188">
        <v>156318099.94999999</v>
      </c>
      <c r="V29" s="188">
        <v>144824464.87</v>
      </c>
      <c r="W29" s="188">
        <v>142778920.84</v>
      </c>
      <c r="X29" s="188">
        <v>132569226.72</v>
      </c>
      <c r="Y29" s="188">
        <v>119719673.73</v>
      </c>
      <c r="Z29" s="188">
        <v>222500138.38</v>
      </c>
      <c r="AA29" s="188">
        <v>211402918.52000001</v>
      </c>
      <c r="AB29" s="188">
        <v>198097024.22999999</v>
      </c>
      <c r="AC29" s="188">
        <v>174864859.99000001</v>
      </c>
      <c r="AD29" s="188">
        <v>244019648.66999999</v>
      </c>
      <c r="AE29" s="188">
        <v>209396296.27000001</v>
      </c>
      <c r="AF29" s="188">
        <v>171403204.28999999</v>
      </c>
      <c r="AG29" s="188">
        <v>131844122.93000001</v>
      </c>
      <c r="AH29" s="188">
        <v>79058532.760000005</v>
      </c>
      <c r="AI29" s="188">
        <v>39460398.299999997</v>
      </c>
      <c r="AJ29" s="188">
        <v>0</v>
      </c>
    </row>
    <row r="30" spans="1:36">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row>
    <row r="31" spans="1:36">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row>
    <row r="32" spans="1:36">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row>
    <row r="33" spans="1:36">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row>
    <row r="34" spans="1:36">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row>
    <row r="35" spans="1:36">
      <c r="A35" s="188" t="s">
        <v>139</v>
      </c>
      <c r="B35" s="188">
        <v>211285138.09</v>
      </c>
      <c r="C35" s="188">
        <v>212491248.88999999</v>
      </c>
      <c r="D35" s="188">
        <v>222631724.88999999</v>
      </c>
      <c r="E35" s="188">
        <v>166195436.41999999</v>
      </c>
      <c r="F35" s="188">
        <v>167596001.68000001</v>
      </c>
      <c r="G35" s="188">
        <v>171875528.19999999</v>
      </c>
      <c r="H35" s="188">
        <v>176677404.58000001</v>
      </c>
      <c r="I35" s="188">
        <v>174211692.41</v>
      </c>
      <c r="J35" s="188">
        <v>179208457.58000001</v>
      </c>
      <c r="K35" s="188">
        <v>183970485.49000001</v>
      </c>
      <c r="L35" s="188">
        <v>189266175.47</v>
      </c>
      <c r="M35" s="188">
        <v>194570402.09</v>
      </c>
      <c r="N35" s="188">
        <v>204342822.53999999</v>
      </c>
      <c r="O35" s="188">
        <v>204205252.71000001</v>
      </c>
      <c r="P35" s="188">
        <v>207262306.84</v>
      </c>
      <c r="Q35" s="188">
        <v>212497945.91999999</v>
      </c>
      <c r="R35" s="188">
        <v>177231526.69999999</v>
      </c>
      <c r="S35" s="188">
        <v>74187220.359999999</v>
      </c>
      <c r="T35" s="188">
        <v>74113085.890000001</v>
      </c>
      <c r="U35" s="188">
        <v>74686847.709999993</v>
      </c>
      <c r="V35" s="188">
        <v>69718957.150000006</v>
      </c>
      <c r="W35" s="188">
        <v>69727779.969999999</v>
      </c>
      <c r="X35" s="188">
        <v>57511497.210000001</v>
      </c>
      <c r="Y35" s="188">
        <v>33002843.690000001</v>
      </c>
      <c r="Z35" s="188">
        <v>32433723.84</v>
      </c>
      <c r="AA35" s="188">
        <v>32729963.129999999</v>
      </c>
      <c r="AB35" s="188">
        <v>32895205.280000001</v>
      </c>
      <c r="AC35" s="188">
        <v>32326785.460000001</v>
      </c>
      <c r="AD35" s="188">
        <v>32138380.969999999</v>
      </c>
      <c r="AE35" s="188">
        <v>32165947.300000001</v>
      </c>
      <c r="AF35" s="188">
        <v>26812648.27</v>
      </c>
      <c r="AG35" s="188">
        <v>26750206.739999998</v>
      </c>
      <c r="AH35" s="188">
        <v>25889150.149999999</v>
      </c>
      <c r="AI35" s="188">
        <v>26342922.739999998</v>
      </c>
      <c r="AJ35" s="188">
        <v>0</v>
      </c>
    </row>
    <row r="36" spans="1:36">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row>
    <row r="37" spans="1:36">
      <c r="A37" s="188" t="s">
        <v>141</v>
      </c>
      <c r="B37" s="188">
        <v>7463719802.5799999</v>
      </c>
      <c r="C37" s="188">
        <v>7071058670.0600004</v>
      </c>
      <c r="D37" s="188">
        <v>6903591884.2799997</v>
      </c>
      <c r="E37" s="188">
        <v>1999672349.53</v>
      </c>
      <c r="F37" s="188">
        <v>1862333518.8900001</v>
      </c>
      <c r="G37" s="188">
        <v>1862333518.8900001</v>
      </c>
      <c r="H37" s="188">
        <v>1859320965.1800001</v>
      </c>
      <c r="I37" s="188">
        <v>1862333518.8900001</v>
      </c>
      <c r="J37" s="188">
        <v>1852321266</v>
      </c>
      <c r="K37" s="188">
        <v>1852321266</v>
      </c>
      <c r="L37" s="188">
        <v>1795942417.78</v>
      </c>
      <c r="M37" s="188">
        <v>1795942417.78</v>
      </c>
      <c r="N37" s="188">
        <v>1795317100.8099999</v>
      </c>
      <c r="O37" s="188">
        <v>1795317100.8099999</v>
      </c>
      <c r="P37" s="188">
        <v>1503388390.6900001</v>
      </c>
      <c r="Q37" s="188">
        <v>1503388390.6900001</v>
      </c>
      <c r="R37" s="188">
        <v>1495385207.3299999</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row>
    <row r="38" spans="1:36">
      <c r="A38" s="188" t="s">
        <v>142</v>
      </c>
      <c r="B38" s="188">
        <v>141946820.02000001</v>
      </c>
      <c r="C38" s="188">
        <v>127521893.86</v>
      </c>
      <c r="D38" s="188">
        <v>114639439.12</v>
      </c>
      <c r="E38" s="188">
        <v>113315732.78</v>
      </c>
      <c r="F38" s="188">
        <v>91051394.370000005</v>
      </c>
      <c r="G38" s="188">
        <v>78889408.25</v>
      </c>
      <c r="H38" s="188">
        <v>86661275.769999996</v>
      </c>
      <c r="I38" s="188">
        <v>78353293.379999995</v>
      </c>
      <c r="J38" s="188">
        <v>94153659.040000007</v>
      </c>
      <c r="K38" s="188">
        <v>83796820.819999993</v>
      </c>
      <c r="L38" s="188">
        <v>92284259.650000006</v>
      </c>
      <c r="M38" s="188">
        <v>88933732.260000005</v>
      </c>
      <c r="N38" s="188">
        <v>84995226.519999996</v>
      </c>
      <c r="O38" s="188">
        <v>80380509.900000006</v>
      </c>
      <c r="P38" s="188">
        <v>74126010.769999996</v>
      </c>
      <c r="Q38" s="188">
        <v>60397390.719999999</v>
      </c>
      <c r="R38" s="188">
        <v>58417878.079999998</v>
      </c>
      <c r="S38" s="188">
        <v>59334528.490000002</v>
      </c>
      <c r="T38" s="188">
        <v>63604456.810000002</v>
      </c>
      <c r="U38" s="188">
        <v>53002814.619999997</v>
      </c>
      <c r="V38" s="188">
        <v>45577694.039999999</v>
      </c>
      <c r="W38" s="188">
        <v>44687186.240000002</v>
      </c>
      <c r="X38" s="188">
        <v>45889973.5</v>
      </c>
      <c r="Y38" s="188">
        <v>26430399.649999999</v>
      </c>
      <c r="Z38" s="188">
        <v>18801031.300000001</v>
      </c>
      <c r="AA38" s="188">
        <v>10338831.67</v>
      </c>
      <c r="AB38" s="188">
        <v>8226167.8399999999</v>
      </c>
      <c r="AC38" s="188">
        <v>4666258.1500000004</v>
      </c>
      <c r="AD38" s="188">
        <v>5280073.8600000003</v>
      </c>
      <c r="AE38" s="188">
        <v>1338550.55</v>
      </c>
      <c r="AF38" s="188">
        <v>1359560.66</v>
      </c>
      <c r="AG38" s="188">
        <v>1161179.1100000001</v>
      </c>
      <c r="AH38" s="188">
        <v>1016294.78</v>
      </c>
      <c r="AI38" s="188">
        <v>709239.06</v>
      </c>
      <c r="AJ38" s="188">
        <v>0</v>
      </c>
    </row>
    <row r="39" spans="1:36">
      <c r="A39" s="188" t="s">
        <v>143</v>
      </c>
      <c r="B39" s="188">
        <v>21461160.539999999</v>
      </c>
      <c r="C39" s="188">
        <v>26078426.75</v>
      </c>
      <c r="D39" s="188">
        <v>21882347.18</v>
      </c>
      <c r="E39" s="188">
        <v>19130032.390000001</v>
      </c>
      <c r="F39" s="188">
        <v>15340040.210000001</v>
      </c>
      <c r="G39" s="188">
        <v>14040377.539999999</v>
      </c>
      <c r="H39" s="188">
        <v>15372341.539999999</v>
      </c>
      <c r="I39" s="188">
        <v>14604646.59</v>
      </c>
      <c r="J39" s="188">
        <v>14871978.41</v>
      </c>
      <c r="K39" s="188">
        <v>11137188.23</v>
      </c>
      <c r="L39" s="188">
        <v>10670148.17</v>
      </c>
      <c r="M39" s="188">
        <v>12991000.49</v>
      </c>
      <c r="N39" s="188">
        <v>8015704.8700000001</v>
      </c>
      <c r="O39" s="188">
        <v>6842864.4299999997</v>
      </c>
      <c r="P39" s="188">
        <v>6125520.0899999999</v>
      </c>
      <c r="Q39" s="188">
        <v>6083440.9699999997</v>
      </c>
      <c r="R39" s="188">
        <v>4649420.0199999996</v>
      </c>
      <c r="S39" s="188">
        <v>4445811.88</v>
      </c>
      <c r="T39" s="188">
        <v>3920132.28</v>
      </c>
      <c r="U39" s="188">
        <v>3678601.37</v>
      </c>
      <c r="V39" s="188">
        <v>3781117.61</v>
      </c>
      <c r="W39" s="188">
        <v>3752297.07</v>
      </c>
      <c r="X39" s="188">
        <v>3548780.58</v>
      </c>
      <c r="Y39" s="188">
        <v>3505320.92</v>
      </c>
      <c r="Z39" s="188">
        <v>3786247.39</v>
      </c>
      <c r="AA39" s="188">
        <v>3742932.14</v>
      </c>
      <c r="AB39" s="188">
        <v>3848678.78</v>
      </c>
      <c r="AC39" s="188">
        <v>3116788.22</v>
      </c>
      <c r="AD39" s="188">
        <v>2480416.3199999998</v>
      </c>
      <c r="AE39" s="188">
        <v>2664157.0499999998</v>
      </c>
      <c r="AF39" s="188">
        <v>2156883.15</v>
      </c>
      <c r="AG39" s="188">
        <v>2156883.16</v>
      </c>
      <c r="AH39" s="188">
        <v>4014386.72</v>
      </c>
      <c r="AI39" s="188">
        <v>2092503.54</v>
      </c>
      <c r="AJ39" s="188">
        <v>0</v>
      </c>
    </row>
    <row r="40" spans="1:36">
      <c r="A40" s="188" t="s">
        <v>144</v>
      </c>
      <c r="B40" s="188">
        <v>124309531.39</v>
      </c>
      <c r="C40" s="188">
        <v>477500862.14999998</v>
      </c>
      <c r="D40" s="188">
        <v>25337915.550000001</v>
      </c>
      <c r="E40" s="188">
        <v>35205966.229999997</v>
      </c>
      <c r="F40" s="188">
        <v>66158426.590000004</v>
      </c>
      <c r="G40" s="188">
        <v>76751569.060000002</v>
      </c>
      <c r="H40" s="188">
        <v>38884725.590000004</v>
      </c>
      <c r="I40" s="188">
        <v>30008638.890000001</v>
      </c>
      <c r="J40" s="188">
        <v>26691989.829999998</v>
      </c>
      <c r="K40" s="188">
        <v>12253001.02</v>
      </c>
      <c r="L40" s="188">
        <v>7256630.71</v>
      </c>
      <c r="M40" s="188">
        <v>6473008.7300000004</v>
      </c>
      <c r="N40" s="188">
        <v>39223496.590000004</v>
      </c>
      <c r="O40" s="188">
        <v>40248665.770000003</v>
      </c>
      <c r="P40" s="188">
        <v>54541612.890000001</v>
      </c>
      <c r="Q40" s="188">
        <v>33601041.659999996</v>
      </c>
      <c r="R40" s="188">
        <v>46072312.909999996</v>
      </c>
      <c r="S40" s="188">
        <v>44017909.950000003</v>
      </c>
      <c r="T40" s="188">
        <v>58963615.920000002</v>
      </c>
      <c r="U40" s="188">
        <v>38465998.619999997</v>
      </c>
      <c r="V40" s="188">
        <v>100050470.3</v>
      </c>
      <c r="W40" s="188">
        <v>80379598.299999997</v>
      </c>
      <c r="X40" s="188">
        <v>66362870.380000003</v>
      </c>
      <c r="Y40" s="188">
        <v>47416109.07</v>
      </c>
      <c r="Z40" s="188">
        <v>0</v>
      </c>
      <c r="AA40" s="188">
        <v>0</v>
      </c>
      <c r="AB40" s="188">
        <v>0</v>
      </c>
      <c r="AC40" s="188">
        <v>0</v>
      </c>
      <c r="AD40" s="188">
        <v>0</v>
      </c>
      <c r="AE40" s="188">
        <v>0</v>
      </c>
      <c r="AF40" s="188">
        <v>0</v>
      </c>
      <c r="AG40" s="188">
        <v>0</v>
      </c>
      <c r="AH40" s="188">
        <v>0</v>
      </c>
      <c r="AI40" s="188">
        <v>0</v>
      </c>
      <c r="AJ40" s="188">
        <v>0</v>
      </c>
    </row>
    <row r="41" spans="1:36">
      <c r="A41" s="188" t="s">
        <v>145</v>
      </c>
      <c r="B41" s="188">
        <v>9856762522.0300007</v>
      </c>
      <c r="C41" s="188">
        <v>9603385604.7000008</v>
      </c>
      <c r="D41" s="188">
        <v>9191924498.4599991</v>
      </c>
      <c r="E41" s="188">
        <v>4094440918.4699998</v>
      </c>
      <c r="F41" s="188">
        <v>3849507573.0900002</v>
      </c>
      <c r="G41" s="188">
        <v>3740329263.6999998</v>
      </c>
      <c r="H41" s="188">
        <v>3619813512.6500001</v>
      </c>
      <c r="I41" s="188">
        <v>3568238219.46</v>
      </c>
      <c r="J41" s="188">
        <v>3480622803.6900001</v>
      </c>
      <c r="K41" s="188">
        <v>3425279819.0700002</v>
      </c>
      <c r="L41" s="188">
        <v>3370379451.6799998</v>
      </c>
      <c r="M41" s="188">
        <v>3196681330.3000002</v>
      </c>
      <c r="N41" s="188">
        <v>3178597136.0100002</v>
      </c>
      <c r="O41" s="188">
        <v>3154614690.4000001</v>
      </c>
      <c r="P41" s="188">
        <v>2858566476.9200001</v>
      </c>
      <c r="Q41" s="188">
        <v>2821257730.4299998</v>
      </c>
      <c r="R41" s="188">
        <v>2763767482.4099998</v>
      </c>
      <c r="S41" s="188">
        <v>1090431178.7</v>
      </c>
      <c r="T41" s="188">
        <v>1065290545.74</v>
      </c>
      <c r="U41" s="188">
        <v>1029096146.12</v>
      </c>
      <c r="V41" s="188">
        <v>916861473.82000005</v>
      </c>
      <c r="W41" s="188">
        <v>899890040.64999998</v>
      </c>
      <c r="X41" s="188">
        <v>856624245.05999994</v>
      </c>
      <c r="Y41" s="188">
        <v>771446100.32000005</v>
      </c>
      <c r="Z41" s="188">
        <v>703020134.75</v>
      </c>
      <c r="AA41" s="188">
        <v>677541144.30999994</v>
      </c>
      <c r="AB41" s="188">
        <v>635689165.73000002</v>
      </c>
      <c r="AC41" s="188">
        <v>610177408.24000001</v>
      </c>
      <c r="AD41" s="188">
        <v>561481166.71000004</v>
      </c>
      <c r="AE41" s="188">
        <v>508127382.36000001</v>
      </c>
      <c r="AF41" s="188">
        <v>433486812.39999998</v>
      </c>
      <c r="AG41" s="188">
        <v>393436199.32999998</v>
      </c>
      <c r="AH41" s="188">
        <v>266827231.47</v>
      </c>
      <c r="AI41" s="188">
        <v>141288790.53</v>
      </c>
      <c r="AJ41" s="188">
        <v>0</v>
      </c>
    </row>
    <row r="42" spans="1:36">
      <c r="A42" s="188" t="s">
        <v>146</v>
      </c>
      <c r="B42" s="188">
        <v>16146822370.379999</v>
      </c>
      <c r="C42" s="188">
        <v>15948002478.25</v>
      </c>
      <c r="D42" s="188">
        <v>15261841254.52</v>
      </c>
      <c r="E42" s="188">
        <v>6413770003.3999996</v>
      </c>
      <c r="F42" s="188">
        <v>6307081687.0299997</v>
      </c>
      <c r="G42" s="188">
        <v>6226138748.1899996</v>
      </c>
      <c r="H42" s="188">
        <v>5745922667.0799999</v>
      </c>
      <c r="I42" s="188">
        <v>5503922348.9200001</v>
      </c>
      <c r="J42" s="188">
        <v>5409940277.3800001</v>
      </c>
      <c r="K42" s="188">
        <v>5361438218.3800001</v>
      </c>
      <c r="L42" s="188">
        <v>5189175880.04</v>
      </c>
      <c r="M42" s="188">
        <v>5070809923.4300003</v>
      </c>
      <c r="N42" s="188">
        <v>4906825841.8400002</v>
      </c>
      <c r="O42" s="188">
        <v>4561168338.8699999</v>
      </c>
      <c r="P42" s="188">
        <v>4299196625.8000002</v>
      </c>
      <c r="Q42" s="188">
        <v>4198877741.9000001</v>
      </c>
      <c r="R42" s="188">
        <v>4090359441.8400002</v>
      </c>
      <c r="S42" s="188">
        <v>2125735465.72</v>
      </c>
      <c r="T42" s="188">
        <v>2122812390.7</v>
      </c>
      <c r="U42" s="188">
        <v>2070523250.6800001</v>
      </c>
      <c r="V42" s="188">
        <v>2027487191.0799999</v>
      </c>
      <c r="W42" s="188">
        <v>2052144416.74</v>
      </c>
      <c r="X42" s="188">
        <v>1953866508.21</v>
      </c>
      <c r="Y42" s="188">
        <v>1894678426.8900001</v>
      </c>
      <c r="Z42" s="188">
        <v>1807775126.05</v>
      </c>
      <c r="AA42" s="188">
        <v>1782358862.95</v>
      </c>
      <c r="AB42" s="188">
        <v>1721840287.0899999</v>
      </c>
      <c r="AC42" s="188">
        <v>1719672199.21</v>
      </c>
      <c r="AD42" s="188">
        <v>1691833716.29</v>
      </c>
      <c r="AE42" s="188">
        <v>1091696574.1600001</v>
      </c>
      <c r="AF42" s="188">
        <v>976004548.63</v>
      </c>
      <c r="AG42" s="188">
        <v>884353871.61000001</v>
      </c>
      <c r="AH42" s="188">
        <v>664992947.07000005</v>
      </c>
      <c r="AI42" s="188">
        <v>399021369.81</v>
      </c>
      <c r="AJ42" s="188">
        <v>0</v>
      </c>
    </row>
    <row r="43" spans="1:36">
      <c r="A43" s="188" t="s">
        <v>147</v>
      </c>
    </row>
    <row r="44" spans="1:36">
      <c r="A44" s="188" t="s">
        <v>148</v>
      </c>
      <c r="B44" s="188">
        <v>224006325</v>
      </c>
      <c r="C44" s="188">
        <v>194430000</v>
      </c>
      <c r="D44" s="188">
        <v>231630000</v>
      </c>
      <c r="E44" s="188">
        <v>231430000</v>
      </c>
      <c r="F44" s="188">
        <v>214450000</v>
      </c>
      <c r="G44" s="188">
        <v>251450000</v>
      </c>
      <c r="H44" s="188">
        <v>226000000</v>
      </c>
      <c r="I44" s="188">
        <v>194000000</v>
      </c>
      <c r="J44" s="188">
        <v>216000000</v>
      </c>
      <c r="K44" s="188">
        <v>216000000</v>
      </c>
      <c r="L44" s="188">
        <v>221000000</v>
      </c>
      <c r="M44" s="188">
        <v>221000000</v>
      </c>
      <c r="N44" s="188">
        <v>188000000</v>
      </c>
      <c r="O44" s="188">
        <v>150000000</v>
      </c>
      <c r="P44" s="188">
        <v>127000000</v>
      </c>
      <c r="Q44" s="188">
        <v>92000000</v>
      </c>
      <c r="R44" s="188">
        <v>70000000</v>
      </c>
      <c r="S44" s="188">
        <v>33000000</v>
      </c>
      <c r="T44" s="188">
        <v>20500000</v>
      </c>
      <c r="U44" s="188">
        <v>8000000</v>
      </c>
      <c r="V44" s="188">
        <v>5000000</v>
      </c>
      <c r="W44" s="188">
        <v>90018111.590000004</v>
      </c>
      <c r="X44" s="188">
        <v>104746585.38</v>
      </c>
      <c r="Y44" s="188">
        <v>95000000</v>
      </c>
      <c r="Z44" s="188">
        <v>85000000</v>
      </c>
      <c r="AA44" s="188">
        <v>55000000</v>
      </c>
      <c r="AB44" s="188">
        <v>0</v>
      </c>
      <c r="AC44" s="188">
        <v>5670810</v>
      </c>
      <c r="AD44" s="188">
        <v>12074310</v>
      </c>
      <c r="AE44" s="188">
        <v>223737520</v>
      </c>
      <c r="AF44" s="188">
        <v>217062505.81</v>
      </c>
      <c r="AG44" s="188">
        <v>198228045.81</v>
      </c>
      <c r="AH44" s="188">
        <v>105500000</v>
      </c>
      <c r="AI44" s="188">
        <v>121500000</v>
      </c>
      <c r="AJ44" s="188">
        <v>0</v>
      </c>
    </row>
    <row r="45" spans="1:36">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row>
    <row r="46" spans="1:36">
      <c r="A46" s="188" t="s">
        <v>150</v>
      </c>
      <c r="B46" s="188">
        <v>0</v>
      </c>
      <c r="C46" s="188">
        <v>251391921.43000001</v>
      </c>
      <c r="D46" s="188">
        <v>226091989.53</v>
      </c>
      <c r="E46" s="188">
        <v>191514882.59999999</v>
      </c>
      <c r="F46" s="188">
        <v>172876954.41</v>
      </c>
      <c r="G46" s="188">
        <v>224649838.31999999</v>
      </c>
      <c r="H46" s="188">
        <v>260832258.61000001</v>
      </c>
      <c r="I46" s="188">
        <v>202356898.16</v>
      </c>
      <c r="J46" s="188">
        <v>189628720.22</v>
      </c>
      <c r="K46" s="188">
        <v>197233945.15000001</v>
      </c>
      <c r="L46" s="188">
        <v>215354450.50999999</v>
      </c>
      <c r="M46" s="188">
        <v>169622311.34999999</v>
      </c>
      <c r="N46" s="188">
        <v>231944572.84999999</v>
      </c>
      <c r="O46" s="188">
        <v>107913571.89</v>
      </c>
      <c r="P46" s="188">
        <v>119597395.55</v>
      </c>
      <c r="Q46" s="188">
        <v>129115948.65000001</v>
      </c>
      <c r="R46" s="188">
        <v>179643748.71000001</v>
      </c>
      <c r="S46" s="188">
        <v>151406042.05000001</v>
      </c>
      <c r="T46" s="188">
        <v>196817529.94</v>
      </c>
      <c r="U46" s="188">
        <v>129196874.02</v>
      </c>
      <c r="V46" s="188">
        <v>136014608.37</v>
      </c>
      <c r="W46" s="188">
        <v>161430548.43000001</v>
      </c>
      <c r="X46" s="188">
        <v>77518548.430000007</v>
      </c>
      <c r="Y46" s="188">
        <v>23880000</v>
      </c>
      <c r="Z46" s="188">
        <v>10700000</v>
      </c>
      <c r="AA46" s="188">
        <v>35120000</v>
      </c>
      <c r="AB46" s="188">
        <v>23477587.789999999</v>
      </c>
      <c r="AC46" s="188">
        <v>2100000</v>
      </c>
      <c r="AD46" s="188">
        <v>2100000</v>
      </c>
      <c r="AE46" s="188">
        <v>7903750</v>
      </c>
      <c r="AF46" s="188">
        <v>7903750</v>
      </c>
      <c r="AG46" s="188">
        <v>630000</v>
      </c>
      <c r="AH46" s="188">
        <v>36998000.090000004</v>
      </c>
      <c r="AI46" s="188">
        <v>6675000</v>
      </c>
      <c r="AJ46" s="188">
        <v>0</v>
      </c>
    </row>
    <row r="47" spans="1:36">
      <c r="A47" s="188" t="s">
        <v>151</v>
      </c>
      <c r="B47" s="188">
        <v>0</v>
      </c>
      <c r="C47" s="188">
        <v>631787296.38999999</v>
      </c>
      <c r="D47" s="188">
        <v>755430333.84000003</v>
      </c>
      <c r="E47" s="188">
        <v>453012361.13</v>
      </c>
      <c r="F47" s="188">
        <v>417892257.89999998</v>
      </c>
      <c r="G47" s="188">
        <v>347747084.39999998</v>
      </c>
      <c r="H47" s="188">
        <v>362875396.32999998</v>
      </c>
      <c r="I47" s="188">
        <v>346536798.14999998</v>
      </c>
      <c r="J47" s="188">
        <v>350208862.31999999</v>
      </c>
      <c r="K47" s="188">
        <v>295828014.60000002</v>
      </c>
      <c r="L47" s="188">
        <v>298136006.81</v>
      </c>
      <c r="M47" s="188">
        <v>316307223.07999998</v>
      </c>
      <c r="N47" s="188">
        <v>253054738.59</v>
      </c>
      <c r="O47" s="188">
        <v>273660474.49000001</v>
      </c>
      <c r="P47" s="188">
        <v>250421938.13</v>
      </c>
      <c r="Q47" s="188">
        <v>205702491.91</v>
      </c>
      <c r="R47" s="188">
        <v>216129493.27000001</v>
      </c>
      <c r="S47" s="188">
        <v>200729257.40000001</v>
      </c>
      <c r="T47" s="188">
        <v>197373859.78</v>
      </c>
      <c r="U47" s="188">
        <v>240465359.46000001</v>
      </c>
      <c r="V47" s="188">
        <v>218933141.97</v>
      </c>
      <c r="W47" s="188">
        <v>160687877.33000001</v>
      </c>
      <c r="X47" s="188">
        <v>135238537.28</v>
      </c>
      <c r="Y47" s="188">
        <v>147378331.13999999</v>
      </c>
      <c r="Z47" s="188">
        <v>110232328.59999999</v>
      </c>
      <c r="AA47" s="188">
        <v>123409038.51000001</v>
      </c>
      <c r="AB47" s="188">
        <v>112084397.03</v>
      </c>
      <c r="AC47" s="188">
        <v>142805702.72999999</v>
      </c>
      <c r="AD47" s="188">
        <v>124840261.72</v>
      </c>
      <c r="AE47" s="188">
        <v>141735695.5</v>
      </c>
      <c r="AF47" s="188">
        <v>122441511.03</v>
      </c>
      <c r="AG47" s="188">
        <v>112303618.37</v>
      </c>
      <c r="AH47" s="188">
        <v>127455682.15000001</v>
      </c>
      <c r="AI47" s="188">
        <v>49045687.729999997</v>
      </c>
      <c r="AJ47" s="188">
        <v>0</v>
      </c>
    </row>
    <row r="48" spans="1:36">
      <c r="A48" s="188" t="s">
        <v>152</v>
      </c>
      <c r="B48" s="188">
        <v>58650179.18</v>
      </c>
      <c r="C48" s="188">
        <v>9754544.0899999999</v>
      </c>
      <c r="D48" s="188">
        <v>88180892.650000006</v>
      </c>
      <c r="E48" s="188">
        <v>40026496.979999997</v>
      </c>
      <c r="F48" s="188">
        <v>45730713.43</v>
      </c>
      <c r="G48" s="188">
        <v>39873751.920000002</v>
      </c>
      <c r="H48" s="188">
        <v>95568790.030000001</v>
      </c>
      <c r="I48" s="188">
        <v>54984652.32</v>
      </c>
      <c r="J48" s="188">
        <v>74143484.819999993</v>
      </c>
      <c r="K48" s="188">
        <v>48921557.630000003</v>
      </c>
      <c r="L48" s="188">
        <v>51958510.700000003</v>
      </c>
      <c r="M48" s="188">
        <v>50318820.43</v>
      </c>
      <c r="N48" s="188">
        <v>49812225.219999999</v>
      </c>
      <c r="O48" s="188">
        <v>44391825.170000002</v>
      </c>
      <c r="P48" s="188">
        <v>50104429.350000001</v>
      </c>
      <c r="Q48" s="188">
        <v>43872160.439999998</v>
      </c>
      <c r="R48" s="188">
        <v>51633608.189999998</v>
      </c>
      <c r="S48" s="188">
        <v>6854337.2199999997</v>
      </c>
      <c r="T48" s="188">
        <v>6532452.1500000004</v>
      </c>
      <c r="U48" s="188">
        <v>5804520.3499999996</v>
      </c>
      <c r="V48" s="188">
        <v>14625616.619999999</v>
      </c>
      <c r="W48" s="188">
        <v>4482161.45</v>
      </c>
      <c r="X48" s="188">
        <v>7370429.9800000004</v>
      </c>
      <c r="Y48" s="188">
        <v>9184879.1400000006</v>
      </c>
      <c r="Z48" s="188">
        <v>8822682.3100000005</v>
      </c>
      <c r="AA48" s="188">
        <v>8268929.4199999999</v>
      </c>
      <c r="AB48" s="188">
        <v>4981669.01</v>
      </c>
      <c r="AC48" s="188">
        <v>4656300.1900000004</v>
      </c>
      <c r="AD48" s="188">
        <v>9015370.3900000006</v>
      </c>
      <c r="AE48" s="188">
        <v>4091482.33</v>
      </c>
      <c r="AF48" s="188">
        <v>11192710.68</v>
      </c>
      <c r="AG48" s="188">
        <v>9392356.2100000009</v>
      </c>
      <c r="AH48" s="188">
        <v>11691792.74</v>
      </c>
      <c r="AI48" s="188">
        <v>13327567.529999999</v>
      </c>
      <c r="AJ48" s="188">
        <v>0</v>
      </c>
    </row>
    <row r="49" spans="1:36">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row>
    <row r="50" spans="1:36">
      <c r="A50" s="188" t="s">
        <v>154</v>
      </c>
      <c r="B50" s="188">
        <v>67593629.950000003</v>
      </c>
      <c r="C50" s="188">
        <v>48709074.880000003</v>
      </c>
      <c r="D50" s="188">
        <v>41722700.109999999</v>
      </c>
      <c r="E50" s="188">
        <v>63807415.090000004</v>
      </c>
      <c r="F50" s="188">
        <v>40216651.350000001</v>
      </c>
      <c r="G50" s="188">
        <v>33563383.890000001</v>
      </c>
      <c r="H50" s="188">
        <v>32498492.550000001</v>
      </c>
      <c r="I50" s="188">
        <v>50276266.82</v>
      </c>
      <c r="J50" s="188">
        <v>32736166.18</v>
      </c>
      <c r="K50" s="188">
        <v>35133146.600000001</v>
      </c>
      <c r="L50" s="188">
        <v>29294426.170000002</v>
      </c>
      <c r="M50" s="188">
        <v>48561768.390000001</v>
      </c>
      <c r="N50" s="188">
        <v>32660292.399999999</v>
      </c>
      <c r="O50" s="188">
        <v>29923788.949999999</v>
      </c>
      <c r="P50" s="188">
        <v>30519691.109999999</v>
      </c>
      <c r="Q50" s="188">
        <v>42220770.829999998</v>
      </c>
      <c r="R50" s="188">
        <v>21658855.030000001</v>
      </c>
      <c r="S50" s="188">
        <v>14309989.949999999</v>
      </c>
      <c r="T50" s="188">
        <v>13742491.119999999</v>
      </c>
      <c r="U50" s="188">
        <v>23615249.539999999</v>
      </c>
      <c r="V50" s="188">
        <v>14973274.16</v>
      </c>
      <c r="W50" s="188">
        <v>10824062.4</v>
      </c>
      <c r="X50" s="188">
        <v>8248660.54</v>
      </c>
      <c r="Y50" s="188">
        <v>17465419.760000002</v>
      </c>
      <c r="Z50" s="188">
        <v>6301188.3899999997</v>
      </c>
      <c r="AA50" s="188">
        <v>6058745.3200000003</v>
      </c>
      <c r="AB50" s="188">
        <v>8591338.3499999996</v>
      </c>
      <c r="AC50" s="188">
        <v>17228644.84</v>
      </c>
      <c r="AD50" s="188">
        <v>6278653.0099999998</v>
      </c>
      <c r="AE50" s="188">
        <v>6728143.7999999998</v>
      </c>
      <c r="AF50" s="188">
        <v>8929692.0299999993</v>
      </c>
      <c r="AG50" s="188">
        <v>20671998.329999998</v>
      </c>
      <c r="AH50" s="188">
        <v>14093249</v>
      </c>
      <c r="AI50" s="188">
        <v>9635131.0600000005</v>
      </c>
      <c r="AJ50" s="188">
        <v>0</v>
      </c>
    </row>
    <row r="51" spans="1:36">
      <c r="A51" s="188" t="s">
        <v>155</v>
      </c>
      <c r="B51" s="188">
        <v>69070851.140000001</v>
      </c>
      <c r="C51" s="188">
        <v>74060748.530000001</v>
      </c>
      <c r="D51" s="188">
        <v>167464229.00999999</v>
      </c>
      <c r="E51" s="188">
        <v>162912399.94</v>
      </c>
      <c r="F51" s="188">
        <v>111949852.03</v>
      </c>
      <c r="G51" s="188">
        <v>110665683.08</v>
      </c>
      <c r="H51" s="188">
        <v>54245803.700000003</v>
      </c>
      <c r="I51" s="188">
        <v>57060997.329999998</v>
      </c>
      <c r="J51" s="188">
        <v>51828344.469999999</v>
      </c>
      <c r="K51" s="188">
        <v>45309147.469999999</v>
      </c>
      <c r="L51" s="188">
        <v>50198088.579999998</v>
      </c>
      <c r="M51" s="188">
        <v>48717595.170000002</v>
      </c>
      <c r="N51" s="188">
        <v>49511469.329999998</v>
      </c>
      <c r="O51" s="188">
        <v>34046280.859999999</v>
      </c>
      <c r="P51" s="188">
        <v>19299536</v>
      </c>
      <c r="Q51" s="188">
        <v>35389381.109999999</v>
      </c>
      <c r="R51" s="188">
        <v>22544520.350000001</v>
      </c>
      <c r="S51" s="188">
        <v>17520836.449999999</v>
      </c>
      <c r="T51" s="188">
        <v>15855349.84</v>
      </c>
      <c r="U51" s="188">
        <v>12090262.039999999</v>
      </c>
      <c r="V51" s="188">
        <v>8501978.1899999995</v>
      </c>
      <c r="W51" s="188">
        <v>11669628.310000001</v>
      </c>
      <c r="X51" s="188">
        <v>9183603.3900000006</v>
      </c>
      <c r="Y51" s="188">
        <v>7349251.8799999999</v>
      </c>
      <c r="Z51" s="188">
        <v>2894404.06</v>
      </c>
      <c r="AA51" s="188">
        <v>-2907609.6</v>
      </c>
      <c r="AB51" s="188">
        <v>-1337317.73</v>
      </c>
      <c r="AC51" s="188">
        <v>2688337.02</v>
      </c>
      <c r="AD51" s="188">
        <v>8704713.5600000005</v>
      </c>
      <c r="AE51" s="188">
        <v>4404040.49</v>
      </c>
      <c r="AF51" s="188">
        <v>5965560.9500000002</v>
      </c>
      <c r="AG51" s="188">
        <v>12088425.16</v>
      </c>
      <c r="AH51" s="188">
        <v>3100596.5</v>
      </c>
      <c r="AI51" s="188">
        <v>-766400.81</v>
      </c>
      <c r="AJ51" s="188">
        <v>0</v>
      </c>
    </row>
    <row r="52" spans="1:36">
      <c r="A52" s="188" t="s">
        <v>156</v>
      </c>
      <c r="B52" s="188">
        <v>0</v>
      </c>
      <c r="C52" s="188">
        <v>547752.29</v>
      </c>
      <c r="D52" s="188">
        <v>335685.52</v>
      </c>
      <c r="E52" s="188">
        <v>332420</v>
      </c>
      <c r="F52" s="188">
        <v>699983.24</v>
      </c>
      <c r="G52" s="188">
        <v>411492.24</v>
      </c>
      <c r="H52" s="188">
        <v>446302.67</v>
      </c>
      <c r="I52" s="188">
        <v>446501.04</v>
      </c>
      <c r="J52" s="188">
        <v>595897.77</v>
      </c>
      <c r="K52" s="188">
        <v>535142.36</v>
      </c>
      <c r="L52" s="188">
        <v>796799.19</v>
      </c>
      <c r="M52" s="188">
        <v>647251.72</v>
      </c>
      <c r="N52" s="188">
        <v>661368.94999999995</v>
      </c>
      <c r="O52" s="188">
        <v>586152.59</v>
      </c>
      <c r="P52" s="188">
        <v>226509.59</v>
      </c>
      <c r="Q52" s="188">
        <v>215531.51</v>
      </c>
      <c r="R52" s="188">
        <v>575188.36</v>
      </c>
      <c r="S52" s="188">
        <v>177945.21</v>
      </c>
      <c r="T52" s="188">
        <v>0</v>
      </c>
      <c r="U52" s="188">
        <v>16000</v>
      </c>
      <c r="V52" s="188">
        <v>0</v>
      </c>
      <c r="W52" s="188">
        <v>317132.71999999997</v>
      </c>
      <c r="X52" s="188">
        <v>175806.76</v>
      </c>
      <c r="Y52" s="188">
        <v>161510.46</v>
      </c>
      <c r="Z52" s="188">
        <v>150616.44</v>
      </c>
      <c r="AA52" s="188">
        <v>102073.97</v>
      </c>
      <c r="AB52" s="188">
        <v>5404.5</v>
      </c>
      <c r="AC52" s="188">
        <v>5404.5</v>
      </c>
      <c r="AD52" s="188">
        <v>93243.66</v>
      </c>
      <c r="AE52" s="188">
        <v>721984.74</v>
      </c>
      <c r="AF52" s="188">
        <v>505908.44</v>
      </c>
      <c r="AG52" s="188">
        <v>505908.44</v>
      </c>
      <c r="AH52" s="188">
        <v>285730.5</v>
      </c>
      <c r="AI52" s="188">
        <v>260655.08</v>
      </c>
      <c r="AJ52" s="188">
        <v>0</v>
      </c>
    </row>
    <row r="53" spans="1:36">
      <c r="A53" s="188" t="s">
        <v>157</v>
      </c>
      <c r="B53" s="188">
        <v>0</v>
      </c>
      <c r="C53" s="188">
        <v>142887.57</v>
      </c>
      <c r="D53" s="188">
        <v>0</v>
      </c>
      <c r="E53" s="188">
        <v>9001125</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28206810.629999999</v>
      </c>
      <c r="AI53" s="188">
        <v>0</v>
      </c>
      <c r="AJ53" s="188">
        <v>0</v>
      </c>
    </row>
    <row r="54" spans="1:36">
      <c r="A54" s="188" t="s">
        <v>158</v>
      </c>
      <c r="B54" s="188">
        <v>182812941.19</v>
      </c>
      <c r="C54" s="188">
        <v>286818062.57999998</v>
      </c>
      <c r="D54" s="188">
        <v>31810658.449999999</v>
      </c>
      <c r="E54" s="188">
        <v>55664839.530000001</v>
      </c>
      <c r="F54" s="188">
        <v>42921834.939999998</v>
      </c>
      <c r="G54" s="188">
        <v>38353128.729999997</v>
      </c>
      <c r="H54" s="188">
        <v>11235506.140000001</v>
      </c>
      <c r="I54" s="188">
        <v>11342167.560000001</v>
      </c>
      <c r="J54" s="188">
        <v>6413306.9500000002</v>
      </c>
      <c r="K54" s="188">
        <v>5683297.96</v>
      </c>
      <c r="L54" s="188">
        <v>19647217.510000002</v>
      </c>
      <c r="M54" s="188">
        <v>5744569.04</v>
      </c>
      <c r="N54" s="188">
        <v>37582641.049999997</v>
      </c>
      <c r="O54" s="188">
        <v>186859707.75</v>
      </c>
      <c r="P54" s="188">
        <v>2462012.17</v>
      </c>
      <c r="Q54" s="188">
        <v>3617740.31</v>
      </c>
      <c r="R54" s="188">
        <v>3939732.74</v>
      </c>
      <c r="S54" s="188">
        <v>1190039.97</v>
      </c>
      <c r="T54" s="188">
        <v>991819.68</v>
      </c>
      <c r="U54" s="188">
        <v>888594.29</v>
      </c>
      <c r="V54" s="188">
        <v>1130324.05</v>
      </c>
      <c r="W54" s="188">
        <v>954160.39</v>
      </c>
      <c r="X54" s="188">
        <v>917195.18</v>
      </c>
      <c r="Y54" s="188">
        <v>1046989.11</v>
      </c>
      <c r="Z54" s="188">
        <v>683054.49</v>
      </c>
      <c r="AA54" s="188">
        <v>1526430.48</v>
      </c>
      <c r="AB54" s="188">
        <v>769382.37</v>
      </c>
      <c r="AC54" s="188">
        <v>1345567.7</v>
      </c>
      <c r="AD54" s="188">
        <v>1890129.5</v>
      </c>
      <c r="AE54" s="188">
        <v>595966.14</v>
      </c>
      <c r="AF54" s="188">
        <v>517461.26</v>
      </c>
      <c r="AG54" s="188">
        <v>574481.5</v>
      </c>
      <c r="AH54" s="188">
        <v>1459355.93</v>
      </c>
      <c r="AI54" s="188">
        <v>635333.41</v>
      </c>
      <c r="AJ54" s="188">
        <v>0</v>
      </c>
    </row>
    <row r="55" spans="1:36">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row>
    <row r="56" spans="1:36">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row>
    <row r="57" spans="1:36">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row>
    <row r="58" spans="1:36">
      <c r="A58" s="188" t="s">
        <v>162</v>
      </c>
      <c r="B58" s="188">
        <v>217500000</v>
      </c>
      <c r="C58" s="188">
        <v>231500000</v>
      </c>
      <c r="D58" s="188">
        <v>52000000</v>
      </c>
      <c r="E58" s="188">
        <v>72000000</v>
      </c>
      <c r="F58" s="188">
        <v>99000000</v>
      </c>
      <c r="G58" s="188">
        <v>87000000</v>
      </c>
      <c r="H58" s="188">
        <v>82000000</v>
      </c>
      <c r="I58" s="188">
        <v>77000000</v>
      </c>
      <c r="J58" s="188">
        <v>80000000</v>
      </c>
      <c r="K58" s="188">
        <v>100000000</v>
      </c>
      <c r="L58" s="188">
        <v>60000000</v>
      </c>
      <c r="M58" s="188">
        <v>75000000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90000000</v>
      </c>
      <c r="AF58" s="188">
        <v>90000000</v>
      </c>
      <c r="AG58" s="188">
        <v>90000000</v>
      </c>
      <c r="AH58" s="188">
        <v>20000000</v>
      </c>
      <c r="AI58" s="188">
        <v>0</v>
      </c>
      <c r="AJ58" s="188">
        <v>0</v>
      </c>
    </row>
    <row r="59" spans="1:36">
      <c r="A59" s="188" t="s">
        <v>163</v>
      </c>
      <c r="B59" s="188">
        <v>54471871.030000001</v>
      </c>
      <c r="C59" s="188">
        <v>95152908.079999998</v>
      </c>
      <c r="D59" s="188">
        <v>27982212.530000001</v>
      </c>
      <c r="E59" s="188">
        <v>18761024.530000001</v>
      </c>
      <c r="F59" s="188">
        <v>23956247.559999999</v>
      </c>
      <c r="G59" s="188">
        <v>20115835.859999999</v>
      </c>
      <c r="H59" s="188">
        <v>23581177.41</v>
      </c>
      <c r="I59" s="188">
        <v>20501454</v>
      </c>
      <c r="J59" s="188">
        <v>12219982.99</v>
      </c>
      <c r="K59" s="188">
        <v>21036582.260000002</v>
      </c>
      <c r="L59" s="188">
        <v>16921737.640000001</v>
      </c>
      <c r="M59" s="188">
        <v>16578142.060000001</v>
      </c>
      <c r="N59" s="188">
        <v>4441806.74</v>
      </c>
      <c r="O59" s="188">
        <v>5312855.47</v>
      </c>
      <c r="P59" s="188">
        <v>8002857.1799999997</v>
      </c>
      <c r="Q59" s="188">
        <v>10551447.35</v>
      </c>
      <c r="R59" s="188">
        <v>5901902.54</v>
      </c>
      <c r="S59" s="188">
        <v>864998.76</v>
      </c>
      <c r="T59" s="188">
        <v>3249434.9</v>
      </c>
      <c r="U59" s="188">
        <v>4182240.24</v>
      </c>
      <c r="V59" s="188">
        <v>1035573.66</v>
      </c>
      <c r="W59" s="188">
        <v>2087579.01</v>
      </c>
      <c r="X59" s="188">
        <v>1322852.95</v>
      </c>
      <c r="Y59" s="188">
        <v>3495346.58</v>
      </c>
      <c r="Z59" s="188">
        <v>5900913.54</v>
      </c>
      <c r="AA59" s="188">
        <v>1472327.69</v>
      </c>
      <c r="AB59" s="188">
        <v>1248152.6399999999</v>
      </c>
      <c r="AC59" s="188">
        <v>0</v>
      </c>
      <c r="AD59" s="188">
        <v>2519249.14</v>
      </c>
      <c r="AE59" s="188">
        <v>2030373.03</v>
      </c>
      <c r="AF59" s="188">
        <v>714568.14</v>
      </c>
      <c r="AG59" s="188">
        <v>0</v>
      </c>
      <c r="AH59" s="188">
        <v>1528258.2</v>
      </c>
      <c r="AI59" s="188">
        <v>0</v>
      </c>
      <c r="AJ59" s="188">
        <v>0</v>
      </c>
    </row>
    <row r="60" spans="1:36">
      <c r="A60" s="188" t="s">
        <v>164</v>
      </c>
      <c r="B60" s="188">
        <v>1794884017.8299999</v>
      </c>
      <c r="C60" s="188">
        <v>1824295195.8399999</v>
      </c>
      <c r="D60" s="188">
        <v>1622648701.6400001</v>
      </c>
      <c r="E60" s="188">
        <v>1298620784.7</v>
      </c>
      <c r="F60" s="188">
        <v>1169694494.8599999</v>
      </c>
      <c r="G60" s="188">
        <v>1153830198.4400001</v>
      </c>
      <c r="H60" s="188">
        <v>1149283727.4400001</v>
      </c>
      <c r="I60" s="188">
        <v>1014505735.38</v>
      </c>
      <c r="J60" s="188">
        <v>1013774765.72</v>
      </c>
      <c r="K60" s="188">
        <v>965680834.02999997</v>
      </c>
      <c r="L60" s="188">
        <v>963307237.11000001</v>
      </c>
      <c r="M60" s="188">
        <v>952497681.24000001</v>
      </c>
      <c r="N60" s="188">
        <v>847669115.13</v>
      </c>
      <c r="O60" s="188">
        <v>832694657.16999996</v>
      </c>
      <c r="P60" s="188">
        <v>607634369.08000004</v>
      </c>
      <c r="Q60" s="188">
        <v>562685472.11000001</v>
      </c>
      <c r="R60" s="188">
        <v>572027049.19000006</v>
      </c>
      <c r="S60" s="188">
        <v>426053447.00999999</v>
      </c>
      <c r="T60" s="188">
        <v>455062937.41000003</v>
      </c>
      <c r="U60" s="188">
        <v>424259099.94</v>
      </c>
      <c r="V60" s="188">
        <v>400214517.01999998</v>
      </c>
      <c r="W60" s="188">
        <v>442471261.63</v>
      </c>
      <c r="X60" s="188">
        <v>344722219.88999999</v>
      </c>
      <c r="Y60" s="188">
        <v>304961728.06999999</v>
      </c>
      <c r="Z60" s="188">
        <v>230685187.83000001</v>
      </c>
      <c r="AA60" s="188">
        <v>228049935.78999999</v>
      </c>
      <c r="AB60" s="188">
        <v>149820613.96000001</v>
      </c>
      <c r="AC60" s="188">
        <v>176500766.97999999</v>
      </c>
      <c r="AD60" s="188">
        <v>167515930.97999999</v>
      </c>
      <c r="AE60" s="188">
        <v>481948956.02999997</v>
      </c>
      <c r="AF60" s="188">
        <v>465233668.33999997</v>
      </c>
      <c r="AG60" s="188">
        <v>444394833.81999999</v>
      </c>
      <c r="AH60" s="188">
        <v>350319475.74000001</v>
      </c>
      <c r="AI60" s="188">
        <v>200312974</v>
      </c>
      <c r="AJ60" s="188">
        <v>0</v>
      </c>
    </row>
    <row r="61" spans="1:36">
      <c r="A61" s="188" t="s">
        <v>165</v>
      </c>
    </row>
    <row r="62" spans="1:36">
      <c r="A62" s="188" t="s">
        <v>166</v>
      </c>
      <c r="B62" s="188">
        <v>0</v>
      </c>
      <c r="C62" s="188">
        <v>0</v>
      </c>
      <c r="D62" s="188">
        <v>0</v>
      </c>
      <c r="E62" s="188">
        <v>0</v>
      </c>
      <c r="F62" s="188">
        <v>0</v>
      </c>
      <c r="G62" s="188">
        <v>20000000</v>
      </c>
      <c r="H62" s="188">
        <v>40000000</v>
      </c>
      <c r="I62" s="188">
        <v>60000000</v>
      </c>
      <c r="J62" s="188">
        <v>80000000</v>
      </c>
      <c r="K62" s="188">
        <v>95000000</v>
      </c>
      <c r="L62" s="188">
        <v>110000000</v>
      </c>
      <c r="M62" s="188">
        <v>125000000</v>
      </c>
      <c r="N62" s="188">
        <v>200000000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110000000</v>
      </c>
      <c r="AF62" s="188">
        <v>60000000</v>
      </c>
      <c r="AG62" s="188">
        <v>30000000</v>
      </c>
      <c r="AH62" s="188">
        <v>44000000</v>
      </c>
      <c r="AI62" s="188">
        <v>0</v>
      </c>
      <c r="AJ62" s="188">
        <v>0</v>
      </c>
    </row>
    <row r="63" spans="1:36">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row>
    <row r="64" spans="1:36">
      <c r="A64" s="188" t="s">
        <v>168</v>
      </c>
      <c r="B64" s="188">
        <v>0</v>
      </c>
      <c r="C64" s="188">
        <v>0</v>
      </c>
      <c r="D64" s="188">
        <v>0</v>
      </c>
      <c r="E64" s="188">
        <v>0</v>
      </c>
      <c r="F64" s="188">
        <v>0</v>
      </c>
      <c r="G64" s="188">
        <v>0</v>
      </c>
      <c r="H64" s="188">
        <v>0</v>
      </c>
      <c r="I64" s="188">
        <v>0</v>
      </c>
      <c r="J64" s="188">
        <v>30000000</v>
      </c>
      <c r="K64" s="188">
        <v>30000000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row>
    <row r="65" spans="1:36">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row>
    <row r="66" spans="1:36">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row>
    <row r="67" spans="1:36">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row>
    <row r="68" spans="1:36">
      <c r="A68" s="188" t="s">
        <v>172</v>
      </c>
      <c r="B68" s="188">
        <v>0</v>
      </c>
      <c r="C68" s="188">
        <v>2112413.17</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row>
    <row r="69" spans="1:36">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row>
    <row r="70" spans="1:36">
      <c r="A70" s="188" t="s">
        <v>174</v>
      </c>
      <c r="B70" s="188">
        <v>0</v>
      </c>
      <c r="C70" s="188">
        <v>18000000</v>
      </c>
      <c r="D70" s="188">
        <v>18000000</v>
      </c>
      <c r="E70" s="188">
        <v>18000000</v>
      </c>
      <c r="F70" s="188">
        <v>18000000</v>
      </c>
      <c r="G70" s="188">
        <v>30000000</v>
      </c>
      <c r="H70" s="188">
        <v>30000000</v>
      </c>
      <c r="I70" s="188">
        <v>30000000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row>
    <row r="71" spans="1:36">
      <c r="A71" s="188" t="s">
        <v>175</v>
      </c>
      <c r="B71" s="188">
        <v>0</v>
      </c>
      <c r="C71" s="188">
        <v>20112413.170000002</v>
      </c>
      <c r="D71" s="188">
        <v>18000000</v>
      </c>
      <c r="E71" s="188">
        <v>18000000</v>
      </c>
      <c r="F71" s="188">
        <v>18000000</v>
      </c>
      <c r="G71" s="188">
        <v>50000000</v>
      </c>
      <c r="H71" s="188">
        <v>70000000</v>
      </c>
      <c r="I71" s="188">
        <v>90000000</v>
      </c>
      <c r="J71" s="188">
        <v>110000000</v>
      </c>
      <c r="K71" s="188">
        <v>125000000</v>
      </c>
      <c r="L71" s="188">
        <v>110000000</v>
      </c>
      <c r="M71" s="188">
        <v>125000000</v>
      </c>
      <c r="N71" s="188">
        <v>200000000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110000000</v>
      </c>
      <c r="AF71" s="188">
        <v>60000000</v>
      </c>
      <c r="AG71" s="188">
        <v>30000000</v>
      </c>
      <c r="AH71" s="188">
        <v>44000000</v>
      </c>
      <c r="AI71" s="188">
        <v>0</v>
      </c>
      <c r="AJ71" s="188">
        <v>0</v>
      </c>
    </row>
    <row r="72" spans="1:36">
      <c r="A72" s="188" t="s">
        <v>176</v>
      </c>
      <c r="B72" s="188">
        <v>1794884017.8299999</v>
      </c>
      <c r="C72" s="188">
        <v>1844407609.01</v>
      </c>
      <c r="D72" s="188">
        <v>1640648701.6400001</v>
      </c>
      <c r="E72" s="188">
        <v>1316620784.7</v>
      </c>
      <c r="F72" s="188">
        <v>1187694494.8599999</v>
      </c>
      <c r="G72" s="188">
        <v>1203830198.4400001</v>
      </c>
      <c r="H72" s="188">
        <v>1219283727.4400001</v>
      </c>
      <c r="I72" s="188">
        <v>1104505735.3800001</v>
      </c>
      <c r="J72" s="188">
        <v>1123774765.72</v>
      </c>
      <c r="K72" s="188">
        <v>1090680834.03</v>
      </c>
      <c r="L72" s="188">
        <v>1073307237.11</v>
      </c>
      <c r="M72" s="188">
        <v>1077497681.24</v>
      </c>
      <c r="N72" s="188">
        <v>1047669115.13</v>
      </c>
      <c r="O72" s="188">
        <v>832694657.16999996</v>
      </c>
      <c r="P72" s="188">
        <v>607634369.08000004</v>
      </c>
      <c r="Q72" s="188">
        <v>562685472.11000001</v>
      </c>
      <c r="R72" s="188">
        <v>572027049.19000006</v>
      </c>
      <c r="S72" s="188">
        <v>426053447.00999999</v>
      </c>
      <c r="T72" s="188">
        <v>455062937.41000003</v>
      </c>
      <c r="U72" s="188">
        <v>424259099.94</v>
      </c>
      <c r="V72" s="188">
        <v>400214517.01999998</v>
      </c>
      <c r="W72" s="188">
        <v>442471261.63</v>
      </c>
      <c r="X72" s="188">
        <v>344722219.88999999</v>
      </c>
      <c r="Y72" s="188">
        <v>304961728.06999999</v>
      </c>
      <c r="Z72" s="188">
        <v>230685187.83000001</v>
      </c>
      <c r="AA72" s="188">
        <v>228049935.78999999</v>
      </c>
      <c r="AB72" s="188">
        <v>149820613.96000001</v>
      </c>
      <c r="AC72" s="188">
        <v>176500766.97999999</v>
      </c>
      <c r="AD72" s="188">
        <v>167515930.97999999</v>
      </c>
      <c r="AE72" s="188">
        <v>591948956.02999997</v>
      </c>
      <c r="AF72" s="188">
        <v>525233668.33999997</v>
      </c>
      <c r="AG72" s="188">
        <v>474394833.81999999</v>
      </c>
      <c r="AH72" s="188">
        <v>394319475.74000001</v>
      </c>
      <c r="AI72" s="188">
        <v>200312974</v>
      </c>
      <c r="AJ72" s="188">
        <v>0</v>
      </c>
    </row>
    <row r="73" spans="1:36">
      <c r="A73" s="188" t="s">
        <v>177</v>
      </c>
    </row>
    <row r="74" spans="1:36">
      <c r="A74" s="188" t="s">
        <v>178</v>
      </c>
      <c r="B74" s="188">
        <v>1459222653</v>
      </c>
      <c r="C74" s="188">
        <v>1459222653</v>
      </c>
      <c r="D74" s="188">
        <v>1459222653</v>
      </c>
      <c r="E74" s="188">
        <v>1027092040</v>
      </c>
      <c r="F74" s="188">
        <v>1027092040</v>
      </c>
      <c r="G74" s="188">
        <v>1027092040</v>
      </c>
      <c r="H74" s="188">
        <v>1027092040</v>
      </c>
      <c r="I74" s="188">
        <v>1027092040</v>
      </c>
      <c r="J74" s="188">
        <v>1027092040</v>
      </c>
      <c r="K74" s="188">
        <v>1027092040</v>
      </c>
      <c r="L74" s="188">
        <v>1027092040</v>
      </c>
      <c r="M74" s="188">
        <v>1027092040</v>
      </c>
      <c r="N74" s="188">
        <v>1027092040</v>
      </c>
      <c r="O74" s="188">
        <v>1027092040</v>
      </c>
      <c r="P74" s="188">
        <v>513546020</v>
      </c>
      <c r="Q74" s="188">
        <v>513546020</v>
      </c>
      <c r="R74" s="188">
        <v>513546020</v>
      </c>
      <c r="S74" s="188">
        <v>262500000</v>
      </c>
      <c r="T74" s="188">
        <v>262500000</v>
      </c>
      <c r="U74" s="188">
        <v>262500000</v>
      </c>
      <c r="V74" s="188">
        <v>262500000</v>
      </c>
      <c r="W74" s="188">
        <v>262500000</v>
      </c>
      <c r="X74" s="188">
        <v>262500000</v>
      </c>
      <c r="Y74" s="188">
        <v>262500000</v>
      </c>
      <c r="Z74" s="188">
        <v>262500000</v>
      </c>
      <c r="AA74" s="188">
        <v>262500000</v>
      </c>
      <c r="AB74" s="188">
        <v>175000000</v>
      </c>
      <c r="AC74" s="188">
        <v>175000000</v>
      </c>
      <c r="AD74" s="188">
        <v>175000000</v>
      </c>
      <c r="AE74" s="188">
        <v>130000000</v>
      </c>
      <c r="AF74" s="188">
        <v>130000000</v>
      </c>
      <c r="AG74" s="188">
        <v>130000000</v>
      </c>
      <c r="AH74" s="188">
        <v>130000000</v>
      </c>
      <c r="AI74" s="188">
        <v>130000000</v>
      </c>
      <c r="AJ74" s="188">
        <v>0</v>
      </c>
    </row>
    <row r="75" spans="1:36">
      <c r="A75" s="188" t="s">
        <v>179</v>
      </c>
      <c r="B75" s="188">
        <v>9689543181.5100002</v>
      </c>
      <c r="C75" s="188">
        <v>9696512781.5100002</v>
      </c>
      <c r="D75" s="188">
        <v>9689543181.5100002</v>
      </c>
      <c r="E75" s="188">
        <v>1883495020.9200001</v>
      </c>
      <c r="F75" s="188">
        <v>1894989770.9200001</v>
      </c>
      <c r="G75" s="188">
        <v>1894989770.9200001</v>
      </c>
      <c r="H75" s="188">
        <v>1894989770.9200001</v>
      </c>
      <c r="I75" s="188">
        <v>1894989770.9200001</v>
      </c>
      <c r="J75" s="188">
        <v>1894989770.9200001</v>
      </c>
      <c r="K75" s="188">
        <v>1894989770.9200001</v>
      </c>
      <c r="L75" s="188">
        <v>1894989770.9200001</v>
      </c>
      <c r="M75" s="188">
        <v>1894989770.9200001</v>
      </c>
      <c r="N75" s="188">
        <v>1894989770.9200001</v>
      </c>
      <c r="O75" s="188">
        <v>1894989770.9200001</v>
      </c>
      <c r="P75" s="188">
        <v>2408535790.9200001</v>
      </c>
      <c r="Q75" s="188">
        <v>2408535790.9200001</v>
      </c>
      <c r="R75" s="188">
        <v>2408535790.9200001</v>
      </c>
      <c r="S75" s="188">
        <v>880689830.02999997</v>
      </c>
      <c r="T75" s="188">
        <v>880689830.02999997</v>
      </c>
      <c r="U75" s="188">
        <v>880689830.02999997</v>
      </c>
      <c r="V75" s="188">
        <v>880689830.02999997</v>
      </c>
      <c r="W75" s="188">
        <v>880689830.02999997</v>
      </c>
      <c r="X75" s="188">
        <v>880689830.02999997</v>
      </c>
      <c r="Y75" s="188">
        <v>880689830.02999997</v>
      </c>
      <c r="Z75" s="188">
        <v>880689830.02999997</v>
      </c>
      <c r="AA75" s="188">
        <v>880689830.02999997</v>
      </c>
      <c r="AB75" s="188">
        <v>968189830.02999997</v>
      </c>
      <c r="AC75" s="188">
        <v>968189830.02999997</v>
      </c>
      <c r="AD75" s="188">
        <v>968189830.02999997</v>
      </c>
      <c r="AE75" s="188">
        <v>21424830.030000001</v>
      </c>
      <c r="AF75" s="188">
        <v>21424830.030000001</v>
      </c>
      <c r="AG75" s="188">
        <v>21424830.030000001</v>
      </c>
      <c r="AH75" s="188">
        <v>21424830.030000001</v>
      </c>
      <c r="AI75" s="188">
        <v>21424830.030000001</v>
      </c>
      <c r="AJ75" s="188">
        <v>0</v>
      </c>
    </row>
    <row r="76" spans="1:36">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row>
    <row r="77" spans="1:36">
      <c r="A77" s="188" t="s">
        <v>181</v>
      </c>
      <c r="B77" s="188">
        <v>155533803.05000001</v>
      </c>
      <c r="C77" s="188">
        <v>69509271.730000004</v>
      </c>
      <c r="D77" s="188">
        <v>-16736104.77</v>
      </c>
      <c r="E77" s="188">
        <v>-3273993.29</v>
      </c>
      <c r="F77" s="188">
        <v>-1342217.07</v>
      </c>
      <c r="G77" s="188">
        <v>565665.04</v>
      </c>
      <c r="H77" s="188">
        <v>698432.25</v>
      </c>
      <c r="I77" s="188">
        <v>729413.6</v>
      </c>
      <c r="J77" s="188">
        <v>470515.82</v>
      </c>
      <c r="K77" s="188">
        <v>419467.6</v>
      </c>
      <c r="L77" s="188">
        <v>225170.46</v>
      </c>
      <c r="M77" s="188">
        <v>256255.88</v>
      </c>
      <c r="N77" s="188">
        <v>110415.58</v>
      </c>
      <c r="O77" s="188">
        <v>-44932.04</v>
      </c>
      <c r="P77" s="188">
        <v>-26271.95</v>
      </c>
      <c r="Q77" s="188">
        <v>-24098.57</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row>
    <row r="78" spans="1:36">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row>
    <row r="79" spans="1:36">
      <c r="A79" s="188" t="s">
        <v>183</v>
      </c>
      <c r="B79" s="188">
        <v>84080624.629999995</v>
      </c>
      <c r="C79" s="188">
        <v>84080624.629999995</v>
      </c>
      <c r="D79" s="188">
        <v>84080624.629999995</v>
      </c>
      <c r="E79" s="188">
        <v>84080624.629999995</v>
      </c>
      <c r="F79" s="188">
        <v>90467995.819999993</v>
      </c>
      <c r="G79" s="188">
        <v>78950746.920000002</v>
      </c>
      <c r="H79" s="188">
        <v>78950746.920000002</v>
      </c>
      <c r="I79" s="188">
        <v>78950746.920000002</v>
      </c>
      <c r="J79" s="188">
        <v>74838333.450000003</v>
      </c>
      <c r="K79" s="188">
        <v>74838333.450000003</v>
      </c>
      <c r="L79" s="188">
        <v>73166698.879999995</v>
      </c>
      <c r="M79" s="188">
        <v>73166698.879999995</v>
      </c>
      <c r="N79" s="188">
        <v>65640437.670000002</v>
      </c>
      <c r="O79" s="188">
        <v>65640437.670000002</v>
      </c>
      <c r="P79" s="188">
        <v>65640437.670000002</v>
      </c>
      <c r="Q79" s="188">
        <v>65640437.670000002</v>
      </c>
      <c r="R79" s="188">
        <v>60139589.859999999</v>
      </c>
      <c r="S79" s="188">
        <v>60139589.859999999</v>
      </c>
      <c r="T79" s="188">
        <v>60139589.859999999</v>
      </c>
      <c r="U79" s="188">
        <v>60139589.859999999</v>
      </c>
      <c r="V79" s="188">
        <v>53952733.350000001</v>
      </c>
      <c r="W79" s="188">
        <v>53952733.350000001</v>
      </c>
      <c r="X79" s="188">
        <v>53952733.350000001</v>
      </c>
      <c r="Y79" s="188">
        <v>53952733.350000001</v>
      </c>
      <c r="Z79" s="188">
        <v>44447367.789999999</v>
      </c>
      <c r="AA79" s="188">
        <v>44447367.789999999</v>
      </c>
      <c r="AB79" s="188">
        <v>44447367.789999999</v>
      </c>
      <c r="AC79" s="188">
        <v>44447367.789999999</v>
      </c>
      <c r="AD79" s="188">
        <v>30376131.640000001</v>
      </c>
      <c r="AE79" s="188">
        <v>30376131.640000001</v>
      </c>
      <c r="AF79" s="188">
        <v>30376131.640000001</v>
      </c>
      <c r="AG79" s="188">
        <v>30376131.640000001</v>
      </c>
      <c r="AH79" s="188">
        <v>14613440.789999999</v>
      </c>
      <c r="AI79" s="188">
        <v>4750285.78</v>
      </c>
      <c r="AJ79" s="188">
        <v>0</v>
      </c>
    </row>
    <row r="80" spans="1:36">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row>
    <row r="81" spans="1:36">
      <c r="A81" s="188" t="s">
        <v>185</v>
      </c>
      <c r="B81" s="188">
        <v>2937922195.0700002</v>
      </c>
      <c r="C81" s="188">
        <v>2768679227.9400001</v>
      </c>
      <c r="D81" s="188">
        <v>2371727033.02</v>
      </c>
      <c r="E81" s="188">
        <v>2058168693.26</v>
      </c>
      <c r="F81" s="188">
        <v>2086431229.05</v>
      </c>
      <c r="G81" s="188">
        <v>2001458541.6700001</v>
      </c>
      <c r="H81" s="188">
        <v>1508394788.48</v>
      </c>
      <c r="I81" s="188">
        <v>1383267508.0699999</v>
      </c>
      <c r="J81" s="188">
        <v>1276601653.3199999</v>
      </c>
      <c r="K81" s="188">
        <v>1261388523.6600001</v>
      </c>
      <c r="L81" s="188">
        <v>1109784482.52</v>
      </c>
      <c r="M81" s="188">
        <v>988305084.87</v>
      </c>
      <c r="N81" s="188">
        <v>862423605.27999997</v>
      </c>
      <c r="O81" s="188">
        <v>732252821.98000002</v>
      </c>
      <c r="P81" s="188">
        <v>694021609.82000005</v>
      </c>
      <c r="Q81" s="188">
        <v>639317866.36000001</v>
      </c>
      <c r="R81" s="188">
        <v>527516106.55000001</v>
      </c>
      <c r="S81" s="188">
        <v>488163269.31</v>
      </c>
      <c r="T81" s="188">
        <v>456905858.35000002</v>
      </c>
      <c r="U81" s="188">
        <v>435650608.61000001</v>
      </c>
      <c r="V81" s="188">
        <v>423323335.5</v>
      </c>
      <c r="W81" s="188">
        <v>406122580.30000001</v>
      </c>
      <c r="X81" s="188">
        <v>406028139.31</v>
      </c>
      <c r="Y81" s="188">
        <v>386926416.00999999</v>
      </c>
      <c r="Z81" s="188">
        <v>389452740.39999998</v>
      </c>
      <c r="AA81" s="188">
        <v>366671729.33999997</v>
      </c>
      <c r="AB81" s="188">
        <v>384382475.31</v>
      </c>
      <c r="AC81" s="188">
        <v>355534234.41000003</v>
      </c>
      <c r="AD81" s="188">
        <v>350751823.63999999</v>
      </c>
      <c r="AE81" s="188">
        <v>317946656.45999998</v>
      </c>
      <c r="AF81" s="188">
        <v>268969918.62</v>
      </c>
      <c r="AG81" s="188">
        <v>228158076.12</v>
      </c>
      <c r="AH81" s="188">
        <v>104635200.51000001</v>
      </c>
      <c r="AI81" s="188">
        <v>42533280</v>
      </c>
      <c r="AJ81" s="188">
        <v>0</v>
      </c>
    </row>
    <row r="82" spans="1:36">
      <c r="A82" s="188" t="s">
        <v>186</v>
      </c>
      <c r="B82" s="188">
        <v>14326302457.26</v>
      </c>
      <c r="C82" s="188">
        <v>14078004558.809999</v>
      </c>
      <c r="D82" s="188">
        <v>13587837387.389999</v>
      </c>
      <c r="E82" s="188">
        <v>5049562385.5200005</v>
      </c>
      <c r="F82" s="188">
        <v>5097638818.7200003</v>
      </c>
      <c r="G82" s="188">
        <v>5003056764.5500002</v>
      </c>
      <c r="H82" s="188">
        <v>4510125778.5699997</v>
      </c>
      <c r="I82" s="188">
        <v>4385029479.5100002</v>
      </c>
      <c r="J82" s="188">
        <v>4273992313.5100002</v>
      </c>
      <c r="K82" s="188">
        <v>4258728135.6300001</v>
      </c>
      <c r="L82" s="188">
        <v>4105258162.7800002</v>
      </c>
      <c r="M82" s="188">
        <v>3983809850.5500002</v>
      </c>
      <c r="N82" s="188">
        <v>3850256269.4499998</v>
      </c>
      <c r="O82" s="188">
        <v>3719930138.5300002</v>
      </c>
      <c r="P82" s="188">
        <v>3681717586.46</v>
      </c>
      <c r="Q82" s="188">
        <v>3627016016.3800001</v>
      </c>
      <c r="R82" s="188">
        <v>3509737507.3299999</v>
      </c>
      <c r="S82" s="188">
        <v>1691492689.2</v>
      </c>
      <c r="T82" s="188">
        <v>1660235278.24</v>
      </c>
      <c r="U82" s="188">
        <v>1638980028.5</v>
      </c>
      <c r="V82" s="188">
        <v>1620465898.8800001</v>
      </c>
      <c r="W82" s="188">
        <v>1603265143.6800001</v>
      </c>
      <c r="X82" s="188">
        <v>1603170702.6900001</v>
      </c>
      <c r="Y82" s="188">
        <v>1584068979.3900001</v>
      </c>
      <c r="Z82" s="188">
        <v>1577089938.22</v>
      </c>
      <c r="AA82" s="188">
        <v>1554308927.1600001</v>
      </c>
      <c r="AB82" s="188">
        <v>1572019673.1300001</v>
      </c>
      <c r="AC82" s="188">
        <v>1543171432.23</v>
      </c>
      <c r="AD82" s="188">
        <v>1524317785.3099999</v>
      </c>
      <c r="AE82" s="188">
        <v>499747618.13</v>
      </c>
      <c r="AF82" s="188">
        <v>450770880.29000002</v>
      </c>
      <c r="AG82" s="188">
        <v>409959037.79000002</v>
      </c>
      <c r="AH82" s="188">
        <v>270673471.32999998</v>
      </c>
      <c r="AI82" s="188">
        <v>198708395.81</v>
      </c>
      <c r="AJ82" s="188">
        <v>0</v>
      </c>
    </row>
    <row r="83" spans="1:36">
      <c r="A83" s="188" t="s">
        <v>187</v>
      </c>
      <c r="B83" s="188">
        <v>25635895.289999999</v>
      </c>
      <c r="C83" s="188">
        <v>25590310.43</v>
      </c>
      <c r="D83" s="188">
        <v>33355165.489999998</v>
      </c>
      <c r="E83" s="188">
        <v>47586833.18</v>
      </c>
      <c r="F83" s="188">
        <v>21748373.449999999</v>
      </c>
      <c r="G83" s="188">
        <v>19251785.199999999</v>
      </c>
      <c r="H83" s="188">
        <v>16513161.07</v>
      </c>
      <c r="I83" s="188">
        <v>14387134.029999999</v>
      </c>
      <c r="J83" s="188">
        <v>12173198.15</v>
      </c>
      <c r="K83" s="188">
        <v>12029248.720000001</v>
      </c>
      <c r="L83" s="188">
        <v>10610480.15</v>
      </c>
      <c r="M83" s="188">
        <v>9502391.6400000006</v>
      </c>
      <c r="N83" s="188">
        <v>8900457.2599999998</v>
      </c>
      <c r="O83" s="188">
        <v>8543543.1699999999</v>
      </c>
      <c r="P83" s="188">
        <v>9844670.2599999998</v>
      </c>
      <c r="Q83" s="188">
        <v>9176253.4100000001</v>
      </c>
      <c r="R83" s="188">
        <v>8594885.3200000003</v>
      </c>
      <c r="S83" s="188">
        <v>8189329.5099999998</v>
      </c>
      <c r="T83" s="188">
        <v>7514175.0499999998</v>
      </c>
      <c r="U83" s="188">
        <v>7284122.2400000002</v>
      </c>
      <c r="V83" s="188">
        <v>6806775.1799999997</v>
      </c>
      <c r="W83" s="188">
        <v>6408011.4299999997</v>
      </c>
      <c r="X83" s="188">
        <v>5973585.6299999999</v>
      </c>
      <c r="Y83" s="188">
        <v>5647719.4299999997</v>
      </c>
      <c r="Z83" s="188">
        <v>0</v>
      </c>
      <c r="AA83" s="188">
        <v>0</v>
      </c>
      <c r="AB83" s="188">
        <v>0</v>
      </c>
      <c r="AC83" s="188">
        <v>0</v>
      </c>
      <c r="AD83" s="188">
        <v>0</v>
      </c>
      <c r="AE83" s="188">
        <v>0</v>
      </c>
      <c r="AF83" s="188">
        <v>0</v>
      </c>
      <c r="AG83" s="188">
        <v>0</v>
      </c>
      <c r="AH83" s="188">
        <v>0</v>
      </c>
      <c r="AI83" s="188">
        <v>0</v>
      </c>
      <c r="AJ83" s="188">
        <v>0</v>
      </c>
    </row>
    <row r="84" spans="1:36">
      <c r="A84" s="188" t="s">
        <v>188</v>
      </c>
      <c r="B84" s="188">
        <v>14351938352.549999</v>
      </c>
      <c r="C84" s="188">
        <v>14103594869.24</v>
      </c>
      <c r="D84" s="188">
        <v>13621192552.879999</v>
      </c>
      <c r="E84" s="188">
        <v>5097149218.6999998</v>
      </c>
      <c r="F84" s="188">
        <v>5119387192.1700001</v>
      </c>
      <c r="G84" s="188">
        <v>5022308549.75</v>
      </c>
      <c r="H84" s="188">
        <v>4526638939.6400003</v>
      </c>
      <c r="I84" s="188">
        <v>4399416613.54</v>
      </c>
      <c r="J84" s="188">
        <v>4286165511.6599998</v>
      </c>
      <c r="K84" s="188">
        <v>4270757384.3499999</v>
      </c>
      <c r="L84" s="188">
        <v>4115868642.9299998</v>
      </c>
      <c r="M84" s="188">
        <v>3993312242.1900001</v>
      </c>
      <c r="N84" s="188">
        <v>3859156726.71</v>
      </c>
      <c r="O84" s="188">
        <v>3728473681.6999998</v>
      </c>
      <c r="P84" s="188">
        <v>3691562256.7199998</v>
      </c>
      <c r="Q84" s="188">
        <v>3636192269.79</v>
      </c>
      <c r="R84" s="188">
        <v>3518332392.6500001</v>
      </c>
      <c r="S84" s="188">
        <v>1699682018.71</v>
      </c>
      <c r="T84" s="188">
        <v>1667749453.29</v>
      </c>
      <c r="U84" s="188">
        <v>1646264150.74</v>
      </c>
      <c r="V84" s="188">
        <v>1627272674.0599999</v>
      </c>
      <c r="W84" s="188">
        <v>1609673155.1099999</v>
      </c>
      <c r="X84" s="188">
        <v>1609144288.3199999</v>
      </c>
      <c r="Y84" s="188">
        <v>1589716698.8199999</v>
      </c>
      <c r="Z84" s="188">
        <v>1577089938.22</v>
      </c>
      <c r="AA84" s="188">
        <v>1554308927.1600001</v>
      </c>
      <c r="AB84" s="188">
        <v>1572019673.1300001</v>
      </c>
      <c r="AC84" s="188">
        <v>1543171432.23</v>
      </c>
      <c r="AD84" s="188">
        <v>1524317785.3099999</v>
      </c>
      <c r="AE84" s="188">
        <v>499747618.13</v>
      </c>
      <c r="AF84" s="188">
        <v>450770880.29000002</v>
      </c>
      <c r="AG84" s="188">
        <v>409959037.79000002</v>
      </c>
      <c r="AH84" s="188">
        <v>270673471.32999998</v>
      </c>
      <c r="AI84" s="188">
        <v>198708395.81</v>
      </c>
      <c r="AJ84" s="188">
        <v>0</v>
      </c>
    </row>
    <row r="85" spans="1:36">
      <c r="A85" s="188" t="s">
        <v>189</v>
      </c>
      <c r="B85" s="188">
        <v>16146822370.379999</v>
      </c>
      <c r="C85" s="188">
        <v>15948002478.25</v>
      </c>
      <c r="D85" s="188">
        <v>15261841254.52</v>
      </c>
      <c r="E85" s="188">
        <v>6413770003.3999996</v>
      </c>
      <c r="F85" s="188">
        <v>6307081687.0299997</v>
      </c>
      <c r="G85" s="188">
        <v>6226138748.1899996</v>
      </c>
      <c r="H85" s="188">
        <v>5745922667.0799999</v>
      </c>
      <c r="I85" s="188">
        <v>5503922348.9200001</v>
      </c>
      <c r="J85" s="188">
        <v>5409940277.3800001</v>
      </c>
      <c r="K85" s="188">
        <v>5361438218.3800001</v>
      </c>
      <c r="L85" s="188">
        <v>5189175880.04</v>
      </c>
      <c r="M85" s="188">
        <v>5070809923.4300003</v>
      </c>
      <c r="N85" s="188">
        <v>4906825841.8400002</v>
      </c>
      <c r="O85" s="188">
        <v>4561168338.8699999</v>
      </c>
      <c r="P85" s="188">
        <v>4299196625.8000002</v>
      </c>
      <c r="Q85" s="188">
        <v>4198877741.9000001</v>
      </c>
      <c r="R85" s="188">
        <v>4090359441.8400002</v>
      </c>
      <c r="S85" s="188">
        <v>2125735465.72</v>
      </c>
      <c r="T85" s="188">
        <v>2122812390.7</v>
      </c>
      <c r="U85" s="188">
        <v>2070523250.6800001</v>
      </c>
      <c r="V85" s="188">
        <v>2027487191.0799999</v>
      </c>
      <c r="W85" s="188">
        <v>2052144416.74</v>
      </c>
      <c r="X85" s="188">
        <v>1953866508.21</v>
      </c>
      <c r="Y85" s="188">
        <v>1894678426.8900001</v>
      </c>
      <c r="Z85" s="188">
        <v>1807775126.05</v>
      </c>
      <c r="AA85" s="188">
        <v>1782358862.95</v>
      </c>
      <c r="AB85" s="188">
        <v>1721840287.0899999</v>
      </c>
      <c r="AC85" s="188">
        <v>1719672199.21</v>
      </c>
      <c r="AD85" s="188">
        <v>1691833716.29</v>
      </c>
      <c r="AE85" s="188">
        <v>1091696574.1600001</v>
      </c>
      <c r="AF85" s="188">
        <v>976004548.63</v>
      </c>
      <c r="AG85" s="188">
        <v>884353871.61000001</v>
      </c>
      <c r="AH85" s="188">
        <v>664992947.07000005</v>
      </c>
      <c r="AI85" s="188">
        <v>399021369.81</v>
      </c>
      <c r="AJ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M31"/>
  <sheetViews>
    <sheetView workbookViewId="0">
      <selection activeCell="A2" sqref="A2"/>
    </sheetView>
  </sheetViews>
  <sheetFormatPr defaultRowHeight="13.5"/>
  <cols>
    <col min="1" max="1" width="37" style="188" bestFit="1" customWidth="1"/>
    <col min="2" max="4" width="13.875" style="188" hidden="1" customWidth="1"/>
    <col min="5" max="5" width="12.75" style="188" bestFit="1" customWidth="1"/>
    <col min="6" max="8" width="12.75" style="188" hidden="1" customWidth="1"/>
    <col min="9" max="9" width="12.75" style="188" bestFit="1" customWidth="1"/>
    <col min="10" max="12" width="12.75" style="188" hidden="1" customWidth="1"/>
    <col min="13" max="13" width="12.75" style="188" bestFit="1" customWidth="1"/>
    <col min="14" max="16" width="12.75" style="188" hidden="1" customWidth="1"/>
    <col min="17" max="17" width="12.75" style="188" bestFit="1" customWidth="1"/>
    <col min="18" max="20" width="12.75" style="188" hidden="1" customWidth="1"/>
    <col min="21" max="21" width="12.75" style="188" bestFit="1" customWidth="1"/>
    <col min="22" max="24" width="12.75" style="188" hidden="1" customWidth="1"/>
    <col min="25" max="25" width="13.875" style="188" bestFit="1" customWidth="1"/>
    <col min="26" max="26" width="13.875" style="188" hidden="1" customWidth="1"/>
    <col min="27" max="28" width="12.75" style="188" hidden="1" customWidth="1"/>
    <col min="29" max="29" width="12.75" style="188" bestFit="1" customWidth="1"/>
    <col min="30" max="32" width="12.75" style="188" hidden="1" customWidth="1"/>
    <col min="33" max="33" width="12.75" style="188" bestFit="1" customWidth="1"/>
    <col min="34" max="36" width="12.75" style="188" hidden="1" customWidth="1"/>
    <col min="37" max="38" width="12.75" style="188" bestFit="1" customWidth="1"/>
    <col min="39" max="39" width="9.5" style="188" hidden="1" customWidth="1"/>
    <col min="40" max="16384" width="9" style="188"/>
  </cols>
  <sheetData>
    <row r="1" spans="1:39">
      <c r="A1" s="188">
        <v>2602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20081231</v>
      </c>
      <c r="AM1" s="188">
        <v>19700101</v>
      </c>
    </row>
    <row r="2" spans="1:39">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row>
    <row r="3" spans="1:39">
      <c r="A3" s="188" t="s">
        <v>190</v>
      </c>
      <c r="B3" s="188">
        <v>6228081871.1499996</v>
      </c>
      <c r="C3" s="188">
        <v>3895063047.6599998</v>
      </c>
      <c r="D3" s="188">
        <v>1376674396.29</v>
      </c>
      <c r="E3" s="188">
        <v>3490821643.5799999</v>
      </c>
      <c r="F3" s="188">
        <v>2461092792.1799998</v>
      </c>
      <c r="G3" s="188">
        <v>1632933466.8</v>
      </c>
      <c r="H3" s="188">
        <v>858461043.73000002</v>
      </c>
      <c r="I3" s="188">
        <v>3455902430.25</v>
      </c>
      <c r="J3" s="188">
        <v>2541940807.8800001</v>
      </c>
      <c r="K3" s="188">
        <v>1698613370.6300001</v>
      </c>
      <c r="L3" s="188">
        <v>835124707.30999994</v>
      </c>
      <c r="M3" s="188">
        <v>3025827440.4899998</v>
      </c>
      <c r="N3" s="188">
        <v>2193259400.0599999</v>
      </c>
      <c r="O3" s="188">
        <v>1255221897.5799999</v>
      </c>
      <c r="P3" s="188">
        <v>496966166.79000002</v>
      </c>
      <c r="Q3" s="188">
        <v>1712230060.6500001</v>
      </c>
      <c r="R3" s="188">
        <v>1124171914.4000001</v>
      </c>
      <c r="S3" s="188">
        <v>730223749.21000004</v>
      </c>
      <c r="T3" s="188">
        <v>327881464.25</v>
      </c>
      <c r="U3" s="188">
        <v>1227431183.24</v>
      </c>
      <c r="V3" s="188">
        <v>884232437.92999995</v>
      </c>
      <c r="W3" s="188">
        <v>577935690.87</v>
      </c>
      <c r="X3" s="188">
        <v>261395751.71000001</v>
      </c>
      <c r="Y3" s="188">
        <v>928899703.54999995</v>
      </c>
      <c r="Z3" s="188">
        <v>693511863.35000002</v>
      </c>
      <c r="AA3" s="188">
        <v>466620229.04000002</v>
      </c>
      <c r="AB3" s="188">
        <v>228839761.06</v>
      </c>
      <c r="AC3" s="188">
        <v>998726425.88999999</v>
      </c>
      <c r="AD3" s="188">
        <v>745992572.11000001</v>
      </c>
      <c r="AE3" s="188">
        <v>522702359.55000001</v>
      </c>
      <c r="AF3" s="188">
        <v>233658736.02000001</v>
      </c>
      <c r="AG3" s="188">
        <v>907986860.39999998</v>
      </c>
      <c r="AH3" s="188">
        <v>662975139.73000002</v>
      </c>
      <c r="AI3" s="188">
        <v>429193147.08999997</v>
      </c>
      <c r="AJ3" s="188">
        <v>197229687.81</v>
      </c>
      <c r="AK3" s="188">
        <v>568512432.92999995</v>
      </c>
      <c r="AL3" s="188">
        <v>420832438.18000001</v>
      </c>
      <c r="AM3" s="188">
        <v>0</v>
      </c>
    </row>
    <row r="4" spans="1:39">
      <c r="A4" s="188" t="s">
        <v>191</v>
      </c>
      <c r="B4" s="188">
        <v>6228081871.1499996</v>
      </c>
      <c r="C4" s="188">
        <v>3895063047.6599998</v>
      </c>
      <c r="D4" s="188">
        <v>1376674396.29</v>
      </c>
      <c r="E4" s="188">
        <v>3490821643.5799999</v>
      </c>
      <c r="F4" s="188">
        <v>2461092792.1799998</v>
      </c>
      <c r="G4" s="188">
        <v>1632933466.8</v>
      </c>
      <c r="H4" s="188">
        <v>858461043.73000002</v>
      </c>
      <c r="I4" s="188">
        <v>3455902430.25</v>
      </c>
      <c r="J4" s="188">
        <v>2541940807.8800001</v>
      </c>
      <c r="K4" s="188">
        <v>1698613370.6300001</v>
      </c>
      <c r="L4" s="188">
        <v>835124707.30999994</v>
      </c>
      <c r="M4" s="188">
        <v>3025827440.4899998</v>
      </c>
      <c r="N4" s="188">
        <v>2193259400.0599999</v>
      </c>
      <c r="O4" s="188">
        <v>1255221897.5799999</v>
      </c>
      <c r="P4" s="188">
        <v>496966166.79000002</v>
      </c>
      <c r="Q4" s="188">
        <v>1712230060.6500001</v>
      </c>
      <c r="R4" s="188">
        <v>1124171914.4000001</v>
      </c>
      <c r="S4" s="188">
        <v>730223749.21000004</v>
      </c>
      <c r="T4" s="188">
        <v>327881464.25</v>
      </c>
      <c r="U4" s="188">
        <v>1227431183.24</v>
      </c>
      <c r="V4" s="188">
        <v>884232437.92999995</v>
      </c>
      <c r="W4" s="188">
        <v>577935690.87</v>
      </c>
      <c r="X4" s="188">
        <v>261395751.71000001</v>
      </c>
      <c r="Y4" s="188">
        <v>928899703.54999995</v>
      </c>
      <c r="Z4" s="188">
        <v>693511863.35000002</v>
      </c>
      <c r="AA4" s="188">
        <v>466620229.04000002</v>
      </c>
      <c r="AB4" s="188">
        <v>228839761.06</v>
      </c>
      <c r="AC4" s="188">
        <v>998726425.88999999</v>
      </c>
      <c r="AD4" s="188">
        <v>745992572.11000001</v>
      </c>
      <c r="AE4" s="188">
        <v>522702359.55000001</v>
      </c>
      <c r="AF4" s="188">
        <v>233658736.02000001</v>
      </c>
      <c r="AG4" s="188">
        <v>907986860.39999998</v>
      </c>
      <c r="AH4" s="188">
        <v>662975139.73000002</v>
      </c>
      <c r="AI4" s="188">
        <v>429193147.08999997</v>
      </c>
      <c r="AJ4" s="188">
        <v>197229687.81</v>
      </c>
      <c r="AK4" s="188">
        <v>568512432.92999995</v>
      </c>
      <c r="AL4" s="188">
        <v>420832438.18000001</v>
      </c>
      <c r="AM4" s="188">
        <v>0</v>
      </c>
    </row>
    <row r="5" spans="1:39">
      <c r="A5" s="188" t="s">
        <v>192</v>
      </c>
      <c r="B5" s="188">
        <v>5426612422.6099997</v>
      </c>
      <c r="C5" s="188">
        <v>3274579313.9200001</v>
      </c>
      <c r="D5" s="188">
        <v>1169931157.1400001</v>
      </c>
      <c r="E5" s="188">
        <v>3056970975.8699999</v>
      </c>
      <c r="F5" s="188">
        <v>2119582819.21</v>
      </c>
      <c r="G5" s="188">
        <v>1385838717.01</v>
      </c>
      <c r="H5" s="188">
        <v>703312478.85000002</v>
      </c>
      <c r="I5" s="188">
        <v>2862002532.0500002</v>
      </c>
      <c r="J5" s="188">
        <v>2086830880.03</v>
      </c>
      <c r="K5" s="188">
        <v>1379488162.24</v>
      </c>
      <c r="L5" s="188">
        <v>690172643.96000004</v>
      </c>
      <c r="M5" s="188">
        <v>2573700546.1399999</v>
      </c>
      <c r="N5" s="188">
        <v>1882162661.98</v>
      </c>
      <c r="O5" s="188">
        <v>1089792431.0999999</v>
      </c>
      <c r="P5" s="188">
        <v>432642581.63</v>
      </c>
      <c r="Q5" s="188">
        <v>1475136694.3099999</v>
      </c>
      <c r="R5" s="188">
        <v>1009261036.25</v>
      </c>
      <c r="S5" s="188">
        <v>661742367.78999996</v>
      </c>
      <c r="T5" s="188">
        <v>300997318.98000002</v>
      </c>
      <c r="U5" s="188">
        <v>1129540089.6199999</v>
      </c>
      <c r="V5" s="188">
        <v>810023449.47000003</v>
      </c>
      <c r="W5" s="188">
        <v>525393507.06999999</v>
      </c>
      <c r="X5" s="188">
        <v>237182756.94</v>
      </c>
      <c r="Y5" s="188">
        <v>816896812.50999999</v>
      </c>
      <c r="Z5" s="188">
        <v>591994154.75999999</v>
      </c>
      <c r="AA5" s="188">
        <v>391675251.92000002</v>
      </c>
      <c r="AB5" s="188">
        <v>194685061.22</v>
      </c>
      <c r="AC5" s="188">
        <v>836740794.60000002</v>
      </c>
      <c r="AD5" s="188">
        <v>605838766.87</v>
      </c>
      <c r="AE5" s="188">
        <v>419226472.33999997</v>
      </c>
      <c r="AF5" s="188">
        <v>186256672.31</v>
      </c>
      <c r="AG5" s="188">
        <v>729381629</v>
      </c>
      <c r="AH5" s="188">
        <v>526852473.55000001</v>
      </c>
      <c r="AI5" s="188">
        <v>339483697.23000002</v>
      </c>
      <c r="AJ5" s="188">
        <v>152682979.62</v>
      </c>
      <c r="AK5" s="188">
        <v>454398057.72000003</v>
      </c>
      <c r="AL5" s="188">
        <v>335436977.45999998</v>
      </c>
      <c r="AM5" s="188">
        <v>0</v>
      </c>
    </row>
    <row r="6" spans="1:39">
      <c r="A6" s="188" t="s">
        <v>193</v>
      </c>
      <c r="B6" s="188">
        <v>3853599520.5300002</v>
      </c>
      <c r="C6" s="188">
        <v>2318510502.4699998</v>
      </c>
      <c r="D6" s="188">
        <v>699298583.25</v>
      </c>
      <c r="E6" s="188">
        <v>2458183794.1599998</v>
      </c>
      <c r="F6" s="188">
        <v>1715152035.3900001</v>
      </c>
      <c r="G6" s="188">
        <v>1121382805.5699999</v>
      </c>
      <c r="H6" s="188">
        <v>586000060.14999998</v>
      </c>
      <c r="I6" s="188">
        <v>2287928997.77</v>
      </c>
      <c r="J6" s="188">
        <v>1691508316.01</v>
      </c>
      <c r="K6" s="188">
        <v>1106353465.25</v>
      </c>
      <c r="L6" s="188">
        <v>557933943.28999996</v>
      </c>
      <c r="M6" s="188">
        <v>2087752452.5999999</v>
      </c>
      <c r="N6" s="188">
        <v>1550136618.78</v>
      </c>
      <c r="O6" s="188">
        <v>900812949.77999997</v>
      </c>
      <c r="P6" s="188">
        <v>352753458.19999999</v>
      </c>
      <c r="Q6" s="188">
        <v>1200997442.29</v>
      </c>
      <c r="R6" s="188">
        <v>834680907.57000005</v>
      </c>
      <c r="S6" s="188">
        <v>550912426.27999997</v>
      </c>
      <c r="T6" s="188">
        <v>249544225.88999999</v>
      </c>
      <c r="U6" s="188">
        <v>945671165.38</v>
      </c>
      <c r="V6" s="188">
        <v>683302485.5</v>
      </c>
      <c r="W6" s="188">
        <v>445375619.62</v>
      </c>
      <c r="X6" s="188">
        <v>201367084.09</v>
      </c>
      <c r="Y6" s="188">
        <v>695912228.38999999</v>
      </c>
      <c r="Z6" s="188">
        <v>516678454.25999999</v>
      </c>
      <c r="AA6" s="188">
        <v>344398762.08999997</v>
      </c>
      <c r="AB6" s="188">
        <v>171175796.47</v>
      </c>
      <c r="AC6" s="188">
        <v>710767849.80999994</v>
      </c>
      <c r="AD6" s="188">
        <v>521149633.97000003</v>
      </c>
      <c r="AE6" s="188">
        <v>358446580.54000002</v>
      </c>
      <c r="AF6" s="188">
        <v>157996905.28</v>
      </c>
      <c r="AG6" s="188">
        <v>620456706.17999995</v>
      </c>
      <c r="AH6" s="188">
        <v>446637078.19</v>
      </c>
      <c r="AI6" s="188">
        <v>284996651.92000002</v>
      </c>
      <c r="AJ6" s="188">
        <v>129272827.68000001</v>
      </c>
      <c r="AK6" s="188">
        <v>378402105.88</v>
      </c>
      <c r="AL6" s="188">
        <v>271643761.92000002</v>
      </c>
      <c r="AM6" s="188">
        <v>0</v>
      </c>
    </row>
    <row r="7" spans="1:39">
      <c r="A7" s="188" t="s">
        <v>194</v>
      </c>
      <c r="B7" s="188">
        <v>20279732.030000001</v>
      </c>
      <c r="C7" s="188">
        <v>15616034.779999999</v>
      </c>
      <c r="D7" s="188">
        <v>8220049.5800000001</v>
      </c>
      <c r="E7" s="188">
        <v>26491723.469999999</v>
      </c>
      <c r="F7" s="188">
        <v>19505629.629999999</v>
      </c>
      <c r="G7" s="188">
        <v>10339226.560000001</v>
      </c>
      <c r="H7" s="188">
        <v>2927605.87</v>
      </c>
      <c r="I7" s="188">
        <v>28155411.559999999</v>
      </c>
      <c r="J7" s="188">
        <v>17364303.859999999</v>
      </c>
      <c r="K7" s="188">
        <v>12810231.35</v>
      </c>
      <c r="L7" s="188">
        <v>6605592.3499999996</v>
      </c>
      <c r="M7" s="188">
        <v>25171144.469999999</v>
      </c>
      <c r="N7" s="188">
        <v>17555280.129999999</v>
      </c>
      <c r="O7" s="188">
        <v>11195529.09</v>
      </c>
      <c r="P7" s="188">
        <v>5067938.87</v>
      </c>
      <c r="Q7" s="188">
        <v>12147477.26</v>
      </c>
      <c r="R7" s="188">
        <v>6163022.5899999999</v>
      </c>
      <c r="S7" s="188">
        <v>3816687.57</v>
      </c>
      <c r="T7" s="188">
        <v>1628021.42</v>
      </c>
      <c r="U7" s="188">
        <v>5358586.7699999996</v>
      </c>
      <c r="V7" s="188">
        <v>3953784.91</v>
      </c>
      <c r="W7" s="188">
        <v>2721717.67</v>
      </c>
      <c r="X7" s="188">
        <v>1229719.07</v>
      </c>
      <c r="Y7" s="188">
        <v>4327173.2</v>
      </c>
      <c r="Z7" s="188">
        <v>3124414.8</v>
      </c>
      <c r="AA7" s="188">
        <v>1565322.62</v>
      </c>
      <c r="AB7" s="188">
        <v>1308407.5900000001</v>
      </c>
      <c r="AC7" s="188">
        <v>4334479.09</v>
      </c>
      <c r="AD7" s="188">
        <v>3170969.89</v>
      </c>
      <c r="AE7" s="188">
        <v>1990701.02</v>
      </c>
      <c r="AF7" s="188">
        <v>1087762.31</v>
      </c>
      <c r="AG7" s="188">
        <v>1635543.5</v>
      </c>
      <c r="AH7" s="188">
        <v>698953.48</v>
      </c>
      <c r="AI7" s="188">
        <v>469584.02</v>
      </c>
      <c r="AJ7" s="188">
        <v>239475.21</v>
      </c>
      <c r="AK7" s="188">
        <v>636407.39</v>
      </c>
      <c r="AL7" s="188">
        <v>507834.55</v>
      </c>
      <c r="AM7" s="188">
        <v>0</v>
      </c>
    </row>
    <row r="8" spans="1:39">
      <c r="A8" s="188" t="s">
        <v>195</v>
      </c>
      <c r="B8" s="188">
        <v>1131359206.95</v>
      </c>
      <c r="C8" s="188">
        <v>703952437.5</v>
      </c>
      <c r="D8" s="188">
        <v>348563956.87</v>
      </c>
      <c r="E8" s="188">
        <v>186154765.38</v>
      </c>
      <c r="F8" s="188">
        <v>134160734.63</v>
      </c>
      <c r="G8" s="188">
        <v>82595871.680000007</v>
      </c>
      <c r="H8" s="188">
        <v>24399908.16</v>
      </c>
      <c r="I8" s="188">
        <v>175331698.86000001</v>
      </c>
      <c r="J8" s="188">
        <v>115764881.70999999</v>
      </c>
      <c r="K8" s="188">
        <v>87076714.459999993</v>
      </c>
      <c r="L8" s="188">
        <v>44581341.640000001</v>
      </c>
      <c r="M8" s="188">
        <v>146528814.59</v>
      </c>
      <c r="N8" s="188">
        <v>107560680.92</v>
      </c>
      <c r="O8" s="188">
        <v>64804052.850000001</v>
      </c>
      <c r="P8" s="188">
        <v>21775503.600000001</v>
      </c>
      <c r="Q8" s="188">
        <v>86844822.980000004</v>
      </c>
      <c r="R8" s="188">
        <v>57067597.759999998</v>
      </c>
      <c r="S8" s="188">
        <v>38815863.170000002</v>
      </c>
      <c r="T8" s="188">
        <v>19138358.969999999</v>
      </c>
      <c r="U8" s="188">
        <v>74404812.109999999</v>
      </c>
      <c r="V8" s="188">
        <v>55457467.060000002</v>
      </c>
      <c r="W8" s="188">
        <v>34924665.530000001</v>
      </c>
      <c r="X8" s="188">
        <v>15471865.109999999</v>
      </c>
      <c r="Y8" s="188">
        <v>58763297.210000001</v>
      </c>
      <c r="Z8" s="188">
        <v>40976591.039999999</v>
      </c>
      <c r="AA8" s="188">
        <v>27109521.780000001</v>
      </c>
      <c r="AB8" s="188">
        <v>13538614.73</v>
      </c>
      <c r="AC8" s="188">
        <v>60205935.82</v>
      </c>
      <c r="AD8" s="188">
        <v>43071985.909999996</v>
      </c>
      <c r="AE8" s="188">
        <v>28135458.109999999</v>
      </c>
      <c r="AF8" s="188">
        <v>14556538.220000001</v>
      </c>
      <c r="AG8" s="188">
        <v>48193789.229999997</v>
      </c>
      <c r="AH8" s="188">
        <v>35872503.759999998</v>
      </c>
      <c r="AI8" s="188">
        <v>24551520.23</v>
      </c>
      <c r="AJ8" s="188">
        <v>11137358.08</v>
      </c>
      <c r="AK8" s="188">
        <v>30394487.989999998</v>
      </c>
      <c r="AL8" s="188">
        <v>21106113.699999999</v>
      </c>
      <c r="AM8" s="188">
        <v>0</v>
      </c>
    </row>
    <row r="9" spans="1:39">
      <c r="A9" s="188" t="s">
        <v>196</v>
      </c>
      <c r="B9" s="188">
        <v>240480073.50999999</v>
      </c>
      <c r="C9" s="188">
        <v>235936672.80000001</v>
      </c>
      <c r="D9" s="188">
        <v>115665782.68000001</v>
      </c>
      <c r="E9" s="188">
        <v>358108184.72000003</v>
      </c>
      <c r="F9" s="188">
        <v>240796843.28999999</v>
      </c>
      <c r="G9" s="188">
        <v>158532005.06</v>
      </c>
      <c r="H9" s="188">
        <v>79614239.409999996</v>
      </c>
      <c r="I9" s="188">
        <v>354748154.99000001</v>
      </c>
      <c r="J9" s="188">
        <v>243743247.87</v>
      </c>
      <c r="K9" s="188">
        <v>162436852.12</v>
      </c>
      <c r="L9" s="188">
        <v>72638320.290000007</v>
      </c>
      <c r="M9" s="188">
        <v>268045559.68000001</v>
      </c>
      <c r="N9" s="188">
        <v>182604840.47999999</v>
      </c>
      <c r="O9" s="188">
        <v>105345227.56999999</v>
      </c>
      <c r="P9" s="188">
        <v>50556841.380000003</v>
      </c>
      <c r="Q9" s="188">
        <v>163239878.59999999</v>
      </c>
      <c r="R9" s="188">
        <v>102863299.79000001</v>
      </c>
      <c r="S9" s="188">
        <v>59089703.75</v>
      </c>
      <c r="T9" s="188">
        <v>29956919.370000001</v>
      </c>
      <c r="U9" s="188">
        <v>98026160.409999996</v>
      </c>
      <c r="V9" s="188">
        <v>67588826.120000005</v>
      </c>
      <c r="W9" s="188">
        <v>40532940.640000001</v>
      </c>
      <c r="X9" s="188">
        <v>19732849.23</v>
      </c>
      <c r="Y9" s="188">
        <v>68380359.689999998</v>
      </c>
      <c r="Z9" s="188">
        <v>41525510.280000001</v>
      </c>
      <c r="AA9" s="188">
        <v>26229191.829999998</v>
      </c>
      <c r="AB9" s="188">
        <v>12392261.060000001</v>
      </c>
      <c r="AC9" s="188">
        <v>52821694.600000001</v>
      </c>
      <c r="AD9" s="188">
        <v>26954448.370000001</v>
      </c>
      <c r="AE9" s="188">
        <v>17506046.760000002</v>
      </c>
      <c r="AF9" s="188">
        <v>8697271.3900000006</v>
      </c>
      <c r="AG9" s="188">
        <v>46402393.850000001</v>
      </c>
      <c r="AH9" s="188">
        <v>35570841.57</v>
      </c>
      <c r="AI9" s="188">
        <v>22117006.210000001</v>
      </c>
      <c r="AJ9" s="188">
        <v>9743382.7100000009</v>
      </c>
      <c r="AK9" s="188">
        <v>29117232.809999999</v>
      </c>
      <c r="AL9" s="188">
        <v>29264056.899999999</v>
      </c>
      <c r="AM9" s="188">
        <v>0</v>
      </c>
    </row>
    <row r="10" spans="1:39">
      <c r="A10" s="188" t="s">
        <v>197</v>
      </c>
      <c r="B10" s="188">
        <v>-19063575.73</v>
      </c>
      <c r="C10" s="188">
        <v>-10156774.779999999</v>
      </c>
      <c r="D10" s="188">
        <v>-2064437</v>
      </c>
      <c r="E10" s="188">
        <v>15666479.75</v>
      </c>
      <c r="F10" s="188">
        <v>11021793.35</v>
      </c>
      <c r="G10" s="188">
        <v>8716211.8499999996</v>
      </c>
      <c r="H10" s="188">
        <v>3736297.83</v>
      </c>
      <c r="I10" s="188">
        <v>16525744.66</v>
      </c>
      <c r="J10" s="188">
        <v>12717937.77</v>
      </c>
      <c r="K10" s="188">
        <v>8087664.8899999997</v>
      </c>
      <c r="L10" s="188">
        <v>4431389.93</v>
      </c>
      <c r="M10" s="188">
        <v>14834391.75</v>
      </c>
      <c r="N10" s="188">
        <v>7979852.96</v>
      </c>
      <c r="O10" s="188">
        <v>2557928.2400000002</v>
      </c>
      <c r="P10" s="188">
        <v>1589379.86</v>
      </c>
      <c r="Q10" s="188">
        <v>1434919.73</v>
      </c>
      <c r="R10" s="188">
        <v>1716536.35</v>
      </c>
      <c r="S10" s="188">
        <v>609378.76</v>
      </c>
      <c r="T10" s="188">
        <v>163388.10999999999</v>
      </c>
      <c r="U10" s="188">
        <v>-2115238.33</v>
      </c>
      <c r="V10" s="188">
        <v>-2333896.4</v>
      </c>
      <c r="W10" s="188">
        <v>-1657229.46</v>
      </c>
      <c r="X10" s="188">
        <v>-949306.05</v>
      </c>
      <c r="Y10" s="188">
        <v>-12449623.76</v>
      </c>
      <c r="Z10" s="188">
        <v>-11003938.98</v>
      </c>
      <c r="AA10" s="188">
        <v>-8453406.0800000001</v>
      </c>
      <c r="AB10" s="188">
        <v>-4351702.5</v>
      </c>
      <c r="AC10" s="188">
        <v>4926669.87</v>
      </c>
      <c r="AD10" s="188">
        <v>9294082.3100000005</v>
      </c>
      <c r="AE10" s="188">
        <v>9765859.9199999999</v>
      </c>
      <c r="AF10" s="188">
        <v>3918195.11</v>
      </c>
      <c r="AG10" s="188">
        <v>13571483.199999999</v>
      </c>
      <c r="AH10" s="188">
        <v>9355352.0500000007</v>
      </c>
      <c r="AI10" s="188">
        <v>5379810.1200000001</v>
      </c>
      <c r="AJ10" s="188">
        <v>2289935.94</v>
      </c>
      <c r="AK10" s="188">
        <v>8486811.7599999998</v>
      </c>
      <c r="AL10" s="188">
        <v>9601951.2899999991</v>
      </c>
      <c r="AM10" s="188">
        <v>0</v>
      </c>
    </row>
    <row r="11" spans="1:39">
      <c r="A11" s="188" t="s">
        <v>198</v>
      </c>
      <c r="B11" s="188">
        <v>9816127.8599999994</v>
      </c>
      <c r="C11" s="188">
        <v>10720441.15</v>
      </c>
      <c r="D11" s="188">
        <v>247221.76000000001</v>
      </c>
      <c r="E11" s="188">
        <v>12366028.390000001</v>
      </c>
      <c r="F11" s="188">
        <v>-1054217.08</v>
      </c>
      <c r="G11" s="188">
        <v>4272596.29</v>
      </c>
      <c r="H11" s="188">
        <v>6634367.4299999997</v>
      </c>
      <c r="I11" s="188">
        <v>-687475.79</v>
      </c>
      <c r="J11" s="188">
        <v>5732192.8099999996</v>
      </c>
      <c r="K11" s="188">
        <v>2723234.17</v>
      </c>
      <c r="L11" s="188">
        <v>3982056.46</v>
      </c>
      <c r="M11" s="188">
        <v>31368183.050000001</v>
      </c>
      <c r="N11" s="188">
        <v>16325388.710000001</v>
      </c>
      <c r="O11" s="188">
        <v>5076743.57</v>
      </c>
      <c r="P11" s="188">
        <v>899459.72</v>
      </c>
      <c r="Q11" s="188">
        <v>10472153.449999999</v>
      </c>
      <c r="R11" s="188">
        <v>6769672.1900000004</v>
      </c>
      <c r="S11" s="188">
        <v>8498308.2599999998</v>
      </c>
      <c r="T11" s="188">
        <v>566405.22</v>
      </c>
      <c r="U11" s="188">
        <v>8194603.2800000003</v>
      </c>
      <c r="V11" s="188">
        <v>2054782.28</v>
      </c>
      <c r="W11" s="188">
        <v>3495793.07</v>
      </c>
      <c r="X11" s="188">
        <v>330545.49</v>
      </c>
      <c r="Y11" s="188">
        <v>1963377.78</v>
      </c>
      <c r="Z11" s="188">
        <v>693123.36</v>
      </c>
      <c r="AA11" s="188">
        <v>825859.68</v>
      </c>
      <c r="AB11" s="188">
        <v>621683.87</v>
      </c>
      <c r="AC11" s="188">
        <v>3684165.41</v>
      </c>
      <c r="AD11" s="188">
        <v>2197647.42</v>
      </c>
      <c r="AE11" s="188">
        <v>3381825.99</v>
      </c>
      <c r="AF11" s="188">
        <v>0</v>
      </c>
      <c r="AG11" s="188">
        <v>-878286.96</v>
      </c>
      <c r="AH11" s="188">
        <v>-1282255.5</v>
      </c>
      <c r="AI11" s="188">
        <v>1969124.73</v>
      </c>
      <c r="AJ11" s="188">
        <v>0</v>
      </c>
      <c r="AK11" s="188">
        <v>7361011.8899999997</v>
      </c>
      <c r="AL11" s="188">
        <v>3313259.1</v>
      </c>
      <c r="AM11" s="188">
        <v>0</v>
      </c>
    </row>
    <row r="12" spans="1:39">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row>
    <row r="13" spans="1:39">
      <c r="A13" s="188" t="s">
        <v>200</v>
      </c>
      <c r="B13" s="188">
        <v>150226953.81</v>
      </c>
      <c r="C13" s="188">
        <v>150457632.68000001</v>
      </c>
      <c r="D13" s="188">
        <v>154768311.00999999</v>
      </c>
      <c r="E13" s="188">
        <v>508826270.5</v>
      </c>
      <c r="F13" s="188">
        <v>494269291.69</v>
      </c>
      <c r="G13" s="188">
        <v>487338686.72000003</v>
      </c>
      <c r="H13" s="188">
        <v>-118618.09</v>
      </c>
      <c r="I13" s="188">
        <v>-5406516.1500000004</v>
      </c>
      <c r="J13" s="188">
        <v>-298360.31</v>
      </c>
      <c r="K13" s="188">
        <v>-302515.05</v>
      </c>
      <c r="L13" s="188">
        <v>3337.5</v>
      </c>
      <c r="M13" s="188">
        <v>89970.559999999998</v>
      </c>
      <c r="N13" s="188">
        <v>86053.6</v>
      </c>
      <c r="O13" s="188">
        <v>82316.539999999994</v>
      </c>
      <c r="P13" s="188">
        <v>5047.67</v>
      </c>
      <c r="Q13" s="188">
        <v>670590.9</v>
      </c>
      <c r="R13" s="188">
        <v>696642.18</v>
      </c>
      <c r="S13" s="188">
        <v>10733.44</v>
      </c>
      <c r="T13" s="188">
        <v>6403.73</v>
      </c>
      <c r="U13" s="188">
        <v>15800.66</v>
      </c>
      <c r="V13" s="188">
        <v>0</v>
      </c>
      <c r="W13" s="188">
        <v>0</v>
      </c>
      <c r="X13" s="188">
        <v>0</v>
      </c>
      <c r="Y13" s="188">
        <v>2271772.0499999998</v>
      </c>
      <c r="Z13" s="188">
        <v>2194139.0099999998</v>
      </c>
      <c r="AA13" s="188">
        <v>1562272.67</v>
      </c>
      <c r="AB13" s="188">
        <v>755765.94</v>
      </c>
      <c r="AC13" s="188">
        <v>2586005.37</v>
      </c>
      <c r="AD13" s="188">
        <v>1659369.95</v>
      </c>
      <c r="AE13" s="188">
        <v>1314928.06</v>
      </c>
      <c r="AF13" s="188">
        <v>743573.88</v>
      </c>
      <c r="AG13" s="188">
        <v>2771806.61</v>
      </c>
      <c r="AH13" s="188">
        <v>1998391.76</v>
      </c>
      <c r="AI13" s="188">
        <v>1299991.8400000001</v>
      </c>
      <c r="AJ13" s="188">
        <v>579434.6</v>
      </c>
      <c r="AK13" s="188">
        <v>524269.5</v>
      </c>
      <c r="AL13" s="188">
        <v>0</v>
      </c>
      <c r="AM13" s="188">
        <v>0</v>
      </c>
    </row>
    <row r="14" spans="1:39">
      <c r="A14" s="188" t="s">
        <v>201</v>
      </c>
      <c r="B14" s="188">
        <v>0</v>
      </c>
      <c r="C14" s="188">
        <v>0</v>
      </c>
      <c r="D14" s="188">
        <v>0</v>
      </c>
      <c r="E14" s="188">
        <v>-1541608.46</v>
      </c>
      <c r="F14" s="188">
        <v>0</v>
      </c>
      <c r="G14" s="188">
        <v>0</v>
      </c>
      <c r="H14" s="188">
        <v>0</v>
      </c>
      <c r="I14" s="188">
        <v>-567184.34</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2271772.0499999998</v>
      </c>
      <c r="Z14" s="188">
        <v>2194139.0099999998</v>
      </c>
      <c r="AA14" s="188">
        <v>1562272.67</v>
      </c>
      <c r="AB14" s="188">
        <v>755765.94</v>
      </c>
      <c r="AC14" s="188">
        <v>2586005.37</v>
      </c>
      <c r="AD14" s="188">
        <v>1659369.95</v>
      </c>
      <c r="AE14" s="188">
        <v>1314928.06</v>
      </c>
      <c r="AF14" s="188">
        <v>743573.88</v>
      </c>
      <c r="AG14" s="188">
        <v>2771806.61</v>
      </c>
      <c r="AH14" s="188">
        <v>1998391.76</v>
      </c>
      <c r="AI14" s="188">
        <v>1299991.8400000001</v>
      </c>
      <c r="AJ14" s="188">
        <v>579434.6</v>
      </c>
      <c r="AK14" s="188">
        <v>524269.5</v>
      </c>
      <c r="AL14" s="188">
        <v>0</v>
      </c>
      <c r="AM14" s="188">
        <v>0</v>
      </c>
    </row>
    <row r="15" spans="1:39">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row>
    <row r="16" spans="1:39">
      <c r="A16" s="188" t="s">
        <v>203</v>
      </c>
      <c r="B16" s="188">
        <v>965814799.88999999</v>
      </c>
      <c r="C16" s="188">
        <v>784433254.28999996</v>
      </c>
      <c r="D16" s="188">
        <v>366372780.19999999</v>
      </c>
      <c r="E16" s="188">
        <v>952948969.77999997</v>
      </c>
      <c r="F16" s="188">
        <v>835779264.65999997</v>
      </c>
      <c r="G16" s="188">
        <v>734433436.50999999</v>
      </c>
      <c r="H16" s="188">
        <v>155029946.78999999</v>
      </c>
      <c r="I16" s="188">
        <v>588493382.04999995</v>
      </c>
      <c r="J16" s="188">
        <v>454811567.54000002</v>
      </c>
      <c r="K16" s="188">
        <v>318822693.33999997</v>
      </c>
      <c r="L16" s="188">
        <v>144955400.84999999</v>
      </c>
      <c r="M16" s="188">
        <v>452216864.91000003</v>
      </c>
      <c r="N16" s="188">
        <v>311182791.68000001</v>
      </c>
      <c r="O16" s="188">
        <v>165511783.02000001</v>
      </c>
      <c r="P16" s="188">
        <v>64328632.829999998</v>
      </c>
      <c r="Q16" s="188">
        <v>237763957.24000001</v>
      </c>
      <c r="R16" s="188">
        <v>115607520.33</v>
      </c>
      <c r="S16" s="188">
        <v>68492114.859999999</v>
      </c>
      <c r="T16" s="188">
        <v>26890549</v>
      </c>
      <c r="U16" s="188">
        <v>97906894.280000001</v>
      </c>
      <c r="V16" s="188">
        <v>74208988.459999993</v>
      </c>
      <c r="W16" s="188">
        <v>52542183.799999997</v>
      </c>
      <c r="X16" s="188">
        <v>24212994.77</v>
      </c>
      <c r="Y16" s="188">
        <v>114274663.09</v>
      </c>
      <c r="Z16" s="188">
        <v>103711847.59999999</v>
      </c>
      <c r="AA16" s="188">
        <v>76507249.790000007</v>
      </c>
      <c r="AB16" s="188">
        <v>34910465.780000001</v>
      </c>
      <c r="AC16" s="188">
        <v>164571636.66</v>
      </c>
      <c r="AD16" s="188">
        <v>141813175.19</v>
      </c>
      <c r="AE16" s="188">
        <v>104790815.27</v>
      </c>
      <c r="AF16" s="188">
        <v>48145637.590000004</v>
      </c>
      <c r="AG16" s="188">
        <v>181377038.00999999</v>
      </c>
      <c r="AH16" s="188">
        <v>138121057.94</v>
      </c>
      <c r="AI16" s="188">
        <v>91009441.700000003</v>
      </c>
      <c r="AJ16" s="188">
        <v>45126142.789999999</v>
      </c>
      <c r="AK16" s="188">
        <v>114638644.70999999</v>
      </c>
      <c r="AL16" s="188">
        <v>85395460.719999999</v>
      </c>
      <c r="AM16" s="188">
        <v>0</v>
      </c>
    </row>
    <row r="17" spans="1:39">
      <c r="A17" s="188" t="s">
        <v>204</v>
      </c>
      <c r="B17" s="188">
        <v>3763856.53</v>
      </c>
      <c r="C17" s="188">
        <v>1253755.6299999999</v>
      </c>
      <c r="D17" s="188">
        <v>1330572.8999999999</v>
      </c>
      <c r="E17" s="188">
        <v>9065411.4299999997</v>
      </c>
      <c r="F17" s="188">
        <v>10549129.289999999</v>
      </c>
      <c r="G17" s="188">
        <v>4232896.78</v>
      </c>
      <c r="H17" s="188">
        <v>1464232.34</v>
      </c>
      <c r="I17" s="188">
        <v>13996521.17</v>
      </c>
      <c r="J17" s="188">
        <v>6691941.4100000001</v>
      </c>
      <c r="K17" s="188">
        <v>2362829.4900000002</v>
      </c>
      <c r="L17" s="188">
        <v>895868.98</v>
      </c>
      <c r="M17" s="188">
        <v>19532563.18</v>
      </c>
      <c r="N17" s="188">
        <v>8142621.2199999997</v>
      </c>
      <c r="O17" s="188">
        <v>3844741.9</v>
      </c>
      <c r="P17" s="188">
        <v>195715.56</v>
      </c>
      <c r="Q17" s="188">
        <v>5050580</v>
      </c>
      <c r="R17" s="188">
        <v>844401.49</v>
      </c>
      <c r="S17" s="188">
        <v>727090.07</v>
      </c>
      <c r="T17" s="188">
        <v>540306.06999999995</v>
      </c>
      <c r="U17" s="188">
        <v>5377129.0999999996</v>
      </c>
      <c r="V17" s="188">
        <v>4912179.7699999996</v>
      </c>
      <c r="W17" s="188">
        <v>4380285.3099999996</v>
      </c>
      <c r="X17" s="188">
        <v>175069.36</v>
      </c>
      <c r="Y17" s="188">
        <v>1025527.06</v>
      </c>
      <c r="Z17" s="188">
        <v>912694.74</v>
      </c>
      <c r="AA17" s="188">
        <v>628709.59</v>
      </c>
      <c r="AB17" s="188">
        <v>234936.37</v>
      </c>
      <c r="AC17" s="188">
        <v>1378592.21</v>
      </c>
      <c r="AD17" s="188">
        <v>616831.37</v>
      </c>
      <c r="AE17" s="188">
        <v>38710.14</v>
      </c>
      <c r="AF17" s="188">
        <v>0</v>
      </c>
      <c r="AG17" s="188">
        <v>3409243.74</v>
      </c>
      <c r="AH17" s="188">
        <v>2166852.37</v>
      </c>
      <c r="AI17" s="188">
        <v>1894005.07</v>
      </c>
      <c r="AJ17" s="188">
        <v>1152000</v>
      </c>
      <c r="AK17" s="188">
        <v>709731.28</v>
      </c>
      <c r="AL17" s="188">
        <v>659188.06000000006</v>
      </c>
      <c r="AM17" s="188">
        <v>0</v>
      </c>
    </row>
    <row r="18" spans="1:39">
      <c r="A18" s="188" t="s">
        <v>205</v>
      </c>
      <c r="B18" s="188">
        <v>3735160.28</v>
      </c>
      <c r="C18" s="188">
        <v>3394797.65</v>
      </c>
      <c r="D18" s="188">
        <v>2352183.56</v>
      </c>
      <c r="E18" s="188">
        <v>928575.33</v>
      </c>
      <c r="F18" s="188">
        <v>549544.15</v>
      </c>
      <c r="G18" s="188">
        <v>412267.93</v>
      </c>
      <c r="H18" s="188">
        <v>309332.42</v>
      </c>
      <c r="I18" s="188">
        <v>8575407.3200000003</v>
      </c>
      <c r="J18" s="188">
        <v>5012259.2699999996</v>
      </c>
      <c r="K18" s="188">
        <v>3597181.78</v>
      </c>
      <c r="L18" s="188">
        <v>1104347.4099999999</v>
      </c>
      <c r="M18" s="188">
        <v>6378344.3600000003</v>
      </c>
      <c r="N18" s="188">
        <v>2014895.18</v>
      </c>
      <c r="O18" s="188">
        <v>1298097.92</v>
      </c>
      <c r="P18" s="188">
        <v>402940.2</v>
      </c>
      <c r="Q18" s="188">
        <v>5711144.8099999996</v>
      </c>
      <c r="R18" s="188">
        <v>4168254.13</v>
      </c>
      <c r="S18" s="188">
        <v>3795158.75</v>
      </c>
      <c r="T18" s="188">
        <v>1393467.33</v>
      </c>
      <c r="U18" s="188">
        <v>3232965.58</v>
      </c>
      <c r="V18" s="188">
        <v>2701870.37</v>
      </c>
      <c r="W18" s="188">
        <v>1977343.58</v>
      </c>
      <c r="X18" s="188">
        <v>1387056.66</v>
      </c>
      <c r="Y18" s="188">
        <v>4528245.1500000004</v>
      </c>
      <c r="Z18" s="188">
        <v>3085424.85</v>
      </c>
      <c r="AA18" s="188">
        <v>2648380.3199999998</v>
      </c>
      <c r="AB18" s="188">
        <v>1886164.96</v>
      </c>
      <c r="AC18" s="188">
        <v>2010111.04</v>
      </c>
      <c r="AD18" s="188">
        <v>1571374.06</v>
      </c>
      <c r="AE18" s="188">
        <v>808392.51</v>
      </c>
      <c r="AF18" s="188">
        <v>356475.48</v>
      </c>
      <c r="AG18" s="188">
        <v>2912472.54</v>
      </c>
      <c r="AH18" s="188">
        <v>1665325.35</v>
      </c>
      <c r="AI18" s="188">
        <v>1328539.71</v>
      </c>
      <c r="AJ18" s="188">
        <v>867314.67</v>
      </c>
      <c r="AK18" s="188">
        <v>1472182.33</v>
      </c>
      <c r="AL18" s="188">
        <v>2052026.19</v>
      </c>
      <c r="AM18" s="188">
        <v>0</v>
      </c>
    </row>
    <row r="19" spans="1:39">
      <c r="A19" s="188" t="s">
        <v>206</v>
      </c>
      <c r="B19" s="188">
        <v>0</v>
      </c>
      <c r="C19" s="188">
        <v>0</v>
      </c>
      <c r="D19" s="188">
        <v>0</v>
      </c>
      <c r="E19" s="188">
        <v>0</v>
      </c>
      <c r="F19" s="188">
        <v>276163.68</v>
      </c>
      <c r="G19" s="188">
        <v>266086.45</v>
      </c>
      <c r="H19" s="188">
        <v>69565.899999999994</v>
      </c>
      <c r="I19" s="188">
        <v>1667190.49</v>
      </c>
      <c r="J19" s="188">
        <v>1138725.55</v>
      </c>
      <c r="K19" s="188">
        <v>795857.82</v>
      </c>
      <c r="L19" s="188">
        <v>558411.37</v>
      </c>
      <c r="M19" s="188">
        <v>921757.94</v>
      </c>
      <c r="N19" s="188">
        <v>394678.88</v>
      </c>
      <c r="O19" s="188">
        <v>150088.6</v>
      </c>
      <c r="P19" s="188">
        <v>20325.09</v>
      </c>
      <c r="Q19" s="188">
        <v>579621.15</v>
      </c>
      <c r="R19" s="188">
        <v>0</v>
      </c>
      <c r="S19" s="188">
        <v>0</v>
      </c>
      <c r="T19" s="188">
        <v>0</v>
      </c>
      <c r="U19" s="188">
        <v>386543.58</v>
      </c>
      <c r="V19" s="188">
        <v>0</v>
      </c>
      <c r="W19" s="188">
        <v>0.03</v>
      </c>
      <c r="X19" s="188">
        <v>0</v>
      </c>
      <c r="Y19" s="188">
        <v>263116.15999999997</v>
      </c>
      <c r="Z19" s="188">
        <v>261446.16</v>
      </c>
      <c r="AA19" s="188">
        <v>0</v>
      </c>
      <c r="AB19" s="188">
        <v>0</v>
      </c>
      <c r="AC19" s="188">
        <v>323824.98</v>
      </c>
      <c r="AD19" s="188">
        <v>233410.61</v>
      </c>
      <c r="AE19" s="188">
        <v>0</v>
      </c>
      <c r="AF19" s="188">
        <v>0</v>
      </c>
      <c r="AG19" s="188">
        <v>0</v>
      </c>
      <c r="AH19" s="188">
        <v>0</v>
      </c>
      <c r="AI19" s="188">
        <v>0</v>
      </c>
      <c r="AJ19" s="188">
        <v>0</v>
      </c>
      <c r="AK19" s="188">
        <v>48445.81</v>
      </c>
      <c r="AL19" s="188">
        <v>17613.97</v>
      </c>
      <c r="AM19" s="188">
        <v>0</v>
      </c>
    </row>
    <row r="20" spans="1:39">
      <c r="A20" s="188" t="s">
        <v>207</v>
      </c>
      <c r="B20" s="188">
        <v>965843496.13999999</v>
      </c>
      <c r="C20" s="188">
        <v>782292212.26999998</v>
      </c>
      <c r="D20" s="188">
        <v>365351169.54000002</v>
      </c>
      <c r="E20" s="188">
        <v>961085805.88</v>
      </c>
      <c r="F20" s="188">
        <v>845778849.79999995</v>
      </c>
      <c r="G20" s="188">
        <v>738254065.36000001</v>
      </c>
      <c r="H20" s="188">
        <v>156184846.71000001</v>
      </c>
      <c r="I20" s="188">
        <v>593914495.89999998</v>
      </c>
      <c r="J20" s="188">
        <v>456491249.68000001</v>
      </c>
      <c r="K20" s="188">
        <v>317588341.05000001</v>
      </c>
      <c r="L20" s="188">
        <v>144746922.41999999</v>
      </c>
      <c r="M20" s="188">
        <v>465371083.73000002</v>
      </c>
      <c r="N20" s="188">
        <v>317310517.72000003</v>
      </c>
      <c r="O20" s="188">
        <v>168058427</v>
      </c>
      <c r="P20" s="188">
        <v>64121408.189999998</v>
      </c>
      <c r="Q20" s="188">
        <v>237103392.43000001</v>
      </c>
      <c r="R20" s="188">
        <v>112283667.69</v>
      </c>
      <c r="S20" s="188">
        <v>65424046.18</v>
      </c>
      <c r="T20" s="188">
        <v>26037387.739999998</v>
      </c>
      <c r="U20" s="188">
        <v>100051057.8</v>
      </c>
      <c r="V20" s="188">
        <v>76419297.859999999</v>
      </c>
      <c r="W20" s="188">
        <v>54945125.530000001</v>
      </c>
      <c r="X20" s="188">
        <v>23001007.469999999</v>
      </c>
      <c r="Y20" s="188">
        <v>110771945</v>
      </c>
      <c r="Z20" s="188">
        <v>101539117.48999999</v>
      </c>
      <c r="AA20" s="188">
        <v>74487579.060000002</v>
      </c>
      <c r="AB20" s="188">
        <v>33259237.190000001</v>
      </c>
      <c r="AC20" s="188">
        <v>163940117.83000001</v>
      </c>
      <c r="AD20" s="188">
        <v>140858632.5</v>
      </c>
      <c r="AE20" s="188">
        <v>104021132.90000001</v>
      </c>
      <c r="AF20" s="188">
        <v>47789162.109999999</v>
      </c>
      <c r="AG20" s="188">
        <v>181873809.21000001</v>
      </c>
      <c r="AH20" s="188">
        <v>138622584.96000001</v>
      </c>
      <c r="AI20" s="188">
        <v>91574907.060000002</v>
      </c>
      <c r="AJ20" s="188">
        <v>45410828.119999997</v>
      </c>
      <c r="AK20" s="188">
        <v>113876193.66</v>
      </c>
      <c r="AL20" s="188">
        <v>84002622.590000004</v>
      </c>
      <c r="AM20" s="188">
        <v>0</v>
      </c>
    </row>
    <row r="21" spans="1:39">
      <c r="A21" s="188" t="s">
        <v>208</v>
      </c>
      <c r="B21" s="188">
        <v>84965150.319999993</v>
      </c>
      <c r="C21" s="188">
        <v>70702418.439999998</v>
      </c>
      <c r="D21" s="188">
        <v>52216615.759999998</v>
      </c>
      <c r="E21" s="188">
        <v>176427839.81999999</v>
      </c>
      <c r="F21" s="188">
        <v>131343019.88</v>
      </c>
      <c r="G21" s="188">
        <v>120201647.28</v>
      </c>
      <c r="H21" s="188">
        <v>30931539.27</v>
      </c>
      <c r="I21" s="188">
        <v>86709524.189999998</v>
      </c>
      <c r="J21" s="188">
        <v>61143036.149999999</v>
      </c>
      <c r="K21" s="188">
        <v>40306410.609999999</v>
      </c>
      <c r="L21" s="188">
        <v>22159436.260000002</v>
      </c>
      <c r="M21" s="188">
        <v>55216863.780000001</v>
      </c>
      <c r="N21" s="188">
        <v>41165972.950000003</v>
      </c>
      <c r="O21" s="188">
        <v>22441579.620000001</v>
      </c>
      <c r="P21" s="188">
        <v>8749247.8800000008</v>
      </c>
      <c r="Q21" s="188">
        <v>25981549.109999999</v>
      </c>
      <c r="R21" s="188">
        <v>19045800.07</v>
      </c>
      <c r="S21" s="188">
        <v>12006178.210000001</v>
      </c>
      <c r="T21" s="188">
        <v>4552085.1900000004</v>
      </c>
      <c r="U21" s="188">
        <v>17253605.879999999</v>
      </c>
      <c r="V21" s="188">
        <v>12613322.619999999</v>
      </c>
      <c r="W21" s="188">
        <v>8738669.2400000002</v>
      </c>
      <c r="X21" s="188">
        <v>3573417.97</v>
      </c>
      <c r="Y21" s="188">
        <v>17365454.870000001</v>
      </c>
      <c r="Z21" s="188">
        <v>15120611.5</v>
      </c>
      <c r="AA21" s="188">
        <v>10850084.130000001</v>
      </c>
      <c r="AB21" s="188">
        <v>4410996.29</v>
      </c>
      <c r="AC21" s="188">
        <v>22492723.390000001</v>
      </c>
      <c r="AD21" s="188">
        <v>18264884.98</v>
      </c>
      <c r="AE21" s="188">
        <v>14232552.560000001</v>
      </c>
      <c r="AF21" s="188">
        <v>6977319.6100000003</v>
      </c>
      <c r="AG21" s="188">
        <v>23088242.75</v>
      </c>
      <c r="AH21" s="188">
        <v>17334103.010000002</v>
      </c>
      <c r="AI21" s="188">
        <v>11564974.75</v>
      </c>
      <c r="AJ21" s="188">
        <v>5682090.5199999996</v>
      </c>
      <c r="AK21" s="188">
        <v>11911118.140000001</v>
      </c>
      <c r="AL21" s="188">
        <v>6946077.8499999996</v>
      </c>
      <c r="AM21" s="188">
        <v>0</v>
      </c>
    </row>
    <row r="22" spans="1:39">
      <c r="A22" s="188" t="s">
        <v>209</v>
      </c>
      <c r="B22" s="188">
        <v>880878345.82000005</v>
      </c>
      <c r="C22" s="188">
        <v>711589793.83000004</v>
      </c>
      <c r="D22" s="188">
        <v>313134553.77999997</v>
      </c>
      <c r="E22" s="188">
        <v>784657966.05999994</v>
      </c>
      <c r="F22" s="188">
        <v>714435829.91999996</v>
      </c>
      <c r="G22" s="188">
        <v>618052418.08000004</v>
      </c>
      <c r="H22" s="188">
        <v>125253307.44</v>
      </c>
      <c r="I22" s="188">
        <v>507204971.70999998</v>
      </c>
      <c r="J22" s="188">
        <v>395348213.52999997</v>
      </c>
      <c r="K22" s="188">
        <v>277281930.44</v>
      </c>
      <c r="L22" s="188">
        <v>122587486.16</v>
      </c>
      <c r="M22" s="188">
        <v>410154219.94999999</v>
      </c>
      <c r="N22" s="188">
        <v>276144544.76999998</v>
      </c>
      <c r="O22" s="188">
        <v>145616847.38</v>
      </c>
      <c r="P22" s="188">
        <v>55372160.310000002</v>
      </c>
      <c r="Q22" s="188">
        <v>211121843.31999999</v>
      </c>
      <c r="R22" s="188">
        <v>93237867.620000005</v>
      </c>
      <c r="S22" s="188">
        <v>53417867.969999999</v>
      </c>
      <c r="T22" s="188">
        <v>21485302.550000001</v>
      </c>
      <c r="U22" s="188">
        <v>82797451.920000002</v>
      </c>
      <c r="V22" s="188">
        <v>63805975.240000002</v>
      </c>
      <c r="W22" s="188">
        <v>46206456.289999999</v>
      </c>
      <c r="X22" s="188">
        <v>19427589.5</v>
      </c>
      <c r="Y22" s="188">
        <v>93406490.129999995</v>
      </c>
      <c r="Z22" s="188">
        <v>86418505.989999995</v>
      </c>
      <c r="AA22" s="188">
        <v>63637494.93</v>
      </c>
      <c r="AB22" s="188">
        <v>28848240.899999999</v>
      </c>
      <c r="AC22" s="188">
        <v>141447394.44</v>
      </c>
      <c r="AD22" s="188">
        <v>122593747.52</v>
      </c>
      <c r="AE22" s="188">
        <v>89788580.340000004</v>
      </c>
      <c r="AF22" s="188">
        <v>40811842.5</v>
      </c>
      <c r="AG22" s="188">
        <v>158785566.46000001</v>
      </c>
      <c r="AH22" s="188">
        <v>121288481.95</v>
      </c>
      <c r="AI22" s="188">
        <v>80009932.310000002</v>
      </c>
      <c r="AJ22" s="188">
        <v>39728737.600000001</v>
      </c>
      <c r="AK22" s="188">
        <v>101965075.52</v>
      </c>
      <c r="AL22" s="188">
        <v>77056544.739999995</v>
      </c>
      <c r="AM22" s="188">
        <v>0</v>
      </c>
    </row>
    <row r="23" spans="1:39">
      <c r="A23" s="188" t="s">
        <v>210</v>
      </c>
      <c r="B23" s="188">
        <v>879753501.80999994</v>
      </c>
      <c r="C23" s="188">
        <v>710510534.67999995</v>
      </c>
      <c r="D23" s="188">
        <v>313558339.75999999</v>
      </c>
      <c r="E23" s="188">
        <v>782740266.89999998</v>
      </c>
      <c r="F23" s="188">
        <v>714680969.88</v>
      </c>
      <c r="G23" s="188">
        <v>618191033.60000002</v>
      </c>
      <c r="H23" s="188">
        <v>125127280.41</v>
      </c>
      <c r="I23" s="188">
        <v>503455675.24000001</v>
      </c>
      <c r="J23" s="188">
        <v>392677407.01999998</v>
      </c>
      <c r="K23" s="188">
        <v>274755073.36000001</v>
      </c>
      <c r="L23" s="188">
        <v>121479397.65000001</v>
      </c>
      <c r="M23" s="188">
        <v>407868081.72000003</v>
      </c>
      <c r="N23" s="188">
        <v>274460340.92000002</v>
      </c>
      <c r="O23" s="188">
        <v>144289557.62</v>
      </c>
      <c r="P23" s="188">
        <v>54703743.460000001</v>
      </c>
      <c r="Q23" s="188">
        <v>209168105.56</v>
      </c>
      <c r="R23" s="188">
        <v>91865497.939999998</v>
      </c>
      <c r="S23" s="188">
        <v>52512660.700000003</v>
      </c>
      <c r="T23" s="188">
        <v>21255249.739999998</v>
      </c>
      <c r="U23" s="188">
        <v>81161049.109999999</v>
      </c>
      <c r="V23" s="188">
        <v>62646919.490000002</v>
      </c>
      <c r="W23" s="188">
        <v>45446164.289999999</v>
      </c>
      <c r="X23" s="188">
        <v>19101723.300000001</v>
      </c>
      <c r="Y23" s="188">
        <v>93397547.159999996</v>
      </c>
      <c r="Z23" s="188">
        <v>86418505.989999995</v>
      </c>
      <c r="AA23" s="188">
        <v>63637494.93</v>
      </c>
      <c r="AB23" s="188">
        <v>28848240.899999999</v>
      </c>
      <c r="AC23" s="188">
        <v>141447394.44</v>
      </c>
      <c r="AD23" s="188">
        <v>122593747.52</v>
      </c>
      <c r="AE23" s="188">
        <v>89788580.340000004</v>
      </c>
      <c r="AF23" s="188">
        <v>40811842.5</v>
      </c>
      <c r="AG23" s="188">
        <v>158785566.46000001</v>
      </c>
      <c r="AH23" s="188">
        <v>121288481.95</v>
      </c>
      <c r="AI23" s="188">
        <v>80009932.310000002</v>
      </c>
      <c r="AJ23" s="188">
        <v>39728737.600000001</v>
      </c>
      <c r="AK23" s="188">
        <v>101965075.52</v>
      </c>
      <c r="AL23" s="188">
        <v>77056544.739999995</v>
      </c>
      <c r="AM23" s="188">
        <v>0</v>
      </c>
    </row>
    <row r="24" spans="1:39">
      <c r="A24" s="188" t="s">
        <v>211</v>
      </c>
      <c r="B24" s="188">
        <v>1124844.01</v>
      </c>
      <c r="C24" s="188">
        <v>1079259.1499999999</v>
      </c>
      <c r="D24" s="188">
        <v>-423785.98</v>
      </c>
      <c r="E24" s="188">
        <v>1917699.16</v>
      </c>
      <c r="F24" s="188">
        <v>-245139.96</v>
      </c>
      <c r="G24" s="188">
        <v>-138615.51999999999</v>
      </c>
      <c r="H24" s="188">
        <v>126027.03</v>
      </c>
      <c r="I24" s="188">
        <v>3749296.47</v>
      </c>
      <c r="J24" s="188">
        <v>2670806.5099999998</v>
      </c>
      <c r="K24" s="188">
        <v>2526857.08</v>
      </c>
      <c r="L24" s="188">
        <v>1108088.51</v>
      </c>
      <c r="M24" s="188">
        <v>2286138.23</v>
      </c>
      <c r="N24" s="188">
        <v>1684203.85</v>
      </c>
      <c r="O24" s="188">
        <v>1327289.76</v>
      </c>
      <c r="P24" s="188">
        <v>668416.85</v>
      </c>
      <c r="Q24" s="188">
        <v>1953737.76</v>
      </c>
      <c r="R24" s="188">
        <v>1372369.68</v>
      </c>
      <c r="S24" s="188">
        <v>905207.27</v>
      </c>
      <c r="T24" s="188">
        <v>230052.81</v>
      </c>
      <c r="U24" s="188">
        <v>1636402.81</v>
      </c>
      <c r="V24" s="188">
        <v>1159055.75</v>
      </c>
      <c r="W24" s="188">
        <v>760292</v>
      </c>
      <c r="X24" s="188">
        <v>325866.2</v>
      </c>
      <c r="Y24" s="188">
        <v>8942.9699999999993</v>
      </c>
      <c r="Z24" s="188">
        <v>0</v>
      </c>
      <c r="AA24" s="188">
        <v>0</v>
      </c>
      <c r="AB24" s="188">
        <v>0</v>
      </c>
      <c r="AC24" s="188">
        <v>0</v>
      </c>
      <c r="AD24" s="188">
        <v>0</v>
      </c>
      <c r="AE24" s="188">
        <v>0</v>
      </c>
      <c r="AF24" s="188">
        <v>0</v>
      </c>
      <c r="AG24" s="188">
        <v>0</v>
      </c>
      <c r="AH24" s="188">
        <v>0</v>
      </c>
      <c r="AI24" s="188">
        <v>0</v>
      </c>
      <c r="AJ24" s="188">
        <v>0</v>
      </c>
      <c r="AK24" s="188">
        <v>0</v>
      </c>
      <c r="AL24" s="188">
        <v>0</v>
      </c>
      <c r="AM24" s="188">
        <v>0</v>
      </c>
    </row>
    <row r="25" spans="1:39">
      <c r="A25" s="188" t="s">
        <v>212</v>
      </c>
    </row>
    <row r="26" spans="1:39">
      <c r="A26" s="188" t="s">
        <v>213</v>
      </c>
      <c r="B26" s="188">
        <v>0.62</v>
      </c>
      <c r="C26" s="188">
        <v>0.51</v>
      </c>
      <c r="D26" s="188">
        <v>0.24</v>
      </c>
      <c r="E26" s="188">
        <v>0.76</v>
      </c>
      <c r="F26" s="188">
        <v>0.7</v>
      </c>
      <c r="G26" s="188">
        <v>0.6</v>
      </c>
      <c r="H26" s="188">
        <v>0.12</v>
      </c>
      <c r="I26" s="188">
        <v>0.49</v>
      </c>
      <c r="J26" s="188">
        <v>0.38</v>
      </c>
      <c r="K26" s="188">
        <v>0.27</v>
      </c>
      <c r="L26" s="188">
        <v>0.12</v>
      </c>
      <c r="M26" s="188">
        <v>0.4</v>
      </c>
      <c r="N26" s="188">
        <v>0.27</v>
      </c>
      <c r="O26" s="188">
        <v>0.14000000000000001</v>
      </c>
      <c r="P26" s="188">
        <v>0.11</v>
      </c>
      <c r="Q26" s="188">
        <v>0.6</v>
      </c>
      <c r="R26" s="188">
        <v>0.32</v>
      </c>
      <c r="S26" s="188">
        <v>0.2</v>
      </c>
      <c r="T26" s="188">
        <v>0.08</v>
      </c>
      <c r="U26" s="188">
        <v>0.31</v>
      </c>
      <c r="V26" s="188">
        <v>0.24</v>
      </c>
      <c r="W26" s="188">
        <v>0.17</v>
      </c>
      <c r="X26" s="188">
        <v>7.0000000000000007E-2</v>
      </c>
      <c r="Y26" s="188">
        <v>0.36</v>
      </c>
      <c r="Z26" s="188">
        <v>0.32919999999999999</v>
      </c>
      <c r="AA26" s="188">
        <v>0.24</v>
      </c>
      <c r="AB26" s="188">
        <v>0.1648</v>
      </c>
      <c r="AC26" s="188">
        <v>0.95</v>
      </c>
      <c r="AD26" s="188">
        <v>0.88</v>
      </c>
      <c r="AE26" s="188">
        <v>0.69089999999999996</v>
      </c>
      <c r="AF26" s="188">
        <v>0.31</v>
      </c>
      <c r="AG26" s="188">
        <v>1.22</v>
      </c>
      <c r="AH26" s="188">
        <v>0.93300000000000005</v>
      </c>
      <c r="AI26" s="188">
        <v>0.61550000000000005</v>
      </c>
      <c r="AJ26" s="188">
        <v>0.31</v>
      </c>
      <c r="AK26" s="188">
        <v>0.78</v>
      </c>
      <c r="AL26" s="188">
        <v>0.59</v>
      </c>
      <c r="AM26" s="188">
        <v>0</v>
      </c>
    </row>
    <row r="27" spans="1:39">
      <c r="A27" s="188" t="s">
        <v>214</v>
      </c>
      <c r="B27" s="188">
        <v>0.62</v>
      </c>
      <c r="C27" s="188">
        <v>0.51</v>
      </c>
      <c r="D27" s="188">
        <v>0.24</v>
      </c>
      <c r="E27" s="188">
        <v>0.76</v>
      </c>
      <c r="F27" s="188">
        <v>0.7</v>
      </c>
      <c r="G27" s="188">
        <v>0.6</v>
      </c>
      <c r="H27" s="188">
        <v>0.12</v>
      </c>
      <c r="I27" s="188">
        <v>0.49</v>
      </c>
      <c r="J27" s="188">
        <v>0.38</v>
      </c>
      <c r="K27" s="188">
        <v>0.27</v>
      </c>
      <c r="L27" s="188">
        <v>0.12</v>
      </c>
      <c r="M27" s="188">
        <v>0.4</v>
      </c>
      <c r="N27" s="188">
        <v>0.27</v>
      </c>
      <c r="O27" s="188">
        <v>0.14000000000000001</v>
      </c>
      <c r="P27" s="188">
        <v>0.11</v>
      </c>
      <c r="Q27" s="188">
        <v>0.6</v>
      </c>
      <c r="R27" s="188">
        <v>0.32</v>
      </c>
      <c r="S27" s="188">
        <v>0.2</v>
      </c>
      <c r="T27" s="188">
        <v>0.08</v>
      </c>
      <c r="U27" s="188">
        <v>0.31</v>
      </c>
      <c r="V27" s="188">
        <v>0.24</v>
      </c>
      <c r="W27" s="188">
        <v>0.17</v>
      </c>
      <c r="X27" s="188">
        <v>7.0000000000000007E-2</v>
      </c>
      <c r="Y27" s="188">
        <v>0.36</v>
      </c>
      <c r="Z27" s="188">
        <v>0.32919999999999999</v>
      </c>
      <c r="AA27" s="188">
        <v>0.24</v>
      </c>
      <c r="AB27" s="188">
        <v>0.1648</v>
      </c>
      <c r="AC27" s="188">
        <v>0.95</v>
      </c>
      <c r="AD27" s="188">
        <v>0.88</v>
      </c>
      <c r="AE27" s="188">
        <v>0.69089999999999996</v>
      </c>
      <c r="AF27" s="188">
        <v>0</v>
      </c>
      <c r="AG27" s="188">
        <v>1.22</v>
      </c>
      <c r="AH27" s="188">
        <v>0.93300000000000005</v>
      </c>
      <c r="AI27" s="188">
        <v>0.61550000000000005</v>
      </c>
      <c r="AJ27" s="188">
        <v>0</v>
      </c>
      <c r="AK27" s="188">
        <v>0.78</v>
      </c>
      <c r="AL27" s="188">
        <v>0.59</v>
      </c>
      <c r="AM27" s="188">
        <v>0</v>
      </c>
    </row>
    <row r="28" spans="1:39">
      <c r="A28" s="188" t="s">
        <v>215</v>
      </c>
      <c r="B28" s="188">
        <v>158807796.34</v>
      </c>
      <c r="C28" s="188">
        <v>72783265.019999996</v>
      </c>
      <c r="D28" s="188">
        <v>-13462111.48</v>
      </c>
      <c r="E28" s="188">
        <v>-4003406.89</v>
      </c>
      <c r="F28" s="188">
        <v>-2071630.67</v>
      </c>
      <c r="G28" s="188">
        <v>-163748.56</v>
      </c>
      <c r="H28" s="188">
        <v>-30981.35</v>
      </c>
      <c r="I28" s="188">
        <v>473157.72</v>
      </c>
      <c r="J28" s="188">
        <v>214259.94</v>
      </c>
      <c r="K28" s="188">
        <v>163211.72</v>
      </c>
      <c r="L28" s="188">
        <v>-31085.42</v>
      </c>
      <c r="M28" s="188">
        <v>280354.45</v>
      </c>
      <c r="N28" s="188">
        <v>134514.15</v>
      </c>
      <c r="O28" s="188">
        <v>-20833.47</v>
      </c>
      <c r="P28" s="188">
        <v>-2173.38</v>
      </c>
      <c r="Q28" s="188">
        <v>-24098.57</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row>
    <row r="29" spans="1:39">
      <c r="A29" s="188" t="s">
        <v>216</v>
      </c>
      <c r="B29" s="188">
        <v>1039686142.16</v>
      </c>
      <c r="C29" s="188">
        <v>784373058.85000002</v>
      </c>
      <c r="D29" s="188">
        <v>299672442.30000001</v>
      </c>
      <c r="E29" s="188">
        <v>780654559.16999996</v>
      </c>
      <c r="F29" s="188">
        <v>712364199.25</v>
      </c>
      <c r="G29" s="188">
        <v>617888669.51999998</v>
      </c>
      <c r="H29" s="188">
        <v>125222326.09</v>
      </c>
      <c r="I29" s="188">
        <v>507678129.43000001</v>
      </c>
      <c r="J29" s="188">
        <v>395562473.47000003</v>
      </c>
      <c r="K29" s="188">
        <v>277445142.16000003</v>
      </c>
      <c r="L29" s="188">
        <v>122556400.73999999</v>
      </c>
      <c r="M29" s="188">
        <v>410434574.39999998</v>
      </c>
      <c r="N29" s="188">
        <v>276279058.92000002</v>
      </c>
      <c r="O29" s="188">
        <v>145596013.91</v>
      </c>
      <c r="P29" s="188">
        <v>55369986.93</v>
      </c>
      <c r="Q29" s="188">
        <v>211097744.75</v>
      </c>
      <c r="R29" s="188">
        <v>93237867.620000005</v>
      </c>
      <c r="S29" s="188">
        <v>53417867.969999999</v>
      </c>
      <c r="T29" s="188">
        <v>21485302.550000001</v>
      </c>
      <c r="U29" s="188">
        <v>82797451.920000002</v>
      </c>
      <c r="V29" s="188">
        <v>63805975.240000002</v>
      </c>
      <c r="W29" s="188">
        <v>46206456.289999999</v>
      </c>
      <c r="X29" s="188">
        <v>19427589.5</v>
      </c>
      <c r="Y29" s="188">
        <v>93406490.129999995</v>
      </c>
      <c r="Z29" s="188">
        <v>0</v>
      </c>
      <c r="AA29" s="188">
        <v>63637494.93</v>
      </c>
      <c r="AB29" s="188">
        <v>28848240.899999999</v>
      </c>
      <c r="AC29" s="188">
        <v>141447394.44</v>
      </c>
      <c r="AD29" s="188">
        <v>122593747.52</v>
      </c>
      <c r="AE29" s="188">
        <v>89788580.340000004</v>
      </c>
      <c r="AF29" s="188">
        <v>0</v>
      </c>
      <c r="AG29" s="188">
        <v>158785566.46000001</v>
      </c>
      <c r="AH29" s="188">
        <v>121288481.95</v>
      </c>
      <c r="AI29" s="188">
        <v>80009932.310000002</v>
      </c>
      <c r="AJ29" s="188">
        <v>0</v>
      </c>
      <c r="AK29" s="188">
        <v>101965075.52</v>
      </c>
      <c r="AL29" s="188">
        <v>77056544.739999995</v>
      </c>
      <c r="AM29" s="188">
        <v>0</v>
      </c>
    </row>
    <row r="30" spans="1:39">
      <c r="A30" s="188" t="s">
        <v>217</v>
      </c>
      <c r="B30" s="188">
        <v>1038561298.15</v>
      </c>
      <c r="C30" s="188">
        <v>783293799.70000005</v>
      </c>
      <c r="D30" s="188">
        <v>300096228.27999997</v>
      </c>
      <c r="E30" s="188">
        <v>778736860.00999999</v>
      </c>
      <c r="F30" s="188">
        <v>712609339.21000004</v>
      </c>
      <c r="G30" s="188">
        <v>618027285.03999996</v>
      </c>
      <c r="H30" s="188">
        <v>125096299.06</v>
      </c>
      <c r="I30" s="188">
        <v>503928832.95999998</v>
      </c>
      <c r="J30" s="188">
        <v>392891666.95999998</v>
      </c>
      <c r="K30" s="188">
        <v>274918285.07999998</v>
      </c>
      <c r="L30" s="188">
        <v>121448312.23</v>
      </c>
      <c r="M30" s="188">
        <v>408148436.17000002</v>
      </c>
      <c r="N30" s="188">
        <v>274594855.06999999</v>
      </c>
      <c r="O30" s="188">
        <v>144268724.15000001</v>
      </c>
      <c r="P30" s="188">
        <v>54701570.079999998</v>
      </c>
      <c r="Q30" s="188">
        <v>209144006.99000001</v>
      </c>
      <c r="R30" s="188">
        <v>91865497.939999998</v>
      </c>
      <c r="S30" s="188">
        <v>52512660.700000003</v>
      </c>
      <c r="T30" s="188">
        <v>21255249.739999998</v>
      </c>
      <c r="U30" s="188">
        <v>81161049.109999999</v>
      </c>
      <c r="V30" s="188">
        <v>62646919.490000002</v>
      </c>
      <c r="W30" s="188">
        <v>45446164.289999999</v>
      </c>
      <c r="X30" s="188">
        <v>19101723.300000001</v>
      </c>
      <c r="Y30" s="188">
        <v>93397547.159999996</v>
      </c>
      <c r="Z30" s="188">
        <v>0</v>
      </c>
      <c r="AA30" s="188">
        <v>63637494.93</v>
      </c>
      <c r="AB30" s="188">
        <v>28848240.899999999</v>
      </c>
      <c r="AC30" s="188">
        <v>141447394.44</v>
      </c>
      <c r="AD30" s="188">
        <v>122593747.52</v>
      </c>
      <c r="AE30" s="188">
        <v>89788580.340000004</v>
      </c>
      <c r="AF30" s="188">
        <v>0</v>
      </c>
      <c r="AG30" s="188">
        <v>158785566.46000001</v>
      </c>
      <c r="AH30" s="188">
        <v>121288481.95</v>
      </c>
      <c r="AI30" s="188">
        <v>80009932.310000002</v>
      </c>
      <c r="AJ30" s="188">
        <v>0</v>
      </c>
      <c r="AK30" s="188">
        <v>101965075.52</v>
      </c>
      <c r="AL30" s="188">
        <v>77056544.739999995</v>
      </c>
      <c r="AM30" s="188">
        <v>0</v>
      </c>
    </row>
    <row r="31" spans="1:39">
      <c r="A31" s="188" t="s">
        <v>218</v>
      </c>
      <c r="B31" s="188">
        <v>1124844.01</v>
      </c>
      <c r="C31" s="188">
        <v>1079259.1499999999</v>
      </c>
      <c r="D31" s="188">
        <v>-423785.98</v>
      </c>
      <c r="E31" s="188">
        <v>1917699.16</v>
      </c>
      <c r="F31" s="188">
        <v>-245139.96</v>
      </c>
      <c r="G31" s="188">
        <v>-138615.51999999999</v>
      </c>
      <c r="H31" s="188">
        <v>126027.03</v>
      </c>
      <c r="I31" s="188">
        <v>3749296.47</v>
      </c>
      <c r="J31" s="188">
        <v>2670806.5099999998</v>
      </c>
      <c r="K31" s="188">
        <v>2526857.08</v>
      </c>
      <c r="L31" s="188">
        <v>1108088.51</v>
      </c>
      <c r="M31" s="188">
        <v>2286138.23</v>
      </c>
      <c r="N31" s="188">
        <v>1684203.85</v>
      </c>
      <c r="O31" s="188">
        <v>1327289.76</v>
      </c>
      <c r="P31" s="188">
        <v>668416.85</v>
      </c>
      <c r="Q31" s="188">
        <v>1953737.76</v>
      </c>
      <c r="R31" s="188">
        <v>1372369.68</v>
      </c>
      <c r="S31" s="188">
        <v>905207.27</v>
      </c>
      <c r="T31" s="188">
        <v>230052.81</v>
      </c>
      <c r="U31" s="188">
        <v>1636402.81</v>
      </c>
      <c r="V31" s="188">
        <v>1159055.75</v>
      </c>
      <c r="W31" s="188">
        <v>760292</v>
      </c>
      <c r="X31" s="188">
        <v>325866.2</v>
      </c>
      <c r="Y31" s="188">
        <v>8942.9699999999993</v>
      </c>
      <c r="Z31" s="188">
        <v>0</v>
      </c>
      <c r="AA31" s="188">
        <v>0</v>
      </c>
      <c r="AB31" s="188">
        <v>0</v>
      </c>
      <c r="AC31" s="188">
        <v>0</v>
      </c>
      <c r="AD31" s="188">
        <v>0</v>
      </c>
      <c r="AE31" s="188">
        <v>0</v>
      </c>
      <c r="AF31" s="188">
        <v>0</v>
      </c>
      <c r="AG31" s="188">
        <v>0</v>
      </c>
      <c r="AH31" s="188">
        <v>0</v>
      </c>
      <c r="AI31" s="188">
        <v>0</v>
      </c>
      <c r="AJ31" s="188">
        <v>0</v>
      </c>
      <c r="AK31" s="188">
        <v>0</v>
      </c>
      <c r="AL31" s="188">
        <v>0</v>
      </c>
      <c r="AM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M77"/>
  <sheetViews>
    <sheetView workbookViewId="0">
      <selection activeCell="E13" sqref="E13"/>
    </sheetView>
  </sheetViews>
  <sheetFormatPr defaultRowHeight="13.5"/>
  <cols>
    <col min="1" max="1" width="54.625" style="188" bestFit="1" customWidth="1"/>
    <col min="2" max="2" width="12.75" style="188" hidden="1" customWidth="1"/>
    <col min="3" max="4" width="13.875" style="188" hidden="1" customWidth="1"/>
    <col min="5" max="5" width="13.875" style="188" bestFit="1" customWidth="1"/>
    <col min="6" max="8" width="13.875" style="188" hidden="1" customWidth="1"/>
    <col min="9" max="9" width="13.875" style="188" bestFit="1" customWidth="1"/>
    <col min="10" max="12" width="13.875" style="188" hidden="1" customWidth="1"/>
    <col min="13" max="13" width="13.875" style="188" bestFit="1" customWidth="1"/>
    <col min="14" max="16" width="13.875" style="188" hidden="1" customWidth="1"/>
    <col min="17" max="17" width="13.875" style="188" bestFit="1" customWidth="1"/>
    <col min="18" max="20" width="13.875" style="188" hidden="1" customWidth="1"/>
    <col min="21" max="21" width="13.875" style="188" bestFit="1" customWidth="1"/>
    <col min="22" max="24" width="13.875" style="188" hidden="1" customWidth="1"/>
    <col min="25" max="25" width="13.875" style="188" bestFit="1" customWidth="1"/>
    <col min="26" max="28" width="13.875" style="188" hidden="1" customWidth="1"/>
    <col min="29" max="29" width="13.875" style="188" bestFit="1" customWidth="1"/>
    <col min="30" max="32" width="13.875" style="188" hidden="1" customWidth="1"/>
    <col min="33" max="33" width="13.875" style="188" bestFit="1" customWidth="1"/>
    <col min="34" max="35" width="13.875" style="188" hidden="1" customWidth="1"/>
    <col min="36" max="36" width="12.75" style="188" hidden="1" customWidth="1"/>
    <col min="37" max="38" width="13.875" style="188" bestFit="1" customWidth="1"/>
    <col min="39" max="39" width="9.5" style="188" hidden="1" customWidth="1"/>
    <col min="40" max="16384" width="9" style="188"/>
  </cols>
  <sheetData>
    <row r="1" spans="1:39">
      <c r="A1" s="188">
        <v>2602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20081231</v>
      </c>
      <c r="AM1" s="188">
        <v>19700101</v>
      </c>
    </row>
    <row r="2" spans="1:39">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row>
    <row r="3" spans="1:39">
      <c r="A3" s="188" t="s">
        <v>219</v>
      </c>
    </row>
    <row r="4" spans="1:39">
      <c r="A4" s="188" t="s">
        <v>220</v>
      </c>
      <c r="B4" s="188">
        <v>4533828465.1400003</v>
      </c>
      <c r="C4" s="188">
        <v>2892530327.4099998</v>
      </c>
      <c r="D4" s="188">
        <v>1301263986.8599999</v>
      </c>
      <c r="E4" s="188">
        <v>2612573380.46</v>
      </c>
      <c r="F4" s="188">
        <v>2391756722.96</v>
      </c>
      <c r="G4" s="188">
        <v>1633635312.45</v>
      </c>
      <c r="H4" s="188">
        <v>811800062.25</v>
      </c>
      <c r="I4" s="188">
        <v>3064632392.3899999</v>
      </c>
      <c r="J4" s="188">
        <v>2713179330.4299998</v>
      </c>
      <c r="K4" s="188">
        <v>1777939028.1199999</v>
      </c>
      <c r="L4" s="188">
        <v>838294726.34000003</v>
      </c>
      <c r="M4" s="188">
        <v>2774404537.3400002</v>
      </c>
      <c r="N4" s="188">
        <v>2081138986.8699999</v>
      </c>
      <c r="O4" s="188">
        <v>1221386942.3399999</v>
      </c>
      <c r="P4" s="188">
        <v>496318528.75</v>
      </c>
      <c r="Q4" s="188">
        <v>1857987383.02</v>
      </c>
      <c r="R4" s="188">
        <v>1142501774.45</v>
      </c>
      <c r="S4" s="188">
        <v>656093640.77999997</v>
      </c>
      <c r="T4" s="188">
        <v>313954804.20999998</v>
      </c>
      <c r="U4" s="188">
        <v>1255713514.53</v>
      </c>
      <c r="V4" s="188">
        <v>901216585.20000005</v>
      </c>
      <c r="W4" s="188">
        <v>555656101.07000005</v>
      </c>
      <c r="X4" s="188">
        <v>255267714.25</v>
      </c>
      <c r="Y4" s="188">
        <v>1042337581.55</v>
      </c>
      <c r="Z4" s="188">
        <v>779349828.88999999</v>
      </c>
      <c r="AA4" s="188">
        <v>546012578.55999994</v>
      </c>
      <c r="AB4" s="188">
        <v>218292493.38</v>
      </c>
      <c r="AC4" s="188">
        <v>1058841638.36</v>
      </c>
      <c r="AD4" s="188">
        <v>794201377.08000004</v>
      </c>
      <c r="AE4" s="188">
        <v>514127806.33999997</v>
      </c>
      <c r="AF4" s="188">
        <v>183250411.25</v>
      </c>
      <c r="AG4" s="188">
        <v>978900148.91999996</v>
      </c>
      <c r="AH4" s="188">
        <v>711378872.88999999</v>
      </c>
      <c r="AI4" s="188">
        <v>466170456.39999998</v>
      </c>
      <c r="AJ4" s="188">
        <v>152547814.18000001</v>
      </c>
      <c r="AK4" s="188">
        <v>606410675.09000003</v>
      </c>
      <c r="AL4" s="188">
        <v>452204577.25</v>
      </c>
      <c r="AM4" s="188">
        <v>0</v>
      </c>
    </row>
    <row r="5" spans="1:39">
      <c r="A5" s="188" t="s">
        <v>221</v>
      </c>
      <c r="B5" s="188">
        <v>14716584.65</v>
      </c>
      <c r="C5" s="188">
        <v>4656423.55</v>
      </c>
      <c r="D5" s="188">
        <v>121080.54</v>
      </c>
      <c r="E5" s="188">
        <v>4949740.1399999997</v>
      </c>
      <c r="F5" s="188">
        <v>5185328.8600000003</v>
      </c>
      <c r="G5" s="188">
        <v>99885.4</v>
      </c>
      <c r="H5" s="188">
        <v>92818.19</v>
      </c>
      <c r="I5" s="188">
        <v>889477.03</v>
      </c>
      <c r="J5" s="188">
        <v>952980.16</v>
      </c>
      <c r="K5" s="188">
        <v>156764.09</v>
      </c>
      <c r="L5" s="188">
        <v>150000</v>
      </c>
      <c r="M5" s="188">
        <v>882425.55</v>
      </c>
      <c r="N5" s="188">
        <v>0</v>
      </c>
      <c r="O5" s="188">
        <v>0</v>
      </c>
      <c r="P5" s="188">
        <v>0</v>
      </c>
      <c r="Q5" s="188">
        <v>681000</v>
      </c>
      <c r="R5" s="188">
        <v>77074.5</v>
      </c>
      <c r="S5" s="188">
        <v>0</v>
      </c>
      <c r="T5" s="188">
        <v>0</v>
      </c>
      <c r="U5" s="188">
        <v>4324062.2</v>
      </c>
      <c r="V5" s="188">
        <v>5545442.3799999999</v>
      </c>
      <c r="W5" s="188">
        <v>5514214.1600000001</v>
      </c>
      <c r="X5" s="188">
        <v>2003206.42</v>
      </c>
      <c r="Y5" s="188">
        <v>12881670.51</v>
      </c>
      <c r="Z5" s="188">
        <v>12828597.960000001</v>
      </c>
      <c r="AA5" s="188">
        <v>6211361.3499999996</v>
      </c>
      <c r="AB5" s="188">
        <v>2664757.9</v>
      </c>
      <c r="AC5" s="188">
        <v>9307046.1500000004</v>
      </c>
      <c r="AD5" s="188">
        <v>9327268.9299999997</v>
      </c>
      <c r="AE5" s="188">
        <v>3602093.44</v>
      </c>
      <c r="AF5" s="188">
        <v>1362381.08</v>
      </c>
      <c r="AG5" s="188">
        <v>4192332.16</v>
      </c>
      <c r="AH5" s="188">
        <v>3145567.41</v>
      </c>
      <c r="AI5" s="188">
        <v>2483403.85</v>
      </c>
      <c r="AJ5" s="188">
        <v>1635163.49</v>
      </c>
      <c r="AK5" s="188">
        <v>1667069.22</v>
      </c>
      <c r="AL5" s="188">
        <v>4499171.68</v>
      </c>
      <c r="AM5" s="188">
        <v>0</v>
      </c>
    </row>
    <row r="6" spans="1:39">
      <c r="A6" s="188" t="s">
        <v>222</v>
      </c>
      <c r="B6" s="188">
        <v>310677998.17000002</v>
      </c>
      <c r="C6" s="188">
        <v>292260367.45999998</v>
      </c>
      <c r="D6" s="188">
        <v>25942621.66</v>
      </c>
      <c r="E6" s="188">
        <v>292770835.00999999</v>
      </c>
      <c r="F6" s="188">
        <v>63905136.149999999</v>
      </c>
      <c r="G6" s="188">
        <v>13795528.98</v>
      </c>
      <c r="H6" s="188">
        <v>20802075.079999998</v>
      </c>
      <c r="I6" s="188">
        <v>119480748.48999999</v>
      </c>
      <c r="J6" s="188">
        <v>71977195.5</v>
      </c>
      <c r="K6" s="188">
        <v>51948362.539999999</v>
      </c>
      <c r="L6" s="188">
        <v>15851113.83</v>
      </c>
      <c r="M6" s="188">
        <v>63052806.57</v>
      </c>
      <c r="N6" s="188">
        <v>58364847.509999998</v>
      </c>
      <c r="O6" s="188">
        <v>23104715.690000001</v>
      </c>
      <c r="P6" s="188">
        <v>17462961.390000001</v>
      </c>
      <c r="Q6" s="188">
        <v>57665767.399999999</v>
      </c>
      <c r="R6" s="188">
        <v>59353569.200000003</v>
      </c>
      <c r="S6" s="188">
        <v>21938493.370000001</v>
      </c>
      <c r="T6" s="188">
        <v>1632604.19</v>
      </c>
      <c r="U6" s="188">
        <v>9540073.4900000002</v>
      </c>
      <c r="V6" s="188">
        <v>14443882.82</v>
      </c>
      <c r="W6" s="188">
        <v>5995044.2999999998</v>
      </c>
      <c r="X6" s="188">
        <v>1331655.3899999999</v>
      </c>
      <c r="Y6" s="188">
        <v>6675034.2300000004</v>
      </c>
      <c r="Z6" s="188">
        <v>7996678.6900000004</v>
      </c>
      <c r="AA6" s="188">
        <v>577248.27</v>
      </c>
      <c r="AB6" s="188">
        <v>2292999.5299999998</v>
      </c>
      <c r="AC6" s="188">
        <v>6462891.5899999999</v>
      </c>
      <c r="AD6" s="188">
        <v>4741495.59</v>
      </c>
      <c r="AE6" s="188">
        <v>413477.58</v>
      </c>
      <c r="AF6" s="188">
        <v>336407.33</v>
      </c>
      <c r="AG6" s="188">
        <v>12439210.140000001</v>
      </c>
      <c r="AH6" s="188">
        <v>12639023.73</v>
      </c>
      <c r="AI6" s="188">
        <v>2189378.37</v>
      </c>
      <c r="AJ6" s="188">
        <v>1307292.8899999999</v>
      </c>
      <c r="AK6" s="188">
        <v>11143581.98</v>
      </c>
      <c r="AL6" s="188">
        <v>71856978.659999996</v>
      </c>
      <c r="AM6" s="188">
        <v>0</v>
      </c>
    </row>
    <row r="7" spans="1:39">
      <c r="A7" s="188" t="s">
        <v>223</v>
      </c>
      <c r="B7" s="188">
        <v>4859223047.96</v>
      </c>
      <c r="C7" s="188">
        <v>3189447118.4200001</v>
      </c>
      <c r="D7" s="188">
        <v>1327327689.0599999</v>
      </c>
      <c r="E7" s="188">
        <v>2910293955.6100001</v>
      </c>
      <c r="F7" s="188">
        <v>2460847187.9699998</v>
      </c>
      <c r="G7" s="188">
        <v>1647530726.8299999</v>
      </c>
      <c r="H7" s="188">
        <v>832694955.51999998</v>
      </c>
      <c r="I7" s="188">
        <v>3185002617.9099998</v>
      </c>
      <c r="J7" s="188">
        <v>2786109506.0900002</v>
      </c>
      <c r="K7" s="188">
        <v>1830044154.75</v>
      </c>
      <c r="L7" s="188">
        <v>854295840.16999996</v>
      </c>
      <c r="M7" s="188">
        <v>2838339769.46</v>
      </c>
      <c r="N7" s="188">
        <v>2139503834.3800001</v>
      </c>
      <c r="O7" s="188">
        <v>1244491658.03</v>
      </c>
      <c r="P7" s="188">
        <v>513781490.13999999</v>
      </c>
      <c r="Q7" s="188">
        <v>1916334150.4200001</v>
      </c>
      <c r="R7" s="188">
        <v>1201932418.1500001</v>
      </c>
      <c r="S7" s="188">
        <v>678032134.14999998</v>
      </c>
      <c r="T7" s="188">
        <v>315587408.39999998</v>
      </c>
      <c r="U7" s="188">
        <v>1269577650.22</v>
      </c>
      <c r="V7" s="188">
        <v>921205910.39999998</v>
      </c>
      <c r="W7" s="188">
        <v>567165359.52999997</v>
      </c>
      <c r="X7" s="188">
        <v>258602576.06</v>
      </c>
      <c r="Y7" s="188">
        <v>1061894286.29</v>
      </c>
      <c r="Z7" s="188">
        <v>800175105.53999996</v>
      </c>
      <c r="AA7" s="188">
        <v>552801188.17999995</v>
      </c>
      <c r="AB7" s="188">
        <v>223250250.81</v>
      </c>
      <c r="AC7" s="188">
        <v>1074611576.0999999</v>
      </c>
      <c r="AD7" s="188">
        <v>808270141.60000002</v>
      </c>
      <c r="AE7" s="188">
        <v>518143377.36000001</v>
      </c>
      <c r="AF7" s="188">
        <v>184949199.66</v>
      </c>
      <c r="AG7" s="188">
        <v>995531691.22000003</v>
      </c>
      <c r="AH7" s="188">
        <v>727163464.02999997</v>
      </c>
      <c r="AI7" s="188">
        <v>470843238.62</v>
      </c>
      <c r="AJ7" s="188">
        <v>155490270.56</v>
      </c>
      <c r="AK7" s="188">
        <v>619221326.28999996</v>
      </c>
      <c r="AL7" s="188">
        <v>528560727.58999997</v>
      </c>
      <c r="AM7" s="188">
        <v>0</v>
      </c>
    </row>
    <row r="8" spans="1:39">
      <c r="A8" s="188" t="s">
        <v>224</v>
      </c>
      <c r="B8" s="188">
        <v>3361269185.8400002</v>
      </c>
      <c r="C8" s="188">
        <v>2034820561.4200001</v>
      </c>
      <c r="D8" s="188">
        <v>847666909.84000003</v>
      </c>
      <c r="E8" s="188">
        <v>1567843681.29</v>
      </c>
      <c r="F8" s="188">
        <v>1594228909.51</v>
      </c>
      <c r="G8" s="188">
        <v>1007753415.09</v>
      </c>
      <c r="H8" s="188">
        <v>538384068.33000004</v>
      </c>
      <c r="I8" s="188">
        <v>1480604224.3299999</v>
      </c>
      <c r="J8" s="188">
        <v>1739445098.78</v>
      </c>
      <c r="K8" s="188">
        <v>1126148538.1700001</v>
      </c>
      <c r="L8" s="188">
        <v>529305126.49000001</v>
      </c>
      <c r="M8" s="188">
        <v>1607281120.1600001</v>
      </c>
      <c r="N8" s="188">
        <v>1380383840.79</v>
      </c>
      <c r="O8" s="188">
        <v>849268825.75999999</v>
      </c>
      <c r="P8" s="188">
        <v>321745679.99000001</v>
      </c>
      <c r="Q8" s="188">
        <v>1220580445.95</v>
      </c>
      <c r="R8" s="188">
        <v>828728306.95000005</v>
      </c>
      <c r="S8" s="188">
        <v>480911979.72000003</v>
      </c>
      <c r="T8" s="188">
        <v>259546982.18000001</v>
      </c>
      <c r="U8" s="188">
        <v>900771071.72000003</v>
      </c>
      <c r="V8" s="188">
        <v>633140169.87</v>
      </c>
      <c r="W8" s="188">
        <v>340774417.10000002</v>
      </c>
      <c r="X8" s="188">
        <v>160606057.84999999</v>
      </c>
      <c r="Y8" s="188">
        <v>764050759.46000004</v>
      </c>
      <c r="Z8" s="188">
        <v>639667001.99000001</v>
      </c>
      <c r="AA8" s="188">
        <v>432209153.45999998</v>
      </c>
      <c r="AB8" s="188">
        <v>158890536.72999999</v>
      </c>
      <c r="AC8" s="188">
        <v>806933537.40999997</v>
      </c>
      <c r="AD8" s="188">
        <v>654580339.54999995</v>
      </c>
      <c r="AE8" s="188">
        <v>399402674.06</v>
      </c>
      <c r="AF8" s="188">
        <v>107622422.76000001</v>
      </c>
      <c r="AG8" s="188">
        <v>727294541.28999996</v>
      </c>
      <c r="AH8" s="188">
        <v>534761713.62</v>
      </c>
      <c r="AI8" s="188">
        <v>362247751.12</v>
      </c>
      <c r="AJ8" s="188">
        <v>121761512.56999999</v>
      </c>
      <c r="AK8" s="188">
        <v>384985299.20999998</v>
      </c>
      <c r="AL8" s="188">
        <v>334619504.69999999</v>
      </c>
      <c r="AM8" s="188">
        <v>0</v>
      </c>
    </row>
    <row r="9" spans="1:39">
      <c r="A9" s="188" t="s">
        <v>225</v>
      </c>
      <c r="B9" s="188">
        <v>352554935.10000002</v>
      </c>
      <c r="C9" s="188">
        <v>248224324.78999999</v>
      </c>
      <c r="D9" s="188">
        <v>155092284.06</v>
      </c>
      <c r="E9" s="188">
        <v>381114209.02999997</v>
      </c>
      <c r="F9" s="188">
        <v>270339392.36000001</v>
      </c>
      <c r="G9" s="188">
        <v>187353377.96000001</v>
      </c>
      <c r="H9" s="188">
        <v>102189110.22</v>
      </c>
      <c r="I9" s="188">
        <v>347088777.39999998</v>
      </c>
      <c r="J9" s="188">
        <v>247444561.05000001</v>
      </c>
      <c r="K9" s="188">
        <v>168436589.05000001</v>
      </c>
      <c r="L9" s="188">
        <v>89480240.609999999</v>
      </c>
      <c r="M9" s="188">
        <v>289730013.63</v>
      </c>
      <c r="N9" s="188">
        <v>220214002.66</v>
      </c>
      <c r="O9" s="188">
        <v>148908682.13</v>
      </c>
      <c r="P9" s="188">
        <v>77753776.120000005</v>
      </c>
      <c r="Q9" s="188">
        <v>194451496.97</v>
      </c>
      <c r="R9" s="188">
        <v>133066444.55</v>
      </c>
      <c r="S9" s="188">
        <v>84511831.75</v>
      </c>
      <c r="T9" s="188">
        <v>45088410.009999998</v>
      </c>
      <c r="U9" s="188">
        <v>118941334.88</v>
      </c>
      <c r="V9" s="188">
        <v>83852668.019999996</v>
      </c>
      <c r="W9" s="188">
        <v>57976087.420000002</v>
      </c>
      <c r="X9" s="188">
        <v>32843042.120000001</v>
      </c>
      <c r="Y9" s="188">
        <v>97303116.670000002</v>
      </c>
      <c r="Z9" s="188">
        <v>71586037.25</v>
      </c>
      <c r="AA9" s="188">
        <v>52306498.210000001</v>
      </c>
      <c r="AB9" s="188">
        <v>30843299.399999999</v>
      </c>
      <c r="AC9" s="188">
        <v>76724809.709999993</v>
      </c>
      <c r="AD9" s="188">
        <v>58016089</v>
      </c>
      <c r="AE9" s="188">
        <v>42655972.100000001</v>
      </c>
      <c r="AF9" s="188">
        <v>26902051.280000001</v>
      </c>
      <c r="AG9" s="188">
        <v>58997562.710000001</v>
      </c>
      <c r="AH9" s="188">
        <v>45575729.75</v>
      </c>
      <c r="AI9" s="188">
        <v>30428526.48</v>
      </c>
      <c r="AJ9" s="188">
        <v>17454924.510000002</v>
      </c>
      <c r="AK9" s="188">
        <v>37643177.340000004</v>
      </c>
      <c r="AL9" s="188">
        <v>27618208.02</v>
      </c>
      <c r="AM9" s="188">
        <v>0</v>
      </c>
    </row>
    <row r="10" spans="1:39">
      <c r="A10" s="188" t="s">
        <v>226</v>
      </c>
      <c r="B10" s="188">
        <v>229263833.53</v>
      </c>
      <c r="C10" s="188">
        <v>210164681.66</v>
      </c>
      <c r="D10" s="188">
        <v>70085471.620000005</v>
      </c>
      <c r="E10" s="188">
        <v>237429536.09999999</v>
      </c>
      <c r="F10" s="188">
        <v>172759481.72</v>
      </c>
      <c r="G10" s="188">
        <v>123352199.70999999</v>
      </c>
      <c r="H10" s="188">
        <v>64549990.990000002</v>
      </c>
      <c r="I10" s="188">
        <v>253855330.34999999</v>
      </c>
      <c r="J10" s="188">
        <v>193370440.75999999</v>
      </c>
      <c r="K10" s="188">
        <v>134179521.27</v>
      </c>
      <c r="L10" s="188">
        <v>55367968.18</v>
      </c>
      <c r="M10" s="188">
        <v>201914626.16</v>
      </c>
      <c r="N10" s="188">
        <v>132044116.23999999</v>
      </c>
      <c r="O10" s="188">
        <v>84199182.819999993</v>
      </c>
      <c r="P10" s="188">
        <v>47702072.259999998</v>
      </c>
      <c r="Q10" s="188">
        <v>95313065.5</v>
      </c>
      <c r="R10" s="188">
        <v>67934888.590000004</v>
      </c>
      <c r="S10" s="188">
        <v>41224249.829999998</v>
      </c>
      <c r="T10" s="188">
        <v>14883402.470000001</v>
      </c>
      <c r="U10" s="188">
        <v>58185800.399999999</v>
      </c>
      <c r="V10" s="188">
        <v>46320885.289999999</v>
      </c>
      <c r="W10" s="188">
        <v>31190286.57</v>
      </c>
      <c r="X10" s="188">
        <v>13643342</v>
      </c>
      <c r="Y10" s="188">
        <v>47862729.609999999</v>
      </c>
      <c r="Z10" s="188">
        <v>54117185.93</v>
      </c>
      <c r="AA10" s="188">
        <v>20456708.399999999</v>
      </c>
      <c r="AB10" s="188">
        <v>12488112.83</v>
      </c>
      <c r="AC10" s="188">
        <v>56823730.219999999</v>
      </c>
      <c r="AD10" s="188">
        <v>46355401.659999996</v>
      </c>
      <c r="AE10" s="188">
        <v>32638504.309999999</v>
      </c>
      <c r="AF10" s="188">
        <v>20721018.989999998</v>
      </c>
      <c r="AG10" s="188">
        <v>34881048.530000001</v>
      </c>
      <c r="AH10" s="188">
        <v>28799064.440000001</v>
      </c>
      <c r="AI10" s="188">
        <v>20484184.609999999</v>
      </c>
      <c r="AJ10" s="188">
        <v>9250590.2799999993</v>
      </c>
      <c r="AK10" s="188">
        <v>21330082.129999999</v>
      </c>
      <c r="AL10" s="188">
        <v>13898295.789999999</v>
      </c>
      <c r="AM10" s="188">
        <v>0</v>
      </c>
    </row>
    <row r="11" spans="1:39">
      <c r="A11" s="188" t="s">
        <v>227</v>
      </c>
      <c r="B11" s="188">
        <v>519468577.11000001</v>
      </c>
      <c r="C11" s="188">
        <v>355032074.49000001</v>
      </c>
      <c r="D11" s="188">
        <v>474943894.24000001</v>
      </c>
      <c r="E11" s="188">
        <v>525023432.82999998</v>
      </c>
      <c r="F11" s="188">
        <v>337904941.61000001</v>
      </c>
      <c r="G11" s="188">
        <v>284633375.19</v>
      </c>
      <c r="H11" s="188">
        <v>138603659.56</v>
      </c>
      <c r="I11" s="188">
        <v>389685058.31</v>
      </c>
      <c r="J11" s="188">
        <v>231467468.88</v>
      </c>
      <c r="K11" s="188">
        <v>173547390.31</v>
      </c>
      <c r="L11" s="188">
        <v>67318625.5</v>
      </c>
      <c r="M11" s="188">
        <v>262554489.24000001</v>
      </c>
      <c r="N11" s="188">
        <v>175283905.41</v>
      </c>
      <c r="O11" s="188">
        <v>84023241.780000001</v>
      </c>
      <c r="P11" s="188">
        <v>73177324.269999996</v>
      </c>
      <c r="Q11" s="188">
        <v>160538784.38999999</v>
      </c>
      <c r="R11" s="188">
        <v>73838528.799999997</v>
      </c>
      <c r="S11" s="188">
        <v>39015147.259999998</v>
      </c>
      <c r="T11" s="188">
        <v>14169492.84</v>
      </c>
      <c r="U11" s="188">
        <v>120977608.98999999</v>
      </c>
      <c r="V11" s="188">
        <v>79854049.879999995</v>
      </c>
      <c r="W11" s="188">
        <v>37752896.780000001</v>
      </c>
      <c r="X11" s="188">
        <v>19752923.039999999</v>
      </c>
      <c r="Y11" s="188">
        <v>69670032.609999999</v>
      </c>
      <c r="Z11" s="188">
        <v>73619691.430000007</v>
      </c>
      <c r="AA11" s="188">
        <v>33172518.77</v>
      </c>
      <c r="AB11" s="188">
        <v>19564519.079999998</v>
      </c>
      <c r="AC11" s="188">
        <v>82985536.790000007</v>
      </c>
      <c r="AD11" s="188">
        <v>45011109.670000002</v>
      </c>
      <c r="AE11" s="188">
        <v>32754076.27</v>
      </c>
      <c r="AF11" s="188">
        <v>8621172.7400000002</v>
      </c>
      <c r="AG11" s="188">
        <v>78185429.109999999</v>
      </c>
      <c r="AH11" s="188">
        <v>49361861.350000001</v>
      </c>
      <c r="AI11" s="188">
        <v>18287617.66</v>
      </c>
      <c r="AJ11" s="188">
        <v>10281010.109999999</v>
      </c>
      <c r="AK11" s="188">
        <v>49632054.390000001</v>
      </c>
      <c r="AL11" s="188">
        <v>138321290.46000001</v>
      </c>
      <c r="AM11" s="188">
        <v>0</v>
      </c>
    </row>
    <row r="12" spans="1:39">
      <c r="A12" s="188" t="s">
        <v>228</v>
      </c>
      <c r="B12" s="188">
        <v>4462556531.5799999</v>
      </c>
      <c r="C12" s="188">
        <v>2848241642.3600001</v>
      </c>
      <c r="D12" s="188">
        <v>1547788559.76</v>
      </c>
      <c r="E12" s="188">
        <v>2711410859.25</v>
      </c>
      <c r="F12" s="188">
        <v>2375232725.1999998</v>
      </c>
      <c r="G12" s="188">
        <v>1603092367.95</v>
      </c>
      <c r="H12" s="188">
        <v>843726829.10000002</v>
      </c>
      <c r="I12" s="188">
        <v>2471233390.3899999</v>
      </c>
      <c r="J12" s="188">
        <v>2411727569.4699998</v>
      </c>
      <c r="K12" s="188">
        <v>1602312038.8</v>
      </c>
      <c r="L12" s="188">
        <v>741471960.77999997</v>
      </c>
      <c r="M12" s="188">
        <v>2361480249.1900001</v>
      </c>
      <c r="N12" s="188">
        <v>1907925865.0999999</v>
      </c>
      <c r="O12" s="188">
        <v>1166399932.49</v>
      </c>
      <c r="P12" s="188">
        <v>520378852.63999999</v>
      </c>
      <c r="Q12" s="188">
        <v>1670883792.8099999</v>
      </c>
      <c r="R12" s="188">
        <v>1103568168.8900001</v>
      </c>
      <c r="S12" s="188">
        <v>645663208.55999994</v>
      </c>
      <c r="T12" s="188">
        <v>333688287.5</v>
      </c>
      <c r="U12" s="188">
        <v>1198875815.99</v>
      </c>
      <c r="V12" s="188">
        <v>843167773.05999994</v>
      </c>
      <c r="W12" s="188">
        <v>467693687.87</v>
      </c>
      <c r="X12" s="188">
        <v>226845365.00999999</v>
      </c>
      <c r="Y12" s="188">
        <v>978886638.35000002</v>
      </c>
      <c r="Z12" s="188">
        <v>800549102.97000003</v>
      </c>
      <c r="AA12" s="188">
        <v>538144878.84000003</v>
      </c>
      <c r="AB12" s="188">
        <v>221786468.03999999</v>
      </c>
      <c r="AC12" s="188">
        <v>1023467614.13</v>
      </c>
      <c r="AD12" s="188">
        <v>803962939.88</v>
      </c>
      <c r="AE12" s="188">
        <v>507451226.74000001</v>
      </c>
      <c r="AF12" s="188">
        <v>163866665.77000001</v>
      </c>
      <c r="AG12" s="188">
        <v>899358581.63999999</v>
      </c>
      <c r="AH12" s="188">
        <v>658498369.15999997</v>
      </c>
      <c r="AI12" s="188">
        <v>431448079.87</v>
      </c>
      <c r="AJ12" s="188">
        <v>158748037.47</v>
      </c>
      <c r="AK12" s="188">
        <v>493590613.06999999</v>
      </c>
      <c r="AL12" s="188">
        <v>514457298.97000003</v>
      </c>
      <c r="AM12" s="188">
        <v>0</v>
      </c>
    </row>
    <row r="13" spans="1:39">
      <c r="A13" s="188" t="s">
        <v>229</v>
      </c>
      <c r="B13" s="188">
        <v>396666516.38</v>
      </c>
      <c r="C13" s="188">
        <v>341205476.06</v>
      </c>
      <c r="D13" s="188">
        <v>-220460870.69999999</v>
      </c>
      <c r="E13" s="188">
        <v>198883096.36000001</v>
      </c>
      <c r="F13" s="188">
        <v>85614462.769999996</v>
      </c>
      <c r="G13" s="188">
        <v>44438358.880000003</v>
      </c>
      <c r="H13" s="188">
        <v>-11031873.58</v>
      </c>
      <c r="I13" s="188">
        <v>713769227.51999998</v>
      </c>
      <c r="J13" s="188">
        <v>374381936.62</v>
      </c>
      <c r="K13" s="188">
        <v>227732115.94999999</v>
      </c>
      <c r="L13" s="188">
        <v>112823879.39</v>
      </c>
      <c r="M13" s="188">
        <v>476859520.26999998</v>
      </c>
      <c r="N13" s="188">
        <v>231577969.28</v>
      </c>
      <c r="O13" s="188">
        <v>78091725.540000007</v>
      </c>
      <c r="P13" s="188">
        <v>-6597362.5</v>
      </c>
      <c r="Q13" s="188">
        <v>245450357.61000001</v>
      </c>
      <c r="R13" s="188">
        <v>98364249.260000005</v>
      </c>
      <c r="S13" s="188">
        <v>32368925.59</v>
      </c>
      <c r="T13" s="188">
        <v>-18100879.100000001</v>
      </c>
      <c r="U13" s="188">
        <v>70701834.230000004</v>
      </c>
      <c r="V13" s="188">
        <v>78038137.340000004</v>
      </c>
      <c r="W13" s="188">
        <v>99471671.659999996</v>
      </c>
      <c r="X13" s="188">
        <v>31757211.050000001</v>
      </c>
      <c r="Y13" s="188">
        <v>83007647.939999998</v>
      </c>
      <c r="Z13" s="188">
        <v>-373997.43</v>
      </c>
      <c r="AA13" s="188">
        <v>14656309.34</v>
      </c>
      <c r="AB13" s="188">
        <v>1463782.77</v>
      </c>
      <c r="AC13" s="188">
        <v>51143961.969999999</v>
      </c>
      <c r="AD13" s="188">
        <v>4307201.72</v>
      </c>
      <c r="AE13" s="188">
        <v>10692150.619999999</v>
      </c>
      <c r="AF13" s="188">
        <v>21082533.890000001</v>
      </c>
      <c r="AG13" s="188">
        <v>96173109.579999998</v>
      </c>
      <c r="AH13" s="188">
        <v>68665094.870000005</v>
      </c>
      <c r="AI13" s="188">
        <v>39395158.75</v>
      </c>
      <c r="AJ13" s="188">
        <v>-3257766.91</v>
      </c>
      <c r="AK13" s="188">
        <v>125630713.22</v>
      </c>
      <c r="AL13" s="188">
        <v>14103428.619999999</v>
      </c>
      <c r="AM13" s="188">
        <v>0</v>
      </c>
    </row>
    <row r="14" spans="1:39">
      <c r="A14" s="188" t="s">
        <v>230</v>
      </c>
    </row>
    <row r="15" spans="1:39">
      <c r="A15" s="188" t="s">
        <v>231</v>
      </c>
      <c r="B15" s="188">
        <v>252588417.40000001</v>
      </c>
      <c r="C15" s="188">
        <v>251898293.66999999</v>
      </c>
      <c r="D15" s="188">
        <v>160949000</v>
      </c>
      <c r="E15" s="188">
        <v>85847000</v>
      </c>
      <c r="F15" s="188">
        <v>16397000</v>
      </c>
      <c r="G15" s="188">
        <v>6490000</v>
      </c>
      <c r="H15" s="188">
        <v>4115000</v>
      </c>
      <c r="I15" s="188">
        <v>17071096.620000001</v>
      </c>
      <c r="J15" s="188">
        <v>12323000</v>
      </c>
      <c r="K15" s="188">
        <v>10070000</v>
      </c>
      <c r="L15" s="188">
        <v>2657000</v>
      </c>
      <c r="M15" s="188">
        <v>28120000</v>
      </c>
      <c r="N15" s="188">
        <v>25500000</v>
      </c>
      <c r="O15" s="188">
        <v>22650000</v>
      </c>
      <c r="P15" s="188">
        <v>3405000</v>
      </c>
      <c r="Q15" s="188">
        <v>84630000</v>
      </c>
      <c r="R15" s="188">
        <v>67477000</v>
      </c>
      <c r="S15" s="188">
        <v>5440000</v>
      </c>
      <c r="T15" s="188">
        <v>2640000</v>
      </c>
      <c r="U15" s="188">
        <v>9650000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row>
    <row r="16" spans="1:39">
      <c r="A16" s="188" t="s">
        <v>232</v>
      </c>
      <c r="B16" s="188">
        <v>202001671.21000001</v>
      </c>
      <c r="C16" s="188">
        <v>90151569.349999994</v>
      </c>
      <c r="D16" s="188">
        <v>15754857.439999999</v>
      </c>
      <c r="E16" s="188">
        <v>313424.23</v>
      </c>
      <c r="F16" s="188">
        <v>300028715.44</v>
      </c>
      <c r="G16" s="188">
        <v>50028715.439999998</v>
      </c>
      <c r="H16" s="188">
        <v>0</v>
      </c>
      <c r="I16" s="188">
        <v>17571.57</v>
      </c>
      <c r="J16" s="188">
        <v>0</v>
      </c>
      <c r="K16" s="188">
        <v>8761.11</v>
      </c>
      <c r="L16" s="188">
        <v>3337.5</v>
      </c>
      <c r="M16" s="188">
        <v>89970.559999999998</v>
      </c>
      <c r="N16" s="188">
        <v>86053.6</v>
      </c>
      <c r="O16" s="188">
        <v>82316.539999999994</v>
      </c>
      <c r="P16" s="188">
        <v>0</v>
      </c>
      <c r="Q16" s="188">
        <v>670590.9</v>
      </c>
      <c r="R16" s="188">
        <v>627221.43000000005</v>
      </c>
      <c r="S16" s="188">
        <v>0</v>
      </c>
      <c r="T16" s="188">
        <v>0</v>
      </c>
      <c r="U16" s="188">
        <v>15800.66</v>
      </c>
      <c r="V16" s="188">
        <v>0</v>
      </c>
      <c r="W16" s="188">
        <v>0</v>
      </c>
      <c r="X16" s="188">
        <v>0</v>
      </c>
      <c r="Y16" s="188">
        <v>2500000</v>
      </c>
      <c r="Z16" s="188">
        <v>3922708.29</v>
      </c>
      <c r="AA16" s="188">
        <v>2500000</v>
      </c>
      <c r="AB16" s="188">
        <v>0</v>
      </c>
      <c r="AC16" s="188">
        <v>0</v>
      </c>
      <c r="AD16" s="188">
        <v>0</v>
      </c>
      <c r="AE16" s="188">
        <v>0</v>
      </c>
      <c r="AF16" s="188">
        <v>0</v>
      </c>
      <c r="AG16" s="188">
        <v>0</v>
      </c>
      <c r="AH16" s="188">
        <v>0</v>
      </c>
      <c r="AI16" s="188">
        <v>0</v>
      </c>
      <c r="AJ16" s="188">
        <v>0</v>
      </c>
      <c r="AK16" s="188">
        <v>0</v>
      </c>
      <c r="AL16" s="188">
        <v>0</v>
      </c>
      <c r="AM16" s="188">
        <v>0</v>
      </c>
    </row>
    <row r="17" spans="1:39">
      <c r="A17" s="188" t="s">
        <v>233</v>
      </c>
      <c r="B17" s="188">
        <v>43752328.100000001</v>
      </c>
      <c r="C17" s="188">
        <v>41096828.100000001</v>
      </c>
      <c r="D17" s="188">
        <v>360</v>
      </c>
      <c r="E17" s="188">
        <v>3658534.15</v>
      </c>
      <c r="F17" s="188">
        <v>677177</v>
      </c>
      <c r="G17" s="188">
        <v>290177</v>
      </c>
      <c r="H17" s="188">
        <v>172145</v>
      </c>
      <c r="I17" s="188">
        <v>2715104.88</v>
      </c>
      <c r="J17" s="188">
        <v>1921150</v>
      </c>
      <c r="K17" s="188">
        <v>1681150</v>
      </c>
      <c r="L17" s="188">
        <v>0</v>
      </c>
      <c r="M17" s="188">
        <v>1200794.26</v>
      </c>
      <c r="N17" s="188">
        <v>336600</v>
      </c>
      <c r="O17" s="188">
        <v>96000</v>
      </c>
      <c r="P17" s="188">
        <v>0</v>
      </c>
      <c r="Q17" s="188">
        <v>1815072.17</v>
      </c>
      <c r="R17" s="188">
        <v>484000</v>
      </c>
      <c r="S17" s="188">
        <v>344000</v>
      </c>
      <c r="T17" s="188">
        <v>8000</v>
      </c>
      <c r="U17" s="188">
        <v>703505.3</v>
      </c>
      <c r="V17" s="188">
        <v>300000</v>
      </c>
      <c r="W17" s="188">
        <v>0</v>
      </c>
      <c r="X17" s="188">
        <v>0</v>
      </c>
      <c r="Y17" s="188">
        <v>459400.25</v>
      </c>
      <c r="Z17" s="188">
        <v>680000</v>
      </c>
      <c r="AA17" s="188">
        <v>520000</v>
      </c>
      <c r="AB17" s="188">
        <v>320000</v>
      </c>
      <c r="AC17" s="188">
        <v>1784228.61</v>
      </c>
      <c r="AD17" s="188">
        <v>511000</v>
      </c>
      <c r="AE17" s="188">
        <v>150000</v>
      </c>
      <c r="AF17" s="188">
        <v>0</v>
      </c>
      <c r="AG17" s="188">
        <v>78496.66</v>
      </c>
      <c r="AH17" s="188">
        <v>61810.22</v>
      </c>
      <c r="AI17" s="188">
        <v>60200</v>
      </c>
      <c r="AJ17" s="188">
        <v>52000</v>
      </c>
      <c r="AK17" s="188">
        <v>2987135.59</v>
      </c>
      <c r="AL17" s="188">
        <v>337846.15</v>
      </c>
      <c r="AM17" s="188">
        <v>0</v>
      </c>
    </row>
    <row r="18" spans="1:39">
      <c r="A18" s="188" t="s">
        <v>234</v>
      </c>
      <c r="B18" s="188">
        <v>21504883.530000001</v>
      </c>
      <c r="C18" s="188">
        <v>21504883.530000001</v>
      </c>
      <c r="D18" s="188">
        <v>0</v>
      </c>
      <c r="E18" s="188">
        <v>506255168.33999997</v>
      </c>
      <c r="F18" s="188">
        <v>198483668.34</v>
      </c>
      <c r="G18" s="188">
        <v>199244203.62</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row>
    <row r="19" spans="1:39">
      <c r="A19" s="188" t="s">
        <v>235</v>
      </c>
      <c r="B19" s="188">
        <v>378052857.50999999</v>
      </c>
      <c r="C19" s="188">
        <v>20796000</v>
      </c>
      <c r="D19" s="188">
        <v>105975696.79000001</v>
      </c>
      <c r="E19" s="188">
        <v>133551964.38</v>
      </c>
      <c r="F19" s="188">
        <v>241187966.33000001</v>
      </c>
      <c r="G19" s="188">
        <v>180936384.31999999</v>
      </c>
      <c r="H19" s="188">
        <v>70056168.340000004</v>
      </c>
      <c r="I19" s="188">
        <v>32445910.469999999</v>
      </c>
      <c r="J19" s="188">
        <v>356175373.04000002</v>
      </c>
      <c r="K19" s="188">
        <v>265571806.50999999</v>
      </c>
      <c r="L19" s="188">
        <v>164619531.84999999</v>
      </c>
      <c r="M19" s="188">
        <v>0</v>
      </c>
      <c r="N19" s="188">
        <v>15000000</v>
      </c>
      <c r="O19" s="188">
        <v>0</v>
      </c>
      <c r="P19" s="188">
        <v>5047.67</v>
      </c>
      <c r="Q19" s="188">
        <v>0</v>
      </c>
      <c r="R19" s="188">
        <v>89114.4</v>
      </c>
      <c r="S19" s="188">
        <v>10733.44</v>
      </c>
      <c r="T19" s="188">
        <v>6403.73</v>
      </c>
      <c r="U19" s="188">
        <v>23140383.559999999</v>
      </c>
      <c r="V19" s="188">
        <v>16724599.99</v>
      </c>
      <c r="W19" s="188">
        <v>0</v>
      </c>
      <c r="X19" s="188">
        <v>0</v>
      </c>
      <c r="Y19" s="188">
        <v>0</v>
      </c>
      <c r="Z19" s="188">
        <v>0</v>
      </c>
      <c r="AA19" s="188">
        <v>0</v>
      </c>
      <c r="AB19" s="188">
        <v>0</v>
      </c>
      <c r="AC19" s="188">
        <v>1162380.43</v>
      </c>
      <c r="AD19" s="188">
        <v>0</v>
      </c>
      <c r="AE19" s="188">
        <v>0</v>
      </c>
      <c r="AF19" s="188">
        <v>0</v>
      </c>
      <c r="AG19" s="188">
        <v>649450.06999999995</v>
      </c>
      <c r="AH19" s="188">
        <v>481344.33</v>
      </c>
      <c r="AI19" s="188">
        <v>10812.8</v>
      </c>
      <c r="AJ19" s="188">
        <v>10812.8</v>
      </c>
      <c r="AK19" s="188">
        <v>200184.11</v>
      </c>
      <c r="AL19" s="188">
        <v>664351.93000000005</v>
      </c>
      <c r="AM19" s="188">
        <v>0</v>
      </c>
    </row>
    <row r="20" spans="1:39">
      <c r="A20" s="188" t="s">
        <v>236</v>
      </c>
      <c r="B20" s="188">
        <v>897900157.75</v>
      </c>
      <c r="C20" s="188">
        <v>425447574.64999998</v>
      </c>
      <c r="D20" s="188">
        <v>282679914.23000002</v>
      </c>
      <c r="E20" s="188">
        <v>729626091.10000002</v>
      </c>
      <c r="F20" s="188">
        <v>756774527.11000001</v>
      </c>
      <c r="G20" s="188">
        <v>436989480.38</v>
      </c>
      <c r="H20" s="188">
        <v>74343313.340000004</v>
      </c>
      <c r="I20" s="188">
        <v>52249683.539999999</v>
      </c>
      <c r="J20" s="188">
        <v>370419523.04000002</v>
      </c>
      <c r="K20" s="188">
        <v>277331717.62</v>
      </c>
      <c r="L20" s="188">
        <v>167279869.34999999</v>
      </c>
      <c r="M20" s="188">
        <v>29410764.82</v>
      </c>
      <c r="N20" s="188">
        <v>40922653.600000001</v>
      </c>
      <c r="O20" s="188">
        <v>22828316.539999999</v>
      </c>
      <c r="P20" s="188">
        <v>3410047.67</v>
      </c>
      <c r="Q20" s="188">
        <v>87115663.069999993</v>
      </c>
      <c r="R20" s="188">
        <v>68677335.829999998</v>
      </c>
      <c r="S20" s="188">
        <v>5794733.4400000004</v>
      </c>
      <c r="T20" s="188">
        <v>2654403.73</v>
      </c>
      <c r="U20" s="188">
        <v>33509689.52</v>
      </c>
      <c r="V20" s="188">
        <v>17024599.989999998</v>
      </c>
      <c r="W20" s="188">
        <v>0</v>
      </c>
      <c r="X20" s="188">
        <v>0</v>
      </c>
      <c r="Y20" s="188">
        <v>2959400.25</v>
      </c>
      <c r="Z20" s="188">
        <v>4602708.29</v>
      </c>
      <c r="AA20" s="188">
        <v>3020000</v>
      </c>
      <c r="AB20" s="188">
        <v>320000</v>
      </c>
      <c r="AC20" s="188">
        <v>2946609.04</v>
      </c>
      <c r="AD20" s="188">
        <v>511000</v>
      </c>
      <c r="AE20" s="188">
        <v>150000</v>
      </c>
      <c r="AF20" s="188">
        <v>0</v>
      </c>
      <c r="AG20" s="188">
        <v>727946.73</v>
      </c>
      <c r="AH20" s="188">
        <v>543154.55000000005</v>
      </c>
      <c r="AI20" s="188">
        <v>71012.800000000003</v>
      </c>
      <c r="AJ20" s="188">
        <v>62812.800000000003</v>
      </c>
      <c r="AK20" s="188">
        <v>3187319.7</v>
      </c>
      <c r="AL20" s="188">
        <v>1002198.08</v>
      </c>
      <c r="AM20" s="188">
        <v>0</v>
      </c>
    </row>
    <row r="21" spans="1:39">
      <c r="A21" s="188" t="s">
        <v>237</v>
      </c>
      <c r="B21" s="188">
        <v>140195950.81</v>
      </c>
      <c r="C21" s="188">
        <v>125196774.09</v>
      </c>
      <c r="D21" s="188">
        <v>24940145.210000001</v>
      </c>
      <c r="E21" s="188">
        <v>262558350.91999999</v>
      </c>
      <c r="F21" s="188">
        <v>98222648.069999993</v>
      </c>
      <c r="G21" s="188">
        <v>64918491</v>
      </c>
      <c r="H21" s="188">
        <v>39548944.079999998</v>
      </c>
      <c r="I21" s="188">
        <v>231870614.77000001</v>
      </c>
      <c r="J21" s="188">
        <v>92289654.859999999</v>
      </c>
      <c r="K21" s="188">
        <v>79442330.450000003</v>
      </c>
      <c r="L21" s="188">
        <v>42119968.310000002</v>
      </c>
      <c r="M21" s="188">
        <v>169415930.56999999</v>
      </c>
      <c r="N21" s="188">
        <v>102917038.06999999</v>
      </c>
      <c r="O21" s="188">
        <v>63861299.420000002</v>
      </c>
      <c r="P21" s="188">
        <v>29869390.699999999</v>
      </c>
      <c r="Q21" s="188">
        <v>278115964.25</v>
      </c>
      <c r="R21" s="188">
        <v>140502812.97</v>
      </c>
      <c r="S21" s="188">
        <v>76734994.530000001</v>
      </c>
      <c r="T21" s="188">
        <v>20595765.609999999</v>
      </c>
      <c r="U21" s="188">
        <v>331977046.80000001</v>
      </c>
      <c r="V21" s="188">
        <v>138038156.25999999</v>
      </c>
      <c r="W21" s="188">
        <v>122128747.88</v>
      </c>
      <c r="X21" s="188">
        <v>71239036.120000005</v>
      </c>
      <c r="Y21" s="188">
        <v>213661934.09999999</v>
      </c>
      <c r="Z21" s="188">
        <v>127280583.27</v>
      </c>
      <c r="AA21" s="188">
        <v>108989993.73</v>
      </c>
      <c r="AB21" s="188">
        <v>63699454.5</v>
      </c>
      <c r="AC21" s="188">
        <v>249564414.59999999</v>
      </c>
      <c r="AD21" s="188">
        <v>181446610.74000001</v>
      </c>
      <c r="AE21" s="188">
        <v>126612680.27</v>
      </c>
      <c r="AF21" s="188">
        <v>48927759.670000002</v>
      </c>
      <c r="AG21" s="188">
        <v>157956456.97999999</v>
      </c>
      <c r="AH21" s="188">
        <v>104429322.40000001</v>
      </c>
      <c r="AI21" s="188">
        <v>69437657.079999998</v>
      </c>
      <c r="AJ21" s="188">
        <v>36918679.200000003</v>
      </c>
      <c r="AK21" s="188">
        <v>126770255.91</v>
      </c>
      <c r="AL21" s="188">
        <v>68946441.269999996</v>
      </c>
      <c r="AM21" s="188">
        <v>0</v>
      </c>
    </row>
    <row r="22" spans="1:39">
      <c r="A22" s="188" t="s">
        <v>238</v>
      </c>
      <c r="B22" s="188">
        <v>630272216.14999998</v>
      </c>
      <c r="C22" s="188">
        <v>626585757.71000004</v>
      </c>
      <c r="D22" s="188">
        <v>381382215.38</v>
      </c>
      <c r="E22" s="188">
        <v>371468293.67000002</v>
      </c>
      <c r="F22" s="188">
        <v>228265000</v>
      </c>
      <c r="G22" s="188">
        <v>118415000</v>
      </c>
      <c r="H22" s="188">
        <v>26020000</v>
      </c>
      <c r="I22" s="188">
        <v>303110000</v>
      </c>
      <c r="J22" s="188">
        <v>240886973.81</v>
      </c>
      <c r="K22" s="188">
        <v>189046973.81</v>
      </c>
      <c r="L22" s="188">
        <v>174100000</v>
      </c>
      <c r="M22" s="188">
        <v>19490000</v>
      </c>
      <c r="N22" s="188">
        <v>13240000</v>
      </c>
      <c r="O22" s="188">
        <v>11120000</v>
      </c>
      <c r="P22" s="188">
        <v>8000000</v>
      </c>
      <c r="Q22" s="188">
        <v>26130000</v>
      </c>
      <c r="R22" s="188">
        <v>401710001</v>
      </c>
      <c r="S22" s="188">
        <v>3710000</v>
      </c>
      <c r="T22" s="188">
        <v>1280000</v>
      </c>
      <c r="U22" s="188">
        <v>11500000</v>
      </c>
      <c r="V22" s="188">
        <v>0</v>
      </c>
      <c r="W22" s="188">
        <v>0</v>
      </c>
      <c r="X22" s="188">
        <v>0</v>
      </c>
      <c r="Y22" s="188">
        <v>0</v>
      </c>
      <c r="Z22" s="188">
        <v>217600</v>
      </c>
      <c r="AA22" s="188">
        <v>217600</v>
      </c>
      <c r="AB22" s="188">
        <v>0</v>
      </c>
      <c r="AC22" s="188">
        <v>0</v>
      </c>
      <c r="AD22" s="188">
        <v>0</v>
      </c>
      <c r="AE22" s="188">
        <v>0</v>
      </c>
      <c r="AF22" s="188">
        <v>0</v>
      </c>
      <c r="AG22" s="188">
        <v>0</v>
      </c>
      <c r="AH22" s="188">
        <v>0</v>
      </c>
      <c r="AI22" s="188">
        <v>0</v>
      </c>
      <c r="AJ22" s="188">
        <v>0</v>
      </c>
      <c r="AK22" s="188">
        <v>5000000</v>
      </c>
      <c r="AL22" s="188">
        <v>0</v>
      </c>
      <c r="AM22" s="188">
        <v>0</v>
      </c>
    </row>
    <row r="23" spans="1:39">
      <c r="A23" s="188" t="s">
        <v>239</v>
      </c>
      <c r="B23" s="188">
        <v>1265267777.3800001</v>
      </c>
      <c r="C23" s="188">
        <v>1142610902.8099999</v>
      </c>
      <c r="D23" s="188">
        <v>1079513432.1500001</v>
      </c>
      <c r="E23" s="188">
        <v>116567376.89</v>
      </c>
      <c r="F23" s="188">
        <v>0</v>
      </c>
      <c r="G23" s="188">
        <v>0</v>
      </c>
      <c r="H23" s="188">
        <v>0</v>
      </c>
      <c r="I23" s="188">
        <v>18035726.640000001</v>
      </c>
      <c r="J23" s="188">
        <v>2903026.19</v>
      </c>
      <c r="K23" s="188">
        <v>2903026.19</v>
      </c>
      <c r="L23" s="188">
        <v>0</v>
      </c>
      <c r="M23" s="188">
        <v>296310794.95999998</v>
      </c>
      <c r="N23" s="188">
        <v>295890578.80000001</v>
      </c>
      <c r="O23" s="188">
        <v>125890578.8</v>
      </c>
      <c r="P23" s="188">
        <v>0</v>
      </c>
      <c r="Q23" s="188">
        <v>309325371.79000002</v>
      </c>
      <c r="R23" s="188">
        <v>0</v>
      </c>
      <c r="S23" s="188">
        <v>0</v>
      </c>
      <c r="T23" s="188">
        <v>0</v>
      </c>
      <c r="U23" s="188">
        <v>0</v>
      </c>
      <c r="V23" s="188">
        <v>0</v>
      </c>
      <c r="W23" s="188">
        <v>0</v>
      </c>
      <c r="X23" s="188">
        <v>0</v>
      </c>
      <c r="Y23" s="188">
        <v>180319.01</v>
      </c>
      <c r="Z23" s="188">
        <v>0</v>
      </c>
      <c r="AA23" s="188">
        <v>0</v>
      </c>
      <c r="AB23" s="188">
        <v>0</v>
      </c>
      <c r="AC23" s="188">
        <v>0</v>
      </c>
      <c r="AD23" s="188">
        <v>0</v>
      </c>
      <c r="AE23" s="188">
        <v>0</v>
      </c>
      <c r="AF23" s="188">
        <v>0</v>
      </c>
      <c r="AG23" s="188">
        <v>0</v>
      </c>
      <c r="AH23" s="188">
        <v>0</v>
      </c>
      <c r="AI23" s="188">
        <v>0</v>
      </c>
      <c r="AJ23" s="188">
        <v>0</v>
      </c>
      <c r="AK23" s="188">
        <v>0</v>
      </c>
      <c r="AL23" s="188">
        <v>0</v>
      </c>
      <c r="AM23" s="188">
        <v>0</v>
      </c>
    </row>
    <row r="24" spans="1:39">
      <c r="A24" s="188" t="s">
        <v>240</v>
      </c>
      <c r="B24" s="188">
        <v>1096864354</v>
      </c>
      <c r="C24" s="188">
        <v>745586640</v>
      </c>
      <c r="D24" s="188">
        <v>121165830</v>
      </c>
      <c r="E24" s="188">
        <v>132500000</v>
      </c>
      <c r="F24" s="188">
        <v>310004000</v>
      </c>
      <c r="G24" s="188">
        <v>180000000</v>
      </c>
      <c r="H24" s="188">
        <v>100000000</v>
      </c>
      <c r="I24" s="188">
        <v>32000000</v>
      </c>
      <c r="J24" s="188">
        <v>436371775.10000002</v>
      </c>
      <c r="K24" s="188">
        <v>355393545.10000002</v>
      </c>
      <c r="L24" s="188">
        <v>265247485</v>
      </c>
      <c r="M24" s="188">
        <v>0</v>
      </c>
      <c r="N24" s="188">
        <v>100000000</v>
      </c>
      <c r="O24" s="188">
        <v>0</v>
      </c>
      <c r="P24" s="188">
        <v>0</v>
      </c>
      <c r="Q24" s="188">
        <v>0</v>
      </c>
      <c r="R24" s="188">
        <v>0</v>
      </c>
      <c r="S24" s="188">
        <v>0</v>
      </c>
      <c r="T24" s="188">
        <v>0</v>
      </c>
      <c r="U24" s="188">
        <v>0</v>
      </c>
      <c r="V24" s="188">
        <v>0</v>
      </c>
      <c r="W24" s="188">
        <v>0</v>
      </c>
      <c r="X24" s="188">
        <v>0</v>
      </c>
      <c r="Y24" s="188">
        <v>0</v>
      </c>
      <c r="Z24" s="188">
        <v>20.5</v>
      </c>
      <c r="AA24" s="188">
        <v>0</v>
      </c>
      <c r="AB24" s="188">
        <v>0</v>
      </c>
      <c r="AC24" s="188">
        <v>0</v>
      </c>
      <c r="AD24" s="188">
        <v>50000</v>
      </c>
      <c r="AE24" s="188">
        <v>50000</v>
      </c>
      <c r="AF24" s="188">
        <v>50000</v>
      </c>
      <c r="AG24" s="188">
        <v>0</v>
      </c>
      <c r="AH24" s="188">
        <v>0</v>
      </c>
      <c r="AI24" s="188">
        <v>0</v>
      </c>
      <c r="AJ24" s="188">
        <v>0</v>
      </c>
      <c r="AK24" s="188">
        <v>0</v>
      </c>
      <c r="AL24" s="188">
        <v>0</v>
      </c>
      <c r="AM24" s="188">
        <v>0</v>
      </c>
    </row>
    <row r="25" spans="1:39">
      <c r="A25" s="188" t="s">
        <v>241</v>
      </c>
      <c r="B25" s="188">
        <v>3132600298.3400002</v>
      </c>
      <c r="C25" s="188">
        <v>2639980074.6100001</v>
      </c>
      <c r="D25" s="188">
        <v>1607001622.74</v>
      </c>
      <c r="E25" s="188">
        <v>883094021.48000002</v>
      </c>
      <c r="F25" s="188">
        <v>636491648.07000005</v>
      </c>
      <c r="G25" s="188">
        <v>363333491</v>
      </c>
      <c r="H25" s="188">
        <v>165568944.08000001</v>
      </c>
      <c r="I25" s="188">
        <v>585016341.40999997</v>
      </c>
      <c r="J25" s="188">
        <v>772451429.96000004</v>
      </c>
      <c r="K25" s="188">
        <v>626785875.54999995</v>
      </c>
      <c r="L25" s="188">
        <v>481467453.31</v>
      </c>
      <c r="M25" s="188">
        <v>485216725.52999997</v>
      </c>
      <c r="N25" s="188">
        <v>512047616.87</v>
      </c>
      <c r="O25" s="188">
        <v>200871878.22</v>
      </c>
      <c r="P25" s="188">
        <v>37869390.700000003</v>
      </c>
      <c r="Q25" s="188">
        <v>613571336.03999996</v>
      </c>
      <c r="R25" s="188">
        <v>542212813.97000003</v>
      </c>
      <c r="S25" s="188">
        <v>80444994.530000001</v>
      </c>
      <c r="T25" s="188">
        <v>21875765.609999999</v>
      </c>
      <c r="U25" s="188">
        <v>343477046.80000001</v>
      </c>
      <c r="V25" s="188">
        <v>138038156.25999999</v>
      </c>
      <c r="W25" s="188">
        <v>122128747.88</v>
      </c>
      <c r="X25" s="188">
        <v>71239036.120000005</v>
      </c>
      <c r="Y25" s="188">
        <v>213842253.11000001</v>
      </c>
      <c r="Z25" s="188">
        <v>127498203.77</v>
      </c>
      <c r="AA25" s="188">
        <v>109207593.73</v>
      </c>
      <c r="AB25" s="188">
        <v>63699454.5</v>
      </c>
      <c r="AC25" s="188">
        <v>249564414.59999999</v>
      </c>
      <c r="AD25" s="188">
        <v>181496610.74000001</v>
      </c>
      <c r="AE25" s="188">
        <v>126662680.27</v>
      </c>
      <c r="AF25" s="188">
        <v>48977759.670000002</v>
      </c>
      <c r="AG25" s="188">
        <v>157956456.97999999</v>
      </c>
      <c r="AH25" s="188">
        <v>104429322.40000001</v>
      </c>
      <c r="AI25" s="188">
        <v>69437657.079999998</v>
      </c>
      <c r="AJ25" s="188">
        <v>36918679.200000003</v>
      </c>
      <c r="AK25" s="188">
        <v>131770255.91</v>
      </c>
      <c r="AL25" s="188">
        <v>68946441.269999996</v>
      </c>
      <c r="AM25" s="188">
        <v>0</v>
      </c>
    </row>
    <row r="26" spans="1:39">
      <c r="A26" s="188" t="s">
        <v>242</v>
      </c>
      <c r="B26" s="188">
        <v>-2234700140.5900002</v>
      </c>
      <c r="C26" s="188">
        <v>-2214532499.96</v>
      </c>
      <c r="D26" s="188">
        <v>-1324321708.51</v>
      </c>
      <c r="E26" s="188">
        <v>-153467930.38</v>
      </c>
      <c r="F26" s="188">
        <v>120282879.04000001</v>
      </c>
      <c r="G26" s="188">
        <v>73655989.379999995</v>
      </c>
      <c r="H26" s="188">
        <v>-91225630.739999995</v>
      </c>
      <c r="I26" s="188">
        <v>-532766657.87</v>
      </c>
      <c r="J26" s="188">
        <v>-402031906.92000002</v>
      </c>
      <c r="K26" s="188">
        <v>-349454157.93000001</v>
      </c>
      <c r="L26" s="188">
        <v>-314187583.95999998</v>
      </c>
      <c r="M26" s="188">
        <v>-455805960.70999998</v>
      </c>
      <c r="N26" s="188">
        <v>-471124963.26999998</v>
      </c>
      <c r="O26" s="188">
        <v>-178043561.68000001</v>
      </c>
      <c r="P26" s="188">
        <v>-34459343.030000001</v>
      </c>
      <c r="Q26" s="188">
        <v>-526455672.97000003</v>
      </c>
      <c r="R26" s="188">
        <v>-473535478.13999999</v>
      </c>
      <c r="S26" s="188">
        <v>-74650261.090000004</v>
      </c>
      <c r="T26" s="188">
        <v>-19221361.879999999</v>
      </c>
      <c r="U26" s="188">
        <v>-309967357.27999997</v>
      </c>
      <c r="V26" s="188">
        <v>-121013556.27</v>
      </c>
      <c r="W26" s="188">
        <v>-122128747.88</v>
      </c>
      <c r="X26" s="188">
        <v>-71239036.120000005</v>
      </c>
      <c r="Y26" s="188">
        <v>-210882852.86000001</v>
      </c>
      <c r="Z26" s="188">
        <v>-122895495.48</v>
      </c>
      <c r="AA26" s="188">
        <v>-106187593.73</v>
      </c>
      <c r="AB26" s="188">
        <v>-63379454.5</v>
      </c>
      <c r="AC26" s="188">
        <v>-246617805.56</v>
      </c>
      <c r="AD26" s="188">
        <v>-180985610.74000001</v>
      </c>
      <c r="AE26" s="188">
        <v>-126512680.27</v>
      </c>
      <c r="AF26" s="188">
        <v>-48977759.670000002</v>
      </c>
      <c r="AG26" s="188">
        <v>-157228510.25</v>
      </c>
      <c r="AH26" s="188">
        <v>-103886167.84999999</v>
      </c>
      <c r="AI26" s="188">
        <v>-69366644.280000001</v>
      </c>
      <c r="AJ26" s="188">
        <v>-36855866.399999999</v>
      </c>
      <c r="AK26" s="188">
        <v>-128582936.20999999</v>
      </c>
      <c r="AL26" s="188">
        <v>-67944243.189999998</v>
      </c>
      <c r="AM26" s="188">
        <v>0</v>
      </c>
    </row>
    <row r="27" spans="1:39">
      <c r="A27" s="188" t="s">
        <v>243</v>
      </c>
    </row>
    <row r="28" spans="1:39">
      <c r="A28" s="188" t="s">
        <v>244</v>
      </c>
      <c r="B28" s="188">
        <v>4097333500</v>
      </c>
      <c r="C28" s="188">
        <v>4082778774</v>
      </c>
      <c r="D28" s="188">
        <v>4096393500</v>
      </c>
      <c r="E28" s="188">
        <v>2000000</v>
      </c>
      <c r="F28" s="188">
        <v>2000000</v>
      </c>
      <c r="G28" s="188">
        <v>0</v>
      </c>
      <c r="H28" s="188">
        <v>0</v>
      </c>
      <c r="I28" s="188">
        <v>0</v>
      </c>
      <c r="J28" s="188">
        <v>0</v>
      </c>
      <c r="K28" s="188">
        <v>0</v>
      </c>
      <c r="L28" s="188">
        <v>0</v>
      </c>
      <c r="M28" s="188">
        <v>0</v>
      </c>
      <c r="N28" s="188">
        <v>100000</v>
      </c>
      <c r="O28" s="188">
        <v>0</v>
      </c>
      <c r="P28" s="188">
        <v>0</v>
      </c>
      <c r="Q28" s="188">
        <v>390000000</v>
      </c>
      <c r="R28" s="188">
        <v>390000000</v>
      </c>
      <c r="S28" s="188">
        <v>0</v>
      </c>
      <c r="T28" s="188">
        <v>0</v>
      </c>
      <c r="U28" s="188">
        <v>0</v>
      </c>
      <c r="V28" s="188">
        <v>0</v>
      </c>
      <c r="W28" s="188">
        <v>0</v>
      </c>
      <c r="X28" s="188">
        <v>0</v>
      </c>
      <c r="Y28" s="188">
        <v>0</v>
      </c>
      <c r="Z28" s="188">
        <v>0</v>
      </c>
      <c r="AA28" s="188">
        <v>0</v>
      </c>
      <c r="AB28" s="188">
        <v>0</v>
      </c>
      <c r="AC28" s="188">
        <v>991765000</v>
      </c>
      <c r="AD28" s="188">
        <v>998700000</v>
      </c>
      <c r="AE28" s="188">
        <v>0</v>
      </c>
      <c r="AF28" s="188">
        <v>0</v>
      </c>
      <c r="AG28" s="188">
        <v>0</v>
      </c>
      <c r="AH28" s="188">
        <v>0</v>
      </c>
      <c r="AI28" s="188">
        <v>0</v>
      </c>
      <c r="AJ28" s="188">
        <v>0</v>
      </c>
      <c r="AK28" s="188">
        <v>0</v>
      </c>
      <c r="AL28" s="188">
        <v>0</v>
      </c>
      <c r="AM28" s="188">
        <v>0</v>
      </c>
    </row>
    <row r="29" spans="1:39">
      <c r="A29" s="188" t="s">
        <v>245</v>
      </c>
      <c r="B29" s="188">
        <v>0</v>
      </c>
      <c r="C29" s="188">
        <v>0</v>
      </c>
      <c r="D29" s="188">
        <v>0</v>
      </c>
      <c r="E29" s="188">
        <v>2000000</v>
      </c>
      <c r="F29" s="188">
        <v>2000000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row>
    <row r="30" spans="1:39">
      <c r="A30" s="188" t="s">
        <v>246</v>
      </c>
      <c r="B30" s="188">
        <v>259076325</v>
      </c>
      <c r="C30" s="188">
        <v>229500000</v>
      </c>
      <c r="D30" s="188">
        <v>30000000</v>
      </c>
      <c r="E30" s="188">
        <v>215000000</v>
      </c>
      <c r="F30" s="188">
        <v>122000000</v>
      </c>
      <c r="G30" s="188">
        <v>122000000</v>
      </c>
      <c r="H30" s="188">
        <v>57000000</v>
      </c>
      <c r="I30" s="188">
        <v>236000000</v>
      </c>
      <c r="J30" s="188">
        <v>128000000</v>
      </c>
      <c r="K30" s="188">
        <v>73000000</v>
      </c>
      <c r="L30" s="188">
        <v>50000000</v>
      </c>
      <c r="M30" s="188">
        <v>468000000</v>
      </c>
      <c r="N30" s="188">
        <v>368000000</v>
      </c>
      <c r="O30" s="188">
        <v>93000000</v>
      </c>
      <c r="P30" s="188">
        <v>70000000</v>
      </c>
      <c r="Q30" s="188">
        <v>99500000</v>
      </c>
      <c r="R30" s="188">
        <v>74500000</v>
      </c>
      <c r="S30" s="188">
        <v>32500000</v>
      </c>
      <c r="T30" s="188">
        <v>20000000</v>
      </c>
      <c r="U30" s="188">
        <v>108781830.8</v>
      </c>
      <c r="V30" s="188">
        <v>105902705.62</v>
      </c>
      <c r="W30" s="188">
        <v>54402705.619999997</v>
      </c>
      <c r="X30" s="188">
        <v>9742124.4499999993</v>
      </c>
      <c r="Y30" s="188">
        <v>152400000</v>
      </c>
      <c r="Z30" s="188">
        <v>107400000</v>
      </c>
      <c r="AA30" s="188">
        <v>65000000</v>
      </c>
      <c r="AB30" s="188">
        <v>0</v>
      </c>
      <c r="AC30" s="188">
        <v>304033179.13</v>
      </c>
      <c r="AD30" s="188">
        <v>303929832.63</v>
      </c>
      <c r="AE30" s="188">
        <v>285434045.69999999</v>
      </c>
      <c r="AF30" s="188">
        <v>151959350</v>
      </c>
      <c r="AG30" s="188">
        <v>279328045.81</v>
      </c>
      <c r="AH30" s="188">
        <v>193167288.44999999</v>
      </c>
      <c r="AI30" s="188">
        <v>173167288.44999999</v>
      </c>
      <c r="AJ30" s="188">
        <v>39000000</v>
      </c>
      <c r="AK30" s="188">
        <v>194000000</v>
      </c>
      <c r="AL30" s="188">
        <v>185215223.59</v>
      </c>
      <c r="AM30" s="188">
        <v>0</v>
      </c>
    </row>
    <row r="31" spans="1:39">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row>
    <row r="32" spans="1:39">
      <c r="A32" s="188" t="s">
        <v>248</v>
      </c>
      <c r="B32" s="188">
        <v>5361000</v>
      </c>
      <c r="C32" s="188">
        <v>0</v>
      </c>
      <c r="D32" s="188">
        <v>0</v>
      </c>
      <c r="E32" s="188">
        <v>135779723.86000001</v>
      </c>
      <c r="F32" s="188">
        <v>0</v>
      </c>
      <c r="G32" s="188">
        <v>0</v>
      </c>
      <c r="H32" s="188">
        <v>0</v>
      </c>
      <c r="I32" s="188">
        <v>28000000</v>
      </c>
      <c r="J32" s="188">
        <v>250000</v>
      </c>
      <c r="K32" s="188">
        <v>250000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6800000</v>
      </c>
      <c r="AD32" s="188">
        <v>20224902.350000001</v>
      </c>
      <c r="AE32" s="188">
        <v>11908413.48</v>
      </c>
      <c r="AF32" s="188">
        <v>0</v>
      </c>
      <c r="AG32" s="188">
        <v>0</v>
      </c>
      <c r="AH32" s="188">
        <v>0</v>
      </c>
      <c r="AI32" s="188">
        <v>4350000</v>
      </c>
      <c r="AJ32" s="188">
        <v>0</v>
      </c>
      <c r="AK32" s="188">
        <v>0</v>
      </c>
      <c r="AL32" s="188">
        <v>0</v>
      </c>
      <c r="AM32" s="188">
        <v>0</v>
      </c>
    </row>
    <row r="33" spans="1:39">
      <c r="A33" s="188" t="s">
        <v>249</v>
      </c>
      <c r="B33" s="188">
        <v>4361770825</v>
      </c>
      <c r="C33" s="188">
        <v>4312278774</v>
      </c>
      <c r="D33" s="188">
        <v>4126393500</v>
      </c>
      <c r="E33" s="188">
        <v>352779723.86000001</v>
      </c>
      <c r="F33" s="188">
        <v>124000000</v>
      </c>
      <c r="G33" s="188">
        <v>122000000</v>
      </c>
      <c r="H33" s="188">
        <v>57000000</v>
      </c>
      <c r="I33" s="188">
        <v>264000000</v>
      </c>
      <c r="J33" s="188">
        <v>128250000</v>
      </c>
      <c r="K33" s="188">
        <v>73250000</v>
      </c>
      <c r="L33" s="188">
        <v>50000000</v>
      </c>
      <c r="M33" s="188">
        <v>468000000</v>
      </c>
      <c r="N33" s="188">
        <v>368100000</v>
      </c>
      <c r="O33" s="188">
        <v>93000000</v>
      </c>
      <c r="P33" s="188">
        <v>70000000</v>
      </c>
      <c r="Q33" s="188">
        <v>489500000</v>
      </c>
      <c r="R33" s="188">
        <v>464500000</v>
      </c>
      <c r="S33" s="188">
        <v>32500000</v>
      </c>
      <c r="T33" s="188">
        <v>20000000</v>
      </c>
      <c r="U33" s="188">
        <v>108781830.8</v>
      </c>
      <c r="V33" s="188">
        <v>105902705.62</v>
      </c>
      <c r="W33" s="188">
        <v>54402705.619999997</v>
      </c>
      <c r="X33" s="188">
        <v>9742124.4499999993</v>
      </c>
      <c r="Y33" s="188">
        <v>152400000</v>
      </c>
      <c r="Z33" s="188">
        <v>107400000</v>
      </c>
      <c r="AA33" s="188">
        <v>65000000</v>
      </c>
      <c r="AB33" s="188">
        <v>0</v>
      </c>
      <c r="AC33" s="188">
        <v>1302598179.1300001</v>
      </c>
      <c r="AD33" s="188">
        <v>1322854734.98</v>
      </c>
      <c r="AE33" s="188">
        <v>297342459.18000001</v>
      </c>
      <c r="AF33" s="188">
        <v>151959350</v>
      </c>
      <c r="AG33" s="188">
        <v>279328045.81</v>
      </c>
      <c r="AH33" s="188">
        <v>193167288.44999999</v>
      </c>
      <c r="AI33" s="188">
        <v>177517288.44999999</v>
      </c>
      <c r="AJ33" s="188">
        <v>39000000</v>
      </c>
      <c r="AK33" s="188">
        <v>194000000</v>
      </c>
      <c r="AL33" s="188">
        <v>185215223.59</v>
      </c>
      <c r="AM33" s="188">
        <v>0</v>
      </c>
    </row>
    <row r="34" spans="1:39">
      <c r="A34" s="188" t="s">
        <v>250</v>
      </c>
      <c r="B34" s="188">
        <v>127000000</v>
      </c>
      <c r="C34" s="188">
        <v>107000000</v>
      </c>
      <c r="D34" s="188">
        <v>50000000</v>
      </c>
      <c r="E34" s="188">
        <v>286000000</v>
      </c>
      <c r="F34" s="188">
        <v>195847162.5</v>
      </c>
      <c r="G34" s="188">
        <v>138466972.5</v>
      </c>
      <c r="H34" s="188">
        <v>40000000</v>
      </c>
      <c r="I34" s="188">
        <v>338000000</v>
      </c>
      <c r="J34" s="188">
        <v>193000000</v>
      </c>
      <c r="K34" s="188">
        <v>108000000</v>
      </c>
      <c r="L34" s="188">
        <v>80000000</v>
      </c>
      <c r="M34" s="188">
        <v>167000000</v>
      </c>
      <c r="N34" s="188">
        <v>72000000</v>
      </c>
      <c r="O34" s="188">
        <v>35000000</v>
      </c>
      <c r="P34" s="188">
        <v>35000000</v>
      </c>
      <c r="Q34" s="188">
        <v>15500000</v>
      </c>
      <c r="R34" s="188">
        <v>12500000</v>
      </c>
      <c r="S34" s="188">
        <v>7500000</v>
      </c>
      <c r="T34" s="188">
        <v>7500000</v>
      </c>
      <c r="U34" s="188">
        <v>195781830.80000001</v>
      </c>
      <c r="V34" s="188">
        <v>191054955.00999999</v>
      </c>
      <c r="W34" s="188">
        <v>54536255.5</v>
      </c>
      <c r="X34" s="188">
        <v>0</v>
      </c>
      <c r="Y34" s="188">
        <v>63070810</v>
      </c>
      <c r="Z34" s="188">
        <v>28070090</v>
      </c>
      <c r="AA34" s="188">
        <v>15670090</v>
      </c>
      <c r="AB34" s="188">
        <v>5670090</v>
      </c>
      <c r="AC34" s="188">
        <v>616590414.94000006</v>
      </c>
      <c r="AD34" s="188">
        <v>604928988.08000004</v>
      </c>
      <c r="AE34" s="188">
        <v>177105345.81</v>
      </c>
      <c r="AF34" s="188">
        <v>128105345.81</v>
      </c>
      <c r="AG34" s="188">
        <v>130600000</v>
      </c>
      <c r="AH34" s="188">
        <v>81000000</v>
      </c>
      <c r="AI34" s="188">
        <v>81000000</v>
      </c>
      <c r="AJ34" s="188">
        <v>0</v>
      </c>
      <c r="AK34" s="188">
        <v>146000000</v>
      </c>
      <c r="AL34" s="188">
        <v>130715223.59</v>
      </c>
      <c r="AM34" s="188">
        <v>0</v>
      </c>
    </row>
    <row r="35" spans="1:39">
      <c r="A35" s="188" t="s">
        <v>548</v>
      </c>
      <c r="B35" s="188">
        <v>20745032.57</v>
      </c>
      <c r="C35" s="188">
        <v>14502280.09</v>
      </c>
      <c r="D35" s="188">
        <v>11701662.720000001</v>
      </c>
      <c r="E35" s="188">
        <v>104531959.98999999</v>
      </c>
      <c r="F35" s="188">
        <v>12158907.630000001</v>
      </c>
      <c r="G35" s="188">
        <v>9806957.2400000002</v>
      </c>
      <c r="H35" s="188">
        <v>4170859.19</v>
      </c>
      <c r="I35" s="188">
        <v>123837594.58</v>
      </c>
      <c r="J35" s="188">
        <v>117783031.76000001</v>
      </c>
      <c r="K35" s="188">
        <v>11163918.75</v>
      </c>
      <c r="L35" s="188">
        <v>5100860.41</v>
      </c>
      <c r="M35" s="188">
        <v>67940586.439999998</v>
      </c>
      <c r="N35" s="188">
        <v>60044130.539999999</v>
      </c>
      <c r="O35" s="188">
        <v>56140895.810000002</v>
      </c>
      <c r="P35" s="188">
        <v>1780813.89</v>
      </c>
      <c r="Q35" s="188">
        <v>2576636.1800000002</v>
      </c>
      <c r="R35" s="188">
        <v>1417383.13</v>
      </c>
      <c r="S35" s="188">
        <v>705866.47</v>
      </c>
      <c r="T35" s="188">
        <v>286374.8</v>
      </c>
      <c r="U35" s="188">
        <v>30169317.050000001</v>
      </c>
      <c r="V35" s="188">
        <v>28865459.710000001</v>
      </c>
      <c r="W35" s="188">
        <v>28196204.93</v>
      </c>
      <c r="X35" s="188">
        <v>1572236.01</v>
      </c>
      <c r="Y35" s="188">
        <v>60181748.75</v>
      </c>
      <c r="Z35" s="188">
        <v>53887736.439999998</v>
      </c>
      <c r="AA35" s="188">
        <v>52839360.100000001</v>
      </c>
      <c r="AB35" s="188">
        <v>8105.71</v>
      </c>
      <c r="AC35" s="188">
        <v>14871037.83</v>
      </c>
      <c r="AD35" s="188">
        <v>13894858.08</v>
      </c>
      <c r="AE35" s="188">
        <v>10794997.02</v>
      </c>
      <c r="AF35" s="188">
        <v>4621773.54</v>
      </c>
      <c r="AG35" s="188">
        <v>61320033.729999997</v>
      </c>
      <c r="AH35" s="188">
        <v>57058527.079999998</v>
      </c>
      <c r="AI35" s="188">
        <v>33924431.310000002</v>
      </c>
      <c r="AJ35" s="188">
        <v>2499216.0099999998</v>
      </c>
      <c r="AK35" s="188">
        <v>7705181.7599999998</v>
      </c>
      <c r="AL35" s="188">
        <v>24287347.809999999</v>
      </c>
      <c r="AM35" s="188">
        <v>0</v>
      </c>
    </row>
    <row r="36" spans="1:39">
      <c r="A36" s="188" t="s">
        <v>251</v>
      </c>
      <c r="B36" s="188">
        <v>0</v>
      </c>
      <c r="C36" s="188">
        <v>0</v>
      </c>
      <c r="D36" s="188">
        <v>0</v>
      </c>
      <c r="E36" s="188">
        <v>0</v>
      </c>
      <c r="F36" s="188">
        <v>0</v>
      </c>
      <c r="G36" s="188">
        <v>0</v>
      </c>
      <c r="H36" s="188">
        <v>0</v>
      </c>
      <c r="I36" s="188">
        <v>2337300</v>
      </c>
      <c r="J36" s="188">
        <v>0</v>
      </c>
      <c r="K36" s="188">
        <v>0</v>
      </c>
      <c r="L36" s="188">
        <v>0</v>
      </c>
      <c r="M36" s="188">
        <v>1960000</v>
      </c>
      <c r="N36" s="188">
        <v>1960000</v>
      </c>
      <c r="O36" s="188">
        <v>1960000</v>
      </c>
      <c r="P36" s="188">
        <v>0</v>
      </c>
      <c r="Q36" s="188">
        <v>0</v>
      </c>
      <c r="R36" s="188">
        <v>0</v>
      </c>
      <c r="S36" s="188">
        <v>0</v>
      </c>
      <c r="T36" s="188">
        <v>0</v>
      </c>
      <c r="U36" s="188">
        <v>0</v>
      </c>
      <c r="V36" s="188">
        <v>0</v>
      </c>
      <c r="W36" s="188">
        <v>0</v>
      </c>
      <c r="X36" s="188">
        <v>0</v>
      </c>
      <c r="Y36" s="188">
        <v>4900000</v>
      </c>
      <c r="Z36" s="188">
        <v>0</v>
      </c>
      <c r="AA36" s="188">
        <v>0</v>
      </c>
      <c r="AB36" s="188">
        <v>0</v>
      </c>
      <c r="AC36" s="188">
        <v>0</v>
      </c>
      <c r="AD36" s="188">
        <v>0</v>
      </c>
      <c r="AE36" s="188">
        <v>0</v>
      </c>
      <c r="AF36" s="188">
        <v>0</v>
      </c>
      <c r="AG36" s="188">
        <v>0</v>
      </c>
      <c r="AH36" s="188">
        <v>0</v>
      </c>
      <c r="AI36" s="188">
        <v>0</v>
      </c>
      <c r="AJ36" s="188">
        <v>0</v>
      </c>
      <c r="AK36" s="188">
        <v>0</v>
      </c>
      <c r="AL36" s="188">
        <v>0</v>
      </c>
      <c r="AM36" s="188">
        <v>0</v>
      </c>
    </row>
    <row r="37" spans="1:39">
      <c r="A37" s="188" t="s">
        <v>252</v>
      </c>
      <c r="B37" s="188">
        <v>31610000</v>
      </c>
      <c r="C37" s="188">
        <v>31610000</v>
      </c>
      <c r="D37" s="188">
        <v>0</v>
      </c>
      <c r="E37" s="188">
        <v>61534000</v>
      </c>
      <c r="F37" s="188">
        <v>0</v>
      </c>
      <c r="G37" s="188">
        <v>0</v>
      </c>
      <c r="H37" s="188">
        <v>0</v>
      </c>
      <c r="I37" s="188">
        <v>6466000</v>
      </c>
      <c r="J37" s="188">
        <v>2315166.0699999998</v>
      </c>
      <c r="K37" s="188">
        <v>13684.1</v>
      </c>
      <c r="L37" s="188">
        <v>0</v>
      </c>
      <c r="M37" s="188">
        <v>0</v>
      </c>
      <c r="N37" s="188">
        <v>3651000</v>
      </c>
      <c r="O37" s="188">
        <v>1651000</v>
      </c>
      <c r="P37" s="188">
        <v>1251000</v>
      </c>
      <c r="Q37" s="188">
        <v>14036000</v>
      </c>
      <c r="R37" s="188">
        <v>2953272.5</v>
      </c>
      <c r="S37" s="188">
        <v>2924600.5</v>
      </c>
      <c r="T37" s="188">
        <v>1000</v>
      </c>
      <c r="U37" s="188">
        <v>5822000</v>
      </c>
      <c r="V37" s="188">
        <v>1012351.68</v>
      </c>
      <c r="W37" s="188">
        <v>40556.9</v>
      </c>
      <c r="X37" s="188">
        <v>180</v>
      </c>
      <c r="Y37" s="188">
        <v>0</v>
      </c>
      <c r="Z37" s="188">
        <v>5370</v>
      </c>
      <c r="AA37" s="188">
        <v>2500</v>
      </c>
      <c r="AB37" s="188">
        <v>0</v>
      </c>
      <c r="AC37" s="188">
        <v>0</v>
      </c>
      <c r="AD37" s="188">
        <v>24682192.039999999</v>
      </c>
      <c r="AE37" s="188">
        <v>21529242.039999999</v>
      </c>
      <c r="AF37" s="188">
        <v>351900</v>
      </c>
      <c r="AG37" s="188">
        <v>6800000</v>
      </c>
      <c r="AH37" s="188">
        <v>0</v>
      </c>
      <c r="AI37" s="188">
        <v>139525</v>
      </c>
      <c r="AJ37" s="188">
        <v>31950</v>
      </c>
      <c r="AK37" s="188">
        <v>0</v>
      </c>
      <c r="AL37" s="188">
        <v>0</v>
      </c>
      <c r="AM37" s="188">
        <v>0</v>
      </c>
    </row>
    <row r="38" spans="1:39">
      <c r="A38" s="188" t="s">
        <v>253</v>
      </c>
      <c r="B38" s="188">
        <v>179355032.56999999</v>
      </c>
      <c r="C38" s="188">
        <v>153112280.09</v>
      </c>
      <c r="D38" s="188">
        <v>61701662.719999999</v>
      </c>
      <c r="E38" s="188">
        <v>452065959.99000001</v>
      </c>
      <c r="F38" s="188">
        <v>208006070.13</v>
      </c>
      <c r="G38" s="188">
        <v>148273929.74000001</v>
      </c>
      <c r="H38" s="188">
        <v>44170859.189999998</v>
      </c>
      <c r="I38" s="188">
        <v>468303594.57999998</v>
      </c>
      <c r="J38" s="188">
        <v>313098197.82999998</v>
      </c>
      <c r="K38" s="188">
        <v>119177602.84999999</v>
      </c>
      <c r="L38" s="188">
        <v>85100860.409999996</v>
      </c>
      <c r="M38" s="188">
        <v>234940586.44</v>
      </c>
      <c r="N38" s="188">
        <v>135695130.53999999</v>
      </c>
      <c r="O38" s="188">
        <v>92791895.810000002</v>
      </c>
      <c r="P38" s="188">
        <v>38031813.890000001</v>
      </c>
      <c r="Q38" s="188">
        <v>32112636.18</v>
      </c>
      <c r="R38" s="188">
        <v>16870655.629999999</v>
      </c>
      <c r="S38" s="188">
        <v>11130466.970000001</v>
      </c>
      <c r="T38" s="188">
        <v>7787374.7999999998</v>
      </c>
      <c r="U38" s="188">
        <v>231773147.84999999</v>
      </c>
      <c r="V38" s="188">
        <v>220932766.40000001</v>
      </c>
      <c r="W38" s="188">
        <v>82773017.329999998</v>
      </c>
      <c r="X38" s="188">
        <v>1572416.01</v>
      </c>
      <c r="Y38" s="188">
        <v>123252558.75</v>
      </c>
      <c r="Z38" s="188">
        <v>81963196.439999998</v>
      </c>
      <c r="AA38" s="188">
        <v>68511950.099999994</v>
      </c>
      <c r="AB38" s="188">
        <v>5678195.71</v>
      </c>
      <c r="AC38" s="188">
        <v>631461452.76999998</v>
      </c>
      <c r="AD38" s="188">
        <v>643506038.20000005</v>
      </c>
      <c r="AE38" s="188">
        <v>209429584.87</v>
      </c>
      <c r="AF38" s="188">
        <v>133079019.34999999</v>
      </c>
      <c r="AG38" s="188">
        <v>198720033.72999999</v>
      </c>
      <c r="AH38" s="188">
        <v>138058527.08000001</v>
      </c>
      <c r="AI38" s="188">
        <v>115063956.31</v>
      </c>
      <c r="AJ38" s="188">
        <v>2531166.0099999998</v>
      </c>
      <c r="AK38" s="188">
        <v>153705181.75999999</v>
      </c>
      <c r="AL38" s="188">
        <v>155002571.40000001</v>
      </c>
      <c r="AM38" s="188">
        <v>0</v>
      </c>
    </row>
    <row r="39" spans="1:39">
      <c r="A39" s="188" t="s">
        <v>254</v>
      </c>
      <c r="B39" s="188">
        <v>4182415792.4299998</v>
      </c>
      <c r="C39" s="188">
        <v>4159166493.9099998</v>
      </c>
      <c r="D39" s="188">
        <v>4064691837.2800002</v>
      </c>
      <c r="E39" s="188">
        <v>-99286236.129999995</v>
      </c>
      <c r="F39" s="188">
        <v>-84006070.129999995</v>
      </c>
      <c r="G39" s="188">
        <v>-26273929.739999998</v>
      </c>
      <c r="H39" s="188">
        <v>12829140.810000001</v>
      </c>
      <c r="I39" s="188">
        <v>-204303594.58000001</v>
      </c>
      <c r="J39" s="188">
        <v>-184848197.83000001</v>
      </c>
      <c r="K39" s="188">
        <v>-45927602.850000001</v>
      </c>
      <c r="L39" s="188">
        <v>-35100860.409999996</v>
      </c>
      <c r="M39" s="188">
        <v>233059413.56</v>
      </c>
      <c r="N39" s="188">
        <v>232404869.46000001</v>
      </c>
      <c r="O39" s="188">
        <v>208104.19</v>
      </c>
      <c r="P39" s="188">
        <v>31968186.109999999</v>
      </c>
      <c r="Q39" s="188">
        <v>457387363.81999999</v>
      </c>
      <c r="R39" s="188">
        <v>447629344.37</v>
      </c>
      <c r="S39" s="188">
        <v>21369533.030000001</v>
      </c>
      <c r="T39" s="188">
        <v>12212625.199999999</v>
      </c>
      <c r="U39" s="188">
        <v>-122991317.05</v>
      </c>
      <c r="V39" s="188">
        <v>-115030060.78</v>
      </c>
      <c r="W39" s="188">
        <v>-28370311.710000001</v>
      </c>
      <c r="X39" s="188">
        <v>8169708.4400000004</v>
      </c>
      <c r="Y39" s="188">
        <v>29147441.25</v>
      </c>
      <c r="Z39" s="188">
        <v>25436803.559999999</v>
      </c>
      <c r="AA39" s="188">
        <v>-3511950.1</v>
      </c>
      <c r="AB39" s="188">
        <v>-5678195.71</v>
      </c>
      <c r="AC39" s="188">
        <v>671136726.36000001</v>
      </c>
      <c r="AD39" s="188">
        <v>679348696.77999997</v>
      </c>
      <c r="AE39" s="188">
        <v>87912874.310000002</v>
      </c>
      <c r="AF39" s="188">
        <v>18880330.649999999</v>
      </c>
      <c r="AG39" s="188">
        <v>80608012.079999998</v>
      </c>
      <c r="AH39" s="188">
        <v>55108761.369999997</v>
      </c>
      <c r="AI39" s="188">
        <v>62453332.140000001</v>
      </c>
      <c r="AJ39" s="188">
        <v>36468833.990000002</v>
      </c>
      <c r="AK39" s="188">
        <v>40294818.240000002</v>
      </c>
      <c r="AL39" s="188">
        <v>30212652.190000001</v>
      </c>
      <c r="AM39" s="188">
        <v>0</v>
      </c>
    </row>
    <row r="40" spans="1:39">
      <c r="A40" s="188" t="s">
        <v>255</v>
      </c>
      <c r="B40" s="188">
        <v>98332893.920000002</v>
      </c>
      <c r="C40" s="188">
        <v>35274443.020000003</v>
      </c>
      <c r="D40" s="188">
        <v>-9660874.5899999999</v>
      </c>
      <c r="E40" s="188">
        <v>-553758.15</v>
      </c>
      <c r="F40" s="188">
        <v>-302851.83</v>
      </c>
      <c r="G40" s="188">
        <v>-143705.18</v>
      </c>
      <c r="H40" s="188">
        <v>-33896.97</v>
      </c>
      <c r="I40" s="188">
        <v>620628.5</v>
      </c>
      <c r="J40" s="188">
        <v>319233.03999999998</v>
      </c>
      <c r="K40" s="188">
        <v>294829.5</v>
      </c>
      <c r="L40" s="188">
        <v>127823.2</v>
      </c>
      <c r="M40" s="188">
        <v>-54934.9</v>
      </c>
      <c r="N40" s="188">
        <v>350890.49</v>
      </c>
      <c r="O40" s="188">
        <v>239225.32</v>
      </c>
      <c r="P40" s="188">
        <v>150151.88</v>
      </c>
      <c r="Q40" s="188">
        <v>126348.12</v>
      </c>
      <c r="R40" s="188">
        <v>-30644.68</v>
      </c>
      <c r="S40" s="188">
        <v>16462.259999999998</v>
      </c>
      <c r="T40" s="188">
        <v>20165.29</v>
      </c>
      <c r="U40" s="188">
        <v>-977562.76</v>
      </c>
      <c r="V40" s="188">
        <v>-146151.82</v>
      </c>
      <c r="W40" s="188">
        <v>-145441.48000000001</v>
      </c>
      <c r="X40" s="188">
        <v>-17509.75</v>
      </c>
      <c r="Y40" s="188">
        <v>4614.0200000000004</v>
      </c>
      <c r="Z40" s="188">
        <v>23533.02</v>
      </c>
      <c r="AA40" s="188">
        <v>15171.89</v>
      </c>
      <c r="AB40" s="188">
        <v>-14779.04</v>
      </c>
      <c r="AC40" s="188">
        <v>-1056103.55</v>
      </c>
      <c r="AD40" s="188">
        <v>-293740.32</v>
      </c>
      <c r="AE40" s="188">
        <v>-101884.78</v>
      </c>
      <c r="AF40" s="188">
        <v>-42865.39</v>
      </c>
      <c r="AG40" s="188">
        <v>-1973904.28</v>
      </c>
      <c r="AH40" s="188">
        <v>-1347985.38</v>
      </c>
      <c r="AI40" s="188">
        <v>-64760.15</v>
      </c>
      <c r="AJ40" s="188">
        <v>-1342.59</v>
      </c>
      <c r="AK40" s="188">
        <v>-1565547.01</v>
      </c>
      <c r="AL40" s="188">
        <v>-3031620.68</v>
      </c>
      <c r="AM40" s="188">
        <v>0</v>
      </c>
    </row>
    <row r="41" spans="1:39">
      <c r="A41" s="188" t="s">
        <v>256</v>
      </c>
      <c r="B41" s="188">
        <v>2442715062.1399999</v>
      </c>
      <c r="C41" s="188">
        <v>2321113913.0300002</v>
      </c>
      <c r="D41" s="188">
        <v>2510248383.48</v>
      </c>
      <c r="E41" s="188">
        <v>-54424828.299999997</v>
      </c>
      <c r="F41" s="188">
        <v>121588419.84999999</v>
      </c>
      <c r="G41" s="188">
        <v>91676713.340000004</v>
      </c>
      <c r="H41" s="188">
        <v>-89462260.480000004</v>
      </c>
      <c r="I41" s="188">
        <v>-22680396.43</v>
      </c>
      <c r="J41" s="188">
        <v>-212178935.09</v>
      </c>
      <c r="K41" s="188">
        <v>-167354815.33000001</v>
      </c>
      <c r="L41" s="188">
        <v>-236336741.78</v>
      </c>
      <c r="M41" s="188">
        <v>254058038.22</v>
      </c>
      <c r="N41" s="188">
        <v>-6791234.04</v>
      </c>
      <c r="O41" s="188">
        <v>-99504506.629999995</v>
      </c>
      <c r="P41" s="188">
        <v>-8938367.5399999991</v>
      </c>
      <c r="Q41" s="188">
        <v>176508396.58000001</v>
      </c>
      <c r="R41" s="188">
        <v>72427470.810000002</v>
      </c>
      <c r="S41" s="188">
        <v>-20895340.210000001</v>
      </c>
      <c r="T41" s="188">
        <v>-25089450.489999998</v>
      </c>
      <c r="U41" s="188">
        <v>-363234402.86000001</v>
      </c>
      <c r="V41" s="188">
        <v>-158151631.53</v>
      </c>
      <c r="W41" s="188">
        <v>-51172829.409999996</v>
      </c>
      <c r="X41" s="188">
        <v>-31329626.379999999</v>
      </c>
      <c r="Y41" s="188">
        <v>-98723149.650000006</v>
      </c>
      <c r="Z41" s="188">
        <v>-97809156.329999998</v>
      </c>
      <c r="AA41" s="188">
        <v>-95028062.599999994</v>
      </c>
      <c r="AB41" s="188">
        <v>-67608646.480000004</v>
      </c>
      <c r="AC41" s="188">
        <v>474606779.22000003</v>
      </c>
      <c r="AD41" s="188">
        <v>502376547.44</v>
      </c>
      <c r="AE41" s="188">
        <v>-28009540.120000001</v>
      </c>
      <c r="AF41" s="188">
        <v>-9057760.5199999996</v>
      </c>
      <c r="AG41" s="188">
        <v>17578707.129999999</v>
      </c>
      <c r="AH41" s="188">
        <v>18539703.010000002</v>
      </c>
      <c r="AI41" s="188">
        <v>32417086.460000001</v>
      </c>
      <c r="AJ41" s="188">
        <v>-3646141.91</v>
      </c>
      <c r="AK41" s="188">
        <v>35777048.240000002</v>
      </c>
      <c r="AL41" s="188">
        <v>-26659783.059999999</v>
      </c>
      <c r="AM41" s="188">
        <v>0</v>
      </c>
    </row>
    <row r="42" spans="1:39">
      <c r="A42" s="188" t="s">
        <v>257</v>
      </c>
      <c r="B42" s="188">
        <v>434775438.95999998</v>
      </c>
      <c r="C42" s="188">
        <v>434775438.95999998</v>
      </c>
      <c r="D42" s="188">
        <v>434775438.95999998</v>
      </c>
      <c r="E42" s="188">
        <v>489200267.25999999</v>
      </c>
      <c r="F42" s="188">
        <v>489200267.25999999</v>
      </c>
      <c r="G42" s="188">
        <v>489200267.25999999</v>
      </c>
      <c r="H42" s="188">
        <v>489200267.25999999</v>
      </c>
      <c r="I42" s="188">
        <v>511880663.69</v>
      </c>
      <c r="J42" s="188">
        <v>511880663.69</v>
      </c>
      <c r="K42" s="188">
        <v>511880663.69</v>
      </c>
      <c r="L42" s="188">
        <v>511880663.69</v>
      </c>
      <c r="M42" s="188">
        <v>257822625.47</v>
      </c>
      <c r="N42" s="188">
        <v>257822625.47</v>
      </c>
      <c r="O42" s="188">
        <v>257822625.47</v>
      </c>
      <c r="P42" s="188">
        <v>257822625.47</v>
      </c>
      <c r="Q42" s="188">
        <v>81314228.890000001</v>
      </c>
      <c r="R42" s="188">
        <v>131921926.95999999</v>
      </c>
      <c r="S42" s="188">
        <v>81314228.890000001</v>
      </c>
      <c r="T42" s="188">
        <v>81314228.890000001</v>
      </c>
      <c r="U42" s="188">
        <v>444548631.75</v>
      </c>
      <c r="V42" s="188">
        <v>446558631.75</v>
      </c>
      <c r="W42" s="188">
        <v>446558631.75</v>
      </c>
      <c r="X42" s="188">
        <v>446558631.75</v>
      </c>
      <c r="Y42" s="188">
        <v>543271781.39999998</v>
      </c>
      <c r="Z42" s="188">
        <v>543271781.39999998</v>
      </c>
      <c r="AA42" s="188">
        <v>543271781.39999998</v>
      </c>
      <c r="AB42" s="188">
        <v>543271781.39999998</v>
      </c>
      <c r="AC42" s="188">
        <v>68665002.180000007</v>
      </c>
      <c r="AD42" s="188">
        <v>68665002.180000007</v>
      </c>
      <c r="AE42" s="188">
        <v>68665002.180000007</v>
      </c>
      <c r="AF42" s="188">
        <v>80573415.659999996</v>
      </c>
      <c r="AG42" s="188">
        <v>51086295.049999997</v>
      </c>
      <c r="AH42" s="188">
        <v>51086295.049999997</v>
      </c>
      <c r="AI42" s="188">
        <v>51086295.049999997</v>
      </c>
      <c r="AJ42" s="188">
        <v>55436295.049999997</v>
      </c>
      <c r="AK42" s="188">
        <v>15309246.810000001</v>
      </c>
      <c r="AL42" s="188">
        <v>41969029.869999997</v>
      </c>
      <c r="AM42" s="188">
        <v>0</v>
      </c>
    </row>
    <row r="43" spans="1:39">
      <c r="A43" s="188" t="s">
        <v>258</v>
      </c>
      <c r="B43" s="188">
        <v>2877490501.0999999</v>
      </c>
      <c r="C43" s="188">
        <v>2755889351.9899998</v>
      </c>
      <c r="D43" s="188">
        <v>2945023822.4400001</v>
      </c>
      <c r="E43" s="188">
        <v>434775438.95999998</v>
      </c>
      <c r="F43" s="188">
        <v>610788687.11000001</v>
      </c>
      <c r="G43" s="188">
        <v>580876980.60000002</v>
      </c>
      <c r="H43" s="188">
        <v>399738006.77999997</v>
      </c>
      <c r="I43" s="188">
        <v>489200267.25999999</v>
      </c>
      <c r="J43" s="188">
        <v>299701728.60000002</v>
      </c>
      <c r="K43" s="188">
        <v>344525848.36000001</v>
      </c>
      <c r="L43" s="188">
        <v>275543921.91000003</v>
      </c>
      <c r="M43" s="188">
        <v>511880663.69</v>
      </c>
      <c r="N43" s="188">
        <v>251031391.43000001</v>
      </c>
      <c r="O43" s="188">
        <v>158318118.84</v>
      </c>
      <c r="P43" s="188">
        <v>248884257.93000001</v>
      </c>
      <c r="Q43" s="188">
        <v>257822625.47</v>
      </c>
      <c r="R43" s="188">
        <v>204349397.77000001</v>
      </c>
      <c r="S43" s="188">
        <v>60418888.68</v>
      </c>
      <c r="T43" s="188">
        <v>56224778.399999999</v>
      </c>
      <c r="U43" s="188">
        <v>81314228.890000001</v>
      </c>
      <c r="V43" s="188">
        <v>288407000.22000003</v>
      </c>
      <c r="W43" s="188">
        <v>395385802.33999997</v>
      </c>
      <c r="X43" s="188">
        <v>415229005.37</v>
      </c>
      <c r="Y43" s="188">
        <v>444548631.75</v>
      </c>
      <c r="Z43" s="188">
        <v>445462625.06999999</v>
      </c>
      <c r="AA43" s="188">
        <v>448243718.80000001</v>
      </c>
      <c r="AB43" s="188">
        <v>475663134.92000002</v>
      </c>
      <c r="AC43" s="188">
        <v>543271781.39999998</v>
      </c>
      <c r="AD43" s="188">
        <v>571041549.62</v>
      </c>
      <c r="AE43" s="188">
        <v>40655462.060000002</v>
      </c>
      <c r="AF43" s="188">
        <v>71515655.140000001</v>
      </c>
      <c r="AG43" s="188">
        <v>68665002.180000007</v>
      </c>
      <c r="AH43" s="188">
        <v>69625998.060000002</v>
      </c>
      <c r="AI43" s="188">
        <v>83503381.510000005</v>
      </c>
      <c r="AJ43" s="188">
        <v>51790153.140000001</v>
      </c>
      <c r="AK43" s="188">
        <v>51086295.049999997</v>
      </c>
      <c r="AL43" s="188">
        <v>15309246.810000001</v>
      </c>
      <c r="AM43" s="188">
        <v>0</v>
      </c>
    </row>
    <row r="44" spans="1:39">
      <c r="A44" s="188" t="s">
        <v>259</v>
      </c>
    </row>
    <row r="45" spans="1:39">
      <c r="A45" s="188" t="s">
        <v>260</v>
      </c>
      <c r="B45" s="188">
        <v>0</v>
      </c>
      <c r="C45" s="188">
        <v>711589793.83000004</v>
      </c>
      <c r="D45" s="188">
        <v>0</v>
      </c>
      <c r="E45" s="188">
        <v>784657966.05999994</v>
      </c>
      <c r="F45" s="188">
        <v>0</v>
      </c>
      <c r="G45" s="188">
        <v>618052418.08000004</v>
      </c>
      <c r="H45" s="188">
        <v>0</v>
      </c>
      <c r="I45" s="188">
        <v>507204971.70999998</v>
      </c>
      <c r="J45" s="188">
        <v>0</v>
      </c>
      <c r="K45" s="188">
        <v>277281930.44</v>
      </c>
      <c r="L45" s="188">
        <v>0</v>
      </c>
      <c r="M45" s="188">
        <v>410154219.94999999</v>
      </c>
      <c r="N45" s="188">
        <v>0</v>
      </c>
      <c r="O45" s="188">
        <v>145616847.38</v>
      </c>
      <c r="P45" s="188">
        <v>0</v>
      </c>
      <c r="Q45" s="188">
        <v>211121843.31999999</v>
      </c>
      <c r="R45" s="188">
        <v>0</v>
      </c>
      <c r="S45" s="188">
        <v>53417867.969999999</v>
      </c>
      <c r="T45" s="188">
        <v>0</v>
      </c>
      <c r="U45" s="188">
        <v>82797451.920000002</v>
      </c>
      <c r="V45" s="188">
        <v>0</v>
      </c>
      <c r="W45" s="188">
        <v>46206456.289999999</v>
      </c>
      <c r="X45" s="188">
        <v>0</v>
      </c>
      <c r="Y45" s="188">
        <v>93406490.129999995</v>
      </c>
      <c r="Z45" s="188">
        <v>0</v>
      </c>
      <c r="AA45" s="188">
        <v>63637494.93</v>
      </c>
      <c r="AB45" s="188">
        <v>0</v>
      </c>
      <c r="AC45" s="188">
        <v>141447394.44</v>
      </c>
      <c r="AD45" s="188">
        <v>0</v>
      </c>
      <c r="AE45" s="188">
        <v>89788580.340000004</v>
      </c>
      <c r="AF45" s="188">
        <v>0</v>
      </c>
      <c r="AG45" s="188">
        <v>158785566.46000001</v>
      </c>
      <c r="AH45" s="188">
        <v>0</v>
      </c>
      <c r="AI45" s="188">
        <v>80009932.310000002</v>
      </c>
      <c r="AJ45" s="188">
        <v>0</v>
      </c>
      <c r="AK45" s="188">
        <v>101965075.52</v>
      </c>
      <c r="AL45" s="188">
        <v>77056544.739999995</v>
      </c>
      <c r="AM45" s="188">
        <v>0</v>
      </c>
    </row>
    <row r="46" spans="1:39">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row>
    <row r="47" spans="1:39">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row>
    <row r="48" spans="1:39">
      <c r="A48" s="188" t="s">
        <v>262</v>
      </c>
      <c r="B48" s="188">
        <v>0</v>
      </c>
      <c r="C48" s="188">
        <v>10720441.15</v>
      </c>
      <c r="D48" s="188">
        <v>0</v>
      </c>
      <c r="E48" s="188">
        <v>12366028.390000001</v>
      </c>
      <c r="F48" s="188">
        <v>0</v>
      </c>
      <c r="G48" s="188">
        <v>4272596.29</v>
      </c>
      <c r="H48" s="188">
        <v>0</v>
      </c>
      <c r="I48" s="188">
        <v>-687475.79</v>
      </c>
      <c r="J48" s="188">
        <v>0</v>
      </c>
      <c r="K48" s="188">
        <v>2723234.18</v>
      </c>
      <c r="L48" s="188">
        <v>0</v>
      </c>
      <c r="M48" s="188">
        <v>31368183.050000001</v>
      </c>
      <c r="N48" s="188">
        <v>0</v>
      </c>
      <c r="O48" s="188">
        <v>5076743.57</v>
      </c>
      <c r="P48" s="188">
        <v>0</v>
      </c>
      <c r="Q48" s="188">
        <v>10472153.449999999</v>
      </c>
      <c r="R48" s="188">
        <v>0</v>
      </c>
      <c r="S48" s="188">
        <v>8498308.2599999998</v>
      </c>
      <c r="T48" s="188">
        <v>0</v>
      </c>
      <c r="U48" s="188">
        <v>8194603.2800000003</v>
      </c>
      <c r="V48" s="188">
        <v>0</v>
      </c>
      <c r="W48" s="188">
        <v>3495793.07</v>
      </c>
      <c r="X48" s="188">
        <v>0</v>
      </c>
      <c r="Y48" s="188">
        <v>1963377.78</v>
      </c>
      <c r="Z48" s="188">
        <v>0</v>
      </c>
      <c r="AA48" s="188">
        <v>825859.68</v>
      </c>
      <c r="AB48" s="188">
        <v>0</v>
      </c>
      <c r="AC48" s="188">
        <v>3684165.41</v>
      </c>
      <c r="AD48" s="188">
        <v>0</v>
      </c>
      <c r="AE48" s="188">
        <v>3381825.99</v>
      </c>
      <c r="AF48" s="188">
        <v>0</v>
      </c>
      <c r="AG48" s="188">
        <v>-878286.96</v>
      </c>
      <c r="AH48" s="188">
        <v>0</v>
      </c>
      <c r="AI48" s="188">
        <v>1969124.73</v>
      </c>
      <c r="AJ48" s="188">
        <v>0</v>
      </c>
      <c r="AK48" s="188">
        <v>7361011.8899999997</v>
      </c>
      <c r="AL48" s="188">
        <v>3313259.1</v>
      </c>
      <c r="AM48" s="188">
        <v>0</v>
      </c>
    </row>
    <row r="49" spans="1:39">
      <c r="A49" s="188" t="s">
        <v>263</v>
      </c>
      <c r="B49" s="188">
        <v>0</v>
      </c>
      <c r="C49" s="188">
        <v>58197216.590000004</v>
      </c>
      <c r="D49" s="188">
        <v>0</v>
      </c>
      <c r="E49" s="188">
        <v>109994965.51000001</v>
      </c>
      <c r="F49" s="188">
        <v>0</v>
      </c>
      <c r="G49" s="188">
        <v>53432441.380000003</v>
      </c>
      <c r="H49" s="188">
        <v>0</v>
      </c>
      <c r="I49" s="188">
        <v>106645983.19</v>
      </c>
      <c r="J49" s="188">
        <v>0</v>
      </c>
      <c r="K49" s="188">
        <v>47412321.909999996</v>
      </c>
      <c r="L49" s="188">
        <v>0</v>
      </c>
      <c r="M49" s="188">
        <v>92721882.939999998</v>
      </c>
      <c r="N49" s="188">
        <v>0</v>
      </c>
      <c r="O49" s="188">
        <v>42575856.520000003</v>
      </c>
      <c r="P49" s="188">
        <v>0</v>
      </c>
      <c r="Q49" s="188">
        <v>74715090.269999996</v>
      </c>
      <c r="R49" s="188">
        <v>0</v>
      </c>
      <c r="S49" s="188">
        <v>32189892.350000001</v>
      </c>
      <c r="T49" s="188">
        <v>0</v>
      </c>
      <c r="U49" s="188">
        <v>51456315.950000003</v>
      </c>
      <c r="V49" s="188">
        <v>0</v>
      </c>
      <c r="W49" s="188">
        <v>24367426.66</v>
      </c>
      <c r="X49" s="188">
        <v>0</v>
      </c>
      <c r="Y49" s="188">
        <v>37135784.759999998</v>
      </c>
      <c r="Z49" s="188">
        <v>0</v>
      </c>
      <c r="AA49" s="188">
        <v>17205304.879999999</v>
      </c>
      <c r="AB49" s="188">
        <v>0</v>
      </c>
      <c r="AC49" s="188">
        <v>25284395.940000001</v>
      </c>
      <c r="AD49" s="188">
        <v>0</v>
      </c>
      <c r="AE49" s="188">
        <v>11748483.060000001</v>
      </c>
      <c r="AF49" s="188">
        <v>0</v>
      </c>
      <c r="AG49" s="188">
        <v>18779188.219999999</v>
      </c>
      <c r="AH49" s="188">
        <v>0</v>
      </c>
      <c r="AI49" s="188">
        <v>9080858.7699999996</v>
      </c>
      <c r="AJ49" s="188">
        <v>0</v>
      </c>
      <c r="AK49" s="188">
        <v>12795527.029999999</v>
      </c>
      <c r="AL49" s="188">
        <v>8872828.1500000004</v>
      </c>
      <c r="AM49" s="188">
        <v>0</v>
      </c>
    </row>
    <row r="50" spans="1:39">
      <c r="A50" s="188" t="s">
        <v>264</v>
      </c>
      <c r="B50" s="188">
        <v>0</v>
      </c>
      <c r="C50" s="188">
        <v>14628792.720000001</v>
      </c>
      <c r="D50" s="188">
        <v>0</v>
      </c>
      <c r="E50" s="188">
        <v>18649474.84</v>
      </c>
      <c r="F50" s="188">
        <v>0</v>
      </c>
      <c r="G50" s="188">
        <v>10669528.640000001</v>
      </c>
      <c r="H50" s="188">
        <v>0</v>
      </c>
      <c r="I50" s="188">
        <v>21509722.449999999</v>
      </c>
      <c r="J50" s="188">
        <v>0</v>
      </c>
      <c r="K50" s="188">
        <v>10796240.109999999</v>
      </c>
      <c r="L50" s="188">
        <v>0</v>
      </c>
      <c r="M50" s="188">
        <v>21742638.440000001</v>
      </c>
      <c r="N50" s="188">
        <v>0</v>
      </c>
      <c r="O50" s="188">
        <v>10980237.82</v>
      </c>
      <c r="P50" s="188">
        <v>0</v>
      </c>
      <c r="Q50" s="188">
        <v>8689122.6899999995</v>
      </c>
      <c r="R50" s="188">
        <v>0</v>
      </c>
      <c r="S50" s="188">
        <v>1158504.94</v>
      </c>
      <c r="T50" s="188">
        <v>0</v>
      </c>
      <c r="U50" s="188">
        <v>2184092.7200000002</v>
      </c>
      <c r="V50" s="188">
        <v>0</v>
      </c>
      <c r="W50" s="188">
        <v>684524.39</v>
      </c>
      <c r="X50" s="188">
        <v>0</v>
      </c>
      <c r="Y50" s="188">
        <v>1191341.78</v>
      </c>
      <c r="Z50" s="188">
        <v>0</v>
      </c>
      <c r="AA50" s="188">
        <v>574026.6</v>
      </c>
      <c r="AB50" s="188">
        <v>0</v>
      </c>
      <c r="AC50" s="188">
        <v>946152.45</v>
      </c>
      <c r="AD50" s="188">
        <v>0</v>
      </c>
      <c r="AE50" s="188">
        <v>418101.76000000001</v>
      </c>
      <c r="AF50" s="188">
        <v>0</v>
      </c>
      <c r="AG50" s="188">
        <v>617575.89</v>
      </c>
      <c r="AH50" s="188">
        <v>0</v>
      </c>
      <c r="AI50" s="188">
        <v>292441.8</v>
      </c>
      <c r="AJ50" s="188">
        <v>0</v>
      </c>
      <c r="AK50" s="188">
        <v>581168.32999999996</v>
      </c>
      <c r="AL50" s="188">
        <v>567610.62</v>
      </c>
      <c r="AM50" s="188">
        <v>0</v>
      </c>
    </row>
    <row r="51" spans="1:39">
      <c r="A51" s="188" t="s">
        <v>265</v>
      </c>
      <c r="B51" s="188">
        <v>0</v>
      </c>
      <c r="C51" s="188">
        <v>27528699.239999998</v>
      </c>
      <c r="D51" s="188">
        <v>0</v>
      </c>
      <c r="E51" s="188">
        <v>51974577.509999998</v>
      </c>
      <c r="F51" s="188">
        <v>0</v>
      </c>
      <c r="G51" s="188">
        <v>18026429.719999999</v>
      </c>
      <c r="H51" s="188">
        <v>0</v>
      </c>
      <c r="I51" s="188">
        <v>37748685.200000003</v>
      </c>
      <c r="J51" s="188">
        <v>0</v>
      </c>
      <c r="K51" s="188">
        <v>17558513.129999999</v>
      </c>
      <c r="L51" s="188">
        <v>0</v>
      </c>
      <c r="M51" s="188">
        <v>33007110.949999999</v>
      </c>
      <c r="N51" s="188">
        <v>0</v>
      </c>
      <c r="O51" s="188">
        <v>15865106.83</v>
      </c>
      <c r="P51" s="188">
        <v>0</v>
      </c>
      <c r="Q51" s="188">
        <v>24732441.32</v>
      </c>
      <c r="R51" s="188">
        <v>0</v>
      </c>
      <c r="S51" s="188">
        <v>13369529.140000001</v>
      </c>
      <c r="T51" s="188">
        <v>0</v>
      </c>
      <c r="U51" s="188">
        <v>14335013.439999999</v>
      </c>
      <c r="V51" s="188">
        <v>0</v>
      </c>
      <c r="W51" s="188">
        <v>4831684.04</v>
      </c>
      <c r="X51" s="188">
        <v>0</v>
      </c>
      <c r="Y51" s="188">
        <v>2831387.09</v>
      </c>
      <c r="Z51" s="188">
        <v>0</v>
      </c>
      <c r="AA51" s="188">
        <v>1146135.42</v>
      </c>
      <c r="AB51" s="188">
        <v>0</v>
      </c>
      <c r="AC51" s="188">
        <v>512885.5</v>
      </c>
      <c r="AD51" s="188">
        <v>0</v>
      </c>
      <c r="AE51" s="188">
        <v>147535.45000000001</v>
      </c>
      <c r="AF51" s="188">
        <v>0</v>
      </c>
      <c r="AG51" s="188">
        <v>159141.51999999999</v>
      </c>
      <c r="AH51" s="188">
        <v>0</v>
      </c>
      <c r="AI51" s="188">
        <v>73236.899999999994</v>
      </c>
      <c r="AJ51" s="188">
        <v>0</v>
      </c>
      <c r="AK51" s="188">
        <v>133744.28</v>
      </c>
      <c r="AL51" s="188">
        <v>0</v>
      </c>
      <c r="AM51" s="188">
        <v>0</v>
      </c>
    </row>
    <row r="52" spans="1:39">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row>
    <row r="53" spans="1:39">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row>
    <row r="54" spans="1:39">
      <c r="A54" s="188" t="s">
        <v>268</v>
      </c>
      <c r="B54" s="188">
        <v>0</v>
      </c>
      <c r="C54" s="188">
        <v>-4944439.3499999996</v>
      </c>
      <c r="D54" s="188">
        <v>0</v>
      </c>
      <c r="E54" s="188">
        <v>-1512.16</v>
      </c>
      <c r="F54" s="188">
        <v>0</v>
      </c>
      <c r="G54" s="188">
        <v>-144633.59</v>
      </c>
      <c r="H54" s="188">
        <v>0</v>
      </c>
      <c r="I54" s="188">
        <v>1468291.13</v>
      </c>
      <c r="J54" s="188">
        <v>0</v>
      </c>
      <c r="K54" s="188">
        <v>404986.06</v>
      </c>
      <c r="L54" s="188">
        <v>0</v>
      </c>
      <c r="M54" s="188">
        <v>552915.82999999996</v>
      </c>
      <c r="N54" s="188">
        <v>0</v>
      </c>
      <c r="O54" s="188">
        <v>-39721.660000000003</v>
      </c>
      <c r="P54" s="188">
        <v>0</v>
      </c>
      <c r="Q54" s="188">
        <v>355071.35</v>
      </c>
      <c r="R54" s="188">
        <v>0</v>
      </c>
      <c r="S54" s="188">
        <v>-139463.70000000001</v>
      </c>
      <c r="T54" s="188">
        <v>0</v>
      </c>
      <c r="U54" s="188">
        <v>264753.34999999998</v>
      </c>
      <c r="V54" s="188">
        <v>0</v>
      </c>
      <c r="W54" s="188">
        <v>-4097.92</v>
      </c>
      <c r="X54" s="188">
        <v>0</v>
      </c>
      <c r="Y54" s="188">
        <v>26443.27</v>
      </c>
      <c r="Z54" s="188">
        <v>0</v>
      </c>
      <c r="AA54" s="188">
        <v>100729.55</v>
      </c>
      <c r="AB54" s="188">
        <v>0</v>
      </c>
      <c r="AC54" s="188">
        <v>303809.68</v>
      </c>
      <c r="AD54" s="188">
        <v>0</v>
      </c>
      <c r="AE54" s="188">
        <v>-20015.3</v>
      </c>
      <c r="AF54" s="188">
        <v>0</v>
      </c>
      <c r="AG54" s="188">
        <v>-36850.15</v>
      </c>
      <c r="AH54" s="188">
        <v>0</v>
      </c>
      <c r="AI54" s="188">
        <v>-20449.64</v>
      </c>
      <c r="AJ54" s="188">
        <v>0</v>
      </c>
      <c r="AK54" s="188">
        <v>-58483.56</v>
      </c>
      <c r="AL54" s="188">
        <v>-5313.38</v>
      </c>
      <c r="AM54" s="188">
        <v>0</v>
      </c>
    </row>
    <row r="55" spans="1:39">
      <c r="A55" s="188" t="s">
        <v>269</v>
      </c>
      <c r="B55" s="188">
        <v>0</v>
      </c>
      <c r="C55" s="188">
        <v>0</v>
      </c>
      <c r="D55" s="188">
        <v>0</v>
      </c>
      <c r="E55" s="188">
        <v>224678.11</v>
      </c>
      <c r="F55" s="188">
        <v>0</v>
      </c>
      <c r="G55" s="188">
        <v>0</v>
      </c>
      <c r="H55" s="188">
        <v>0</v>
      </c>
      <c r="I55" s="188">
        <v>19914.96</v>
      </c>
      <c r="J55" s="188">
        <v>0</v>
      </c>
      <c r="K55" s="188">
        <v>235403.61</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row>
    <row r="56" spans="1:39">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row>
    <row r="57" spans="1:39">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row>
    <row r="58" spans="1:39">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row>
    <row r="59" spans="1:39">
      <c r="A59" s="188" t="s">
        <v>197</v>
      </c>
      <c r="B59" s="188">
        <v>0</v>
      </c>
      <c r="C59" s="188">
        <v>5193451.71</v>
      </c>
      <c r="D59" s="188">
        <v>0</v>
      </c>
      <c r="E59" s="188">
        <v>22074131.43</v>
      </c>
      <c r="F59" s="188">
        <v>0</v>
      </c>
      <c r="G59" s="188">
        <v>14512570.359999999</v>
      </c>
      <c r="H59" s="188">
        <v>0</v>
      </c>
      <c r="I59" s="188">
        <v>18795509.809999999</v>
      </c>
      <c r="J59" s="188">
        <v>0</v>
      </c>
      <c r="K59" s="188">
        <v>13204640.76</v>
      </c>
      <c r="L59" s="188">
        <v>0</v>
      </c>
      <c r="M59" s="188">
        <v>15719592.18</v>
      </c>
      <c r="N59" s="188">
        <v>0</v>
      </c>
      <c r="O59" s="188">
        <v>5555835.4500000002</v>
      </c>
      <c r="P59" s="188">
        <v>0</v>
      </c>
      <c r="Q59" s="188">
        <v>1004375.6</v>
      </c>
      <c r="R59" s="188">
        <v>0</v>
      </c>
      <c r="S59" s="188">
        <v>914213.49</v>
      </c>
      <c r="T59" s="188">
        <v>0</v>
      </c>
      <c r="U59" s="188">
        <v>-1394338.18</v>
      </c>
      <c r="V59" s="188">
        <v>0</v>
      </c>
      <c r="W59" s="188">
        <v>-1657229.46</v>
      </c>
      <c r="X59" s="188">
        <v>0</v>
      </c>
      <c r="Y59" s="188">
        <v>-7215599.7199999997</v>
      </c>
      <c r="Z59" s="188">
        <v>0</v>
      </c>
      <c r="AA59" s="188">
        <v>-8065145.8499999996</v>
      </c>
      <c r="AB59" s="188">
        <v>0</v>
      </c>
      <c r="AC59" s="188">
        <v>4304475.12</v>
      </c>
      <c r="AD59" s="188">
        <v>0</v>
      </c>
      <c r="AE59" s="188">
        <v>9763524.2799999993</v>
      </c>
      <c r="AF59" s="188">
        <v>0</v>
      </c>
      <c r="AG59" s="188">
        <v>12497725.310000001</v>
      </c>
      <c r="AH59" s="188">
        <v>0</v>
      </c>
      <c r="AI59" s="188">
        <v>5379810.1200000001</v>
      </c>
      <c r="AJ59" s="188">
        <v>0</v>
      </c>
      <c r="AK59" s="188">
        <v>8202430.71</v>
      </c>
      <c r="AL59" s="188">
        <v>9287096.6400000006</v>
      </c>
      <c r="AM59" s="188">
        <v>0</v>
      </c>
    </row>
    <row r="60" spans="1:39">
      <c r="A60" s="188" t="s">
        <v>273</v>
      </c>
      <c r="B60" s="188">
        <v>0</v>
      </c>
      <c r="C60" s="188">
        <v>-150457632.68000001</v>
      </c>
      <c r="D60" s="188">
        <v>0</v>
      </c>
      <c r="E60" s="188">
        <v>-508826270.5</v>
      </c>
      <c r="F60" s="188">
        <v>0</v>
      </c>
      <c r="G60" s="188">
        <v>-487338686.72000003</v>
      </c>
      <c r="H60" s="188">
        <v>0</v>
      </c>
      <c r="I60" s="188">
        <v>5406516.1500000004</v>
      </c>
      <c r="J60" s="188">
        <v>0</v>
      </c>
      <c r="K60" s="188">
        <v>302515.05</v>
      </c>
      <c r="L60" s="188">
        <v>0</v>
      </c>
      <c r="M60" s="188">
        <v>-89970.559999999998</v>
      </c>
      <c r="N60" s="188">
        <v>0</v>
      </c>
      <c r="O60" s="188">
        <v>-82316.539999999994</v>
      </c>
      <c r="P60" s="188">
        <v>0</v>
      </c>
      <c r="Q60" s="188">
        <v>-670590.9</v>
      </c>
      <c r="R60" s="188">
        <v>0</v>
      </c>
      <c r="S60" s="188">
        <v>-10733.44</v>
      </c>
      <c r="T60" s="188">
        <v>0</v>
      </c>
      <c r="U60" s="188">
        <v>-15800.66</v>
      </c>
      <c r="V60" s="188">
        <v>0</v>
      </c>
      <c r="W60" s="188">
        <v>0</v>
      </c>
      <c r="X60" s="188">
        <v>0</v>
      </c>
      <c r="Y60" s="188">
        <v>-2271772.0499999998</v>
      </c>
      <c r="Z60" s="188">
        <v>0</v>
      </c>
      <c r="AA60" s="188">
        <v>-1562272.67</v>
      </c>
      <c r="AB60" s="188">
        <v>0</v>
      </c>
      <c r="AC60" s="188">
        <v>-2586005.37</v>
      </c>
      <c r="AD60" s="188">
        <v>0</v>
      </c>
      <c r="AE60" s="188">
        <v>-1314928.06</v>
      </c>
      <c r="AF60" s="188">
        <v>0</v>
      </c>
      <c r="AG60" s="188">
        <v>-2771806.61</v>
      </c>
      <c r="AH60" s="188">
        <v>0</v>
      </c>
      <c r="AI60" s="188">
        <v>-1299991.8400000001</v>
      </c>
      <c r="AJ60" s="188">
        <v>0</v>
      </c>
      <c r="AK60" s="188">
        <v>-524269.5</v>
      </c>
      <c r="AL60" s="188">
        <v>0</v>
      </c>
      <c r="AM60" s="188">
        <v>0</v>
      </c>
    </row>
    <row r="61" spans="1:39">
      <c r="A61" s="188" t="s">
        <v>274</v>
      </c>
      <c r="B61" s="188">
        <v>0</v>
      </c>
      <c r="C61" s="188">
        <v>-7029394.3600000003</v>
      </c>
      <c r="D61" s="188">
        <v>0</v>
      </c>
      <c r="E61" s="188">
        <v>-4802321.33</v>
      </c>
      <c r="F61" s="188">
        <v>0</v>
      </c>
      <c r="G61" s="188">
        <v>564269.05000000005</v>
      </c>
      <c r="H61" s="188">
        <v>0</v>
      </c>
      <c r="I61" s="188">
        <v>-1597769.53</v>
      </c>
      <c r="J61" s="188">
        <v>0</v>
      </c>
      <c r="K61" s="188">
        <v>1853812.25</v>
      </c>
      <c r="L61" s="188">
        <v>0</v>
      </c>
      <c r="M61" s="188">
        <v>-6040074.75</v>
      </c>
      <c r="N61" s="188">
        <v>0</v>
      </c>
      <c r="O61" s="188">
        <v>-759423.46</v>
      </c>
      <c r="P61" s="188">
        <v>0</v>
      </c>
      <c r="Q61" s="188">
        <v>-1933779.97</v>
      </c>
      <c r="R61" s="188">
        <v>0</v>
      </c>
      <c r="S61" s="188">
        <v>-1288206.28</v>
      </c>
      <c r="T61" s="188">
        <v>0</v>
      </c>
      <c r="U61" s="188">
        <v>-173280.45</v>
      </c>
      <c r="V61" s="188">
        <v>0</v>
      </c>
      <c r="W61" s="188">
        <v>-242414.11</v>
      </c>
      <c r="X61" s="188">
        <v>0</v>
      </c>
      <c r="Y61" s="188">
        <v>-370419.87</v>
      </c>
      <c r="Z61" s="188">
        <v>0</v>
      </c>
      <c r="AA61" s="188">
        <v>-626143.92000000004</v>
      </c>
      <c r="AB61" s="188">
        <v>0</v>
      </c>
      <c r="AC61" s="188">
        <v>-959905.06</v>
      </c>
      <c r="AD61" s="188">
        <v>0</v>
      </c>
      <c r="AE61" s="188">
        <v>-507273.89</v>
      </c>
      <c r="AF61" s="188">
        <v>0</v>
      </c>
      <c r="AG61" s="188">
        <v>1857503.56</v>
      </c>
      <c r="AH61" s="188">
        <v>0</v>
      </c>
      <c r="AI61" s="188">
        <v>-104669.04</v>
      </c>
      <c r="AJ61" s="188">
        <v>0</v>
      </c>
      <c r="AK61" s="188">
        <v>-1921883.18</v>
      </c>
      <c r="AL61" s="188">
        <v>-2092503.54</v>
      </c>
      <c r="AM61" s="188">
        <v>0</v>
      </c>
    </row>
    <row r="62" spans="1:39">
      <c r="A62" s="188" t="s">
        <v>275</v>
      </c>
      <c r="B62" s="188">
        <v>0</v>
      </c>
      <c r="C62" s="188">
        <v>-340711.8</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row>
    <row r="63" spans="1:39">
      <c r="A63" s="188" t="s">
        <v>276</v>
      </c>
      <c r="B63" s="188">
        <v>0</v>
      </c>
      <c r="C63" s="188">
        <v>-14778497.33</v>
      </c>
      <c r="D63" s="188">
        <v>0</v>
      </c>
      <c r="E63" s="188">
        <v>-62901227.590000004</v>
      </c>
      <c r="F63" s="188">
        <v>0</v>
      </c>
      <c r="G63" s="188">
        <v>-879897.38</v>
      </c>
      <c r="H63" s="188">
        <v>0</v>
      </c>
      <c r="I63" s="188">
        <v>-25612458.82</v>
      </c>
      <c r="J63" s="188">
        <v>0</v>
      </c>
      <c r="K63" s="188">
        <v>4429328.41</v>
      </c>
      <c r="L63" s="188">
        <v>0</v>
      </c>
      <c r="M63" s="188">
        <v>39107074.869999997</v>
      </c>
      <c r="N63" s="188">
        <v>0</v>
      </c>
      <c r="O63" s="188">
        <v>7428320.6900000004</v>
      </c>
      <c r="P63" s="188">
        <v>0</v>
      </c>
      <c r="Q63" s="188">
        <v>-18319862.32</v>
      </c>
      <c r="R63" s="188">
        <v>0</v>
      </c>
      <c r="S63" s="188">
        <v>126106.53</v>
      </c>
      <c r="T63" s="188">
        <v>0</v>
      </c>
      <c r="U63" s="188">
        <v>-103276696.76000001</v>
      </c>
      <c r="V63" s="188">
        <v>0</v>
      </c>
      <c r="W63" s="188">
        <v>-43622838.060000002</v>
      </c>
      <c r="X63" s="188">
        <v>0</v>
      </c>
      <c r="Y63" s="188">
        <v>-74641915.329999998</v>
      </c>
      <c r="Z63" s="188">
        <v>0</v>
      </c>
      <c r="AA63" s="188">
        <v>-71505298.829999998</v>
      </c>
      <c r="AB63" s="188">
        <v>0</v>
      </c>
      <c r="AC63" s="188">
        <v>-61680729.119999997</v>
      </c>
      <c r="AD63" s="188">
        <v>0</v>
      </c>
      <c r="AE63" s="188">
        <v>-42183143.899999999</v>
      </c>
      <c r="AF63" s="188">
        <v>0</v>
      </c>
      <c r="AG63" s="188">
        <v>-32601830.43</v>
      </c>
      <c r="AH63" s="188">
        <v>0</v>
      </c>
      <c r="AI63" s="188">
        <v>-40074257.789999999</v>
      </c>
      <c r="AJ63" s="188">
        <v>0</v>
      </c>
      <c r="AK63" s="188">
        <v>-42579458.130000003</v>
      </c>
      <c r="AL63" s="188">
        <v>-42278897.149999999</v>
      </c>
      <c r="AM63" s="188">
        <v>0</v>
      </c>
    </row>
    <row r="64" spans="1:39">
      <c r="A64" s="188" t="s">
        <v>277</v>
      </c>
      <c r="B64" s="188">
        <v>0</v>
      </c>
      <c r="C64" s="188">
        <v>-608145520.10000002</v>
      </c>
      <c r="D64" s="188">
        <v>0</v>
      </c>
      <c r="E64" s="188">
        <v>-261546190.62</v>
      </c>
      <c r="F64" s="188">
        <v>0</v>
      </c>
      <c r="G64" s="188">
        <v>-239626669.81999999</v>
      </c>
      <c r="H64" s="188">
        <v>0</v>
      </c>
      <c r="I64" s="188">
        <v>-37426207.079999998</v>
      </c>
      <c r="J64" s="188">
        <v>0</v>
      </c>
      <c r="K64" s="188">
        <v>-197533350.91</v>
      </c>
      <c r="L64" s="188">
        <v>0</v>
      </c>
      <c r="M64" s="188">
        <v>-374279594.12</v>
      </c>
      <c r="N64" s="188">
        <v>0</v>
      </c>
      <c r="O64" s="188">
        <v>-117687304.78</v>
      </c>
      <c r="P64" s="188">
        <v>0</v>
      </c>
      <c r="Q64" s="188">
        <v>-92108631.390000001</v>
      </c>
      <c r="R64" s="188">
        <v>0</v>
      </c>
      <c r="S64" s="188">
        <v>-131954658.19</v>
      </c>
      <c r="T64" s="188">
        <v>0</v>
      </c>
      <c r="U64" s="188">
        <v>-167662366.91999999</v>
      </c>
      <c r="V64" s="188">
        <v>0</v>
      </c>
      <c r="W64" s="188">
        <v>-84459590.680000007</v>
      </c>
      <c r="X64" s="188">
        <v>0</v>
      </c>
      <c r="Y64" s="188">
        <v>-15018422.779999999</v>
      </c>
      <c r="Z64" s="188">
        <v>0</v>
      </c>
      <c r="AA64" s="188">
        <v>36827.25</v>
      </c>
      <c r="AB64" s="188">
        <v>0</v>
      </c>
      <c r="AC64" s="188">
        <v>-77296112.540000007</v>
      </c>
      <c r="AD64" s="188">
        <v>0</v>
      </c>
      <c r="AE64" s="188">
        <v>-71835987.390000001</v>
      </c>
      <c r="AF64" s="188">
        <v>0</v>
      </c>
      <c r="AG64" s="188">
        <v>-28724504.68</v>
      </c>
      <c r="AH64" s="188">
        <v>0</v>
      </c>
      <c r="AI64" s="188">
        <v>-23967120.079999998</v>
      </c>
      <c r="AJ64" s="188">
        <v>0</v>
      </c>
      <c r="AK64" s="188">
        <v>-65982424.57</v>
      </c>
      <c r="AL64" s="188">
        <v>-26360575.379999999</v>
      </c>
      <c r="AM64" s="188">
        <v>0</v>
      </c>
    </row>
    <row r="65" spans="1:39">
      <c r="A65" s="188" t="s">
        <v>278</v>
      </c>
      <c r="B65" s="188">
        <v>0</v>
      </c>
      <c r="C65" s="188">
        <v>299043276.44</v>
      </c>
      <c r="D65" s="188">
        <v>0</v>
      </c>
      <c r="E65" s="188">
        <v>37018796.710000001</v>
      </c>
      <c r="F65" s="188">
        <v>0</v>
      </c>
      <c r="G65" s="188">
        <v>52897992.869999997</v>
      </c>
      <c r="H65" s="188">
        <v>0</v>
      </c>
      <c r="I65" s="188">
        <v>80293544.140000001</v>
      </c>
      <c r="J65" s="188">
        <v>0</v>
      </c>
      <c r="K65" s="188">
        <v>49062540.950000003</v>
      </c>
      <c r="L65" s="188">
        <v>0</v>
      </c>
      <c r="M65" s="188">
        <v>212895541.49000001</v>
      </c>
      <c r="N65" s="188">
        <v>0</v>
      </c>
      <c r="O65" s="188">
        <v>-36438456.280000001</v>
      </c>
      <c r="P65" s="188">
        <v>0</v>
      </c>
      <c r="Q65" s="188">
        <v>27393124.190000001</v>
      </c>
      <c r="R65" s="188">
        <v>0</v>
      </c>
      <c r="S65" s="188">
        <v>56087564.520000003</v>
      </c>
      <c r="T65" s="188">
        <v>0</v>
      </c>
      <c r="U65" s="188">
        <v>183992086.53999999</v>
      </c>
      <c r="V65" s="188">
        <v>0</v>
      </c>
      <c r="W65" s="188">
        <v>149871957.38</v>
      </c>
      <c r="X65" s="188">
        <v>0</v>
      </c>
      <c r="Y65" s="188">
        <v>45970952.880000003</v>
      </c>
      <c r="Z65" s="188">
        <v>0</v>
      </c>
      <c r="AA65" s="188">
        <v>12888792.300000001</v>
      </c>
      <c r="AB65" s="188">
        <v>0</v>
      </c>
      <c r="AC65" s="188">
        <v>17183435.52</v>
      </c>
      <c r="AD65" s="188">
        <v>0</v>
      </c>
      <c r="AE65" s="188">
        <v>11305448.279999999</v>
      </c>
      <c r="AF65" s="188">
        <v>0</v>
      </c>
      <c r="AG65" s="188">
        <v>-31510312.550000001</v>
      </c>
      <c r="AH65" s="188">
        <v>0</v>
      </c>
      <c r="AI65" s="188">
        <v>8056242.5099999998</v>
      </c>
      <c r="AJ65" s="188">
        <v>0</v>
      </c>
      <c r="AK65" s="188">
        <v>105658274.40000001</v>
      </c>
      <c r="AL65" s="188">
        <v>-14256621.18</v>
      </c>
      <c r="AM65" s="188">
        <v>0</v>
      </c>
    </row>
    <row r="66" spans="1:39">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row>
    <row r="67" spans="1:39">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row>
    <row r="68" spans="1:39">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row>
    <row r="69" spans="1:39">
      <c r="A69" s="188" t="s">
        <v>282</v>
      </c>
      <c r="B69" s="188">
        <v>0</v>
      </c>
      <c r="C69" s="188">
        <v>341205476.06</v>
      </c>
      <c r="D69" s="188">
        <v>0</v>
      </c>
      <c r="E69" s="188">
        <v>198883096.36000001</v>
      </c>
      <c r="F69" s="188">
        <v>0</v>
      </c>
      <c r="G69" s="188">
        <v>44438358.880000003</v>
      </c>
      <c r="H69" s="188">
        <v>0</v>
      </c>
      <c r="I69" s="188">
        <v>713769227.51999998</v>
      </c>
      <c r="J69" s="188">
        <v>0</v>
      </c>
      <c r="K69" s="188">
        <v>227732115.94999999</v>
      </c>
      <c r="L69" s="188">
        <v>0</v>
      </c>
      <c r="M69" s="188">
        <v>476859520.26999998</v>
      </c>
      <c r="N69" s="188">
        <v>0</v>
      </c>
      <c r="O69" s="188">
        <v>78091725.540000007</v>
      </c>
      <c r="P69" s="188">
        <v>0</v>
      </c>
      <c r="Q69" s="188">
        <v>245450357.61000001</v>
      </c>
      <c r="R69" s="188">
        <v>0</v>
      </c>
      <c r="S69" s="188">
        <v>32368925.59</v>
      </c>
      <c r="T69" s="188">
        <v>0</v>
      </c>
      <c r="U69" s="188">
        <v>70701834.230000004</v>
      </c>
      <c r="V69" s="188">
        <v>0</v>
      </c>
      <c r="W69" s="188">
        <v>99471671.659999996</v>
      </c>
      <c r="X69" s="188">
        <v>0</v>
      </c>
      <c r="Y69" s="188">
        <v>83007647.939999998</v>
      </c>
      <c r="Z69" s="188">
        <v>0</v>
      </c>
      <c r="AA69" s="188">
        <v>14656309.34</v>
      </c>
      <c r="AB69" s="188">
        <v>0</v>
      </c>
      <c r="AC69" s="188">
        <v>51143961.969999999</v>
      </c>
      <c r="AD69" s="188">
        <v>0</v>
      </c>
      <c r="AE69" s="188">
        <v>10692150.619999999</v>
      </c>
      <c r="AF69" s="188">
        <v>0</v>
      </c>
      <c r="AG69" s="188">
        <v>96173109.579999998</v>
      </c>
      <c r="AH69" s="188">
        <v>0</v>
      </c>
      <c r="AI69" s="188">
        <v>39395158.75</v>
      </c>
      <c r="AJ69" s="188">
        <v>0</v>
      </c>
      <c r="AK69" s="188">
        <v>125630713.22</v>
      </c>
      <c r="AL69" s="188">
        <v>14103428.619999999</v>
      </c>
      <c r="AM69" s="188">
        <v>0</v>
      </c>
    </row>
    <row r="70" spans="1:39">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row>
    <row r="71" spans="1:39">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row>
    <row r="72" spans="1:39">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row>
    <row r="73" spans="1:39">
      <c r="A73" s="188" t="s">
        <v>286</v>
      </c>
      <c r="B73" s="188">
        <v>0</v>
      </c>
      <c r="C73" s="188">
        <v>2755889351.9899998</v>
      </c>
      <c r="D73" s="188">
        <v>0</v>
      </c>
      <c r="E73" s="188">
        <v>434775438.95999998</v>
      </c>
      <c r="F73" s="188">
        <v>0</v>
      </c>
      <c r="G73" s="188">
        <v>580876980.60000002</v>
      </c>
      <c r="H73" s="188">
        <v>0</v>
      </c>
      <c r="I73" s="188">
        <v>489200267.25999999</v>
      </c>
      <c r="J73" s="188">
        <v>0</v>
      </c>
      <c r="K73" s="188">
        <v>344525848.36000001</v>
      </c>
      <c r="L73" s="188">
        <v>0</v>
      </c>
      <c r="M73" s="188">
        <v>511880663.69</v>
      </c>
      <c r="N73" s="188">
        <v>0</v>
      </c>
      <c r="O73" s="188">
        <v>158318118.84</v>
      </c>
      <c r="P73" s="188">
        <v>0</v>
      </c>
      <c r="Q73" s="188">
        <v>257822625.47</v>
      </c>
      <c r="R73" s="188">
        <v>0</v>
      </c>
      <c r="S73" s="188">
        <v>60418888.68</v>
      </c>
      <c r="T73" s="188">
        <v>0</v>
      </c>
      <c r="U73" s="188">
        <v>81314228.890000001</v>
      </c>
      <c r="V73" s="188">
        <v>0</v>
      </c>
      <c r="W73" s="188">
        <v>395385802.33999997</v>
      </c>
      <c r="X73" s="188">
        <v>0</v>
      </c>
      <c r="Y73" s="188">
        <v>444548631.75</v>
      </c>
      <c r="Z73" s="188">
        <v>0</v>
      </c>
      <c r="AA73" s="188">
        <v>448243718.80000001</v>
      </c>
      <c r="AB73" s="188">
        <v>0</v>
      </c>
      <c r="AC73" s="188">
        <v>543271781.39999998</v>
      </c>
      <c r="AD73" s="188">
        <v>0</v>
      </c>
      <c r="AE73" s="188">
        <v>40655462.060000002</v>
      </c>
      <c r="AF73" s="188">
        <v>0</v>
      </c>
      <c r="AG73" s="188">
        <v>68665002.180000007</v>
      </c>
      <c r="AH73" s="188">
        <v>0</v>
      </c>
      <c r="AI73" s="188">
        <v>83503381.510000005</v>
      </c>
      <c r="AJ73" s="188">
        <v>0</v>
      </c>
      <c r="AK73" s="188">
        <v>51086295.049999997</v>
      </c>
      <c r="AL73" s="188">
        <v>15309246.810000001</v>
      </c>
      <c r="AM73" s="188">
        <v>0</v>
      </c>
    </row>
    <row r="74" spans="1:39">
      <c r="A74" s="188" t="s">
        <v>287</v>
      </c>
      <c r="B74" s="188">
        <v>0</v>
      </c>
      <c r="C74" s="188">
        <v>434775438.95999998</v>
      </c>
      <c r="D74" s="188">
        <v>0</v>
      </c>
      <c r="E74" s="188">
        <v>489200267.25999999</v>
      </c>
      <c r="F74" s="188">
        <v>0</v>
      </c>
      <c r="G74" s="188">
        <v>489200267.25999999</v>
      </c>
      <c r="H74" s="188">
        <v>0</v>
      </c>
      <c r="I74" s="188">
        <v>511880663.69</v>
      </c>
      <c r="J74" s="188">
        <v>0</v>
      </c>
      <c r="K74" s="188">
        <v>511880663.69</v>
      </c>
      <c r="L74" s="188">
        <v>0</v>
      </c>
      <c r="M74" s="188">
        <v>257822625.47</v>
      </c>
      <c r="N74" s="188">
        <v>0</v>
      </c>
      <c r="O74" s="188">
        <v>257822625.47</v>
      </c>
      <c r="P74" s="188">
        <v>0</v>
      </c>
      <c r="Q74" s="188">
        <v>81314228.890000001</v>
      </c>
      <c r="R74" s="188">
        <v>0</v>
      </c>
      <c r="S74" s="188">
        <v>81314228.890000001</v>
      </c>
      <c r="T74" s="188">
        <v>0</v>
      </c>
      <c r="U74" s="188">
        <v>444548631.75</v>
      </c>
      <c r="V74" s="188">
        <v>0</v>
      </c>
      <c r="W74" s="188">
        <v>446558631.75</v>
      </c>
      <c r="X74" s="188">
        <v>0</v>
      </c>
      <c r="Y74" s="188">
        <v>543271781.39999998</v>
      </c>
      <c r="Z74" s="188">
        <v>0</v>
      </c>
      <c r="AA74" s="188">
        <v>543271781.39999998</v>
      </c>
      <c r="AB74" s="188">
        <v>0</v>
      </c>
      <c r="AC74" s="188">
        <v>68665002.180000007</v>
      </c>
      <c r="AD74" s="188">
        <v>0</v>
      </c>
      <c r="AE74" s="188">
        <v>68665002.180000007</v>
      </c>
      <c r="AF74" s="188">
        <v>0</v>
      </c>
      <c r="AG74" s="188">
        <v>51086295.049999997</v>
      </c>
      <c r="AH74" s="188">
        <v>0</v>
      </c>
      <c r="AI74" s="188">
        <v>51086295.049999997</v>
      </c>
      <c r="AJ74" s="188">
        <v>0</v>
      </c>
      <c r="AK74" s="188">
        <v>15309246.810000001</v>
      </c>
      <c r="AL74" s="188">
        <v>41969029.869999997</v>
      </c>
      <c r="AM74" s="188">
        <v>0</v>
      </c>
    </row>
    <row r="75" spans="1:39">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row>
    <row r="76" spans="1:39">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row>
    <row r="77" spans="1:39">
      <c r="A77" s="188" t="s">
        <v>290</v>
      </c>
      <c r="B77" s="188">
        <v>0</v>
      </c>
      <c r="C77" s="188">
        <v>2321113913.0300002</v>
      </c>
      <c r="D77" s="188">
        <v>0</v>
      </c>
      <c r="E77" s="188">
        <v>-54424828.299999997</v>
      </c>
      <c r="F77" s="188">
        <v>0</v>
      </c>
      <c r="G77" s="188">
        <v>91676713.340000004</v>
      </c>
      <c r="H77" s="188">
        <v>0</v>
      </c>
      <c r="I77" s="188">
        <v>-22680396.43</v>
      </c>
      <c r="J77" s="188">
        <v>0</v>
      </c>
      <c r="K77" s="188">
        <v>-167354815.33000001</v>
      </c>
      <c r="L77" s="188">
        <v>0</v>
      </c>
      <c r="M77" s="188">
        <v>254058038.22</v>
      </c>
      <c r="N77" s="188">
        <v>0</v>
      </c>
      <c r="O77" s="188">
        <v>-99504506.629999995</v>
      </c>
      <c r="P77" s="188">
        <v>0</v>
      </c>
      <c r="Q77" s="188">
        <v>176508396.58000001</v>
      </c>
      <c r="R77" s="188">
        <v>0</v>
      </c>
      <c r="S77" s="188">
        <v>-20895340.210000001</v>
      </c>
      <c r="T77" s="188">
        <v>0</v>
      </c>
      <c r="U77" s="188">
        <v>-363234402.86000001</v>
      </c>
      <c r="V77" s="188">
        <v>0</v>
      </c>
      <c r="W77" s="188">
        <v>-51172829.409999996</v>
      </c>
      <c r="X77" s="188">
        <v>0</v>
      </c>
      <c r="Y77" s="188">
        <v>-98723149.650000006</v>
      </c>
      <c r="Z77" s="188">
        <v>0</v>
      </c>
      <c r="AA77" s="188">
        <v>-95028062.599999994</v>
      </c>
      <c r="AB77" s="188">
        <v>0</v>
      </c>
      <c r="AC77" s="188">
        <v>474606779.22000003</v>
      </c>
      <c r="AD77" s="188">
        <v>0</v>
      </c>
      <c r="AE77" s="188">
        <v>-28009540.120000001</v>
      </c>
      <c r="AF77" s="188">
        <v>0</v>
      </c>
      <c r="AG77" s="188">
        <v>17578707.129999999</v>
      </c>
      <c r="AH77" s="188">
        <v>0</v>
      </c>
      <c r="AI77" s="188">
        <v>32417086.460000001</v>
      </c>
      <c r="AJ77" s="188">
        <v>0</v>
      </c>
      <c r="AK77" s="188">
        <v>35777048.240000002</v>
      </c>
      <c r="AL77" s="188">
        <v>-26659783.059999999</v>
      </c>
      <c r="AM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1.875" style="17" bestFit="1" customWidth="1"/>
    <col min="2" max="4" width="20.5" hidden="1" customWidth="1"/>
    <col min="5" max="5" width="19.5" bestFit="1" customWidth="1"/>
    <col min="6" max="8" width="19.5" hidden="1" customWidth="1"/>
    <col min="9" max="9" width="19.5" bestFit="1" customWidth="1"/>
    <col min="10" max="12" width="19.5" hidden="1" customWidth="1"/>
    <col min="13" max="13" width="19.5" bestFit="1" customWidth="1"/>
    <col min="14" max="16" width="19.5" hidden="1" customWidth="1"/>
    <col min="17" max="17" width="19.375" bestFit="1" customWidth="1"/>
    <col min="18" max="20" width="19.375" hidden="1" customWidth="1"/>
    <col min="21" max="21" width="19.375" bestFit="1" customWidth="1"/>
    <col min="22" max="23" width="19.375" hidden="1" customWidth="1"/>
    <col min="24" max="24" width="19.5" hidden="1" customWidth="1"/>
    <col min="25" max="25" width="19.375" bestFit="1" customWidth="1"/>
    <col min="26" max="28" width="19.375" hidden="1" customWidth="1"/>
    <col min="29" max="29" width="19.375" bestFit="1" customWidth="1"/>
    <col min="30" max="30" width="19.375" hidden="1" customWidth="1"/>
    <col min="31" max="32" width="19.5" hidden="1" customWidth="1"/>
    <col min="33" max="35" width="19.5" bestFit="1" customWidth="1"/>
    <col min="36" max="36" width="9.5" hidden="1" customWidth="1"/>
    <col min="37" max="39" width="20.5" bestFit="1" customWidth="1"/>
    <col min="40" max="75" width="19.375" bestFit="1" customWidth="1"/>
    <col min="76"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ht="14.45">
      <c r="A1" s="41">
        <v>2602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20091231</v>
      </c>
      <c r="AI1" s="188">
        <v>20081231</v>
      </c>
      <c r="AJ1" s="188">
        <v>19700101</v>
      </c>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8">
        <v>3020687859.5700002</v>
      </c>
      <c r="C4" s="188">
        <v>3282938514.5300002</v>
      </c>
      <c r="D4" s="188">
        <v>3041930554.29</v>
      </c>
      <c r="E4" s="188">
        <v>481128456.18000001</v>
      </c>
      <c r="F4" s="188">
        <v>751423458.69000006</v>
      </c>
      <c r="G4" s="188">
        <v>708006214.20000005</v>
      </c>
      <c r="H4" s="188">
        <v>577252247.96000004</v>
      </c>
      <c r="I4" s="188">
        <v>567009068.22000003</v>
      </c>
      <c r="J4" s="188">
        <v>429597461.94999999</v>
      </c>
      <c r="K4" s="188">
        <v>380946066.27999997</v>
      </c>
      <c r="L4" s="188">
        <v>406594807.25999999</v>
      </c>
      <c r="M4" s="188">
        <v>532931549.04000002</v>
      </c>
      <c r="N4" s="188">
        <v>392312468.94</v>
      </c>
      <c r="O4" s="188">
        <v>182554966.77000001</v>
      </c>
      <c r="P4" s="188">
        <v>277378734.86000001</v>
      </c>
      <c r="Q4" s="188">
        <v>289352955</v>
      </c>
      <c r="R4" s="188">
        <v>228581798.34999999</v>
      </c>
      <c r="S4" s="188">
        <v>76264788.909999996</v>
      </c>
      <c r="T4" s="188">
        <v>81609545.260000005</v>
      </c>
      <c r="U4" s="188">
        <v>117019801.84</v>
      </c>
      <c r="V4" s="188">
        <v>288407000.22000003</v>
      </c>
      <c r="W4" s="188">
        <v>395385802.33999997</v>
      </c>
      <c r="X4" s="188">
        <v>415229005.37</v>
      </c>
      <c r="Y4" s="188">
        <v>446558631.75</v>
      </c>
      <c r="Z4" s="188">
        <v>445462625.06999999</v>
      </c>
      <c r="AA4" s="188">
        <v>448243718.80000001</v>
      </c>
      <c r="AB4" s="188">
        <v>475663134.92000002</v>
      </c>
      <c r="AC4" s="188">
        <v>543271781.39999998</v>
      </c>
      <c r="AD4" s="188">
        <v>583991549.62</v>
      </c>
      <c r="AE4" s="188">
        <v>61509212.060000002</v>
      </c>
      <c r="AF4" s="188">
        <v>71515655.140000001</v>
      </c>
      <c r="AG4" s="188">
        <v>80573415.659999996</v>
      </c>
      <c r="AH4" s="188">
        <v>55436295.049999997</v>
      </c>
      <c r="AI4" s="188">
        <v>17079246.809999999</v>
      </c>
      <c r="AJ4" s="188">
        <v>0</v>
      </c>
      <c r="AK4" s="188"/>
      <c r="AL4" s="188"/>
      <c r="AM4" s="188"/>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c r="AL5" s="188"/>
      <c r="AM5" s="188"/>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c r="A6" s="17" t="s">
        <v>13</v>
      </c>
      <c r="B6" s="188">
        <v>21500000</v>
      </c>
      <c r="C6" s="188">
        <v>21500000</v>
      </c>
      <c r="D6" s="188">
        <v>0</v>
      </c>
      <c r="E6" s="188">
        <v>10270961.24</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c r="AL6" s="188"/>
      <c r="AM6" s="188"/>
      <c r="AN6" s="188"/>
      <c r="AO6" s="188"/>
      <c r="AP6" s="188"/>
      <c r="AQ6" s="188"/>
      <c r="AR6" s="188"/>
      <c r="AS6" s="188"/>
      <c r="AT6" s="188"/>
      <c r="AU6" s="188"/>
      <c r="AV6" s="188"/>
      <c r="AW6" s="188"/>
      <c r="AX6" s="188"/>
      <c r="AY6" s="188"/>
      <c r="AZ6" s="188"/>
      <c r="BA6" s="188"/>
      <c r="BB6" s="188"/>
      <c r="BC6" s="188"/>
      <c r="BD6" s="188"/>
      <c r="BE6" s="188"/>
      <c r="BF6" s="188"/>
      <c r="BG6" s="188"/>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c r="AL7" s="188"/>
      <c r="AM7" s="188"/>
      <c r="AN7" s="188"/>
      <c r="AO7" s="188"/>
      <c r="AP7" s="188"/>
      <c r="AQ7" s="188"/>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c r="A8" s="17" t="s">
        <v>5</v>
      </c>
      <c r="B8" s="188">
        <v>526110372.89999998</v>
      </c>
      <c r="C8" s="188">
        <v>380294533.20999998</v>
      </c>
      <c r="D8" s="188">
        <v>495656793.67000002</v>
      </c>
      <c r="E8" s="188">
        <v>431548293.67000002</v>
      </c>
      <c r="F8" s="188">
        <v>415325000</v>
      </c>
      <c r="G8" s="188">
        <v>333325000</v>
      </c>
      <c r="H8" s="188">
        <v>274750000</v>
      </c>
      <c r="I8" s="188">
        <v>231150000</v>
      </c>
      <c r="J8" s="188">
        <v>207100000</v>
      </c>
      <c r="K8" s="188">
        <v>177100000</v>
      </c>
      <c r="L8" s="188">
        <v>31150000</v>
      </c>
      <c r="M8" s="188">
        <v>13150000</v>
      </c>
      <c r="N8" s="188">
        <v>11400000</v>
      </c>
      <c r="O8" s="188">
        <v>9900000</v>
      </c>
      <c r="P8" s="188">
        <v>9900000</v>
      </c>
      <c r="Q8" s="188">
        <v>6800000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c r="A11" s="17" t="s">
        <v>8</v>
      </c>
      <c r="B11" s="188">
        <v>0</v>
      </c>
      <c r="C11" s="188">
        <v>0</v>
      </c>
      <c r="D11" s="188">
        <v>73751671.209999993</v>
      </c>
      <c r="E11" s="188">
        <v>88751671.209999993</v>
      </c>
      <c r="F11" s="188">
        <v>73757719.840000004</v>
      </c>
      <c r="G11" s="188">
        <v>94000000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c r="A13" s="17" t="s">
        <v>10</v>
      </c>
      <c r="B13" s="188">
        <v>0</v>
      </c>
      <c r="C13" s="188">
        <v>1101526.27</v>
      </c>
      <c r="D13" s="188">
        <v>877021.17</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0" t="s">
        <v>11</v>
      </c>
      <c r="B17" s="33">
        <f>SUM(B4:B13)</f>
        <v>3568298232.4700003</v>
      </c>
      <c r="C17" s="33">
        <f t="shared" ref="C17:BN17" si="0">SUM(C4:C13)</f>
        <v>3685834574.0100002</v>
      </c>
      <c r="D17" s="33">
        <f t="shared" si="0"/>
        <v>3612216040.3400002</v>
      </c>
      <c r="E17" s="33">
        <f t="shared" si="0"/>
        <v>1011699382.3000001</v>
      </c>
      <c r="F17" s="33">
        <f t="shared" si="0"/>
        <v>1240506178.53</v>
      </c>
      <c r="G17" s="33">
        <f t="shared" si="0"/>
        <v>1135331214.2</v>
      </c>
      <c r="H17" s="33">
        <f t="shared" si="0"/>
        <v>852002247.96000004</v>
      </c>
      <c r="I17" s="33">
        <f t="shared" si="0"/>
        <v>798159068.22000003</v>
      </c>
      <c r="J17" s="33">
        <f t="shared" si="0"/>
        <v>636697461.95000005</v>
      </c>
      <c r="K17" s="33">
        <f t="shared" si="0"/>
        <v>558046066.27999997</v>
      </c>
      <c r="L17" s="33">
        <f t="shared" si="0"/>
        <v>437744807.25999999</v>
      </c>
      <c r="M17" s="33">
        <f t="shared" si="0"/>
        <v>546081549.03999996</v>
      </c>
      <c r="N17" s="33">
        <f t="shared" si="0"/>
        <v>403712468.94</v>
      </c>
      <c r="O17" s="33">
        <f t="shared" si="0"/>
        <v>192454966.77000001</v>
      </c>
      <c r="P17" s="33">
        <f t="shared" si="0"/>
        <v>287278734.86000001</v>
      </c>
      <c r="Q17" s="33">
        <f t="shared" si="0"/>
        <v>296152955</v>
      </c>
      <c r="R17" s="33">
        <f t="shared" si="0"/>
        <v>228581798.34999999</v>
      </c>
      <c r="S17" s="33">
        <f t="shared" si="0"/>
        <v>76264788.909999996</v>
      </c>
      <c r="T17" s="33">
        <f t="shared" si="0"/>
        <v>81609545.260000005</v>
      </c>
      <c r="U17" s="33">
        <f t="shared" si="0"/>
        <v>117019801.84</v>
      </c>
      <c r="V17" s="33">
        <f t="shared" si="0"/>
        <v>288407000.22000003</v>
      </c>
      <c r="W17" s="33">
        <f t="shared" si="0"/>
        <v>395385802.33999997</v>
      </c>
      <c r="X17" s="33">
        <f t="shared" si="0"/>
        <v>415229005.37</v>
      </c>
      <c r="Y17" s="33">
        <f t="shared" si="0"/>
        <v>446558631.75</v>
      </c>
      <c r="Z17" s="33">
        <f t="shared" si="0"/>
        <v>445462625.06999999</v>
      </c>
      <c r="AA17" s="33">
        <f t="shared" si="0"/>
        <v>448243718.80000001</v>
      </c>
      <c r="AB17" s="33">
        <f t="shared" si="0"/>
        <v>475663134.92000002</v>
      </c>
      <c r="AC17" s="33">
        <f t="shared" si="0"/>
        <v>543271781.39999998</v>
      </c>
      <c r="AD17" s="33">
        <f t="shared" si="0"/>
        <v>583991549.62</v>
      </c>
      <c r="AE17" s="33">
        <f t="shared" si="0"/>
        <v>61509212.060000002</v>
      </c>
      <c r="AF17" s="33">
        <f t="shared" si="0"/>
        <v>71515655.140000001</v>
      </c>
      <c r="AG17" s="33">
        <f t="shared" si="0"/>
        <v>80573415.659999996</v>
      </c>
      <c r="AH17" s="33">
        <f t="shared" si="0"/>
        <v>55436295.049999997</v>
      </c>
      <c r="AI17" s="33">
        <f t="shared" si="0"/>
        <v>17079246.809999999</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1" t="s">
        <v>79</v>
      </c>
      <c r="B18" s="34"/>
      <c r="C18" s="34"/>
      <c r="D18" s="34"/>
      <c r="E18" s="34"/>
      <c r="F18" s="34"/>
      <c r="G18" s="34"/>
      <c r="H18" s="34"/>
      <c r="I18" s="34"/>
      <c r="J18" s="34"/>
      <c r="K18" s="34"/>
      <c r="L18" s="32"/>
      <c r="M18" s="14"/>
      <c r="N18" s="14"/>
    </row>
    <row r="19" spans="1:90" s="5" customFormat="1">
      <c r="A19" s="120" t="s">
        <v>78</v>
      </c>
      <c r="B19" s="188">
        <v>200616476.50999999</v>
      </c>
      <c r="C19" s="188">
        <v>136602008.19</v>
      </c>
      <c r="D19" s="188">
        <v>205033933.12</v>
      </c>
      <c r="E19" s="188">
        <v>127485626.63</v>
      </c>
      <c r="F19" s="188">
        <v>77180105.909999996</v>
      </c>
      <c r="G19" s="188">
        <v>71112323.189999998</v>
      </c>
      <c r="H19" s="188">
        <v>41882391.369999997</v>
      </c>
      <c r="I19" s="188">
        <v>59432815.659999996</v>
      </c>
      <c r="J19" s="188">
        <v>17688723.84</v>
      </c>
      <c r="K19" s="188">
        <v>17688723.84</v>
      </c>
      <c r="L19" s="188">
        <v>154000000</v>
      </c>
      <c r="M19" s="188">
        <v>0</v>
      </c>
      <c r="N19" s="188">
        <v>0</v>
      </c>
      <c r="O19" s="188">
        <v>0</v>
      </c>
      <c r="P19" s="188">
        <v>0</v>
      </c>
      <c r="Q19" s="188">
        <v>0</v>
      </c>
      <c r="R19" s="188">
        <v>6800000</v>
      </c>
      <c r="S19" s="188">
        <v>0</v>
      </c>
      <c r="T19" s="188">
        <v>0</v>
      </c>
      <c r="U19" s="188">
        <v>0</v>
      </c>
      <c r="V19" s="188">
        <v>0</v>
      </c>
      <c r="W19" s="188">
        <v>0</v>
      </c>
      <c r="X19" s="188">
        <v>0</v>
      </c>
      <c r="Y19" s="188">
        <v>0</v>
      </c>
      <c r="Z19" s="188">
        <v>10793820.49</v>
      </c>
      <c r="AA19" s="188">
        <v>10161954.15</v>
      </c>
      <c r="AB19" s="188">
        <v>11637847.42</v>
      </c>
      <c r="AC19" s="188">
        <v>10882081.48</v>
      </c>
      <c r="AD19" s="188">
        <v>9955446.0600000005</v>
      </c>
      <c r="AE19" s="188">
        <v>9611004.1699999999</v>
      </c>
      <c r="AF19" s="188">
        <v>9039649.9900000002</v>
      </c>
      <c r="AG19" s="188">
        <v>8296076.1100000003</v>
      </c>
      <c r="AH19" s="188">
        <v>5524269.5</v>
      </c>
      <c r="AI19" s="188">
        <v>0</v>
      </c>
      <c r="AJ19" s="188">
        <v>0</v>
      </c>
      <c r="AK19" s="188"/>
      <c r="AL19" s="188"/>
      <c r="AM19" s="188"/>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8">
        <v>420252926.75</v>
      </c>
      <c r="C22" s="188">
        <v>334834109.93000001</v>
      </c>
      <c r="D22" s="188">
        <v>366428993.47000003</v>
      </c>
      <c r="E22" s="188">
        <v>334284367.25999999</v>
      </c>
      <c r="F22" s="188">
        <v>349412919.16000003</v>
      </c>
      <c r="G22" s="188">
        <v>324076355.58999997</v>
      </c>
      <c r="H22" s="188">
        <v>318123530.88</v>
      </c>
      <c r="I22" s="188">
        <v>258672033.36000001</v>
      </c>
      <c r="J22" s="188">
        <v>346907091.43000001</v>
      </c>
      <c r="K22" s="188">
        <v>342763564.54000002</v>
      </c>
      <c r="L22" s="188">
        <v>223121141.13999999</v>
      </c>
      <c r="M22" s="188">
        <v>220377606.75</v>
      </c>
      <c r="N22" s="188">
        <v>174017939.71000001</v>
      </c>
      <c r="O22" s="188">
        <v>128159625.53</v>
      </c>
      <c r="P22" s="188">
        <v>140851254.58000001</v>
      </c>
      <c r="Q22" s="188">
        <v>123076303.98</v>
      </c>
      <c r="R22" s="188">
        <v>120773159.01000001</v>
      </c>
      <c r="S22" s="188">
        <v>137764604.19</v>
      </c>
      <c r="T22" s="188">
        <v>168526468.13</v>
      </c>
      <c r="U22" s="188">
        <v>129905834.78</v>
      </c>
      <c r="V22" s="188">
        <v>92012403.010000005</v>
      </c>
      <c r="W22" s="188">
        <v>68310936.540000007</v>
      </c>
      <c r="X22" s="188">
        <v>39988570.32</v>
      </c>
      <c r="Y22" s="188">
        <v>51109032.579999998</v>
      </c>
      <c r="Z22" s="188">
        <v>35903495.109999999</v>
      </c>
      <c r="AA22" s="188">
        <v>12905106.49</v>
      </c>
      <c r="AB22" s="188">
        <v>8505971.7300000004</v>
      </c>
      <c r="AC22" s="188">
        <v>27385132.170000002</v>
      </c>
      <c r="AD22" s="188">
        <v>24127772.25</v>
      </c>
      <c r="AE22" s="188">
        <v>8456550.9499999993</v>
      </c>
      <c r="AF22" s="188">
        <v>16797733.16</v>
      </c>
      <c r="AG22" s="188">
        <v>5128117</v>
      </c>
      <c r="AH22" s="188">
        <v>15677000</v>
      </c>
      <c r="AI22" s="188">
        <v>14578432</v>
      </c>
      <c r="AJ22" s="188">
        <v>0</v>
      </c>
      <c r="AK22" s="188"/>
      <c r="AL22" s="188"/>
      <c r="AM22" s="188"/>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c r="A23" s="17" t="s">
        <v>15</v>
      </c>
      <c r="B23" s="188">
        <v>1281896501.4000001</v>
      </c>
      <c r="C23" s="188">
        <v>1421258727.0699999</v>
      </c>
      <c r="D23" s="188">
        <v>1175992988.54</v>
      </c>
      <c r="E23" s="188">
        <v>784501395.24000001</v>
      </c>
      <c r="F23" s="188">
        <v>664708942.33000004</v>
      </c>
      <c r="G23" s="188">
        <v>569250965.98000002</v>
      </c>
      <c r="H23" s="188">
        <v>651633273.22000003</v>
      </c>
      <c r="I23" s="188">
        <v>601784829.24000001</v>
      </c>
      <c r="J23" s="188">
        <v>646000396.51999998</v>
      </c>
      <c r="K23" s="188">
        <v>595095492.66999996</v>
      </c>
      <c r="L23" s="188">
        <v>658328071.97000003</v>
      </c>
      <c r="M23" s="188">
        <v>621165704.38</v>
      </c>
      <c r="N23" s="188">
        <v>616672886.65999997</v>
      </c>
      <c r="O23" s="188">
        <v>527856304.77999997</v>
      </c>
      <c r="P23" s="188">
        <v>484188862.68000001</v>
      </c>
      <c r="Q23" s="188">
        <v>453525311.32999998</v>
      </c>
      <c r="R23" s="188">
        <v>385926879.38999999</v>
      </c>
      <c r="S23" s="188">
        <v>336441775.00999999</v>
      </c>
      <c r="T23" s="188">
        <v>318185572.13999999</v>
      </c>
      <c r="U23" s="188">
        <v>320598796.60000002</v>
      </c>
      <c r="V23" s="188">
        <v>294845107.22000003</v>
      </c>
      <c r="W23" s="188">
        <v>283736232.56999999</v>
      </c>
      <c r="X23" s="188">
        <v>261454601.63999999</v>
      </c>
      <c r="Y23" s="188">
        <v>254009575.75999999</v>
      </c>
      <c r="Z23" s="188">
        <v>242028796.78</v>
      </c>
      <c r="AA23" s="188">
        <v>249019659.22999999</v>
      </c>
      <c r="AB23" s="188">
        <v>258149554.09</v>
      </c>
      <c r="AC23" s="188">
        <v>252272064.47999999</v>
      </c>
      <c r="AD23" s="188">
        <v>239825913.99000001</v>
      </c>
      <c r="AE23" s="188">
        <v>259524802.11000001</v>
      </c>
      <c r="AF23" s="188">
        <v>219957283.72</v>
      </c>
      <c r="AG23" s="188">
        <v>206681611.46000001</v>
      </c>
      <c r="AH23" s="188">
        <v>169662465.16999999</v>
      </c>
      <c r="AI23" s="188">
        <v>108236756.84999999</v>
      </c>
      <c r="AJ23" s="188">
        <v>0</v>
      </c>
      <c r="AK23" s="188"/>
      <c r="AL23" s="188"/>
      <c r="AM23" s="188"/>
      <c r="AN23" s="188"/>
      <c r="AO23" s="188"/>
      <c r="AP23" s="188"/>
      <c r="AQ23" s="188"/>
      <c r="AR23" s="188"/>
      <c r="AS23" s="188"/>
      <c r="AT23" s="188"/>
      <c r="AU23" s="188"/>
      <c r="AV23" s="188"/>
      <c r="AW23" s="188"/>
      <c r="AX23" s="188"/>
      <c r="AY23" s="188"/>
      <c r="AZ23" s="188"/>
      <c r="BA23" s="188"/>
      <c r="BB23" s="188"/>
      <c r="BC23" s="188"/>
      <c r="BD23" s="188"/>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c r="A24" s="17" t="s">
        <v>16</v>
      </c>
      <c r="B24" s="188">
        <v>62380851.520000003</v>
      </c>
      <c r="C24" s="188">
        <v>53883098.5</v>
      </c>
      <c r="D24" s="188">
        <v>298396557.63</v>
      </c>
      <c r="E24" s="188">
        <v>54809865.060000002</v>
      </c>
      <c r="F24" s="188">
        <v>64123037.719999999</v>
      </c>
      <c r="G24" s="188">
        <v>52416057.890000001</v>
      </c>
      <c r="H24" s="188">
        <v>62855589.740000002</v>
      </c>
      <c r="I24" s="188">
        <v>18702777.579999998</v>
      </c>
      <c r="J24" s="188">
        <v>52097782.840000004</v>
      </c>
      <c r="K24" s="188">
        <v>50939192.740000002</v>
      </c>
      <c r="L24" s="188">
        <v>58160432.329999998</v>
      </c>
      <c r="M24" s="188">
        <v>22011286.859999999</v>
      </c>
      <c r="N24" s="188">
        <v>76655153.150000006</v>
      </c>
      <c r="O24" s="188">
        <v>79246364.569999993</v>
      </c>
      <c r="P24" s="188">
        <v>60454703.219999999</v>
      </c>
      <c r="Q24" s="188">
        <v>30514987.66</v>
      </c>
      <c r="R24" s="188">
        <v>53442317.450000003</v>
      </c>
      <c r="S24" s="188">
        <v>26172479.82</v>
      </c>
      <c r="T24" s="188">
        <v>17037443.190000001</v>
      </c>
      <c r="U24" s="188">
        <v>19683690.140000001</v>
      </c>
      <c r="V24" s="188">
        <v>29954108.359999999</v>
      </c>
      <c r="W24" s="188">
        <v>20858926.34</v>
      </c>
      <c r="X24" s="188">
        <v>13888845.130000001</v>
      </c>
      <c r="Y24" s="188">
        <v>11886743.68</v>
      </c>
      <c r="Z24" s="188">
        <v>50172713.590000004</v>
      </c>
      <c r="AA24" s="188">
        <v>60272263.530000001</v>
      </c>
      <c r="AB24" s="188">
        <v>52311140.32</v>
      </c>
      <c r="AC24" s="188">
        <v>28614641.300000001</v>
      </c>
      <c r="AD24" s="188">
        <v>22304773.27</v>
      </c>
      <c r="AE24" s="188">
        <v>22472662.27</v>
      </c>
      <c r="AF24" s="188">
        <v>30573634.23</v>
      </c>
      <c r="AG24" s="188">
        <v>12773456.609999999</v>
      </c>
      <c r="AH24" s="188">
        <v>4847257.83</v>
      </c>
      <c r="AI24" s="188">
        <v>6116355.25</v>
      </c>
      <c r="AJ24" s="188">
        <v>0</v>
      </c>
      <c r="AK24" s="188"/>
      <c r="AL24" s="188"/>
      <c r="AM24" s="188"/>
      <c r="AN24" s="188"/>
      <c r="AO24" s="188"/>
      <c r="AP24" s="188"/>
      <c r="AQ24" s="188"/>
      <c r="AR24" s="188"/>
      <c r="AS24" s="188"/>
      <c r="AT24" s="188"/>
      <c r="AU24" s="188"/>
      <c r="AV24" s="188"/>
      <c r="AW24" s="188"/>
      <c r="AX24" s="188"/>
      <c r="AY24" s="188"/>
      <c r="AZ24" s="188"/>
      <c r="BA24" s="188"/>
      <c r="BB24" s="188"/>
      <c r="BC24" s="188"/>
      <c r="BD24" s="188"/>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c r="A25" s="17" t="s">
        <v>17</v>
      </c>
      <c r="B25" s="188">
        <v>259423087.75</v>
      </c>
      <c r="C25" s="188">
        <v>353287511.17000002</v>
      </c>
      <c r="D25" s="188">
        <v>495293596.81999999</v>
      </c>
      <c r="E25" s="188">
        <v>15806292.68</v>
      </c>
      <c r="F25" s="188">
        <v>38711751.700000003</v>
      </c>
      <c r="G25" s="188">
        <v>275666953.37</v>
      </c>
      <c r="H25" s="188">
        <v>19572179.649999999</v>
      </c>
      <c r="I25" s="188">
        <v>18675703.699999999</v>
      </c>
      <c r="J25" s="188">
        <v>41705118.93</v>
      </c>
      <c r="K25" s="188">
        <v>61729067.299999997</v>
      </c>
      <c r="L25" s="188">
        <v>29619994.710000001</v>
      </c>
      <c r="M25" s="188">
        <v>54231344.210000001</v>
      </c>
      <c r="N25" s="188">
        <v>37356560.780000001</v>
      </c>
      <c r="O25" s="188">
        <v>37664423.899999999</v>
      </c>
      <c r="P25" s="188">
        <v>28754230.129999999</v>
      </c>
      <c r="Q25" s="188">
        <v>24606045.629999999</v>
      </c>
      <c r="R25" s="188">
        <v>43050640.090000004</v>
      </c>
      <c r="S25" s="188">
        <v>22989396.059999999</v>
      </c>
      <c r="T25" s="188">
        <v>25007392.390000001</v>
      </c>
      <c r="U25" s="188">
        <v>23639092.5</v>
      </c>
      <c r="V25" s="188">
        <v>2481272.0099999998</v>
      </c>
      <c r="W25" s="188">
        <v>20132043.73</v>
      </c>
      <c r="X25" s="188">
        <v>17179577.079999998</v>
      </c>
      <c r="Y25" s="188">
        <v>17095775.710000001</v>
      </c>
      <c r="Z25" s="188">
        <v>15582138.74</v>
      </c>
      <c r="AA25" s="188">
        <v>17334330.879999999</v>
      </c>
      <c r="AB25" s="188">
        <v>11473020.73</v>
      </c>
      <c r="AC25" s="188">
        <v>8465135.6999999993</v>
      </c>
      <c r="AD25" s="188">
        <v>4573486.24</v>
      </c>
      <c r="AE25" s="188">
        <v>3240659</v>
      </c>
      <c r="AF25" s="188">
        <v>942113.39</v>
      </c>
      <c r="AG25" s="188">
        <v>1166585.29</v>
      </c>
      <c r="AH25" s="188">
        <v>2810371.89</v>
      </c>
      <c r="AI25" s="188">
        <v>3737012.25</v>
      </c>
      <c r="AJ25" s="188">
        <v>0</v>
      </c>
      <c r="AK25" s="188"/>
      <c r="AL25" s="188"/>
      <c r="AM25" s="188"/>
      <c r="AN25" s="188"/>
      <c r="AO25" s="188"/>
      <c r="AP25" s="188"/>
      <c r="AQ25" s="188"/>
      <c r="AR25" s="188"/>
      <c r="AS25" s="188"/>
      <c r="AT25" s="188"/>
      <c r="AU25" s="188"/>
      <c r="AV25" s="188"/>
      <c r="AW25" s="18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c r="A26" s="17" t="s">
        <v>18</v>
      </c>
      <c r="B26" s="188">
        <v>507429508.02999997</v>
      </c>
      <c r="C26" s="188">
        <v>488594535.51999998</v>
      </c>
      <c r="D26" s="188">
        <v>549559433.70000005</v>
      </c>
      <c r="E26" s="188">
        <v>473892789.31</v>
      </c>
      <c r="F26" s="188">
        <v>456552265.89999998</v>
      </c>
      <c r="G26" s="188">
        <v>412339042.38</v>
      </c>
      <c r="H26" s="188">
        <v>421811947.35000002</v>
      </c>
      <c r="I26" s="188">
        <v>413438054.49000001</v>
      </c>
      <c r="J26" s="188">
        <v>373528309.89999998</v>
      </c>
      <c r="K26" s="188">
        <v>383396267.25999999</v>
      </c>
      <c r="L26" s="188">
        <v>414385138.33999997</v>
      </c>
      <c r="M26" s="188">
        <v>387825595.67000002</v>
      </c>
      <c r="N26" s="188">
        <v>400065338.60000002</v>
      </c>
      <c r="O26" s="188">
        <v>422988514.31</v>
      </c>
      <c r="P26" s="188">
        <v>426209760.06999999</v>
      </c>
      <c r="Q26" s="188">
        <v>430416835</v>
      </c>
      <c r="R26" s="188">
        <v>463533794.06999999</v>
      </c>
      <c r="S26" s="188">
        <v>411570866.14999998</v>
      </c>
      <c r="T26" s="188">
        <v>431272318.49000001</v>
      </c>
      <c r="U26" s="188">
        <v>412096972.68000001</v>
      </c>
      <c r="V26" s="188">
        <v>388557724.57999998</v>
      </c>
      <c r="W26" s="188">
        <v>347228318</v>
      </c>
      <c r="X26" s="188">
        <v>334163204.47000003</v>
      </c>
      <c r="Y26" s="188">
        <v>330013181.5</v>
      </c>
      <c r="Z26" s="188">
        <v>312122382.77999997</v>
      </c>
      <c r="AA26" s="188">
        <v>312611359.94</v>
      </c>
      <c r="AB26" s="188">
        <v>274100015.80000001</v>
      </c>
      <c r="AC26" s="188">
        <v>241106061.11000001</v>
      </c>
      <c r="AD26" s="188">
        <v>242359974.72999999</v>
      </c>
      <c r="AE26" s="188">
        <v>221608475.88999999</v>
      </c>
      <c r="AF26" s="188">
        <v>193280057.78</v>
      </c>
      <c r="AG26" s="188">
        <v>179425331.99000001</v>
      </c>
      <c r="AH26" s="188">
        <v>146823501.56</v>
      </c>
      <c r="AI26" s="188">
        <v>104262137.18000001</v>
      </c>
      <c r="AJ26" s="188">
        <v>0</v>
      </c>
      <c r="AK26" s="188"/>
      <c r="AL26" s="188"/>
      <c r="AM26" s="188"/>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c r="A27" s="17" t="s">
        <v>19</v>
      </c>
      <c r="B27" s="188">
        <v>716489113.33000004</v>
      </c>
      <c r="C27" s="188">
        <v>387218850.56</v>
      </c>
      <c r="D27" s="188">
        <v>67685939.230000004</v>
      </c>
      <c r="E27" s="188">
        <v>75883286.75</v>
      </c>
      <c r="F27" s="188">
        <v>47601261.950000003</v>
      </c>
      <c r="G27" s="188">
        <v>43526652.539999999</v>
      </c>
      <c r="H27" s="188">
        <v>68678961.209999993</v>
      </c>
      <c r="I27" s="188">
        <v>47827583.329999998</v>
      </c>
      <c r="J27" s="188">
        <v>26666684.719999999</v>
      </c>
      <c r="K27" s="188">
        <v>113144026.58</v>
      </c>
      <c r="L27" s="188">
        <v>21214072.25</v>
      </c>
      <c r="M27" s="188">
        <v>28725906.379999999</v>
      </c>
      <c r="N27" s="188">
        <v>31148357.989999998</v>
      </c>
      <c r="O27" s="188">
        <v>28083448.609999999</v>
      </c>
      <c r="P27" s="188">
        <v>22792603.34</v>
      </c>
      <c r="Q27" s="188">
        <v>26127572.870000001</v>
      </c>
      <c r="R27" s="188">
        <v>31283371.07</v>
      </c>
      <c r="S27" s="188">
        <v>24100376.879999999</v>
      </c>
      <c r="T27" s="188">
        <v>15883105.359999999</v>
      </c>
      <c r="U27" s="188">
        <v>18482916.02</v>
      </c>
      <c r="V27" s="188">
        <v>14368101.859999999</v>
      </c>
      <c r="W27" s="188">
        <v>16602116.57</v>
      </c>
      <c r="X27" s="188">
        <v>15338459.140000001</v>
      </c>
      <c r="Y27" s="188">
        <v>12559385.59</v>
      </c>
      <c r="Z27" s="188">
        <v>3482839.23</v>
      </c>
      <c r="AA27" s="188">
        <v>4431279.7699999996</v>
      </c>
      <c r="AB27" s="188">
        <v>5948283.7699999996</v>
      </c>
      <c r="AC27" s="188">
        <v>8379974.8099999996</v>
      </c>
      <c r="AD27" s="188">
        <v>13169079.48</v>
      </c>
      <c r="AE27" s="188">
        <v>6756829.5199999996</v>
      </c>
      <c r="AF27" s="188">
        <v>9451258.8100000005</v>
      </c>
      <c r="AG27" s="188">
        <v>5169154.2699999996</v>
      </c>
      <c r="AH27" s="188">
        <v>2908824.1</v>
      </c>
      <c r="AI27" s="188">
        <v>3722638.94</v>
      </c>
      <c r="AJ27" s="188">
        <v>0</v>
      </c>
      <c r="AK27" s="188"/>
      <c r="AL27" s="188"/>
      <c r="AM27" s="188"/>
      <c r="AN27" s="188"/>
      <c r="AO27" s="188"/>
      <c r="AP27" s="188"/>
      <c r="AQ27" s="188"/>
      <c r="AR27" s="188"/>
      <c r="AS27" s="188"/>
      <c r="AT27" s="188"/>
      <c r="AU27" s="188"/>
      <c r="AV27" s="188"/>
      <c r="AW27" s="1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c r="AL28" s="188"/>
      <c r="AM28" s="188"/>
      <c r="AN28" s="188"/>
      <c r="AO28" s="188"/>
      <c r="AP28" s="188"/>
      <c r="AQ28" s="188"/>
      <c r="AR28" s="188"/>
      <c r="AS28" s="188"/>
      <c r="AT28" s="188"/>
      <c r="AU28" s="188"/>
      <c r="AV28" s="188"/>
      <c r="AW28" s="1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c r="A29" s="17" t="s">
        <v>3</v>
      </c>
      <c r="B29" s="188">
        <v>0</v>
      </c>
      <c r="C29" s="188">
        <v>0</v>
      </c>
      <c r="D29" s="188">
        <v>0</v>
      </c>
      <c r="E29" s="188">
        <v>0</v>
      </c>
      <c r="F29" s="188">
        <v>11282756.65</v>
      </c>
      <c r="G29" s="188">
        <v>6527242.54</v>
      </c>
      <c r="H29" s="188">
        <v>6181424.4199999999</v>
      </c>
      <c r="I29" s="188">
        <v>9574079.5399999991</v>
      </c>
      <c r="J29" s="188">
        <v>12814627.4</v>
      </c>
      <c r="K29" s="188">
        <v>8144721.9400000004</v>
      </c>
      <c r="L29" s="188">
        <v>7372770.3600000003</v>
      </c>
      <c r="M29" s="188">
        <v>6859599.8399999999</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c r="AL29" s="188"/>
      <c r="AM29" s="188"/>
      <c r="AN29" s="188"/>
      <c r="AO29" s="188"/>
      <c r="AP29" s="188"/>
      <c r="AQ29" s="188"/>
      <c r="AR29" s="188"/>
      <c r="AS29" s="188"/>
      <c r="AT29" s="188"/>
      <c r="AU29" s="188"/>
      <c r="AV29" s="188"/>
      <c r="AW29" s="1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2" t="s">
        <v>20</v>
      </c>
      <c r="B33" s="35">
        <f>SUM(B22:B29)</f>
        <v>3247871988.7799997</v>
      </c>
      <c r="C33" s="35">
        <f t="shared" ref="C33:BN33" si="2">SUM(C22:C29)</f>
        <v>3039076832.75</v>
      </c>
      <c r="D33" s="35">
        <f t="shared" si="2"/>
        <v>2953357509.3899999</v>
      </c>
      <c r="E33" s="35">
        <f t="shared" si="2"/>
        <v>1739177996.3</v>
      </c>
      <c r="F33" s="35">
        <f t="shared" si="2"/>
        <v>1632392935.4100001</v>
      </c>
      <c r="G33" s="35">
        <f t="shared" si="2"/>
        <v>1683803270.29</v>
      </c>
      <c r="H33" s="35">
        <f t="shared" si="2"/>
        <v>1548856906.4700003</v>
      </c>
      <c r="I33" s="35">
        <f t="shared" si="2"/>
        <v>1368675061.24</v>
      </c>
      <c r="J33" s="35">
        <f t="shared" si="2"/>
        <v>1499720011.74</v>
      </c>
      <c r="K33" s="35">
        <f t="shared" si="2"/>
        <v>1555212333.03</v>
      </c>
      <c r="L33" s="35">
        <f t="shared" si="2"/>
        <v>1412201621.0999999</v>
      </c>
      <c r="M33" s="35">
        <f t="shared" si="2"/>
        <v>1341197044.0900002</v>
      </c>
      <c r="N33" s="35">
        <f t="shared" si="2"/>
        <v>1335916236.8900001</v>
      </c>
      <c r="O33" s="35">
        <f t="shared" si="2"/>
        <v>1223998681.6999998</v>
      </c>
      <c r="P33" s="35">
        <f t="shared" si="2"/>
        <v>1163251414.02</v>
      </c>
      <c r="Q33" s="35">
        <f t="shared" si="2"/>
        <v>1088267056.4699998</v>
      </c>
      <c r="R33" s="35">
        <f t="shared" si="2"/>
        <v>1098010161.0799999</v>
      </c>
      <c r="S33" s="35">
        <f t="shared" si="2"/>
        <v>959039498.11000001</v>
      </c>
      <c r="T33" s="35">
        <f t="shared" si="2"/>
        <v>975912299.69999993</v>
      </c>
      <c r="U33" s="35">
        <f t="shared" si="2"/>
        <v>924407302.72000003</v>
      </c>
      <c r="V33" s="35">
        <f t="shared" si="2"/>
        <v>822218717.04000008</v>
      </c>
      <c r="W33" s="35">
        <f t="shared" si="2"/>
        <v>756868573.75000012</v>
      </c>
      <c r="X33" s="35">
        <f t="shared" si="2"/>
        <v>682013257.77999997</v>
      </c>
      <c r="Y33" s="35">
        <f t="shared" si="2"/>
        <v>676673694.82000005</v>
      </c>
      <c r="Z33" s="35">
        <f t="shared" si="2"/>
        <v>659292366.23000002</v>
      </c>
      <c r="AA33" s="35">
        <f t="shared" si="2"/>
        <v>656573999.83999991</v>
      </c>
      <c r="AB33" s="35">
        <f t="shared" si="2"/>
        <v>610487986.44000006</v>
      </c>
      <c r="AC33" s="35">
        <f t="shared" si="2"/>
        <v>566223009.56999993</v>
      </c>
      <c r="AD33" s="35">
        <f t="shared" si="2"/>
        <v>546360999.96000004</v>
      </c>
      <c r="AE33" s="35">
        <f t="shared" si="2"/>
        <v>522059979.73999995</v>
      </c>
      <c r="AF33" s="35">
        <f t="shared" si="2"/>
        <v>471002081.08999997</v>
      </c>
      <c r="AG33" s="35">
        <f t="shared" si="2"/>
        <v>410344256.62</v>
      </c>
      <c r="AH33" s="35">
        <f t="shared" si="2"/>
        <v>342729420.55000001</v>
      </c>
      <c r="AI33" s="35">
        <f t="shared" si="2"/>
        <v>240653332.47</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1" t="s">
        <v>82</v>
      </c>
      <c r="B34" s="34"/>
      <c r="C34" s="34"/>
      <c r="D34" s="34"/>
      <c r="E34" s="34"/>
      <c r="F34" s="34"/>
      <c r="G34" s="34"/>
      <c r="H34" s="34"/>
      <c r="I34" s="34"/>
      <c r="J34" s="34"/>
      <c r="K34" s="34"/>
      <c r="L34" s="32"/>
      <c r="M34" s="14"/>
      <c r="N34" s="14"/>
    </row>
    <row r="35" spans="1:90">
      <c r="A35" s="17" t="s">
        <v>21</v>
      </c>
      <c r="B35" s="188">
        <v>0</v>
      </c>
      <c r="C35" s="188">
        <v>251391921.43000001</v>
      </c>
      <c r="D35" s="188">
        <v>226091989.53</v>
      </c>
      <c r="E35" s="188">
        <v>191514882.59999999</v>
      </c>
      <c r="F35" s="188">
        <v>172876954.41</v>
      </c>
      <c r="G35" s="188">
        <v>224649838.31999999</v>
      </c>
      <c r="H35" s="188">
        <v>260832258.61000001</v>
      </c>
      <c r="I35" s="188">
        <v>202356898.16</v>
      </c>
      <c r="J35" s="188">
        <v>189628720.22</v>
      </c>
      <c r="K35" s="188">
        <v>197233945.15000001</v>
      </c>
      <c r="L35" s="188">
        <v>215354450.50999999</v>
      </c>
      <c r="M35" s="188">
        <v>169622311.34999999</v>
      </c>
      <c r="N35" s="188">
        <v>231944572.84999999</v>
      </c>
      <c r="O35" s="188">
        <v>107913571.89</v>
      </c>
      <c r="P35" s="188">
        <v>119597395.55</v>
      </c>
      <c r="Q35" s="188">
        <v>129115948.65000001</v>
      </c>
      <c r="R35" s="188">
        <v>179643748.71000001</v>
      </c>
      <c r="S35" s="188">
        <v>151406042.05000001</v>
      </c>
      <c r="T35" s="188">
        <v>196817529.94</v>
      </c>
      <c r="U35" s="188">
        <v>129196874.02</v>
      </c>
      <c r="V35" s="188">
        <v>136014608.37</v>
      </c>
      <c r="W35" s="188">
        <v>161430548.43000001</v>
      </c>
      <c r="X35" s="188">
        <v>77518548.430000007</v>
      </c>
      <c r="Y35" s="188">
        <v>23880000</v>
      </c>
      <c r="Z35" s="188">
        <v>10700000</v>
      </c>
      <c r="AA35" s="188">
        <v>35120000</v>
      </c>
      <c r="AB35" s="188">
        <v>23477587.789999999</v>
      </c>
      <c r="AC35" s="188">
        <v>2100000</v>
      </c>
      <c r="AD35" s="188">
        <v>2100000</v>
      </c>
      <c r="AE35" s="188">
        <v>7903750</v>
      </c>
      <c r="AF35" s="188">
        <v>7903750</v>
      </c>
      <c r="AG35" s="188">
        <v>630000</v>
      </c>
      <c r="AH35" s="188">
        <v>36998000.090000004</v>
      </c>
      <c r="AI35" s="188">
        <v>6675000</v>
      </c>
      <c r="AJ35" s="188">
        <v>0</v>
      </c>
      <c r="AK35" s="188"/>
      <c r="AL35" s="188"/>
      <c r="AM35" s="188"/>
      <c r="AN35" s="188"/>
      <c r="AO35" s="188"/>
      <c r="AP35" s="188"/>
      <c r="AQ35" s="188"/>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c r="A36" s="17" t="s">
        <v>22</v>
      </c>
      <c r="B36" s="188">
        <v>0</v>
      </c>
      <c r="C36" s="188">
        <v>631787296.38999999</v>
      </c>
      <c r="D36" s="188">
        <v>755430333.84000003</v>
      </c>
      <c r="E36" s="188">
        <v>453012361.13</v>
      </c>
      <c r="F36" s="188">
        <v>417892257.89999998</v>
      </c>
      <c r="G36" s="188">
        <v>347747084.39999998</v>
      </c>
      <c r="H36" s="188">
        <v>362875396.32999998</v>
      </c>
      <c r="I36" s="188">
        <v>346536798.14999998</v>
      </c>
      <c r="J36" s="188">
        <v>350208862.31999999</v>
      </c>
      <c r="K36" s="188">
        <v>295828014.60000002</v>
      </c>
      <c r="L36" s="188">
        <v>298136006.81</v>
      </c>
      <c r="M36" s="188">
        <v>316307223.07999998</v>
      </c>
      <c r="N36" s="188">
        <v>253054738.59</v>
      </c>
      <c r="O36" s="188">
        <v>273660474.49000001</v>
      </c>
      <c r="P36" s="188">
        <v>250421938.13</v>
      </c>
      <c r="Q36" s="188">
        <v>205702491.91</v>
      </c>
      <c r="R36" s="188">
        <v>216129493.27000001</v>
      </c>
      <c r="S36" s="188">
        <v>200729257.40000001</v>
      </c>
      <c r="T36" s="188">
        <v>197373859.78</v>
      </c>
      <c r="U36" s="188">
        <v>240465359.46000001</v>
      </c>
      <c r="V36" s="188">
        <v>218933141.97</v>
      </c>
      <c r="W36" s="188">
        <v>160687877.33000001</v>
      </c>
      <c r="X36" s="188">
        <v>135238537.28</v>
      </c>
      <c r="Y36" s="188">
        <v>147378331.13999999</v>
      </c>
      <c r="Z36" s="188">
        <v>110232328.59999999</v>
      </c>
      <c r="AA36" s="188">
        <v>123409038.51000001</v>
      </c>
      <c r="AB36" s="188">
        <v>112084397.03</v>
      </c>
      <c r="AC36" s="188">
        <v>142805702.72999999</v>
      </c>
      <c r="AD36" s="188">
        <v>124840261.72</v>
      </c>
      <c r="AE36" s="188">
        <v>141735695.5</v>
      </c>
      <c r="AF36" s="188">
        <v>122441511.03</v>
      </c>
      <c r="AG36" s="188">
        <v>112303618.37</v>
      </c>
      <c r="AH36" s="188">
        <v>127455682.15000001</v>
      </c>
      <c r="AI36" s="188">
        <v>49045687.729999997</v>
      </c>
      <c r="AJ36" s="188">
        <v>0</v>
      </c>
      <c r="AK36" s="188"/>
      <c r="AL36" s="188"/>
      <c r="AM36" s="188"/>
      <c r="AN36" s="188"/>
      <c r="AO36" s="188"/>
      <c r="AP36" s="188"/>
      <c r="AQ36" s="188"/>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c r="A37" s="17" t="s">
        <v>23</v>
      </c>
      <c r="B37" s="188">
        <v>58650179.18</v>
      </c>
      <c r="C37" s="188">
        <v>9754544.0899999999</v>
      </c>
      <c r="D37" s="188">
        <v>88180892.650000006</v>
      </c>
      <c r="E37" s="188">
        <v>40026496.979999997</v>
      </c>
      <c r="F37" s="188">
        <v>45730713.43</v>
      </c>
      <c r="G37" s="188">
        <v>39873751.920000002</v>
      </c>
      <c r="H37" s="188">
        <v>95568790.030000001</v>
      </c>
      <c r="I37" s="188">
        <v>54984652.32</v>
      </c>
      <c r="J37" s="188">
        <v>74143484.819999993</v>
      </c>
      <c r="K37" s="188">
        <v>48921557.630000003</v>
      </c>
      <c r="L37" s="188">
        <v>51958510.700000003</v>
      </c>
      <c r="M37" s="188">
        <v>50318820.43</v>
      </c>
      <c r="N37" s="188">
        <v>49812225.219999999</v>
      </c>
      <c r="O37" s="188">
        <v>44391825.170000002</v>
      </c>
      <c r="P37" s="188">
        <v>50104429.350000001</v>
      </c>
      <c r="Q37" s="188">
        <v>43872160.439999998</v>
      </c>
      <c r="R37" s="188">
        <v>51633608.189999998</v>
      </c>
      <c r="S37" s="188">
        <v>6854337.2199999997</v>
      </c>
      <c r="T37" s="188">
        <v>6532452.1500000004</v>
      </c>
      <c r="U37" s="188">
        <v>5804520.3499999996</v>
      </c>
      <c r="V37" s="188">
        <v>14625616.619999999</v>
      </c>
      <c r="W37" s="188">
        <v>4482161.45</v>
      </c>
      <c r="X37" s="188">
        <v>7370429.9800000004</v>
      </c>
      <c r="Y37" s="188">
        <v>9184879.1400000006</v>
      </c>
      <c r="Z37" s="188">
        <v>8822682.3100000005</v>
      </c>
      <c r="AA37" s="188">
        <v>8268929.4199999999</v>
      </c>
      <c r="AB37" s="188">
        <v>4981669.01</v>
      </c>
      <c r="AC37" s="188">
        <v>4656300.1900000004</v>
      </c>
      <c r="AD37" s="188">
        <v>9015370.3900000006</v>
      </c>
      <c r="AE37" s="188">
        <v>4091482.33</v>
      </c>
      <c r="AF37" s="188">
        <v>11192710.68</v>
      </c>
      <c r="AG37" s="188">
        <v>9392356.2100000009</v>
      </c>
      <c r="AH37" s="188">
        <v>11691792.74</v>
      </c>
      <c r="AI37" s="188">
        <v>13327567.529999999</v>
      </c>
      <c r="AJ37" s="188">
        <v>0</v>
      </c>
      <c r="AK37" s="188"/>
      <c r="AL37" s="188"/>
      <c r="AM37" s="188"/>
      <c r="AN37" s="188"/>
      <c r="AO37" s="188"/>
      <c r="AP37" s="188"/>
      <c r="AQ37" s="188"/>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c r="AL38" s="188"/>
      <c r="AM38" s="188"/>
      <c r="AN38" s="188"/>
      <c r="AO38" s="188"/>
      <c r="AP38" s="188"/>
      <c r="AQ38" s="188"/>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c r="A39" s="17" t="s">
        <v>25</v>
      </c>
      <c r="B39" s="188">
        <v>67593629.950000003</v>
      </c>
      <c r="C39" s="188">
        <v>48709074.880000003</v>
      </c>
      <c r="D39" s="188">
        <v>41722700.109999999</v>
      </c>
      <c r="E39" s="188">
        <v>63807415.090000004</v>
      </c>
      <c r="F39" s="188">
        <v>40216651.350000001</v>
      </c>
      <c r="G39" s="188">
        <v>33563383.890000001</v>
      </c>
      <c r="H39" s="188">
        <v>32498492.550000001</v>
      </c>
      <c r="I39" s="188">
        <v>50276266.82</v>
      </c>
      <c r="J39" s="188">
        <v>32736166.18</v>
      </c>
      <c r="K39" s="188">
        <v>35133146.600000001</v>
      </c>
      <c r="L39" s="188">
        <v>29294426.170000002</v>
      </c>
      <c r="M39" s="188">
        <v>48561768.390000001</v>
      </c>
      <c r="N39" s="188">
        <v>32660292.399999999</v>
      </c>
      <c r="O39" s="188">
        <v>29923788.949999999</v>
      </c>
      <c r="P39" s="188">
        <v>30519691.109999999</v>
      </c>
      <c r="Q39" s="188">
        <v>42220770.829999998</v>
      </c>
      <c r="R39" s="188">
        <v>21658855.030000001</v>
      </c>
      <c r="S39" s="188">
        <v>14309989.949999999</v>
      </c>
      <c r="T39" s="188">
        <v>13742491.119999999</v>
      </c>
      <c r="U39" s="188">
        <v>23615249.539999999</v>
      </c>
      <c r="V39" s="188">
        <v>14973274.16</v>
      </c>
      <c r="W39" s="188">
        <v>10824062.4</v>
      </c>
      <c r="X39" s="188">
        <v>8248660.54</v>
      </c>
      <c r="Y39" s="188">
        <v>17465419.760000002</v>
      </c>
      <c r="Z39" s="188">
        <v>6301188.3899999997</v>
      </c>
      <c r="AA39" s="188">
        <v>6058745.3200000003</v>
      </c>
      <c r="AB39" s="188">
        <v>8591338.3499999996</v>
      </c>
      <c r="AC39" s="188">
        <v>17228644.84</v>
      </c>
      <c r="AD39" s="188">
        <v>6278653.0099999998</v>
      </c>
      <c r="AE39" s="188">
        <v>6728143.7999999998</v>
      </c>
      <c r="AF39" s="188">
        <v>8929692.0299999993</v>
      </c>
      <c r="AG39" s="188">
        <v>20671998.329999998</v>
      </c>
      <c r="AH39" s="188">
        <v>14093249</v>
      </c>
      <c r="AI39" s="188">
        <v>9635131.0600000005</v>
      </c>
      <c r="AJ39" s="188">
        <v>0</v>
      </c>
      <c r="AK39" s="188"/>
      <c r="AL39" s="188"/>
      <c r="AM39" s="188"/>
      <c r="AN39" s="188"/>
      <c r="AO39" s="188"/>
      <c r="AP39" s="188"/>
      <c r="AQ39" s="188"/>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c r="A40" s="17" t="s">
        <v>26</v>
      </c>
      <c r="B40" s="188">
        <v>69070851.140000001</v>
      </c>
      <c r="C40" s="188">
        <v>74060748.530000001</v>
      </c>
      <c r="D40" s="188">
        <v>167464229.00999999</v>
      </c>
      <c r="E40" s="188">
        <v>162912399.94</v>
      </c>
      <c r="F40" s="188">
        <v>111949852.03</v>
      </c>
      <c r="G40" s="188">
        <v>110665683.08</v>
      </c>
      <c r="H40" s="188">
        <v>54245803.700000003</v>
      </c>
      <c r="I40" s="188">
        <v>57060997.329999998</v>
      </c>
      <c r="J40" s="188">
        <v>51828344.469999999</v>
      </c>
      <c r="K40" s="188">
        <v>45309147.469999999</v>
      </c>
      <c r="L40" s="188">
        <v>50198088.579999998</v>
      </c>
      <c r="M40" s="188">
        <v>48717595.170000002</v>
      </c>
      <c r="N40" s="188">
        <v>49511469.329999998</v>
      </c>
      <c r="O40" s="188">
        <v>34046280.859999999</v>
      </c>
      <c r="P40" s="188">
        <v>19299536</v>
      </c>
      <c r="Q40" s="188">
        <v>35389381.109999999</v>
      </c>
      <c r="R40" s="188">
        <v>22544520.350000001</v>
      </c>
      <c r="S40" s="188">
        <v>17520836.449999999</v>
      </c>
      <c r="T40" s="188">
        <v>15855349.84</v>
      </c>
      <c r="U40" s="188">
        <v>12090262.039999999</v>
      </c>
      <c r="V40" s="188">
        <v>8501978.1899999995</v>
      </c>
      <c r="W40" s="188">
        <v>11669628.310000001</v>
      </c>
      <c r="X40" s="188">
        <v>9183603.3900000006</v>
      </c>
      <c r="Y40" s="188">
        <v>7349251.8799999999</v>
      </c>
      <c r="Z40" s="188">
        <v>2894404.06</v>
      </c>
      <c r="AA40" s="188">
        <v>-2907609.6</v>
      </c>
      <c r="AB40" s="188">
        <v>-1337317.73</v>
      </c>
      <c r="AC40" s="188">
        <v>2688337.02</v>
      </c>
      <c r="AD40" s="188">
        <v>8704713.5600000005</v>
      </c>
      <c r="AE40" s="188">
        <v>4404040.49</v>
      </c>
      <c r="AF40" s="188">
        <v>5965560.9500000002</v>
      </c>
      <c r="AG40" s="188">
        <v>12088425.16</v>
      </c>
      <c r="AH40" s="188">
        <v>3100596.5</v>
      </c>
      <c r="AI40" s="188">
        <v>-766400.81</v>
      </c>
      <c r="AJ40" s="188">
        <v>0</v>
      </c>
      <c r="AK40" s="188"/>
      <c r="AL40" s="188"/>
      <c r="AM40" s="188"/>
      <c r="AN40" s="188"/>
      <c r="AO40" s="188"/>
      <c r="AP40" s="188"/>
      <c r="AQ40" s="188"/>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c r="A41" s="17" t="s">
        <v>27</v>
      </c>
      <c r="B41" s="188">
        <v>182812941.19</v>
      </c>
      <c r="C41" s="188">
        <v>286818062.57999998</v>
      </c>
      <c r="D41" s="188">
        <v>31810658.449999999</v>
      </c>
      <c r="E41" s="188">
        <v>55664839.530000001</v>
      </c>
      <c r="F41" s="188">
        <v>42921834.939999998</v>
      </c>
      <c r="G41" s="188">
        <v>38353128.729999997</v>
      </c>
      <c r="H41" s="188">
        <v>11235506.140000001</v>
      </c>
      <c r="I41" s="188">
        <v>11342167.560000001</v>
      </c>
      <c r="J41" s="188">
        <v>6413306.9500000002</v>
      </c>
      <c r="K41" s="188">
        <v>5683297.96</v>
      </c>
      <c r="L41" s="188">
        <v>19647217.510000002</v>
      </c>
      <c r="M41" s="188">
        <v>5744569.04</v>
      </c>
      <c r="N41" s="188">
        <v>37582641.049999997</v>
      </c>
      <c r="O41" s="188">
        <v>186859707.75</v>
      </c>
      <c r="P41" s="188">
        <v>2462012.17</v>
      </c>
      <c r="Q41" s="188">
        <v>3617740.31</v>
      </c>
      <c r="R41" s="188">
        <v>3939732.74</v>
      </c>
      <c r="S41" s="188">
        <v>1190039.97</v>
      </c>
      <c r="T41" s="188">
        <v>991819.68</v>
      </c>
      <c r="U41" s="188">
        <v>888594.29</v>
      </c>
      <c r="V41" s="188">
        <v>1130324.05</v>
      </c>
      <c r="W41" s="188">
        <v>954160.39</v>
      </c>
      <c r="X41" s="188">
        <v>917195.18</v>
      </c>
      <c r="Y41" s="188">
        <v>1046989.11</v>
      </c>
      <c r="Z41" s="188">
        <v>683054.49</v>
      </c>
      <c r="AA41" s="188">
        <v>1526430.48</v>
      </c>
      <c r="AB41" s="188">
        <v>769382.37</v>
      </c>
      <c r="AC41" s="188">
        <v>1345567.7</v>
      </c>
      <c r="AD41" s="188">
        <v>1890129.5</v>
      </c>
      <c r="AE41" s="188">
        <v>595966.14</v>
      </c>
      <c r="AF41" s="188">
        <v>517461.26</v>
      </c>
      <c r="AG41" s="188">
        <v>574481.5</v>
      </c>
      <c r="AH41" s="188">
        <v>1459355.93</v>
      </c>
      <c r="AI41" s="188">
        <v>635333.41</v>
      </c>
      <c r="AJ41" s="188">
        <v>0</v>
      </c>
      <c r="AK41" s="188"/>
      <c r="AL41" s="188"/>
      <c r="AM41" s="188"/>
      <c r="AN41" s="188"/>
      <c r="AO41" s="188"/>
      <c r="AP41" s="188"/>
      <c r="AQ41" s="188"/>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c r="A42" s="123"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c r="AL43" s="188"/>
      <c r="AM43" s="188"/>
      <c r="AN43" s="188"/>
      <c r="AO43" s="188"/>
      <c r="AP43" s="188"/>
      <c r="AQ43" s="188"/>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c r="AL44" s="188"/>
      <c r="AM44" s="188"/>
      <c r="AN44" s="188"/>
      <c r="AO44" s="188"/>
      <c r="AP44" s="188"/>
      <c r="AQ44" s="188"/>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c r="A45" s="17" t="s">
        <v>31</v>
      </c>
      <c r="B45" s="188">
        <v>54471871.030000001</v>
      </c>
      <c r="C45" s="188">
        <v>95152908.079999998</v>
      </c>
      <c r="D45" s="188">
        <v>27982212.530000001</v>
      </c>
      <c r="E45" s="188">
        <v>18761024.530000001</v>
      </c>
      <c r="F45" s="188">
        <v>23956247.559999999</v>
      </c>
      <c r="G45" s="188">
        <v>20115835.859999999</v>
      </c>
      <c r="H45" s="188">
        <v>23581177.41</v>
      </c>
      <c r="I45" s="188">
        <v>20501454</v>
      </c>
      <c r="J45" s="188">
        <v>12219982.99</v>
      </c>
      <c r="K45" s="188">
        <v>21036582.260000002</v>
      </c>
      <c r="L45" s="188">
        <v>16921737.640000001</v>
      </c>
      <c r="M45" s="188">
        <v>16578142.060000001</v>
      </c>
      <c r="N45" s="188">
        <v>4441806.74</v>
      </c>
      <c r="O45" s="188">
        <v>5312855.47</v>
      </c>
      <c r="P45" s="188">
        <v>8002857.1799999997</v>
      </c>
      <c r="Q45" s="188">
        <v>10551447.35</v>
      </c>
      <c r="R45" s="188">
        <v>5901902.54</v>
      </c>
      <c r="S45" s="188">
        <v>864998.76</v>
      </c>
      <c r="T45" s="188">
        <v>3249434.9</v>
      </c>
      <c r="U45" s="188">
        <v>4182240.24</v>
      </c>
      <c r="V45" s="188">
        <v>1035573.66</v>
      </c>
      <c r="W45" s="188">
        <v>2087579.01</v>
      </c>
      <c r="X45" s="188">
        <v>1322852.95</v>
      </c>
      <c r="Y45" s="188">
        <v>3495346.58</v>
      </c>
      <c r="Z45" s="188">
        <v>5900913.54</v>
      </c>
      <c r="AA45" s="188">
        <v>1472327.69</v>
      </c>
      <c r="AB45" s="188">
        <v>1248152.6399999999</v>
      </c>
      <c r="AC45" s="188">
        <v>0</v>
      </c>
      <c r="AD45" s="188">
        <v>2519249.14</v>
      </c>
      <c r="AE45" s="188">
        <v>2030373.03</v>
      </c>
      <c r="AF45" s="188">
        <v>714568.14</v>
      </c>
      <c r="AG45" s="188">
        <v>0</v>
      </c>
      <c r="AH45" s="188">
        <v>1528258.2</v>
      </c>
      <c r="AI45" s="188">
        <v>0</v>
      </c>
      <c r="AJ45" s="188">
        <v>0</v>
      </c>
      <c r="AK45" s="188"/>
      <c r="AL45" s="188"/>
      <c r="AM45" s="188"/>
      <c r="AN45" s="188"/>
      <c r="AO45" s="188"/>
      <c r="AP45" s="188"/>
      <c r="AQ45" s="188"/>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2" t="s">
        <v>32</v>
      </c>
      <c r="B49" s="35">
        <f>SUM(B35:B41)+SUM(B43:B45)</f>
        <v>432599472.49000001</v>
      </c>
      <c r="C49" s="35">
        <f>SUM(C35:C41)+SUM(C43:C45)</f>
        <v>1397674555.9799998</v>
      </c>
      <c r="D49" s="35">
        <f>SUM(D35:D41)+SUM(D43:D45)</f>
        <v>1338683016.1199999</v>
      </c>
      <c r="E49" s="35">
        <f>SUM(E35:E45)</f>
        <v>985699419.79999995</v>
      </c>
      <c r="F49" s="35">
        <f t="shared" ref="F49:BQ49" si="4">SUM(F35:F45)</f>
        <v>855544511.61999989</v>
      </c>
      <c r="G49" s="35">
        <f t="shared" si="4"/>
        <v>814968706.20000005</v>
      </c>
      <c r="H49" s="35">
        <f t="shared" si="4"/>
        <v>840837424.76999998</v>
      </c>
      <c r="I49" s="35">
        <f t="shared" si="4"/>
        <v>743059234.34000003</v>
      </c>
      <c r="J49" s="35">
        <f t="shared" si="4"/>
        <v>717178867.94999993</v>
      </c>
      <c r="K49" s="35">
        <f t="shared" si="4"/>
        <v>649145691.67000008</v>
      </c>
      <c r="L49" s="35">
        <f t="shared" si="4"/>
        <v>681510437.91999996</v>
      </c>
      <c r="M49" s="35">
        <f t="shared" si="4"/>
        <v>655850429.51999986</v>
      </c>
      <c r="N49" s="35">
        <f t="shared" si="4"/>
        <v>659007746.17999995</v>
      </c>
      <c r="O49" s="35">
        <f t="shared" si="4"/>
        <v>682108504.58000004</v>
      </c>
      <c r="P49" s="35">
        <f t="shared" si="4"/>
        <v>480407859.49000007</v>
      </c>
      <c r="Q49" s="35">
        <f t="shared" si="4"/>
        <v>470469940.60000002</v>
      </c>
      <c r="R49" s="35">
        <f t="shared" si="4"/>
        <v>501451860.8300001</v>
      </c>
      <c r="S49" s="35">
        <f t="shared" si="4"/>
        <v>392875501.80000007</v>
      </c>
      <c r="T49" s="35">
        <f t="shared" si="4"/>
        <v>434562937.40999997</v>
      </c>
      <c r="U49" s="35">
        <f t="shared" si="4"/>
        <v>416243099.94000012</v>
      </c>
      <c r="V49" s="35">
        <f t="shared" si="4"/>
        <v>395214517.0200001</v>
      </c>
      <c r="W49" s="35">
        <f t="shared" si="4"/>
        <v>352136017.31999993</v>
      </c>
      <c r="X49" s="35">
        <f t="shared" si="4"/>
        <v>239799827.75</v>
      </c>
      <c r="Y49" s="35">
        <f t="shared" si="4"/>
        <v>209800217.60999998</v>
      </c>
      <c r="Z49" s="35">
        <f t="shared" si="4"/>
        <v>145534571.38999999</v>
      </c>
      <c r="AA49" s="35">
        <f t="shared" si="4"/>
        <v>172947861.81999996</v>
      </c>
      <c r="AB49" s="35">
        <f t="shared" si="4"/>
        <v>149815209.45999998</v>
      </c>
      <c r="AC49" s="35">
        <f t="shared" si="4"/>
        <v>170824552.47999999</v>
      </c>
      <c r="AD49" s="35">
        <f t="shared" si="4"/>
        <v>155348377.31999999</v>
      </c>
      <c r="AE49" s="35">
        <f t="shared" si="4"/>
        <v>167489451.29000002</v>
      </c>
      <c r="AF49" s="35">
        <f t="shared" si="4"/>
        <v>157665254.08999997</v>
      </c>
      <c r="AG49" s="35">
        <f t="shared" si="4"/>
        <v>155660879.57000002</v>
      </c>
      <c r="AH49" s="35">
        <f t="shared" si="4"/>
        <v>196326934.61000001</v>
      </c>
      <c r="AI49" s="35">
        <f t="shared" si="4"/>
        <v>78552318.919999987</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4" t="s">
        <v>81</v>
      </c>
      <c r="B50" s="36">
        <f>B33-B49</f>
        <v>2815272516.29</v>
      </c>
      <c r="C50" s="36">
        <f t="shared" ref="C50:BN50" si="6">C33-C49</f>
        <v>1641402276.7700002</v>
      </c>
      <c r="D50" s="36">
        <f t="shared" si="6"/>
        <v>1614674493.27</v>
      </c>
      <c r="E50" s="36">
        <f t="shared" si="6"/>
        <v>753478576.5</v>
      </c>
      <c r="F50" s="36">
        <f t="shared" si="6"/>
        <v>776848423.7900002</v>
      </c>
      <c r="G50" s="36">
        <f t="shared" si="6"/>
        <v>868834564.08999991</v>
      </c>
      <c r="H50" s="36">
        <f t="shared" si="6"/>
        <v>708019481.70000029</v>
      </c>
      <c r="I50" s="36">
        <f t="shared" si="6"/>
        <v>625615826.89999998</v>
      </c>
      <c r="J50" s="36">
        <f t="shared" si="6"/>
        <v>782541143.79000008</v>
      </c>
      <c r="K50" s="36">
        <f t="shared" si="6"/>
        <v>906066641.3599999</v>
      </c>
      <c r="L50" s="36">
        <f t="shared" si="6"/>
        <v>730691183.17999995</v>
      </c>
      <c r="M50" s="36">
        <f t="shared" si="6"/>
        <v>685346614.57000029</v>
      </c>
      <c r="N50" s="36">
        <f t="shared" si="6"/>
        <v>676908490.71000016</v>
      </c>
      <c r="O50" s="36">
        <f t="shared" si="6"/>
        <v>541890177.11999977</v>
      </c>
      <c r="P50" s="36">
        <f t="shared" si="6"/>
        <v>682843554.52999997</v>
      </c>
      <c r="Q50" s="36">
        <f t="shared" si="6"/>
        <v>617797115.86999977</v>
      </c>
      <c r="R50" s="36">
        <f t="shared" si="6"/>
        <v>596558300.24999976</v>
      </c>
      <c r="S50" s="36">
        <f t="shared" si="6"/>
        <v>566163996.30999994</v>
      </c>
      <c r="T50" s="36">
        <f t="shared" si="6"/>
        <v>541349362.28999996</v>
      </c>
      <c r="U50" s="36">
        <f t="shared" si="6"/>
        <v>508164202.77999991</v>
      </c>
      <c r="V50" s="36">
        <f t="shared" si="6"/>
        <v>427004200.01999998</v>
      </c>
      <c r="W50" s="36">
        <f t="shared" si="6"/>
        <v>404732556.43000019</v>
      </c>
      <c r="X50" s="36">
        <f t="shared" si="6"/>
        <v>442213430.02999997</v>
      </c>
      <c r="Y50" s="36">
        <f t="shared" si="6"/>
        <v>466873477.21000004</v>
      </c>
      <c r="Z50" s="36">
        <f t="shared" si="6"/>
        <v>513757794.84000003</v>
      </c>
      <c r="AA50" s="36">
        <f t="shared" si="6"/>
        <v>483626138.01999998</v>
      </c>
      <c r="AB50" s="36">
        <f t="shared" si="6"/>
        <v>460672776.98000008</v>
      </c>
      <c r="AC50" s="36">
        <f t="shared" si="6"/>
        <v>395398457.08999991</v>
      </c>
      <c r="AD50" s="36">
        <f t="shared" si="6"/>
        <v>391012622.64000005</v>
      </c>
      <c r="AE50" s="36">
        <f t="shared" si="6"/>
        <v>354570528.44999993</v>
      </c>
      <c r="AF50" s="36">
        <f t="shared" si="6"/>
        <v>313336827</v>
      </c>
      <c r="AG50" s="36">
        <f t="shared" si="6"/>
        <v>254683377.04999998</v>
      </c>
      <c r="AH50" s="36">
        <f t="shared" si="6"/>
        <v>146402485.94</v>
      </c>
      <c r="AI50" s="36">
        <f t="shared" si="6"/>
        <v>162101013.55000001</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c r="A51" s="191" t="s">
        <v>33</v>
      </c>
    </row>
    <row r="52" spans="1:90" s="191" customFormat="1">
      <c r="A52" s="191" t="s">
        <v>34</v>
      </c>
      <c r="B52" s="188">
        <v>1128090866.3699999</v>
      </c>
      <c r="C52" s="188">
        <v>1140189617.28</v>
      </c>
      <c r="D52" s="188">
        <v>1174636525.0899999</v>
      </c>
      <c r="E52" s="188">
        <v>1182708039.3299999</v>
      </c>
      <c r="F52" s="188">
        <v>1107218642.0799999</v>
      </c>
      <c r="G52" s="188">
        <v>1090411190.54</v>
      </c>
      <c r="H52" s="188">
        <v>1089327958.29</v>
      </c>
      <c r="I52" s="188">
        <v>1090569352.6500001</v>
      </c>
      <c r="J52" s="188">
        <v>984029102.54999995</v>
      </c>
      <c r="K52" s="188">
        <v>995800535.25999999</v>
      </c>
      <c r="L52" s="188">
        <v>1014843247.4299999</v>
      </c>
      <c r="M52" s="188">
        <v>1027872495.48</v>
      </c>
      <c r="N52" s="188">
        <v>958387905.51999998</v>
      </c>
      <c r="O52" s="188">
        <v>963303445.16999996</v>
      </c>
      <c r="P52" s="188">
        <v>959009769.94000006</v>
      </c>
      <c r="Q52" s="188">
        <v>967935984.21000004</v>
      </c>
      <c r="R52" s="188">
        <v>784632191.98000002</v>
      </c>
      <c r="S52" s="188">
        <v>745737695.25</v>
      </c>
      <c r="T52" s="188">
        <v>698402870.14999998</v>
      </c>
      <c r="U52" s="188">
        <v>702943783.85000002</v>
      </c>
      <c r="V52" s="188">
        <v>552908769.85000002</v>
      </c>
      <c r="W52" s="188">
        <v>558564258.23000002</v>
      </c>
      <c r="X52" s="188">
        <v>550741896.66999996</v>
      </c>
      <c r="Y52" s="188">
        <v>541371753.25999999</v>
      </c>
      <c r="Z52" s="188">
        <v>414705173.35000002</v>
      </c>
      <c r="AA52" s="188">
        <v>409164544.69999999</v>
      </c>
      <c r="AB52" s="188">
        <v>380984242.18000001</v>
      </c>
      <c r="AC52" s="188">
        <v>384320634.94</v>
      </c>
      <c r="AD52" s="188">
        <v>267607200.83000001</v>
      </c>
      <c r="AE52" s="188">
        <v>252951427.02000001</v>
      </c>
      <c r="AF52" s="188">
        <v>222714866.03999999</v>
      </c>
      <c r="AG52" s="188">
        <v>223227731.28</v>
      </c>
      <c r="AH52" s="188">
        <v>151324597.56</v>
      </c>
      <c r="AI52" s="188">
        <v>72683726.890000001</v>
      </c>
      <c r="AJ52" s="188">
        <v>0</v>
      </c>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c r="A53" s="191" t="s">
        <v>35</v>
      </c>
      <c r="B53" s="188">
        <v>39222353.630000003</v>
      </c>
      <c r="C53" s="188">
        <v>31648344.309999999</v>
      </c>
      <c r="D53" s="188">
        <v>28513935.559999999</v>
      </c>
      <c r="E53" s="188">
        <v>19179441.489999998</v>
      </c>
      <c r="F53" s="188">
        <v>47304443.359999999</v>
      </c>
      <c r="G53" s="188">
        <v>41590348.030000001</v>
      </c>
      <c r="H53" s="188">
        <v>36936450.329999998</v>
      </c>
      <c r="I53" s="188">
        <v>27574260.989999998</v>
      </c>
      <c r="J53" s="188">
        <v>104557626.44</v>
      </c>
      <c r="K53" s="188">
        <v>91211798.409999996</v>
      </c>
      <c r="L53" s="188">
        <v>74966572.469999999</v>
      </c>
      <c r="M53" s="188">
        <v>56748273.469999999</v>
      </c>
      <c r="N53" s="188">
        <v>76914879.159999996</v>
      </c>
      <c r="O53" s="188">
        <v>54416851.609999999</v>
      </c>
      <c r="P53" s="188">
        <v>44212865.700000003</v>
      </c>
      <c r="Q53" s="188">
        <v>30553536.260000002</v>
      </c>
      <c r="R53" s="188">
        <v>190578945.38999999</v>
      </c>
      <c r="S53" s="188">
        <v>162708012.77000001</v>
      </c>
      <c r="T53" s="188">
        <v>166286384.69</v>
      </c>
      <c r="U53" s="188">
        <v>156318099.94999999</v>
      </c>
      <c r="V53" s="188">
        <v>144824464.87</v>
      </c>
      <c r="W53" s="188">
        <v>142778920.84</v>
      </c>
      <c r="X53" s="188">
        <v>132569226.72</v>
      </c>
      <c r="Y53" s="188">
        <v>119719673.73</v>
      </c>
      <c r="Z53" s="188">
        <v>222500138.38</v>
      </c>
      <c r="AA53" s="188">
        <v>211402918.52000001</v>
      </c>
      <c r="AB53" s="188">
        <v>198097024.22999999</v>
      </c>
      <c r="AC53" s="188">
        <v>174864859.99000001</v>
      </c>
      <c r="AD53" s="188">
        <v>244019648.66999999</v>
      </c>
      <c r="AE53" s="188">
        <v>209396296.27000001</v>
      </c>
      <c r="AF53" s="188">
        <v>171403204.28999999</v>
      </c>
      <c r="AG53" s="188">
        <v>131844122.93000001</v>
      </c>
      <c r="AH53" s="188">
        <v>79058532.760000005</v>
      </c>
      <c r="AI53" s="188">
        <v>39460398.299999997</v>
      </c>
      <c r="AJ53" s="188">
        <v>0</v>
      </c>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c r="AL54" s="188"/>
      <c r="AM54" s="188"/>
      <c r="AN54" s="188"/>
      <c r="AO54" s="188"/>
      <c r="AP54" s="188"/>
      <c r="AQ54" s="188"/>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c r="AL55" s="188"/>
      <c r="AM55" s="188"/>
      <c r="AN55" s="188"/>
      <c r="AO55" s="188"/>
      <c r="AP55" s="188"/>
      <c r="AQ55" s="188"/>
      <c r="AR55" s="188"/>
      <c r="AS55" s="188"/>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c r="AL56" s="188"/>
      <c r="AM56" s="188"/>
      <c r="AN56" s="188"/>
      <c r="AO56" s="188"/>
      <c r="AP56" s="188"/>
      <c r="AQ56" s="188"/>
      <c r="AR56" s="188"/>
      <c r="AS56" s="188"/>
      <c r="AT56" s="188"/>
      <c r="AU56" s="188"/>
      <c r="AV56" s="188"/>
      <c r="AW56" s="188"/>
      <c r="AX56" s="188"/>
      <c r="AY56" s="188"/>
      <c r="AZ56" s="188"/>
      <c r="BA56" s="188"/>
      <c r="BB56" s="188"/>
      <c r="BC56" s="188"/>
      <c r="BD56" s="188"/>
      <c r="BE56" s="188"/>
      <c r="BF56" s="188"/>
      <c r="BG56" s="188"/>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c r="AL57" s="188"/>
      <c r="AM57" s="188"/>
      <c r="AN57" s="188"/>
      <c r="AO57" s="188"/>
      <c r="AP57" s="188"/>
      <c r="AQ57" s="188"/>
      <c r="AR57" s="188"/>
      <c r="AS57" s="188"/>
      <c r="AT57" s="188"/>
      <c r="AU57" s="188"/>
      <c r="AV57" s="188"/>
      <c r="AW57" s="188"/>
      <c r="AX57" s="188"/>
      <c r="AY57" s="188"/>
      <c r="AZ57" s="188"/>
      <c r="BA57" s="188"/>
      <c r="BB57" s="188"/>
      <c r="BC57" s="188"/>
      <c r="BD57" s="188"/>
      <c r="BE57" s="188"/>
      <c r="BF57" s="188"/>
      <c r="BG57" s="188"/>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c r="A58" s="191" t="s">
        <v>40</v>
      </c>
      <c r="B58" s="188">
        <v>211285138.09</v>
      </c>
      <c r="C58" s="188">
        <v>212491248.88999999</v>
      </c>
      <c r="D58" s="188">
        <v>222631724.88999999</v>
      </c>
      <c r="E58" s="188">
        <v>166195436.41999999</v>
      </c>
      <c r="F58" s="188">
        <v>167596001.68000001</v>
      </c>
      <c r="G58" s="188">
        <v>171875528.19999999</v>
      </c>
      <c r="H58" s="188">
        <v>176677404.58000001</v>
      </c>
      <c r="I58" s="188">
        <v>174211692.41</v>
      </c>
      <c r="J58" s="188">
        <v>179208457.58000001</v>
      </c>
      <c r="K58" s="188">
        <v>183970485.49000001</v>
      </c>
      <c r="L58" s="188">
        <v>189266175.47</v>
      </c>
      <c r="M58" s="188">
        <v>194570402.09</v>
      </c>
      <c r="N58" s="188">
        <v>204342822.53999999</v>
      </c>
      <c r="O58" s="188">
        <v>204205252.71000001</v>
      </c>
      <c r="P58" s="188">
        <v>207262306.84</v>
      </c>
      <c r="Q58" s="188">
        <v>212497945.91999999</v>
      </c>
      <c r="R58" s="188">
        <v>177231526.69999999</v>
      </c>
      <c r="S58" s="188">
        <v>74187220.359999999</v>
      </c>
      <c r="T58" s="188">
        <v>74113085.890000001</v>
      </c>
      <c r="U58" s="188">
        <v>74686847.709999993</v>
      </c>
      <c r="V58" s="188">
        <v>69718957.150000006</v>
      </c>
      <c r="W58" s="188">
        <v>69727779.969999999</v>
      </c>
      <c r="X58" s="188">
        <v>57511497.210000001</v>
      </c>
      <c r="Y58" s="188">
        <v>33002843.690000001</v>
      </c>
      <c r="Z58" s="188">
        <v>32433723.84</v>
      </c>
      <c r="AA58" s="188">
        <v>32729963.129999999</v>
      </c>
      <c r="AB58" s="188">
        <v>32895205.280000001</v>
      </c>
      <c r="AC58" s="188">
        <v>32326785.460000001</v>
      </c>
      <c r="AD58" s="188">
        <v>32138380.969999999</v>
      </c>
      <c r="AE58" s="188">
        <v>32165947.300000001</v>
      </c>
      <c r="AF58" s="188">
        <v>26812648.27</v>
      </c>
      <c r="AG58" s="188">
        <v>26750206.739999998</v>
      </c>
      <c r="AH58" s="188">
        <v>25889150.149999999</v>
      </c>
      <c r="AI58" s="188">
        <v>26342922.739999998</v>
      </c>
      <c r="AJ58" s="188">
        <v>0</v>
      </c>
      <c r="AK58" s="188"/>
      <c r="AL58" s="188"/>
      <c r="AM58" s="188"/>
      <c r="AN58" s="188"/>
      <c r="AO58" s="188"/>
      <c r="AP58" s="188"/>
      <c r="AQ58" s="188"/>
      <c r="AR58" s="188"/>
      <c r="AS58" s="188"/>
      <c r="AT58" s="188"/>
      <c r="AU58" s="188"/>
      <c r="AV58" s="188"/>
      <c r="AW58" s="188"/>
      <c r="AX58" s="188"/>
      <c r="AY58" s="188"/>
      <c r="AZ58" s="188"/>
      <c r="BA58" s="188"/>
      <c r="BB58" s="188"/>
      <c r="BC58" s="188"/>
      <c r="BD58" s="188"/>
      <c r="BE58" s="188"/>
      <c r="BF58" s="188"/>
      <c r="BG58" s="188"/>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c r="AL59" s="188"/>
      <c r="AM59" s="188"/>
      <c r="AN59" s="188"/>
      <c r="AO59" s="188"/>
      <c r="AP59" s="188"/>
      <c r="AQ59" s="188"/>
      <c r="AR59" s="188"/>
      <c r="AS59" s="188"/>
      <c r="AT59" s="188"/>
      <c r="AU59" s="188"/>
      <c r="AV59" s="188"/>
      <c r="AW59" s="188"/>
      <c r="AX59" s="188"/>
      <c r="AY59" s="188"/>
      <c r="AZ59" s="188"/>
      <c r="BA59" s="188"/>
      <c r="BB59" s="188"/>
      <c r="BC59" s="188"/>
      <c r="BD59" s="188"/>
      <c r="BE59" s="188"/>
      <c r="BF59" s="188"/>
      <c r="BG59" s="188"/>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c r="A60" s="191" t="s">
        <v>42</v>
      </c>
      <c r="B60" s="188">
        <v>7463719802.5799999</v>
      </c>
      <c r="C60" s="188">
        <v>7071058670.0600004</v>
      </c>
      <c r="D60" s="188">
        <v>6903591884.2799997</v>
      </c>
      <c r="E60" s="188">
        <v>1999672349.53</v>
      </c>
      <c r="F60" s="188">
        <v>1862333518.8900001</v>
      </c>
      <c r="G60" s="188">
        <v>1862333518.8900001</v>
      </c>
      <c r="H60" s="188">
        <v>1859320965.1800001</v>
      </c>
      <c r="I60" s="188">
        <v>1862333518.8900001</v>
      </c>
      <c r="J60" s="188">
        <v>1852321266</v>
      </c>
      <c r="K60" s="188">
        <v>1852321266</v>
      </c>
      <c r="L60" s="188">
        <v>1795942417.78</v>
      </c>
      <c r="M60" s="188">
        <v>1795942417.78</v>
      </c>
      <c r="N60" s="188">
        <v>1795317100.8099999</v>
      </c>
      <c r="O60" s="188">
        <v>1795317100.8099999</v>
      </c>
      <c r="P60" s="188">
        <v>1503388390.6900001</v>
      </c>
      <c r="Q60" s="188">
        <v>1503388390.6900001</v>
      </c>
      <c r="R60" s="188">
        <v>1495385207.3299999</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c r="AL60" s="188"/>
      <c r="AM60" s="188"/>
      <c r="AN60" s="188"/>
      <c r="AO60" s="188"/>
      <c r="AP60" s="188"/>
      <c r="AQ60" s="188"/>
      <c r="AR60" s="188"/>
      <c r="AS60" s="188"/>
      <c r="AT60" s="188"/>
      <c r="AU60" s="188"/>
      <c r="AV60" s="188"/>
      <c r="AW60" s="188"/>
      <c r="AX60" s="188"/>
      <c r="AY60" s="188"/>
      <c r="AZ60" s="188"/>
      <c r="BA60" s="188"/>
      <c r="BB60" s="188"/>
      <c r="BC60" s="188"/>
      <c r="BD60" s="188"/>
      <c r="BE60" s="188"/>
      <c r="BF60" s="188"/>
      <c r="BG60" s="188"/>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c r="A61" s="191" t="s">
        <v>43</v>
      </c>
      <c r="B61" s="188">
        <v>141946820.02000001</v>
      </c>
      <c r="C61" s="188">
        <v>127521893.86</v>
      </c>
      <c r="D61" s="188">
        <v>114639439.12</v>
      </c>
      <c r="E61" s="188">
        <v>113315732.78</v>
      </c>
      <c r="F61" s="188">
        <v>91051394.370000005</v>
      </c>
      <c r="G61" s="188">
        <v>78889408.25</v>
      </c>
      <c r="H61" s="188">
        <v>86661275.769999996</v>
      </c>
      <c r="I61" s="188">
        <v>78353293.379999995</v>
      </c>
      <c r="J61" s="188">
        <v>94153659.040000007</v>
      </c>
      <c r="K61" s="188">
        <v>83796820.819999993</v>
      </c>
      <c r="L61" s="188">
        <v>92284259.650000006</v>
      </c>
      <c r="M61" s="188">
        <v>88933732.260000005</v>
      </c>
      <c r="N61" s="188">
        <v>84995226.519999996</v>
      </c>
      <c r="O61" s="188">
        <v>80380509.900000006</v>
      </c>
      <c r="P61" s="188">
        <v>74126010.769999996</v>
      </c>
      <c r="Q61" s="188">
        <v>60397390.719999999</v>
      </c>
      <c r="R61" s="188">
        <v>58417878.079999998</v>
      </c>
      <c r="S61" s="188">
        <v>59334528.490000002</v>
      </c>
      <c r="T61" s="188">
        <v>63604456.810000002</v>
      </c>
      <c r="U61" s="188">
        <v>53002814.619999997</v>
      </c>
      <c r="V61" s="188">
        <v>45577694.039999999</v>
      </c>
      <c r="W61" s="188">
        <v>44687186.240000002</v>
      </c>
      <c r="X61" s="188">
        <v>45889973.5</v>
      </c>
      <c r="Y61" s="188">
        <v>26430399.649999999</v>
      </c>
      <c r="Z61" s="188">
        <v>18801031.300000001</v>
      </c>
      <c r="AA61" s="188">
        <v>10338831.67</v>
      </c>
      <c r="AB61" s="188">
        <v>8226167.8399999999</v>
      </c>
      <c r="AC61" s="188">
        <v>4666258.1500000004</v>
      </c>
      <c r="AD61" s="188">
        <v>5280073.8600000003</v>
      </c>
      <c r="AE61" s="188">
        <v>1338550.55</v>
      </c>
      <c r="AF61" s="188">
        <v>1359560.66</v>
      </c>
      <c r="AG61" s="188">
        <v>1161179.1100000001</v>
      </c>
      <c r="AH61" s="188">
        <v>1016294.78</v>
      </c>
      <c r="AI61" s="188">
        <v>709239.06</v>
      </c>
      <c r="AJ61" s="188">
        <v>0</v>
      </c>
      <c r="AK61" s="188"/>
      <c r="AL61" s="188"/>
      <c r="AM61" s="188"/>
      <c r="AN61" s="188"/>
      <c r="AO61" s="188"/>
      <c r="AP61" s="188"/>
      <c r="AQ61" s="188"/>
      <c r="AR61" s="188"/>
      <c r="AS61" s="188"/>
      <c r="AT61" s="188"/>
      <c r="AU61" s="188"/>
      <c r="AV61" s="188"/>
      <c r="AW61" s="188"/>
      <c r="AX61" s="188"/>
      <c r="AY61" s="188"/>
      <c r="AZ61" s="188"/>
      <c r="BA61" s="188"/>
      <c r="BB61" s="188"/>
      <c r="BC61" s="188"/>
      <c r="BD61" s="188"/>
      <c r="BE61" s="188"/>
      <c r="BF61" s="188"/>
      <c r="BG61" s="188"/>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c r="A62" s="191" t="s">
        <v>44</v>
      </c>
      <c r="B62" s="188">
        <v>21461160.539999999</v>
      </c>
      <c r="C62" s="188">
        <v>26078426.75</v>
      </c>
      <c r="D62" s="188">
        <v>21882347.18</v>
      </c>
      <c r="E62" s="188">
        <v>19130032.390000001</v>
      </c>
      <c r="F62" s="188">
        <v>15340040.210000001</v>
      </c>
      <c r="G62" s="188">
        <v>14040377.539999999</v>
      </c>
      <c r="H62" s="188">
        <v>15372341.539999999</v>
      </c>
      <c r="I62" s="188">
        <v>14604646.59</v>
      </c>
      <c r="J62" s="188">
        <v>14871978.41</v>
      </c>
      <c r="K62" s="188">
        <v>11137188.23</v>
      </c>
      <c r="L62" s="188">
        <v>10670148.17</v>
      </c>
      <c r="M62" s="188">
        <v>12991000.49</v>
      </c>
      <c r="N62" s="188">
        <v>8015704.8700000001</v>
      </c>
      <c r="O62" s="188">
        <v>6842864.4299999997</v>
      </c>
      <c r="P62" s="188">
        <v>6125520.0899999999</v>
      </c>
      <c r="Q62" s="188">
        <v>6083440.9699999997</v>
      </c>
      <c r="R62" s="188">
        <v>4649420.0199999996</v>
      </c>
      <c r="S62" s="188">
        <v>4445811.88</v>
      </c>
      <c r="T62" s="188">
        <v>3920132.28</v>
      </c>
      <c r="U62" s="188">
        <v>3678601.37</v>
      </c>
      <c r="V62" s="188">
        <v>3781117.61</v>
      </c>
      <c r="W62" s="188">
        <v>3752297.07</v>
      </c>
      <c r="X62" s="188">
        <v>3548780.58</v>
      </c>
      <c r="Y62" s="188">
        <v>3505320.92</v>
      </c>
      <c r="Z62" s="188">
        <v>3786247.39</v>
      </c>
      <c r="AA62" s="188">
        <v>3742932.14</v>
      </c>
      <c r="AB62" s="188">
        <v>3848678.78</v>
      </c>
      <c r="AC62" s="188">
        <v>3116788.22</v>
      </c>
      <c r="AD62" s="188">
        <v>2480416.3199999998</v>
      </c>
      <c r="AE62" s="188">
        <v>2664157.0499999998</v>
      </c>
      <c r="AF62" s="188">
        <v>2156883.15</v>
      </c>
      <c r="AG62" s="188">
        <v>2156883.16</v>
      </c>
      <c r="AH62" s="188">
        <v>4014386.72</v>
      </c>
      <c r="AI62" s="188">
        <v>2092503.54</v>
      </c>
      <c r="AJ62" s="188">
        <v>0</v>
      </c>
      <c r="AK62" s="188"/>
      <c r="AL62" s="188"/>
      <c r="AM62" s="188"/>
      <c r="AN62" s="188"/>
      <c r="AO62" s="188"/>
      <c r="AP62" s="188"/>
      <c r="AQ62" s="188"/>
      <c r="AR62" s="188"/>
      <c r="AS62" s="188"/>
      <c r="AT62" s="188"/>
      <c r="AU62" s="188"/>
      <c r="AV62" s="188"/>
      <c r="AW62" s="188"/>
      <c r="AX62" s="188"/>
      <c r="AY62" s="188"/>
      <c r="AZ62" s="188"/>
      <c r="BA62" s="188"/>
      <c r="BB62" s="188"/>
      <c r="BC62" s="188"/>
      <c r="BD62" s="188"/>
      <c r="BE62" s="188"/>
      <c r="BF62" s="188"/>
      <c r="BG62" s="188"/>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c r="A63" s="191" t="s">
        <v>45</v>
      </c>
      <c r="B63" s="188">
        <v>0</v>
      </c>
      <c r="C63" s="188">
        <v>2112413.17</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c r="AL63" s="188"/>
      <c r="AM63" s="188"/>
      <c r="AN63" s="188"/>
      <c r="AO63" s="188"/>
      <c r="AP63" s="188"/>
      <c r="AQ63" s="188"/>
      <c r="AR63" s="188"/>
      <c r="AS63" s="188"/>
      <c r="AT63" s="188"/>
      <c r="AU63" s="188"/>
      <c r="AV63" s="188"/>
      <c r="AW63" s="188"/>
      <c r="AX63" s="188"/>
      <c r="AY63" s="188"/>
      <c r="AZ63" s="188"/>
      <c r="BA63" s="188"/>
      <c r="BB63" s="188"/>
      <c r="BC63" s="188"/>
      <c r="BD63" s="188"/>
      <c r="BE63" s="188"/>
      <c r="BF63" s="188"/>
      <c r="BG63" s="188"/>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c r="A64" s="191" t="s">
        <v>46</v>
      </c>
      <c r="B64" s="188">
        <v>124309531.39</v>
      </c>
      <c r="C64" s="188">
        <v>477500862.14999998</v>
      </c>
      <c r="D64" s="188">
        <v>25337915.550000001</v>
      </c>
      <c r="E64" s="188">
        <v>35205966.229999997</v>
      </c>
      <c r="F64" s="188">
        <v>66158426.590000004</v>
      </c>
      <c r="G64" s="188">
        <v>76751569.060000002</v>
      </c>
      <c r="H64" s="188">
        <v>38884725.590000004</v>
      </c>
      <c r="I64" s="188">
        <v>30008638.890000001</v>
      </c>
      <c r="J64" s="188">
        <v>26691989.829999998</v>
      </c>
      <c r="K64" s="188">
        <v>12253001.02</v>
      </c>
      <c r="L64" s="188">
        <v>7256630.71</v>
      </c>
      <c r="M64" s="188">
        <v>6473008.7300000004</v>
      </c>
      <c r="N64" s="188">
        <v>39223496.590000004</v>
      </c>
      <c r="O64" s="188">
        <v>40248665.770000003</v>
      </c>
      <c r="P64" s="188">
        <v>54541612.890000001</v>
      </c>
      <c r="Q64" s="188">
        <v>33601041.659999996</v>
      </c>
      <c r="R64" s="188">
        <v>46072312.909999996</v>
      </c>
      <c r="S64" s="188">
        <v>44017909.950000003</v>
      </c>
      <c r="T64" s="188">
        <v>58963615.920000002</v>
      </c>
      <c r="U64" s="188">
        <v>38465998.619999997</v>
      </c>
      <c r="V64" s="188">
        <v>100050470.3</v>
      </c>
      <c r="W64" s="188">
        <v>80379598.299999997</v>
      </c>
      <c r="X64" s="188">
        <v>66362870.380000003</v>
      </c>
      <c r="Y64" s="188">
        <v>47416109.07</v>
      </c>
      <c r="Z64" s="188">
        <v>0</v>
      </c>
      <c r="AA64" s="188">
        <v>0</v>
      </c>
      <c r="AB64" s="188">
        <v>0</v>
      </c>
      <c r="AC64" s="188">
        <v>0</v>
      </c>
      <c r="AD64" s="188">
        <v>0</v>
      </c>
      <c r="AE64" s="188">
        <v>0</v>
      </c>
      <c r="AF64" s="188">
        <v>0</v>
      </c>
      <c r="AG64" s="188">
        <v>0</v>
      </c>
      <c r="AH64" s="188">
        <v>0</v>
      </c>
      <c r="AI64" s="188">
        <v>0</v>
      </c>
      <c r="AJ64" s="188">
        <v>0</v>
      </c>
      <c r="AK64" s="188"/>
      <c r="AL64" s="188"/>
      <c r="AM64" s="188"/>
      <c r="AN64" s="188"/>
      <c r="AO64" s="188"/>
      <c r="AP64" s="188"/>
      <c r="AQ64" s="188"/>
      <c r="AR64" s="188"/>
      <c r="AS64" s="188"/>
      <c r="AT64" s="188"/>
      <c r="AU64" s="188"/>
      <c r="AV64" s="188"/>
      <c r="AW64" s="188"/>
      <c r="AX64" s="188"/>
      <c r="AY64" s="188"/>
      <c r="AZ64" s="188"/>
      <c r="BA64" s="188"/>
      <c r="BB64" s="188"/>
      <c r="BC64" s="188"/>
      <c r="BD64" s="188"/>
      <c r="BE64" s="188"/>
      <c r="BF64" s="188"/>
      <c r="BG64" s="188"/>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4" t="s">
        <v>47</v>
      </c>
      <c r="B68" s="36">
        <f>SUM(B52:B64)-2*B63</f>
        <v>9130035672.6200008</v>
      </c>
      <c r="C68" s="36">
        <f t="shared" ref="C68:BN68" si="8">SUM(C52:C64)-2*C63</f>
        <v>9084376650.1300011</v>
      </c>
      <c r="D68" s="36">
        <f t="shared" si="8"/>
        <v>8491233771.6700001</v>
      </c>
      <c r="E68" s="36">
        <f t="shared" si="8"/>
        <v>3535406998.1700001</v>
      </c>
      <c r="F68" s="36">
        <f t="shared" si="8"/>
        <v>3357002467.1800003</v>
      </c>
      <c r="G68" s="36">
        <f t="shared" si="8"/>
        <v>3335891940.5099998</v>
      </c>
      <c r="H68" s="36">
        <f t="shared" si="8"/>
        <v>3303181121.2800002</v>
      </c>
      <c r="I68" s="36">
        <f t="shared" si="8"/>
        <v>3277655403.8000007</v>
      </c>
      <c r="J68" s="36">
        <f t="shared" si="8"/>
        <v>3255834079.8499994</v>
      </c>
      <c r="K68" s="36">
        <f t="shared" si="8"/>
        <v>3230491095.23</v>
      </c>
      <c r="L68" s="36">
        <f t="shared" si="8"/>
        <v>3185229451.6799998</v>
      </c>
      <c r="M68" s="36">
        <f t="shared" si="8"/>
        <v>3183531330.2999997</v>
      </c>
      <c r="N68" s="36">
        <f t="shared" si="8"/>
        <v>3167197136.0099998</v>
      </c>
      <c r="O68" s="36">
        <f t="shared" si="8"/>
        <v>3144714690.4000001</v>
      </c>
      <c r="P68" s="36">
        <f t="shared" si="8"/>
        <v>2848666476.9200001</v>
      </c>
      <c r="Q68" s="36">
        <f t="shared" si="8"/>
        <v>2814457730.4299994</v>
      </c>
      <c r="R68" s="36">
        <f t="shared" si="8"/>
        <v>2756967482.4099994</v>
      </c>
      <c r="S68" s="36">
        <f t="shared" si="8"/>
        <v>1090431178.7</v>
      </c>
      <c r="T68" s="36">
        <f t="shared" si="8"/>
        <v>1065290545.7399999</v>
      </c>
      <c r="U68" s="36">
        <f t="shared" si="8"/>
        <v>1029096146.12</v>
      </c>
      <c r="V68" s="36">
        <f t="shared" si="8"/>
        <v>916861473.81999993</v>
      </c>
      <c r="W68" s="36">
        <f t="shared" si="8"/>
        <v>899890040.6500001</v>
      </c>
      <c r="X68" s="36">
        <f t="shared" si="8"/>
        <v>856624245.06000006</v>
      </c>
      <c r="Y68" s="36">
        <f t="shared" si="8"/>
        <v>771446100.32000005</v>
      </c>
      <c r="Z68" s="36">
        <f t="shared" si="8"/>
        <v>692226314.25999999</v>
      </c>
      <c r="AA68" s="36">
        <f t="shared" si="8"/>
        <v>667379190.15999997</v>
      </c>
      <c r="AB68" s="36">
        <f t="shared" si="8"/>
        <v>624051318.30999994</v>
      </c>
      <c r="AC68" s="36">
        <f t="shared" si="8"/>
        <v>599295326.76000011</v>
      </c>
      <c r="AD68" s="36">
        <f t="shared" si="8"/>
        <v>551525720.6500001</v>
      </c>
      <c r="AE68" s="36">
        <f t="shared" si="8"/>
        <v>498516378.19000006</v>
      </c>
      <c r="AF68" s="36">
        <f t="shared" si="8"/>
        <v>424447162.40999997</v>
      </c>
      <c r="AG68" s="36">
        <f t="shared" si="8"/>
        <v>385140123.22000009</v>
      </c>
      <c r="AH68" s="36">
        <f t="shared" si="8"/>
        <v>261302961.97</v>
      </c>
      <c r="AI68" s="36">
        <f t="shared" si="8"/>
        <v>141288790.53</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5" t="s">
        <v>48</v>
      </c>
      <c r="B69" s="33">
        <f>B50+B68</f>
        <v>11945308188.91</v>
      </c>
      <c r="C69" s="33">
        <f t="shared" ref="C69:BN69" si="10">C50+C68</f>
        <v>10725778926.900002</v>
      </c>
      <c r="D69" s="33">
        <f t="shared" si="10"/>
        <v>10105908264.940001</v>
      </c>
      <c r="E69" s="33">
        <f t="shared" si="10"/>
        <v>4288885574.6700001</v>
      </c>
      <c r="F69" s="33">
        <f t="shared" si="10"/>
        <v>4133850890.9700003</v>
      </c>
      <c r="G69" s="33">
        <f t="shared" si="10"/>
        <v>4204726504.5999994</v>
      </c>
      <c r="H69" s="33">
        <f t="shared" si="10"/>
        <v>4011200602.9800005</v>
      </c>
      <c r="I69" s="33">
        <f t="shared" si="10"/>
        <v>3903271230.7000008</v>
      </c>
      <c r="J69" s="33">
        <f t="shared" si="10"/>
        <v>4038375223.6399994</v>
      </c>
      <c r="K69" s="33">
        <f t="shared" si="10"/>
        <v>4136557736.5900002</v>
      </c>
      <c r="L69" s="33">
        <f t="shared" si="10"/>
        <v>3915920634.8599997</v>
      </c>
      <c r="M69" s="33">
        <f t="shared" si="10"/>
        <v>3868877944.8699999</v>
      </c>
      <c r="N69" s="33">
        <f t="shared" si="10"/>
        <v>3844105626.7199998</v>
      </c>
      <c r="O69" s="33">
        <f t="shared" si="10"/>
        <v>3686604867.52</v>
      </c>
      <c r="P69" s="33">
        <f t="shared" si="10"/>
        <v>3531510031.4499998</v>
      </c>
      <c r="Q69" s="33">
        <f t="shared" si="10"/>
        <v>3432254846.2999992</v>
      </c>
      <c r="R69" s="33">
        <f t="shared" si="10"/>
        <v>3353525782.6599989</v>
      </c>
      <c r="S69" s="33">
        <f t="shared" si="10"/>
        <v>1656595175.01</v>
      </c>
      <c r="T69" s="33">
        <f t="shared" si="10"/>
        <v>1606639908.0299997</v>
      </c>
      <c r="U69" s="33">
        <f t="shared" si="10"/>
        <v>1537260348.8999999</v>
      </c>
      <c r="V69" s="33">
        <f t="shared" si="10"/>
        <v>1343865673.8399999</v>
      </c>
      <c r="W69" s="33">
        <f t="shared" si="10"/>
        <v>1304622597.0800004</v>
      </c>
      <c r="X69" s="33">
        <f t="shared" si="10"/>
        <v>1298837675.0900002</v>
      </c>
      <c r="Y69" s="33">
        <f t="shared" si="10"/>
        <v>1238319577.5300002</v>
      </c>
      <c r="Z69" s="33">
        <f t="shared" si="10"/>
        <v>1205984109.0999999</v>
      </c>
      <c r="AA69" s="33">
        <f t="shared" si="10"/>
        <v>1151005328.1799998</v>
      </c>
      <c r="AB69" s="33">
        <f t="shared" si="10"/>
        <v>1084724095.29</v>
      </c>
      <c r="AC69" s="33">
        <f t="shared" si="10"/>
        <v>994693783.85000002</v>
      </c>
      <c r="AD69" s="33">
        <f t="shared" si="10"/>
        <v>942538343.2900002</v>
      </c>
      <c r="AE69" s="33">
        <f t="shared" si="10"/>
        <v>853086906.63999999</v>
      </c>
      <c r="AF69" s="33">
        <f t="shared" si="10"/>
        <v>737783989.40999997</v>
      </c>
      <c r="AG69" s="33">
        <f t="shared" si="10"/>
        <v>639823500.2700001</v>
      </c>
      <c r="AH69" s="33">
        <f t="shared" si="10"/>
        <v>407705447.90999997</v>
      </c>
      <c r="AI69" s="33">
        <f t="shared" si="10"/>
        <v>303389804.08000004</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6" t="s">
        <v>49</v>
      </c>
      <c r="B70" s="37">
        <f>B17+B19+B69</f>
        <v>15714222897.889999</v>
      </c>
      <c r="C70" s="37">
        <f t="shared" ref="C70:BN70" si="12">C17+C19+C69</f>
        <v>14548215509.100002</v>
      </c>
      <c r="D70" s="37">
        <f t="shared" si="12"/>
        <v>13923158238.400002</v>
      </c>
      <c r="E70" s="37">
        <f t="shared" si="12"/>
        <v>5428070583.6000004</v>
      </c>
      <c r="F70" s="37">
        <f t="shared" si="12"/>
        <v>5451537175.4099998</v>
      </c>
      <c r="G70" s="37">
        <f t="shared" si="12"/>
        <v>5411170041.9899998</v>
      </c>
      <c r="H70" s="37">
        <f t="shared" si="12"/>
        <v>4905085242.3100004</v>
      </c>
      <c r="I70" s="37">
        <f t="shared" si="12"/>
        <v>4760863114.5800009</v>
      </c>
      <c r="J70" s="37">
        <f t="shared" si="12"/>
        <v>4692761409.4299994</v>
      </c>
      <c r="K70" s="37">
        <f t="shared" si="12"/>
        <v>4712292526.71</v>
      </c>
      <c r="L70" s="37">
        <f t="shared" si="12"/>
        <v>4507665442.1199999</v>
      </c>
      <c r="M70" s="37">
        <f t="shared" si="12"/>
        <v>4414959493.9099998</v>
      </c>
      <c r="N70" s="37">
        <f t="shared" si="12"/>
        <v>4247818095.6599998</v>
      </c>
      <c r="O70" s="37">
        <f t="shared" si="12"/>
        <v>3879059834.29</v>
      </c>
      <c r="P70" s="37">
        <f t="shared" si="12"/>
        <v>3818788766.3099999</v>
      </c>
      <c r="Q70" s="37">
        <f t="shared" si="12"/>
        <v>3728407801.2999992</v>
      </c>
      <c r="R70" s="37">
        <f t="shared" si="12"/>
        <v>3588907581.0099988</v>
      </c>
      <c r="S70" s="37">
        <f t="shared" si="12"/>
        <v>1732859963.9200001</v>
      </c>
      <c r="T70" s="37">
        <f t="shared" si="12"/>
        <v>1688249453.2899997</v>
      </c>
      <c r="U70" s="37">
        <f t="shared" si="12"/>
        <v>1654280150.7399998</v>
      </c>
      <c r="V70" s="37">
        <f t="shared" si="12"/>
        <v>1632272674.0599999</v>
      </c>
      <c r="W70" s="37">
        <f t="shared" si="12"/>
        <v>1700008399.4200003</v>
      </c>
      <c r="X70" s="37">
        <f t="shared" si="12"/>
        <v>1714066680.46</v>
      </c>
      <c r="Y70" s="37">
        <f t="shared" si="12"/>
        <v>1684878209.2800002</v>
      </c>
      <c r="Z70" s="37">
        <f t="shared" si="12"/>
        <v>1662240554.6599998</v>
      </c>
      <c r="AA70" s="37">
        <f t="shared" si="12"/>
        <v>1609411001.1299999</v>
      </c>
      <c r="AB70" s="37">
        <f t="shared" si="12"/>
        <v>1572025077.6300001</v>
      </c>
      <c r="AC70" s="37">
        <f t="shared" si="12"/>
        <v>1548847646.73</v>
      </c>
      <c r="AD70" s="37">
        <f t="shared" si="12"/>
        <v>1536485338.9700003</v>
      </c>
      <c r="AE70" s="37">
        <f t="shared" si="12"/>
        <v>924207122.87</v>
      </c>
      <c r="AF70" s="37">
        <f t="shared" si="12"/>
        <v>818339294.53999996</v>
      </c>
      <c r="AG70" s="37">
        <f t="shared" si="12"/>
        <v>728692992.04000008</v>
      </c>
      <c r="AH70" s="37">
        <f t="shared" si="12"/>
        <v>468666012.45999998</v>
      </c>
      <c r="AI70" s="37">
        <f t="shared" si="12"/>
        <v>320469050.89000005</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303762420</v>
      </c>
      <c r="F72" s="28">
        <f t="shared" ref="F72:BQ72" si="14">SUM(F73:F77)</f>
        <v>314149983.24000001</v>
      </c>
      <c r="G72" s="28">
        <f t="shared" si="14"/>
        <v>338861492.24000001</v>
      </c>
      <c r="H72" s="28">
        <f t="shared" si="14"/>
        <v>308446302.66999996</v>
      </c>
      <c r="I72" s="28">
        <f t="shared" si="14"/>
        <v>271446501.03999996</v>
      </c>
      <c r="J72" s="28">
        <f t="shared" si="14"/>
        <v>296595897.76999998</v>
      </c>
      <c r="K72" s="28">
        <f t="shared" si="14"/>
        <v>316535142.36000001</v>
      </c>
      <c r="L72" s="28">
        <f t="shared" si="14"/>
        <v>281796799.19</v>
      </c>
      <c r="M72" s="28">
        <f t="shared" si="14"/>
        <v>296647251.72000003</v>
      </c>
      <c r="N72" s="28">
        <f t="shared" si="14"/>
        <v>188661368.94999999</v>
      </c>
      <c r="O72" s="28">
        <f t="shared" si="14"/>
        <v>150586152.59</v>
      </c>
      <c r="P72" s="28">
        <f t="shared" si="14"/>
        <v>127226509.59</v>
      </c>
      <c r="Q72" s="28">
        <f t="shared" si="14"/>
        <v>92215531.510000005</v>
      </c>
      <c r="R72" s="28">
        <f t="shared" si="14"/>
        <v>70575188.359999999</v>
      </c>
      <c r="S72" s="28">
        <f t="shared" si="14"/>
        <v>33177945.210000001</v>
      </c>
      <c r="T72" s="28">
        <f t="shared" si="14"/>
        <v>20500000</v>
      </c>
      <c r="U72" s="28">
        <f t="shared" si="14"/>
        <v>8016000</v>
      </c>
      <c r="V72" s="28">
        <f t="shared" si="14"/>
        <v>5000000</v>
      </c>
      <c r="W72" s="28">
        <f t="shared" si="14"/>
        <v>90335244.310000002</v>
      </c>
      <c r="X72" s="28">
        <f t="shared" si="14"/>
        <v>104922392.14</v>
      </c>
      <c r="Y72" s="28">
        <f t="shared" si="14"/>
        <v>95161510.459999993</v>
      </c>
      <c r="Z72" s="28">
        <f t="shared" si="14"/>
        <v>85150616.439999998</v>
      </c>
      <c r="AA72" s="28">
        <f t="shared" si="14"/>
        <v>55102073.969999999</v>
      </c>
      <c r="AB72" s="28">
        <f t="shared" si="14"/>
        <v>5404.5</v>
      </c>
      <c r="AC72" s="28">
        <f t="shared" si="14"/>
        <v>5676214.5</v>
      </c>
      <c r="AD72" s="28">
        <f t="shared" si="14"/>
        <v>12167553.66</v>
      </c>
      <c r="AE72" s="28">
        <f t="shared" si="14"/>
        <v>314459504.74000001</v>
      </c>
      <c r="AF72" s="28">
        <f t="shared" si="14"/>
        <v>307568414.25</v>
      </c>
      <c r="AG72" s="28">
        <f t="shared" si="14"/>
        <v>288733954.25</v>
      </c>
      <c r="AH72" s="28">
        <f t="shared" si="14"/>
        <v>125785730.5</v>
      </c>
      <c r="AI72" s="28">
        <f t="shared" si="14"/>
        <v>121760655.08</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7" t="s">
        <v>52</v>
      </c>
      <c r="B73" s="188">
        <v>224006325</v>
      </c>
      <c r="C73" s="188">
        <v>194430000</v>
      </c>
      <c r="D73" s="188">
        <v>231630000</v>
      </c>
      <c r="E73" s="188">
        <v>231430000</v>
      </c>
      <c r="F73" s="188">
        <v>214450000</v>
      </c>
      <c r="G73" s="188">
        <v>251450000</v>
      </c>
      <c r="H73" s="188">
        <v>226000000</v>
      </c>
      <c r="I73" s="188">
        <v>194000000</v>
      </c>
      <c r="J73" s="188">
        <v>216000000</v>
      </c>
      <c r="K73" s="188">
        <v>216000000</v>
      </c>
      <c r="L73" s="188">
        <v>221000000</v>
      </c>
      <c r="M73" s="188">
        <v>221000000</v>
      </c>
      <c r="N73" s="188">
        <v>188000000</v>
      </c>
      <c r="O73" s="188">
        <v>150000000</v>
      </c>
      <c r="P73" s="188">
        <v>127000000</v>
      </c>
      <c r="Q73" s="188">
        <v>92000000</v>
      </c>
      <c r="R73" s="188">
        <v>70000000</v>
      </c>
      <c r="S73" s="188">
        <v>33000000</v>
      </c>
      <c r="T73" s="188">
        <v>20500000</v>
      </c>
      <c r="U73" s="188">
        <v>8000000</v>
      </c>
      <c r="V73" s="188">
        <v>5000000</v>
      </c>
      <c r="W73" s="188">
        <v>90018111.590000004</v>
      </c>
      <c r="X73" s="188">
        <v>104746585.38</v>
      </c>
      <c r="Y73" s="188">
        <v>95000000</v>
      </c>
      <c r="Z73" s="188">
        <v>85000000</v>
      </c>
      <c r="AA73" s="188">
        <v>55000000</v>
      </c>
      <c r="AB73" s="188">
        <v>0</v>
      </c>
      <c r="AC73" s="188">
        <v>5670810</v>
      </c>
      <c r="AD73" s="188">
        <v>12074310</v>
      </c>
      <c r="AE73" s="188">
        <v>223737520</v>
      </c>
      <c r="AF73" s="188">
        <v>217062505.81</v>
      </c>
      <c r="AG73" s="188">
        <v>198228045.81</v>
      </c>
      <c r="AH73" s="188">
        <v>105500000</v>
      </c>
      <c r="AI73" s="188">
        <v>121500000</v>
      </c>
      <c r="AJ73" s="188">
        <v>0</v>
      </c>
      <c r="AK73" s="188"/>
      <c r="AL73" s="188"/>
      <c r="AM73" s="188"/>
      <c r="AN73" s="188"/>
      <c r="AO73" s="188"/>
      <c r="AP73" s="188"/>
      <c r="AQ73" s="188"/>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c r="A74" s="127" t="s">
        <v>77</v>
      </c>
      <c r="B74" s="188">
        <v>0</v>
      </c>
      <c r="C74" s="188">
        <v>547752.29</v>
      </c>
      <c r="D74" s="188">
        <v>335685.52</v>
      </c>
      <c r="E74" s="188">
        <v>332420</v>
      </c>
      <c r="F74" s="188">
        <v>699983.24</v>
      </c>
      <c r="G74" s="188">
        <v>411492.24</v>
      </c>
      <c r="H74" s="188">
        <v>446302.67</v>
      </c>
      <c r="I74" s="188">
        <v>446501.04</v>
      </c>
      <c r="J74" s="188">
        <v>595897.77</v>
      </c>
      <c r="K74" s="188">
        <v>535142.36</v>
      </c>
      <c r="L74" s="188">
        <v>796799.19</v>
      </c>
      <c r="M74" s="188">
        <v>647251.72</v>
      </c>
      <c r="N74" s="188">
        <v>661368.94999999995</v>
      </c>
      <c r="O74" s="188">
        <v>586152.59</v>
      </c>
      <c r="P74" s="188">
        <v>226509.59</v>
      </c>
      <c r="Q74" s="188">
        <v>215531.51</v>
      </c>
      <c r="R74" s="188">
        <v>575188.36</v>
      </c>
      <c r="S74" s="188">
        <v>177945.21</v>
      </c>
      <c r="T74" s="188">
        <v>0</v>
      </c>
      <c r="U74" s="188">
        <v>16000</v>
      </c>
      <c r="V74" s="188">
        <v>0</v>
      </c>
      <c r="W74" s="188">
        <v>317132.71999999997</v>
      </c>
      <c r="X74" s="188">
        <v>175806.76</v>
      </c>
      <c r="Y74" s="188">
        <v>161510.46</v>
      </c>
      <c r="Z74" s="188">
        <v>150616.44</v>
      </c>
      <c r="AA74" s="188">
        <v>102073.97</v>
      </c>
      <c r="AB74" s="188">
        <v>5404.5</v>
      </c>
      <c r="AC74" s="188">
        <v>5404.5</v>
      </c>
      <c r="AD74" s="188">
        <v>93243.66</v>
      </c>
      <c r="AE74" s="188">
        <v>721984.74</v>
      </c>
      <c r="AF74" s="188">
        <v>505908.44</v>
      </c>
      <c r="AG74" s="188">
        <v>505908.44</v>
      </c>
      <c r="AH74" s="188">
        <v>285730.5</v>
      </c>
      <c r="AI74" s="188">
        <v>260655.08</v>
      </c>
      <c r="AJ74" s="188">
        <v>0</v>
      </c>
      <c r="AK74" s="188"/>
      <c r="AL74" s="188"/>
      <c r="AM74" s="188"/>
      <c r="AN74" s="188"/>
      <c r="AO74" s="188"/>
      <c r="AP74" s="188"/>
      <c r="AQ74" s="188"/>
      <c r="AR74" s="188"/>
      <c r="AS74" s="188"/>
      <c r="AT74" s="188"/>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c r="AL75" s="188"/>
      <c r="AM75" s="188"/>
      <c r="AN75" s="188"/>
      <c r="AO75" s="188"/>
      <c r="AP75" s="188"/>
      <c r="AQ75" s="188"/>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c r="A76" s="127" t="s">
        <v>54</v>
      </c>
      <c r="B76" s="188">
        <v>217500000</v>
      </c>
      <c r="C76" s="188">
        <v>231500000</v>
      </c>
      <c r="D76" s="188">
        <v>52000000</v>
      </c>
      <c r="E76" s="188">
        <v>72000000</v>
      </c>
      <c r="F76" s="188">
        <v>99000000</v>
      </c>
      <c r="G76" s="188">
        <v>87000000</v>
      </c>
      <c r="H76" s="188">
        <v>82000000</v>
      </c>
      <c r="I76" s="188">
        <v>77000000</v>
      </c>
      <c r="J76" s="188">
        <v>80000000</v>
      </c>
      <c r="K76" s="188">
        <v>100000000</v>
      </c>
      <c r="L76" s="188">
        <v>60000000</v>
      </c>
      <c r="M76" s="188">
        <v>75000000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90000000</v>
      </c>
      <c r="AF76" s="188">
        <v>90000000</v>
      </c>
      <c r="AG76" s="188">
        <v>90000000</v>
      </c>
      <c r="AH76" s="188">
        <v>20000000</v>
      </c>
      <c r="AI76" s="188">
        <v>0</v>
      </c>
      <c r="AJ76" s="188">
        <v>0</v>
      </c>
      <c r="AK76" s="188"/>
      <c r="AL76" s="188"/>
      <c r="AM76" s="188"/>
      <c r="AN76" s="188"/>
      <c r="AO76" s="188"/>
      <c r="AP76" s="188"/>
      <c r="AQ76" s="188"/>
      <c r="AR76" s="188"/>
      <c r="AS76" s="188"/>
      <c r="AT76" s="188"/>
      <c r="AU76" s="188"/>
      <c r="AV76" s="188"/>
      <c r="AW76" s="188"/>
      <c r="AX76" s="188"/>
      <c r="AY76" s="188"/>
      <c r="AZ76" s="188"/>
      <c r="BA76" s="188"/>
      <c r="BB76" s="188"/>
      <c r="BC76" s="188"/>
      <c r="BD76" s="188"/>
      <c r="BE76" s="188"/>
      <c r="BF76" s="188"/>
      <c r="BG76" s="188"/>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c r="AL77" s="188"/>
      <c r="AM77" s="188"/>
      <c r="AN77" s="188"/>
      <c r="AO77" s="188"/>
      <c r="AP77" s="188"/>
      <c r="AQ77" s="188"/>
      <c r="AR77" s="188"/>
      <c r="AS77" s="188"/>
      <c r="AT77" s="188"/>
      <c r="AU77" s="188"/>
      <c r="AV77" s="188"/>
      <c r="AW77" s="188"/>
      <c r="AX77" s="188"/>
      <c r="AY77" s="188"/>
      <c r="AZ77" s="188"/>
      <c r="BA77" s="188"/>
      <c r="BB77" s="188"/>
      <c r="BC77" s="188"/>
      <c r="BD77" s="188"/>
      <c r="BE77" s="188"/>
      <c r="BF77" s="188"/>
      <c r="BG77" s="188"/>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t="14.45" hidden="1">
      <c r="A78" s="127"/>
      <c r="B78" s="26"/>
      <c r="C78" s="26"/>
      <c r="D78" s="26"/>
      <c r="E78" s="26"/>
      <c r="F78" s="26"/>
      <c r="G78" s="26"/>
      <c r="H78" s="26"/>
      <c r="I78" s="26"/>
      <c r="J78" s="26"/>
      <c r="K78" s="26"/>
      <c r="L78" s="23"/>
    </row>
    <row r="79" spans="1:90" ht="14.45" hidden="1">
      <c r="A79" s="127"/>
      <c r="B79" s="26"/>
      <c r="C79" s="26"/>
      <c r="D79" s="26"/>
      <c r="E79" s="26"/>
      <c r="F79" s="26"/>
      <c r="G79" s="26"/>
      <c r="H79" s="26"/>
      <c r="I79" s="26"/>
      <c r="J79" s="26"/>
      <c r="K79" s="26"/>
      <c r="L79" s="23"/>
    </row>
    <row r="80" spans="1:90" ht="14.45" hidden="1">
      <c r="A80" s="127"/>
      <c r="B80" s="26"/>
      <c r="C80" s="26"/>
      <c r="D80" s="26"/>
      <c r="E80" s="26"/>
      <c r="F80" s="26"/>
      <c r="G80" s="26"/>
      <c r="H80" s="26"/>
      <c r="I80" s="26"/>
      <c r="J80" s="26"/>
      <c r="K80" s="26"/>
      <c r="L80" s="23"/>
    </row>
    <row r="81" spans="1:90" s="2" customFormat="1">
      <c r="A81" s="20" t="s">
        <v>56</v>
      </c>
      <c r="B81" s="28"/>
      <c r="C81" s="28"/>
      <c r="D81" s="28"/>
      <c r="E81" s="28">
        <f>SUM(E82:E85)</f>
        <v>18000000</v>
      </c>
      <c r="F81" s="28">
        <f t="shared" ref="F81:BQ81" si="16">SUM(F82:F85)</f>
        <v>18000000</v>
      </c>
      <c r="G81" s="28">
        <f t="shared" si="16"/>
        <v>50000000</v>
      </c>
      <c r="H81" s="28">
        <f t="shared" si="16"/>
        <v>70000000</v>
      </c>
      <c r="I81" s="28">
        <f t="shared" si="16"/>
        <v>90000000</v>
      </c>
      <c r="J81" s="28">
        <f t="shared" si="16"/>
        <v>110000000</v>
      </c>
      <c r="K81" s="28">
        <f t="shared" si="16"/>
        <v>125000000</v>
      </c>
      <c r="L81" s="28">
        <f t="shared" si="16"/>
        <v>110000000</v>
      </c>
      <c r="M81" s="28">
        <f t="shared" si="16"/>
        <v>125000000</v>
      </c>
      <c r="N81" s="28">
        <f t="shared" si="16"/>
        <v>200000000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110000000</v>
      </c>
      <c r="AF81" s="28">
        <f t="shared" si="16"/>
        <v>60000000</v>
      </c>
      <c r="AG81" s="28">
        <f t="shared" si="16"/>
        <v>30000000</v>
      </c>
      <c r="AH81" s="28">
        <f t="shared" si="16"/>
        <v>44000000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7" t="s">
        <v>57</v>
      </c>
      <c r="B82" s="188">
        <v>0</v>
      </c>
      <c r="C82" s="188">
        <v>0</v>
      </c>
      <c r="D82" s="188">
        <v>0</v>
      </c>
      <c r="E82" s="188">
        <v>0</v>
      </c>
      <c r="F82" s="188">
        <v>0</v>
      </c>
      <c r="G82" s="188">
        <v>20000000</v>
      </c>
      <c r="H82" s="188">
        <v>40000000</v>
      </c>
      <c r="I82" s="188">
        <v>60000000</v>
      </c>
      <c r="J82" s="188">
        <v>80000000</v>
      </c>
      <c r="K82" s="188">
        <v>95000000</v>
      </c>
      <c r="L82" s="188">
        <v>110000000</v>
      </c>
      <c r="M82" s="188">
        <v>125000000</v>
      </c>
      <c r="N82" s="188">
        <v>200000000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110000000</v>
      </c>
      <c r="AF82" s="188">
        <v>60000000</v>
      </c>
      <c r="AG82" s="188">
        <v>30000000</v>
      </c>
      <c r="AH82" s="188">
        <v>44000000</v>
      </c>
      <c r="AI82" s="188">
        <v>0</v>
      </c>
      <c r="AJ82" s="188">
        <v>0</v>
      </c>
      <c r="AK82" s="188"/>
      <c r="AL82" s="188"/>
      <c r="AM82" s="188"/>
      <c r="AN82" s="188"/>
      <c r="AO82" s="188"/>
      <c r="AP82" s="188"/>
      <c r="AQ82" s="188"/>
      <c r="AR82" s="188"/>
      <c r="AS82" s="188"/>
      <c r="AT82" s="188"/>
      <c r="AU82" s="188"/>
      <c r="AV82" s="188"/>
      <c r="AW82" s="188"/>
      <c r="AX82" s="188"/>
      <c r="AY82" s="188"/>
      <c r="AZ82" s="188"/>
      <c r="BA82" s="188"/>
      <c r="BB82" s="188"/>
      <c r="BC82" s="188"/>
      <c r="BD82" s="188"/>
      <c r="BE82" s="188"/>
      <c r="BF82" s="188"/>
      <c r="BG82" s="188"/>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c r="AL83" s="188"/>
      <c r="AM83" s="188"/>
      <c r="AN83" s="188"/>
      <c r="AO83" s="188"/>
      <c r="AP83" s="188"/>
      <c r="AQ83" s="188"/>
      <c r="AR83" s="188"/>
      <c r="AS83" s="188"/>
      <c r="AT83" s="188"/>
      <c r="AU83" s="188"/>
      <c r="AV83" s="188"/>
      <c r="AW83" s="188"/>
      <c r="AX83" s="188"/>
      <c r="AY83" s="188"/>
      <c r="AZ83" s="188"/>
      <c r="BA83" s="188"/>
      <c r="BB83" s="188"/>
      <c r="BC83" s="188"/>
      <c r="BD83" s="188"/>
      <c r="BE83" s="188"/>
      <c r="BF83" s="188"/>
      <c r="BG83" s="188"/>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c r="A84" s="127" t="s">
        <v>59</v>
      </c>
      <c r="B84" s="188">
        <v>0</v>
      </c>
      <c r="C84" s="188">
        <v>0</v>
      </c>
      <c r="D84" s="188">
        <v>0</v>
      </c>
      <c r="E84" s="188">
        <v>0</v>
      </c>
      <c r="F84" s="188">
        <v>0</v>
      </c>
      <c r="G84" s="188">
        <v>0</v>
      </c>
      <c r="H84" s="188">
        <v>0</v>
      </c>
      <c r="I84" s="188">
        <v>0</v>
      </c>
      <c r="J84" s="188">
        <v>30000000</v>
      </c>
      <c r="K84" s="188">
        <v>30000000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c r="AL84" s="188"/>
      <c r="AM84" s="188"/>
      <c r="AN84" s="188"/>
      <c r="AO84" s="188"/>
      <c r="AP84" s="188"/>
      <c r="AQ84" s="188"/>
      <c r="AR84" s="188"/>
      <c r="AS84" s="188"/>
      <c r="AT84" s="188"/>
      <c r="AU84" s="188"/>
      <c r="AV84" s="188"/>
      <c r="AW84" s="188"/>
      <c r="AX84" s="188"/>
      <c r="AY84" s="188"/>
      <c r="AZ84" s="188"/>
      <c r="BA84" s="188"/>
      <c r="BB84" s="188"/>
      <c r="BC84" s="188"/>
      <c r="BD84" s="188"/>
      <c r="BE84" s="188"/>
      <c r="BF84" s="188"/>
      <c r="BG84" s="188"/>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c r="A85" s="127" t="s">
        <v>83</v>
      </c>
      <c r="B85" s="188">
        <v>0</v>
      </c>
      <c r="C85" s="188">
        <v>18000000</v>
      </c>
      <c r="D85" s="188">
        <v>18000000</v>
      </c>
      <c r="E85" s="188">
        <v>18000000</v>
      </c>
      <c r="F85" s="188">
        <v>18000000</v>
      </c>
      <c r="G85" s="188">
        <v>30000000</v>
      </c>
      <c r="H85" s="188">
        <v>30000000</v>
      </c>
      <c r="I85" s="188">
        <v>30000000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c r="AL85" s="188"/>
      <c r="AM85" s="188"/>
      <c r="AN85" s="188"/>
      <c r="AO85" s="188"/>
      <c r="AP85" s="188"/>
      <c r="AQ85" s="188"/>
      <c r="AR85" s="188"/>
      <c r="AS85" s="188"/>
      <c r="AT85" s="188"/>
      <c r="AU85" s="188"/>
      <c r="AV85" s="188"/>
      <c r="AW85" s="188"/>
      <c r="AX85" s="188"/>
      <c r="AY85" s="188"/>
      <c r="AZ85" s="188"/>
      <c r="BA85" s="188"/>
      <c r="BB85" s="188"/>
      <c r="BC85" s="188"/>
      <c r="BD85" s="188"/>
      <c r="BE85" s="188"/>
      <c r="BF85" s="188"/>
      <c r="BG85" s="188"/>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t="14.45" hidden="1">
      <c r="A86" s="127"/>
      <c r="B86" s="26"/>
      <c r="C86" s="26"/>
      <c r="D86" s="26"/>
      <c r="E86" s="26"/>
      <c r="F86" s="26"/>
      <c r="G86" s="26"/>
      <c r="H86" s="26"/>
      <c r="I86" s="26"/>
      <c r="J86" s="26"/>
      <c r="K86" s="26"/>
      <c r="L86" s="23"/>
    </row>
    <row r="87" spans="1:90" ht="14.45" hidden="1">
      <c r="A87" s="127"/>
      <c r="B87" s="26"/>
      <c r="C87" s="26"/>
      <c r="D87" s="26"/>
      <c r="E87" s="26"/>
      <c r="F87" s="26"/>
      <c r="G87" s="26"/>
      <c r="H87" s="26"/>
      <c r="I87" s="26"/>
      <c r="J87" s="26"/>
      <c r="K87" s="26"/>
      <c r="L87" s="23"/>
    </row>
    <row r="88" spans="1:90" ht="14.45" hidden="1">
      <c r="A88" s="127"/>
      <c r="B88" s="26"/>
      <c r="C88" s="26"/>
      <c r="D88" s="26"/>
      <c r="E88" s="26"/>
      <c r="F88" s="26"/>
      <c r="G88" s="26"/>
      <c r="H88" s="26"/>
      <c r="I88" s="26"/>
      <c r="J88" s="26"/>
      <c r="K88" s="26"/>
      <c r="L88" s="23"/>
    </row>
    <row r="89" spans="1:90" s="5" customFormat="1">
      <c r="A89" s="128" t="s">
        <v>60</v>
      </c>
      <c r="B89" s="33">
        <f>SUM(B73:B85)</f>
        <v>441506325</v>
      </c>
      <c r="C89" s="33">
        <f>SUM(C73:C85)</f>
        <v>444477752.28999996</v>
      </c>
      <c r="D89" s="33">
        <f>SUM(D73:D85)</f>
        <v>301965685.51999998</v>
      </c>
      <c r="E89" s="33">
        <f>E72+E81</f>
        <v>321762420</v>
      </c>
      <c r="F89" s="33">
        <f t="shared" ref="F89:BQ89" si="18">F72+F81</f>
        <v>332149983.24000001</v>
      </c>
      <c r="G89" s="33">
        <f t="shared" si="18"/>
        <v>388861492.24000001</v>
      </c>
      <c r="H89" s="33">
        <f t="shared" si="18"/>
        <v>378446302.66999996</v>
      </c>
      <c r="I89" s="33">
        <f t="shared" si="18"/>
        <v>361446501.03999996</v>
      </c>
      <c r="J89" s="33">
        <f t="shared" si="18"/>
        <v>406595897.76999998</v>
      </c>
      <c r="K89" s="33">
        <f t="shared" si="18"/>
        <v>441535142.36000001</v>
      </c>
      <c r="L89" s="33">
        <f t="shared" si="18"/>
        <v>391796799.19</v>
      </c>
      <c r="M89" s="33">
        <f t="shared" si="18"/>
        <v>421647251.72000003</v>
      </c>
      <c r="N89" s="33">
        <f t="shared" si="18"/>
        <v>388661368.94999999</v>
      </c>
      <c r="O89" s="33">
        <f t="shared" si="18"/>
        <v>150586152.59</v>
      </c>
      <c r="P89" s="33">
        <f t="shared" si="18"/>
        <v>127226509.59</v>
      </c>
      <c r="Q89" s="33">
        <f t="shared" si="18"/>
        <v>92215531.510000005</v>
      </c>
      <c r="R89" s="33">
        <f t="shared" si="18"/>
        <v>70575188.359999999</v>
      </c>
      <c r="S89" s="33">
        <f t="shared" si="18"/>
        <v>33177945.210000001</v>
      </c>
      <c r="T89" s="33">
        <f t="shared" si="18"/>
        <v>20500000</v>
      </c>
      <c r="U89" s="33">
        <f t="shared" si="18"/>
        <v>8016000</v>
      </c>
      <c r="V89" s="33">
        <f t="shared" si="18"/>
        <v>5000000</v>
      </c>
      <c r="W89" s="33">
        <f t="shared" si="18"/>
        <v>90335244.310000002</v>
      </c>
      <c r="X89" s="33">
        <f t="shared" si="18"/>
        <v>104922392.14</v>
      </c>
      <c r="Y89" s="33">
        <f t="shared" si="18"/>
        <v>95161510.459999993</v>
      </c>
      <c r="Z89" s="33">
        <f t="shared" si="18"/>
        <v>85150616.439999998</v>
      </c>
      <c r="AA89" s="33">
        <f t="shared" si="18"/>
        <v>55102073.969999999</v>
      </c>
      <c r="AB89" s="33">
        <f t="shared" si="18"/>
        <v>5404.5</v>
      </c>
      <c r="AC89" s="33">
        <f t="shared" si="18"/>
        <v>5676214.5</v>
      </c>
      <c r="AD89" s="33">
        <f t="shared" si="18"/>
        <v>12167553.66</v>
      </c>
      <c r="AE89" s="33">
        <f t="shared" si="18"/>
        <v>424459504.74000001</v>
      </c>
      <c r="AF89" s="33">
        <f t="shared" si="18"/>
        <v>367568414.25</v>
      </c>
      <c r="AG89" s="33">
        <f t="shared" si="18"/>
        <v>318733954.25</v>
      </c>
      <c r="AH89" s="33">
        <f t="shared" si="18"/>
        <v>169785730.5</v>
      </c>
      <c r="AI89" s="33">
        <f t="shared" si="18"/>
        <v>121760655.08</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7" t="s">
        <v>62</v>
      </c>
      <c r="B91" s="188">
        <v>1459222653</v>
      </c>
      <c r="C91" s="188">
        <v>1459222653</v>
      </c>
      <c r="D91" s="188">
        <v>1459222653</v>
      </c>
      <c r="E91" s="188">
        <v>1027092040</v>
      </c>
      <c r="F91" s="188">
        <v>1027092040</v>
      </c>
      <c r="G91" s="188">
        <v>1027092040</v>
      </c>
      <c r="H91" s="188">
        <v>1027092040</v>
      </c>
      <c r="I91" s="188">
        <v>1027092040</v>
      </c>
      <c r="J91" s="188">
        <v>1027092040</v>
      </c>
      <c r="K91" s="188">
        <v>1027092040</v>
      </c>
      <c r="L91" s="188">
        <v>1027092040</v>
      </c>
      <c r="M91" s="188">
        <v>1027092040</v>
      </c>
      <c r="N91" s="188">
        <v>1027092040</v>
      </c>
      <c r="O91" s="188">
        <v>1027092040</v>
      </c>
      <c r="P91" s="188">
        <v>513546020</v>
      </c>
      <c r="Q91" s="188">
        <v>513546020</v>
      </c>
      <c r="R91" s="188">
        <v>513546020</v>
      </c>
      <c r="S91" s="188">
        <v>262500000</v>
      </c>
      <c r="T91" s="188">
        <v>262500000</v>
      </c>
      <c r="U91" s="188">
        <v>262500000</v>
      </c>
      <c r="V91" s="188">
        <v>262500000</v>
      </c>
      <c r="W91" s="188">
        <v>262500000</v>
      </c>
      <c r="X91" s="188">
        <v>262500000</v>
      </c>
      <c r="Y91" s="188">
        <v>262500000</v>
      </c>
      <c r="Z91" s="188">
        <v>262500000</v>
      </c>
      <c r="AA91" s="188">
        <v>262500000</v>
      </c>
      <c r="AB91" s="188">
        <v>175000000</v>
      </c>
      <c r="AC91" s="188">
        <v>175000000</v>
      </c>
      <c r="AD91" s="188">
        <v>175000000</v>
      </c>
      <c r="AE91" s="188">
        <v>130000000</v>
      </c>
      <c r="AF91" s="188">
        <v>130000000</v>
      </c>
      <c r="AG91" s="188">
        <v>130000000</v>
      </c>
      <c r="AH91" s="188">
        <v>130000000</v>
      </c>
      <c r="AI91" s="188">
        <v>130000000</v>
      </c>
      <c r="AJ91" s="188">
        <v>0</v>
      </c>
      <c r="AK91" s="188"/>
      <c r="AL91" s="188"/>
      <c r="AM91" s="188"/>
      <c r="AN91" s="188"/>
      <c r="AO91" s="188"/>
      <c r="AP91" s="188"/>
      <c r="AQ91" s="188"/>
      <c r="AR91" s="188"/>
      <c r="AS91" s="188"/>
      <c r="AT91" s="188"/>
      <c r="AU91" s="188"/>
      <c r="AV91" s="188"/>
      <c r="AW91" s="188"/>
      <c r="AX91" s="188"/>
      <c r="AY91" s="188"/>
      <c r="AZ91" s="188"/>
      <c r="BA91" s="188"/>
      <c r="BB91" s="188"/>
      <c r="BC91" s="188"/>
      <c r="BD91" s="188"/>
      <c r="BE91" s="188"/>
      <c r="BF91" s="188"/>
      <c r="BG91" s="188"/>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c r="A92" s="127" t="s">
        <v>63</v>
      </c>
      <c r="B92" s="188">
        <v>9689543181.5100002</v>
      </c>
      <c r="C92" s="188">
        <v>9696512781.5100002</v>
      </c>
      <c r="D92" s="188">
        <v>9689543181.5100002</v>
      </c>
      <c r="E92" s="188">
        <v>1883495020.9200001</v>
      </c>
      <c r="F92" s="188">
        <v>1894989770.9200001</v>
      </c>
      <c r="G92" s="188">
        <v>1894989770.9200001</v>
      </c>
      <c r="H92" s="188">
        <v>1894989770.9200001</v>
      </c>
      <c r="I92" s="188">
        <v>1894989770.9200001</v>
      </c>
      <c r="J92" s="188">
        <v>1894989770.9200001</v>
      </c>
      <c r="K92" s="188">
        <v>1894989770.9200001</v>
      </c>
      <c r="L92" s="188">
        <v>1894989770.9200001</v>
      </c>
      <c r="M92" s="188">
        <v>1894989770.9200001</v>
      </c>
      <c r="N92" s="188">
        <v>1894989770.9200001</v>
      </c>
      <c r="O92" s="188">
        <v>1894989770.9200001</v>
      </c>
      <c r="P92" s="188">
        <v>2408535790.9200001</v>
      </c>
      <c r="Q92" s="188">
        <v>2408535790.9200001</v>
      </c>
      <c r="R92" s="188">
        <v>2408535790.9200001</v>
      </c>
      <c r="S92" s="188">
        <v>880689830.02999997</v>
      </c>
      <c r="T92" s="188">
        <v>880689830.02999997</v>
      </c>
      <c r="U92" s="188">
        <v>880689830.02999997</v>
      </c>
      <c r="V92" s="188">
        <v>880689830.02999997</v>
      </c>
      <c r="W92" s="188">
        <v>880689830.02999997</v>
      </c>
      <c r="X92" s="188">
        <v>880689830.02999997</v>
      </c>
      <c r="Y92" s="188">
        <v>880689830.02999997</v>
      </c>
      <c r="Z92" s="188">
        <v>880689830.02999997</v>
      </c>
      <c r="AA92" s="188">
        <v>880689830.02999997</v>
      </c>
      <c r="AB92" s="188">
        <v>968189830.02999997</v>
      </c>
      <c r="AC92" s="188">
        <v>968189830.02999997</v>
      </c>
      <c r="AD92" s="188">
        <v>968189830.02999997</v>
      </c>
      <c r="AE92" s="188">
        <v>21424830.030000001</v>
      </c>
      <c r="AF92" s="188">
        <v>21424830.030000001</v>
      </c>
      <c r="AG92" s="188">
        <v>21424830.030000001</v>
      </c>
      <c r="AH92" s="188">
        <v>21424830.030000001</v>
      </c>
      <c r="AI92" s="188">
        <v>21424830.030000001</v>
      </c>
      <c r="AJ92" s="188">
        <v>0</v>
      </c>
      <c r="AK92" s="188"/>
      <c r="AL92" s="188"/>
      <c r="AM92" s="188"/>
      <c r="AN92" s="188"/>
      <c r="AO92" s="188"/>
      <c r="AP92" s="188"/>
      <c r="AQ92" s="188"/>
      <c r="AR92" s="188"/>
      <c r="AS92" s="188"/>
      <c r="AT92" s="188"/>
      <c r="AU92" s="188"/>
      <c r="AV92" s="188"/>
      <c r="AW92" s="188"/>
      <c r="AX92" s="188"/>
      <c r="AY92" s="188"/>
      <c r="AZ92" s="188"/>
      <c r="BA92" s="188"/>
      <c r="BB92" s="188"/>
      <c r="BC92" s="188"/>
      <c r="BD92" s="188"/>
      <c r="BE92" s="188"/>
      <c r="BF92" s="188"/>
      <c r="BG92" s="188"/>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c r="A93" s="127"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c r="A94" s="127" t="s">
        <v>65</v>
      </c>
      <c r="B94" s="188">
        <v>155533803.05000001</v>
      </c>
      <c r="C94" s="188">
        <v>69509271.730000004</v>
      </c>
      <c r="D94" s="188">
        <v>-16736104.77</v>
      </c>
      <c r="E94" s="188">
        <v>-3273993.29</v>
      </c>
      <c r="F94" s="188">
        <v>-1342217.07</v>
      </c>
      <c r="G94" s="188">
        <v>565665.04</v>
      </c>
      <c r="H94" s="188">
        <v>698432.25</v>
      </c>
      <c r="I94" s="188">
        <v>729413.6</v>
      </c>
      <c r="J94" s="188">
        <v>470515.82</v>
      </c>
      <c r="K94" s="188">
        <v>419467.6</v>
      </c>
      <c r="L94" s="188">
        <v>225170.46</v>
      </c>
      <c r="M94" s="188">
        <v>256255.88</v>
      </c>
      <c r="N94" s="188">
        <v>110415.58</v>
      </c>
      <c r="O94" s="188">
        <v>-44932.04</v>
      </c>
      <c r="P94" s="188">
        <v>-26271.95</v>
      </c>
      <c r="Q94" s="188">
        <v>-24098.57</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c r="A96" s="127" t="s">
        <v>67</v>
      </c>
      <c r="B96" s="188">
        <v>84080624.629999995</v>
      </c>
      <c r="C96" s="188">
        <v>84080624.629999995</v>
      </c>
      <c r="D96" s="188">
        <v>84080624.629999995</v>
      </c>
      <c r="E96" s="188">
        <v>84080624.629999995</v>
      </c>
      <c r="F96" s="188">
        <v>90467995.819999993</v>
      </c>
      <c r="G96" s="188">
        <v>78950746.920000002</v>
      </c>
      <c r="H96" s="188">
        <v>78950746.920000002</v>
      </c>
      <c r="I96" s="188">
        <v>78950746.920000002</v>
      </c>
      <c r="J96" s="188">
        <v>74838333.450000003</v>
      </c>
      <c r="K96" s="188">
        <v>74838333.450000003</v>
      </c>
      <c r="L96" s="188">
        <v>73166698.879999995</v>
      </c>
      <c r="M96" s="188">
        <v>73166698.879999995</v>
      </c>
      <c r="N96" s="188">
        <v>65640437.670000002</v>
      </c>
      <c r="O96" s="188">
        <v>65640437.670000002</v>
      </c>
      <c r="P96" s="188">
        <v>65640437.670000002</v>
      </c>
      <c r="Q96" s="188">
        <v>65640437.670000002</v>
      </c>
      <c r="R96" s="188">
        <v>60139589.859999999</v>
      </c>
      <c r="S96" s="188">
        <v>60139589.859999999</v>
      </c>
      <c r="T96" s="188">
        <v>60139589.859999999</v>
      </c>
      <c r="U96" s="188">
        <v>60139589.859999999</v>
      </c>
      <c r="V96" s="188">
        <v>53952733.350000001</v>
      </c>
      <c r="W96" s="188">
        <v>53952733.350000001</v>
      </c>
      <c r="X96" s="188">
        <v>53952733.350000001</v>
      </c>
      <c r="Y96" s="188">
        <v>53952733.350000001</v>
      </c>
      <c r="Z96" s="188">
        <v>44447367.789999999</v>
      </c>
      <c r="AA96" s="188">
        <v>44447367.789999999</v>
      </c>
      <c r="AB96" s="188">
        <v>44447367.789999999</v>
      </c>
      <c r="AC96" s="188">
        <v>44447367.789999999</v>
      </c>
      <c r="AD96" s="188">
        <v>30376131.640000001</v>
      </c>
      <c r="AE96" s="188">
        <v>30376131.640000001</v>
      </c>
      <c r="AF96" s="188">
        <v>30376131.640000001</v>
      </c>
      <c r="AG96" s="188">
        <v>30376131.640000001</v>
      </c>
      <c r="AH96" s="188">
        <v>14613440.789999999</v>
      </c>
      <c r="AI96" s="188">
        <v>4750285.78</v>
      </c>
      <c r="AJ96" s="188">
        <v>0</v>
      </c>
      <c r="AK96" s="188">
        <v>499092613</v>
      </c>
      <c r="AL96" s="188">
        <v>499092613</v>
      </c>
      <c r="AM96" s="188">
        <v>499092613</v>
      </c>
      <c r="AN96" s="188">
        <v>499092613</v>
      </c>
      <c r="AO96" s="188">
        <v>499092613</v>
      </c>
      <c r="AP96" s="188">
        <v>499092613</v>
      </c>
      <c r="AQ96" s="188">
        <v>499092613</v>
      </c>
      <c r="AR96" s="188">
        <v>499092613</v>
      </c>
      <c r="AS96" s="188">
        <v>499092613</v>
      </c>
      <c r="AT96" s="188">
        <v>494122613</v>
      </c>
      <c r="AU96" s="188">
        <v>494122613</v>
      </c>
      <c r="AV96" s="188">
        <v>494122613</v>
      </c>
      <c r="AW96" s="188">
        <v>494122613</v>
      </c>
      <c r="AX96" s="188">
        <v>494122613</v>
      </c>
      <c r="AY96" s="188">
        <v>494122613</v>
      </c>
      <c r="AZ96" s="188">
        <v>494122613</v>
      </c>
      <c r="BA96" s="188">
        <v>494122613</v>
      </c>
      <c r="BB96" s="188">
        <v>494122613</v>
      </c>
      <c r="BC96" s="188">
        <v>494122613</v>
      </c>
      <c r="BD96" s="188">
        <v>494122613</v>
      </c>
      <c r="BE96" s="188">
        <v>494122613</v>
      </c>
      <c r="BF96" s="188">
        <v>429294143</v>
      </c>
      <c r="BG96" s="188">
        <v>429294143</v>
      </c>
      <c r="BH96" s="188">
        <v>429294143</v>
      </c>
      <c r="BI96" s="188">
        <v>412486206</v>
      </c>
      <c r="BJ96" s="188">
        <v>268351151.63999999</v>
      </c>
      <c r="BK96" s="188">
        <v>268351151.63999999</v>
      </c>
      <c r="BL96" s="188">
        <v>268351151.63999999</v>
      </c>
      <c r="BM96" s="188">
        <v>268351152</v>
      </c>
      <c r="BN96" s="188">
        <v>235313423.78999999</v>
      </c>
      <c r="BO96" s="188">
        <v>235313423.78999999</v>
      </c>
      <c r="BP96" s="188">
        <v>235313423.78999999</v>
      </c>
      <c r="BQ96" s="188">
        <v>235313424</v>
      </c>
      <c r="BR96" s="188">
        <v>229474662.24000001</v>
      </c>
      <c r="BS96" s="188">
        <v>211710661</v>
      </c>
      <c r="BT96" s="188">
        <v>185316331</v>
      </c>
      <c r="BU96" s="188">
        <v>185316331</v>
      </c>
      <c r="BV96" s="188">
        <v>155513905.77000001</v>
      </c>
      <c r="BW96" s="188">
        <v>155515000</v>
      </c>
      <c r="BX96" s="188">
        <v>131225769.34</v>
      </c>
      <c r="BY96" s="188">
        <v>131227000</v>
      </c>
      <c r="BZ96" s="188">
        <v>54743000</v>
      </c>
      <c r="CA96" s="188">
        <v>54743000</v>
      </c>
      <c r="CB96" s="188">
        <v>38604000</v>
      </c>
      <c r="CC96" s="188">
        <v>23318000</v>
      </c>
      <c r="CD96" s="188">
        <v>0</v>
      </c>
      <c r="CE96" s="188">
        <v>34778000</v>
      </c>
      <c r="CF96" s="188">
        <v>10546287.800000001</v>
      </c>
      <c r="CG96" s="188">
        <v>1136843.69</v>
      </c>
      <c r="CH96" s="188">
        <v>0</v>
      </c>
      <c r="CI96" s="188">
        <v>0</v>
      </c>
      <c r="CJ96" s="188">
        <v>0</v>
      </c>
      <c r="CK96" s="188">
        <v>0</v>
      </c>
      <c r="CL96" s="188">
        <v>0</v>
      </c>
    </row>
    <row r="97" spans="1:90">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c r="A98" s="127" t="s">
        <v>69</v>
      </c>
      <c r="B98" s="188">
        <v>2937922195.0700002</v>
      </c>
      <c r="C98" s="188">
        <v>2768679227.9400001</v>
      </c>
      <c r="D98" s="188">
        <v>2371727033.02</v>
      </c>
      <c r="E98" s="188">
        <v>2058168693.26</v>
      </c>
      <c r="F98" s="188">
        <v>2086431229.05</v>
      </c>
      <c r="G98" s="188">
        <v>2001458541.6700001</v>
      </c>
      <c r="H98" s="188">
        <v>1508394788.48</v>
      </c>
      <c r="I98" s="188">
        <v>1383267508.0699999</v>
      </c>
      <c r="J98" s="188">
        <v>1276601653.3199999</v>
      </c>
      <c r="K98" s="188">
        <v>1261388523.6600001</v>
      </c>
      <c r="L98" s="188">
        <v>1109784482.52</v>
      </c>
      <c r="M98" s="188">
        <v>988305084.87</v>
      </c>
      <c r="N98" s="188">
        <v>862423605.27999997</v>
      </c>
      <c r="O98" s="188">
        <v>732252821.98000002</v>
      </c>
      <c r="P98" s="188">
        <v>694021609.82000005</v>
      </c>
      <c r="Q98" s="188">
        <v>639317866.36000001</v>
      </c>
      <c r="R98" s="188">
        <v>527516106.55000001</v>
      </c>
      <c r="S98" s="188">
        <v>488163269.31</v>
      </c>
      <c r="T98" s="188">
        <v>456905858.35000002</v>
      </c>
      <c r="U98" s="188">
        <v>435650608.61000001</v>
      </c>
      <c r="V98" s="188">
        <v>423323335.5</v>
      </c>
      <c r="W98" s="188">
        <v>406122580.30000001</v>
      </c>
      <c r="X98" s="188">
        <v>406028139.31</v>
      </c>
      <c r="Y98" s="188">
        <v>386926416.00999999</v>
      </c>
      <c r="Z98" s="188">
        <v>389452740.39999998</v>
      </c>
      <c r="AA98" s="188">
        <v>366671729.33999997</v>
      </c>
      <c r="AB98" s="188">
        <v>384382475.31</v>
      </c>
      <c r="AC98" s="188">
        <v>355534234.41000003</v>
      </c>
      <c r="AD98" s="188">
        <v>350751823.63999999</v>
      </c>
      <c r="AE98" s="188">
        <v>317946656.45999998</v>
      </c>
      <c r="AF98" s="188">
        <v>268969918.62</v>
      </c>
      <c r="AG98" s="188">
        <v>228158076.12</v>
      </c>
      <c r="AH98" s="188">
        <v>104635200.51000001</v>
      </c>
      <c r="AI98" s="188">
        <v>42533280</v>
      </c>
      <c r="AJ98" s="188">
        <v>0</v>
      </c>
      <c r="AK98" s="188">
        <v>-2298250413</v>
      </c>
      <c r="AL98" s="188">
        <v>-3104932448</v>
      </c>
      <c r="AM98" s="188">
        <v>-3097360310</v>
      </c>
      <c r="AN98" s="188">
        <v>-2758689310</v>
      </c>
      <c r="AO98" s="188">
        <v>-2347930741</v>
      </c>
      <c r="AP98" s="188">
        <v>-1432326733</v>
      </c>
      <c r="AQ98" s="188">
        <v>-1035442003</v>
      </c>
      <c r="AR98" s="188">
        <v>-1234981314</v>
      </c>
      <c r="AS98" s="188">
        <v>-1540405268</v>
      </c>
      <c r="AT98" s="188">
        <v>-2305241785</v>
      </c>
      <c r="AU98" s="188">
        <v>-2725773980</v>
      </c>
      <c r="AV98" s="188">
        <v>-2842254077</v>
      </c>
      <c r="AW98" s="188">
        <v>-2820980284</v>
      </c>
      <c r="AX98" s="188">
        <v>-2725696521</v>
      </c>
      <c r="AY98" s="188">
        <v>-2363174495</v>
      </c>
      <c r="AZ98" s="188">
        <v>-1589112621</v>
      </c>
      <c r="BA98" s="188">
        <v>-1095418183</v>
      </c>
      <c r="BB98" s="188">
        <v>-876143537</v>
      </c>
      <c r="BC98" s="188">
        <v>-497070688</v>
      </c>
      <c r="BD98" s="188">
        <v>71112774</v>
      </c>
      <c r="BE98" s="188">
        <v>521861116</v>
      </c>
      <c r="BF98" s="188">
        <v>899586050.04999995</v>
      </c>
      <c r="BG98" s="188">
        <v>945804566.76999998</v>
      </c>
      <c r="BH98" s="188">
        <v>699824394.11000001</v>
      </c>
      <c r="BI98" s="188">
        <v>409165155</v>
      </c>
      <c r="BJ98" s="188">
        <v>473479438.55000001</v>
      </c>
      <c r="BK98" s="188">
        <v>358133335.43000001</v>
      </c>
      <c r="BL98" s="188">
        <v>226365960.86000001</v>
      </c>
      <c r="BM98" s="188">
        <v>192962577</v>
      </c>
      <c r="BN98" s="188">
        <v>215612655.87</v>
      </c>
      <c r="BO98" s="188">
        <v>199922119.44999999</v>
      </c>
      <c r="BP98" s="188">
        <v>166995939.44999999</v>
      </c>
      <c r="BQ98" s="188">
        <v>143405981</v>
      </c>
      <c r="BR98" s="188">
        <v>212906272.71000001</v>
      </c>
      <c r="BS98" s="188">
        <v>135479535</v>
      </c>
      <c r="BT98" s="188">
        <v>201402029</v>
      </c>
      <c r="BU98" s="188">
        <v>151602964</v>
      </c>
      <c r="BV98" s="188">
        <v>122040732.16</v>
      </c>
      <c r="BW98" s="188">
        <v>106902000</v>
      </c>
      <c r="BX98" s="188">
        <v>102241387.09</v>
      </c>
      <c r="BY98" s="188">
        <v>70469000</v>
      </c>
      <c r="BZ98" s="188">
        <v>301085000</v>
      </c>
      <c r="CA98" s="188">
        <v>232365000</v>
      </c>
      <c r="CB98" s="188">
        <v>144365000</v>
      </c>
      <c r="CC98" s="188">
        <v>121788000</v>
      </c>
      <c r="CD98" s="188">
        <v>0</v>
      </c>
      <c r="CE98" s="188">
        <v>129889000</v>
      </c>
      <c r="CF98" s="188">
        <v>81321459.170000002</v>
      </c>
      <c r="CG98" s="188">
        <v>12975517.09</v>
      </c>
      <c r="CH98" s="188">
        <v>0</v>
      </c>
      <c r="CI98" s="188">
        <v>0</v>
      </c>
      <c r="CJ98" s="188">
        <v>0</v>
      </c>
      <c r="CK98" s="188">
        <v>0</v>
      </c>
      <c r="CL98" s="188">
        <v>0</v>
      </c>
    </row>
    <row r="99" spans="1:90">
      <c r="A99" s="127" t="s">
        <v>70</v>
      </c>
      <c r="B99" s="188">
        <v>0</v>
      </c>
      <c r="C99" s="188">
        <v>142887.57</v>
      </c>
      <c r="D99" s="188">
        <v>0</v>
      </c>
      <c r="E99" s="188">
        <v>9001125</v>
      </c>
      <c r="F99" s="188">
        <v>0</v>
      </c>
      <c r="G99" s="188">
        <v>0</v>
      </c>
      <c r="H99" s="188">
        <v>0</v>
      </c>
      <c r="I99" s="188">
        <v>0</v>
      </c>
      <c r="J99" s="188">
        <v>0</v>
      </c>
      <c r="K99" s="188">
        <v>0</v>
      </c>
      <c r="L99" s="188">
        <v>0</v>
      </c>
      <c r="M99" s="188">
        <v>0</v>
      </c>
      <c r="N99" s="188">
        <v>0</v>
      </c>
      <c r="O99" s="188">
        <v>0</v>
      </c>
      <c r="P99" s="188">
        <v>0</v>
      </c>
      <c r="Q99" s="188">
        <v>0</v>
      </c>
      <c r="R99" s="188">
        <v>0</v>
      </c>
      <c r="S99" s="188">
        <v>0</v>
      </c>
      <c r="T99" s="188">
        <v>0</v>
      </c>
      <c r="U99" s="188">
        <v>0</v>
      </c>
      <c r="V99" s="188">
        <v>0</v>
      </c>
      <c r="W99" s="188">
        <v>0</v>
      </c>
      <c r="X99" s="188">
        <v>0</v>
      </c>
      <c r="Y99" s="188">
        <v>0</v>
      </c>
      <c r="Z99" s="188">
        <v>0</v>
      </c>
      <c r="AA99" s="188">
        <v>0</v>
      </c>
      <c r="AB99" s="188">
        <v>0</v>
      </c>
      <c r="AC99" s="188">
        <v>0</v>
      </c>
      <c r="AD99" s="188">
        <v>0</v>
      </c>
      <c r="AE99" s="188">
        <v>0</v>
      </c>
      <c r="AF99" s="188">
        <v>0</v>
      </c>
      <c r="AG99" s="188">
        <v>0</v>
      </c>
      <c r="AH99" s="188">
        <v>28206810.629999999</v>
      </c>
      <c r="AI99" s="188">
        <v>0</v>
      </c>
      <c r="AJ99" s="188">
        <v>0</v>
      </c>
      <c r="AK99" s="188">
        <v>6667492</v>
      </c>
      <c r="AL99" s="188">
        <v>7096544</v>
      </c>
      <c r="AM99" s="188">
        <v>7085412</v>
      </c>
      <c r="AN99" s="188">
        <v>7093998</v>
      </c>
      <c r="AO99" s="188">
        <v>8093845</v>
      </c>
      <c r="AP99" s="188">
        <v>7950585</v>
      </c>
      <c r="AQ99" s="188">
        <v>8888965</v>
      </c>
      <c r="AR99" s="188">
        <v>6668965</v>
      </c>
      <c r="AS99" s="188">
        <v>6668965</v>
      </c>
      <c r="AT99" s="188">
        <v>6668965</v>
      </c>
      <c r="AU99" s="188">
        <v>6668965</v>
      </c>
      <c r="AV99" s="188">
        <v>6668965</v>
      </c>
      <c r="AW99" s="188">
        <v>6668965</v>
      </c>
      <c r="AX99" s="188">
        <v>7748965</v>
      </c>
      <c r="AY99" s="188">
        <v>7748965</v>
      </c>
      <c r="AZ99" s="188">
        <v>7750411</v>
      </c>
      <c r="BA99" s="188">
        <v>6711906</v>
      </c>
      <c r="BB99" s="188">
        <v>7784658</v>
      </c>
      <c r="BC99" s="188">
        <v>19500102</v>
      </c>
      <c r="BD99" s="188">
        <v>8288206</v>
      </c>
      <c r="BE99" s="188">
        <v>7560958</v>
      </c>
      <c r="BF99" s="188">
        <v>6478661.6299999999</v>
      </c>
      <c r="BG99" s="188">
        <v>14756497.539999999</v>
      </c>
      <c r="BH99" s="188">
        <v>15583753.630000001</v>
      </c>
      <c r="BI99" s="188">
        <v>25869862</v>
      </c>
      <c r="BJ99" s="188">
        <v>15143753.630000001</v>
      </c>
      <c r="BK99" s="188">
        <v>21845021.809999999</v>
      </c>
      <c r="BL99" s="188">
        <v>27743753.629999999</v>
      </c>
      <c r="BM99" s="188">
        <v>30243004</v>
      </c>
      <c r="BN99" s="188">
        <v>31460546.940000001</v>
      </c>
      <c r="BO99" s="188">
        <v>53740006.329999998</v>
      </c>
      <c r="BP99" s="188">
        <v>43994974.899999999</v>
      </c>
      <c r="BQ99" s="188">
        <v>50100875</v>
      </c>
      <c r="BR99" s="188">
        <v>94315187.920000002</v>
      </c>
      <c r="BS99" s="188">
        <v>106015188</v>
      </c>
      <c r="BT99" s="188">
        <v>49447661</v>
      </c>
      <c r="BU99" s="188">
        <v>58288909</v>
      </c>
      <c r="BV99" s="188">
        <v>43582887.5</v>
      </c>
      <c r="BW99" s="188">
        <v>43583000</v>
      </c>
      <c r="BX99" s="188">
        <v>62466840</v>
      </c>
      <c r="BY99" s="188">
        <v>94205000</v>
      </c>
      <c r="BZ99" s="188">
        <v>0</v>
      </c>
      <c r="CA99" s="188">
        <v>29734000</v>
      </c>
      <c r="CB99" s="188">
        <v>27606000</v>
      </c>
      <c r="CC99" s="188">
        <v>347000</v>
      </c>
      <c r="CD99" s="188">
        <v>0</v>
      </c>
      <c r="CE99" s="188">
        <v>0</v>
      </c>
      <c r="CF99" s="188">
        <v>0</v>
      </c>
      <c r="CG99" s="188">
        <v>0</v>
      </c>
      <c r="CH99" s="188">
        <v>0</v>
      </c>
      <c r="CI99" s="188">
        <v>0</v>
      </c>
      <c r="CJ99" s="188">
        <v>0</v>
      </c>
      <c r="CK99" s="188">
        <v>0</v>
      </c>
      <c r="CL99" s="188">
        <v>0</v>
      </c>
    </row>
    <row r="100" spans="1:90">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1220739234</v>
      </c>
      <c r="AX101" s="188">
        <v>1036550197</v>
      </c>
      <c r="AY101" s="188">
        <v>490073074</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c r="BW101" s="188"/>
      <c r="BX101" s="188"/>
      <c r="BY101" s="188"/>
      <c r="BZ101" s="188"/>
      <c r="CA101" s="188"/>
      <c r="CB101" s="188"/>
      <c r="CC101" s="188"/>
      <c r="CD101" s="188"/>
      <c r="CE101" s="188"/>
      <c r="CF101" s="188"/>
      <c r="CG101" s="188"/>
      <c r="CH101" s="188"/>
      <c r="CI101" s="188"/>
      <c r="CJ101" s="188"/>
      <c r="CK101" s="188"/>
      <c r="CL101" s="188"/>
    </row>
    <row r="102" spans="1:90">
      <c r="A102" s="127" t="s">
        <v>72</v>
      </c>
      <c r="B102" s="188">
        <v>14326302457.26</v>
      </c>
      <c r="C102" s="188">
        <v>14078004558.809999</v>
      </c>
      <c r="D102" s="188">
        <v>13587837387.389999</v>
      </c>
      <c r="E102" s="188">
        <v>5049562385.5200005</v>
      </c>
      <c r="F102" s="188">
        <v>5097638818.7200003</v>
      </c>
      <c r="G102" s="188">
        <v>5003056764.5500002</v>
      </c>
      <c r="H102" s="188">
        <v>4510125778.5699997</v>
      </c>
      <c r="I102" s="188">
        <v>4385029479.5100002</v>
      </c>
      <c r="J102" s="188">
        <v>4273992313.5100002</v>
      </c>
      <c r="K102" s="188">
        <v>4258728135.6300001</v>
      </c>
      <c r="L102" s="188">
        <v>4105258162.7800002</v>
      </c>
      <c r="M102" s="188">
        <v>3983809850.5500002</v>
      </c>
      <c r="N102" s="188">
        <v>3850256269.4499998</v>
      </c>
      <c r="O102" s="188">
        <v>3719930138.5300002</v>
      </c>
      <c r="P102" s="188">
        <v>3681717586.46</v>
      </c>
      <c r="Q102" s="188">
        <v>3627016016.3800001</v>
      </c>
      <c r="R102" s="188">
        <v>3509737507.3299999</v>
      </c>
      <c r="S102" s="188">
        <v>1691492689.2</v>
      </c>
      <c r="T102" s="188">
        <v>1660235278.24</v>
      </c>
      <c r="U102" s="188">
        <v>1638980028.5</v>
      </c>
      <c r="V102" s="188">
        <v>1620465898.8800001</v>
      </c>
      <c r="W102" s="188">
        <v>1603265143.6800001</v>
      </c>
      <c r="X102" s="188">
        <v>1603170702.6900001</v>
      </c>
      <c r="Y102" s="188">
        <v>1584068979.3900001</v>
      </c>
      <c r="Z102" s="188">
        <v>1577089938.22</v>
      </c>
      <c r="AA102" s="188">
        <v>1554308927.1600001</v>
      </c>
      <c r="AB102" s="188">
        <v>1572019673.1300001</v>
      </c>
      <c r="AC102" s="188">
        <v>1543171432.23</v>
      </c>
      <c r="AD102" s="188">
        <v>1524317785.3099999</v>
      </c>
      <c r="AE102" s="188">
        <v>499747618.13</v>
      </c>
      <c r="AF102" s="188">
        <v>450770880.29000002</v>
      </c>
      <c r="AG102" s="188">
        <v>409959037.79000002</v>
      </c>
      <c r="AH102" s="188">
        <v>270673471.32999998</v>
      </c>
      <c r="AI102" s="188">
        <v>198708395.81</v>
      </c>
      <c r="AJ102" s="188">
        <v>0</v>
      </c>
      <c r="AK102" s="188">
        <v>18022804672</v>
      </c>
      <c r="AL102" s="188">
        <v>17027805999</v>
      </c>
      <c r="AM102" s="188">
        <v>17006385905</v>
      </c>
      <c r="AN102" s="188">
        <v>5528585367</v>
      </c>
      <c r="AO102" s="188">
        <v>5936222532</v>
      </c>
      <c r="AP102" s="188">
        <v>6839164186</v>
      </c>
      <c r="AQ102" s="188">
        <v>5031035436</v>
      </c>
      <c r="AR102" s="188">
        <v>4847503292</v>
      </c>
      <c r="AS102" s="188">
        <v>4570579149</v>
      </c>
      <c r="AT102" s="188">
        <v>4004255414</v>
      </c>
      <c r="AU102" s="188">
        <v>3583824618</v>
      </c>
      <c r="AV102" s="188">
        <v>3467470623</v>
      </c>
      <c r="AW102" s="188">
        <v>3540702703</v>
      </c>
      <c r="AX102" s="188">
        <v>3437081769</v>
      </c>
      <c r="AY102" s="188">
        <v>1608062582</v>
      </c>
      <c r="AZ102" s="188">
        <v>2874625638</v>
      </c>
      <c r="BA102" s="188">
        <v>3377859054</v>
      </c>
      <c r="BB102" s="188">
        <v>3573676780</v>
      </c>
      <c r="BC102" s="188">
        <v>4006925358</v>
      </c>
      <c r="BD102" s="188">
        <v>4566117197</v>
      </c>
      <c r="BE102" s="188">
        <v>4956438845</v>
      </c>
      <c r="BF102" s="188">
        <v>5213867307.1999998</v>
      </c>
      <c r="BG102" s="188">
        <v>5220095533.4700003</v>
      </c>
      <c r="BH102" s="188">
        <v>4985289967.8599997</v>
      </c>
      <c r="BI102" s="188">
        <v>2554930411</v>
      </c>
      <c r="BJ102" s="188">
        <v>2525307177.0100002</v>
      </c>
      <c r="BK102" s="188">
        <v>2327450427.3499999</v>
      </c>
      <c r="BL102" s="188">
        <v>2088377761.95</v>
      </c>
      <c r="BM102" s="188">
        <v>2183379141</v>
      </c>
      <c r="BN102" s="188">
        <v>2160708795.6199999</v>
      </c>
      <c r="BO102" s="188">
        <v>2140054201.6800001</v>
      </c>
      <c r="BP102" s="188">
        <v>2107128021.6800001</v>
      </c>
      <c r="BQ102" s="188">
        <v>2083538063</v>
      </c>
      <c r="BR102" s="188">
        <v>2147210937.73</v>
      </c>
      <c r="BS102" s="188">
        <v>2052020198</v>
      </c>
      <c r="BT102" s="188">
        <v>1123299085</v>
      </c>
      <c r="BU102" s="188">
        <v>1066544779</v>
      </c>
      <c r="BV102" s="188">
        <v>1006918086.4</v>
      </c>
      <c r="BW102" s="188">
        <v>991780000</v>
      </c>
      <c r="BX102" s="188">
        <v>962830604.89999998</v>
      </c>
      <c r="BY102" s="188">
        <v>931059000</v>
      </c>
      <c r="BZ102" s="188">
        <v>971945000</v>
      </c>
      <c r="CA102" s="188">
        <v>552229000</v>
      </c>
      <c r="CB102" s="188">
        <v>448090000</v>
      </c>
      <c r="CC102" s="188">
        <v>410227000</v>
      </c>
      <c r="CD102" s="188">
        <v>0</v>
      </c>
      <c r="CE102" s="188">
        <v>1079642000</v>
      </c>
      <c r="CF102" s="188">
        <v>1003922431.86</v>
      </c>
      <c r="CG102" s="188">
        <v>492362941.67000002</v>
      </c>
      <c r="CH102" s="188">
        <v>203800000</v>
      </c>
      <c r="CI102" s="188">
        <v>162870000</v>
      </c>
      <c r="CJ102" s="188">
        <v>92660000</v>
      </c>
      <c r="CK102" s="188">
        <v>75420000</v>
      </c>
      <c r="CL102" s="188">
        <v>0</v>
      </c>
    </row>
    <row r="103" spans="1:90">
      <c r="A103" s="127" t="s">
        <v>73</v>
      </c>
      <c r="B103" s="188">
        <v>25635895.289999999</v>
      </c>
      <c r="C103" s="188">
        <v>25590310.43</v>
      </c>
      <c r="D103" s="188">
        <v>33355165.489999998</v>
      </c>
      <c r="E103" s="188">
        <v>47586833.18</v>
      </c>
      <c r="F103" s="188">
        <v>21748373.449999999</v>
      </c>
      <c r="G103" s="188">
        <v>19251785.199999999</v>
      </c>
      <c r="H103" s="188">
        <v>16513161.07</v>
      </c>
      <c r="I103" s="188">
        <v>14387134.029999999</v>
      </c>
      <c r="J103" s="188">
        <v>12173198.15</v>
      </c>
      <c r="K103" s="188">
        <v>12029248.720000001</v>
      </c>
      <c r="L103" s="188">
        <v>10610480.15</v>
      </c>
      <c r="M103" s="188">
        <v>9502391.6400000006</v>
      </c>
      <c r="N103" s="188">
        <v>8900457.2599999998</v>
      </c>
      <c r="O103" s="188">
        <v>8543543.1699999999</v>
      </c>
      <c r="P103" s="188">
        <v>9844670.2599999998</v>
      </c>
      <c r="Q103" s="188">
        <v>9176253.4100000001</v>
      </c>
      <c r="R103" s="188">
        <v>8594885.3200000003</v>
      </c>
      <c r="S103" s="188">
        <v>8189329.5099999998</v>
      </c>
      <c r="T103" s="188">
        <v>7514175.0499999998</v>
      </c>
      <c r="U103" s="188">
        <v>7284122.2400000002</v>
      </c>
      <c r="V103" s="188">
        <v>6806775.1799999997</v>
      </c>
      <c r="W103" s="188">
        <v>6408011.4299999997</v>
      </c>
      <c r="X103" s="188">
        <v>5973585.6299999999</v>
      </c>
      <c r="Y103" s="188">
        <v>5647719.4299999997</v>
      </c>
      <c r="Z103" s="188">
        <v>0</v>
      </c>
      <c r="AA103" s="188">
        <v>0</v>
      </c>
      <c r="AB103" s="188">
        <v>0</v>
      </c>
      <c r="AC103" s="188">
        <v>0</v>
      </c>
      <c r="AD103" s="188">
        <v>0</v>
      </c>
      <c r="AE103" s="188">
        <v>0</v>
      </c>
      <c r="AF103" s="188">
        <v>0</v>
      </c>
      <c r="AG103" s="188">
        <v>0</v>
      </c>
      <c r="AH103" s="188">
        <v>0</v>
      </c>
      <c r="AI103" s="188">
        <v>0</v>
      </c>
      <c r="AJ103" s="188">
        <v>0</v>
      </c>
      <c r="AK103" s="188">
        <v>3913347282</v>
      </c>
      <c r="AL103" s="188">
        <v>607364531</v>
      </c>
      <c r="AM103" s="188">
        <v>662029874</v>
      </c>
      <c r="AN103" s="188">
        <v>723270201</v>
      </c>
      <c r="AO103" s="188">
        <v>782579091</v>
      </c>
      <c r="AP103" s="188">
        <v>963844324</v>
      </c>
      <c r="AQ103" s="188">
        <v>1092307501</v>
      </c>
      <c r="AR103" s="188">
        <v>1024468879</v>
      </c>
      <c r="AS103" s="188">
        <v>950760025</v>
      </c>
      <c r="AT103" s="188">
        <v>810992931</v>
      </c>
      <c r="AU103" s="188">
        <v>702883858</v>
      </c>
      <c r="AV103" s="188">
        <v>682203322</v>
      </c>
      <c r="AW103" s="188">
        <v>756748838</v>
      </c>
      <c r="AX103" s="188">
        <v>796635866</v>
      </c>
      <c r="AY103" s="188">
        <v>226699162</v>
      </c>
      <c r="AZ103" s="188">
        <v>194272632</v>
      </c>
      <c r="BA103" s="188">
        <v>233662540</v>
      </c>
      <c r="BB103" s="188">
        <v>565204054</v>
      </c>
      <c r="BC103" s="188">
        <v>521370567</v>
      </c>
      <c r="BD103" s="188">
        <v>522163194</v>
      </c>
      <c r="BE103" s="188">
        <v>524755858</v>
      </c>
      <c r="BF103" s="188">
        <v>561882724.12</v>
      </c>
      <c r="BG103" s="188">
        <v>528738730.98000002</v>
      </c>
      <c r="BH103" s="188">
        <v>552759436.97000003</v>
      </c>
      <c r="BI103" s="188">
        <v>525250437</v>
      </c>
      <c r="BJ103" s="188">
        <v>467121739.12</v>
      </c>
      <c r="BK103" s="188">
        <v>493954423.87</v>
      </c>
      <c r="BL103" s="188">
        <v>490212932.26999998</v>
      </c>
      <c r="BM103" s="188">
        <v>457511373</v>
      </c>
      <c r="BN103" s="188">
        <v>466320237.73000002</v>
      </c>
      <c r="BO103" s="188">
        <v>406570993.47000003</v>
      </c>
      <c r="BP103" s="188">
        <v>362045799.80000001</v>
      </c>
      <c r="BQ103" s="188">
        <v>252245284</v>
      </c>
      <c r="BR103" s="188">
        <v>252996645.74000001</v>
      </c>
      <c r="BS103" s="188">
        <v>175160663</v>
      </c>
      <c r="BT103" s="188">
        <v>210459055</v>
      </c>
      <c r="BU103" s="188">
        <v>187617363</v>
      </c>
      <c r="BV103" s="188">
        <v>128836905.78</v>
      </c>
      <c r="BW103" s="188">
        <v>100652000</v>
      </c>
      <c r="BX103" s="188">
        <v>27736693.57</v>
      </c>
      <c r="BY103" s="188">
        <v>26950000</v>
      </c>
      <c r="BZ103" s="188">
        <v>22004000</v>
      </c>
      <c r="CA103" s="188">
        <v>22724000</v>
      </c>
      <c r="CB103" s="188">
        <v>18562000</v>
      </c>
      <c r="CC103" s="188">
        <v>13893000</v>
      </c>
      <c r="CD103" s="188">
        <v>0</v>
      </c>
      <c r="CE103" s="188">
        <v>96000</v>
      </c>
      <c r="CF103" s="188">
        <v>305920.90000000002</v>
      </c>
      <c r="CG103" s="188">
        <v>326958.7</v>
      </c>
      <c r="CH103" s="188">
        <v>0</v>
      </c>
      <c r="CI103" s="188">
        <v>0</v>
      </c>
      <c r="CJ103" s="188">
        <v>0</v>
      </c>
      <c r="CK103" s="188">
        <v>0</v>
      </c>
      <c r="CL103" s="188">
        <v>0</v>
      </c>
    </row>
    <row r="104" spans="1:90" ht="14.45" hidden="1">
      <c r="A104" s="127"/>
      <c r="B104" s="26"/>
      <c r="C104" s="26"/>
      <c r="D104" s="26"/>
      <c r="E104" s="26"/>
      <c r="F104" s="26"/>
      <c r="G104" s="26"/>
      <c r="H104" s="26"/>
      <c r="I104" s="26"/>
      <c r="J104" s="26"/>
      <c r="K104" s="26"/>
      <c r="L104" s="23"/>
    </row>
    <row r="105" spans="1:90" ht="14.45" hidden="1">
      <c r="A105" s="127"/>
      <c r="B105" s="26"/>
      <c r="C105" s="26"/>
      <c r="D105" s="26"/>
      <c r="E105" s="26"/>
      <c r="F105" s="26"/>
      <c r="G105" s="26"/>
      <c r="H105" s="26"/>
      <c r="I105" s="26"/>
      <c r="J105" s="26"/>
      <c r="K105" s="26"/>
      <c r="L105" s="23"/>
    </row>
    <row r="106" spans="1:90" ht="14.45" hidden="1">
      <c r="A106" s="127"/>
      <c r="B106" s="26"/>
      <c r="C106" s="26"/>
      <c r="D106" s="26"/>
      <c r="E106" s="26"/>
      <c r="F106" s="26"/>
      <c r="G106" s="26"/>
      <c r="H106" s="26"/>
      <c r="I106" s="26"/>
      <c r="J106" s="26"/>
      <c r="K106" s="26"/>
      <c r="L106" s="23"/>
    </row>
    <row r="107" spans="1:90" s="5" customFormat="1">
      <c r="A107" s="128" t="s">
        <v>74</v>
      </c>
      <c r="B107" s="33">
        <f>B102+B103</f>
        <v>14351938352.550001</v>
      </c>
      <c r="C107" s="33">
        <f>C102+C103</f>
        <v>14103594869.24</v>
      </c>
      <c r="D107" s="33">
        <f>D102+D103</f>
        <v>13621192552.879999</v>
      </c>
      <c r="E107" s="33">
        <f>E102+E103</f>
        <v>5097149218.7000008</v>
      </c>
      <c r="F107" s="33">
        <f t="shared" ref="F107:BQ107" si="20">F102+F103</f>
        <v>5119387192.1700001</v>
      </c>
      <c r="G107" s="33">
        <f t="shared" si="20"/>
        <v>5022308549.75</v>
      </c>
      <c r="H107" s="33">
        <f t="shared" si="20"/>
        <v>4526638939.6399994</v>
      </c>
      <c r="I107" s="33">
        <f t="shared" si="20"/>
        <v>4399416613.54</v>
      </c>
      <c r="J107" s="33">
        <f t="shared" si="20"/>
        <v>4286165511.6600003</v>
      </c>
      <c r="K107" s="33">
        <f t="shared" si="20"/>
        <v>4270757384.3499999</v>
      </c>
      <c r="L107" s="33">
        <f t="shared" si="20"/>
        <v>4115868642.9300003</v>
      </c>
      <c r="M107" s="33">
        <f t="shared" si="20"/>
        <v>3993312242.1900001</v>
      </c>
      <c r="N107" s="33">
        <f t="shared" si="20"/>
        <v>3859156726.71</v>
      </c>
      <c r="O107" s="33">
        <f t="shared" si="20"/>
        <v>3728473681.7000003</v>
      </c>
      <c r="P107" s="33">
        <f t="shared" si="20"/>
        <v>3691562256.7200003</v>
      </c>
      <c r="Q107" s="33">
        <f t="shared" si="20"/>
        <v>3636192269.79</v>
      </c>
      <c r="R107" s="33">
        <f t="shared" si="20"/>
        <v>3518332392.6500001</v>
      </c>
      <c r="S107" s="33">
        <f t="shared" si="20"/>
        <v>1699682018.71</v>
      </c>
      <c r="T107" s="33">
        <f t="shared" si="20"/>
        <v>1667749453.29</v>
      </c>
      <c r="U107" s="33">
        <f t="shared" si="20"/>
        <v>1646264150.74</v>
      </c>
      <c r="V107" s="33">
        <f t="shared" si="20"/>
        <v>1627272674.0600002</v>
      </c>
      <c r="W107" s="33">
        <f t="shared" si="20"/>
        <v>1609673155.1100001</v>
      </c>
      <c r="X107" s="33">
        <f t="shared" si="20"/>
        <v>1609144288.3200002</v>
      </c>
      <c r="Y107" s="33">
        <f t="shared" si="20"/>
        <v>1589716698.8200002</v>
      </c>
      <c r="Z107" s="33">
        <f t="shared" si="20"/>
        <v>1577089938.22</v>
      </c>
      <c r="AA107" s="33">
        <f t="shared" si="20"/>
        <v>1554308927.1600001</v>
      </c>
      <c r="AB107" s="33">
        <f t="shared" si="20"/>
        <v>1572019673.1300001</v>
      </c>
      <c r="AC107" s="33">
        <f t="shared" si="20"/>
        <v>1543171432.23</v>
      </c>
      <c r="AD107" s="33">
        <f t="shared" si="20"/>
        <v>1524317785.3099999</v>
      </c>
      <c r="AE107" s="33">
        <f t="shared" si="20"/>
        <v>499747618.13</v>
      </c>
      <c r="AF107" s="33">
        <f t="shared" si="20"/>
        <v>450770880.29000002</v>
      </c>
      <c r="AG107" s="33">
        <f t="shared" si="20"/>
        <v>409959037.79000002</v>
      </c>
      <c r="AH107" s="33">
        <f t="shared" si="20"/>
        <v>270673471.32999998</v>
      </c>
      <c r="AI107" s="33">
        <f t="shared" si="20"/>
        <v>198708395.81</v>
      </c>
      <c r="AJ107" s="33">
        <f t="shared" si="20"/>
        <v>0</v>
      </c>
      <c r="AK107" s="33">
        <f t="shared" si="20"/>
        <v>21936151954</v>
      </c>
      <c r="AL107" s="33">
        <f t="shared" si="20"/>
        <v>17635170530</v>
      </c>
      <c r="AM107" s="33">
        <f t="shared" si="20"/>
        <v>17668415779</v>
      </c>
      <c r="AN107" s="33">
        <f t="shared" si="20"/>
        <v>6251855568</v>
      </c>
      <c r="AO107" s="33">
        <f t="shared" si="20"/>
        <v>6718801623</v>
      </c>
      <c r="AP107" s="33">
        <f t="shared" si="20"/>
        <v>7803008510</v>
      </c>
      <c r="AQ107" s="33">
        <f t="shared" si="20"/>
        <v>6123342937</v>
      </c>
      <c r="AR107" s="33">
        <f t="shared" si="20"/>
        <v>5871972171</v>
      </c>
      <c r="AS107" s="33">
        <f t="shared" si="20"/>
        <v>5521339174</v>
      </c>
      <c r="AT107" s="33">
        <f t="shared" si="20"/>
        <v>4815248345</v>
      </c>
      <c r="AU107" s="33">
        <f t="shared" si="20"/>
        <v>4286708476</v>
      </c>
      <c r="AV107" s="33">
        <f t="shared" si="20"/>
        <v>4149673945</v>
      </c>
      <c r="AW107" s="33">
        <f t="shared" si="20"/>
        <v>4297451541</v>
      </c>
      <c r="AX107" s="33">
        <f t="shared" si="20"/>
        <v>4233717635</v>
      </c>
      <c r="AY107" s="33">
        <f t="shared" si="20"/>
        <v>1834761744</v>
      </c>
      <c r="AZ107" s="33">
        <f t="shared" si="20"/>
        <v>3068898270</v>
      </c>
      <c r="BA107" s="33">
        <f t="shared" si="20"/>
        <v>3611521594</v>
      </c>
      <c r="BB107" s="33">
        <f t="shared" si="20"/>
        <v>4138880834</v>
      </c>
      <c r="BC107" s="33">
        <f t="shared" si="20"/>
        <v>4528295925</v>
      </c>
      <c r="BD107" s="33">
        <f t="shared" si="20"/>
        <v>5088280391</v>
      </c>
      <c r="BE107" s="33">
        <f t="shared" si="20"/>
        <v>5481194703</v>
      </c>
      <c r="BF107" s="33">
        <f t="shared" si="20"/>
        <v>5775750031.3199997</v>
      </c>
      <c r="BG107" s="33">
        <f t="shared" si="20"/>
        <v>5748834264.4500008</v>
      </c>
      <c r="BH107" s="33">
        <f t="shared" si="20"/>
        <v>5538049404.8299999</v>
      </c>
      <c r="BI107" s="33">
        <f t="shared" si="20"/>
        <v>3080180848</v>
      </c>
      <c r="BJ107" s="33">
        <f t="shared" si="20"/>
        <v>2992428916.1300001</v>
      </c>
      <c r="BK107" s="33">
        <f t="shared" si="20"/>
        <v>2821404851.2199998</v>
      </c>
      <c r="BL107" s="33">
        <f t="shared" si="20"/>
        <v>2578590694.2200003</v>
      </c>
      <c r="BM107" s="33">
        <f t="shared" si="20"/>
        <v>2640890514</v>
      </c>
      <c r="BN107" s="33">
        <f t="shared" si="20"/>
        <v>2627029033.3499999</v>
      </c>
      <c r="BO107" s="33">
        <f t="shared" si="20"/>
        <v>2546625195.1500001</v>
      </c>
      <c r="BP107" s="33">
        <f t="shared" si="20"/>
        <v>2469173821.48</v>
      </c>
      <c r="BQ107" s="33">
        <f t="shared" si="20"/>
        <v>2335783347</v>
      </c>
      <c r="BR107" s="33">
        <f t="shared" ref="BR107:CK107" si="21">BR102+BR103</f>
        <v>2400207583.4700003</v>
      </c>
      <c r="BS107" s="33">
        <f t="shared" si="21"/>
        <v>2227180861</v>
      </c>
      <c r="BT107" s="33">
        <f t="shared" si="21"/>
        <v>1333758140</v>
      </c>
      <c r="BU107" s="33">
        <f t="shared" si="21"/>
        <v>1254162142</v>
      </c>
      <c r="BV107" s="33">
        <f t="shared" si="21"/>
        <v>1135754992.1800001</v>
      </c>
      <c r="BW107" s="33">
        <f t="shared" si="21"/>
        <v>1092432000</v>
      </c>
      <c r="BX107" s="33">
        <f t="shared" si="21"/>
        <v>990567298.47000003</v>
      </c>
      <c r="BY107" s="33">
        <f t="shared" si="21"/>
        <v>958009000</v>
      </c>
      <c r="BZ107" s="33">
        <f t="shared" si="21"/>
        <v>993949000</v>
      </c>
      <c r="CA107" s="33">
        <f t="shared" si="21"/>
        <v>574953000</v>
      </c>
      <c r="CB107" s="33">
        <f t="shared" si="21"/>
        <v>466652000</v>
      </c>
      <c r="CC107" s="33">
        <f t="shared" si="21"/>
        <v>424120000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29" t="s">
        <v>75</v>
      </c>
      <c r="B108" s="38">
        <f>SUM(B89+B107)</f>
        <v>14793444677.550001</v>
      </c>
      <c r="C108" s="38">
        <f t="shared" ref="C108:BN108" si="22">SUM(C89+C107)</f>
        <v>14548072621.529999</v>
      </c>
      <c r="D108" s="38">
        <f t="shared" si="22"/>
        <v>13923158238.4</v>
      </c>
      <c r="E108" s="38">
        <f>SUM(E107+E89)</f>
        <v>5418911638.7000008</v>
      </c>
      <c r="F108" s="38">
        <f t="shared" si="22"/>
        <v>5451537175.4099998</v>
      </c>
      <c r="G108" s="38">
        <f t="shared" si="22"/>
        <v>5411170041.9899998</v>
      </c>
      <c r="H108" s="38">
        <f t="shared" si="22"/>
        <v>4905085242.3099995</v>
      </c>
      <c r="I108" s="38">
        <f t="shared" si="22"/>
        <v>4760863114.5799999</v>
      </c>
      <c r="J108" s="38">
        <f t="shared" si="22"/>
        <v>4692761409.4300003</v>
      </c>
      <c r="K108" s="38">
        <f t="shared" si="22"/>
        <v>4712292526.71</v>
      </c>
      <c r="L108" s="38">
        <f t="shared" si="22"/>
        <v>4507665442.1199999</v>
      </c>
      <c r="M108" s="38">
        <f t="shared" si="22"/>
        <v>4414959493.9099998</v>
      </c>
      <c r="N108" s="38">
        <f t="shared" si="22"/>
        <v>4247818095.6599998</v>
      </c>
      <c r="O108" s="38">
        <f t="shared" si="22"/>
        <v>3879059834.2900004</v>
      </c>
      <c r="P108" s="38">
        <f t="shared" si="22"/>
        <v>3818788766.3100004</v>
      </c>
      <c r="Q108" s="38">
        <f t="shared" si="22"/>
        <v>3728407801.3000002</v>
      </c>
      <c r="R108" s="38">
        <f t="shared" si="22"/>
        <v>3588907581.0100002</v>
      </c>
      <c r="S108" s="38">
        <f t="shared" si="22"/>
        <v>1732859963.9200001</v>
      </c>
      <c r="T108" s="38">
        <f t="shared" si="22"/>
        <v>1688249453.29</v>
      </c>
      <c r="U108" s="38">
        <f t="shared" si="22"/>
        <v>1654280150.74</v>
      </c>
      <c r="V108" s="38">
        <f t="shared" si="22"/>
        <v>1632272674.0600002</v>
      </c>
      <c r="W108" s="38">
        <f t="shared" si="22"/>
        <v>1700008399.4200001</v>
      </c>
      <c r="X108" s="38">
        <f t="shared" si="22"/>
        <v>1714066680.4600003</v>
      </c>
      <c r="Y108" s="38">
        <f t="shared" si="22"/>
        <v>1684878209.2800002</v>
      </c>
      <c r="Z108" s="38">
        <f t="shared" si="22"/>
        <v>1662240554.6600001</v>
      </c>
      <c r="AA108" s="38">
        <f t="shared" si="22"/>
        <v>1609411001.1300001</v>
      </c>
      <c r="AB108" s="38">
        <f t="shared" si="22"/>
        <v>1572025077.6300001</v>
      </c>
      <c r="AC108" s="38">
        <f t="shared" si="22"/>
        <v>1548847646.73</v>
      </c>
      <c r="AD108" s="38">
        <f t="shared" si="22"/>
        <v>1536485338.97</v>
      </c>
      <c r="AE108" s="38">
        <f t="shared" si="22"/>
        <v>924207122.87</v>
      </c>
      <c r="AF108" s="38">
        <f t="shared" si="22"/>
        <v>818339294.53999996</v>
      </c>
      <c r="AG108" s="38">
        <f t="shared" si="22"/>
        <v>728692992.03999996</v>
      </c>
      <c r="AH108" s="38">
        <f t="shared" si="22"/>
        <v>440459201.82999998</v>
      </c>
      <c r="AI108" s="38">
        <f t="shared" si="22"/>
        <v>320469050.88999999</v>
      </c>
      <c r="AJ108" s="38">
        <f t="shared" si="22"/>
        <v>0</v>
      </c>
      <c r="AK108" s="38">
        <f t="shared" si="22"/>
        <v>21936151954</v>
      </c>
      <c r="AL108" s="38">
        <f t="shared" si="22"/>
        <v>17635170530</v>
      </c>
      <c r="AM108" s="38">
        <f t="shared" si="22"/>
        <v>17668415779</v>
      </c>
      <c r="AN108" s="38">
        <f t="shared" si="22"/>
        <v>6251855568</v>
      </c>
      <c r="AO108" s="38">
        <f t="shared" si="22"/>
        <v>6718801623</v>
      </c>
      <c r="AP108" s="38">
        <f t="shared" si="22"/>
        <v>7803008510</v>
      </c>
      <c r="AQ108" s="38">
        <f t="shared" si="22"/>
        <v>6123342937</v>
      </c>
      <c r="AR108" s="38">
        <f t="shared" si="22"/>
        <v>5871972171</v>
      </c>
      <c r="AS108" s="38">
        <f t="shared" si="22"/>
        <v>5521339174</v>
      </c>
      <c r="AT108" s="38">
        <f t="shared" si="22"/>
        <v>4815248345</v>
      </c>
      <c r="AU108" s="38">
        <f t="shared" si="22"/>
        <v>4286708476</v>
      </c>
      <c r="AV108" s="38">
        <f t="shared" si="22"/>
        <v>4149673945</v>
      </c>
      <c r="AW108" s="38">
        <f t="shared" si="22"/>
        <v>4297451541</v>
      </c>
      <c r="AX108" s="38">
        <f t="shared" si="22"/>
        <v>4233717635</v>
      </c>
      <c r="AY108" s="38">
        <f t="shared" si="22"/>
        <v>1834761744</v>
      </c>
      <c r="AZ108" s="38">
        <f t="shared" si="22"/>
        <v>3068898270</v>
      </c>
      <c r="BA108" s="38">
        <f t="shared" si="22"/>
        <v>3611521594</v>
      </c>
      <c r="BB108" s="38">
        <f t="shared" si="22"/>
        <v>4138880834</v>
      </c>
      <c r="BC108" s="38">
        <f t="shared" si="22"/>
        <v>4528295925</v>
      </c>
      <c r="BD108" s="38">
        <f t="shared" si="22"/>
        <v>5088280391</v>
      </c>
      <c r="BE108" s="38">
        <f t="shared" si="22"/>
        <v>5481194703</v>
      </c>
      <c r="BF108" s="38">
        <f t="shared" si="22"/>
        <v>5775750031.3199997</v>
      </c>
      <c r="BG108" s="38">
        <f t="shared" si="22"/>
        <v>5748834264.4500008</v>
      </c>
      <c r="BH108" s="38">
        <f t="shared" si="22"/>
        <v>5538049404.8299999</v>
      </c>
      <c r="BI108" s="38">
        <f t="shared" si="22"/>
        <v>3080180848</v>
      </c>
      <c r="BJ108" s="38">
        <f t="shared" si="22"/>
        <v>2992428916.1300001</v>
      </c>
      <c r="BK108" s="38">
        <f t="shared" si="22"/>
        <v>2821404851.2199998</v>
      </c>
      <c r="BL108" s="38">
        <f t="shared" si="22"/>
        <v>2578590694.2200003</v>
      </c>
      <c r="BM108" s="38">
        <f t="shared" si="22"/>
        <v>2640890514</v>
      </c>
      <c r="BN108" s="38">
        <f t="shared" si="22"/>
        <v>2627029033.3499999</v>
      </c>
      <c r="BO108" s="38">
        <f t="shared" ref="BO108:CK108" si="23">SUM(BO89+BO107)</f>
        <v>2546625195.1500001</v>
      </c>
      <c r="BP108" s="38">
        <f t="shared" si="23"/>
        <v>2469173821.48</v>
      </c>
      <c r="BQ108" s="38">
        <f t="shared" si="23"/>
        <v>2335783347</v>
      </c>
      <c r="BR108" s="38">
        <f t="shared" si="23"/>
        <v>2400207583.4700003</v>
      </c>
      <c r="BS108" s="38">
        <f t="shared" si="23"/>
        <v>2227180861</v>
      </c>
      <c r="BT108" s="38">
        <f t="shared" si="23"/>
        <v>1333758140</v>
      </c>
      <c r="BU108" s="38">
        <f t="shared" si="23"/>
        <v>1254162142</v>
      </c>
      <c r="BV108" s="38">
        <f t="shared" si="23"/>
        <v>1135754992.1800001</v>
      </c>
      <c r="BW108" s="38">
        <f t="shared" si="23"/>
        <v>1092432000</v>
      </c>
      <c r="BX108" s="38">
        <f t="shared" si="23"/>
        <v>990567298.47000003</v>
      </c>
      <c r="BY108" s="38">
        <f t="shared" si="23"/>
        <v>958009000</v>
      </c>
      <c r="BZ108" s="38">
        <f t="shared" si="23"/>
        <v>993949000</v>
      </c>
      <c r="CA108" s="38">
        <f t="shared" si="23"/>
        <v>574953000</v>
      </c>
      <c r="CB108" s="38">
        <f t="shared" si="23"/>
        <v>466652000</v>
      </c>
      <c r="CC108" s="38">
        <f t="shared" si="23"/>
        <v>424120000</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5" workbookViewId="0">
      <selection activeCell="AG55" sqref="AG55"/>
    </sheetView>
  </sheetViews>
  <sheetFormatPr defaultRowHeight="13.5"/>
  <cols>
    <col min="1" max="1" width="56" style="17" bestFit="1" customWidth="1"/>
    <col min="2" max="2" width="22" hidden="1" customWidth="1"/>
    <col min="3" max="4" width="20.75" hidden="1" customWidth="1"/>
    <col min="5" max="5" width="19.5" bestFit="1" customWidth="1"/>
    <col min="6" max="7" width="19.5" hidden="1" customWidth="1"/>
    <col min="8" max="8" width="20.75" hidden="1" customWidth="1"/>
    <col min="9" max="9" width="20.75" bestFit="1" customWidth="1"/>
    <col min="10" max="11" width="19.5" hidden="1" customWidth="1"/>
    <col min="12" max="12" width="20.75" hidden="1" customWidth="1"/>
    <col min="13" max="13" width="20.75" bestFit="1" customWidth="1"/>
    <col min="14" max="14" width="19.5" hidden="1" customWidth="1"/>
    <col min="15" max="16" width="20.75" hidden="1" customWidth="1"/>
    <col min="17" max="17" width="19.5" bestFit="1" customWidth="1"/>
    <col min="18" max="18" width="20.75" hidden="1" customWidth="1"/>
    <col min="19"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1" width="19.5" hidden="1" customWidth="1"/>
    <col min="32" max="32" width="18.25" hidden="1" customWidth="1"/>
    <col min="33" max="33" width="19.5" bestFit="1" customWidth="1"/>
    <col min="34" max="34" width="19.5" hidden="1" customWidth="1"/>
    <col min="35" max="36" width="18.25" hidden="1" customWidth="1"/>
    <col min="37" max="37" width="19.5" bestFit="1" customWidth="1"/>
    <col min="38" max="38" width="18.25" bestFit="1" customWidth="1"/>
    <col min="39" max="39" width="9.625" hidden="1" customWidth="1"/>
    <col min="40" max="64" width="20.75" bestFit="1" customWidth="1"/>
    <col min="65" max="65" width="23.25" bestFit="1" customWidth="1"/>
    <col min="66" max="71" width="20.75" bestFit="1" customWidth="1"/>
    <col min="72" max="80" width="19.5" bestFit="1" customWidth="1"/>
    <col min="81" max="81" width="18.2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88">
        <v>6228081871.1499996</v>
      </c>
      <c r="C4" s="188">
        <v>3895063047.6599998</v>
      </c>
      <c r="D4" s="188">
        <v>1376674396.29</v>
      </c>
      <c r="E4" s="188">
        <v>3490821643.5799999</v>
      </c>
      <c r="F4" s="188">
        <v>2461092792.1799998</v>
      </c>
      <c r="G4" s="188">
        <v>1632933466.8</v>
      </c>
      <c r="H4" s="188">
        <v>858461043.73000002</v>
      </c>
      <c r="I4" s="188">
        <v>3455902430.25</v>
      </c>
      <c r="J4" s="188">
        <v>2541940807.8800001</v>
      </c>
      <c r="K4" s="188">
        <v>1698613370.6300001</v>
      </c>
      <c r="L4" s="188">
        <v>835124707.30999994</v>
      </c>
      <c r="M4" s="188">
        <v>3025827440.4899998</v>
      </c>
      <c r="N4" s="188">
        <v>2193259400.0599999</v>
      </c>
      <c r="O4" s="188">
        <v>1255221897.5799999</v>
      </c>
      <c r="P4" s="188">
        <v>496966166.79000002</v>
      </c>
      <c r="Q4" s="188">
        <v>1712230060.6500001</v>
      </c>
      <c r="R4" s="188">
        <v>1124171914.4000001</v>
      </c>
      <c r="S4" s="188">
        <v>730223749.21000004</v>
      </c>
      <c r="T4" s="188">
        <v>327881464.25</v>
      </c>
      <c r="U4" s="188">
        <v>1227431183.24</v>
      </c>
      <c r="V4" s="188">
        <v>884232437.92999995</v>
      </c>
      <c r="W4" s="188">
        <v>577935690.87</v>
      </c>
      <c r="X4" s="188">
        <v>261395751.71000001</v>
      </c>
      <c r="Y4" s="188">
        <v>928899703.54999995</v>
      </c>
      <c r="Z4" s="188">
        <v>693511863.35000002</v>
      </c>
      <c r="AA4" s="188">
        <v>466620229.04000002</v>
      </c>
      <c r="AB4" s="188">
        <v>228839761.06</v>
      </c>
      <c r="AC4" s="188">
        <v>998726425.88999999</v>
      </c>
      <c r="AD4" s="188">
        <v>745992572.11000001</v>
      </c>
      <c r="AE4" s="188">
        <v>522702359.55000001</v>
      </c>
      <c r="AF4" s="188">
        <v>233658736.02000001</v>
      </c>
      <c r="AG4" s="188">
        <v>907986860.39999998</v>
      </c>
      <c r="AH4" s="188">
        <v>662975139.73000002</v>
      </c>
      <c r="AI4" s="188">
        <v>429193147.08999997</v>
      </c>
      <c r="AJ4" s="188">
        <v>197229687.81</v>
      </c>
      <c r="AK4" s="188">
        <v>568512432.92999995</v>
      </c>
      <c r="AL4" s="188">
        <v>420832438.18000001</v>
      </c>
      <c r="AM4" s="188">
        <v>0</v>
      </c>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c r="A5" s="19" t="s">
        <v>385</v>
      </c>
      <c r="B5" s="188">
        <v>3853599520.5300002</v>
      </c>
      <c r="C5" s="188">
        <v>2318510502.4699998</v>
      </c>
      <c r="D5" s="188">
        <v>699298583.25</v>
      </c>
      <c r="E5" s="188">
        <v>2458183794.1599998</v>
      </c>
      <c r="F5" s="188">
        <v>1715152035.3900001</v>
      </c>
      <c r="G5" s="188">
        <v>1121382805.5699999</v>
      </c>
      <c r="H5" s="188">
        <v>586000060.14999998</v>
      </c>
      <c r="I5" s="188">
        <v>2287928997.77</v>
      </c>
      <c r="J5" s="188">
        <v>1691508316.01</v>
      </c>
      <c r="K5" s="188">
        <v>1106353465.25</v>
      </c>
      <c r="L5" s="188">
        <v>557933943.28999996</v>
      </c>
      <c r="M5" s="188">
        <v>2087752452.5999999</v>
      </c>
      <c r="N5" s="188">
        <v>1550136618.78</v>
      </c>
      <c r="O5" s="188">
        <v>900812949.77999997</v>
      </c>
      <c r="P5" s="188">
        <v>352753458.19999999</v>
      </c>
      <c r="Q5" s="188">
        <v>1200997442.29</v>
      </c>
      <c r="R5" s="188">
        <v>834680907.57000005</v>
      </c>
      <c r="S5" s="188">
        <v>550912426.27999997</v>
      </c>
      <c r="T5" s="188">
        <v>249544225.88999999</v>
      </c>
      <c r="U5" s="188">
        <v>945671165.38</v>
      </c>
      <c r="V5" s="188">
        <v>683302485.5</v>
      </c>
      <c r="W5" s="188">
        <v>445375619.62</v>
      </c>
      <c r="X5" s="188">
        <v>201367084.09</v>
      </c>
      <c r="Y5" s="188">
        <v>695912228.38999999</v>
      </c>
      <c r="Z5" s="188">
        <v>516678454.25999999</v>
      </c>
      <c r="AA5" s="188">
        <v>344398762.08999997</v>
      </c>
      <c r="AB5" s="188">
        <v>171175796.47</v>
      </c>
      <c r="AC5" s="188">
        <v>710767849.80999994</v>
      </c>
      <c r="AD5" s="188">
        <v>521149633.97000003</v>
      </c>
      <c r="AE5" s="188">
        <v>358446580.54000002</v>
      </c>
      <c r="AF5" s="188">
        <v>157996905.28</v>
      </c>
      <c r="AG5" s="188">
        <v>620456706.17999995</v>
      </c>
      <c r="AH5" s="188">
        <v>446637078.19</v>
      </c>
      <c r="AI5" s="188">
        <v>284996651.92000002</v>
      </c>
      <c r="AJ5" s="188">
        <v>129272827.68000001</v>
      </c>
      <c r="AK5" s="188">
        <v>378402105.88</v>
      </c>
      <c r="AL5" s="188">
        <v>271643761.92000002</v>
      </c>
      <c r="AM5" s="188">
        <v>0</v>
      </c>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c r="A6" s="20" t="s">
        <v>386</v>
      </c>
      <c r="B6" s="27">
        <f>B4-B5</f>
        <v>2374482350.6199994</v>
      </c>
      <c r="C6" s="27">
        <f t="shared" ref="C6:BN6" si="0">C4-C5</f>
        <v>1576552545.1900001</v>
      </c>
      <c r="D6" s="27">
        <f t="shared" si="0"/>
        <v>677375813.03999996</v>
      </c>
      <c r="E6" s="27">
        <f t="shared" si="0"/>
        <v>1032637849.4200001</v>
      </c>
      <c r="F6" s="27">
        <f t="shared" si="0"/>
        <v>745940756.78999972</v>
      </c>
      <c r="G6" s="27">
        <f t="shared" si="0"/>
        <v>511550661.23000002</v>
      </c>
      <c r="H6" s="27">
        <f t="shared" si="0"/>
        <v>272460983.58000004</v>
      </c>
      <c r="I6" s="27">
        <f t="shared" si="0"/>
        <v>1167973432.48</v>
      </c>
      <c r="J6" s="27">
        <f t="shared" si="0"/>
        <v>850432491.87000012</v>
      </c>
      <c r="K6" s="27">
        <f t="shared" si="0"/>
        <v>592259905.38000011</v>
      </c>
      <c r="L6" s="27">
        <f t="shared" si="0"/>
        <v>277190764.01999998</v>
      </c>
      <c r="M6" s="27">
        <f t="shared" si="0"/>
        <v>938074987.88999987</v>
      </c>
      <c r="N6" s="27">
        <f t="shared" si="0"/>
        <v>643122781.27999997</v>
      </c>
      <c r="O6" s="27">
        <f t="shared" si="0"/>
        <v>354408947.79999995</v>
      </c>
      <c r="P6" s="27">
        <f t="shared" si="0"/>
        <v>144212708.59000003</v>
      </c>
      <c r="Q6" s="27">
        <f t="shared" si="0"/>
        <v>511232618.36000013</v>
      </c>
      <c r="R6" s="27">
        <f t="shared" si="0"/>
        <v>289491006.83000004</v>
      </c>
      <c r="S6" s="27">
        <f t="shared" si="0"/>
        <v>179311322.93000007</v>
      </c>
      <c r="T6" s="27">
        <f t="shared" si="0"/>
        <v>78337238.360000014</v>
      </c>
      <c r="U6" s="27">
        <f t="shared" si="0"/>
        <v>281760017.86000001</v>
      </c>
      <c r="V6" s="27">
        <f t="shared" si="0"/>
        <v>200929952.42999995</v>
      </c>
      <c r="W6" s="27">
        <f t="shared" si="0"/>
        <v>132560071.25</v>
      </c>
      <c r="X6" s="27">
        <f t="shared" si="0"/>
        <v>60028667.620000005</v>
      </c>
      <c r="Y6" s="27">
        <f t="shared" si="0"/>
        <v>232987475.15999997</v>
      </c>
      <c r="Z6" s="27">
        <f t="shared" si="0"/>
        <v>176833409.09000003</v>
      </c>
      <c r="AA6" s="27">
        <f t="shared" si="0"/>
        <v>122221466.95000005</v>
      </c>
      <c r="AB6" s="27">
        <f t="shared" si="0"/>
        <v>57663964.590000004</v>
      </c>
      <c r="AC6" s="27">
        <f t="shared" si="0"/>
        <v>287958576.08000004</v>
      </c>
      <c r="AD6" s="27">
        <f t="shared" si="0"/>
        <v>224842938.13999999</v>
      </c>
      <c r="AE6" s="27">
        <f t="shared" si="0"/>
        <v>164255779.00999999</v>
      </c>
      <c r="AF6" s="27">
        <f t="shared" si="0"/>
        <v>75661830.74000001</v>
      </c>
      <c r="AG6" s="27">
        <f t="shared" si="0"/>
        <v>287530154.22000003</v>
      </c>
      <c r="AH6" s="27">
        <f t="shared" si="0"/>
        <v>216338061.54000002</v>
      </c>
      <c r="AI6" s="27">
        <f t="shared" si="0"/>
        <v>144196495.16999996</v>
      </c>
      <c r="AJ6" s="27">
        <f t="shared" si="0"/>
        <v>67956860.129999995</v>
      </c>
      <c r="AK6" s="27">
        <f t="shared" si="0"/>
        <v>190110327.04999995</v>
      </c>
      <c r="AL6" s="27">
        <f t="shared" si="0"/>
        <v>149188676.25999999</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38.125419667637686</v>
      </c>
      <c r="C7" s="57">
        <f t="shared" ref="C7:D7" si="2">C6/C4*100</f>
        <v>40.475661777468034</v>
      </c>
      <c r="D7" s="57">
        <f t="shared" si="2"/>
        <v>49.203777949634286</v>
      </c>
      <c r="E7" s="57">
        <f>E6/E4</f>
        <v>0.29581512745548982</v>
      </c>
      <c r="F7" s="57">
        <f t="shared" ref="F7:BQ7" si="3">F6/F4</f>
        <v>0.30309330845232224</v>
      </c>
      <c r="G7" s="57">
        <f t="shared" si="3"/>
        <v>0.31327097620974548</v>
      </c>
      <c r="H7" s="57">
        <f t="shared" si="3"/>
        <v>0.31738304908532744</v>
      </c>
      <c r="I7" s="57">
        <f t="shared" si="3"/>
        <v>0.33796481702045877</v>
      </c>
      <c r="J7" s="57">
        <f t="shared" si="3"/>
        <v>0.33456030495818978</v>
      </c>
      <c r="K7" s="57">
        <f t="shared" si="3"/>
        <v>0.34867257942302454</v>
      </c>
      <c r="L7" s="57">
        <f t="shared" si="3"/>
        <v>0.33191541525918022</v>
      </c>
      <c r="M7" s="57">
        <f t="shared" si="3"/>
        <v>0.31002263226818011</v>
      </c>
      <c r="N7" s="57">
        <f t="shared" si="3"/>
        <v>0.29322695767878909</v>
      </c>
      <c r="O7" s="57">
        <f t="shared" si="3"/>
        <v>0.28234764584913735</v>
      </c>
      <c r="P7" s="57">
        <f t="shared" si="3"/>
        <v>0.29018617005961922</v>
      </c>
      <c r="Q7" s="57">
        <f t="shared" si="3"/>
        <v>0.29857706047160804</v>
      </c>
      <c r="R7" s="57">
        <f t="shared" si="3"/>
        <v>0.25751488995747501</v>
      </c>
      <c r="S7" s="57">
        <f t="shared" si="3"/>
        <v>0.24555668467916833</v>
      </c>
      <c r="T7" s="57">
        <f t="shared" si="3"/>
        <v>0.23891938673382943</v>
      </c>
      <c r="U7" s="57">
        <f t="shared" si="3"/>
        <v>0.22955259871779499</v>
      </c>
      <c r="V7" s="57">
        <f t="shared" si="3"/>
        <v>0.22723657695750188</v>
      </c>
      <c r="W7" s="57">
        <f t="shared" si="3"/>
        <v>0.22936820366717561</v>
      </c>
      <c r="X7" s="57">
        <f t="shared" si="3"/>
        <v>0.22964668410754258</v>
      </c>
      <c r="Y7" s="57">
        <f t="shared" si="3"/>
        <v>0.25082091669271261</v>
      </c>
      <c r="Z7" s="57">
        <f t="shared" si="3"/>
        <v>0.25498252940592619</v>
      </c>
      <c r="AA7" s="57">
        <f t="shared" si="3"/>
        <v>0.26192920783021362</v>
      </c>
      <c r="AB7" s="57">
        <f t="shared" si="3"/>
        <v>0.25198402726386765</v>
      </c>
      <c r="AC7" s="57">
        <f t="shared" si="3"/>
        <v>0.28832578032907269</v>
      </c>
      <c r="AD7" s="57">
        <f t="shared" si="3"/>
        <v>0.30140104143938562</v>
      </c>
      <c r="AE7" s="57">
        <f t="shared" si="3"/>
        <v>0.31424342364057728</v>
      </c>
      <c r="AF7" s="57">
        <f t="shared" si="3"/>
        <v>0.32381340423549898</v>
      </c>
      <c r="AG7" s="57">
        <f t="shared" si="3"/>
        <v>0.31666774791579355</v>
      </c>
      <c r="AH7" s="57">
        <f t="shared" si="3"/>
        <v>0.32631398762268038</v>
      </c>
      <c r="AI7" s="57">
        <f t="shared" si="3"/>
        <v>0.33597110333115959</v>
      </c>
      <c r="AJ7" s="57">
        <f t="shared" si="3"/>
        <v>0.34455695227518596</v>
      </c>
      <c r="AK7" s="57">
        <f t="shared" si="3"/>
        <v>0.33439959451758894</v>
      </c>
      <c r="AL7" s="57">
        <f t="shared" si="3"/>
        <v>0.35450849964229342</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8">
        <v>20279732.030000001</v>
      </c>
      <c r="C8" s="188">
        <v>15616034.779999999</v>
      </c>
      <c r="D8" s="188">
        <v>8220049.5800000001</v>
      </c>
      <c r="E8" s="188">
        <v>26491723.469999999</v>
      </c>
      <c r="F8" s="188">
        <v>19505629.629999999</v>
      </c>
      <c r="G8" s="188">
        <v>10339226.560000001</v>
      </c>
      <c r="H8" s="188">
        <v>2927605.87</v>
      </c>
      <c r="I8" s="188">
        <v>28155411.559999999</v>
      </c>
      <c r="J8" s="188">
        <v>17364303.859999999</v>
      </c>
      <c r="K8" s="188">
        <v>12810231.35</v>
      </c>
      <c r="L8" s="188">
        <v>6605592.3499999996</v>
      </c>
      <c r="M8" s="188">
        <v>25171144.469999999</v>
      </c>
      <c r="N8" s="188">
        <v>17555280.129999999</v>
      </c>
      <c r="O8" s="188">
        <v>11195529.09</v>
      </c>
      <c r="P8" s="188">
        <v>5067938.87</v>
      </c>
      <c r="Q8" s="188">
        <v>12147477.26</v>
      </c>
      <c r="R8" s="188">
        <v>6163022.5899999999</v>
      </c>
      <c r="S8" s="188">
        <v>3816687.57</v>
      </c>
      <c r="T8" s="188">
        <v>1628021.42</v>
      </c>
      <c r="U8" s="188">
        <v>5358586.7699999996</v>
      </c>
      <c r="V8" s="188">
        <v>3953784.91</v>
      </c>
      <c r="W8" s="188">
        <v>2721717.67</v>
      </c>
      <c r="X8" s="188">
        <v>1229719.07</v>
      </c>
      <c r="Y8" s="188">
        <v>4327173.2</v>
      </c>
      <c r="Z8" s="188">
        <v>3124414.8</v>
      </c>
      <c r="AA8" s="188">
        <v>1565322.62</v>
      </c>
      <c r="AB8" s="188">
        <v>1308407.5900000001</v>
      </c>
      <c r="AC8" s="188">
        <v>4334479.09</v>
      </c>
      <c r="AD8" s="188">
        <v>3170969.89</v>
      </c>
      <c r="AE8" s="188">
        <v>1990701.02</v>
      </c>
      <c r="AF8" s="188">
        <v>1087762.31</v>
      </c>
      <c r="AG8" s="188">
        <v>1635543.5</v>
      </c>
      <c r="AH8" s="188">
        <v>698953.48</v>
      </c>
      <c r="AI8" s="188">
        <v>469584.02</v>
      </c>
      <c r="AJ8" s="188">
        <v>239475.21</v>
      </c>
      <c r="AK8" s="188">
        <v>636407.39</v>
      </c>
      <c r="AL8" s="188">
        <v>507834.55</v>
      </c>
      <c r="AM8" s="188">
        <v>0</v>
      </c>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c r="A9" s="17" t="s">
        <v>389</v>
      </c>
      <c r="B9" s="188">
        <v>1131359206.95</v>
      </c>
      <c r="C9" s="188">
        <v>703952437.5</v>
      </c>
      <c r="D9" s="188">
        <v>348563956.87</v>
      </c>
      <c r="E9" s="188">
        <v>186154765.38</v>
      </c>
      <c r="F9" s="188">
        <v>134160734.63</v>
      </c>
      <c r="G9" s="188">
        <v>82595871.680000007</v>
      </c>
      <c r="H9" s="188">
        <v>24399908.16</v>
      </c>
      <c r="I9" s="188">
        <v>175331698.86000001</v>
      </c>
      <c r="J9" s="188">
        <v>115764881.70999999</v>
      </c>
      <c r="K9" s="188">
        <v>87076714.459999993</v>
      </c>
      <c r="L9" s="188">
        <v>44581341.640000001</v>
      </c>
      <c r="M9" s="188">
        <v>146528814.59</v>
      </c>
      <c r="N9" s="188">
        <v>107560680.92</v>
      </c>
      <c r="O9" s="188">
        <v>64804052.850000001</v>
      </c>
      <c r="P9" s="188">
        <v>21775503.600000001</v>
      </c>
      <c r="Q9" s="188">
        <v>86844822.980000004</v>
      </c>
      <c r="R9" s="188">
        <v>57067597.759999998</v>
      </c>
      <c r="S9" s="188">
        <v>38815863.170000002</v>
      </c>
      <c r="T9" s="188">
        <v>19138358.969999999</v>
      </c>
      <c r="U9" s="188">
        <v>74404812.109999999</v>
      </c>
      <c r="V9" s="188">
        <v>55457467.060000002</v>
      </c>
      <c r="W9" s="188">
        <v>34924665.530000001</v>
      </c>
      <c r="X9" s="188">
        <v>15471865.109999999</v>
      </c>
      <c r="Y9" s="188">
        <v>58763297.210000001</v>
      </c>
      <c r="Z9" s="188">
        <v>40976591.039999999</v>
      </c>
      <c r="AA9" s="188">
        <v>27109521.780000001</v>
      </c>
      <c r="AB9" s="188">
        <v>13538614.73</v>
      </c>
      <c r="AC9" s="188">
        <v>60205935.82</v>
      </c>
      <c r="AD9" s="188">
        <v>43071985.909999996</v>
      </c>
      <c r="AE9" s="188">
        <v>28135458.109999999</v>
      </c>
      <c r="AF9" s="188">
        <v>14556538.220000001</v>
      </c>
      <c r="AG9" s="188">
        <v>48193789.229999997</v>
      </c>
      <c r="AH9" s="188">
        <v>35872503.759999998</v>
      </c>
      <c r="AI9" s="188">
        <v>24551520.23</v>
      </c>
      <c r="AJ9" s="188">
        <v>11137358.08</v>
      </c>
      <c r="AK9" s="188">
        <v>30394487.989999998</v>
      </c>
      <c r="AL9" s="188">
        <v>21106113.699999999</v>
      </c>
      <c r="AM9" s="188">
        <v>0</v>
      </c>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c r="A10" s="17" t="s">
        <v>390</v>
      </c>
      <c r="B10" s="188">
        <v>240480073.50999999</v>
      </c>
      <c r="C10" s="188">
        <v>235936672.80000001</v>
      </c>
      <c r="D10" s="188">
        <v>115665782.68000001</v>
      </c>
      <c r="E10" s="188">
        <v>358108184.72000003</v>
      </c>
      <c r="F10" s="188">
        <v>240796843.28999999</v>
      </c>
      <c r="G10" s="188">
        <v>158532005.06</v>
      </c>
      <c r="H10" s="188">
        <v>79614239.409999996</v>
      </c>
      <c r="I10" s="188">
        <v>354748154.99000001</v>
      </c>
      <c r="J10" s="188">
        <v>243743247.87</v>
      </c>
      <c r="K10" s="188">
        <v>162436852.12</v>
      </c>
      <c r="L10" s="188">
        <v>72638320.290000007</v>
      </c>
      <c r="M10" s="188">
        <v>268045559.68000001</v>
      </c>
      <c r="N10" s="188">
        <v>182604840.47999999</v>
      </c>
      <c r="O10" s="188">
        <v>105345227.56999999</v>
      </c>
      <c r="P10" s="188">
        <v>50556841.380000003</v>
      </c>
      <c r="Q10" s="188">
        <v>163239878.59999999</v>
      </c>
      <c r="R10" s="188">
        <v>102863299.79000001</v>
      </c>
      <c r="S10" s="188">
        <v>59089703.75</v>
      </c>
      <c r="T10" s="188">
        <v>29956919.370000001</v>
      </c>
      <c r="U10" s="188">
        <v>98026160.409999996</v>
      </c>
      <c r="V10" s="188">
        <v>67588826.120000005</v>
      </c>
      <c r="W10" s="188">
        <v>40532940.640000001</v>
      </c>
      <c r="X10" s="188">
        <v>19732849.23</v>
      </c>
      <c r="Y10" s="188">
        <v>68380359.689999998</v>
      </c>
      <c r="Z10" s="188">
        <v>41525510.280000001</v>
      </c>
      <c r="AA10" s="188">
        <v>26229191.829999998</v>
      </c>
      <c r="AB10" s="188">
        <v>12392261.060000001</v>
      </c>
      <c r="AC10" s="188">
        <v>52821694.600000001</v>
      </c>
      <c r="AD10" s="188">
        <v>26954448.370000001</v>
      </c>
      <c r="AE10" s="188">
        <v>17506046.760000002</v>
      </c>
      <c r="AF10" s="188">
        <v>8697271.3900000006</v>
      </c>
      <c r="AG10" s="188">
        <v>46402393.850000001</v>
      </c>
      <c r="AH10" s="188">
        <v>35570841.57</v>
      </c>
      <c r="AI10" s="188">
        <v>22117006.210000001</v>
      </c>
      <c r="AJ10" s="188">
        <v>9743382.7100000009</v>
      </c>
      <c r="AK10" s="188">
        <v>29117232.809999999</v>
      </c>
      <c r="AL10" s="188">
        <v>29264056.899999999</v>
      </c>
      <c r="AM10" s="188">
        <v>0</v>
      </c>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c r="A11" s="17" t="s">
        <v>391</v>
      </c>
      <c r="B11" s="188">
        <v>9816127.8599999994</v>
      </c>
      <c r="C11" s="188">
        <v>10720441.15</v>
      </c>
      <c r="D11" s="188">
        <v>247221.76000000001</v>
      </c>
      <c r="E11" s="188">
        <v>12366028.390000001</v>
      </c>
      <c r="F11" s="188">
        <v>-1054217.08</v>
      </c>
      <c r="G11" s="188">
        <v>4272596.29</v>
      </c>
      <c r="H11" s="188">
        <v>6634367.4299999997</v>
      </c>
      <c r="I11" s="188">
        <v>-687475.79</v>
      </c>
      <c r="J11" s="188">
        <v>5732192.8099999996</v>
      </c>
      <c r="K11" s="188">
        <v>2723234.17</v>
      </c>
      <c r="L11" s="188">
        <v>3982056.46</v>
      </c>
      <c r="M11" s="188">
        <v>31368183.050000001</v>
      </c>
      <c r="N11" s="188">
        <v>16325388.710000001</v>
      </c>
      <c r="O11" s="188">
        <v>5076743.57</v>
      </c>
      <c r="P11" s="188">
        <v>899459.72</v>
      </c>
      <c r="Q11" s="188">
        <v>10472153.449999999</v>
      </c>
      <c r="R11" s="188">
        <v>6769672.1900000004</v>
      </c>
      <c r="S11" s="188">
        <v>8498308.2599999998</v>
      </c>
      <c r="T11" s="188">
        <v>566405.22</v>
      </c>
      <c r="U11" s="188">
        <v>8194603.2800000003</v>
      </c>
      <c r="V11" s="188">
        <v>2054782.28</v>
      </c>
      <c r="W11" s="188">
        <v>3495793.07</v>
      </c>
      <c r="X11" s="188">
        <v>330545.49</v>
      </c>
      <c r="Y11" s="188">
        <v>1963377.78</v>
      </c>
      <c r="Z11" s="188">
        <v>693123.36</v>
      </c>
      <c r="AA11" s="188">
        <v>825859.68</v>
      </c>
      <c r="AB11" s="188">
        <v>621683.87</v>
      </c>
      <c r="AC11" s="188">
        <v>3684165.41</v>
      </c>
      <c r="AD11" s="188">
        <v>2197647.42</v>
      </c>
      <c r="AE11" s="188">
        <v>3381825.99</v>
      </c>
      <c r="AF11" s="188">
        <v>0</v>
      </c>
      <c r="AG11" s="188">
        <v>-878286.96</v>
      </c>
      <c r="AH11" s="188">
        <v>-1282255.5</v>
      </c>
      <c r="AI11" s="188">
        <v>1969124.73</v>
      </c>
      <c r="AJ11" s="188">
        <v>0</v>
      </c>
      <c r="AK11" s="188">
        <v>7361011.8899999997</v>
      </c>
      <c r="AL11" s="188">
        <v>3313259.1</v>
      </c>
      <c r="AM11" s="188">
        <v>0</v>
      </c>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c r="A12" s="21" t="s">
        <v>392</v>
      </c>
      <c r="B12" s="29">
        <f>B55</f>
        <v>463</v>
      </c>
      <c r="C12" s="29">
        <f t="shared" ref="C12:BN12" si="5">C55</f>
        <v>603</v>
      </c>
      <c r="D12" s="29">
        <f t="shared" si="5"/>
        <v>653</v>
      </c>
      <c r="E12" s="29">
        <f t="shared" si="5"/>
        <v>7151997.1900000004</v>
      </c>
      <c r="F12" s="29">
        <f t="shared" si="5"/>
        <v>0</v>
      </c>
      <c r="G12" s="29">
        <f t="shared" si="5"/>
        <v>0</v>
      </c>
      <c r="H12" s="29">
        <f t="shared" si="5"/>
        <v>0</v>
      </c>
      <c r="I12" s="29">
        <f t="shared" si="5"/>
        <v>1468736.14</v>
      </c>
      <c r="J12" s="29">
        <f t="shared" si="5"/>
        <v>0</v>
      </c>
      <c r="K12" s="29">
        <f t="shared" si="5"/>
        <v>0</v>
      </c>
      <c r="L12" s="29">
        <f t="shared" si="5"/>
        <v>0</v>
      </c>
      <c r="M12" s="29">
        <f t="shared" si="5"/>
        <v>2519870.38</v>
      </c>
      <c r="N12" s="29">
        <f t="shared" si="5"/>
        <v>0</v>
      </c>
      <c r="O12" s="29">
        <f t="shared" si="5"/>
        <v>0</v>
      </c>
      <c r="P12" s="29">
        <f t="shared" si="5"/>
        <v>0</v>
      </c>
      <c r="Q12" s="29">
        <f t="shared" si="5"/>
        <v>1436548.9</v>
      </c>
      <c r="R12" s="29">
        <f t="shared" si="5"/>
        <v>0</v>
      </c>
      <c r="S12" s="29">
        <f t="shared" si="5"/>
        <v>0</v>
      </c>
      <c r="T12" s="29">
        <f t="shared" si="5"/>
        <v>0</v>
      </c>
      <c r="U12" s="29">
        <f t="shared" si="5"/>
        <v>763711.99</v>
      </c>
      <c r="V12" s="29">
        <f t="shared" si="5"/>
        <v>0</v>
      </c>
      <c r="W12" s="29">
        <f t="shared" si="5"/>
        <v>0</v>
      </c>
      <c r="X12" s="29">
        <f t="shared" si="5"/>
        <v>0</v>
      </c>
      <c r="Y12" s="29">
        <f t="shared" si="5"/>
        <v>125710.89</v>
      </c>
      <c r="Z12" s="29">
        <f t="shared" si="5"/>
        <v>0</v>
      </c>
      <c r="AA12" s="29">
        <f t="shared" si="5"/>
        <v>0</v>
      </c>
      <c r="AB12" s="29">
        <f t="shared" si="5"/>
        <v>0</v>
      </c>
      <c r="AC12" s="29">
        <f t="shared" si="5"/>
        <v>257790.45</v>
      </c>
      <c r="AD12" s="29">
        <f t="shared" si="5"/>
        <v>0</v>
      </c>
      <c r="AE12" s="29">
        <f t="shared" si="5"/>
        <v>0</v>
      </c>
      <c r="AF12" s="29">
        <f t="shared" si="5"/>
        <v>0</v>
      </c>
      <c r="AG12" s="29">
        <f t="shared" si="5"/>
        <v>1073757.8899999999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8">
        <v>3763856.53</v>
      </c>
      <c r="C13" s="188">
        <v>1253755.6299999999</v>
      </c>
      <c r="D13" s="188">
        <v>1330572.8999999999</v>
      </c>
      <c r="E13" s="188">
        <v>9065411.4299999997</v>
      </c>
      <c r="F13" s="188">
        <v>10549129.289999999</v>
      </c>
      <c r="G13" s="188">
        <v>4232896.78</v>
      </c>
      <c r="H13" s="188">
        <v>1464232.34</v>
      </c>
      <c r="I13" s="188">
        <v>13996521.17</v>
      </c>
      <c r="J13" s="188">
        <v>6691941.4100000001</v>
      </c>
      <c r="K13" s="188">
        <v>2362829.4900000002</v>
      </c>
      <c r="L13" s="188">
        <v>895868.98</v>
      </c>
      <c r="M13" s="188">
        <v>19532563.18</v>
      </c>
      <c r="N13" s="188">
        <v>8142621.2199999997</v>
      </c>
      <c r="O13" s="188">
        <v>3844741.9</v>
      </c>
      <c r="P13" s="188">
        <v>195715.56</v>
      </c>
      <c r="Q13" s="188">
        <v>5050580</v>
      </c>
      <c r="R13" s="188">
        <v>844401.49</v>
      </c>
      <c r="S13" s="188">
        <v>727090.07</v>
      </c>
      <c r="T13" s="188">
        <v>540306.06999999995</v>
      </c>
      <c r="U13" s="188">
        <v>5377129.0999999996</v>
      </c>
      <c r="V13" s="188">
        <v>4912179.7699999996</v>
      </c>
      <c r="W13" s="188">
        <v>4380285.3099999996</v>
      </c>
      <c r="X13" s="188">
        <v>175069.36</v>
      </c>
      <c r="Y13" s="188">
        <v>1025527.06</v>
      </c>
      <c r="Z13" s="188">
        <v>912694.74</v>
      </c>
      <c r="AA13" s="188">
        <v>628709.59</v>
      </c>
      <c r="AB13" s="188">
        <v>234936.37</v>
      </c>
      <c r="AC13" s="188">
        <v>1378592.21</v>
      </c>
      <c r="AD13" s="188">
        <v>616831.37</v>
      </c>
      <c r="AE13" s="188">
        <v>38710.14</v>
      </c>
      <c r="AF13" s="188">
        <v>0</v>
      </c>
      <c r="AG13" s="188">
        <v>3409243.74</v>
      </c>
      <c r="AH13" s="188">
        <v>2166852.37</v>
      </c>
      <c r="AI13" s="188">
        <v>1894005.07</v>
      </c>
      <c r="AJ13" s="188">
        <v>1152000</v>
      </c>
      <c r="AK13" s="188">
        <v>709731.28</v>
      </c>
      <c r="AL13" s="188">
        <v>659188.06000000006</v>
      </c>
      <c r="AM13" s="188">
        <v>0</v>
      </c>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c r="A14" s="17" t="s">
        <v>394</v>
      </c>
      <c r="B14" s="188">
        <v>3735160.28</v>
      </c>
      <c r="C14" s="188">
        <v>3394797.65</v>
      </c>
      <c r="D14" s="188">
        <v>2352183.56</v>
      </c>
      <c r="E14" s="188">
        <v>928575.33</v>
      </c>
      <c r="F14" s="188">
        <v>549544.15</v>
      </c>
      <c r="G14" s="188">
        <v>412267.93</v>
      </c>
      <c r="H14" s="188">
        <v>309332.42</v>
      </c>
      <c r="I14" s="188">
        <v>8575407.3200000003</v>
      </c>
      <c r="J14" s="188">
        <v>5012259.2699999996</v>
      </c>
      <c r="K14" s="188">
        <v>3597181.78</v>
      </c>
      <c r="L14" s="188">
        <v>1104347.4099999999</v>
      </c>
      <c r="M14" s="188">
        <v>6378344.3600000003</v>
      </c>
      <c r="N14" s="188">
        <v>2014895.18</v>
      </c>
      <c r="O14" s="188">
        <v>1298097.92</v>
      </c>
      <c r="P14" s="188">
        <v>402940.2</v>
      </c>
      <c r="Q14" s="188">
        <v>5711144.8099999996</v>
      </c>
      <c r="R14" s="188">
        <v>4168254.13</v>
      </c>
      <c r="S14" s="188">
        <v>3795158.75</v>
      </c>
      <c r="T14" s="188">
        <v>1393467.33</v>
      </c>
      <c r="U14" s="188">
        <v>3232965.58</v>
      </c>
      <c r="V14" s="188">
        <v>2701870.37</v>
      </c>
      <c r="W14" s="188">
        <v>1977343.58</v>
      </c>
      <c r="X14" s="188">
        <v>1387056.66</v>
      </c>
      <c r="Y14" s="188">
        <v>4528245.1500000004</v>
      </c>
      <c r="Z14" s="188">
        <v>3085424.85</v>
      </c>
      <c r="AA14" s="188">
        <v>2648380.3199999998</v>
      </c>
      <c r="AB14" s="188">
        <v>1886164.96</v>
      </c>
      <c r="AC14" s="188">
        <v>2010111.04</v>
      </c>
      <c r="AD14" s="188">
        <v>1571374.06</v>
      </c>
      <c r="AE14" s="188">
        <v>808392.51</v>
      </c>
      <c r="AF14" s="188">
        <v>356475.48</v>
      </c>
      <c r="AG14" s="188">
        <v>2912472.54</v>
      </c>
      <c r="AH14" s="188">
        <v>1665325.35</v>
      </c>
      <c r="AI14" s="188">
        <v>1328539.71</v>
      </c>
      <c r="AJ14" s="188">
        <v>867314.67</v>
      </c>
      <c r="AK14" s="188">
        <v>1472182.33</v>
      </c>
      <c r="AL14" s="188">
        <v>2052026.19</v>
      </c>
      <c r="AM14" s="188">
        <v>0</v>
      </c>
      <c r="AN14" s="188"/>
      <c r="AO14" s="188"/>
      <c r="AP14" s="188"/>
      <c r="AQ14" s="188"/>
      <c r="AR14" s="188"/>
      <c r="AS14" s="188"/>
      <c r="AT14" s="188"/>
      <c r="AU14" s="188"/>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c r="A15" s="20" t="s">
        <v>396</v>
      </c>
      <c r="B15" s="28">
        <f>B6-(B8+B9+B10+B11+B12)+B13-B14</f>
        <v>972575443.5199995</v>
      </c>
      <c r="C15" s="28">
        <f t="shared" ref="C15:BN15" si="7">C6-(C8+C9+C10+C11+C12)+C13-C14</f>
        <v>608185313.94000018</v>
      </c>
      <c r="D15" s="28">
        <f t="shared" si="7"/>
        <v>203656538.48999998</v>
      </c>
      <c r="E15" s="28">
        <f t="shared" si="7"/>
        <v>450501986.37</v>
      </c>
      <c r="F15" s="28">
        <f t="shared" si="7"/>
        <v>362531351.4599998</v>
      </c>
      <c r="G15" s="28">
        <f t="shared" si="7"/>
        <v>259631590.49000001</v>
      </c>
      <c r="H15" s="28">
        <f t="shared" si="7"/>
        <v>160039762.63000005</v>
      </c>
      <c r="I15" s="28">
        <f t="shared" si="7"/>
        <v>614378020.56999981</v>
      </c>
      <c r="J15" s="28">
        <f t="shared" si="7"/>
        <v>469507547.76000017</v>
      </c>
      <c r="K15" s="28">
        <f t="shared" si="7"/>
        <v>325978520.99000013</v>
      </c>
      <c r="L15" s="28">
        <f t="shared" si="7"/>
        <v>149174974.84999996</v>
      </c>
      <c r="M15" s="28">
        <f t="shared" si="7"/>
        <v>477595634.53999984</v>
      </c>
      <c r="N15" s="28">
        <f t="shared" si="7"/>
        <v>325204317.08000004</v>
      </c>
      <c r="O15" s="28">
        <f t="shared" si="7"/>
        <v>170534038.69999999</v>
      </c>
      <c r="P15" s="28">
        <f t="shared" si="7"/>
        <v>65705740.380000025</v>
      </c>
      <c r="Q15" s="28">
        <f t="shared" si="7"/>
        <v>236431172.36000013</v>
      </c>
      <c r="R15" s="28">
        <f t="shared" si="7"/>
        <v>113303561.86000006</v>
      </c>
      <c r="S15" s="28">
        <f t="shared" si="7"/>
        <v>66022691.500000045</v>
      </c>
      <c r="T15" s="28">
        <f t="shared" si="7"/>
        <v>26194372.120000012</v>
      </c>
      <c r="U15" s="28">
        <f t="shared" si="7"/>
        <v>97156306.820000008</v>
      </c>
      <c r="V15" s="28">
        <f t="shared" si="7"/>
        <v>74085401.459999934</v>
      </c>
      <c r="W15" s="28">
        <f t="shared" si="7"/>
        <v>53287896.070000008</v>
      </c>
      <c r="X15" s="28">
        <f t="shared" si="7"/>
        <v>22051701.420000006</v>
      </c>
      <c r="Y15" s="28">
        <f t="shared" si="7"/>
        <v>95924838.299999967</v>
      </c>
      <c r="Z15" s="28">
        <f t="shared" si="7"/>
        <v>88341039.50000003</v>
      </c>
      <c r="AA15" s="28">
        <f t="shared" si="7"/>
        <v>64471900.31000004</v>
      </c>
      <c r="AB15" s="28">
        <f t="shared" si="7"/>
        <v>28151768.75</v>
      </c>
      <c r="AC15" s="28">
        <f t="shared" si="7"/>
        <v>166022991.88000005</v>
      </c>
      <c r="AD15" s="28">
        <f t="shared" si="7"/>
        <v>148493343.85999998</v>
      </c>
      <c r="AE15" s="28">
        <f t="shared" si="7"/>
        <v>112472064.75999999</v>
      </c>
      <c r="AF15" s="28">
        <f t="shared" si="7"/>
        <v>50963783.340000011</v>
      </c>
      <c r="AG15" s="28">
        <f t="shared" si="7"/>
        <v>191599727.91000006</v>
      </c>
      <c r="AH15" s="28">
        <f t="shared" si="7"/>
        <v>145979545.25000003</v>
      </c>
      <c r="AI15" s="28">
        <f t="shared" si="7"/>
        <v>95654725.339999959</v>
      </c>
      <c r="AJ15" s="28">
        <f t="shared" si="7"/>
        <v>47121329.459999993</v>
      </c>
      <c r="AK15" s="28">
        <f t="shared" si="7"/>
        <v>121838735.91999996</v>
      </c>
      <c r="AL15" s="28">
        <f t="shared" si="7"/>
        <v>93604573.879999995</v>
      </c>
      <c r="AM15" s="28">
        <f t="shared" si="7"/>
        <v>0</v>
      </c>
      <c r="AN15" s="28">
        <f t="shared" si="7"/>
        <v>0</v>
      </c>
      <c r="AO15" s="28">
        <f t="shared" si="7"/>
        <v>0</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63532622.787955619</v>
      </c>
      <c r="C16" s="26">
        <f t="shared" ref="C16:BN16" si="9">C15*C41</f>
        <v>51094307.383604027</v>
      </c>
      <c r="D16" s="26">
        <f t="shared" si="9"/>
        <v>30643838.765151236</v>
      </c>
      <c r="E16" s="26">
        <f t="shared" si="9"/>
        <v>84599133.58525902</v>
      </c>
      <c r="F16" s="26">
        <f t="shared" si="9"/>
        <v>56436594.854591705</v>
      </c>
      <c r="G16" s="26">
        <f t="shared" si="9"/>
        <v>42282284.637099281</v>
      </c>
      <c r="H16" s="26">
        <f t="shared" si="9"/>
        <v>31701272.274873666</v>
      </c>
      <c r="I16" s="26">
        <f t="shared" si="9"/>
        <v>89825400.47955665</v>
      </c>
      <c r="J16" s="26">
        <f t="shared" si="9"/>
        <v>62856953.46498704</v>
      </c>
      <c r="K16" s="26">
        <f t="shared" si="9"/>
        <v>41349991.849053025</v>
      </c>
      <c r="L16" s="26">
        <f t="shared" si="9"/>
        <v>22842236.311535675</v>
      </c>
      <c r="M16" s="26">
        <f t="shared" si="9"/>
        <v>56982595.414640896</v>
      </c>
      <c r="N16" s="26">
        <f t="shared" si="9"/>
        <v>42172189.752904646</v>
      </c>
      <c r="O16" s="26">
        <f t="shared" si="9"/>
        <v>22774982.234692398</v>
      </c>
      <c r="P16" s="26">
        <f t="shared" si="9"/>
        <v>8965730.9764696099</v>
      </c>
      <c r="Q16" s="26">
        <f t="shared" si="9"/>
        <v>26051846.844349775</v>
      </c>
      <c r="R16" s="26">
        <f t="shared" si="9"/>
        <v>19218796.738651823</v>
      </c>
      <c r="S16" s="26">
        <f t="shared" si="9"/>
        <v>12116037.547906552</v>
      </c>
      <c r="T16" s="26">
        <f t="shared" si="9"/>
        <v>4579530.5803899709</v>
      </c>
      <c r="U16" s="26">
        <f t="shared" si="9"/>
        <v>17051167.997960869</v>
      </c>
      <c r="V16" s="26">
        <f t="shared" si="9"/>
        <v>12228103.322267279</v>
      </c>
      <c r="W16" s="26">
        <f t="shared" si="9"/>
        <v>8475097.540672157</v>
      </c>
      <c r="X16" s="26">
        <f t="shared" si="9"/>
        <v>3425934.5476966845</v>
      </c>
      <c r="Y16" s="26">
        <f t="shared" si="9"/>
        <v>15054366.763222907</v>
      </c>
      <c r="Z16" s="26">
        <f t="shared" si="9"/>
        <v>13155230.917948509</v>
      </c>
      <c r="AA16" s="26">
        <f t="shared" si="9"/>
        <v>9391170.3294988684</v>
      </c>
      <c r="AB16" s="26">
        <f t="shared" si="9"/>
        <v>3733619.830298577</v>
      </c>
      <c r="AC16" s="26">
        <f t="shared" si="9"/>
        <v>22962528.089200947</v>
      </c>
      <c r="AD16" s="26">
        <f t="shared" si="9"/>
        <v>19254864.377256777</v>
      </c>
      <c r="AE16" s="26">
        <f t="shared" si="9"/>
        <v>15388840.023183633</v>
      </c>
      <c r="AF16" s="26">
        <f t="shared" si="9"/>
        <v>7440821.0815557502</v>
      </c>
      <c r="AG16" s="26">
        <f t="shared" si="9"/>
        <v>24737439.697957214</v>
      </c>
      <c r="AH16" s="26">
        <f t="shared" si="9"/>
        <v>18254056.331777528</v>
      </c>
      <c r="AI16" s="26">
        <f t="shared" si="9"/>
        <v>12080214.097847484</v>
      </c>
      <c r="AJ16" s="26">
        <f t="shared" si="9"/>
        <v>5896119.2847425807</v>
      </c>
      <c r="AK16" s="26">
        <f t="shared" si="9"/>
        <v>12743976.865826178</v>
      </c>
      <c r="AL16" s="26">
        <f t="shared" si="9"/>
        <v>7740051.8845700528</v>
      </c>
      <c r="AM16" s="26" t="e">
        <f t="shared" si="9"/>
        <v>#DIV/0!</v>
      </c>
      <c r="AN16" s="26">
        <f t="shared" si="9"/>
        <v>0</v>
      </c>
      <c r="AO16" s="26">
        <f t="shared" si="9"/>
        <v>0</v>
      </c>
      <c r="AP16" s="26">
        <f t="shared" si="9"/>
        <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755</v>
      </c>
      <c r="B17" s="27">
        <f>B15-B16</f>
        <v>909042820.73204386</v>
      </c>
      <c r="C17" s="27">
        <f t="shared" ref="C17:BN17" si="11">C15-C16</f>
        <v>557091006.55639613</v>
      </c>
      <c r="D17" s="27">
        <f t="shared" si="11"/>
        <v>173012699.72484875</v>
      </c>
      <c r="E17" s="27">
        <f t="shared" si="11"/>
        <v>365902852.78474098</v>
      </c>
      <c r="F17" s="27">
        <f t="shared" si="11"/>
        <v>306094756.60540807</v>
      </c>
      <c r="G17" s="27">
        <f t="shared" si="11"/>
        <v>217349305.85290074</v>
      </c>
      <c r="H17" s="27">
        <f t="shared" si="11"/>
        <v>128338490.35512638</v>
      </c>
      <c r="I17" s="27">
        <f t="shared" si="11"/>
        <v>524552620.09044313</v>
      </c>
      <c r="J17" s="27">
        <f t="shared" si="11"/>
        <v>406650594.29501313</v>
      </c>
      <c r="K17" s="27">
        <f t="shared" si="11"/>
        <v>284628529.1409471</v>
      </c>
      <c r="L17" s="27">
        <f t="shared" si="11"/>
        <v>126332738.53846429</v>
      </c>
      <c r="M17" s="27">
        <f t="shared" si="11"/>
        <v>420613039.12535894</v>
      </c>
      <c r="N17" s="27">
        <f t="shared" si="11"/>
        <v>283032127.32709539</v>
      </c>
      <c r="O17" s="27">
        <f t="shared" si="11"/>
        <v>147759056.46530759</v>
      </c>
      <c r="P17" s="27">
        <f t="shared" si="11"/>
        <v>56740009.403530419</v>
      </c>
      <c r="Q17" s="27">
        <f t="shared" si="11"/>
        <v>210379325.51565036</v>
      </c>
      <c r="R17" s="27">
        <f t="shared" si="11"/>
        <v>94084765.121348232</v>
      </c>
      <c r="S17" s="27">
        <f t="shared" si="11"/>
        <v>53906653.952093497</v>
      </c>
      <c r="T17" s="27">
        <f t="shared" si="11"/>
        <v>21614841.539610043</v>
      </c>
      <c r="U17" s="27">
        <f t="shared" si="11"/>
        <v>80105138.822039142</v>
      </c>
      <c r="V17" s="27">
        <f t="shared" si="11"/>
        <v>61857298.137732655</v>
      </c>
      <c r="W17" s="27">
        <f t="shared" si="11"/>
        <v>44812798.529327855</v>
      </c>
      <c r="X17" s="27">
        <f t="shared" si="11"/>
        <v>18625766.872303322</v>
      </c>
      <c r="Y17" s="27">
        <f t="shared" si="11"/>
        <v>80870471.536777064</v>
      </c>
      <c r="Z17" s="27">
        <f t="shared" si="11"/>
        <v>75185808.582051516</v>
      </c>
      <c r="AA17" s="27">
        <f t="shared" si="11"/>
        <v>55080729.980501175</v>
      </c>
      <c r="AB17" s="27">
        <f t="shared" si="11"/>
        <v>24418148.919701423</v>
      </c>
      <c r="AC17" s="27">
        <f t="shared" si="11"/>
        <v>143060463.79079911</v>
      </c>
      <c r="AD17" s="27">
        <f t="shared" si="11"/>
        <v>129238479.4827432</v>
      </c>
      <c r="AE17" s="27">
        <f t="shared" si="11"/>
        <v>97083224.736816362</v>
      </c>
      <c r="AF17" s="27">
        <f t="shared" si="11"/>
        <v>43522962.258444265</v>
      </c>
      <c r="AG17" s="27">
        <f t="shared" si="11"/>
        <v>166862288.21204284</v>
      </c>
      <c r="AH17" s="27">
        <f t="shared" si="11"/>
        <v>127725488.9182225</v>
      </c>
      <c r="AI17" s="27">
        <f t="shared" si="11"/>
        <v>83574511.242152482</v>
      </c>
      <c r="AJ17" s="27">
        <f t="shared" si="11"/>
        <v>41225210.175257415</v>
      </c>
      <c r="AK17" s="27">
        <f t="shared" si="11"/>
        <v>109094759.05417378</v>
      </c>
      <c r="AL17" s="27">
        <f t="shared" si="11"/>
        <v>85864521.995429948</v>
      </c>
      <c r="AM17" s="27" t="e">
        <f t="shared" si="11"/>
        <v>#DIV/0!</v>
      </c>
      <c r="AN17" s="27">
        <f t="shared" si="11"/>
        <v>0</v>
      </c>
      <c r="AO17" s="27">
        <f t="shared" si="11"/>
        <v>0</v>
      </c>
      <c r="AP17" s="27">
        <f t="shared" si="11"/>
        <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397</v>
      </c>
      <c r="B18" s="57">
        <f>B17/B4*100</f>
        <v>14.595871402123867</v>
      </c>
      <c r="C18" s="57">
        <f t="shared" ref="C18:D18" si="13">C17/C4*100</f>
        <v>14.302490094250834</v>
      </c>
      <c r="D18" s="57">
        <f t="shared" si="13"/>
        <v>12.567437891712135</v>
      </c>
      <c r="E18" s="57">
        <f>E17/E4</f>
        <v>0.10481854707692559</v>
      </c>
      <c r="F18" s="57">
        <f t="shared" ref="F18:BQ18" si="14">F17/F4</f>
        <v>0.1243735130906112</v>
      </c>
      <c r="G18" s="57">
        <f t="shared" si="14"/>
        <v>0.13310358950437351</v>
      </c>
      <c r="H18" s="57">
        <f t="shared" si="14"/>
        <v>0.14949832760901718</v>
      </c>
      <c r="I18" s="57">
        <f t="shared" si="14"/>
        <v>0.15178455719668479</v>
      </c>
      <c r="J18" s="57">
        <f t="shared" si="14"/>
        <v>0.15997642157299607</v>
      </c>
      <c r="K18" s="57">
        <f t="shared" si="14"/>
        <v>0.16756522353016742</v>
      </c>
      <c r="L18" s="57">
        <f t="shared" si="14"/>
        <v>0.15127410006272193</v>
      </c>
      <c r="M18" s="57">
        <f t="shared" si="14"/>
        <v>0.13900760945483567</v>
      </c>
      <c r="N18" s="57">
        <f t="shared" si="14"/>
        <v>0.12904635325823868</v>
      </c>
      <c r="O18" s="57">
        <f t="shared" si="14"/>
        <v>0.11771548660055969</v>
      </c>
      <c r="P18" s="57">
        <f t="shared" si="14"/>
        <v>0.1141727811573674</v>
      </c>
      <c r="Q18" s="57">
        <f t="shared" si="14"/>
        <v>0.12286860881053902</v>
      </c>
      <c r="R18" s="57">
        <f t="shared" si="14"/>
        <v>8.3692506382854914E-2</v>
      </c>
      <c r="S18" s="57">
        <f t="shared" si="14"/>
        <v>7.3822104540441136E-2</v>
      </c>
      <c r="T18" s="57">
        <f t="shared" si="14"/>
        <v>6.5922730914515379E-2</v>
      </c>
      <c r="U18" s="57">
        <f t="shared" si="14"/>
        <v>6.5262427674836213E-2</v>
      </c>
      <c r="V18" s="57">
        <f t="shared" si="14"/>
        <v>6.9955925030913163E-2</v>
      </c>
      <c r="W18" s="57">
        <f t="shared" si="14"/>
        <v>7.7539420453283575E-2</v>
      </c>
      <c r="X18" s="57">
        <f t="shared" si="14"/>
        <v>7.1255048142355754E-2</v>
      </c>
      <c r="Y18" s="57">
        <f t="shared" si="14"/>
        <v>8.7060498811348849E-2</v>
      </c>
      <c r="Z18" s="57">
        <f t="shared" si="14"/>
        <v>0.10841315420167068</v>
      </c>
      <c r="AA18" s="57">
        <f t="shared" si="14"/>
        <v>0.11804188192573943</v>
      </c>
      <c r="AB18" s="57">
        <f t="shared" si="14"/>
        <v>0.10670413570873802</v>
      </c>
      <c r="AC18" s="57">
        <f t="shared" si="14"/>
        <v>0.14324289423233488</v>
      </c>
      <c r="AD18" s="57">
        <f t="shared" si="14"/>
        <v>0.17324365458116975</v>
      </c>
      <c r="AE18" s="57">
        <f t="shared" si="14"/>
        <v>0.18573328197790487</v>
      </c>
      <c r="AF18" s="57">
        <f t="shared" si="14"/>
        <v>0.18626721602533586</v>
      </c>
      <c r="AG18" s="57">
        <f t="shared" si="14"/>
        <v>0.18377169922760134</v>
      </c>
      <c r="AH18" s="57">
        <f t="shared" si="14"/>
        <v>0.19265502017200728</v>
      </c>
      <c r="AI18" s="57">
        <f t="shared" si="14"/>
        <v>0.19472471032867461</v>
      </c>
      <c r="AJ18" s="57">
        <f t="shared" si="14"/>
        <v>0.20902132246425023</v>
      </c>
      <c r="AK18" s="57">
        <f t="shared" si="14"/>
        <v>0.19189511562996275</v>
      </c>
      <c r="AL18" s="57">
        <f t="shared" si="14"/>
        <v>0.20403494171403122</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398</v>
      </c>
      <c r="B20" s="188">
        <v>0</v>
      </c>
      <c r="C20" s="188">
        <v>0</v>
      </c>
      <c r="D20" s="188">
        <v>0</v>
      </c>
      <c r="E20" s="188">
        <v>-1541608.46</v>
      </c>
      <c r="F20" s="188">
        <v>0</v>
      </c>
      <c r="G20" s="188">
        <v>0</v>
      </c>
      <c r="H20" s="188">
        <v>0</v>
      </c>
      <c r="I20" s="188">
        <v>-567184.34</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2271772.0499999998</v>
      </c>
      <c r="Z20" s="188">
        <v>2194139.0099999998</v>
      </c>
      <c r="AA20" s="188">
        <v>1562272.67</v>
      </c>
      <c r="AB20" s="188">
        <v>755765.94</v>
      </c>
      <c r="AC20" s="188">
        <v>2586005.37</v>
      </c>
      <c r="AD20" s="188">
        <v>1659369.95</v>
      </c>
      <c r="AE20" s="188">
        <v>1314928.06</v>
      </c>
      <c r="AF20" s="188">
        <v>743573.88</v>
      </c>
      <c r="AG20" s="188">
        <v>2771806.61</v>
      </c>
      <c r="AH20" s="188">
        <v>1998391.76</v>
      </c>
      <c r="AI20" s="188">
        <v>1299991.8400000001</v>
      </c>
      <c r="AJ20" s="188">
        <v>579434.6</v>
      </c>
      <c r="AK20" s="188">
        <v>524269.5</v>
      </c>
      <c r="AL20" s="188">
        <v>0</v>
      </c>
      <c r="AM20" s="188">
        <v>0</v>
      </c>
      <c r="AN20" s="188"/>
      <c r="AO20" s="188"/>
      <c r="AP20" s="188"/>
      <c r="AQ20" s="188"/>
      <c r="AR20" s="188"/>
      <c r="AS20" s="188"/>
      <c r="AT20" s="188"/>
      <c r="AU20" s="188"/>
      <c r="AV20" s="188"/>
      <c r="AW20" s="188"/>
      <c r="AX20" s="188"/>
      <c r="AY20" s="188"/>
      <c r="AZ20" s="188"/>
      <c r="BA20" s="188"/>
      <c r="BB20" s="188"/>
      <c r="BC20" s="188"/>
      <c r="BD20" s="188"/>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c r="A21" s="18" t="s">
        <v>87</v>
      </c>
      <c r="B21" s="30"/>
      <c r="C21" s="30"/>
      <c r="D21" s="30"/>
      <c r="E21" s="30"/>
      <c r="F21" s="30"/>
      <c r="G21" s="30"/>
      <c r="H21" s="30"/>
      <c r="I21" s="30"/>
      <c r="J21" s="30"/>
      <c r="K21" s="30"/>
    </row>
    <row r="22" spans="1:89">
      <c r="A22" s="17" t="s">
        <v>399</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c r="A23" s="21" t="s">
        <v>400</v>
      </c>
      <c r="B23" s="29">
        <f>-B52</f>
        <v>25636</v>
      </c>
      <c r="C23" s="29">
        <f t="shared" ref="C23:BN23" si="16">-C52</f>
        <v>27718</v>
      </c>
      <c r="D23" s="29">
        <f t="shared" si="16"/>
        <v>35317</v>
      </c>
      <c r="E23" s="29">
        <f t="shared" si="16"/>
        <v>7006581.0300000003</v>
      </c>
      <c r="F23" s="29">
        <f t="shared" si="16"/>
        <v>0</v>
      </c>
      <c r="G23" s="29">
        <f t="shared" si="16"/>
        <v>0</v>
      </c>
      <c r="H23" s="29">
        <f t="shared" si="16"/>
        <v>0</v>
      </c>
      <c r="I23" s="29">
        <f t="shared" si="16"/>
        <v>5086995.83</v>
      </c>
      <c r="J23" s="29">
        <f t="shared" si="16"/>
        <v>0</v>
      </c>
      <c r="K23" s="29">
        <f t="shared" si="16"/>
        <v>0</v>
      </c>
      <c r="L23" s="29">
        <f t="shared" si="16"/>
        <v>0</v>
      </c>
      <c r="M23" s="29">
        <f t="shared" si="16"/>
        <v>4056809.65</v>
      </c>
      <c r="N23" s="29">
        <f t="shared" si="16"/>
        <v>0</v>
      </c>
      <c r="O23" s="29">
        <f t="shared" si="16"/>
        <v>0</v>
      </c>
      <c r="P23" s="29">
        <f t="shared" si="16"/>
        <v>0</v>
      </c>
      <c r="Q23" s="29">
        <f t="shared" si="16"/>
        <v>1185763.3899999999</v>
      </c>
      <c r="R23" s="29">
        <f t="shared" si="16"/>
        <v>0</v>
      </c>
      <c r="S23" s="29">
        <f t="shared" si="16"/>
        <v>0</v>
      </c>
      <c r="T23" s="29">
        <f t="shared" si="16"/>
        <v>0</v>
      </c>
      <c r="U23" s="29">
        <f t="shared" si="16"/>
        <v>8014552.5</v>
      </c>
      <c r="V23" s="29">
        <f t="shared" si="16"/>
        <v>0</v>
      </c>
      <c r="W23" s="29">
        <f t="shared" si="16"/>
        <v>0</v>
      </c>
      <c r="X23" s="29">
        <f t="shared" si="16"/>
        <v>0</v>
      </c>
      <c r="Y23" s="29">
        <f t="shared" si="16"/>
        <v>15508575.34</v>
      </c>
      <c r="Z23" s="29">
        <f t="shared" si="16"/>
        <v>0</v>
      </c>
      <c r="AA23" s="29">
        <f t="shared" si="16"/>
        <v>0</v>
      </c>
      <c r="AB23" s="29">
        <f t="shared" si="16"/>
        <v>0</v>
      </c>
      <c r="AC23" s="29">
        <f t="shared" si="16"/>
        <v>8008216.0499999998</v>
      </c>
      <c r="AD23" s="29">
        <f t="shared" si="16"/>
        <v>0</v>
      </c>
      <c r="AE23" s="29">
        <f t="shared" si="16"/>
        <v>0</v>
      </c>
      <c r="AF23" s="29">
        <f t="shared" si="16"/>
        <v>0</v>
      </c>
      <c r="AG23" s="29">
        <f t="shared" si="16"/>
        <v>649450.06999999995</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401</v>
      </c>
      <c r="B24" s="26">
        <f>B67</f>
        <v>150226953.81</v>
      </c>
      <c r="C24" s="26">
        <f t="shared" ref="C24:BN24" si="18">C67</f>
        <v>150457632.68000001</v>
      </c>
      <c r="D24" s="26">
        <f t="shared" si="18"/>
        <v>154768311.00999999</v>
      </c>
      <c r="E24" s="26">
        <f>E67</f>
        <v>510367878.95999998</v>
      </c>
      <c r="F24" s="26">
        <f t="shared" si="18"/>
        <v>494269291.69</v>
      </c>
      <c r="G24" s="26">
        <f t="shared" si="18"/>
        <v>487338686.72000003</v>
      </c>
      <c r="H24" s="26">
        <f t="shared" si="18"/>
        <v>-118618.09</v>
      </c>
      <c r="I24" s="26">
        <f t="shared" si="18"/>
        <v>-4839331.8100000005</v>
      </c>
      <c r="J24" s="26">
        <f t="shared" si="18"/>
        <v>-298360.31</v>
      </c>
      <c r="K24" s="26">
        <f t="shared" si="18"/>
        <v>-302515.05</v>
      </c>
      <c r="L24" s="26">
        <f t="shared" si="18"/>
        <v>3337.5</v>
      </c>
      <c r="M24" s="26">
        <f t="shared" si="18"/>
        <v>89970.559999999998</v>
      </c>
      <c r="N24" s="26">
        <f t="shared" si="18"/>
        <v>86053.6</v>
      </c>
      <c r="O24" s="26">
        <f t="shared" si="18"/>
        <v>82316.539999999994</v>
      </c>
      <c r="P24" s="26">
        <f t="shared" si="18"/>
        <v>5047.67</v>
      </c>
      <c r="Q24" s="26">
        <f t="shared" si="18"/>
        <v>670590.9</v>
      </c>
      <c r="R24" s="26">
        <f t="shared" si="18"/>
        <v>696642.18</v>
      </c>
      <c r="S24" s="26">
        <f t="shared" si="18"/>
        <v>10733.44</v>
      </c>
      <c r="T24" s="26">
        <f t="shared" si="18"/>
        <v>6403.73</v>
      </c>
      <c r="U24" s="26">
        <f t="shared" si="18"/>
        <v>15800.66</v>
      </c>
      <c r="V24" s="26">
        <f t="shared" si="18"/>
        <v>0</v>
      </c>
      <c r="W24" s="26">
        <f t="shared" si="18"/>
        <v>0</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75290672</v>
      </c>
      <c r="AP24" s="26">
        <f t="shared" si="18"/>
        <v>28784091</v>
      </c>
      <c r="AQ24" s="26">
        <f t="shared" si="18"/>
        <v>50906440</v>
      </c>
      <c r="AR24" s="26">
        <f t="shared" si="18"/>
        <v>43814249</v>
      </c>
      <c r="AS24" s="26">
        <f t="shared" si="18"/>
        <v>-44659784</v>
      </c>
      <c r="AT24" s="26">
        <f t="shared" si="18"/>
        <v>200263335</v>
      </c>
      <c r="AU24" s="26">
        <f t="shared" si="18"/>
        <v>221606916</v>
      </c>
      <c r="AV24" s="26">
        <f t="shared" si="18"/>
        <v>217868111</v>
      </c>
      <c r="AW24" s="26">
        <f t="shared" si="18"/>
        <v>157168368</v>
      </c>
      <c r="AX24" s="26">
        <f t="shared" si="18"/>
        <v>138057057</v>
      </c>
      <c r="AY24" s="26">
        <f t="shared" si="18"/>
        <v>87479921</v>
      </c>
      <c r="AZ24" s="26">
        <f t="shared" si="18"/>
        <v>38948566</v>
      </c>
      <c r="BA24" s="26">
        <f t="shared" si="18"/>
        <v>113301589</v>
      </c>
      <c r="BB24" s="26">
        <f t="shared" si="18"/>
        <v>89939587</v>
      </c>
      <c r="BC24" s="26">
        <f t="shared" si="18"/>
        <v>66406176</v>
      </c>
      <c r="BD24" s="26">
        <f t="shared" si="18"/>
        <v>32739923</v>
      </c>
      <c r="BE24" s="26">
        <f t="shared" si="18"/>
        <v>286112046</v>
      </c>
      <c r="BF24" s="26">
        <f t="shared" si="18"/>
        <v>206559792.81999999</v>
      </c>
      <c r="BG24" s="26">
        <f t="shared" si="18"/>
        <v>165179911.53</v>
      </c>
      <c r="BH24" s="26">
        <f t="shared" si="18"/>
        <v>78125625.650000006</v>
      </c>
      <c r="BI24" s="26">
        <f t="shared" si="18"/>
        <v>53204161</v>
      </c>
      <c r="BJ24" s="26">
        <f t="shared" si="18"/>
        <v>4681908.37</v>
      </c>
      <c r="BK24" s="26">
        <f t="shared" si="18"/>
        <v>6034700.5800000001</v>
      </c>
      <c r="BL24" s="26">
        <f t="shared" si="18"/>
        <v>15558077.91</v>
      </c>
      <c r="BM24" s="26">
        <f t="shared" si="18"/>
        <v>65379188</v>
      </c>
      <c r="BN24" s="26">
        <f t="shared" si="18"/>
        <v>39136404.890000001</v>
      </c>
      <c r="BO24" s="26">
        <f t="shared" ref="BO24:CJ24" si="19">BO67</f>
        <v>17808258.879999999</v>
      </c>
      <c r="BP24" s="26">
        <f t="shared" si="19"/>
        <v>2808093.15</v>
      </c>
      <c r="BQ24" s="26">
        <f t="shared" si="19"/>
        <v>-15965737</v>
      </c>
      <c r="BR24" s="26">
        <f t="shared" si="19"/>
        <v>10466286.75</v>
      </c>
      <c r="BS24" s="26">
        <f t="shared" si="19"/>
        <v>58008092</v>
      </c>
      <c r="BT24" s="26">
        <f t="shared" si="19"/>
        <v>31267187</v>
      </c>
      <c r="BU24" s="26">
        <f t="shared" si="19"/>
        <v>52262841</v>
      </c>
      <c r="BV24" s="26">
        <f t="shared" si="19"/>
        <v>15953986.210000001</v>
      </c>
      <c r="BW24" s="26">
        <f t="shared" si="19"/>
        <v>40708000</v>
      </c>
      <c r="BX24" s="26">
        <f t="shared" si="19"/>
        <v>19592366.059999999</v>
      </c>
      <c r="BY24" s="26">
        <f t="shared" si="19"/>
        <v>61388000</v>
      </c>
      <c r="BZ24" s="26">
        <f t="shared" si="19"/>
        <v>31066000</v>
      </c>
      <c r="CA24" s="26">
        <f t="shared" si="19"/>
        <v>106110000</v>
      </c>
      <c r="CB24" s="26">
        <f t="shared" si="19"/>
        <v>106170000</v>
      </c>
      <c r="CC24" s="26">
        <f t="shared" si="19"/>
        <v>100099000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402</v>
      </c>
      <c r="B25" s="29">
        <f>-B54</f>
        <v>-3104</v>
      </c>
      <c r="C25" s="29">
        <f t="shared" ref="C25:BN25" si="20">-C54</f>
        <v>1424</v>
      </c>
      <c r="D25" s="29">
        <f t="shared" si="20"/>
        <v>340</v>
      </c>
      <c r="E25" s="29">
        <f t="shared" si="20"/>
        <v>-155931.82999999999</v>
      </c>
      <c r="F25" s="29">
        <f t="shared" si="20"/>
        <v>0</v>
      </c>
      <c r="G25" s="29">
        <f t="shared" si="20"/>
        <v>0</v>
      </c>
      <c r="H25" s="29">
        <f t="shared" si="20"/>
        <v>0</v>
      </c>
      <c r="I25" s="29">
        <f t="shared" si="20"/>
        <v>147470.78</v>
      </c>
      <c r="J25" s="29">
        <f t="shared" si="20"/>
        <v>0</v>
      </c>
      <c r="K25" s="29">
        <f t="shared" si="20"/>
        <v>0</v>
      </c>
      <c r="L25" s="29">
        <f t="shared" si="20"/>
        <v>0</v>
      </c>
      <c r="M25" s="29">
        <f t="shared" si="20"/>
        <v>-335289.34999999998</v>
      </c>
      <c r="N25" s="29">
        <f t="shared" si="20"/>
        <v>0</v>
      </c>
      <c r="O25" s="29">
        <f t="shared" si="20"/>
        <v>0</v>
      </c>
      <c r="P25" s="29">
        <f t="shared" si="20"/>
        <v>0</v>
      </c>
      <c r="Q25" s="29">
        <f t="shared" si="20"/>
        <v>150446.69</v>
      </c>
      <c r="R25" s="29">
        <f t="shared" si="20"/>
        <v>0</v>
      </c>
      <c r="S25" s="29">
        <f t="shared" si="20"/>
        <v>0</v>
      </c>
      <c r="T25" s="29">
        <f t="shared" si="20"/>
        <v>0</v>
      </c>
      <c r="U25" s="29">
        <f t="shared" si="20"/>
        <v>-977562.76</v>
      </c>
      <c r="V25" s="29">
        <f t="shared" si="20"/>
        <v>0</v>
      </c>
      <c r="W25" s="29">
        <f t="shared" si="20"/>
        <v>0</v>
      </c>
      <c r="X25" s="29">
        <f t="shared" si="20"/>
        <v>0</v>
      </c>
      <c r="Y25" s="29">
        <f t="shared" si="20"/>
        <v>4614.0200000000004</v>
      </c>
      <c r="Z25" s="29">
        <f t="shared" si="20"/>
        <v>0</v>
      </c>
      <c r="AA25" s="29">
        <f t="shared" si="20"/>
        <v>0</v>
      </c>
      <c r="AB25" s="29">
        <f t="shared" si="20"/>
        <v>0</v>
      </c>
      <c r="AC25" s="29">
        <f t="shared" si="20"/>
        <v>-1056103.55</v>
      </c>
      <c r="AD25" s="29">
        <f t="shared" si="20"/>
        <v>0</v>
      </c>
      <c r="AE25" s="29">
        <f t="shared" si="20"/>
        <v>0</v>
      </c>
      <c r="AF25" s="29">
        <f t="shared" si="20"/>
        <v>0</v>
      </c>
      <c r="AG25" s="29">
        <f t="shared" si="20"/>
        <v>-1973904.28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403</v>
      </c>
      <c r="B26" s="188">
        <v>158807796.34</v>
      </c>
      <c r="C26" s="188">
        <v>72783265.019999996</v>
      </c>
      <c r="D26" s="188">
        <v>-13462111.48</v>
      </c>
      <c r="E26" s="188">
        <v>-4003406.89</v>
      </c>
      <c r="F26" s="188">
        <v>-2071630.67</v>
      </c>
      <c r="G26" s="188">
        <v>-163748.56</v>
      </c>
      <c r="H26" s="188">
        <v>-30981.35</v>
      </c>
      <c r="I26" s="188">
        <v>473157.72</v>
      </c>
      <c r="J26" s="188">
        <v>214259.94</v>
      </c>
      <c r="K26" s="188">
        <v>163211.72</v>
      </c>
      <c r="L26" s="188">
        <v>-31085.42</v>
      </c>
      <c r="M26" s="188">
        <v>280354.45</v>
      </c>
      <c r="N26" s="188">
        <v>134514.15</v>
      </c>
      <c r="O26" s="188">
        <v>-20833.47</v>
      </c>
      <c r="P26" s="188">
        <v>-2173.38</v>
      </c>
      <c r="Q26" s="188">
        <v>-24098.57</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c r="A27" s="17" t="s">
        <v>404</v>
      </c>
      <c r="B27" s="26">
        <f>SUM(B22:B26)</f>
        <v>309057282.14999998</v>
      </c>
      <c r="C27" s="26">
        <f t="shared" ref="C27:BN27" si="22">SUM(C22:C26)</f>
        <v>223270039.69999999</v>
      </c>
      <c r="D27" s="26">
        <f t="shared" si="22"/>
        <v>141341856.53</v>
      </c>
      <c r="E27" s="26">
        <f t="shared" si="22"/>
        <v>513215121.26999998</v>
      </c>
      <c r="F27" s="26">
        <f t="shared" si="22"/>
        <v>492197661.01999998</v>
      </c>
      <c r="G27" s="26">
        <f t="shared" si="22"/>
        <v>487174938.16000003</v>
      </c>
      <c r="H27" s="26">
        <f t="shared" si="22"/>
        <v>-149599.44</v>
      </c>
      <c r="I27" s="26">
        <f t="shared" si="22"/>
        <v>868292.51999999955</v>
      </c>
      <c r="J27" s="26">
        <f t="shared" si="22"/>
        <v>-84100.37</v>
      </c>
      <c r="K27" s="26">
        <f t="shared" si="22"/>
        <v>-139303.32999999999</v>
      </c>
      <c r="L27" s="26">
        <f t="shared" si="22"/>
        <v>-27747.919999999998</v>
      </c>
      <c r="M27" s="26">
        <f t="shared" si="22"/>
        <v>4091845.31</v>
      </c>
      <c r="N27" s="26">
        <f t="shared" si="22"/>
        <v>220567.75</v>
      </c>
      <c r="O27" s="26">
        <f t="shared" si="22"/>
        <v>61483.069999999992</v>
      </c>
      <c r="P27" s="26">
        <f t="shared" si="22"/>
        <v>2874.29</v>
      </c>
      <c r="Q27" s="26">
        <f t="shared" si="22"/>
        <v>1982702.41</v>
      </c>
      <c r="R27" s="26">
        <f t="shared" si="22"/>
        <v>696642.18</v>
      </c>
      <c r="S27" s="26">
        <f t="shared" si="22"/>
        <v>10733.44</v>
      </c>
      <c r="T27" s="26">
        <f t="shared" si="22"/>
        <v>6403.73</v>
      </c>
      <c r="U27" s="26">
        <f t="shared" si="22"/>
        <v>7052790.4000000004</v>
      </c>
      <c r="V27" s="26">
        <f t="shared" si="22"/>
        <v>0</v>
      </c>
      <c r="W27" s="26">
        <f t="shared" si="22"/>
        <v>0</v>
      </c>
      <c r="X27" s="26">
        <f t="shared" si="22"/>
        <v>0</v>
      </c>
      <c r="Y27" s="26">
        <f t="shared" si="22"/>
        <v>15513189.359999999</v>
      </c>
      <c r="Z27" s="26">
        <f t="shared" si="22"/>
        <v>0</v>
      </c>
      <c r="AA27" s="26">
        <f t="shared" si="22"/>
        <v>0</v>
      </c>
      <c r="AB27" s="26">
        <f t="shared" si="22"/>
        <v>0</v>
      </c>
      <c r="AC27" s="26">
        <f t="shared" si="22"/>
        <v>6952112.5</v>
      </c>
      <c r="AD27" s="26">
        <f t="shared" si="22"/>
        <v>0</v>
      </c>
      <c r="AE27" s="26">
        <f t="shared" si="22"/>
        <v>0</v>
      </c>
      <c r="AF27" s="26">
        <f t="shared" si="22"/>
        <v>0</v>
      </c>
      <c r="AG27" s="26">
        <f t="shared" si="22"/>
        <v>-1324454.21</v>
      </c>
      <c r="AH27" s="26">
        <f t="shared" si="22"/>
        <v>0</v>
      </c>
      <c r="AI27" s="26">
        <f t="shared" si="22"/>
        <v>0</v>
      </c>
      <c r="AJ27" s="26">
        <f t="shared" si="22"/>
        <v>0</v>
      </c>
      <c r="AK27" s="26">
        <f t="shared" si="22"/>
        <v>0</v>
      </c>
      <c r="AL27" s="26">
        <f t="shared" si="22"/>
        <v>0</v>
      </c>
      <c r="AM27" s="26">
        <f t="shared" si="22"/>
        <v>0</v>
      </c>
      <c r="AN27" s="26">
        <f t="shared" si="22"/>
        <v>0</v>
      </c>
      <c r="AO27" s="26">
        <f t="shared" si="22"/>
        <v>75290672</v>
      </c>
      <c r="AP27" s="26">
        <f t="shared" si="22"/>
        <v>28784091</v>
      </c>
      <c r="AQ27" s="26">
        <f t="shared" si="22"/>
        <v>50906440</v>
      </c>
      <c r="AR27" s="26">
        <f t="shared" si="22"/>
        <v>43814249</v>
      </c>
      <c r="AS27" s="26">
        <f t="shared" si="22"/>
        <v>-44659784</v>
      </c>
      <c r="AT27" s="26">
        <f t="shared" si="22"/>
        <v>200263335</v>
      </c>
      <c r="AU27" s="26">
        <f t="shared" si="22"/>
        <v>221606916</v>
      </c>
      <c r="AV27" s="26">
        <f t="shared" si="22"/>
        <v>217868111</v>
      </c>
      <c r="AW27" s="26">
        <f t="shared" si="22"/>
        <v>157168368</v>
      </c>
      <c r="AX27" s="26">
        <f t="shared" si="22"/>
        <v>138057057</v>
      </c>
      <c r="AY27" s="26">
        <f t="shared" si="22"/>
        <v>87479921</v>
      </c>
      <c r="AZ27" s="26">
        <f t="shared" si="22"/>
        <v>38948566</v>
      </c>
      <c r="BA27" s="26">
        <f t="shared" si="22"/>
        <v>113301589</v>
      </c>
      <c r="BB27" s="26">
        <f t="shared" si="22"/>
        <v>89939587</v>
      </c>
      <c r="BC27" s="26">
        <f t="shared" si="22"/>
        <v>66406176</v>
      </c>
      <c r="BD27" s="26">
        <f t="shared" si="22"/>
        <v>32739923</v>
      </c>
      <c r="BE27" s="26">
        <f t="shared" si="22"/>
        <v>286112046</v>
      </c>
      <c r="BF27" s="26">
        <f t="shared" si="22"/>
        <v>206559792.81999999</v>
      </c>
      <c r="BG27" s="26">
        <f t="shared" si="22"/>
        <v>165179911.53</v>
      </c>
      <c r="BH27" s="26">
        <f t="shared" si="22"/>
        <v>78125625.650000006</v>
      </c>
      <c r="BI27" s="26">
        <f t="shared" si="22"/>
        <v>53204161</v>
      </c>
      <c r="BJ27" s="26">
        <f t="shared" si="22"/>
        <v>4681908.37</v>
      </c>
      <c r="BK27" s="26">
        <f t="shared" si="22"/>
        <v>6034700.5800000001</v>
      </c>
      <c r="BL27" s="26">
        <f t="shared" si="22"/>
        <v>15558077.91</v>
      </c>
      <c r="BM27" s="26">
        <f t="shared" si="22"/>
        <v>65379188</v>
      </c>
      <c r="BN27" s="26">
        <f t="shared" si="22"/>
        <v>39136404.890000001</v>
      </c>
      <c r="BO27" s="26">
        <f t="shared" ref="BO27:CJ27" si="23">SUM(BO22:BO26)</f>
        <v>17808258.879999999</v>
      </c>
      <c r="BP27" s="26">
        <f t="shared" si="23"/>
        <v>2808093.15</v>
      </c>
      <c r="BQ27" s="26">
        <f t="shared" si="23"/>
        <v>-15965737</v>
      </c>
      <c r="BR27" s="26">
        <f t="shared" si="23"/>
        <v>10466286.75</v>
      </c>
      <c r="BS27" s="26">
        <f t="shared" si="23"/>
        <v>58008092</v>
      </c>
      <c r="BT27" s="26">
        <f t="shared" si="23"/>
        <v>31267187</v>
      </c>
      <c r="BU27" s="26">
        <f t="shared" si="23"/>
        <v>52262841</v>
      </c>
      <c r="BV27" s="26">
        <f t="shared" si="23"/>
        <v>15953986.210000001</v>
      </c>
      <c r="BW27" s="26">
        <f t="shared" si="23"/>
        <v>40708000</v>
      </c>
      <c r="BX27" s="26">
        <f t="shared" si="23"/>
        <v>19592366.059999999</v>
      </c>
      <c r="BY27" s="26">
        <f t="shared" si="23"/>
        <v>61388000</v>
      </c>
      <c r="BZ27" s="26">
        <f t="shared" si="23"/>
        <v>31066000</v>
      </c>
      <c r="CA27" s="26">
        <f t="shared" si="23"/>
        <v>106110000</v>
      </c>
      <c r="CB27" s="26">
        <f t="shared" si="23"/>
        <v>106170000</v>
      </c>
      <c r="CC27" s="26">
        <f t="shared" si="23"/>
        <v>100099000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405</v>
      </c>
      <c r="B28" s="26">
        <f>SUM(B22:B25)*B41</f>
        <v>9814913.5572480932</v>
      </c>
      <c r="C28" s="26">
        <f t="shared" ref="C28:BN28" si="24">SUM(C22:C25)*C41</f>
        <v>12642557.040477356</v>
      </c>
      <c r="D28" s="26">
        <f t="shared" si="24"/>
        <v>23293078.980309788</v>
      </c>
      <c r="E28" s="26">
        <f t="shared" si="24"/>
        <v>97127739.012101993</v>
      </c>
      <c r="F28" s="26">
        <f t="shared" si="24"/>
        <v>76944726.716283306</v>
      </c>
      <c r="G28" s="26">
        <f t="shared" si="24"/>
        <v>79365507.978732854</v>
      </c>
      <c r="H28" s="26">
        <f t="shared" si="24"/>
        <v>-23496.31307882594</v>
      </c>
      <c r="I28" s="26">
        <f t="shared" si="24"/>
        <v>57770.8519267667</v>
      </c>
      <c r="J28" s="26">
        <f t="shared" si="24"/>
        <v>-39944.022648717175</v>
      </c>
      <c r="K28" s="26">
        <f t="shared" si="24"/>
        <v>-38373.678160530093</v>
      </c>
      <c r="L28" s="26">
        <f t="shared" si="24"/>
        <v>511.05062203903793</v>
      </c>
      <c r="M28" s="26">
        <f t="shared" si="24"/>
        <v>454754.24374673923</v>
      </c>
      <c r="N28" s="26">
        <f t="shared" si="24"/>
        <v>11159.349853365589</v>
      </c>
      <c r="O28" s="26">
        <f t="shared" si="24"/>
        <v>10993.451808289028</v>
      </c>
      <c r="P28" s="26">
        <f t="shared" si="24"/>
        <v>688.76860706940158</v>
      </c>
      <c r="Q28" s="26">
        <f t="shared" si="24"/>
        <v>221125.12176882481</v>
      </c>
      <c r="R28" s="26">
        <f t="shared" si="24"/>
        <v>118165.96263350066</v>
      </c>
      <c r="S28" s="26">
        <f t="shared" si="24"/>
        <v>1969.7282722592736</v>
      </c>
      <c r="T28" s="26">
        <f t="shared" si="24"/>
        <v>1119.5564157527381</v>
      </c>
      <c r="U28" s="26">
        <f t="shared" si="24"/>
        <v>1237781.8579251512</v>
      </c>
      <c r="V28" s="26">
        <f t="shared" si="24"/>
        <v>0</v>
      </c>
      <c r="W28" s="26">
        <f t="shared" si="24"/>
        <v>0</v>
      </c>
      <c r="X28" s="26">
        <f t="shared" si="24"/>
        <v>0</v>
      </c>
      <c r="Y28" s="26">
        <f t="shared" si="24"/>
        <v>2434627.4273862112</v>
      </c>
      <c r="Z28" s="26">
        <f t="shared" si="24"/>
        <v>0</v>
      </c>
      <c r="AA28" s="26">
        <f t="shared" si="24"/>
        <v>0</v>
      </c>
      <c r="AB28" s="26">
        <f t="shared" si="24"/>
        <v>0</v>
      </c>
      <c r="AC28" s="26">
        <f t="shared" si="24"/>
        <v>961541.99338800018</v>
      </c>
      <c r="AD28" s="26">
        <f t="shared" si="24"/>
        <v>0</v>
      </c>
      <c r="AE28" s="26">
        <f t="shared" si="24"/>
        <v>0</v>
      </c>
      <c r="AF28" s="26">
        <f t="shared" si="24"/>
        <v>0</v>
      </c>
      <c r="AG28" s="26">
        <f t="shared" si="24"/>
        <v>-171000.27494804468</v>
      </c>
      <c r="AH28" s="26">
        <f t="shared" si="24"/>
        <v>0</v>
      </c>
      <c r="AI28" s="26">
        <f t="shared" si="24"/>
        <v>0</v>
      </c>
      <c r="AJ28" s="26">
        <f t="shared" si="24"/>
        <v>0</v>
      </c>
      <c r="AK28" s="26">
        <f t="shared" si="24"/>
        <v>0</v>
      </c>
      <c r="AL28" s="26">
        <f t="shared" si="24"/>
        <v>0</v>
      </c>
      <c r="AM28" s="26" t="e">
        <f t="shared" si="24"/>
        <v>#DIV/0!</v>
      </c>
      <c r="AN28" s="26">
        <f t="shared" si="24"/>
        <v>0</v>
      </c>
      <c r="AO28" s="26">
        <f t="shared" si="24"/>
        <v>-43798836.061342366</v>
      </c>
      <c r="AP28" s="26">
        <f t="shared" si="24"/>
        <v>-82435968.759159669</v>
      </c>
      <c r="AQ28" s="26">
        <f t="shared" si="24"/>
        <v>75546821.807881013</v>
      </c>
      <c r="AR28" s="26">
        <f t="shared" si="24"/>
        <v>148352945.64438292</v>
      </c>
      <c r="AS28" s="26">
        <f t="shared" si="24"/>
        <v>-7517596.6528209653</v>
      </c>
      <c r="AT28" s="26">
        <f t="shared" si="24"/>
        <v>-40139300.766037151</v>
      </c>
      <c r="AU28" s="26">
        <f t="shared" si="24"/>
        <v>43274004.154337667</v>
      </c>
      <c r="AV28" s="26">
        <f t="shared" si="24"/>
        <v>6450451.4085977115</v>
      </c>
      <c r="AW28" s="26">
        <f t="shared" si="24"/>
        <v>-4486268.1892616795</v>
      </c>
      <c r="AX28" s="26">
        <f t="shared" si="24"/>
        <v>-1838456.4143065673</v>
      </c>
      <c r="AY28" s="26">
        <f t="shared" si="24"/>
        <v>-1233237.048839408</v>
      </c>
      <c r="AZ28" s="26">
        <f t="shared" si="24"/>
        <v>-620325.68815010006</v>
      </c>
      <c r="BA28" s="26">
        <f t="shared" si="24"/>
        <v>-13567776.658208057</v>
      </c>
      <c r="BB28" s="26">
        <f t="shared" si="24"/>
        <v>-16281989.62385294</v>
      </c>
      <c r="BC28" s="26">
        <f t="shared" si="24"/>
        <v>-14093751.140204592</v>
      </c>
      <c r="BD28" s="26">
        <f t="shared" si="24"/>
        <v>-6315978.756334858</v>
      </c>
      <c r="BE28" s="26">
        <f t="shared" si="24"/>
        <v>13782074.515258439</v>
      </c>
      <c r="BF28" s="26">
        <f t="shared" si="24"/>
        <v>43115384.000368789</v>
      </c>
      <c r="BG28" s="26">
        <f t="shared" si="24"/>
        <v>39906994.403253347</v>
      </c>
      <c r="BH28" s="26">
        <f t="shared" si="24"/>
        <v>18396791.057625961</v>
      </c>
      <c r="BI28" s="26">
        <f t="shared" si="24"/>
        <v>-4804870.7371460283</v>
      </c>
      <c r="BJ28" s="26">
        <f t="shared" si="24"/>
        <v>-537748.34074408142</v>
      </c>
      <c r="BK28" s="26">
        <f t="shared" si="24"/>
        <v>-459213.12329184829</v>
      </c>
      <c r="BL28" s="26">
        <f t="shared" si="24"/>
        <v>-1229466.2194602382</v>
      </c>
      <c r="BM28" s="26">
        <f t="shared" si="24"/>
        <v>-18912239957.26376</v>
      </c>
      <c r="BN28" s="26">
        <f t="shared" si="24"/>
        <v>-82326390.340453863</v>
      </c>
      <c r="BO28" s="26">
        <f t="shared" ref="BO28:CJ28" si="25">SUM(BO22:BO25)*BO41</f>
        <v>-35175294.486095995</v>
      </c>
      <c r="BP28" s="26">
        <f t="shared" si="25"/>
        <v>-3255057.155604044</v>
      </c>
      <c r="BQ28" s="26">
        <f t="shared" si="25"/>
        <v>8957760.5411172248</v>
      </c>
      <c r="BR28" s="26">
        <f t="shared" si="25"/>
        <v>43868435.138344735</v>
      </c>
      <c r="BS28" s="26">
        <f t="shared" si="25"/>
        <v>30113844.990529474</v>
      </c>
      <c r="BT28" s="26">
        <f t="shared" si="25"/>
        <v>13658912.636447344</v>
      </c>
      <c r="BU28" s="26">
        <f t="shared" si="25"/>
        <v>12913963.876151374</v>
      </c>
      <c r="BV28" s="26">
        <f t="shared" si="25"/>
        <v>8085812.6973229107</v>
      </c>
      <c r="BW28" s="26">
        <f t="shared" si="25"/>
        <v>4993739.5527042681</v>
      </c>
      <c r="BX28" s="26">
        <f t="shared" si="25"/>
        <v>3207367.2049438446</v>
      </c>
      <c r="BY28" s="26">
        <f t="shared" si="25"/>
        <v>12185863.529145893</v>
      </c>
      <c r="BZ28" s="26">
        <f t="shared" si="25"/>
        <v>7845000</v>
      </c>
      <c r="CA28" s="26">
        <f t="shared" si="25"/>
        <v>3428144.0562213608</v>
      </c>
      <c r="CB28" s="26">
        <f t="shared" si="25"/>
        <v>892287.97445082932</v>
      </c>
      <c r="CC28" s="26">
        <f t="shared" si="25"/>
        <v>520666.63310849358</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406</v>
      </c>
      <c r="B29" s="28">
        <f>B27-B28</f>
        <v>299242368.59275186</v>
      </c>
      <c r="C29" s="28">
        <f t="shared" ref="C29:BN29" si="26">C27-C28</f>
        <v>210627482.65952262</v>
      </c>
      <c r="D29" s="28">
        <f t="shared" si="26"/>
        <v>118048777.54969022</v>
      </c>
      <c r="E29" s="28">
        <f t="shared" si="26"/>
        <v>416087382.25789797</v>
      </c>
      <c r="F29" s="28">
        <f t="shared" si="26"/>
        <v>415252934.30371666</v>
      </c>
      <c r="G29" s="28">
        <f t="shared" si="26"/>
        <v>407809430.18126714</v>
      </c>
      <c r="H29" s="28">
        <f t="shared" si="26"/>
        <v>-126103.12692117406</v>
      </c>
      <c r="I29" s="28">
        <f t="shared" si="26"/>
        <v>810521.66807323287</v>
      </c>
      <c r="J29" s="28">
        <f t="shared" si="26"/>
        <v>-44156.34735128282</v>
      </c>
      <c r="K29" s="28">
        <f t="shared" si="26"/>
        <v>-100929.65183946989</v>
      </c>
      <c r="L29" s="28">
        <f t="shared" si="26"/>
        <v>-28258.970622039036</v>
      </c>
      <c r="M29" s="28">
        <f t="shared" si="26"/>
        <v>3637091.0662532607</v>
      </c>
      <c r="N29" s="28">
        <f t="shared" si="26"/>
        <v>209408.40014663441</v>
      </c>
      <c r="O29" s="28">
        <f t="shared" si="26"/>
        <v>50489.618191710964</v>
      </c>
      <c r="P29" s="28">
        <f t="shared" si="26"/>
        <v>2185.5213929305983</v>
      </c>
      <c r="Q29" s="28">
        <f t="shared" si="26"/>
        <v>1761577.2882311752</v>
      </c>
      <c r="R29" s="28">
        <f t="shared" si="26"/>
        <v>578476.21736649936</v>
      </c>
      <c r="S29" s="28">
        <f t="shared" si="26"/>
        <v>8763.7117277407269</v>
      </c>
      <c r="T29" s="28">
        <f t="shared" si="26"/>
        <v>5284.1735842472617</v>
      </c>
      <c r="U29" s="28">
        <f t="shared" si="26"/>
        <v>5815008.5420748489</v>
      </c>
      <c r="V29" s="28">
        <f t="shared" si="26"/>
        <v>0</v>
      </c>
      <c r="W29" s="28">
        <f t="shared" si="26"/>
        <v>0</v>
      </c>
      <c r="X29" s="28">
        <f t="shared" si="26"/>
        <v>0</v>
      </c>
      <c r="Y29" s="28">
        <f t="shared" si="26"/>
        <v>13078561.932613788</v>
      </c>
      <c r="Z29" s="28">
        <f t="shared" si="26"/>
        <v>0</v>
      </c>
      <c r="AA29" s="28">
        <f t="shared" si="26"/>
        <v>0</v>
      </c>
      <c r="AB29" s="28">
        <f t="shared" si="26"/>
        <v>0</v>
      </c>
      <c r="AC29" s="28">
        <f t="shared" si="26"/>
        <v>5990570.5066120001</v>
      </c>
      <c r="AD29" s="28">
        <f t="shared" si="26"/>
        <v>0</v>
      </c>
      <c r="AE29" s="28">
        <f t="shared" si="26"/>
        <v>0</v>
      </c>
      <c r="AF29" s="28">
        <f t="shared" si="26"/>
        <v>0</v>
      </c>
      <c r="AG29" s="28">
        <f t="shared" si="26"/>
        <v>-1153453.9350519553</v>
      </c>
      <c r="AH29" s="28">
        <f t="shared" si="26"/>
        <v>0</v>
      </c>
      <c r="AI29" s="28">
        <f t="shared" si="26"/>
        <v>0</v>
      </c>
      <c r="AJ29" s="28">
        <f t="shared" si="26"/>
        <v>0</v>
      </c>
      <c r="AK29" s="28">
        <f t="shared" si="26"/>
        <v>0</v>
      </c>
      <c r="AL29" s="28">
        <f t="shared" si="26"/>
        <v>0</v>
      </c>
      <c r="AM29" s="28" t="e">
        <f t="shared" si="26"/>
        <v>#DIV/0!</v>
      </c>
      <c r="AN29" s="28">
        <f t="shared" si="26"/>
        <v>0</v>
      </c>
      <c r="AO29" s="28">
        <f t="shared" si="26"/>
        <v>119089508.06134236</v>
      </c>
      <c r="AP29" s="28">
        <f t="shared" si="26"/>
        <v>111220059.75915967</v>
      </c>
      <c r="AQ29" s="28">
        <f t="shared" si="26"/>
        <v>-24640381.807881013</v>
      </c>
      <c r="AR29" s="28">
        <f t="shared" si="26"/>
        <v>-104538696.64438292</v>
      </c>
      <c r="AS29" s="28">
        <f t="shared" si="26"/>
        <v>-37142187.347179033</v>
      </c>
      <c r="AT29" s="28">
        <f t="shared" si="26"/>
        <v>240402635.76603717</v>
      </c>
      <c r="AU29" s="28">
        <f t="shared" si="26"/>
        <v>178332911.84566233</v>
      </c>
      <c r="AV29" s="28">
        <f t="shared" si="26"/>
        <v>211417659.59140229</v>
      </c>
      <c r="AW29" s="28">
        <f t="shared" si="26"/>
        <v>161654636.18926167</v>
      </c>
      <c r="AX29" s="28">
        <f t="shared" si="26"/>
        <v>139895513.41430658</v>
      </c>
      <c r="AY29" s="28">
        <f t="shared" si="26"/>
        <v>88713158.048839405</v>
      </c>
      <c r="AZ29" s="28">
        <f t="shared" si="26"/>
        <v>39568891.6881501</v>
      </c>
      <c r="BA29" s="28">
        <f t="shared" si="26"/>
        <v>126869365.65820806</v>
      </c>
      <c r="BB29" s="28">
        <f t="shared" si="26"/>
        <v>106221576.62385294</v>
      </c>
      <c r="BC29" s="28">
        <f t="shared" si="26"/>
        <v>80499927.140204594</v>
      </c>
      <c r="BD29" s="28">
        <f t="shared" si="26"/>
        <v>39055901.756334856</v>
      </c>
      <c r="BE29" s="28">
        <f t="shared" si="26"/>
        <v>272329971.48474157</v>
      </c>
      <c r="BF29" s="28">
        <f t="shared" si="26"/>
        <v>163444408.81963122</v>
      </c>
      <c r="BG29" s="28">
        <f t="shared" si="26"/>
        <v>125272917.12674665</v>
      </c>
      <c r="BH29" s="28">
        <f t="shared" si="26"/>
        <v>59728834.592374042</v>
      </c>
      <c r="BI29" s="28">
        <f t="shared" si="26"/>
        <v>58009031.737146027</v>
      </c>
      <c r="BJ29" s="28">
        <f t="shared" si="26"/>
        <v>5219656.7107440811</v>
      </c>
      <c r="BK29" s="28">
        <f t="shared" si="26"/>
        <v>6493913.7032918483</v>
      </c>
      <c r="BL29" s="28">
        <f t="shared" si="26"/>
        <v>16787544.129460238</v>
      </c>
      <c r="BM29" s="28">
        <f t="shared" si="26"/>
        <v>18977619145.26376</v>
      </c>
      <c r="BN29" s="28">
        <f t="shared" si="26"/>
        <v>121462795.23045386</v>
      </c>
      <c r="BO29" s="28">
        <f t="shared" ref="BO29:CK29" si="27">BO27-BO28</f>
        <v>52983553.36609599</v>
      </c>
      <c r="BP29" s="28">
        <f t="shared" si="27"/>
        <v>6063150.3056040443</v>
      </c>
      <c r="BQ29" s="28">
        <f t="shared" si="27"/>
        <v>-24923497.541117225</v>
      </c>
      <c r="BR29" s="28">
        <f t="shared" si="27"/>
        <v>-33402148.388344735</v>
      </c>
      <c r="BS29" s="28">
        <f t="shared" si="27"/>
        <v>27894247.009470526</v>
      </c>
      <c r="BT29" s="28">
        <f t="shared" si="27"/>
        <v>17608274.363552656</v>
      </c>
      <c r="BU29" s="28">
        <f t="shared" si="27"/>
        <v>39348877.123848625</v>
      </c>
      <c r="BV29" s="28">
        <f t="shared" si="27"/>
        <v>7868173.5126770902</v>
      </c>
      <c r="BW29" s="28">
        <f t="shared" si="27"/>
        <v>35714260.447295733</v>
      </c>
      <c r="BX29" s="28">
        <f t="shared" si="27"/>
        <v>16384998.855056154</v>
      </c>
      <c r="BY29" s="28">
        <f t="shared" si="27"/>
        <v>49202136.470854104</v>
      </c>
      <c r="BZ29" s="28">
        <f t="shared" si="27"/>
        <v>23221000</v>
      </c>
      <c r="CA29" s="28">
        <f t="shared" si="27"/>
        <v>102681855.94377863</v>
      </c>
      <c r="CB29" s="28">
        <f t="shared" si="27"/>
        <v>105277712.02554917</v>
      </c>
      <c r="CC29" s="28">
        <f t="shared" si="27"/>
        <v>99578333.366891503</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407</v>
      </c>
      <c r="B31" s="26">
        <f>B15+B20+B27</f>
        <v>1281632725.6699996</v>
      </c>
      <c r="C31" s="26">
        <f t="shared" ref="C31:BN31" si="28">C15+C20+C27</f>
        <v>831455353.6400001</v>
      </c>
      <c r="D31" s="26">
        <f t="shared" si="28"/>
        <v>344998395.01999998</v>
      </c>
      <c r="E31" s="26">
        <f t="shared" si="28"/>
        <v>962175499.18000007</v>
      </c>
      <c r="F31" s="26">
        <f t="shared" si="28"/>
        <v>854729012.47999978</v>
      </c>
      <c r="G31" s="26">
        <f t="shared" si="28"/>
        <v>746806528.6500001</v>
      </c>
      <c r="H31" s="26">
        <f t="shared" si="28"/>
        <v>159890163.19000006</v>
      </c>
      <c r="I31" s="26">
        <f t="shared" si="28"/>
        <v>614679128.74999976</v>
      </c>
      <c r="J31" s="26">
        <f t="shared" si="28"/>
        <v>469423447.39000016</v>
      </c>
      <c r="K31" s="26">
        <f t="shared" si="28"/>
        <v>325839217.66000015</v>
      </c>
      <c r="L31" s="26">
        <f t="shared" si="28"/>
        <v>149147226.92999998</v>
      </c>
      <c r="M31" s="26">
        <f t="shared" si="28"/>
        <v>481687479.84999985</v>
      </c>
      <c r="N31" s="26">
        <f t="shared" si="28"/>
        <v>325424884.83000004</v>
      </c>
      <c r="O31" s="26">
        <f t="shared" si="28"/>
        <v>170595521.76999998</v>
      </c>
      <c r="P31" s="26">
        <f t="shared" si="28"/>
        <v>65708614.670000024</v>
      </c>
      <c r="Q31" s="26">
        <f t="shared" si="28"/>
        <v>238413874.77000013</v>
      </c>
      <c r="R31" s="26">
        <f t="shared" si="28"/>
        <v>114000204.04000007</v>
      </c>
      <c r="S31" s="26">
        <f t="shared" si="28"/>
        <v>66033424.940000042</v>
      </c>
      <c r="T31" s="26">
        <f t="shared" si="28"/>
        <v>26200775.850000013</v>
      </c>
      <c r="U31" s="26">
        <f t="shared" si="28"/>
        <v>104209097.22000001</v>
      </c>
      <c r="V31" s="26">
        <f t="shared" si="28"/>
        <v>74085401.459999934</v>
      </c>
      <c r="W31" s="26">
        <f t="shared" si="28"/>
        <v>53287896.070000008</v>
      </c>
      <c r="X31" s="26">
        <f t="shared" si="28"/>
        <v>22051701.420000006</v>
      </c>
      <c r="Y31" s="26">
        <f t="shared" si="28"/>
        <v>113709799.70999996</v>
      </c>
      <c r="Z31" s="26">
        <f t="shared" si="28"/>
        <v>90535178.510000035</v>
      </c>
      <c r="AA31" s="26">
        <f t="shared" si="28"/>
        <v>66034172.980000041</v>
      </c>
      <c r="AB31" s="26">
        <f t="shared" si="28"/>
        <v>28907534.690000001</v>
      </c>
      <c r="AC31" s="26">
        <f t="shared" si="28"/>
        <v>175561109.75000006</v>
      </c>
      <c r="AD31" s="26">
        <f t="shared" si="28"/>
        <v>150152713.80999997</v>
      </c>
      <c r="AE31" s="26">
        <f t="shared" si="28"/>
        <v>113786992.81999999</v>
      </c>
      <c r="AF31" s="26">
        <f t="shared" si="28"/>
        <v>51707357.220000014</v>
      </c>
      <c r="AG31" s="26">
        <f t="shared" si="28"/>
        <v>193047080.31000006</v>
      </c>
      <c r="AH31" s="26">
        <f t="shared" si="28"/>
        <v>147977937.01000002</v>
      </c>
      <c r="AI31" s="26">
        <f t="shared" si="28"/>
        <v>96954717.179999962</v>
      </c>
      <c r="AJ31" s="26">
        <f t="shared" si="28"/>
        <v>47700764.059999995</v>
      </c>
      <c r="AK31" s="26">
        <f t="shared" si="28"/>
        <v>122363005.41999996</v>
      </c>
      <c r="AL31" s="26">
        <f t="shared" si="28"/>
        <v>93604573.879999995</v>
      </c>
      <c r="AM31" s="26">
        <f t="shared" si="28"/>
        <v>0</v>
      </c>
      <c r="AN31" s="26">
        <f t="shared" si="28"/>
        <v>0</v>
      </c>
      <c r="AO31" s="26">
        <f t="shared" si="28"/>
        <v>75290672</v>
      </c>
      <c r="AP31" s="26">
        <f t="shared" si="28"/>
        <v>28784091</v>
      </c>
      <c r="AQ31" s="26">
        <f t="shared" si="28"/>
        <v>50906440</v>
      </c>
      <c r="AR31" s="26">
        <f t="shared" si="28"/>
        <v>43814249</v>
      </c>
      <c r="AS31" s="26">
        <f t="shared" si="28"/>
        <v>-44659784</v>
      </c>
      <c r="AT31" s="26">
        <f t="shared" si="28"/>
        <v>200263335</v>
      </c>
      <c r="AU31" s="26">
        <f t="shared" si="28"/>
        <v>221606916</v>
      </c>
      <c r="AV31" s="26">
        <f t="shared" si="28"/>
        <v>217868111</v>
      </c>
      <c r="AW31" s="26">
        <f t="shared" si="28"/>
        <v>157168368</v>
      </c>
      <c r="AX31" s="26">
        <f t="shared" si="28"/>
        <v>138057057</v>
      </c>
      <c r="AY31" s="26">
        <f t="shared" si="28"/>
        <v>87479921</v>
      </c>
      <c r="AZ31" s="26">
        <f t="shared" si="28"/>
        <v>38948566</v>
      </c>
      <c r="BA31" s="26">
        <f t="shared" si="28"/>
        <v>113301589</v>
      </c>
      <c r="BB31" s="26">
        <f t="shared" si="28"/>
        <v>89939587</v>
      </c>
      <c r="BC31" s="26">
        <f t="shared" si="28"/>
        <v>66406176</v>
      </c>
      <c r="BD31" s="26">
        <f t="shared" si="28"/>
        <v>32739923</v>
      </c>
      <c r="BE31" s="26">
        <f t="shared" si="28"/>
        <v>286112046</v>
      </c>
      <c r="BF31" s="26">
        <f t="shared" si="28"/>
        <v>206559792.81999999</v>
      </c>
      <c r="BG31" s="26">
        <f t="shared" si="28"/>
        <v>165179911.53</v>
      </c>
      <c r="BH31" s="26">
        <f t="shared" si="28"/>
        <v>78125625.650000006</v>
      </c>
      <c r="BI31" s="26">
        <f t="shared" si="28"/>
        <v>53204161</v>
      </c>
      <c r="BJ31" s="26">
        <f t="shared" si="28"/>
        <v>4681908.37</v>
      </c>
      <c r="BK31" s="26">
        <f t="shared" si="28"/>
        <v>6034700.5800000001</v>
      </c>
      <c r="BL31" s="26">
        <f t="shared" si="28"/>
        <v>15558077.91</v>
      </c>
      <c r="BM31" s="26">
        <f t="shared" si="28"/>
        <v>65379188</v>
      </c>
      <c r="BN31" s="26">
        <f t="shared" si="28"/>
        <v>39136404.890000001</v>
      </c>
      <c r="BO31" s="26">
        <f t="shared" ref="BO31:CJ31" si="29">BO15+BO20+BO27</f>
        <v>17808258.879999999</v>
      </c>
      <c r="BP31" s="26">
        <f t="shared" si="29"/>
        <v>2808093.15</v>
      </c>
      <c r="BQ31" s="26">
        <f t="shared" si="29"/>
        <v>-15965737</v>
      </c>
      <c r="BR31" s="26">
        <f t="shared" si="29"/>
        <v>10466286.75</v>
      </c>
      <c r="BS31" s="26">
        <f t="shared" si="29"/>
        <v>58008092</v>
      </c>
      <c r="BT31" s="26">
        <f t="shared" si="29"/>
        <v>31267187</v>
      </c>
      <c r="BU31" s="26">
        <f t="shared" si="29"/>
        <v>52262841</v>
      </c>
      <c r="BV31" s="26">
        <f t="shared" si="29"/>
        <v>15953986.210000001</v>
      </c>
      <c r="BW31" s="26">
        <f t="shared" si="29"/>
        <v>40708000</v>
      </c>
      <c r="BX31" s="26">
        <f t="shared" si="29"/>
        <v>19592366.059999999</v>
      </c>
      <c r="BY31" s="26">
        <f t="shared" si="29"/>
        <v>61388000</v>
      </c>
      <c r="BZ31" s="26">
        <f t="shared" si="29"/>
        <v>31066000</v>
      </c>
      <c r="CA31" s="26">
        <f t="shared" si="29"/>
        <v>106110000</v>
      </c>
      <c r="CB31" s="26">
        <f t="shared" si="29"/>
        <v>106170000</v>
      </c>
      <c r="CC31" s="26">
        <f t="shared" si="29"/>
        <v>100099000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408</v>
      </c>
      <c r="B32" s="57">
        <f>B31/B4*100</f>
        <v>20.578289627290165</v>
      </c>
      <c r="C32" s="57">
        <f t="shared" ref="C32:D32" si="30">C31/C4*100</f>
        <v>21.34639012170819</v>
      </c>
      <c r="D32" s="57">
        <f t="shared" si="30"/>
        <v>25.060275396254639</v>
      </c>
      <c r="E32" s="57">
        <f>E31/E4</f>
        <v>0.27563009440758607</v>
      </c>
      <c r="F32" s="57">
        <f t="shared" ref="F32:BQ32" si="31">F31/F4</f>
        <v>0.34729654046196828</v>
      </c>
      <c r="G32" s="57">
        <f t="shared" si="31"/>
        <v>0.45734045130049883</v>
      </c>
      <c r="H32" s="57">
        <f t="shared" si="31"/>
        <v>0.18625208954768613</v>
      </c>
      <c r="I32" s="57">
        <f t="shared" si="31"/>
        <v>0.17786356564051892</v>
      </c>
      <c r="J32" s="57">
        <f t="shared" si="31"/>
        <v>0.18467127398670752</v>
      </c>
      <c r="K32" s="57">
        <f t="shared" si="31"/>
        <v>0.19182659414670059</v>
      </c>
      <c r="L32" s="57">
        <f t="shared" si="31"/>
        <v>0.17859276060747203</v>
      </c>
      <c r="M32" s="57">
        <f t="shared" si="31"/>
        <v>0.15919198610083191</v>
      </c>
      <c r="N32" s="57">
        <f t="shared" si="31"/>
        <v>0.14837500973259138</v>
      </c>
      <c r="O32" s="57">
        <f t="shared" si="31"/>
        <v>0.13590865654821585</v>
      </c>
      <c r="P32" s="57">
        <f t="shared" si="31"/>
        <v>0.13221949311846437</v>
      </c>
      <c r="Q32" s="57">
        <f t="shared" si="31"/>
        <v>0.13924172939674531</v>
      </c>
      <c r="R32" s="57">
        <f t="shared" si="31"/>
        <v>0.10140815882315024</v>
      </c>
      <c r="S32" s="57">
        <f t="shared" si="31"/>
        <v>9.0429029474101558E-2</v>
      </c>
      <c r="T32" s="57">
        <f t="shared" si="31"/>
        <v>7.9909292554649236E-2</v>
      </c>
      <c r="U32" s="57">
        <f t="shared" si="31"/>
        <v>8.4900154601680808E-2</v>
      </c>
      <c r="V32" s="57">
        <f t="shared" si="31"/>
        <v>8.3784984899937465E-2</v>
      </c>
      <c r="W32" s="57">
        <f t="shared" si="31"/>
        <v>9.2203850552615388E-2</v>
      </c>
      <c r="X32" s="57">
        <f t="shared" si="31"/>
        <v>8.4361361176461661E-2</v>
      </c>
      <c r="Y32" s="57">
        <f t="shared" si="31"/>
        <v>0.12241343093924165</v>
      </c>
      <c r="Z32" s="57">
        <f t="shared" si="31"/>
        <v>0.13054596942678245</v>
      </c>
      <c r="AA32" s="57">
        <f t="shared" si="31"/>
        <v>0.14151588137500015</v>
      </c>
      <c r="AB32" s="57">
        <f t="shared" si="31"/>
        <v>0.12632216777407257</v>
      </c>
      <c r="AC32" s="57">
        <f t="shared" si="31"/>
        <v>0.17578498495576647</v>
      </c>
      <c r="AD32" s="57">
        <f t="shared" si="31"/>
        <v>0.20127910038742219</v>
      </c>
      <c r="AE32" s="57">
        <f t="shared" si="31"/>
        <v>0.21768983962108077</v>
      </c>
      <c r="AF32" s="57">
        <f t="shared" si="31"/>
        <v>0.22129434619373325</v>
      </c>
      <c r="AG32" s="57">
        <f t="shared" si="31"/>
        <v>0.21260999330426</v>
      </c>
      <c r="AH32" s="57">
        <f t="shared" si="31"/>
        <v>0.22320284448413072</v>
      </c>
      <c r="AI32" s="57">
        <f t="shared" si="31"/>
        <v>0.22589996563870804</v>
      </c>
      <c r="AJ32" s="57">
        <f t="shared" si="31"/>
        <v>0.24185387397637739</v>
      </c>
      <c r="AK32" s="57">
        <f t="shared" si="31"/>
        <v>0.21523364896237251</v>
      </c>
      <c r="AL32" s="57">
        <f t="shared" si="31"/>
        <v>0.22242718333410197</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409</v>
      </c>
      <c r="B33" s="26">
        <f>B17+B20+B29</f>
        <v>1208285189.3247957</v>
      </c>
      <c r="C33" s="26">
        <f t="shared" ref="C33:BN33" si="33">C17+C20+C29</f>
        <v>767718489.21591878</v>
      </c>
      <c r="D33" s="26">
        <f t="shared" si="33"/>
        <v>291061477.27453899</v>
      </c>
      <c r="E33" s="26">
        <f t="shared" si="33"/>
        <v>780448626.58263898</v>
      </c>
      <c r="F33" s="26">
        <f t="shared" si="33"/>
        <v>721347690.90912473</v>
      </c>
      <c r="G33" s="26">
        <f t="shared" si="33"/>
        <v>625158736.03416789</v>
      </c>
      <c r="H33" s="26">
        <f t="shared" si="33"/>
        <v>128212387.2282052</v>
      </c>
      <c r="I33" s="26">
        <f t="shared" si="33"/>
        <v>524795957.4185164</v>
      </c>
      <c r="J33" s="26">
        <f t="shared" si="33"/>
        <v>406606437.94766188</v>
      </c>
      <c r="K33" s="26">
        <f t="shared" si="33"/>
        <v>284527599.48910761</v>
      </c>
      <c r="L33" s="26">
        <f t="shared" si="33"/>
        <v>126304479.56784226</v>
      </c>
      <c r="M33" s="26">
        <f t="shared" si="33"/>
        <v>424250130.19161218</v>
      </c>
      <c r="N33" s="26">
        <f t="shared" si="33"/>
        <v>283241535.72724205</v>
      </c>
      <c r="O33" s="26">
        <f t="shared" si="33"/>
        <v>147809546.08349931</v>
      </c>
      <c r="P33" s="26">
        <f t="shared" si="33"/>
        <v>56742194.924923353</v>
      </c>
      <c r="Q33" s="26">
        <f t="shared" si="33"/>
        <v>212140902.80388153</v>
      </c>
      <c r="R33" s="26">
        <f t="shared" si="33"/>
        <v>94663241.338714734</v>
      </c>
      <c r="S33" s="26">
        <f t="shared" si="33"/>
        <v>53915417.663821235</v>
      </c>
      <c r="T33" s="26">
        <f t="shared" si="33"/>
        <v>21620125.713194292</v>
      </c>
      <c r="U33" s="26">
        <f t="shared" si="33"/>
        <v>85920147.364113986</v>
      </c>
      <c r="V33" s="26">
        <f t="shared" si="33"/>
        <v>61857298.137732655</v>
      </c>
      <c r="W33" s="26">
        <f t="shared" si="33"/>
        <v>44812798.529327855</v>
      </c>
      <c r="X33" s="26">
        <f t="shared" si="33"/>
        <v>18625766.872303322</v>
      </c>
      <c r="Y33" s="26">
        <f t="shared" si="33"/>
        <v>96220805.519390851</v>
      </c>
      <c r="Z33" s="26">
        <f t="shared" si="33"/>
        <v>77379947.592051521</v>
      </c>
      <c r="AA33" s="26">
        <f t="shared" si="33"/>
        <v>56643002.650501177</v>
      </c>
      <c r="AB33" s="26">
        <f t="shared" si="33"/>
        <v>25173914.859701425</v>
      </c>
      <c r="AC33" s="26">
        <f t="shared" si="33"/>
        <v>151637039.66741112</v>
      </c>
      <c r="AD33" s="26">
        <f t="shared" si="33"/>
        <v>130897849.43274321</v>
      </c>
      <c r="AE33" s="26">
        <f t="shared" si="33"/>
        <v>98398152.796816364</v>
      </c>
      <c r="AF33" s="26">
        <f t="shared" si="33"/>
        <v>44266536.138444267</v>
      </c>
      <c r="AG33" s="26">
        <f t="shared" si="33"/>
        <v>168480640.8869909</v>
      </c>
      <c r="AH33" s="26">
        <f t="shared" si="33"/>
        <v>129723880.67822251</v>
      </c>
      <c r="AI33" s="26">
        <f t="shared" si="33"/>
        <v>84874503.082152486</v>
      </c>
      <c r="AJ33" s="26">
        <f t="shared" si="33"/>
        <v>41804644.775257416</v>
      </c>
      <c r="AK33" s="26">
        <f t="shared" si="33"/>
        <v>109619028.55417378</v>
      </c>
      <c r="AL33" s="26">
        <f t="shared" si="33"/>
        <v>85864521.995429948</v>
      </c>
      <c r="AM33" s="26" t="e">
        <f t="shared" si="33"/>
        <v>#DIV/0!</v>
      </c>
      <c r="AN33" s="26">
        <f t="shared" si="33"/>
        <v>0</v>
      </c>
      <c r="AO33" s="26">
        <f t="shared" si="33"/>
        <v>119089508.06134236</v>
      </c>
      <c r="AP33" s="26">
        <f t="shared" si="33"/>
        <v>111220059.75915967</v>
      </c>
      <c r="AQ33" s="26">
        <f t="shared" si="33"/>
        <v>-24640381.807881013</v>
      </c>
      <c r="AR33" s="26">
        <f t="shared" si="33"/>
        <v>-104538696.64438292</v>
      </c>
      <c r="AS33" s="26">
        <f t="shared" si="33"/>
        <v>-37142187.347179033</v>
      </c>
      <c r="AT33" s="26">
        <f t="shared" si="33"/>
        <v>240402635.76603717</v>
      </c>
      <c r="AU33" s="26">
        <f t="shared" si="33"/>
        <v>178332911.84566233</v>
      </c>
      <c r="AV33" s="26">
        <f t="shared" si="33"/>
        <v>211417659.59140229</v>
      </c>
      <c r="AW33" s="26">
        <f t="shared" si="33"/>
        <v>161654636.18926167</v>
      </c>
      <c r="AX33" s="26">
        <f t="shared" si="33"/>
        <v>139895513.41430658</v>
      </c>
      <c r="AY33" s="26">
        <f t="shared" si="33"/>
        <v>88713158.048839405</v>
      </c>
      <c r="AZ33" s="26">
        <f t="shared" si="33"/>
        <v>39568891.6881501</v>
      </c>
      <c r="BA33" s="26">
        <f t="shared" si="33"/>
        <v>126869365.65820806</v>
      </c>
      <c r="BB33" s="26">
        <f t="shared" si="33"/>
        <v>106221576.62385294</v>
      </c>
      <c r="BC33" s="26">
        <f t="shared" si="33"/>
        <v>80499927.140204594</v>
      </c>
      <c r="BD33" s="26">
        <f t="shared" si="33"/>
        <v>39055901.756334856</v>
      </c>
      <c r="BE33" s="26">
        <f t="shared" si="33"/>
        <v>272329971.48474157</v>
      </c>
      <c r="BF33" s="26">
        <f t="shared" si="33"/>
        <v>163444408.81963122</v>
      </c>
      <c r="BG33" s="26">
        <f t="shared" si="33"/>
        <v>125272917.12674665</v>
      </c>
      <c r="BH33" s="26">
        <f t="shared" si="33"/>
        <v>59728834.592374042</v>
      </c>
      <c r="BI33" s="26">
        <f t="shared" si="33"/>
        <v>58009031.737146027</v>
      </c>
      <c r="BJ33" s="26">
        <f t="shared" si="33"/>
        <v>5219656.7107440811</v>
      </c>
      <c r="BK33" s="26">
        <f t="shared" si="33"/>
        <v>6493913.7032918483</v>
      </c>
      <c r="BL33" s="26">
        <f t="shared" si="33"/>
        <v>16787544.129460238</v>
      </c>
      <c r="BM33" s="26">
        <f t="shared" si="33"/>
        <v>18977619145.26376</v>
      </c>
      <c r="BN33" s="26">
        <f t="shared" si="33"/>
        <v>121462795.23045386</v>
      </c>
      <c r="BO33" s="26">
        <f t="shared" ref="BO33:CJ33" si="34">BO17+BO20+BO29</f>
        <v>52983553.36609599</v>
      </c>
      <c r="BP33" s="26">
        <f t="shared" si="34"/>
        <v>6063150.3056040443</v>
      </c>
      <c r="BQ33" s="26">
        <f t="shared" si="34"/>
        <v>-24923497.541117225</v>
      </c>
      <c r="BR33" s="26">
        <f t="shared" si="34"/>
        <v>-33402148.388344735</v>
      </c>
      <c r="BS33" s="26">
        <f t="shared" si="34"/>
        <v>27894247.009470526</v>
      </c>
      <c r="BT33" s="26">
        <f t="shared" si="34"/>
        <v>17608274.363552656</v>
      </c>
      <c r="BU33" s="26">
        <f t="shared" si="34"/>
        <v>39348877.123848625</v>
      </c>
      <c r="BV33" s="26">
        <f t="shared" si="34"/>
        <v>7868173.5126770902</v>
      </c>
      <c r="BW33" s="26">
        <f t="shared" si="34"/>
        <v>35714260.447295733</v>
      </c>
      <c r="BX33" s="26">
        <f t="shared" si="34"/>
        <v>16384998.855056154</v>
      </c>
      <c r="BY33" s="26">
        <f t="shared" si="34"/>
        <v>49202136.470854104</v>
      </c>
      <c r="BZ33" s="26">
        <f t="shared" si="34"/>
        <v>23221000</v>
      </c>
      <c r="CA33" s="26">
        <f t="shared" si="34"/>
        <v>102681855.94377863</v>
      </c>
      <c r="CB33" s="26">
        <f t="shared" si="34"/>
        <v>105277712.02554917</v>
      </c>
      <c r="CC33" s="26">
        <f t="shared" si="34"/>
        <v>99578333.366891503</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410</v>
      </c>
      <c r="B34" s="57">
        <f>B33/B4*100</f>
        <v>19.400599001786865</v>
      </c>
      <c r="C34" s="57">
        <f t="shared" ref="C34:D34" si="35">C33/C4*100</f>
        <v>19.71004011545163</v>
      </c>
      <c r="D34" s="57">
        <f t="shared" si="35"/>
        <v>21.142361480602865</v>
      </c>
      <c r="E34" s="57">
        <f>E33/E4</f>
        <v>0.2235716132956746</v>
      </c>
      <c r="F34" s="57">
        <f t="shared" ref="F34:BQ34" si="36">F33/F4</f>
        <v>0.29310056622049002</v>
      </c>
      <c r="G34" s="57">
        <f t="shared" si="36"/>
        <v>0.38284397297537703</v>
      </c>
      <c r="H34" s="57">
        <f t="shared" si="36"/>
        <v>0.14935143320088742</v>
      </c>
      <c r="I34" s="57">
        <f t="shared" si="36"/>
        <v>0.15185496929106088</v>
      </c>
      <c r="J34" s="57">
        <f t="shared" si="36"/>
        <v>0.15995905045750261</v>
      </c>
      <c r="K34" s="57">
        <f t="shared" si="36"/>
        <v>0.16750580468089624</v>
      </c>
      <c r="L34" s="57">
        <f t="shared" si="36"/>
        <v>0.1512402620378441</v>
      </c>
      <c r="M34" s="57">
        <f t="shared" si="36"/>
        <v>0.14020962481684332</v>
      </c>
      <c r="N34" s="57">
        <f t="shared" si="36"/>
        <v>0.12914183143110822</v>
      </c>
      <c r="O34" s="57">
        <f t="shared" si="36"/>
        <v>0.11775571026004895</v>
      </c>
      <c r="P34" s="57">
        <f t="shared" si="36"/>
        <v>0.11417717888409204</v>
      </c>
      <c r="Q34" s="57">
        <f t="shared" si="36"/>
        <v>0.12389742925278872</v>
      </c>
      <c r="R34" s="57">
        <f t="shared" si="36"/>
        <v>8.4207086234883363E-2</v>
      </c>
      <c r="S34" s="57">
        <f t="shared" si="36"/>
        <v>7.3834105946499515E-2</v>
      </c>
      <c r="T34" s="57">
        <f t="shared" si="36"/>
        <v>6.5938847024025665E-2</v>
      </c>
      <c r="U34" s="57">
        <f t="shared" si="36"/>
        <v>6.9999971108208353E-2</v>
      </c>
      <c r="V34" s="57">
        <f t="shared" si="36"/>
        <v>6.9955925030913163E-2</v>
      </c>
      <c r="W34" s="57">
        <f t="shared" si="36"/>
        <v>7.7539420453283575E-2</v>
      </c>
      <c r="X34" s="57">
        <f t="shared" si="36"/>
        <v>7.1255048142355754E-2</v>
      </c>
      <c r="Y34" s="57">
        <f t="shared" si="36"/>
        <v>0.1035857855822984</v>
      </c>
      <c r="Z34" s="57">
        <f t="shared" si="36"/>
        <v>0.11157696310812722</v>
      </c>
      <c r="AA34" s="57">
        <f t="shared" si="36"/>
        <v>0.12138994223854271</v>
      </c>
      <c r="AB34" s="57">
        <f t="shared" si="36"/>
        <v>0.11000673459495974</v>
      </c>
      <c r="AC34" s="57">
        <f t="shared" si="36"/>
        <v>0.15183040694280425</v>
      </c>
      <c r="AD34" s="57">
        <f t="shared" si="36"/>
        <v>0.17546803323055302</v>
      </c>
      <c r="AE34" s="57">
        <f t="shared" si="36"/>
        <v>0.18824891642258584</v>
      </c>
      <c r="AF34" s="57">
        <f t="shared" si="36"/>
        <v>0.18944952323398376</v>
      </c>
      <c r="AG34" s="57">
        <f t="shared" si="36"/>
        <v>0.18555405175441558</v>
      </c>
      <c r="AH34" s="57">
        <f t="shared" si="36"/>
        <v>0.19566929874784328</v>
      </c>
      <c r="AI34" s="57">
        <f t="shared" si="36"/>
        <v>0.19775363063836307</v>
      </c>
      <c r="AJ34" s="57">
        <f t="shared" si="36"/>
        <v>0.21195918950867915</v>
      </c>
      <c r="AK34" s="57">
        <f t="shared" si="36"/>
        <v>0.1928172933513857</v>
      </c>
      <c r="AL34" s="57">
        <f t="shared" si="36"/>
        <v>0.20403494171403122</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411</v>
      </c>
      <c r="B35" s="26">
        <f>B23+B68</f>
        <v>-19037939.73</v>
      </c>
      <c r="C35" s="26">
        <f t="shared" ref="C35:BN35" si="38">C23+C68</f>
        <v>-10129056.779999999</v>
      </c>
      <c r="D35" s="26">
        <f t="shared" si="38"/>
        <v>-2029120</v>
      </c>
      <c r="E35" s="26">
        <f t="shared" si="38"/>
        <v>22673060.780000001</v>
      </c>
      <c r="F35" s="26">
        <f t="shared" si="38"/>
        <v>11021793.35</v>
      </c>
      <c r="G35" s="26">
        <f t="shared" si="38"/>
        <v>8716211.8499999996</v>
      </c>
      <c r="H35" s="26">
        <f t="shared" si="38"/>
        <v>3736297.83</v>
      </c>
      <c r="I35" s="26">
        <f t="shared" si="38"/>
        <v>21612740.490000002</v>
      </c>
      <c r="J35" s="26">
        <f t="shared" si="38"/>
        <v>12717937.77</v>
      </c>
      <c r="K35" s="26">
        <f t="shared" si="38"/>
        <v>8087664.8899999997</v>
      </c>
      <c r="L35" s="26">
        <f t="shared" si="38"/>
        <v>4431389.93</v>
      </c>
      <c r="M35" s="26">
        <f t="shared" si="38"/>
        <v>18891201.399999999</v>
      </c>
      <c r="N35" s="26">
        <f t="shared" si="38"/>
        <v>7979852.96</v>
      </c>
      <c r="O35" s="26">
        <f t="shared" si="38"/>
        <v>2557928.2400000002</v>
      </c>
      <c r="P35" s="26">
        <f t="shared" si="38"/>
        <v>1589379.86</v>
      </c>
      <c r="Q35" s="26">
        <f t="shared" si="38"/>
        <v>2620683.12</v>
      </c>
      <c r="R35" s="26">
        <f t="shared" si="38"/>
        <v>1716536.35</v>
      </c>
      <c r="S35" s="26">
        <f t="shared" si="38"/>
        <v>609378.76</v>
      </c>
      <c r="T35" s="26">
        <f t="shared" si="38"/>
        <v>163388.10999999999</v>
      </c>
      <c r="U35" s="26">
        <f t="shared" si="38"/>
        <v>5899314.1699999999</v>
      </c>
      <c r="V35" s="26">
        <f t="shared" si="38"/>
        <v>-2333896.4</v>
      </c>
      <c r="W35" s="26">
        <f t="shared" si="38"/>
        <v>-1657229.46</v>
      </c>
      <c r="X35" s="26">
        <f t="shared" si="38"/>
        <v>-949306.05</v>
      </c>
      <c r="Y35" s="26">
        <f t="shared" si="38"/>
        <v>3058951.58</v>
      </c>
      <c r="Z35" s="26">
        <f t="shared" si="38"/>
        <v>-11003938.98</v>
      </c>
      <c r="AA35" s="26">
        <f t="shared" si="38"/>
        <v>-8453406.0800000001</v>
      </c>
      <c r="AB35" s="26">
        <f t="shared" si="38"/>
        <v>-4351702.5</v>
      </c>
      <c r="AC35" s="26">
        <f t="shared" si="38"/>
        <v>12934885.92</v>
      </c>
      <c r="AD35" s="26">
        <f t="shared" si="38"/>
        <v>9294082.3100000005</v>
      </c>
      <c r="AE35" s="26">
        <f t="shared" si="38"/>
        <v>9765859.9199999999</v>
      </c>
      <c r="AF35" s="26">
        <f t="shared" si="38"/>
        <v>3918195.11</v>
      </c>
      <c r="AG35" s="26">
        <f t="shared" si="38"/>
        <v>14220933.27</v>
      </c>
      <c r="AH35" s="26">
        <f t="shared" si="38"/>
        <v>9355352.0500000007</v>
      </c>
      <c r="AI35" s="26">
        <f t="shared" si="38"/>
        <v>5379810.1200000001</v>
      </c>
      <c r="AJ35" s="26">
        <f t="shared" si="38"/>
        <v>2289935.94</v>
      </c>
      <c r="AK35" s="26">
        <f t="shared" si="38"/>
        <v>8486811.7599999998</v>
      </c>
      <c r="AL35" s="26">
        <f t="shared" si="38"/>
        <v>9601951.2899999991</v>
      </c>
      <c r="AM35" s="26">
        <f t="shared" si="38"/>
        <v>0</v>
      </c>
      <c r="AN35" s="26">
        <f t="shared" si="38"/>
        <v>26282532</v>
      </c>
      <c r="AO35" s="26">
        <f t="shared" si="38"/>
        <v>191186036</v>
      </c>
      <c r="AP35" s="26">
        <f t="shared" si="38"/>
        <v>50125807</v>
      </c>
      <c r="AQ35" s="26">
        <f t="shared" si="38"/>
        <v>12684533</v>
      </c>
      <c r="AR35" s="26">
        <f t="shared" si="38"/>
        <v>34013184</v>
      </c>
      <c r="AS35" s="26">
        <f t="shared" si="38"/>
        <v>289848468</v>
      </c>
      <c r="AT35" s="26">
        <f t="shared" si="38"/>
        <v>259368386</v>
      </c>
      <c r="AU35" s="26">
        <f t="shared" si="38"/>
        <v>169596463</v>
      </c>
      <c r="AV35" s="26">
        <f t="shared" si="38"/>
        <v>109413896</v>
      </c>
      <c r="AW35" s="26">
        <f t="shared" si="38"/>
        <v>624295282</v>
      </c>
      <c r="AX35" s="26">
        <f t="shared" si="38"/>
        <v>544461462</v>
      </c>
      <c r="AY35" s="26">
        <f t="shared" si="38"/>
        <v>346310987</v>
      </c>
      <c r="AZ35" s="26">
        <f t="shared" si="38"/>
        <v>116102838</v>
      </c>
      <c r="BA35" s="26">
        <f t="shared" si="38"/>
        <v>461771456</v>
      </c>
      <c r="BB35" s="26">
        <f t="shared" si="38"/>
        <v>274233392</v>
      </c>
      <c r="BC35" s="26">
        <f t="shared" si="38"/>
        <v>170724742</v>
      </c>
      <c r="BD35" s="26">
        <f t="shared" si="38"/>
        <v>48799241</v>
      </c>
      <c r="BE35" s="26">
        <f t="shared" si="38"/>
        <v>13898998</v>
      </c>
      <c r="BF35" s="26">
        <f t="shared" si="38"/>
        <v>62914082.600000001</v>
      </c>
      <c r="BG35" s="26">
        <f t="shared" si="38"/>
        <v>36317209.140000001</v>
      </c>
      <c r="BH35" s="26">
        <f t="shared" si="38"/>
        <v>21251538.93</v>
      </c>
      <c r="BI35" s="26">
        <f t="shared" si="38"/>
        <v>262351790</v>
      </c>
      <c r="BJ35" s="26">
        <f t="shared" si="38"/>
        <v>178836456</v>
      </c>
      <c r="BK35" s="26">
        <f t="shared" si="38"/>
        <v>154474800.75</v>
      </c>
      <c r="BL35" s="26">
        <f t="shared" si="38"/>
        <v>151161715.66999999</v>
      </c>
      <c r="BM35" s="26">
        <f t="shared" si="38"/>
        <v>65542308</v>
      </c>
      <c r="BN35" s="26">
        <f t="shared" si="38"/>
        <v>58456682.579999998</v>
      </c>
      <c r="BO35" s="26">
        <f t="shared" ref="BO35:CJ35" si="39">BO23+BO68</f>
        <v>31838535.34</v>
      </c>
      <c r="BP35" s="26">
        <f t="shared" si="39"/>
        <v>15612268.470000001</v>
      </c>
      <c r="BQ35" s="26">
        <f t="shared" si="39"/>
        <v>20529527</v>
      </c>
      <c r="BR35" s="26">
        <f t="shared" si="39"/>
        <v>8697017.1899999995</v>
      </c>
      <c r="BS35" s="26">
        <f t="shared" si="39"/>
        <v>25949262</v>
      </c>
      <c r="BT35" s="26">
        <f t="shared" si="39"/>
        <v>9987623</v>
      </c>
      <c r="BU35" s="26">
        <f t="shared" si="39"/>
        <v>13298283</v>
      </c>
      <c r="BV35" s="26">
        <f t="shared" si="39"/>
        <v>6336127.2699999996</v>
      </c>
      <c r="BW35" s="26">
        <f t="shared" si="39"/>
        <v>-4184000</v>
      </c>
      <c r="BX35" s="26">
        <f t="shared" si="39"/>
        <v>-3446406.8</v>
      </c>
      <c r="BY35" s="26">
        <f t="shared" si="39"/>
        <v>-9411000</v>
      </c>
      <c r="BZ35" s="26">
        <f t="shared" si="39"/>
        <v>0</v>
      </c>
      <c r="CA35" s="26">
        <f t="shared" si="39"/>
        <v>15326000</v>
      </c>
      <c r="CB35" s="26">
        <f t="shared" si="39"/>
        <v>10981000</v>
      </c>
      <c r="CC35" s="26">
        <f t="shared" si="39"/>
        <v>10702000</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412</v>
      </c>
      <c r="B36" s="26">
        <f>B35*B41</f>
        <v>-1243636.4207884213</v>
      </c>
      <c r="C36" s="26">
        <f t="shared" ref="C36:BN36" si="40">C35*C41</f>
        <v>-850953.03809712746</v>
      </c>
      <c r="D36" s="26">
        <f t="shared" si="40"/>
        <v>-305318.0937679389</v>
      </c>
      <c r="E36" s="26">
        <f t="shared" si="40"/>
        <v>4257742.1537461374</v>
      </c>
      <c r="F36" s="26">
        <f t="shared" si="40"/>
        <v>1715803.2908323945</v>
      </c>
      <c r="G36" s="26">
        <f t="shared" si="40"/>
        <v>1419478.0754661381</v>
      </c>
      <c r="H36" s="26">
        <f t="shared" si="40"/>
        <v>740099.79059195763</v>
      </c>
      <c r="I36" s="26">
        <f t="shared" si="40"/>
        <v>3159899.9394116304</v>
      </c>
      <c r="J36" s="26">
        <f t="shared" si="40"/>
        <v>1702658.085889023</v>
      </c>
      <c r="K36" s="26">
        <f t="shared" si="40"/>
        <v>1025910.7755434945</v>
      </c>
      <c r="L36" s="26">
        <f t="shared" si="40"/>
        <v>678551.18508585123</v>
      </c>
      <c r="M36" s="26">
        <f t="shared" si="40"/>
        <v>2253935.3553964291</v>
      </c>
      <c r="N36" s="26">
        <f t="shared" si="40"/>
        <v>1034819.8211237526</v>
      </c>
      <c r="O36" s="26">
        <f t="shared" si="40"/>
        <v>341613.73686869704</v>
      </c>
      <c r="P36" s="26">
        <f t="shared" si="40"/>
        <v>216875.30133236933</v>
      </c>
      <c r="Q36" s="26">
        <f t="shared" si="40"/>
        <v>288767.48606506252</v>
      </c>
      <c r="R36" s="26">
        <f t="shared" si="40"/>
        <v>291162.63128532586</v>
      </c>
      <c r="S36" s="26">
        <f t="shared" si="40"/>
        <v>111829.06617881112</v>
      </c>
      <c r="T36" s="26">
        <f t="shared" si="40"/>
        <v>28564.946805723241</v>
      </c>
      <c r="U36" s="26">
        <f t="shared" si="40"/>
        <v>1035343.9758860224</v>
      </c>
      <c r="V36" s="26">
        <f t="shared" si="40"/>
        <v>-385219.29773271782</v>
      </c>
      <c r="W36" s="26">
        <f t="shared" si="40"/>
        <v>-263571.69932784408</v>
      </c>
      <c r="X36" s="26">
        <f t="shared" si="40"/>
        <v>-147483.42230331519</v>
      </c>
      <c r="Y36" s="26">
        <f t="shared" si="40"/>
        <v>480069.39404202485</v>
      </c>
      <c r="Z36" s="26">
        <f t="shared" si="40"/>
        <v>-1638642.2336462855</v>
      </c>
      <c r="AA36" s="26">
        <f t="shared" si="40"/>
        <v>-1231348.4786392716</v>
      </c>
      <c r="AB36" s="26">
        <f t="shared" si="40"/>
        <v>-577143.23010556458</v>
      </c>
      <c r="AC36" s="26">
        <f t="shared" si="40"/>
        <v>1789015.3520621504</v>
      </c>
      <c r="AD36" s="26">
        <f t="shared" si="40"/>
        <v>1205146.9092030951</v>
      </c>
      <c r="AE36" s="26">
        <f t="shared" si="40"/>
        <v>1336200.7385424026</v>
      </c>
      <c r="AF36" s="26">
        <f t="shared" si="40"/>
        <v>572064.84419797873</v>
      </c>
      <c r="AG36" s="26">
        <f t="shared" si="40"/>
        <v>1836064.6074640786</v>
      </c>
      <c r="AH36" s="26">
        <f t="shared" si="40"/>
        <v>1169842.8230602422</v>
      </c>
      <c r="AI36" s="26">
        <f t="shared" si="40"/>
        <v>679415.02967433643</v>
      </c>
      <c r="AJ36" s="26">
        <f t="shared" si="40"/>
        <v>286531.29297042399</v>
      </c>
      <c r="AK36" s="26">
        <f t="shared" si="40"/>
        <v>887695.78834991576</v>
      </c>
      <c r="AL36" s="26">
        <f t="shared" si="40"/>
        <v>793974.03457005462</v>
      </c>
      <c r="AM36" s="26" t="e">
        <f t="shared" si="40"/>
        <v>#DIV/0!</v>
      </c>
      <c r="AN36" s="26">
        <f t="shared" si="40"/>
        <v>-2078492</v>
      </c>
      <c r="AO36" s="26">
        <f t="shared" si="40"/>
        <v>-111218636.06134236</v>
      </c>
      <c r="AP36" s="26">
        <f t="shared" si="40"/>
        <v>-143557406.75915968</v>
      </c>
      <c r="AQ36" s="26">
        <f t="shared" si="40"/>
        <v>18824261.807881016</v>
      </c>
      <c r="AR36" s="26">
        <f t="shared" si="40"/>
        <v>115167009.64438294</v>
      </c>
      <c r="AS36" s="26">
        <f t="shared" si="40"/>
        <v>48790291.347179033</v>
      </c>
      <c r="AT36" s="26">
        <f t="shared" si="40"/>
        <v>-51985879.766037151</v>
      </c>
      <c r="AU36" s="26">
        <f t="shared" si="40"/>
        <v>33117730.154337667</v>
      </c>
      <c r="AV36" s="26">
        <f t="shared" si="40"/>
        <v>3239432.408597711</v>
      </c>
      <c r="AW36" s="26">
        <f t="shared" si="40"/>
        <v>-17820100.189261679</v>
      </c>
      <c r="AX36" s="26">
        <f t="shared" si="40"/>
        <v>-7250398.4143065671</v>
      </c>
      <c r="AY36" s="26">
        <f t="shared" si="40"/>
        <v>-4882075.048839408</v>
      </c>
      <c r="AZ36" s="26">
        <f t="shared" si="40"/>
        <v>-1849145.6881500999</v>
      </c>
      <c r="BA36" s="26">
        <f t="shared" si="40"/>
        <v>-55296770.658208057</v>
      </c>
      <c r="BB36" s="26">
        <f t="shared" si="40"/>
        <v>-49645160.623852938</v>
      </c>
      <c r="BC36" s="26">
        <f t="shared" si="40"/>
        <v>-36233859.140204594</v>
      </c>
      <c r="BD36" s="26">
        <f t="shared" si="40"/>
        <v>-9414040.756334858</v>
      </c>
      <c r="BE36" s="26">
        <f t="shared" si="40"/>
        <v>669517.5152584383</v>
      </c>
      <c r="BF36" s="26">
        <f t="shared" si="40"/>
        <v>13132104.720368786</v>
      </c>
      <c r="BG36" s="26">
        <f t="shared" si="40"/>
        <v>8774133.9032533448</v>
      </c>
      <c r="BH36" s="26">
        <f t="shared" si="40"/>
        <v>5004249.4776259623</v>
      </c>
      <c r="BI36" s="26">
        <f t="shared" si="40"/>
        <v>-23693004.737146027</v>
      </c>
      <c r="BJ36" s="26">
        <f t="shared" si="40"/>
        <v>-20540557.370744083</v>
      </c>
      <c r="BK36" s="26">
        <f t="shared" si="40"/>
        <v>-11754826.073291849</v>
      </c>
      <c r="BL36" s="26">
        <f t="shared" si="40"/>
        <v>-11945448.799460238</v>
      </c>
      <c r="BM36" s="26">
        <f t="shared" si="40"/>
        <v>-18959425685.26376</v>
      </c>
      <c r="BN36" s="26">
        <f t="shared" si="40"/>
        <v>-122968057.02045386</v>
      </c>
      <c r="BO36" s="26">
        <f t="shared" ref="BO36:CJ36" si="41">BO35*BO41</f>
        <v>-62888228.666095994</v>
      </c>
      <c r="BP36" s="26">
        <f t="shared" si="41"/>
        <v>-18097272.235604044</v>
      </c>
      <c r="BQ36" s="26">
        <f t="shared" si="41"/>
        <v>-11518327.458882773</v>
      </c>
      <c r="BR36" s="26">
        <f t="shared" si="41"/>
        <v>36452711.798344731</v>
      </c>
      <c r="BS36" s="26">
        <f t="shared" si="41"/>
        <v>13471086.990529474</v>
      </c>
      <c r="BT36" s="26">
        <f t="shared" si="41"/>
        <v>4363042.636447344</v>
      </c>
      <c r="BU36" s="26">
        <f t="shared" si="41"/>
        <v>3285958.8761513731</v>
      </c>
      <c r="BV36" s="26">
        <f t="shared" si="41"/>
        <v>3211281.347322911</v>
      </c>
      <c r="BW36" s="26">
        <f t="shared" si="41"/>
        <v>-513260.44729573198</v>
      </c>
      <c r="BX36" s="26">
        <f t="shared" si="41"/>
        <v>-564193.83505615557</v>
      </c>
      <c r="BY36" s="26">
        <f t="shared" si="41"/>
        <v>-1868136.4708541082</v>
      </c>
      <c r="BZ36" s="26">
        <f t="shared" si="41"/>
        <v>0</v>
      </c>
      <c r="CA36" s="26">
        <f t="shared" si="41"/>
        <v>495144.05622136063</v>
      </c>
      <c r="CB36" s="26">
        <f t="shared" si="41"/>
        <v>92287.974450829395</v>
      </c>
      <c r="CC36" s="26">
        <f t="shared" si="41"/>
        <v>55666.633108493574</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413</v>
      </c>
      <c r="B37" s="26">
        <f>B35-B36</f>
        <v>-17794303.309211578</v>
      </c>
      <c r="C37" s="26">
        <f t="shared" ref="C37:BN37" si="42">C35-C36</f>
        <v>-9278103.7419028711</v>
      </c>
      <c r="D37" s="26">
        <f t="shared" si="42"/>
        <v>-1723801.9062320611</v>
      </c>
      <c r="E37" s="26">
        <f t="shared" si="42"/>
        <v>18415318.626253866</v>
      </c>
      <c r="F37" s="26">
        <f t="shared" si="42"/>
        <v>9305990.0591676049</v>
      </c>
      <c r="G37" s="26">
        <f t="shared" si="42"/>
        <v>7296733.7745338613</v>
      </c>
      <c r="H37" s="26">
        <f t="shared" si="42"/>
        <v>2996198.0394080426</v>
      </c>
      <c r="I37" s="26">
        <f t="shared" si="42"/>
        <v>18452840.550588373</v>
      </c>
      <c r="J37" s="26">
        <f t="shared" si="42"/>
        <v>11015279.684110977</v>
      </c>
      <c r="K37" s="26">
        <f t="shared" si="42"/>
        <v>7061754.1144565055</v>
      </c>
      <c r="L37" s="26">
        <f t="shared" si="42"/>
        <v>3752838.7449141485</v>
      </c>
      <c r="M37" s="26">
        <f t="shared" si="42"/>
        <v>16637266.044603569</v>
      </c>
      <c r="N37" s="26">
        <f t="shared" si="42"/>
        <v>6945033.1388762472</v>
      </c>
      <c r="O37" s="26">
        <f t="shared" si="42"/>
        <v>2216314.503131303</v>
      </c>
      <c r="P37" s="26">
        <f t="shared" si="42"/>
        <v>1372504.5586676309</v>
      </c>
      <c r="Q37" s="26">
        <f t="shared" si="42"/>
        <v>2331915.6339349374</v>
      </c>
      <c r="R37" s="26">
        <f t="shared" si="42"/>
        <v>1425373.7187146742</v>
      </c>
      <c r="S37" s="26">
        <f t="shared" si="42"/>
        <v>497549.69382118888</v>
      </c>
      <c r="T37" s="26">
        <f t="shared" si="42"/>
        <v>134823.16319427674</v>
      </c>
      <c r="U37" s="26">
        <f t="shared" si="42"/>
        <v>4863970.1941139773</v>
      </c>
      <c r="V37" s="26">
        <f t="shared" si="42"/>
        <v>-1948677.1022672821</v>
      </c>
      <c r="W37" s="26">
        <f t="shared" si="42"/>
        <v>-1393657.7606721558</v>
      </c>
      <c r="X37" s="26">
        <f t="shared" si="42"/>
        <v>-801822.62769668479</v>
      </c>
      <c r="Y37" s="26">
        <f t="shared" si="42"/>
        <v>2578882.1859579752</v>
      </c>
      <c r="Z37" s="26">
        <f t="shared" si="42"/>
        <v>-9365296.7463537157</v>
      </c>
      <c r="AA37" s="26">
        <f t="shared" si="42"/>
        <v>-7222057.601360729</v>
      </c>
      <c r="AB37" s="26">
        <f t="shared" si="42"/>
        <v>-3774559.2698944355</v>
      </c>
      <c r="AC37" s="26">
        <f t="shared" si="42"/>
        <v>11145870.567937849</v>
      </c>
      <c r="AD37" s="26">
        <f t="shared" si="42"/>
        <v>8088935.4007969052</v>
      </c>
      <c r="AE37" s="26">
        <f t="shared" si="42"/>
        <v>8429659.1814575978</v>
      </c>
      <c r="AF37" s="26">
        <f t="shared" si="42"/>
        <v>3346130.2658020211</v>
      </c>
      <c r="AG37" s="26">
        <f t="shared" si="42"/>
        <v>12384868.662535921</v>
      </c>
      <c r="AH37" s="26">
        <f t="shared" si="42"/>
        <v>8185509.2269397583</v>
      </c>
      <c r="AI37" s="26">
        <f t="shared" si="42"/>
        <v>4700395.0903256638</v>
      </c>
      <c r="AJ37" s="26">
        <f t="shared" si="42"/>
        <v>2003404.6470295759</v>
      </c>
      <c r="AK37" s="26">
        <f t="shared" si="42"/>
        <v>7599115.9716500845</v>
      </c>
      <c r="AL37" s="26">
        <f t="shared" si="42"/>
        <v>8807977.255429944</v>
      </c>
      <c r="AM37" s="26" t="e">
        <f t="shared" si="42"/>
        <v>#DIV/0!</v>
      </c>
      <c r="AN37" s="26">
        <f t="shared" si="42"/>
        <v>28361024</v>
      </c>
      <c r="AO37" s="26">
        <f t="shared" si="42"/>
        <v>302404672.06134236</v>
      </c>
      <c r="AP37" s="26">
        <f t="shared" si="42"/>
        <v>193683213.75915968</v>
      </c>
      <c r="AQ37" s="26">
        <f t="shared" si="42"/>
        <v>-6139728.8078810163</v>
      </c>
      <c r="AR37" s="26">
        <f t="shared" si="42"/>
        <v>-81153825.644382939</v>
      </c>
      <c r="AS37" s="26">
        <f t="shared" si="42"/>
        <v>241058176.65282097</v>
      </c>
      <c r="AT37" s="26">
        <f t="shared" si="42"/>
        <v>311354265.76603717</v>
      </c>
      <c r="AU37" s="26">
        <f t="shared" si="42"/>
        <v>136478732.84566233</v>
      </c>
      <c r="AV37" s="26">
        <f t="shared" si="42"/>
        <v>106174463.59140229</v>
      </c>
      <c r="AW37" s="26">
        <f t="shared" si="42"/>
        <v>642115382.18926167</v>
      </c>
      <c r="AX37" s="26">
        <f t="shared" si="42"/>
        <v>551711860.41430652</v>
      </c>
      <c r="AY37" s="26">
        <f t="shared" si="42"/>
        <v>351193062.04883939</v>
      </c>
      <c r="AZ37" s="26">
        <f t="shared" si="42"/>
        <v>117951983.68815009</v>
      </c>
      <c r="BA37" s="26">
        <f t="shared" si="42"/>
        <v>517068226.65820807</v>
      </c>
      <c r="BB37" s="26">
        <f t="shared" si="42"/>
        <v>323878552.62385297</v>
      </c>
      <c r="BC37" s="26">
        <f t="shared" si="42"/>
        <v>206958601.14020461</v>
      </c>
      <c r="BD37" s="26">
        <f t="shared" si="42"/>
        <v>58213281.756334856</v>
      </c>
      <c r="BE37" s="26">
        <f t="shared" si="42"/>
        <v>13229480.484741561</v>
      </c>
      <c r="BF37" s="26">
        <f t="shared" si="42"/>
        <v>49781977.879631214</v>
      </c>
      <c r="BG37" s="26">
        <f t="shared" si="42"/>
        <v>27543075.236746654</v>
      </c>
      <c r="BH37" s="26">
        <f t="shared" si="42"/>
        <v>16247289.452374037</v>
      </c>
      <c r="BI37" s="26">
        <f t="shared" si="42"/>
        <v>286044794.73714602</v>
      </c>
      <c r="BJ37" s="26">
        <f t="shared" si="42"/>
        <v>199377013.37074408</v>
      </c>
      <c r="BK37" s="26">
        <f t="shared" si="42"/>
        <v>166229626.82329184</v>
      </c>
      <c r="BL37" s="26">
        <f t="shared" si="42"/>
        <v>163107164.46946022</v>
      </c>
      <c r="BM37" s="26">
        <f t="shared" si="42"/>
        <v>19024967993.26376</v>
      </c>
      <c r="BN37" s="26">
        <f t="shared" si="42"/>
        <v>181424739.60045385</v>
      </c>
      <c r="BO37" s="26">
        <f t="shared" ref="BO37:CJ37" si="43">BO35-BO36</f>
        <v>94726764.006095991</v>
      </c>
      <c r="BP37" s="26">
        <f t="shared" si="43"/>
        <v>33709540.705604047</v>
      </c>
      <c r="BQ37" s="26">
        <f t="shared" si="43"/>
        <v>32047854.458882771</v>
      </c>
      <c r="BR37" s="26">
        <f t="shared" si="43"/>
        <v>-27755694.608344734</v>
      </c>
      <c r="BS37" s="26">
        <f t="shared" si="43"/>
        <v>12478175.009470526</v>
      </c>
      <c r="BT37" s="26">
        <f t="shared" si="43"/>
        <v>5624580.363552656</v>
      </c>
      <c r="BU37" s="26">
        <f t="shared" si="43"/>
        <v>10012324.123848626</v>
      </c>
      <c r="BV37" s="26">
        <f t="shared" si="43"/>
        <v>3124845.9226770885</v>
      </c>
      <c r="BW37" s="26">
        <f t="shared" si="43"/>
        <v>-3670739.5527042681</v>
      </c>
      <c r="BX37" s="26">
        <f t="shared" si="43"/>
        <v>-2882212.9649438444</v>
      </c>
      <c r="BY37" s="26">
        <f t="shared" si="43"/>
        <v>-7542863.5291458918</v>
      </c>
      <c r="BZ37" s="26">
        <f t="shared" si="43"/>
        <v>0</v>
      </c>
      <c r="CA37" s="26">
        <f t="shared" si="43"/>
        <v>14830855.94377864</v>
      </c>
      <c r="CB37" s="26">
        <f t="shared" si="43"/>
        <v>10888712.025549171</v>
      </c>
      <c r="CC37" s="26">
        <f t="shared" si="43"/>
        <v>10646333.366891507</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414</v>
      </c>
      <c r="B38" s="28">
        <f>B31-B35</f>
        <v>1300670665.3999996</v>
      </c>
      <c r="C38" s="28">
        <f t="shared" ref="C38:BN38" si="44">C31-C35</f>
        <v>841584410.42000008</v>
      </c>
      <c r="D38" s="28">
        <f t="shared" si="44"/>
        <v>347027515.01999998</v>
      </c>
      <c r="E38" s="28">
        <f t="shared" si="44"/>
        <v>939502438.4000001</v>
      </c>
      <c r="F38" s="28">
        <f t="shared" si="44"/>
        <v>843707219.12999976</v>
      </c>
      <c r="G38" s="28">
        <f t="shared" si="44"/>
        <v>738090316.80000007</v>
      </c>
      <c r="H38" s="28">
        <f t="shared" si="44"/>
        <v>156153865.36000004</v>
      </c>
      <c r="I38" s="28">
        <f t="shared" si="44"/>
        <v>593066388.25999975</v>
      </c>
      <c r="J38" s="28">
        <f t="shared" si="44"/>
        <v>456705509.62000018</v>
      </c>
      <c r="K38" s="28">
        <f t="shared" si="44"/>
        <v>317751552.77000016</v>
      </c>
      <c r="L38" s="28">
        <f t="shared" si="44"/>
        <v>144715836.99999997</v>
      </c>
      <c r="M38" s="28">
        <f t="shared" si="44"/>
        <v>462796278.44999987</v>
      </c>
      <c r="N38" s="28">
        <f t="shared" si="44"/>
        <v>317445031.87000006</v>
      </c>
      <c r="O38" s="28">
        <f t="shared" si="44"/>
        <v>168037593.52999997</v>
      </c>
      <c r="P38" s="28">
        <f t="shared" si="44"/>
        <v>64119234.810000025</v>
      </c>
      <c r="Q38" s="28">
        <f t="shared" si="44"/>
        <v>235793191.65000013</v>
      </c>
      <c r="R38" s="28">
        <f t="shared" si="44"/>
        <v>112283667.69000007</v>
      </c>
      <c r="S38" s="28">
        <f t="shared" si="44"/>
        <v>65424046.180000044</v>
      </c>
      <c r="T38" s="28">
        <f t="shared" si="44"/>
        <v>26037387.740000013</v>
      </c>
      <c r="U38" s="28">
        <f t="shared" si="44"/>
        <v>98309783.050000012</v>
      </c>
      <c r="V38" s="28">
        <f t="shared" si="44"/>
        <v>76419297.85999994</v>
      </c>
      <c r="W38" s="28">
        <f t="shared" si="44"/>
        <v>54945125.530000009</v>
      </c>
      <c r="X38" s="28">
        <f t="shared" si="44"/>
        <v>23001007.470000006</v>
      </c>
      <c r="Y38" s="28">
        <f t="shared" si="44"/>
        <v>110650848.12999997</v>
      </c>
      <c r="Z38" s="28">
        <f t="shared" si="44"/>
        <v>101539117.49000004</v>
      </c>
      <c r="AA38" s="28">
        <f t="shared" si="44"/>
        <v>74487579.060000047</v>
      </c>
      <c r="AB38" s="28">
        <f t="shared" si="44"/>
        <v>33259237.190000001</v>
      </c>
      <c r="AC38" s="28">
        <f t="shared" si="44"/>
        <v>162626223.83000007</v>
      </c>
      <c r="AD38" s="28">
        <f t="shared" si="44"/>
        <v>140858631.49999997</v>
      </c>
      <c r="AE38" s="28">
        <f t="shared" si="44"/>
        <v>104021132.89999999</v>
      </c>
      <c r="AF38" s="28">
        <f t="shared" si="44"/>
        <v>47789162.110000014</v>
      </c>
      <c r="AG38" s="28">
        <f t="shared" si="44"/>
        <v>178826147.04000005</v>
      </c>
      <c r="AH38" s="28">
        <f t="shared" si="44"/>
        <v>138622584.96000001</v>
      </c>
      <c r="AI38" s="28">
        <f t="shared" si="44"/>
        <v>91574907.059999958</v>
      </c>
      <c r="AJ38" s="28">
        <f t="shared" si="44"/>
        <v>45410828.119999997</v>
      </c>
      <c r="AK38" s="28">
        <f t="shared" si="44"/>
        <v>113876193.65999995</v>
      </c>
      <c r="AL38" s="28">
        <f t="shared" si="44"/>
        <v>84002622.590000004</v>
      </c>
      <c r="AM38" s="28">
        <f t="shared" si="44"/>
        <v>0</v>
      </c>
      <c r="AN38" s="28">
        <f t="shared" si="44"/>
        <v>-26282532</v>
      </c>
      <c r="AO38" s="28">
        <f t="shared" si="44"/>
        <v>-115895364</v>
      </c>
      <c r="AP38" s="28">
        <f t="shared" si="44"/>
        <v>-21341716</v>
      </c>
      <c r="AQ38" s="28">
        <f t="shared" si="44"/>
        <v>38221907</v>
      </c>
      <c r="AR38" s="28">
        <f t="shared" si="44"/>
        <v>9801065</v>
      </c>
      <c r="AS38" s="28">
        <f t="shared" si="44"/>
        <v>-334508252</v>
      </c>
      <c r="AT38" s="28">
        <f t="shared" si="44"/>
        <v>-59105051</v>
      </c>
      <c r="AU38" s="28">
        <f t="shared" si="44"/>
        <v>52010453</v>
      </c>
      <c r="AV38" s="28">
        <f t="shared" si="44"/>
        <v>108454215</v>
      </c>
      <c r="AW38" s="28">
        <f t="shared" si="44"/>
        <v>-467126914</v>
      </c>
      <c r="AX38" s="28">
        <f t="shared" si="44"/>
        <v>-406404405</v>
      </c>
      <c r="AY38" s="28">
        <f t="shared" si="44"/>
        <v>-258831066</v>
      </c>
      <c r="AZ38" s="28">
        <f t="shared" si="44"/>
        <v>-77154272</v>
      </c>
      <c r="BA38" s="28">
        <f t="shared" si="44"/>
        <v>-348469867</v>
      </c>
      <c r="BB38" s="28">
        <f t="shared" si="44"/>
        <v>-184293805</v>
      </c>
      <c r="BC38" s="28">
        <f t="shared" si="44"/>
        <v>-104318566</v>
      </c>
      <c r="BD38" s="28">
        <f t="shared" si="44"/>
        <v>-16059318</v>
      </c>
      <c r="BE38" s="28">
        <f t="shared" si="44"/>
        <v>272213048</v>
      </c>
      <c r="BF38" s="28">
        <f t="shared" si="44"/>
        <v>143645710.22</v>
      </c>
      <c r="BG38" s="28">
        <f t="shared" si="44"/>
        <v>128862702.39</v>
      </c>
      <c r="BH38" s="28">
        <f t="shared" si="44"/>
        <v>56874086.720000006</v>
      </c>
      <c r="BI38" s="28">
        <f t="shared" si="44"/>
        <v>-209147629</v>
      </c>
      <c r="BJ38" s="28">
        <f t="shared" si="44"/>
        <v>-174154547.63</v>
      </c>
      <c r="BK38" s="28">
        <f t="shared" si="44"/>
        <v>-148440100.16999999</v>
      </c>
      <c r="BL38" s="28">
        <f t="shared" si="44"/>
        <v>-135603637.75999999</v>
      </c>
      <c r="BM38" s="28">
        <f t="shared" si="44"/>
        <v>-163120</v>
      </c>
      <c r="BN38" s="28">
        <f t="shared" si="44"/>
        <v>-19320277.689999998</v>
      </c>
      <c r="BO38" s="28">
        <f t="shared" ref="BO38:CJ38" si="45">BO31-BO35</f>
        <v>-14030276.460000001</v>
      </c>
      <c r="BP38" s="28">
        <f t="shared" si="45"/>
        <v>-12804175.32</v>
      </c>
      <c r="BQ38" s="28">
        <f t="shared" si="45"/>
        <v>-36495264</v>
      </c>
      <c r="BR38" s="28">
        <f t="shared" si="45"/>
        <v>1769269.5600000005</v>
      </c>
      <c r="BS38" s="28">
        <f t="shared" si="45"/>
        <v>32058830</v>
      </c>
      <c r="BT38" s="28">
        <f t="shared" si="45"/>
        <v>21279564</v>
      </c>
      <c r="BU38" s="28">
        <f t="shared" si="45"/>
        <v>38964558</v>
      </c>
      <c r="BV38" s="28">
        <f t="shared" si="45"/>
        <v>9617858.9400000013</v>
      </c>
      <c r="BW38" s="28">
        <f t="shared" si="45"/>
        <v>44892000</v>
      </c>
      <c r="BX38" s="28">
        <f t="shared" si="45"/>
        <v>23038772.859999999</v>
      </c>
      <c r="BY38" s="28">
        <f t="shared" si="45"/>
        <v>70799000</v>
      </c>
      <c r="BZ38" s="28">
        <f t="shared" si="45"/>
        <v>31066000</v>
      </c>
      <c r="CA38" s="28">
        <f t="shared" si="45"/>
        <v>90784000</v>
      </c>
      <c r="CB38" s="28">
        <f t="shared" si="45"/>
        <v>95189000</v>
      </c>
      <c r="CC38" s="28">
        <f t="shared" si="45"/>
        <v>89397000</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415</v>
      </c>
      <c r="B39" s="57">
        <f>B38/B4*100</f>
        <v>20.883968648919414</v>
      </c>
      <c r="C39" s="57">
        <f t="shared" ref="C39:D39" si="46">C38/C4*100</f>
        <v>21.606438717996895</v>
      </c>
      <c r="D39" s="57">
        <f t="shared" si="46"/>
        <v>25.207668273282664</v>
      </c>
      <c r="E39" s="57">
        <f>E38/E4</f>
        <v>0.26913504450387693</v>
      </c>
      <c r="F39" s="57">
        <f t="shared" ref="F39:BQ39" si="47">F38/F4</f>
        <v>0.34281812608237999</v>
      </c>
      <c r="G39" s="57">
        <f t="shared" si="47"/>
        <v>0.45200268829470969</v>
      </c>
      <c r="H39" s="57">
        <f t="shared" si="47"/>
        <v>0.18189976877869019</v>
      </c>
      <c r="I39" s="57">
        <f t="shared" si="47"/>
        <v>0.17160970259715849</v>
      </c>
      <c r="J39" s="57">
        <f t="shared" si="47"/>
        <v>0.17966803483551469</v>
      </c>
      <c r="K39" s="57">
        <f t="shared" si="47"/>
        <v>0.18706526056141254</v>
      </c>
      <c r="L39" s="57">
        <f t="shared" si="47"/>
        <v>0.17328649928959791</v>
      </c>
      <c r="M39" s="57">
        <f t="shared" si="47"/>
        <v>0.15294866860453055</v>
      </c>
      <c r="N39" s="57">
        <f t="shared" si="47"/>
        <v>0.14473665625749324</v>
      </c>
      <c r="O39" s="57">
        <f t="shared" si="47"/>
        <v>0.13387082702585684</v>
      </c>
      <c r="P39" s="57">
        <f t="shared" si="47"/>
        <v>0.12902132799936561</v>
      </c>
      <c r="Q39" s="57">
        <f t="shared" si="47"/>
        <v>0.13771116222576296</v>
      </c>
      <c r="R39" s="57">
        <f t="shared" si="47"/>
        <v>9.9881224794633655E-2</v>
      </c>
      <c r="S39" s="57">
        <f t="shared" si="47"/>
        <v>8.9594519831462216E-2</v>
      </c>
      <c r="T39" s="57">
        <f t="shared" si="47"/>
        <v>7.9410977987298695E-2</v>
      </c>
      <c r="U39" s="57">
        <f t="shared" si="47"/>
        <v>8.0093926561728451E-2</v>
      </c>
      <c r="V39" s="57">
        <f t="shared" si="47"/>
        <v>8.6424445181968831E-2</v>
      </c>
      <c r="W39" s="57">
        <f t="shared" si="47"/>
        <v>9.5071348591203864E-2</v>
      </c>
      <c r="X39" s="57">
        <f t="shared" si="47"/>
        <v>8.7993042425257115E-2</v>
      </c>
      <c r="Y39" s="57">
        <f t="shared" si="47"/>
        <v>0.1191203395879262</v>
      </c>
      <c r="Z39" s="57">
        <f t="shared" si="47"/>
        <v>0.14641294959183057</v>
      </c>
      <c r="AA39" s="57">
        <f t="shared" si="47"/>
        <v>0.15963212570798074</v>
      </c>
      <c r="AB39" s="57">
        <f t="shared" si="47"/>
        <v>0.14533854185103648</v>
      </c>
      <c r="AC39" s="57">
        <f t="shared" si="47"/>
        <v>0.16283360449292023</v>
      </c>
      <c r="AD39" s="57">
        <f t="shared" si="47"/>
        <v>0.18882042096155044</v>
      </c>
      <c r="AE39" s="57">
        <f t="shared" si="47"/>
        <v>0.19900643454059186</v>
      </c>
      <c r="AF39" s="57">
        <f t="shared" si="47"/>
        <v>0.20452546702944377</v>
      </c>
      <c r="AG39" s="57">
        <f t="shared" si="47"/>
        <v>0.19694794587800629</v>
      </c>
      <c r="AH39" s="57">
        <f t="shared" si="47"/>
        <v>0.209091678786711</v>
      </c>
      <c r="AI39" s="57">
        <f t="shared" si="47"/>
        <v>0.21336525916336938</v>
      </c>
      <c r="AJ39" s="57">
        <f t="shared" si="47"/>
        <v>0.23024337068233985</v>
      </c>
      <c r="AK39" s="57">
        <f t="shared" si="47"/>
        <v>0.20030554665815259</v>
      </c>
      <c r="AL39" s="57">
        <f t="shared" si="47"/>
        <v>0.19961061688421958</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416</v>
      </c>
      <c r="B40" s="26">
        <f>B60</f>
        <v>84965150.319999993</v>
      </c>
      <c r="C40" s="26">
        <f t="shared" ref="C40:BN40" si="49">C60</f>
        <v>70702418.439999998</v>
      </c>
      <c r="D40" s="26">
        <f t="shared" si="49"/>
        <v>52216615.759999998</v>
      </c>
      <c r="E40" s="26">
        <f t="shared" si="49"/>
        <v>176427839.81999999</v>
      </c>
      <c r="F40" s="26">
        <f t="shared" si="49"/>
        <v>131343019.88</v>
      </c>
      <c r="G40" s="26">
        <f t="shared" si="49"/>
        <v>120201647.28</v>
      </c>
      <c r="H40" s="26">
        <f t="shared" si="49"/>
        <v>30931539.27</v>
      </c>
      <c r="I40" s="26">
        <f t="shared" si="49"/>
        <v>86709524.189999998</v>
      </c>
      <c r="J40" s="26">
        <f t="shared" si="49"/>
        <v>61143036.149999999</v>
      </c>
      <c r="K40" s="26">
        <f t="shared" si="49"/>
        <v>40306410.609999999</v>
      </c>
      <c r="L40" s="26">
        <f t="shared" si="49"/>
        <v>22159436.260000002</v>
      </c>
      <c r="M40" s="26">
        <f t="shared" si="49"/>
        <v>55216863.780000001</v>
      </c>
      <c r="N40" s="26">
        <f t="shared" si="49"/>
        <v>41165972.950000003</v>
      </c>
      <c r="O40" s="26">
        <f t="shared" si="49"/>
        <v>22441579.620000001</v>
      </c>
      <c r="P40" s="26">
        <f t="shared" si="49"/>
        <v>8749247.8800000008</v>
      </c>
      <c r="Q40" s="26">
        <f t="shared" si="49"/>
        <v>25981549.109999999</v>
      </c>
      <c r="R40" s="26">
        <f t="shared" si="49"/>
        <v>19045800.07</v>
      </c>
      <c r="S40" s="26">
        <f t="shared" si="49"/>
        <v>12006178.210000001</v>
      </c>
      <c r="T40" s="26">
        <f t="shared" si="49"/>
        <v>4552085.1900000004</v>
      </c>
      <c r="U40" s="26">
        <f t="shared" si="49"/>
        <v>17253605.879999999</v>
      </c>
      <c r="V40" s="26">
        <f t="shared" si="49"/>
        <v>12613322.619999999</v>
      </c>
      <c r="W40" s="26">
        <f t="shared" si="49"/>
        <v>8738669.2400000002</v>
      </c>
      <c r="X40" s="26">
        <f t="shared" si="49"/>
        <v>3573417.97</v>
      </c>
      <c r="Y40" s="26">
        <f t="shared" si="49"/>
        <v>17365454.870000001</v>
      </c>
      <c r="Z40" s="26">
        <f t="shared" si="49"/>
        <v>15120611.5</v>
      </c>
      <c r="AA40" s="26">
        <f t="shared" si="49"/>
        <v>10850084.130000001</v>
      </c>
      <c r="AB40" s="26">
        <f t="shared" si="49"/>
        <v>4410996.29</v>
      </c>
      <c r="AC40" s="26">
        <f t="shared" si="49"/>
        <v>22492723.390000001</v>
      </c>
      <c r="AD40" s="26">
        <f t="shared" si="49"/>
        <v>18264884.98</v>
      </c>
      <c r="AE40" s="26">
        <f t="shared" si="49"/>
        <v>14232552.560000001</v>
      </c>
      <c r="AF40" s="26">
        <f t="shared" si="49"/>
        <v>6977319.6100000003</v>
      </c>
      <c r="AG40" s="26">
        <f t="shared" si="49"/>
        <v>23088242.75</v>
      </c>
      <c r="AH40" s="26">
        <f t="shared" si="49"/>
        <v>17334103.010000002</v>
      </c>
      <c r="AI40" s="26">
        <f t="shared" si="49"/>
        <v>11564974.75</v>
      </c>
      <c r="AJ40" s="26">
        <f t="shared" si="49"/>
        <v>5682090.5199999996</v>
      </c>
      <c r="AK40" s="26">
        <f t="shared" si="49"/>
        <v>11911118.140000001</v>
      </c>
      <c r="AL40" s="26">
        <f t="shared" si="49"/>
        <v>6946077.8499999996</v>
      </c>
      <c r="AM40" s="26">
        <f t="shared" si="49"/>
        <v>0</v>
      </c>
      <c r="AN40" s="26">
        <f t="shared" si="49"/>
        <v>2078492</v>
      </c>
      <c r="AO40" s="26">
        <f t="shared" si="49"/>
        <v>67419800</v>
      </c>
      <c r="AP40" s="26">
        <f t="shared" si="49"/>
        <v>61121438</v>
      </c>
      <c r="AQ40" s="26">
        <f t="shared" si="49"/>
        <v>56722560</v>
      </c>
      <c r="AR40" s="26">
        <f t="shared" si="49"/>
        <v>33185936</v>
      </c>
      <c r="AS40" s="26">
        <f t="shared" si="49"/>
        <v>-56307888</v>
      </c>
      <c r="AT40" s="26">
        <f t="shared" si="49"/>
        <v>11846579</v>
      </c>
      <c r="AU40" s="26">
        <f t="shared" si="49"/>
        <v>10156274</v>
      </c>
      <c r="AV40" s="26">
        <f t="shared" si="49"/>
        <v>3211019</v>
      </c>
      <c r="AW40" s="26">
        <f t="shared" si="49"/>
        <v>13333832</v>
      </c>
      <c r="AX40" s="26">
        <f t="shared" si="49"/>
        <v>5411942</v>
      </c>
      <c r="AY40" s="26">
        <f t="shared" si="49"/>
        <v>3648838</v>
      </c>
      <c r="AZ40" s="26">
        <f t="shared" si="49"/>
        <v>1228820</v>
      </c>
      <c r="BA40" s="26">
        <f t="shared" si="49"/>
        <v>41728994</v>
      </c>
      <c r="BB40" s="26">
        <f t="shared" si="49"/>
        <v>33363171</v>
      </c>
      <c r="BC40" s="26">
        <f t="shared" si="49"/>
        <v>22140108</v>
      </c>
      <c r="BD40" s="26">
        <f t="shared" si="49"/>
        <v>3098062</v>
      </c>
      <c r="BE40" s="26">
        <f t="shared" si="49"/>
        <v>13112557</v>
      </c>
      <c r="BF40" s="26">
        <f t="shared" si="49"/>
        <v>29983279.280000001</v>
      </c>
      <c r="BG40" s="26">
        <f t="shared" si="49"/>
        <v>31132860.5</v>
      </c>
      <c r="BH40" s="26">
        <f t="shared" si="49"/>
        <v>13392541.58</v>
      </c>
      <c r="BI40" s="26">
        <f t="shared" si="49"/>
        <v>18888134</v>
      </c>
      <c r="BJ40" s="26">
        <f t="shared" si="49"/>
        <v>20002809.030000001</v>
      </c>
      <c r="BK40" s="26">
        <f t="shared" si="49"/>
        <v>11295612.949999999</v>
      </c>
      <c r="BL40" s="26">
        <f t="shared" si="49"/>
        <v>10715982.58</v>
      </c>
      <c r="BM40" s="26">
        <f t="shared" si="49"/>
        <v>47185728</v>
      </c>
      <c r="BN40" s="26">
        <f t="shared" si="49"/>
        <v>40641666.68</v>
      </c>
      <c r="BO40" s="26">
        <f t="shared" ref="BO40:CJ40" si="50">BO60</f>
        <v>27712934.18</v>
      </c>
      <c r="BP40" s="26">
        <f t="shared" si="50"/>
        <v>14842215.08</v>
      </c>
      <c r="BQ40" s="26">
        <f t="shared" si="50"/>
        <v>20476088</v>
      </c>
      <c r="BR40" s="26">
        <f t="shared" si="50"/>
        <v>7415723.3399999999</v>
      </c>
      <c r="BS40" s="26">
        <f t="shared" si="50"/>
        <v>16642758</v>
      </c>
      <c r="BT40" s="26">
        <f t="shared" si="50"/>
        <v>9295870</v>
      </c>
      <c r="BU40" s="26">
        <f t="shared" si="50"/>
        <v>9628005</v>
      </c>
      <c r="BV40" s="26">
        <f t="shared" si="50"/>
        <v>4874531.3499999996</v>
      </c>
      <c r="BW40" s="26">
        <f t="shared" si="50"/>
        <v>5507000</v>
      </c>
      <c r="BX40" s="26">
        <f t="shared" si="50"/>
        <v>3771561.04</v>
      </c>
      <c r="BY40" s="26">
        <f t="shared" si="50"/>
        <v>14054000</v>
      </c>
      <c r="BZ40" s="26">
        <f t="shared" si="50"/>
        <v>7845000</v>
      </c>
      <c r="CA40" s="26">
        <f t="shared" si="50"/>
        <v>2933000</v>
      </c>
      <c r="CB40" s="26">
        <f t="shared" si="50"/>
        <v>800000</v>
      </c>
      <c r="CC40" s="26">
        <f t="shared" si="50"/>
        <v>465000</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606</v>
      </c>
      <c r="B41" s="57">
        <f>B40/B38</f>
        <v>6.5324107462568448E-2</v>
      </c>
      <c r="C41" s="57">
        <f t="shared" ref="C41:BN41" si="51">C40/C38</f>
        <v>8.4011083813583631E-2</v>
      </c>
      <c r="D41" s="57">
        <f t="shared" si="51"/>
        <v>0.15046822946298835</v>
      </c>
      <c r="E41" s="57">
        <f t="shared" si="51"/>
        <v>0.18778859171505902</v>
      </c>
      <c r="F41" s="57">
        <f t="shared" si="51"/>
        <v>0.15567369450202898</v>
      </c>
      <c r="G41" s="57">
        <f t="shared" si="51"/>
        <v>0.16285493054716632</v>
      </c>
      <c r="H41" s="57">
        <f t="shared" si="51"/>
        <v>0.19808372465638202</v>
      </c>
      <c r="I41" s="57">
        <f t="shared" si="51"/>
        <v>0.14620542641844445</v>
      </c>
      <c r="J41" s="57">
        <f t="shared" si="51"/>
        <v>0.13387847280597467</v>
      </c>
      <c r="K41" s="57">
        <f t="shared" si="51"/>
        <v>0.12684882342392584</v>
      </c>
      <c r="L41" s="57">
        <f t="shared" si="51"/>
        <v>0.15312378188435594</v>
      </c>
      <c r="M41" s="57">
        <f t="shared" si="51"/>
        <v>0.11931138246170142</v>
      </c>
      <c r="N41" s="57">
        <f t="shared" si="51"/>
        <v>0.12967905878854097</v>
      </c>
      <c r="O41" s="57">
        <f t="shared" si="51"/>
        <v>0.13355094624104741</v>
      </c>
      <c r="P41" s="57">
        <f t="shared" si="51"/>
        <v>0.13645278060360555</v>
      </c>
      <c r="Q41" s="57">
        <f t="shared" si="51"/>
        <v>0.11018786814067871</v>
      </c>
      <c r="R41" s="57">
        <f t="shared" si="51"/>
        <v>0.1696221762418989</v>
      </c>
      <c r="S41" s="57">
        <f t="shared" si="51"/>
        <v>0.18351323268768199</v>
      </c>
      <c r="T41" s="57">
        <f t="shared" si="51"/>
        <v>0.1748287975527916</v>
      </c>
      <c r="U41" s="57">
        <f t="shared" si="51"/>
        <v>0.17550243063017315</v>
      </c>
      <c r="V41" s="57">
        <f t="shared" si="51"/>
        <v>0.16505415481711949</v>
      </c>
      <c r="W41" s="57">
        <f t="shared" si="51"/>
        <v>0.15904357585330645</v>
      </c>
      <c r="X41" s="57">
        <f t="shared" si="51"/>
        <v>0.15535919349014493</v>
      </c>
      <c r="Y41" s="57">
        <f t="shared" si="51"/>
        <v>0.15693919353964564</v>
      </c>
      <c r="Z41" s="57">
        <f t="shared" si="51"/>
        <v>0.14891415125298027</v>
      </c>
      <c r="AA41" s="57">
        <f t="shared" si="51"/>
        <v>0.14566299867606403</v>
      </c>
      <c r="AB41" s="57">
        <f t="shared" si="51"/>
        <v>0.13262469805910782</v>
      </c>
      <c r="AC41" s="57">
        <f t="shared" si="51"/>
        <v>0.13830932589022404</v>
      </c>
      <c r="AD41" s="57">
        <f t="shared" si="51"/>
        <v>0.12966819843056621</v>
      </c>
      <c r="AE41" s="57">
        <f t="shared" si="51"/>
        <v>0.13682366422294562</v>
      </c>
      <c r="AF41" s="57">
        <f t="shared" si="51"/>
        <v>0.14600213316022917</v>
      </c>
      <c r="AG41" s="57">
        <f t="shared" si="51"/>
        <v>0.12910999388045638</v>
      </c>
      <c r="AH41" s="57">
        <f t="shared" si="51"/>
        <v>0.12504530206965778</v>
      </c>
      <c r="AI41" s="57">
        <f t="shared" si="51"/>
        <v>0.12628977873188141</v>
      </c>
      <c r="AJ41" s="57">
        <f t="shared" si="51"/>
        <v>0.12512633561724176</v>
      </c>
      <c r="AK41" s="57">
        <f t="shared" si="51"/>
        <v>0.10459708703965831</v>
      </c>
      <c r="AL41" s="57">
        <f t="shared" si="51"/>
        <v>8.2688821322905781E-2</v>
      </c>
      <c r="AM41" s="57" t="e">
        <f t="shared" si="51"/>
        <v>#DIV/0!</v>
      </c>
      <c r="AN41" s="57">
        <f t="shared" si="51"/>
        <v>-7.908263937431903E-2</v>
      </c>
      <c r="AO41" s="57">
        <f t="shared" si="51"/>
        <v>-0.58172991285484033</v>
      </c>
      <c r="AP41" s="57">
        <f t="shared" si="51"/>
        <v>-2.8639420560183635</v>
      </c>
      <c r="AQ41" s="57">
        <f t="shared" si="51"/>
        <v>1.4840327040720391</v>
      </c>
      <c r="AR41" s="57">
        <f t="shared" si="51"/>
        <v>3.3859520368449756</v>
      </c>
      <c r="AS41" s="57">
        <f t="shared" si="51"/>
        <v>0.16833034062191088</v>
      </c>
      <c r="AT41" s="57">
        <f t="shared" si="51"/>
        <v>-0.20043259923758461</v>
      </c>
      <c r="AU41" s="57">
        <f t="shared" si="51"/>
        <v>0.19527370776793657</v>
      </c>
      <c r="AV41" s="57">
        <f t="shared" si="51"/>
        <v>2.9607138828122079E-2</v>
      </c>
      <c r="AW41" s="57">
        <f t="shared" si="51"/>
        <v>-2.854434544527229E-2</v>
      </c>
      <c r="AX41" s="57">
        <f t="shared" si="51"/>
        <v>-1.3316642077243233E-2</v>
      </c>
      <c r="AY41" s="57">
        <f t="shared" si="51"/>
        <v>-1.4097372685549269E-2</v>
      </c>
      <c r="AZ41" s="57">
        <f t="shared" si="51"/>
        <v>-1.5926791454917752E-2</v>
      </c>
      <c r="BA41" s="57">
        <f t="shared" si="51"/>
        <v>-0.11974921779965554</v>
      </c>
      <c r="BB41" s="57">
        <f t="shared" si="51"/>
        <v>-0.18103251490195235</v>
      </c>
      <c r="BC41" s="57">
        <f t="shared" si="51"/>
        <v>-0.2122355477930937</v>
      </c>
      <c r="BD41" s="57">
        <f t="shared" si="51"/>
        <v>-0.19291367167646845</v>
      </c>
      <c r="BE41" s="57">
        <f t="shared" si="51"/>
        <v>4.8170200129422157E-2</v>
      </c>
      <c r="BF41" s="57">
        <f t="shared" si="51"/>
        <v>0.20873076706627183</v>
      </c>
      <c r="BG41" s="57">
        <f t="shared" si="51"/>
        <v>0.24159714116329109</v>
      </c>
      <c r="BH41" s="57">
        <f t="shared" si="51"/>
        <v>0.23547703976212522</v>
      </c>
      <c r="BI41" s="57">
        <f t="shared" si="51"/>
        <v>-9.031005558279602E-2</v>
      </c>
      <c r="BJ41" s="57">
        <f t="shared" si="51"/>
        <v>-0.11485665635615191</v>
      </c>
      <c r="BK41" s="57">
        <f t="shared" si="51"/>
        <v>-7.6095427967670312E-2</v>
      </c>
      <c r="BL41" s="57">
        <f t="shared" si="51"/>
        <v>-7.9024300210631754E-2</v>
      </c>
      <c r="BM41" s="57">
        <f t="shared" si="51"/>
        <v>-289.27003433055421</v>
      </c>
      <c r="BN41" s="57">
        <f t="shared" si="51"/>
        <v>-2.1035757007279332</v>
      </c>
      <c r="BO41" s="57">
        <f t="shared" ref="BO41:CJ41" si="52">BO40/BO38</f>
        <v>-1.9752236713944265</v>
      </c>
      <c r="BP41" s="57">
        <f t="shared" si="52"/>
        <v>-1.1591699355144411</v>
      </c>
      <c r="BQ41" s="57">
        <f t="shared" si="52"/>
        <v>-0.5610615119813902</v>
      </c>
      <c r="BR41" s="57">
        <f t="shared" si="52"/>
        <v>4.1914039034278066</v>
      </c>
      <c r="BS41" s="57">
        <f t="shared" si="52"/>
        <v>0.51913179613853655</v>
      </c>
      <c r="BT41" s="57">
        <f t="shared" si="52"/>
        <v>0.43684494663518481</v>
      </c>
      <c r="BU41" s="57">
        <f t="shared" si="52"/>
        <v>0.24709647675202681</v>
      </c>
      <c r="BV41" s="57">
        <f t="shared" si="52"/>
        <v>0.50682084031479868</v>
      </c>
      <c r="BW41" s="57">
        <f t="shared" si="52"/>
        <v>0.12267219103626481</v>
      </c>
      <c r="BX41" s="57">
        <f t="shared" si="52"/>
        <v>0.16370494483012149</v>
      </c>
      <c r="BY41" s="57">
        <f t="shared" si="52"/>
        <v>0.19850562861057361</v>
      </c>
      <c r="BZ41" s="57">
        <f t="shared" si="52"/>
        <v>0.25252687825919012</v>
      </c>
      <c r="CA41" s="57">
        <f t="shared" si="52"/>
        <v>3.2307455058160031E-2</v>
      </c>
      <c r="CB41" s="57">
        <f t="shared" si="52"/>
        <v>8.4043324333694016E-3</v>
      </c>
      <c r="CC41" s="57">
        <f t="shared" si="52"/>
        <v>5.2015168294238063E-3</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418</v>
      </c>
      <c r="B42" s="28">
        <f>B38-B40</f>
        <v>1215705515.0799997</v>
      </c>
      <c r="C42" s="28">
        <f t="shared" ref="C42:BN42" si="53">C38-C40</f>
        <v>770881991.98000002</v>
      </c>
      <c r="D42" s="28">
        <f t="shared" si="53"/>
        <v>294810899.25999999</v>
      </c>
      <c r="E42" s="28">
        <f t="shared" si="53"/>
        <v>763074598.58000016</v>
      </c>
      <c r="F42" s="28">
        <f t="shared" si="53"/>
        <v>712364199.24999976</v>
      </c>
      <c r="G42" s="28">
        <f t="shared" si="53"/>
        <v>617888669.5200001</v>
      </c>
      <c r="H42" s="28">
        <f t="shared" si="53"/>
        <v>125222326.09000005</v>
      </c>
      <c r="I42" s="28">
        <f t="shared" si="53"/>
        <v>506356864.06999975</v>
      </c>
      <c r="J42" s="28">
        <f t="shared" si="53"/>
        <v>395562473.47000021</v>
      </c>
      <c r="K42" s="28">
        <f t="shared" si="53"/>
        <v>277445142.16000015</v>
      </c>
      <c r="L42" s="28">
        <f t="shared" si="53"/>
        <v>122556400.73999996</v>
      </c>
      <c r="M42" s="28">
        <f t="shared" si="53"/>
        <v>407579414.66999984</v>
      </c>
      <c r="N42" s="28">
        <f t="shared" si="53"/>
        <v>276279058.92000008</v>
      </c>
      <c r="O42" s="28">
        <f t="shared" si="53"/>
        <v>145596013.90999997</v>
      </c>
      <c r="P42" s="28">
        <f t="shared" si="53"/>
        <v>55369986.930000022</v>
      </c>
      <c r="Q42" s="28">
        <f t="shared" si="53"/>
        <v>209811642.54000014</v>
      </c>
      <c r="R42" s="28">
        <f t="shared" si="53"/>
        <v>93237867.620000064</v>
      </c>
      <c r="S42" s="28">
        <f t="shared" si="53"/>
        <v>53417867.970000044</v>
      </c>
      <c r="T42" s="28">
        <f t="shared" si="53"/>
        <v>21485302.550000012</v>
      </c>
      <c r="U42" s="28">
        <f t="shared" si="53"/>
        <v>81056177.170000017</v>
      </c>
      <c r="V42" s="28">
        <f t="shared" si="53"/>
        <v>63805975.239999942</v>
      </c>
      <c r="W42" s="28">
        <f t="shared" si="53"/>
        <v>46206456.290000007</v>
      </c>
      <c r="X42" s="28">
        <f t="shared" si="53"/>
        <v>19427589.500000007</v>
      </c>
      <c r="Y42" s="28">
        <f t="shared" si="53"/>
        <v>93285393.259999961</v>
      </c>
      <c r="Z42" s="28">
        <f t="shared" si="53"/>
        <v>86418505.990000039</v>
      </c>
      <c r="AA42" s="28">
        <f t="shared" si="53"/>
        <v>63637494.930000044</v>
      </c>
      <c r="AB42" s="28">
        <f t="shared" si="53"/>
        <v>28848240.900000002</v>
      </c>
      <c r="AC42" s="28">
        <f t="shared" si="53"/>
        <v>140133500.44000006</v>
      </c>
      <c r="AD42" s="28">
        <f t="shared" si="53"/>
        <v>122593746.51999997</v>
      </c>
      <c r="AE42" s="28">
        <f t="shared" si="53"/>
        <v>89788580.339999989</v>
      </c>
      <c r="AF42" s="28">
        <f t="shared" si="53"/>
        <v>40811842.500000015</v>
      </c>
      <c r="AG42" s="28">
        <f t="shared" si="53"/>
        <v>155737904.29000005</v>
      </c>
      <c r="AH42" s="28">
        <f t="shared" si="53"/>
        <v>121288481.95</v>
      </c>
      <c r="AI42" s="28">
        <f t="shared" si="53"/>
        <v>80009932.309999958</v>
      </c>
      <c r="AJ42" s="28">
        <f t="shared" si="53"/>
        <v>39728737.599999994</v>
      </c>
      <c r="AK42" s="28">
        <f t="shared" si="53"/>
        <v>101965075.51999995</v>
      </c>
      <c r="AL42" s="28">
        <f t="shared" si="53"/>
        <v>77056544.74000001</v>
      </c>
      <c r="AM42" s="28">
        <f t="shared" si="53"/>
        <v>0</v>
      </c>
      <c r="AN42" s="28">
        <f t="shared" si="53"/>
        <v>-28361024</v>
      </c>
      <c r="AO42" s="28">
        <f t="shared" si="53"/>
        <v>-183315164</v>
      </c>
      <c r="AP42" s="28">
        <f t="shared" si="53"/>
        <v>-82463154</v>
      </c>
      <c r="AQ42" s="28">
        <f t="shared" si="53"/>
        <v>-18500653</v>
      </c>
      <c r="AR42" s="28">
        <f t="shared" si="53"/>
        <v>-23384871</v>
      </c>
      <c r="AS42" s="28">
        <f t="shared" si="53"/>
        <v>-278200364</v>
      </c>
      <c r="AT42" s="28">
        <f t="shared" si="53"/>
        <v>-70951630</v>
      </c>
      <c r="AU42" s="28">
        <f t="shared" si="53"/>
        <v>41854179</v>
      </c>
      <c r="AV42" s="28">
        <f t="shared" si="53"/>
        <v>105243196</v>
      </c>
      <c r="AW42" s="28">
        <f t="shared" si="53"/>
        <v>-480460746</v>
      </c>
      <c r="AX42" s="28">
        <f t="shared" si="53"/>
        <v>-411816347</v>
      </c>
      <c r="AY42" s="28">
        <f t="shared" si="53"/>
        <v>-262479904</v>
      </c>
      <c r="AZ42" s="28">
        <f t="shared" si="53"/>
        <v>-78383092</v>
      </c>
      <c r="BA42" s="28">
        <f t="shared" si="53"/>
        <v>-390198861</v>
      </c>
      <c r="BB42" s="28">
        <f t="shared" si="53"/>
        <v>-217656976</v>
      </c>
      <c r="BC42" s="28">
        <f t="shared" si="53"/>
        <v>-126458674</v>
      </c>
      <c r="BD42" s="28">
        <f t="shared" si="53"/>
        <v>-19157380</v>
      </c>
      <c r="BE42" s="28">
        <f t="shared" si="53"/>
        <v>259100491</v>
      </c>
      <c r="BF42" s="28">
        <f t="shared" si="53"/>
        <v>113662430.94</v>
      </c>
      <c r="BG42" s="28">
        <f t="shared" si="53"/>
        <v>97729841.890000001</v>
      </c>
      <c r="BH42" s="28">
        <f t="shared" si="53"/>
        <v>43481545.140000008</v>
      </c>
      <c r="BI42" s="28">
        <f t="shared" si="53"/>
        <v>-228035763</v>
      </c>
      <c r="BJ42" s="28">
        <f t="shared" si="53"/>
        <v>-194157356.66</v>
      </c>
      <c r="BK42" s="28">
        <f t="shared" si="53"/>
        <v>-159735713.11999997</v>
      </c>
      <c r="BL42" s="28">
        <f t="shared" si="53"/>
        <v>-146319620.34</v>
      </c>
      <c r="BM42" s="28">
        <f t="shared" si="53"/>
        <v>-47348848</v>
      </c>
      <c r="BN42" s="28">
        <f t="shared" si="53"/>
        <v>-59961944.369999997</v>
      </c>
      <c r="BO42" s="28">
        <f t="shared" ref="BO42:CK42" si="54">BO38-BO40</f>
        <v>-41743210.640000001</v>
      </c>
      <c r="BP42" s="28">
        <f t="shared" si="54"/>
        <v>-27646390.399999999</v>
      </c>
      <c r="BQ42" s="28">
        <f t="shared" si="54"/>
        <v>-56971352</v>
      </c>
      <c r="BR42" s="28">
        <f t="shared" si="54"/>
        <v>-5646453.7799999993</v>
      </c>
      <c r="BS42" s="28">
        <f t="shared" si="54"/>
        <v>15416072</v>
      </c>
      <c r="BT42" s="28">
        <f t="shared" si="54"/>
        <v>11983694</v>
      </c>
      <c r="BU42" s="28">
        <f t="shared" si="54"/>
        <v>29336553</v>
      </c>
      <c r="BV42" s="28">
        <f t="shared" si="54"/>
        <v>4743327.5900000017</v>
      </c>
      <c r="BW42" s="28">
        <f t="shared" si="54"/>
        <v>39385000</v>
      </c>
      <c r="BX42" s="28">
        <f t="shared" si="54"/>
        <v>19267211.82</v>
      </c>
      <c r="BY42" s="28">
        <f t="shared" si="54"/>
        <v>56745000</v>
      </c>
      <c r="BZ42" s="28">
        <f t="shared" si="54"/>
        <v>23221000</v>
      </c>
      <c r="CA42" s="28">
        <f t="shared" si="54"/>
        <v>87851000</v>
      </c>
      <c r="CB42" s="28">
        <f t="shared" si="54"/>
        <v>94389000</v>
      </c>
      <c r="CC42" s="28">
        <f t="shared" si="54"/>
        <v>88932000</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417</v>
      </c>
      <c r="B43" s="57">
        <f>B42/B4*100</f>
        <v>19.519742036652492</v>
      </c>
      <c r="C43" s="57">
        <f t="shared" ref="C43:D43" si="55">C42/C4*100</f>
        <v>19.791258383946197</v>
      </c>
      <c r="D43" s="57">
        <f t="shared" si="55"/>
        <v>21.414715059311479</v>
      </c>
      <c r="E43" s="57">
        <f>E42/E4</f>
        <v>0.21859455351532417</v>
      </c>
      <c r="F43" s="57">
        <f t="shared" ref="F43:BQ43" si="56">F42/F4</f>
        <v>0.28945036185287348</v>
      </c>
      <c r="G43" s="57">
        <f t="shared" si="56"/>
        <v>0.37839182188534232</v>
      </c>
      <c r="H43" s="57">
        <f t="shared" si="56"/>
        <v>0.14586838506487257</v>
      </c>
      <c r="I43" s="57">
        <f t="shared" si="56"/>
        <v>0.14651943285139848</v>
      </c>
      <c r="J43" s="57">
        <f t="shared" si="56"/>
        <v>0.15561435271968532</v>
      </c>
      <c r="K43" s="57">
        <f t="shared" si="56"/>
        <v>0.16333625235570723</v>
      </c>
      <c r="L43" s="57">
        <f t="shared" si="56"/>
        <v>0.14675221516887391</v>
      </c>
      <c r="M43" s="57">
        <f t="shared" si="56"/>
        <v>0.13470015150764739</v>
      </c>
      <c r="N43" s="57">
        <f t="shared" si="56"/>
        <v>0.12596734290182093</v>
      </c>
      <c r="O43" s="57">
        <f t="shared" si="56"/>
        <v>0.11599225140248208</v>
      </c>
      <c r="P43" s="57">
        <f t="shared" si="56"/>
        <v>0.11141600903668233</v>
      </c>
      <c r="Q43" s="57">
        <f t="shared" si="56"/>
        <v>0.12253706284093099</v>
      </c>
      <c r="R43" s="57">
        <f t="shared" si="56"/>
        <v>8.2939154079261571E-2</v>
      </c>
      <c r="S43" s="57">
        <f t="shared" si="56"/>
        <v>7.3152739866089958E-2</v>
      </c>
      <c r="T43" s="57">
        <f t="shared" si="56"/>
        <v>6.5527652193288058E-2</v>
      </c>
      <c r="U43" s="57">
        <f t="shared" si="56"/>
        <v>6.6037247771430524E-2</v>
      </c>
      <c r="V43" s="57">
        <f t="shared" si="56"/>
        <v>7.215973142692049E-2</v>
      </c>
      <c r="W43" s="57">
        <f t="shared" si="56"/>
        <v>7.9950861350062588E-2</v>
      </c>
      <c r="X43" s="57">
        <f t="shared" si="56"/>
        <v>7.432251432132507E-2</v>
      </c>
      <c r="Y43" s="57">
        <f t="shared" si="56"/>
        <v>0.10042568955882833</v>
      </c>
      <c r="Z43" s="57">
        <f t="shared" si="56"/>
        <v>0.12460998947091773</v>
      </c>
      <c r="AA43" s="57">
        <f t="shared" si="56"/>
        <v>0.13637963159232186</v>
      </c>
      <c r="AB43" s="57">
        <f t="shared" si="56"/>
        <v>0.12606306162169179</v>
      </c>
      <c r="AC43" s="57">
        <f t="shared" si="56"/>
        <v>0.14031219842322906</v>
      </c>
      <c r="AD43" s="57">
        <f t="shared" si="56"/>
        <v>0.16433641714856506</v>
      </c>
      <c r="AE43" s="57">
        <f t="shared" si="56"/>
        <v>0.17177764496280432</v>
      </c>
      <c r="AF43" s="57">
        <f t="shared" si="56"/>
        <v>0.17466431255755285</v>
      </c>
      <c r="AG43" s="57">
        <f t="shared" si="56"/>
        <v>0.17151999779092844</v>
      </c>
      <c r="AH43" s="57">
        <f t="shared" si="56"/>
        <v>0.18294574665257488</v>
      </c>
      <c r="AI43" s="57">
        <f t="shared" si="56"/>
        <v>0.18641940779455693</v>
      </c>
      <c r="AJ43" s="57">
        <f t="shared" si="56"/>
        <v>0.20143386140869637</v>
      </c>
      <c r="AK43" s="57">
        <f t="shared" si="56"/>
        <v>0.17935416995982348</v>
      </c>
      <c r="AL43" s="57">
        <f t="shared" si="56"/>
        <v>0.18310505025052537</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419</v>
      </c>
      <c r="B45" s="26">
        <f>B70*B69</f>
        <v>1148155068.204</v>
      </c>
      <c r="C45" s="26">
        <f t="shared" ref="C45:BN45" si="58">C70*C69</f>
        <v>1128287589.5392001</v>
      </c>
      <c r="D45" s="26">
        <f t="shared" si="58"/>
        <v>1089695404.2303998</v>
      </c>
      <c r="E45" s="26">
        <f t="shared" si="58"/>
        <v>407771937.49599999</v>
      </c>
      <c r="F45" s="26">
        <f t="shared" si="58"/>
        <v>409550975.37360001</v>
      </c>
      <c r="G45" s="26">
        <f t="shared" si="58"/>
        <v>401784683.98000002</v>
      </c>
      <c r="H45" s="26">
        <f t="shared" si="58"/>
        <v>362131115.17120004</v>
      </c>
      <c r="I45" s="26">
        <f t="shared" si="58"/>
        <v>351953329.08319998</v>
      </c>
      <c r="J45" s="26">
        <f t="shared" si="58"/>
        <v>342893240.93279999</v>
      </c>
      <c r="K45" s="26">
        <f t="shared" si="58"/>
        <v>341660590.74800003</v>
      </c>
      <c r="L45" s="26">
        <f t="shared" si="58"/>
        <v>329269491.43440002</v>
      </c>
      <c r="M45" s="26">
        <f t="shared" si="58"/>
        <v>319464979.37520003</v>
      </c>
      <c r="N45" s="26">
        <f t="shared" si="58"/>
        <v>308732538.13679999</v>
      </c>
      <c r="O45" s="26">
        <f t="shared" si="58"/>
        <v>298277894.53600001</v>
      </c>
      <c r="P45" s="26">
        <f t="shared" si="58"/>
        <v>295324980.53759998</v>
      </c>
      <c r="Q45" s="26">
        <f t="shared" si="58"/>
        <v>290895381.58319998</v>
      </c>
      <c r="R45" s="26">
        <f t="shared" si="58"/>
        <v>281466591.412</v>
      </c>
      <c r="S45" s="26">
        <f t="shared" si="58"/>
        <v>135974561.49680001</v>
      </c>
      <c r="T45" s="26">
        <f t="shared" si="58"/>
        <v>133419956.2632</v>
      </c>
      <c r="U45" s="26">
        <f t="shared" si="58"/>
        <v>131701132.0592</v>
      </c>
      <c r="V45" s="26">
        <f t="shared" si="58"/>
        <v>130181813.92479999</v>
      </c>
      <c r="W45" s="26">
        <f t="shared" si="58"/>
        <v>128773852.40879999</v>
      </c>
      <c r="X45" s="26">
        <f t="shared" si="58"/>
        <v>128731543.06559999</v>
      </c>
      <c r="Y45" s="26">
        <f t="shared" si="58"/>
        <v>127177335.9056</v>
      </c>
      <c r="Z45" s="26">
        <f t="shared" si="58"/>
        <v>126167195.05760001</v>
      </c>
      <c r="AA45" s="26">
        <f t="shared" si="58"/>
        <v>124344714.1728</v>
      </c>
      <c r="AB45" s="26">
        <f t="shared" si="58"/>
        <v>125761573.85040002</v>
      </c>
      <c r="AC45" s="26">
        <f t="shared" si="58"/>
        <v>123453714.5784</v>
      </c>
      <c r="AD45" s="26">
        <f t="shared" si="58"/>
        <v>121945422.8248</v>
      </c>
      <c r="AE45" s="26">
        <f t="shared" si="58"/>
        <v>39979809.450400002</v>
      </c>
      <c r="AF45" s="26">
        <f t="shared" si="58"/>
        <v>36061670.423200004</v>
      </c>
      <c r="AG45" s="26">
        <f t="shared" si="58"/>
        <v>32796723.023200002</v>
      </c>
      <c r="AH45" s="26">
        <f t="shared" si="58"/>
        <v>21653877.7064</v>
      </c>
      <c r="AI45" s="26">
        <f t="shared" si="58"/>
        <v>15896671.664800001</v>
      </c>
      <c r="AJ45" s="26">
        <f t="shared" si="58"/>
        <v>0</v>
      </c>
      <c r="AK45" s="26">
        <f t="shared" si="58"/>
        <v>0</v>
      </c>
      <c r="AL45" s="26">
        <f t="shared" si="58"/>
        <v>0</v>
      </c>
      <c r="AM45" s="26">
        <f t="shared" si="58"/>
        <v>0</v>
      </c>
      <c r="AN45" s="26">
        <f t="shared" si="58"/>
        <v>500148445.44</v>
      </c>
      <c r="AO45" s="26">
        <f t="shared" si="58"/>
        <v>537504129.84000003</v>
      </c>
      <c r="AP45" s="26">
        <f t="shared" si="58"/>
        <v>624240680.80000007</v>
      </c>
      <c r="AQ45" s="26">
        <f t="shared" si="58"/>
        <v>489867434.96000004</v>
      </c>
      <c r="AR45" s="26">
        <f t="shared" si="58"/>
        <v>469757773.68000001</v>
      </c>
      <c r="AS45" s="26">
        <f t="shared" si="58"/>
        <v>441707133.92000002</v>
      </c>
      <c r="AT45" s="26">
        <f t="shared" si="58"/>
        <v>385219867.60000002</v>
      </c>
      <c r="AU45" s="26">
        <f t="shared" si="58"/>
        <v>342936678.07999998</v>
      </c>
      <c r="AV45" s="26">
        <f t="shared" si="58"/>
        <v>331973915.60000002</v>
      </c>
      <c r="AW45" s="26">
        <f t="shared" si="58"/>
        <v>343796123.28000003</v>
      </c>
      <c r="AX45" s="26">
        <f t="shared" si="58"/>
        <v>338697410.80000001</v>
      </c>
      <c r="AY45" s="26">
        <f t="shared" si="58"/>
        <v>146780939.52000001</v>
      </c>
      <c r="AZ45" s="26">
        <f t="shared" si="58"/>
        <v>245511861.59999999</v>
      </c>
      <c r="BA45" s="26">
        <f t="shared" si="58"/>
        <v>288921727.51999998</v>
      </c>
      <c r="BB45" s="26">
        <f t="shared" si="58"/>
        <v>331110466.72000003</v>
      </c>
      <c r="BC45" s="26">
        <f t="shared" si="58"/>
        <v>362263674</v>
      </c>
      <c r="BD45" s="26">
        <f t="shared" si="58"/>
        <v>407062431.28000003</v>
      </c>
      <c r="BE45" s="26">
        <f t="shared" si="58"/>
        <v>438495576.24000001</v>
      </c>
      <c r="BF45" s="26">
        <f t="shared" si="58"/>
        <v>462060002.50559998</v>
      </c>
      <c r="BG45" s="26">
        <f t="shared" si="58"/>
        <v>459906741.15600002</v>
      </c>
      <c r="BH45" s="26">
        <f t="shared" si="58"/>
        <v>443043952.38639998</v>
      </c>
      <c r="BI45" s="26">
        <f t="shared" si="58"/>
        <v>246414467.84</v>
      </c>
      <c r="BJ45" s="26">
        <f t="shared" si="58"/>
        <v>239394313.29040003</v>
      </c>
      <c r="BK45" s="26">
        <f t="shared" si="58"/>
        <v>225712388.09759998</v>
      </c>
      <c r="BL45" s="26">
        <f t="shared" si="58"/>
        <v>206287255.53759998</v>
      </c>
      <c r="BM45" s="26">
        <f t="shared" si="58"/>
        <v>211271241.12</v>
      </c>
      <c r="BN45" s="26">
        <f t="shared" si="58"/>
        <v>210162322.66799998</v>
      </c>
      <c r="BO45" s="26">
        <f t="shared" ref="BO45:CJ45" si="59">BO70*BO69</f>
        <v>203730015.61200002</v>
      </c>
      <c r="BP45" s="26">
        <f t="shared" si="59"/>
        <v>197533905.7184</v>
      </c>
      <c r="BQ45" s="26">
        <f t="shared" si="59"/>
        <v>186862667.75999999</v>
      </c>
      <c r="BR45" s="26">
        <f t="shared" si="59"/>
        <v>192016606.6776</v>
      </c>
      <c r="BS45" s="26">
        <f t="shared" si="59"/>
        <v>178174468.88</v>
      </c>
      <c r="BT45" s="26">
        <f t="shared" si="59"/>
        <v>106700651.2</v>
      </c>
      <c r="BU45" s="26">
        <f t="shared" si="59"/>
        <v>100332971.36</v>
      </c>
      <c r="BV45" s="26">
        <f t="shared" si="59"/>
        <v>90860399.374400005</v>
      </c>
      <c r="BW45" s="26">
        <f t="shared" si="59"/>
        <v>87394560</v>
      </c>
      <c r="BX45" s="26">
        <f t="shared" si="59"/>
        <v>79245383.877599999</v>
      </c>
      <c r="BY45" s="26">
        <f t="shared" si="59"/>
        <v>76640720</v>
      </c>
      <c r="BZ45" s="26">
        <f t="shared" si="59"/>
        <v>79515920</v>
      </c>
      <c r="CA45" s="26">
        <f t="shared" si="59"/>
        <v>45996240</v>
      </c>
      <c r="CB45" s="26">
        <f t="shared" si="59"/>
        <v>37332160</v>
      </c>
      <c r="CC45" s="26">
        <f t="shared" si="59"/>
        <v>33929600</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420</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421</v>
      </c>
      <c r="B47" s="28">
        <f>B42-B45</f>
        <v>67550446.875999689</v>
      </c>
      <c r="C47" s="28">
        <f t="shared" ref="C47:BN47" si="62">C42-C45</f>
        <v>-357405597.55920005</v>
      </c>
      <c r="D47" s="28">
        <f t="shared" si="62"/>
        <v>-794884504.97039986</v>
      </c>
      <c r="E47" s="28">
        <f t="shared" si="62"/>
        <v>355302661.08400017</v>
      </c>
      <c r="F47" s="28">
        <f t="shared" si="62"/>
        <v>302813223.87639976</v>
      </c>
      <c r="G47" s="28">
        <f t="shared" si="62"/>
        <v>216103985.54000008</v>
      </c>
      <c r="H47" s="28">
        <f t="shared" si="62"/>
        <v>-236908789.0812</v>
      </c>
      <c r="I47" s="28">
        <f t="shared" si="62"/>
        <v>154403534.98679978</v>
      </c>
      <c r="J47" s="28">
        <f t="shared" si="62"/>
        <v>52669232.537200212</v>
      </c>
      <c r="K47" s="28">
        <f t="shared" si="62"/>
        <v>-64215448.58799988</v>
      </c>
      <c r="L47" s="28">
        <f t="shared" si="62"/>
        <v>-206713090.69440007</v>
      </c>
      <c r="M47" s="28">
        <f t="shared" si="62"/>
        <v>88114435.294799805</v>
      </c>
      <c r="N47" s="28">
        <f t="shared" si="62"/>
        <v>-32453479.216799915</v>
      </c>
      <c r="O47" s="28">
        <f t="shared" si="62"/>
        <v>-152681880.62600005</v>
      </c>
      <c r="P47" s="28">
        <f t="shared" si="62"/>
        <v>-239954993.60759997</v>
      </c>
      <c r="Q47" s="28">
        <f t="shared" si="62"/>
        <v>-81083739.043199837</v>
      </c>
      <c r="R47" s="28">
        <f t="shared" si="62"/>
        <v>-188228723.79199994</v>
      </c>
      <c r="S47" s="28">
        <f t="shared" si="62"/>
        <v>-82556693.526799962</v>
      </c>
      <c r="T47" s="28">
        <f t="shared" si="62"/>
        <v>-111934653.71319999</v>
      </c>
      <c r="U47" s="28">
        <f t="shared" si="62"/>
        <v>-50644954.889199987</v>
      </c>
      <c r="V47" s="28">
        <f t="shared" si="62"/>
        <v>-66375838.684800051</v>
      </c>
      <c r="W47" s="28">
        <f t="shared" si="62"/>
        <v>-82567396.118799984</v>
      </c>
      <c r="X47" s="28">
        <f t="shared" si="62"/>
        <v>-109303953.56559998</v>
      </c>
      <c r="Y47" s="28">
        <f t="shared" si="62"/>
        <v>-33891942.645600036</v>
      </c>
      <c r="Z47" s="28">
        <f t="shared" si="62"/>
        <v>-39748689.067599967</v>
      </c>
      <c r="AA47" s="28">
        <f t="shared" si="62"/>
        <v>-60707219.24279996</v>
      </c>
      <c r="AB47" s="28">
        <f t="shared" si="62"/>
        <v>-96913332.95040001</v>
      </c>
      <c r="AC47" s="28">
        <f t="shared" si="62"/>
        <v>16679785.861600056</v>
      </c>
      <c r="AD47" s="28">
        <f t="shared" si="62"/>
        <v>648323.69519996643</v>
      </c>
      <c r="AE47" s="28">
        <f t="shared" si="62"/>
        <v>49808770.889599986</v>
      </c>
      <c r="AF47" s="28">
        <f t="shared" si="62"/>
        <v>4750172.0768000111</v>
      </c>
      <c r="AG47" s="28">
        <f t="shared" si="62"/>
        <v>122941181.26680005</v>
      </c>
      <c r="AH47" s="28">
        <f t="shared" si="62"/>
        <v>99634604.243600011</v>
      </c>
      <c r="AI47" s="28">
        <f t="shared" si="62"/>
        <v>64113260.645199955</v>
      </c>
      <c r="AJ47" s="28">
        <f t="shared" si="62"/>
        <v>39728737.599999994</v>
      </c>
      <c r="AK47" s="28">
        <f t="shared" si="62"/>
        <v>101965075.51999995</v>
      </c>
      <c r="AL47" s="28">
        <f t="shared" si="62"/>
        <v>77056544.74000001</v>
      </c>
      <c r="AM47" s="28">
        <f t="shared" si="62"/>
        <v>0</v>
      </c>
      <c r="AN47" s="28">
        <f t="shared" si="62"/>
        <v>-528509469.44</v>
      </c>
      <c r="AO47" s="28">
        <f t="shared" si="62"/>
        <v>-720819293.84000003</v>
      </c>
      <c r="AP47" s="28">
        <f t="shared" si="62"/>
        <v>-706703834.80000007</v>
      </c>
      <c r="AQ47" s="28">
        <f t="shared" si="62"/>
        <v>-508368087.96000004</v>
      </c>
      <c r="AR47" s="28">
        <f t="shared" si="62"/>
        <v>-493142644.68000001</v>
      </c>
      <c r="AS47" s="28">
        <f t="shared" si="62"/>
        <v>-719907497.92000008</v>
      </c>
      <c r="AT47" s="28">
        <f t="shared" si="62"/>
        <v>-456171497.60000002</v>
      </c>
      <c r="AU47" s="28">
        <f t="shared" si="62"/>
        <v>-301082499.07999998</v>
      </c>
      <c r="AV47" s="28">
        <f t="shared" si="62"/>
        <v>-226730719.60000002</v>
      </c>
      <c r="AW47" s="28">
        <f t="shared" si="62"/>
        <v>-824256869.27999997</v>
      </c>
      <c r="AX47" s="28">
        <f t="shared" si="62"/>
        <v>-750513757.79999995</v>
      </c>
      <c r="AY47" s="28">
        <f t="shared" si="62"/>
        <v>-409260843.51999998</v>
      </c>
      <c r="AZ47" s="28">
        <f t="shared" si="62"/>
        <v>-323894953.60000002</v>
      </c>
      <c r="BA47" s="28">
        <f t="shared" si="62"/>
        <v>-679120588.51999998</v>
      </c>
      <c r="BB47" s="28">
        <f t="shared" si="62"/>
        <v>-548767442.72000003</v>
      </c>
      <c r="BC47" s="28">
        <f t="shared" si="62"/>
        <v>-488722348</v>
      </c>
      <c r="BD47" s="28">
        <f t="shared" si="62"/>
        <v>-426219811.28000003</v>
      </c>
      <c r="BE47" s="28">
        <f t="shared" si="62"/>
        <v>-179395085.24000001</v>
      </c>
      <c r="BF47" s="28">
        <f t="shared" si="62"/>
        <v>-348397571.56559998</v>
      </c>
      <c r="BG47" s="28">
        <f t="shared" si="62"/>
        <v>-362176899.26600003</v>
      </c>
      <c r="BH47" s="28">
        <f t="shared" si="62"/>
        <v>-399562407.2464</v>
      </c>
      <c r="BI47" s="28">
        <f t="shared" si="62"/>
        <v>-474450230.84000003</v>
      </c>
      <c r="BJ47" s="28">
        <f t="shared" si="62"/>
        <v>-433551669.95039999</v>
      </c>
      <c r="BK47" s="28">
        <f t="shared" si="62"/>
        <v>-385448101.21759999</v>
      </c>
      <c r="BL47" s="28">
        <f t="shared" si="62"/>
        <v>-352606875.87759995</v>
      </c>
      <c r="BM47" s="28">
        <f t="shared" si="62"/>
        <v>-258620089.12</v>
      </c>
      <c r="BN47" s="28">
        <f t="shared" si="62"/>
        <v>-270124267.03799999</v>
      </c>
      <c r="BO47" s="28">
        <f t="shared" ref="BO47:CJ47" si="63">BO42-BO45</f>
        <v>-245473226.25200003</v>
      </c>
      <c r="BP47" s="28">
        <f t="shared" si="63"/>
        <v>-225180296.11840001</v>
      </c>
      <c r="BQ47" s="28">
        <f t="shared" si="63"/>
        <v>-243834019.75999999</v>
      </c>
      <c r="BR47" s="28">
        <f t="shared" si="63"/>
        <v>-197663060.4576</v>
      </c>
      <c r="BS47" s="28">
        <f t="shared" si="63"/>
        <v>-162758396.88</v>
      </c>
      <c r="BT47" s="28">
        <f t="shared" si="63"/>
        <v>-94716957.200000003</v>
      </c>
      <c r="BU47" s="28">
        <f t="shared" si="63"/>
        <v>-70996418.359999999</v>
      </c>
      <c r="BV47" s="28">
        <f t="shared" si="63"/>
        <v>-86117071.784400001</v>
      </c>
      <c r="BW47" s="28">
        <f t="shared" si="63"/>
        <v>-48009560</v>
      </c>
      <c r="BX47" s="28">
        <f t="shared" si="63"/>
        <v>-59978172.057599999</v>
      </c>
      <c r="BY47" s="28">
        <f t="shared" si="63"/>
        <v>-19895720</v>
      </c>
      <c r="BZ47" s="28">
        <f t="shared" si="63"/>
        <v>-56294920</v>
      </c>
      <c r="CA47" s="28">
        <f t="shared" si="63"/>
        <v>41854760</v>
      </c>
      <c r="CB47" s="28">
        <f t="shared" si="63"/>
        <v>57056840</v>
      </c>
      <c r="CC47" s="28">
        <f t="shared" si="63"/>
        <v>55002400</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5" thickBot="1">
      <c r="A50" s="17"/>
      <c r="B50" s="1"/>
      <c r="C50" s="1"/>
      <c r="D50" s="1"/>
      <c r="E50" s="1"/>
      <c r="F50" s="1"/>
      <c r="G50" s="1"/>
      <c r="H50" s="1"/>
      <c r="I50" s="1"/>
      <c r="J50" s="1"/>
      <c r="K50"/>
    </row>
    <row r="51" spans="1:89" s="56" customFormat="1">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20081231</v>
      </c>
      <c r="AM51" s="188">
        <v>19700101</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19951231</v>
      </c>
      <c r="CC51" s="188">
        <v>19941231</v>
      </c>
      <c r="CD51" s="188">
        <v>19700101</v>
      </c>
      <c r="CE51" s="188">
        <v>19941231</v>
      </c>
      <c r="CF51" s="188">
        <v>19940630</v>
      </c>
      <c r="CG51" s="188">
        <v>19930630</v>
      </c>
      <c r="CH51" s="188">
        <v>19921231</v>
      </c>
      <c r="CI51" s="188">
        <v>19911231</v>
      </c>
      <c r="CJ51" s="188">
        <v>19901231</v>
      </c>
      <c r="CK51" s="188">
        <v>19700101</v>
      </c>
    </row>
    <row r="52" spans="1:89" s="43" customFormat="1">
      <c r="A52" s="130" t="s">
        <v>568</v>
      </c>
      <c r="B52" s="42">
        <v>-25636</v>
      </c>
      <c r="C52" s="42">
        <v>-27718</v>
      </c>
      <c r="D52" s="42">
        <v>-35317</v>
      </c>
      <c r="E52" s="42">
        <v>-7006581.0300000003</v>
      </c>
      <c r="F52" s="42"/>
      <c r="G52" s="42"/>
      <c r="H52" s="42"/>
      <c r="I52" s="42">
        <v>-5086995.83</v>
      </c>
      <c r="J52" s="42"/>
      <c r="K52" s="42"/>
      <c r="M52" s="43">
        <v>-4056809.65</v>
      </c>
      <c r="Q52" s="43">
        <v>-1185763.3899999999</v>
      </c>
      <c r="U52" s="43">
        <v>-8014552.5</v>
      </c>
      <c r="Y52" s="43">
        <v>-15508575.34</v>
      </c>
      <c r="AC52" s="43">
        <v>-8008216.0499999998</v>
      </c>
      <c r="AG52" s="43">
        <v>-649450.06999999995</v>
      </c>
    </row>
    <row r="53" spans="1:89" s="43" customFormat="1">
      <c r="A53" s="131" t="s">
        <v>90</v>
      </c>
      <c r="B53" s="42">
        <v>217</v>
      </c>
      <c r="C53" s="42">
        <v>189</v>
      </c>
      <c r="D53" s="42"/>
      <c r="E53" s="42">
        <v>14859461.9</v>
      </c>
      <c r="F53" s="42"/>
      <c r="G53" s="42"/>
      <c r="H53" s="42"/>
      <c r="I53" s="42">
        <v>19388891.059999999</v>
      </c>
      <c r="J53" s="42"/>
      <c r="K53" s="42"/>
      <c r="M53" s="43">
        <v>15384302.83</v>
      </c>
      <c r="Q53" s="43">
        <v>831488.96</v>
      </c>
      <c r="U53" s="43">
        <v>3773806.59</v>
      </c>
      <c r="Y53" s="43">
        <v>2937854.71</v>
      </c>
      <c r="AC53" s="43">
        <v>11256587.619999999</v>
      </c>
      <c r="AD53" s="42"/>
      <c r="AE53" s="42"/>
      <c r="AF53" s="42"/>
      <c r="AG53" s="42">
        <v>11173271.1</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1" t="s">
        <v>91</v>
      </c>
      <c r="B54" s="42">
        <v>3104</v>
      </c>
      <c r="C54" s="42">
        <v>-1424</v>
      </c>
      <c r="D54" s="42">
        <v>-340</v>
      </c>
      <c r="E54" s="42">
        <v>155931.82999999999</v>
      </c>
      <c r="F54" s="42"/>
      <c r="G54" s="42"/>
      <c r="H54" s="42"/>
      <c r="I54" s="42">
        <v>-147470.78</v>
      </c>
      <c r="J54" s="42"/>
      <c r="K54" s="42"/>
      <c r="M54" s="43">
        <v>335289.34999999998</v>
      </c>
      <c r="Q54" s="43">
        <v>-150446.69</v>
      </c>
      <c r="U54" s="43">
        <v>977562.76</v>
      </c>
      <c r="Y54" s="43">
        <v>-4614.0200000000004</v>
      </c>
      <c r="AC54" s="43">
        <v>1056103.55</v>
      </c>
      <c r="AG54" s="43">
        <v>1973904.28</v>
      </c>
    </row>
    <row r="55" spans="1:89" s="43" customFormat="1">
      <c r="A55" s="131" t="s">
        <v>92</v>
      </c>
      <c r="B55" s="42">
        <v>463</v>
      </c>
      <c r="C55" s="42">
        <v>603</v>
      </c>
      <c r="D55" s="42">
        <v>653</v>
      </c>
      <c r="E55" s="42">
        <v>7151997.1900000004</v>
      </c>
      <c r="F55" s="42"/>
      <c r="G55" s="42"/>
      <c r="H55" s="42"/>
      <c r="I55" s="42">
        <v>1468736.14</v>
      </c>
      <c r="J55" s="42"/>
      <c r="K55" s="42"/>
      <c r="M55" s="43">
        <v>2519870.38</v>
      </c>
      <c r="Q55" s="43">
        <v>1436548.9</v>
      </c>
      <c r="U55" s="43">
        <v>763711.99</v>
      </c>
      <c r="Y55" s="43">
        <v>125710.89</v>
      </c>
      <c r="AC55" s="43">
        <v>257790.45</v>
      </c>
      <c r="AG55" s="43">
        <v>1073757.8899999999</v>
      </c>
    </row>
    <row r="56" spans="1:89" s="26" customFormat="1">
      <c r="A56" s="132" t="s">
        <v>93</v>
      </c>
      <c r="B56" s="44">
        <f>SUM(B52:B55)</f>
        <v>-21852</v>
      </c>
      <c r="C56" s="44">
        <f t="shared" ref="C56:D56" si="64">SUM(C52:C55)</f>
        <v>-28350</v>
      </c>
      <c r="D56" s="44">
        <f t="shared" si="64"/>
        <v>-35004</v>
      </c>
      <c r="E56" s="44">
        <f>SUM(E52:E55)</f>
        <v>15160809.890000001</v>
      </c>
      <c r="F56" s="44">
        <f t="shared" ref="F56:BQ56" si="65">SUM(F52:F55)</f>
        <v>0</v>
      </c>
      <c r="G56" s="44">
        <f t="shared" si="65"/>
        <v>0</v>
      </c>
      <c r="H56" s="44">
        <f t="shared" si="65"/>
        <v>0</v>
      </c>
      <c r="I56" s="44">
        <f t="shared" si="65"/>
        <v>15623160.59</v>
      </c>
      <c r="J56" s="44">
        <f t="shared" si="65"/>
        <v>0</v>
      </c>
      <c r="K56" s="44">
        <f t="shared" si="65"/>
        <v>0</v>
      </c>
      <c r="L56" s="44">
        <f t="shared" si="65"/>
        <v>0</v>
      </c>
      <c r="M56" s="44">
        <f t="shared" si="65"/>
        <v>14182652.91</v>
      </c>
      <c r="N56" s="44">
        <f t="shared" si="65"/>
        <v>0</v>
      </c>
      <c r="O56" s="44">
        <f t="shared" si="65"/>
        <v>0</v>
      </c>
      <c r="P56" s="44">
        <f t="shared" si="65"/>
        <v>0</v>
      </c>
      <c r="Q56" s="44">
        <f t="shared" si="65"/>
        <v>931827.78</v>
      </c>
      <c r="R56" s="44">
        <f t="shared" si="65"/>
        <v>0</v>
      </c>
      <c r="S56" s="44">
        <f t="shared" si="65"/>
        <v>0</v>
      </c>
      <c r="T56" s="44">
        <f t="shared" si="65"/>
        <v>0</v>
      </c>
      <c r="U56" s="44">
        <f t="shared" si="65"/>
        <v>-2499471.16</v>
      </c>
      <c r="V56" s="44">
        <f t="shared" si="65"/>
        <v>0</v>
      </c>
      <c r="W56" s="44">
        <f t="shared" si="65"/>
        <v>0</v>
      </c>
      <c r="X56" s="44">
        <f t="shared" si="65"/>
        <v>0</v>
      </c>
      <c r="Y56" s="44">
        <f t="shared" si="65"/>
        <v>-12449623.759999998</v>
      </c>
      <c r="Z56" s="44">
        <f t="shared" si="65"/>
        <v>0</v>
      </c>
      <c r="AA56" s="44">
        <f t="shared" si="65"/>
        <v>0</v>
      </c>
      <c r="AB56" s="44">
        <f t="shared" si="65"/>
        <v>0</v>
      </c>
      <c r="AC56" s="44">
        <f t="shared" si="65"/>
        <v>4562265.5699999994</v>
      </c>
      <c r="AD56" s="44">
        <f t="shared" si="65"/>
        <v>0</v>
      </c>
      <c r="AE56" s="44">
        <f t="shared" si="65"/>
        <v>0</v>
      </c>
      <c r="AF56" s="44">
        <f t="shared" si="65"/>
        <v>0</v>
      </c>
      <c r="AG56" s="44">
        <f t="shared" si="65"/>
        <v>13571483.199999999</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3" t="s">
        <v>97</v>
      </c>
    </row>
    <row r="59" spans="1:89">
      <c r="A59" s="22" t="s">
        <v>96</v>
      </c>
      <c r="B59" s="188">
        <v>880878345.82000005</v>
      </c>
      <c r="C59" s="188">
        <v>711589793.83000004</v>
      </c>
      <c r="D59" s="188">
        <v>313134553.77999997</v>
      </c>
      <c r="E59" s="188">
        <v>784657966.05999994</v>
      </c>
      <c r="F59" s="188">
        <v>714435829.91999996</v>
      </c>
      <c r="G59" s="188">
        <v>618052418.08000004</v>
      </c>
      <c r="H59" s="188">
        <v>125253307.44</v>
      </c>
      <c r="I59" s="188">
        <v>507204971.70999998</v>
      </c>
      <c r="J59" s="188">
        <v>395348213.52999997</v>
      </c>
      <c r="K59" s="188">
        <v>277281930.44</v>
      </c>
      <c r="L59" s="188">
        <v>122587486.16</v>
      </c>
      <c r="M59" s="188">
        <v>410154219.94999999</v>
      </c>
      <c r="N59" s="188">
        <v>276144544.76999998</v>
      </c>
      <c r="O59" s="188">
        <v>145616847.38</v>
      </c>
      <c r="P59" s="188">
        <v>55372160.310000002</v>
      </c>
      <c r="Q59" s="188">
        <v>211121843.31999999</v>
      </c>
      <c r="R59" s="188">
        <v>93237867.620000005</v>
      </c>
      <c r="S59" s="188">
        <v>53417867.969999999</v>
      </c>
      <c r="T59" s="188">
        <v>21485302.550000001</v>
      </c>
      <c r="U59" s="188">
        <v>82797451.920000002</v>
      </c>
      <c r="V59" s="188">
        <v>63805975.240000002</v>
      </c>
      <c r="W59" s="188">
        <v>46206456.289999999</v>
      </c>
      <c r="X59" s="188">
        <v>19427589.5</v>
      </c>
      <c r="Y59" s="188">
        <v>93406490.129999995</v>
      </c>
      <c r="Z59" s="188">
        <v>86418505.989999995</v>
      </c>
      <c r="AA59" s="188">
        <v>63637494.93</v>
      </c>
      <c r="AB59" s="188">
        <v>28848240.899999999</v>
      </c>
      <c r="AC59" s="188">
        <v>141447394.44</v>
      </c>
      <c r="AD59" s="188">
        <v>122593747.52</v>
      </c>
      <c r="AE59" s="188">
        <v>89788580.340000004</v>
      </c>
      <c r="AF59" s="188">
        <v>40811842.5</v>
      </c>
      <c r="AG59" s="188">
        <v>158785566.46000001</v>
      </c>
      <c r="AH59" s="188">
        <v>121288481.95</v>
      </c>
      <c r="AI59" s="188">
        <v>80009932.310000002</v>
      </c>
      <c r="AJ59" s="188">
        <v>39728737.600000001</v>
      </c>
      <c r="AK59" s="188">
        <v>101965075.52</v>
      </c>
      <c r="AL59" s="188">
        <v>77056544.739999995</v>
      </c>
      <c r="AM59" s="188">
        <v>0</v>
      </c>
      <c r="AN59" s="188">
        <v>-517014063</v>
      </c>
      <c r="AO59" s="188">
        <v>-996771096</v>
      </c>
      <c r="AP59" s="188">
        <v>103304631</v>
      </c>
      <c r="AQ59" s="188">
        <v>627370921</v>
      </c>
      <c r="AR59" s="188">
        <v>379964211</v>
      </c>
      <c r="AS59" s="188">
        <v>897106952</v>
      </c>
      <c r="AT59" s="188">
        <v>562830280</v>
      </c>
      <c r="AU59" s="188">
        <v>36312079</v>
      </c>
      <c r="AV59" s="188">
        <v>-118101845</v>
      </c>
      <c r="AW59" s="188">
        <v>-1740617968</v>
      </c>
      <c r="AX59" s="188">
        <v>-1648467131</v>
      </c>
      <c r="AY59" s="188">
        <v>-1304475470</v>
      </c>
      <c r="AZ59" s="188">
        <v>-525993696</v>
      </c>
      <c r="BA59" s="188">
        <v>-1496090749</v>
      </c>
      <c r="BB59" s="188">
        <v>-1310612038</v>
      </c>
      <c r="BC59" s="188">
        <v>-966928629</v>
      </c>
      <c r="BD59" s="188">
        <v>-441015307</v>
      </c>
      <c r="BE59" s="188">
        <v>287757476</v>
      </c>
      <c r="BF59" s="188">
        <v>505511676.56999999</v>
      </c>
      <c r="BG59" s="188">
        <v>544147642.49000001</v>
      </c>
      <c r="BH59" s="188">
        <v>293147285.19999999</v>
      </c>
      <c r="BI59" s="188">
        <v>439261704</v>
      </c>
      <c r="BJ59" s="188">
        <v>315122140.30000001</v>
      </c>
      <c r="BK59" s="188">
        <v>192715030.03</v>
      </c>
      <c r="BL59" s="188">
        <v>52750244.520000003</v>
      </c>
      <c r="BM59" s="188">
        <v>169036322</v>
      </c>
      <c r="BN59" s="188">
        <v>144442529.80000001</v>
      </c>
      <c r="BO59" s="188">
        <v>113852385.08</v>
      </c>
      <c r="BP59" s="188">
        <v>53921109.170000002</v>
      </c>
      <c r="BQ59" s="188">
        <v>104043937</v>
      </c>
      <c r="BR59" s="188">
        <v>76850102.709999993</v>
      </c>
      <c r="BS59" s="188">
        <v>123007430</v>
      </c>
      <c r="BT59" s="188">
        <v>65304257</v>
      </c>
      <c r="BU59" s="188">
        <v>96289841</v>
      </c>
      <c r="BV59" s="188">
        <v>19808380.649999999</v>
      </c>
      <c r="BW59" s="188">
        <v>67021000</v>
      </c>
      <c r="BX59" s="188">
        <v>34213674.039999999</v>
      </c>
      <c r="BY59" s="188">
        <v>130995000</v>
      </c>
      <c r="BZ59" s="188">
        <v>72491000</v>
      </c>
      <c r="CA59" s="188">
        <v>114435000</v>
      </c>
      <c r="CB59" s="188">
        <v>107761000</v>
      </c>
      <c r="CC59" s="188">
        <v>100586000</v>
      </c>
      <c r="CD59" s="188">
        <v>0</v>
      </c>
      <c r="CE59" s="188">
        <v>162135000</v>
      </c>
      <c r="CF59" s="188">
        <v>90056788.769999996</v>
      </c>
      <c r="CG59" s="188">
        <v>54430000</v>
      </c>
      <c r="CH59" s="188">
        <v>80440000</v>
      </c>
      <c r="CI59" s="188">
        <v>58950000</v>
      </c>
      <c r="CJ59" s="188">
        <v>67670000</v>
      </c>
      <c r="CK59" s="188">
        <v>0</v>
      </c>
    </row>
    <row r="60" spans="1:89">
      <c r="A60" s="22" t="s">
        <v>95</v>
      </c>
      <c r="B60" s="188">
        <v>84965150.319999993</v>
      </c>
      <c r="C60" s="188">
        <v>70702418.439999998</v>
      </c>
      <c r="D60" s="188">
        <v>52216615.759999998</v>
      </c>
      <c r="E60" s="188">
        <v>176427839.81999999</v>
      </c>
      <c r="F60" s="188">
        <v>131343019.88</v>
      </c>
      <c r="G60" s="188">
        <v>120201647.28</v>
      </c>
      <c r="H60" s="188">
        <v>30931539.27</v>
      </c>
      <c r="I60" s="188">
        <v>86709524.189999998</v>
      </c>
      <c r="J60" s="188">
        <v>61143036.149999999</v>
      </c>
      <c r="K60" s="188">
        <v>40306410.609999999</v>
      </c>
      <c r="L60" s="188">
        <v>22159436.260000002</v>
      </c>
      <c r="M60" s="188">
        <v>55216863.780000001</v>
      </c>
      <c r="N60" s="188">
        <v>41165972.950000003</v>
      </c>
      <c r="O60" s="188">
        <v>22441579.620000001</v>
      </c>
      <c r="P60" s="188">
        <v>8749247.8800000008</v>
      </c>
      <c r="Q60" s="188">
        <v>25981549.109999999</v>
      </c>
      <c r="R60" s="188">
        <v>19045800.07</v>
      </c>
      <c r="S60" s="188">
        <v>12006178.210000001</v>
      </c>
      <c r="T60" s="188">
        <v>4552085.1900000004</v>
      </c>
      <c r="U60" s="188">
        <v>17253605.879999999</v>
      </c>
      <c r="V60" s="188">
        <v>12613322.619999999</v>
      </c>
      <c r="W60" s="188">
        <v>8738669.2400000002</v>
      </c>
      <c r="X60" s="188">
        <v>3573417.97</v>
      </c>
      <c r="Y60" s="188">
        <v>17365454.870000001</v>
      </c>
      <c r="Z60" s="188">
        <v>15120611.5</v>
      </c>
      <c r="AA60" s="188">
        <v>10850084.130000001</v>
      </c>
      <c r="AB60" s="188">
        <v>4410996.29</v>
      </c>
      <c r="AC60" s="188">
        <v>22492723.390000001</v>
      </c>
      <c r="AD60" s="188">
        <v>18264884.98</v>
      </c>
      <c r="AE60" s="188">
        <v>14232552.560000001</v>
      </c>
      <c r="AF60" s="188">
        <v>6977319.6100000003</v>
      </c>
      <c r="AG60" s="188">
        <v>23088242.75</v>
      </c>
      <c r="AH60" s="188">
        <v>17334103.010000002</v>
      </c>
      <c r="AI60" s="188">
        <v>11564974.75</v>
      </c>
      <c r="AJ60" s="188">
        <v>5682090.5199999996</v>
      </c>
      <c r="AK60" s="188">
        <v>11911118.140000001</v>
      </c>
      <c r="AL60" s="188">
        <v>6946077.8499999996</v>
      </c>
      <c r="AM60" s="188">
        <v>0</v>
      </c>
      <c r="AN60" s="188">
        <v>2078492</v>
      </c>
      <c r="AO60" s="188">
        <v>67419800</v>
      </c>
      <c r="AP60" s="188">
        <v>61121438</v>
      </c>
      <c r="AQ60" s="188">
        <v>56722560</v>
      </c>
      <c r="AR60" s="188">
        <v>33185936</v>
      </c>
      <c r="AS60" s="188">
        <v>-56307888</v>
      </c>
      <c r="AT60" s="188">
        <v>11846579</v>
      </c>
      <c r="AU60" s="188">
        <v>10156274</v>
      </c>
      <c r="AV60" s="188">
        <v>3211019</v>
      </c>
      <c r="AW60" s="188">
        <v>13333832</v>
      </c>
      <c r="AX60" s="188">
        <v>5411942</v>
      </c>
      <c r="AY60" s="188">
        <v>3648838</v>
      </c>
      <c r="AZ60" s="188">
        <v>1228820</v>
      </c>
      <c r="BA60" s="188">
        <v>41728994</v>
      </c>
      <c r="BB60" s="188">
        <v>33363171</v>
      </c>
      <c r="BC60" s="188">
        <v>22140108</v>
      </c>
      <c r="BD60" s="188">
        <v>3098062</v>
      </c>
      <c r="BE60" s="188">
        <v>13112557</v>
      </c>
      <c r="BF60" s="188">
        <v>29983279.280000001</v>
      </c>
      <c r="BG60" s="188">
        <v>31132860.5</v>
      </c>
      <c r="BH60" s="188">
        <v>13392541.58</v>
      </c>
      <c r="BI60" s="188">
        <v>18888134</v>
      </c>
      <c r="BJ60" s="188">
        <v>20002809.030000001</v>
      </c>
      <c r="BK60" s="188">
        <v>11295612.949999999</v>
      </c>
      <c r="BL60" s="188">
        <v>10715982.58</v>
      </c>
      <c r="BM60" s="188">
        <v>47185728</v>
      </c>
      <c r="BN60" s="188">
        <v>40641666.68</v>
      </c>
      <c r="BO60" s="188">
        <v>27712934.18</v>
      </c>
      <c r="BP60" s="188">
        <v>14842215.08</v>
      </c>
      <c r="BQ60" s="188">
        <v>20476088</v>
      </c>
      <c r="BR60" s="188">
        <v>7415723.3399999999</v>
      </c>
      <c r="BS60" s="188">
        <v>16642758</v>
      </c>
      <c r="BT60" s="188">
        <v>9295870</v>
      </c>
      <c r="BU60" s="188">
        <v>9628005</v>
      </c>
      <c r="BV60" s="188">
        <v>4874531.3499999996</v>
      </c>
      <c r="BW60" s="188">
        <v>5507000</v>
      </c>
      <c r="BX60" s="188">
        <v>3771561.04</v>
      </c>
      <c r="BY60" s="188">
        <v>14054000</v>
      </c>
      <c r="BZ60" s="188">
        <v>7845000</v>
      </c>
      <c r="CA60" s="188">
        <v>2933000</v>
      </c>
      <c r="CB60" s="188">
        <v>800000</v>
      </c>
      <c r="CC60" s="188">
        <v>465000</v>
      </c>
      <c r="CD60" s="188">
        <v>0</v>
      </c>
      <c r="CE60" s="188">
        <v>27810000</v>
      </c>
      <c r="CF60" s="188">
        <v>16447145.279999999</v>
      </c>
      <c r="CG60" s="188">
        <v>4330000</v>
      </c>
      <c r="CH60" s="188">
        <v>4220000</v>
      </c>
      <c r="CI60" s="188">
        <v>12510000</v>
      </c>
      <c r="CJ60" s="188">
        <v>3630000</v>
      </c>
      <c r="CK60" s="188">
        <v>0</v>
      </c>
    </row>
    <row r="61" spans="1:89">
      <c r="A61" s="22" t="s">
        <v>94</v>
      </c>
      <c r="B61" s="188">
        <v>965843496.13999999</v>
      </c>
      <c r="C61" s="188">
        <v>782292212.26999998</v>
      </c>
      <c r="D61" s="188">
        <v>365351169.54000002</v>
      </c>
      <c r="E61" s="188">
        <v>961085805.88</v>
      </c>
      <c r="F61" s="188">
        <v>845778849.79999995</v>
      </c>
      <c r="G61" s="188">
        <v>738254065.36000001</v>
      </c>
      <c r="H61" s="188">
        <v>156184846.71000001</v>
      </c>
      <c r="I61" s="188">
        <v>593914495.89999998</v>
      </c>
      <c r="J61" s="188">
        <v>456491249.68000001</v>
      </c>
      <c r="K61" s="188">
        <v>317588341.05000001</v>
      </c>
      <c r="L61" s="188">
        <v>144746922.41999999</v>
      </c>
      <c r="M61" s="188">
        <v>465371083.73000002</v>
      </c>
      <c r="N61" s="188">
        <v>317310517.72000003</v>
      </c>
      <c r="O61" s="188">
        <v>168058427</v>
      </c>
      <c r="P61" s="188">
        <v>64121408.189999998</v>
      </c>
      <c r="Q61" s="188">
        <v>237103392.43000001</v>
      </c>
      <c r="R61" s="188">
        <v>112283667.69</v>
      </c>
      <c r="S61" s="188">
        <v>65424046.18</v>
      </c>
      <c r="T61" s="188">
        <v>26037387.739999998</v>
      </c>
      <c r="U61" s="188">
        <v>100051057.8</v>
      </c>
      <c r="V61" s="188">
        <v>76419297.859999999</v>
      </c>
      <c r="W61" s="188">
        <v>54945125.530000001</v>
      </c>
      <c r="X61" s="188">
        <v>23001007.469999999</v>
      </c>
      <c r="Y61" s="188">
        <v>110771945</v>
      </c>
      <c r="Z61" s="188">
        <v>101539117.48999999</v>
      </c>
      <c r="AA61" s="188">
        <v>74487579.060000002</v>
      </c>
      <c r="AB61" s="188">
        <v>33259237.190000001</v>
      </c>
      <c r="AC61" s="188">
        <v>163940117.83000001</v>
      </c>
      <c r="AD61" s="188">
        <v>140858632.5</v>
      </c>
      <c r="AE61" s="188">
        <v>104021132.90000001</v>
      </c>
      <c r="AF61" s="188">
        <v>47789162.109999999</v>
      </c>
      <c r="AG61" s="188">
        <v>181873809.21000001</v>
      </c>
      <c r="AH61" s="188">
        <v>138622584.96000001</v>
      </c>
      <c r="AI61" s="188">
        <v>91574907.060000002</v>
      </c>
      <c r="AJ61" s="188">
        <v>45410828.119999997</v>
      </c>
      <c r="AK61" s="188">
        <v>113876193.66</v>
      </c>
      <c r="AL61" s="188">
        <v>84002622.590000004</v>
      </c>
      <c r="AM61" s="188">
        <v>0</v>
      </c>
      <c r="AN61" s="188">
        <v>-514935571</v>
      </c>
      <c r="AO61" s="188">
        <v>-929351296</v>
      </c>
      <c r="AP61" s="188">
        <v>164426069</v>
      </c>
      <c r="AQ61" s="188">
        <v>684093481</v>
      </c>
      <c r="AR61" s="188">
        <v>413150147</v>
      </c>
      <c r="AS61" s="188">
        <v>840799064</v>
      </c>
      <c r="AT61" s="188">
        <v>574676859</v>
      </c>
      <c r="AU61" s="188">
        <v>46468353</v>
      </c>
      <c r="AV61" s="188">
        <v>-114890826</v>
      </c>
      <c r="AW61" s="188">
        <v>-2948023370</v>
      </c>
      <c r="AX61" s="188">
        <v>-2679605385</v>
      </c>
      <c r="AY61" s="188">
        <v>-1790899706</v>
      </c>
      <c r="AZ61" s="188">
        <v>-524764876</v>
      </c>
      <c r="BA61" s="188">
        <v>-1454361755</v>
      </c>
      <c r="BB61" s="188">
        <v>-1277248867</v>
      </c>
      <c r="BC61" s="188">
        <v>-944788521</v>
      </c>
      <c r="BD61" s="188">
        <v>-437917245</v>
      </c>
      <c r="BE61" s="188">
        <v>300870033</v>
      </c>
      <c r="BF61" s="188">
        <v>535494955.85000002</v>
      </c>
      <c r="BG61" s="188">
        <v>575280502.99000001</v>
      </c>
      <c r="BH61" s="188">
        <v>306539826.77999997</v>
      </c>
      <c r="BI61" s="188">
        <v>458149838</v>
      </c>
      <c r="BJ61" s="188">
        <v>335124949.32999998</v>
      </c>
      <c r="BK61" s="188">
        <v>204010642.97999999</v>
      </c>
      <c r="BL61" s="188">
        <v>63466227.100000001</v>
      </c>
      <c r="BM61" s="188">
        <v>216222050</v>
      </c>
      <c r="BN61" s="188">
        <v>185084196.47999999</v>
      </c>
      <c r="BO61" s="188">
        <v>141565319.25999999</v>
      </c>
      <c r="BP61" s="188">
        <v>68763324.25</v>
      </c>
      <c r="BQ61" s="188">
        <v>124520025</v>
      </c>
      <c r="BR61" s="188">
        <v>84265826.049999997</v>
      </c>
      <c r="BS61" s="188">
        <v>139650188</v>
      </c>
      <c r="BT61" s="188">
        <v>74600127</v>
      </c>
      <c r="BU61" s="188">
        <v>105917846</v>
      </c>
      <c r="BV61" s="188">
        <v>24682912</v>
      </c>
      <c r="BW61" s="188">
        <v>72528000</v>
      </c>
      <c r="BX61" s="188">
        <v>37985235.079999998</v>
      </c>
      <c r="BY61" s="188">
        <v>145049000</v>
      </c>
      <c r="BZ61" s="188">
        <v>80336000</v>
      </c>
      <c r="CA61" s="188">
        <v>117368000</v>
      </c>
      <c r="CB61" s="188">
        <v>108561000</v>
      </c>
      <c r="CC61" s="188">
        <v>101051000</v>
      </c>
      <c r="CD61" s="188">
        <v>0</v>
      </c>
      <c r="CE61" s="188">
        <v>189945000</v>
      </c>
      <c r="CF61" s="188">
        <v>106503934.05</v>
      </c>
      <c r="CG61" s="188">
        <v>58750000</v>
      </c>
      <c r="CH61" s="188">
        <v>84660000</v>
      </c>
      <c r="CI61" s="188">
        <v>71460000</v>
      </c>
      <c r="CJ61" s="188">
        <v>71300000</v>
      </c>
      <c r="CK61" s="188">
        <v>0</v>
      </c>
    </row>
    <row r="62" spans="1:89">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c r="A65" s="22" t="s">
        <v>98</v>
      </c>
      <c r="B65" s="188">
        <v>150226953.81</v>
      </c>
      <c r="C65" s="188">
        <v>150457632.68000001</v>
      </c>
      <c r="D65" s="188">
        <v>154768311.00999999</v>
      </c>
      <c r="E65" s="188">
        <v>508826270.5</v>
      </c>
      <c r="F65" s="188">
        <v>494269291.69</v>
      </c>
      <c r="G65" s="188">
        <v>487338686.72000003</v>
      </c>
      <c r="H65" s="188">
        <v>-118618.09</v>
      </c>
      <c r="I65" s="188">
        <v>-5406516.1500000004</v>
      </c>
      <c r="J65" s="188">
        <v>-298360.31</v>
      </c>
      <c r="K65" s="188">
        <v>-302515.05</v>
      </c>
      <c r="L65" s="188">
        <v>3337.5</v>
      </c>
      <c r="M65" s="188">
        <v>89970.559999999998</v>
      </c>
      <c r="N65" s="188">
        <v>86053.6</v>
      </c>
      <c r="O65" s="188">
        <v>82316.539999999994</v>
      </c>
      <c r="P65" s="188">
        <v>5047.67</v>
      </c>
      <c r="Q65" s="188">
        <v>670590.9</v>
      </c>
      <c r="R65" s="188">
        <v>696642.18</v>
      </c>
      <c r="S65" s="188">
        <v>10733.44</v>
      </c>
      <c r="T65" s="188">
        <v>6403.73</v>
      </c>
      <c r="U65" s="188">
        <v>15800.66</v>
      </c>
      <c r="V65" s="188">
        <v>0</v>
      </c>
      <c r="W65" s="188">
        <v>0</v>
      </c>
      <c r="X65" s="188">
        <v>0</v>
      </c>
      <c r="Y65" s="188">
        <v>2271772.0499999998</v>
      </c>
      <c r="Z65" s="188">
        <v>2194139.0099999998</v>
      </c>
      <c r="AA65" s="188">
        <v>1562272.67</v>
      </c>
      <c r="AB65" s="188">
        <v>755765.94</v>
      </c>
      <c r="AC65" s="188">
        <v>2586005.37</v>
      </c>
      <c r="AD65" s="188">
        <v>1659369.95</v>
      </c>
      <c r="AE65" s="188">
        <v>1314928.06</v>
      </c>
      <c r="AF65" s="188">
        <v>743573.88</v>
      </c>
      <c r="AG65" s="188">
        <v>2771806.61</v>
      </c>
      <c r="AH65" s="188">
        <v>1998391.76</v>
      </c>
      <c r="AI65" s="188">
        <v>1299991.8400000001</v>
      </c>
      <c r="AJ65" s="188">
        <v>579434.6</v>
      </c>
      <c r="AK65" s="188">
        <v>524269.5</v>
      </c>
      <c r="AL65" s="188">
        <v>0</v>
      </c>
      <c r="AM65" s="188">
        <v>0</v>
      </c>
      <c r="AN65" s="188">
        <v>-14285911</v>
      </c>
      <c r="AO65" s="188">
        <v>-206027654</v>
      </c>
      <c r="AP65" s="188">
        <v>28784091</v>
      </c>
      <c r="AQ65" s="188">
        <v>50906440</v>
      </c>
      <c r="AR65" s="188">
        <v>43814249</v>
      </c>
      <c r="AS65" s="188">
        <v>-128315862</v>
      </c>
      <c r="AT65" s="188">
        <v>262733357</v>
      </c>
      <c r="AU65" s="188">
        <v>221606916</v>
      </c>
      <c r="AV65" s="188">
        <v>217868111</v>
      </c>
      <c r="AW65" s="188">
        <v>157168368</v>
      </c>
      <c r="AX65" s="188">
        <v>138057057</v>
      </c>
      <c r="AY65" s="188">
        <v>87479921</v>
      </c>
      <c r="AZ65" s="188">
        <v>38948566</v>
      </c>
      <c r="BA65" s="188">
        <v>113301589</v>
      </c>
      <c r="BB65" s="188">
        <v>89939587</v>
      </c>
      <c r="BC65" s="188">
        <v>66406176</v>
      </c>
      <c r="BD65" s="188">
        <v>32739923</v>
      </c>
      <c r="BE65" s="188">
        <v>286112046</v>
      </c>
      <c r="BF65" s="188">
        <v>206559792.81999999</v>
      </c>
      <c r="BG65" s="188">
        <v>165179911.53</v>
      </c>
      <c r="BH65" s="188">
        <v>78125625.650000006</v>
      </c>
      <c r="BI65" s="188">
        <v>53204161</v>
      </c>
      <c r="BJ65" s="188">
        <v>4681908.37</v>
      </c>
      <c r="BK65" s="188">
        <v>6034700.5800000001</v>
      </c>
      <c r="BL65" s="188">
        <v>15558077.91</v>
      </c>
      <c r="BM65" s="188">
        <v>65379188</v>
      </c>
      <c r="BN65" s="188">
        <v>39136404.890000001</v>
      </c>
      <c r="BO65" s="188">
        <v>17808258.879999999</v>
      </c>
      <c r="BP65" s="188">
        <v>2808093.15</v>
      </c>
      <c r="BQ65" s="188">
        <v>-15965737</v>
      </c>
      <c r="BR65" s="188">
        <v>10466286.75</v>
      </c>
      <c r="BS65" s="188">
        <v>58008092</v>
      </c>
      <c r="BT65" s="188">
        <v>31267187</v>
      </c>
      <c r="BU65" s="188">
        <v>52262841</v>
      </c>
      <c r="BV65" s="188">
        <v>15953986.210000001</v>
      </c>
      <c r="BW65" s="188">
        <v>40708000</v>
      </c>
      <c r="BX65" s="188">
        <v>19592366.059999999</v>
      </c>
      <c r="BY65" s="188">
        <v>61388000</v>
      </c>
      <c r="BZ65" s="188">
        <v>31066000</v>
      </c>
      <c r="CA65" s="188">
        <v>106110000</v>
      </c>
      <c r="CB65" s="188">
        <v>106170000</v>
      </c>
      <c r="CC65" s="188">
        <v>100099000</v>
      </c>
      <c r="CD65" s="188">
        <v>0</v>
      </c>
      <c r="CE65" s="188">
        <v>7729000</v>
      </c>
      <c r="CF65" s="188">
        <v>2092581.44</v>
      </c>
      <c r="CG65" s="188">
        <v>0</v>
      </c>
      <c r="CH65" s="188">
        <v>0</v>
      </c>
      <c r="CI65" s="188">
        <v>0</v>
      </c>
      <c r="CJ65" s="188">
        <v>0</v>
      </c>
      <c r="CK65" s="188">
        <v>0</v>
      </c>
    </row>
    <row r="66" spans="1:89">
      <c r="A66" s="22" t="s">
        <v>99</v>
      </c>
      <c r="B66" s="188">
        <v>0</v>
      </c>
      <c r="C66" s="188">
        <v>0</v>
      </c>
      <c r="D66" s="188">
        <v>0</v>
      </c>
      <c r="E66" s="188">
        <v>-1541608.46</v>
      </c>
      <c r="F66" s="188">
        <v>0</v>
      </c>
      <c r="G66" s="188">
        <v>0</v>
      </c>
      <c r="H66" s="188">
        <v>0</v>
      </c>
      <c r="I66" s="188">
        <v>-567184.34</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2271772.0499999998</v>
      </c>
      <c r="Z66" s="188">
        <v>2194139.0099999998</v>
      </c>
      <c r="AA66" s="188">
        <v>1562272.67</v>
      </c>
      <c r="AB66" s="188">
        <v>755765.94</v>
      </c>
      <c r="AC66" s="188">
        <v>2586005.37</v>
      </c>
      <c r="AD66" s="188">
        <v>1659369.95</v>
      </c>
      <c r="AE66" s="188">
        <v>1314928.06</v>
      </c>
      <c r="AF66" s="188">
        <v>743573.88</v>
      </c>
      <c r="AG66" s="188">
        <v>2771806.61</v>
      </c>
      <c r="AH66" s="188">
        <v>1998391.76</v>
      </c>
      <c r="AI66" s="188">
        <v>1299991.8400000001</v>
      </c>
      <c r="AJ66" s="188">
        <v>579434.6</v>
      </c>
      <c r="AK66" s="188">
        <v>524269.5</v>
      </c>
      <c r="AL66" s="188">
        <v>0</v>
      </c>
      <c r="AM66" s="188">
        <v>0</v>
      </c>
      <c r="AN66" s="188">
        <v>-14285911</v>
      </c>
      <c r="AO66" s="188">
        <v>-281318326</v>
      </c>
      <c r="AP66" s="188">
        <v>0</v>
      </c>
      <c r="AQ66" s="188">
        <v>0</v>
      </c>
      <c r="AR66" s="188">
        <v>0</v>
      </c>
      <c r="AS66" s="188">
        <v>-83656078</v>
      </c>
      <c r="AT66" s="188">
        <v>62470022</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c r="A67" s="22" t="s">
        <v>100</v>
      </c>
      <c r="B67" s="4">
        <f>B65-B66</f>
        <v>150226953.81</v>
      </c>
      <c r="C67" s="4">
        <f t="shared" ref="C67:BN67" si="67">C65-C66</f>
        <v>150457632.68000001</v>
      </c>
      <c r="D67" s="4">
        <f t="shared" si="67"/>
        <v>154768311.00999999</v>
      </c>
      <c r="E67" s="4">
        <f t="shared" si="67"/>
        <v>510367878.95999998</v>
      </c>
      <c r="F67" s="4">
        <f t="shared" si="67"/>
        <v>494269291.69</v>
      </c>
      <c r="G67" s="4">
        <f t="shared" si="67"/>
        <v>487338686.72000003</v>
      </c>
      <c r="H67" s="4">
        <f t="shared" si="67"/>
        <v>-118618.09</v>
      </c>
      <c r="I67" s="4">
        <f t="shared" si="67"/>
        <v>-4839331.8100000005</v>
      </c>
      <c r="J67" s="4">
        <f t="shared" si="67"/>
        <v>-298360.31</v>
      </c>
      <c r="K67" s="4">
        <f t="shared" si="67"/>
        <v>-302515.05</v>
      </c>
      <c r="L67" s="4">
        <f t="shared" si="67"/>
        <v>3337.5</v>
      </c>
      <c r="M67" s="4">
        <f t="shared" si="67"/>
        <v>89970.559999999998</v>
      </c>
      <c r="N67" s="4">
        <f t="shared" si="67"/>
        <v>86053.6</v>
      </c>
      <c r="O67" s="4">
        <f t="shared" si="67"/>
        <v>82316.539999999994</v>
      </c>
      <c r="P67" s="4">
        <f t="shared" si="67"/>
        <v>5047.67</v>
      </c>
      <c r="Q67" s="4">
        <f t="shared" si="67"/>
        <v>670590.9</v>
      </c>
      <c r="R67" s="4">
        <f t="shared" si="67"/>
        <v>696642.18</v>
      </c>
      <c r="S67" s="4">
        <f t="shared" si="67"/>
        <v>10733.44</v>
      </c>
      <c r="T67" s="4">
        <f t="shared" si="67"/>
        <v>6403.73</v>
      </c>
      <c r="U67" s="4">
        <f t="shared" si="67"/>
        <v>15800.66</v>
      </c>
      <c r="V67" s="4">
        <f t="shared" si="67"/>
        <v>0</v>
      </c>
      <c r="W67" s="4">
        <f t="shared" si="67"/>
        <v>0</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75290672</v>
      </c>
      <c r="AP67" s="4">
        <f t="shared" si="67"/>
        <v>28784091</v>
      </c>
      <c r="AQ67" s="4">
        <f t="shared" si="67"/>
        <v>50906440</v>
      </c>
      <c r="AR67" s="4">
        <f t="shared" si="67"/>
        <v>43814249</v>
      </c>
      <c r="AS67" s="4">
        <f t="shared" si="67"/>
        <v>-44659784</v>
      </c>
      <c r="AT67" s="4">
        <f t="shared" si="67"/>
        <v>200263335</v>
      </c>
      <c r="AU67" s="4">
        <f t="shared" si="67"/>
        <v>221606916</v>
      </c>
      <c r="AV67" s="4">
        <f t="shared" si="67"/>
        <v>217868111</v>
      </c>
      <c r="AW67" s="4">
        <f t="shared" si="67"/>
        <v>157168368</v>
      </c>
      <c r="AX67" s="4">
        <f t="shared" si="67"/>
        <v>138057057</v>
      </c>
      <c r="AY67" s="4">
        <f t="shared" si="67"/>
        <v>87479921</v>
      </c>
      <c r="AZ67" s="4">
        <f t="shared" si="67"/>
        <v>38948566</v>
      </c>
      <c r="BA67" s="4">
        <f t="shared" si="67"/>
        <v>113301589</v>
      </c>
      <c r="BB67" s="4">
        <f t="shared" si="67"/>
        <v>89939587</v>
      </c>
      <c r="BC67" s="4">
        <f t="shared" si="67"/>
        <v>66406176</v>
      </c>
      <c r="BD67" s="4">
        <f t="shared" si="67"/>
        <v>32739923</v>
      </c>
      <c r="BE67" s="4">
        <f t="shared" si="67"/>
        <v>286112046</v>
      </c>
      <c r="BF67" s="4">
        <f t="shared" si="67"/>
        <v>206559792.81999999</v>
      </c>
      <c r="BG67" s="4">
        <f t="shared" si="67"/>
        <v>165179911.53</v>
      </c>
      <c r="BH67" s="4">
        <f t="shared" si="67"/>
        <v>78125625.650000006</v>
      </c>
      <c r="BI67" s="4">
        <f t="shared" si="67"/>
        <v>53204161</v>
      </c>
      <c r="BJ67" s="4">
        <f t="shared" si="67"/>
        <v>4681908.37</v>
      </c>
      <c r="BK67" s="4">
        <f t="shared" si="67"/>
        <v>6034700.5800000001</v>
      </c>
      <c r="BL67" s="4">
        <f t="shared" si="67"/>
        <v>15558077.91</v>
      </c>
      <c r="BM67" s="4">
        <f t="shared" si="67"/>
        <v>65379188</v>
      </c>
      <c r="BN67" s="4">
        <f t="shared" si="67"/>
        <v>39136404.890000001</v>
      </c>
      <c r="BO67" s="4">
        <f t="shared" ref="BO67:CJ67" si="68">BO65-BO66</f>
        <v>17808258.879999999</v>
      </c>
      <c r="BP67" s="4">
        <f t="shared" si="68"/>
        <v>2808093.15</v>
      </c>
      <c r="BQ67" s="4">
        <f t="shared" si="68"/>
        <v>-15965737</v>
      </c>
      <c r="BR67" s="4">
        <f t="shared" si="68"/>
        <v>10466286.75</v>
      </c>
      <c r="BS67" s="4">
        <f t="shared" si="68"/>
        <v>58008092</v>
      </c>
      <c r="BT67" s="4">
        <f t="shared" si="68"/>
        <v>31267187</v>
      </c>
      <c r="BU67" s="4">
        <f t="shared" si="68"/>
        <v>52262841</v>
      </c>
      <c r="BV67" s="4">
        <f t="shared" si="68"/>
        <v>15953986.210000001</v>
      </c>
      <c r="BW67" s="4">
        <f t="shared" si="68"/>
        <v>40708000</v>
      </c>
      <c r="BX67" s="4">
        <f t="shared" si="68"/>
        <v>19592366.059999999</v>
      </c>
      <c r="BY67" s="4">
        <f t="shared" si="68"/>
        <v>61388000</v>
      </c>
      <c r="BZ67" s="4">
        <f t="shared" si="68"/>
        <v>31066000</v>
      </c>
      <c r="CA67" s="4">
        <f t="shared" si="68"/>
        <v>106110000</v>
      </c>
      <c r="CB67" s="4">
        <f t="shared" si="68"/>
        <v>106170000</v>
      </c>
      <c r="CC67" s="4">
        <f t="shared" si="68"/>
        <v>100099000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88">
        <v>-19063575.73</v>
      </c>
      <c r="C68" s="188">
        <v>-10156774.779999999</v>
      </c>
      <c r="D68" s="188">
        <v>-2064437</v>
      </c>
      <c r="E68" s="188">
        <v>15666479.75</v>
      </c>
      <c r="F68" s="188">
        <v>11021793.35</v>
      </c>
      <c r="G68" s="188">
        <v>8716211.8499999996</v>
      </c>
      <c r="H68" s="188">
        <v>3736297.83</v>
      </c>
      <c r="I68" s="188">
        <v>16525744.66</v>
      </c>
      <c r="J68" s="188">
        <v>12717937.77</v>
      </c>
      <c r="K68" s="188">
        <v>8087664.8899999997</v>
      </c>
      <c r="L68" s="188">
        <v>4431389.93</v>
      </c>
      <c r="M68" s="188">
        <v>14834391.75</v>
      </c>
      <c r="N68" s="188">
        <v>7979852.96</v>
      </c>
      <c r="O68" s="188">
        <v>2557928.2400000002</v>
      </c>
      <c r="P68" s="188">
        <v>1589379.86</v>
      </c>
      <c r="Q68" s="188">
        <v>1434919.73</v>
      </c>
      <c r="R68" s="188">
        <v>1716536.35</v>
      </c>
      <c r="S68" s="188">
        <v>609378.76</v>
      </c>
      <c r="T68" s="188">
        <v>163388.10999999999</v>
      </c>
      <c r="U68" s="188">
        <v>-2115238.33</v>
      </c>
      <c r="V68" s="188">
        <v>-2333896.4</v>
      </c>
      <c r="W68" s="188">
        <v>-1657229.46</v>
      </c>
      <c r="X68" s="188">
        <v>-949306.05</v>
      </c>
      <c r="Y68" s="188">
        <v>-12449623.76</v>
      </c>
      <c r="Z68" s="188">
        <v>-11003938.98</v>
      </c>
      <c r="AA68" s="188">
        <v>-8453406.0800000001</v>
      </c>
      <c r="AB68" s="188">
        <v>-4351702.5</v>
      </c>
      <c r="AC68" s="188">
        <v>4926669.87</v>
      </c>
      <c r="AD68" s="188">
        <v>9294082.3100000005</v>
      </c>
      <c r="AE68" s="188">
        <v>9765859.9199999999</v>
      </c>
      <c r="AF68" s="188">
        <v>3918195.11</v>
      </c>
      <c r="AG68" s="188">
        <v>13571483.199999999</v>
      </c>
      <c r="AH68" s="188">
        <v>9355352.0500000007</v>
      </c>
      <c r="AI68" s="188">
        <v>5379810.1200000001</v>
      </c>
      <c r="AJ68" s="188">
        <v>2289935.94</v>
      </c>
      <c r="AK68" s="188">
        <v>8486811.7599999998</v>
      </c>
      <c r="AL68" s="188">
        <v>9601951.2899999991</v>
      </c>
      <c r="AM68" s="188">
        <v>0</v>
      </c>
      <c r="AN68" s="188">
        <v>26282532</v>
      </c>
      <c r="AO68" s="188">
        <v>191186036</v>
      </c>
      <c r="AP68" s="188">
        <v>50125807</v>
      </c>
      <c r="AQ68" s="188">
        <v>12684533</v>
      </c>
      <c r="AR68" s="188">
        <v>34013184</v>
      </c>
      <c r="AS68" s="188">
        <v>289848468</v>
      </c>
      <c r="AT68" s="188">
        <v>259368386</v>
      </c>
      <c r="AU68" s="188">
        <v>169596463</v>
      </c>
      <c r="AV68" s="188">
        <v>109413896</v>
      </c>
      <c r="AW68" s="188">
        <v>624295282</v>
      </c>
      <c r="AX68" s="188">
        <v>544461462</v>
      </c>
      <c r="AY68" s="188">
        <v>346310987</v>
      </c>
      <c r="AZ68" s="188">
        <v>116102838</v>
      </c>
      <c r="BA68" s="188">
        <v>461771456</v>
      </c>
      <c r="BB68" s="188">
        <v>274233392</v>
      </c>
      <c r="BC68" s="188">
        <v>170724742</v>
      </c>
      <c r="BD68" s="188">
        <v>48799241</v>
      </c>
      <c r="BE68" s="188">
        <v>13898998</v>
      </c>
      <c r="BF68" s="188">
        <v>62914082.600000001</v>
      </c>
      <c r="BG68" s="188">
        <v>36317209.140000001</v>
      </c>
      <c r="BH68" s="188">
        <v>21251538.93</v>
      </c>
      <c r="BI68" s="188">
        <v>262351790</v>
      </c>
      <c r="BJ68" s="188">
        <v>178836456</v>
      </c>
      <c r="BK68" s="188">
        <v>154474800.75</v>
      </c>
      <c r="BL68" s="188">
        <v>151161715.66999999</v>
      </c>
      <c r="BM68" s="188">
        <v>65542308</v>
      </c>
      <c r="BN68" s="188">
        <v>58456682.579999998</v>
      </c>
      <c r="BO68" s="188">
        <v>31838535.34</v>
      </c>
      <c r="BP68" s="188">
        <v>15612268.470000001</v>
      </c>
      <c r="BQ68" s="188">
        <v>20529527</v>
      </c>
      <c r="BR68" s="188">
        <v>8697017.1899999995</v>
      </c>
      <c r="BS68" s="188">
        <v>25949262</v>
      </c>
      <c r="BT68" s="188">
        <v>9987623</v>
      </c>
      <c r="BU68" s="188">
        <v>13298283</v>
      </c>
      <c r="BV68" s="188">
        <v>6336127.2699999996</v>
      </c>
      <c r="BW68" s="188">
        <v>-4184000</v>
      </c>
      <c r="BX68" s="188">
        <v>-3446406.8</v>
      </c>
      <c r="BY68" s="188">
        <v>-9411000</v>
      </c>
      <c r="BZ68" s="188">
        <v>0</v>
      </c>
      <c r="CA68" s="188">
        <v>15326000</v>
      </c>
      <c r="CB68" s="188">
        <v>10981000</v>
      </c>
      <c r="CC68" s="188">
        <v>10702000</v>
      </c>
      <c r="CD68" s="188">
        <v>0</v>
      </c>
      <c r="CE68" s="188">
        <v>0</v>
      </c>
      <c r="CF68" s="188">
        <v>0</v>
      </c>
      <c r="CG68" s="188">
        <v>0</v>
      </c>
      <c r="CH68" s="188">
        <v>0</v>
      </c>
      <c r="CI68" s="188">
        <v>0</v>
      </c>
      <c r="CJ68" s="188">
        <v>0</v>
      </c>
      <c r="CK68" s="188">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8">
        <v>14351938352.549999</v>
      </c>
      <c r="C70" s="188">
        <v>14103594869.24</v>
      </c>
      <c r="D70" s="188">
        <v>13621192552.879999</v>
      </c>
      <c r="E70" s="188">
        <v>5097149218.6999998</v>
      </c>
      <c r="F70" s="188">
        <v>5119387192.1700001</v>
      </c>
      <c r="G70" s="188">
        <v>5022308549.75</v>
      </c>
      <c r="H70" s="188">
        <v>4526638939.6400003</v>
      </c>
      <c r="I70" s="188">
        <v>4399416613.54</v>
      </c>
      <c r="J70" s="188">
        <v>4286165511.6599998</v>
      </c>
      <c r="K70" s="188">
        <v>4270757384.3499999</v>
      </c>
      <c r="L70" s="188">
        <v>4115868642.9299998</v>
      </c>
      <c r="M70" s="188">
        <v>3993312242.1900001</v>
      </c>
      <c r="N70" s="188">
        <v>3859156726.71</v>
      </c>
      <c r="O70" s="188">
        <v>3728473681.6999998</v>
      </c>
      <c r="P70" s="188">
        <v>3691562256.7199998</v>
      </c>
      <c r="Q70" s="188">
        <v>3636192269.79</v>
      </c>
      <c r="R70" s="188">
        <v>3518332392.6500001</v>
      </c>
      <c r="S70" s="188">
        <v>1699682018.71</v>
      </c>
      <c r="T70" s="188">
        <v>1667749453.29</v>
      </c>
      <c r="U70" s="188">
        <v>1646264150.74</v>
      </c>
      <c r="V70" s="188">
        <v>1627272674.0599999</v>
      </c>
      <c r="W70" s="188">
        <v>1609673155.1099999</v>
      </c>
      <c r="X70" s="188">
        <v>1609144288.3199999</v>
      </c>
      <c r="Y70" s="188">
        <v>1589716698.8199999</v>
      </c>
      <c r="Z70" s="188">
        <v>1577089938.22</v>
      </c>
      <c r="AA70" s="188">
        <v>1554308927.1600001</v>
      </c>
      <c r="AB70" s="188">
        <v>1572019673.1300001</v>
      </c>
      <c r="AC70" s="188">
        <v>1543171432.23</v>
      </c>
      <c r="AD70" s="188">
        <v>1524317785.3099999</v>
      </c>
      <c r="AE70" s="188">
        <v>499747618.13</v>
      </c>
      <c r="AF70" s="188">
        <v>450770880.29000002</v>
      </c>
      <c r="AG70" s="188">
        <v>409959037.79000002</v>
      </c>
      <c r="AH70" s="188">
        <v>270673471.32999998</v>
      </c>
      <c r="AI70" s="188">
        <v>198708395.81</v>
      </c>
      <c r="AJ70" s="188">
        <v>0</v>
      </c>
      <c r="AK70" s="188"/>
      <c r="AL70" s="188"/>
      <c r="AM70" s="188"/>
      <c r="AN70" s="188">
        <v>6251855568</v>
      </c>
      <c r="AO70" s="188">
        <v>6718801623</v>
      </c>
      <c r="AP70" s="188">
        <v>7803008510</v>
      </c>
      <c r="AQ70" s="188">
        <v>6123342937</v>
      </c>
      <c r="AR70" s="188">
        <v>5871972171</v>
      </c>
      <c r="AS70" s="188">
        <v>5521339174</v>
      </c>
      <c r="AT70" s="188">
        <v>4815248345</v>
      </c>
      <c r="AU70" s="188">
        <v>4286708476</v>
      </c>
      <c r="AV70" s="188">
        <v>4149673945</v>
      </c>
      <c r="AW70" s="188">
        <v>4297451541</v>
      </c>
      <c r="AX70" s="188">
        <v>4233717635</v>
      </c>
      <c r="AY70" s="188">
        <v>1834761744</v>
      </c>
      <c r="AZ70" s="188">
        <v>3068898270</v>
      </c>
      <c r="BA70" s="188">
        <v>3611521594</v>
      </c>
      <c r="BB70" s="188">
        <v>4138880834</v>
      </c>
      <c r="BC70" s="188">
        <v>4528295925</v>
      </c>
      <c r="BD70" s="188">
        <v>5088280391</v>
      </c>
      <c r="BE70" s="188">
        <v>5481194703</v>
      </c>
      <c r="BF70" s="188">
        <v>5775750031.3199997</v>
      </c>
      <c r="BG70" s="188">
        <v>5748834264.4499998</v>
      </c>
      <c r="BH70" s="188">
        <v>5538049404.8299999</v>
      </c>
      <c r="BI70" s="188">
        <v>3080180848</v>
      </c>
      <c r="BJ70" s="188">
        <v>2992428916.1300001</v>
      </c>
      <c r="BK70" s="188">
        <v>2821404851.2199998</v>
      </c>
      <c r="BL70" s="188">
        <v>2578590694.2199998</v>
      </c>
      <c r="BM70" s="188">
        <v>2640890514</v>
      </c>
      <c r="BN70" s="188">
        <v>2627029033.3499999</v>
      </c>
      <c r="BO70" s="188">
        <v>2546625195.1500001</v>
      </c>
      <c r="BP70" s="188">
        <v>2469173821.48</v>
      </c>
      <c r="BQ70" s="188">
        <v>2335783347</v>
      </c>
      <c r="BR70" s="188">
        <v>2400207583.4699998</v>
      </c>
      <c r="BS70" s="188">
        <v>2227180861</v>
      </c>
      <c r="BT70" s="188">
        <v>1333758140</v>
      </c>
      <c r="BU70" s="188">
        <v>1254162142</v>
      </c>
      <c r="BV70" s="188">
        <v>1135754992.1800001</v>
      </c>
      <c r="BW70" s="188">
        <v>1092432000</v>
      </c>
      <c r="BX70" s="188">
        <v>990567298.47000003</v>
      </c>
      <c r="BY70" s="188">
        <v>958009000</v>
      </c>
      <c r="BZ70" s="188">
        <v>993949000</v>
      </c>
      <c r="CA70" s="188">
        <v>574953000</v>
      </c>
      <c r="CB70" s="188">
        <v>466652000</v>
      </c>
      <c r="CC70" s="188">
        <v>424120000</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zoomScale="97" zoomScaleNormal="97" workbookViewId="0">
      <selection activeCell="A47" sqref="A47:XFD47"/>
    </sheetView>
  </sheetViews>
  <sheetFormatPr defaultRowHeight="13.5"/>
  <cols>
    <col min="1" max="1" width="74.625" style="17" bestFit="1" customWidth="1"/>
    <col min="2" max="2" width="22" hidden="1" customWidth="1"/>
    <col min="3" max="4" width="20.5" hidden="1" customWidth="1"/>
    <col min="5" max="5" width="22" bestFit="1" customWidth="1"/>
    <col min="6" max="8" width="19.375" hidden="1" customWidth="1"/>
    <col min="9" max="9" width="22" bestFit="1" customWidth="1"/>
    <col min="10" max="12" width="19.375" hidden="1" customWidth="1"/>
    <col min="13" max="13" width="20.5" bestFit="1" customWidth="1"/>
    <col min="14" max="16" width="19.375" hidden="1" customWidth="1"/>
    <col min="17" max="17" width="20.5" bestFit="1" customWidth="1"/>
    <col min="18" max="20" width="19.375" hidden="1" customWidth="1"/>
    <col min="21" max="21" width="20.5" bestFit="1" customWidth="1"/>
    <col min="22" max="24" width="17.25" hidden="1" customWidth="1"/>
    <col min="25" max="25" width="19.375" bestFit="1" customWidth="1"/>
    <col min="26" max="28" width="17.25" hidden="1" customWidth="1"/>
    <col min="29" max="29" width="20.5" bestFit="1" customWidth="1"/>
    <col min="30" max="30" width="18.375" hidden="1" customWidth="1"/>
    <col min="31" max="32" width="17.25" hidden="1" customWidth="1"/>
    <col min="33" max="33" width="18.375" bestFit="1" customWidth="1"/>
    <col min="34" max="35" width="17.25" hidden="1" customWidth="1"/>
    <col min="36" max="36" width="19.375" hidden="1" customWidth="1"/>
    <col min="37" max="38" width="19.375" bestFit="1" customWidth="1"/>
    <col min="39" max="40" width="19.375" hidden="1" customWidth="1"/>
    <col min="41" max="41" width="19.375" bestFit="1" customWidth="1"/>
    <col min="42" max="44" width="20.5" hidden="1" customWidth="1"/>
    <col min="45" max="45" width="20.5" bestFit="1" customWidth="1"/>
    <col min="46" max="48" width="20.5" hidden="1" customWidth="1"/>
    <col min="49" max="49" width="20.5" bestFit="1" customWidth="1"/>
    <col min="50" max="52" width="20.5" hidden="1" customWidth="1"/>
    <col min="53" max="53" width="20.5" bestFit="1" customWidth="1"/>
    <col min="54" max="56" width="20.5" hidden="1" customWidth="1"/>
    <col min="57" max="57" width="20.5" bestFit="1" customWidth="1"/>
    <col min="58" max="59" width="19.375" hidden="1" customWidth="1"/>
    <col min="60" max="60" width="20.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7.25" bestFit="1" customWidth="1"/>
    <col min="73" max="74" width="11.625" hidden="1" customWidth="1"/>
  </cols>
  <sheetData>
    <row r="1" spans="1:74" s="6" customFormat="1" ht="14.45">
      <c r="A1" s="103">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c r="A2" s="46" t="s">
        <v>292</v>
      </c>
    </row>
    <row r="3" spans="1:74" s="191" customFormat="1">
      <c r="A3" s="191" t="s">
        <v>320</v>
      </c>
      <c r="B3" s="191">
        <v>43752328.100000001</v>
      </c>
      <c r="C3" s="191">
        <v>41096828.100000001</v>
      </c>
      <c r="D3" s="191">
        <v>360</v>
      </c>
      <c r="E3" s="191">
        <v>3658534.15</v>
      </c>
      <c r="F3" s="191">
        <v>677177</v>
      </c>
      <c r="G3" s="191">
        <v>290177</v>
      </c>
      <c r="H3" s="191">
        <v>172145</v>
      </c>
      <c r="I3" s="191">
        <v>2715104.88</v>
      </c>
      <c r="J3" s="191">
        <v>1921150</v>
      </c>
      <c r="K3" s="191">
        <v>1681150</v>
      </c>
      <c r="L3" s="191">
        <v>0</v>
      </c>
      <c r="M3" s="191">
        <v>1200794.26</v>
      </c>
      <c r="N3" s="191">
        <v>336600</v>
      </c>
      <c r="O3" s="191">
        <v>96000</v>
      </c>
      <c r="P3" s="191">
        <v>0</v>
      </c>
      <c r="Q3" s="191">
        <v>1815072.17</v>
      </c>
      <c r="R3" s="191">
        <v>484000</v>
      </c>
      <c r="S3" s="191">
        <v>344000</v>
      </c>
      <c r="T3" s="191">
        <v>8000</v>
      </c>
      <c r="U3" s="191">
        <v>703505.3</v>
      </c>
      <c r="V3" s="191">
        <v>300000</v>
      </c>
      <c r="W3" s="191">
        <v>0</v>
      </c>
      <c r="X3" s="191">
        <v>0</v>
      </c>
      <c r="Y3" s="191">
        <v>459400.25</v>
      </c>
      <c r="Z3" s="191">
        <v>680000</v>
      </c>
      <c r="AA3" s="191">
        <v>520000</v>
      </c>
      <c r="AB3" s="191">
        <v>320000</v>
      </c>
      <c r="AC3" s="191">
        <v>1784228.61</v>
      </c>
      <c r="AD3" s="191">
        <v>511000</v>
      </c>
      <c r="AE3" s="191">
        <v>150000</v>
      </c>
      <c r="AF3" s="191">
        <v>0</v>
      </c>
      <c r="AG3" s="191">
        <v>78496.66</v>
      </c>
      <c r="AH3" s="191">
        <v>61810.22</v>
      </c>
      <c r="AI3" s="191">
        <v>60200</v>
      </c>
      <c r="AJ3" s="191">
        <v>52000</v>
      </c>
      <c r="AK3" s="191">
        <v>2987135.59</v>
      </c>
      <c r="AL3" s="191">
        <v>337846.15</v>
      </c>
      <c r="AM3" s="191">
        <v>0</v>
      </c>
      <c r="AN3" s="191">
        <v>0</v>
      </c>
      <c r="AO3" s="191">
        <v>63499757</v>
      </c>
      <c r="AP3" s="191">
        <v>251516</v>
      </c>
      <c r="AQ3" s="191">
        <v>215640</v>
      </c>
      <c r="AR3" s="191">
        <v>1587188</v>
      </c>
      <c r="AS3" s="191">
        <v>64459631</v>
      </c>
      <c r="AT3" s="191">
        <v>158490</v>
      </c>
      <c r="AU3" s="191">
        <v>146700</v>
      </c>
      <c r="AV3" s="191">
        <v>56700</v>
      </c>
      <c r="AW3" s="191">
        <v>77611876</v>
      </c>
      <c r="AX3" s="191">
        <v>1979824</v>
      </c>
      <c r="AY3" s="191">
        <v>1919424</v>
      </c>
      <c r="AZ3" s="191">
        <v>1525643</v>
      </c>
      <c r="BA3" s="191">
        <v>37489569</v>
      </c>
      <c r="BB3" s="191">
        <v>11612137.300000001</v>
      </c>
      <c r="BC3" s="191">
        <v>242746</v>
      </c>
      <c r="BD3" s="191">
        <v>28600</v>
      </c>
      <c r="BE3" s="191">
        <v>107278722</v>
      </c>
      <c r="BF3" s="191">
        <v>53191457.869999997</v>
      </c>
      <c r="BG3" s="191">
        <v>2520544.85</v>
      </c>
      <c r="BH3" s="191">
        <v>63000</v>
      </c>
      <c r="BI3" s="191">
        <v>15716195</v>
      </c>
      <c r="BJ3" s="191">
        <v>120600</v>
      </c>
      <c r="BK3" s="191">
        <v>119600</v>
      </c>
      <c r="BL3" s="191">
        <v>106100</v>
      </c>
      <c r="BM3" s="191">
        <v>179186</v>
      </c>
      <c r="BN3" s="191">
        <v>9738.48</v>
      </c>
      <c r="BO3" s="191">
        <v>776221</v>
      </c>
      <c r="BP3" s="191">
        <v>6000</v>
      </c>
      <c r="BQ3" s="191">
        <v>1327733</v>
      </c>
      <c r="BR3" s="191">
        <v>181184</v>
      </c>
      <c r="BS3" s="191">
        <v>562141</v>
      </c>
      <c r="BT3" s="191">
        <v>686000</v>
      </c>
      <c r="BU3" s="191">
        <v>0</v>
      </c>
      <c r="BV3" s="191">
        <v>0</v>
      </c>
    </row>
    <row r="4" spans="1:74" s="191" customFormat="1">
      <c r="A4" s="191" t="s">
        <v>304</v>
      </c>
      <c r="B4" s="191">
        <v>140195950.81</v>
      </c>
      <c r="C4" s="191">
        <v>125196774.09</v>
      </c>
      <c r="D4" s="191">
        <v>24940145.210000001</v>
      </c>
      <c r="E4" s="191">
        <v>262558350.91999999</v>
      </c>
      <c r="F4" s="191">
        <v>98222648.069999993</v>
      </c>
      <c r="G4" s="191">
        <v>64918491</v>
      </c>
      <c r="H4" s="191">
        <v>39548944.079999998</v>
      </c>
      <c r="I4" s="191">
        <v>231870614.77000001</v>
      </c>
      <c r="J4" s="191">
        <v>92289654.859999999</v>
      </c>
      <c r="K4" s="191">
        <v>79442330.450000003</v>
      </c>
      <c r="L4" s="191">
        <v>42119968.310000002</v>
      </c>
      <c r="M4" s="191">
        <v>169415930.56999999</v>
      </c>
      <c r="N4" s="191">
        <v>102917038.06999999</v>
      </c>
      <c r="O4" s="191">
        <v>63861299.420000002</v>
      </c>
      <c r="P4" s="191">
        <v>29869390.699999999</v>
      </c>
      <c r="Q4" s="191">
        <v>278115964.25</v>
      </c>
      <c r="R4" s="191">
        <v>140502812.97</v>
      </c>
      <c r="S4" s="191">
        <v>76734994.530000001</v>
      </c>
      <c r="T4" s="191">
        <v>20595765.609999999</v>
      </c>
      <c r="U4" s="191">
        <v>331977046.80000001</v>
      </c>
      <c r="V4" s="191">
        <v>138038156.25999999</v>
      </c>
      <c r="W4" s="191">
        <v>122128747.88</v>
      </c>
      <c r="X4" s="191">
        <v>71239036.120000005</v>
      </c>
      <c r="Y4" s="191">
        <v>213661934.09999999</v>
      </c>
      <c r="Z4" s="191">
        <v>127280583.27</v>
      </c>
      <c r="AA4" s="191">
        <v>108989993.73</v>
      </c>
      <c r="AB4" s="191">
        <v>63699454.5</v>
      </c>
      <c r="AC4" s="191">
        <v>249564414.59999999</v>
      </c>
      <c r="AD4" s="191">
        <v>181446610.74000001</v>
      </c>
      <c r="AE4" s="191">
        <v>126612680.27</v>
      </c>
      <c r="AF4" s="191">
        <v>48927759.670000002</v>
      </c>
      <c r="AG4" s="191">
        <v>157956456.97999999</v>
      </c>
      <c r="AH4" s="191">
        <v>104429322.40000001</v>
      </c>
      <c r="AI4" s="191">
        <v>69437657.079999998</v>
      </c>
      <c r="AJ4" s="191">
        <v>36918679.200000003</v>
      </c>
      <c r="AK4" s="191">
        <v>126770255.91</v>
      </c>
      <c r="AL4" s="191">
        <v>68946441.269999996</v>
      </c>
      <c r="AM4" s="191">
        <v>0</v>
      </c>
      <c r="AN4" s="191">
        <v>705476913</v>
      </c>
      <c r="AO4" s="191">
        <v>1085482340</v>
      </c>
      <c r="AP4" s="191">
        <v>812085642</v>
      </c>
      <c r="AQ4" s="191">
        <v>589489494</v>
      </c>
      <c r="AR4" s="191">
        <v>151794361</v>
      </c>
      <c r="AS4" s="191">
        <v>374009390</v>
      </c>
      <c r="AT4" s="191">
        <v>236743253</v>
      </c>
      <c r="AU4" s="191">
        <v>177682907</v>
      </c>
      <c r="AV4" s="191">
        <v>116124417</v>
      </c>
      <c r="AW4" s="191">
        <v>755763279</v>
      </c>
      <c r="AX4" s="191">
        <v>599147631</v>
      </c>
      <c r="AY4" s="191">
        <v>403945394</v>
      </c>
      <c r="AZ4" s="191">
        <v>312710474</v>
      </c>
      <c r="BA4" s="191">
        <v>3976390036</v>
      </c>
      <c r="BB4" s="191">
        <v>3714546927.1300001</v>
      </c>
      <c r="BC4" s="191">
        <v>3458678802</v>
      </c>
      <c r="BD4" s="191">
        <v>1210515309</v>
      </c>
      <c r="BE4" s="191">
        <v>5630154227</v>
      </c>
      <c r="BF4" s="191">
        <v>2666981814.77</v>
      </c>
      <c r="BG4" s="191">
        <v>838758270.36000001</v>
      </c>
      <c r="BH4" s="191">
        <v>201231333.41</v>
      </c>
      <c r="BI4" s="191">
        <v>660211384</v>
      </c>
      <c r="BJ4" s="191">
        <v>3263633275.7800002</v>
      </c>
      <c r="BK4" s="191">
        <v>3237270003.2399998</v>
      </c>
      <c r="BL4" s="191">
        <v>2764321273.96</v>
      </c>
      <c r="BM4" s="191">
        <v>290050265</v>
      </c>
      <c r="BN4" s="191">
        <v>371217117.67000002</v>
      </c>
      <c r="BO4" s="191">
        <v>321023405</v>
      </c>
      <c r="BP4" s="191">
        <v>75423887.909999996</v>
      </c>
      <c r="BQ4" s="191">
        <v>228808868</v>
      </c>
      <c r="BR4" s="191">
        <v>98603236</v>
      </c>
      <c r="BS4" s="191">
        <v>134315797</v>
      </c>
      <c r="BT4" s="191">
        <v>76584000</v>
      </c>
      <c r="BU4" s="191">
        <v>0</v>
      </c>
      <c r="BV4" s="191">
        <v>0</v>
      </c>
    </row>
    <row r="5" spans="1:74" s="47" customFormat="1">
      <c r="A5" s="47" t="s">
        <v>295</v>
      </c>
      <c r="E5" s="47">
        <f>E4-E3</f>
        <v>258899816.76999998</v>
      </c>
      <c r="F5" s="47">
        <f t="shared" ref="F5:AR5" si="0">F4-F3</f>
        <v>97545471.069999993</v>
      </c>
      <c r="G5" s="47">
        <f t="shared" si="0"/>
        <v>64628314</v>
      </c>
      <c r="H5" s="47">
        <f t="shared" si="0"/>
        <v>39376799.079999998</v>
      </c>
      <c r="I5" s="47">
        <f t="shared" si="0"/>
        <v>229155509.89000002</v>
      </c>
      <c r="J5" s="47">
        <f t="shared" si="0"/>
        <v>90368504.859999999</v>
      </c>
      <c r="K5" s="47">
        <f t="shared" si="0"/>
        <v>77761180.450000003</v>
      </c>
      <c r="L5" s="47">
        <f t="shared" si="0"/>
        <v>42119968.310000002</v>
      </c>
      <c r="M5" s="47">
        <f t="shared" si="0"/>
        <v>168215136.31</v>
      </c>
      <c r="N5" s="47">
        <f t="shared" si="0"/>
        <v>102580438.06999999</v>
      </c>
      <c r="O5" s="47">
        <f t="shared" si="0"/>
        <v>63765299.420000002</v>
      </c>
      <c r="P5" s="47">
        <f t="shared" si="0"/>
        <v>29869390.699999999</v>
      </c>
      <c r="Q5" s="47">
        <f t="shared" si="0"/>
        <v>276300892.07999998</v>
      </c>
      <c r="R5" s="47">
        <f t="shared" si="0"/>
        <v>140018812.97</v>
      </c>
      <c r="S5" s="47">
        <f t="shared" si="0"/>
        <v>76390994.530000001</v>
      </c>
      <c r="T5" s="47">
        <f t="shared" si="0"/>
        <v>20587765.609999999</v>
      </c>
      <c r="U5" s="47">
        <f t="shared" si="0"/>
        <v>331273541.5</v>
      </c>
      <c r="V5" s="47">
        <f t="shared" si="0"/>
        <v>137738156.25999999</v>
      </c>
      <c r="W5" s="47">
        <f t="shared" si="0"/>
        <v>122128747.88</v>
      </c>
      <c r="X5" s="47">
        <f t="shared" si="0"/>
        <v>71239036.120000005</v>
      </c>
      <c r="Y5" s="47">
        <f t="shared" si="0"/>
        <v>213202533.84999999</v>
      </c>
      <c r="Z5" s="47">
        <f t="shared" si="0"/>
        <v>126600583.27</v>
      </c>
      <c r="AA5" s="47">
        <f t="shared" si="0"/>
        <v>108469993.73</v>
      </c>
      <c r="AB5" s="47">
        <f t="shared" si="0"/>
        <v>63379454.5</v>
      </c>
      <c r="AC5" s="47">
        <f t="shared" si="0"/>
        <v>247780185.98999998</v>
      </c>
      <c r="AD5" s="47">
        <f t="shared" si="0"/>
        <v>180935610.74000001</v>
      </c>
      <c r="AE5" s="47">
        <f t="shared" si="0"/>
        <v>126462680.27</v>
      </c>
      <c r="AF5" s="47">
        <f t="shared" si="0"/>
        <v>48927759.670000002</v>
      </c>
      <c r="AG5" s="47">
        <f t="shared" si="0"/>
        <v>157877960.31999999</v>
      </c>
      <c r="AH5" s="47">
        <f t="shared" si="0"/>
        <v>104367512.18000001</v>
      </c>
      <c r="AI5" s="47">
        <f t="shared" si="0"/>
        <v>69377457.079999998</v>
      </c>
      <c r="AJ5" s="47">
        <f t="shared" si="0"/>
        <v>36866679.200000003</v>
      </c>
      <c r="AK5" s="47">
        <f t="shared" si="0"/>
        <v>123783120.31999999</v>
      </c>
      <c r="AL5" s="47">
        <f t="shared" si="0"/>
        <v>68608595.11999999</v>
      </c>
      <c r="AM5" s="47">
        <f t="shared" si="0"/>
        <v>0</v>
      </c>
      <c r="AN5" s="47">
        <f t="shared" si="0"/>
        <v>705476913</v>
      </c>
      <c r="AO5" s="47">
        <f t="shared" si="0"/>
        <v>1021982583</v>
      </c>
      <c r="AP5" s="47">
        <f t="shared" si="0"/>
        <v>811834126</v>
      </c>
      <c r="AQ5" s="47">
        <f t="shared" si="0"/>
        <v>589273854</v>
      </c>
      <c r="AR5" s="47">
        <f t="shared" si="0"/>
        <v>150207173</v>
      </c>
    </row>
    <row r="6" spans="1:74" s="104" customFormat="1">
      <c r="A6" s="104" t="s">
        <v>305</v>
      </c>
      <c r="B6" s="191">
        <v>0</v>
      </c>
      <c r="C6" s="191">
        <v>58197216.590000004</v>
      </c>
      <c r="D6" s="191">
        <v>0</v>
      </c>
      <c r="E6" s="191">
        <v>109994965.51000001</v>
      </c>
      <c r="F6" s="191">
        <v>0</v>
      </c>
      <c r="G6" s="191">
        <v>53432441.380000003</v>
      </c>
      <c r="H6" s="191">
        <v>0</v>
      </c>
      <c r="I6" s="191">
        <v>106645983.19</v>
      </c>
      <c r="J6" s="191">
        <v>0</v>
      </c>
      <c r="K6" s="191">
        <v>47412321.909999996</v>
      </c>
      <c r="L6" s="191">
        <v>0</v>
      </c>
      <c r="M6" s="191">
        <v>92721882.939999998</v>
      </c>
      <c r="N6" s="191">
        <v>0</v>
      </c>
      <c r="O6" s="191">
        <v>42575856.520000003</v>
      </c>
      <c r="P6" s="191">
        <v>0</v>
      </c>
      <c r="Q6" s="191">
        <v>74715090.269999996</v>
      </c>
      <c r="R6" s="191">
        <v>0</v>
      </c>
      <c r="S6" s="191">
        <v>32189892.350000001</v>
      </c>
      <c r="T6" s="191">
        <v>0</v>
      </c>
      <c r="U6" s="191">
        <v>51456315.950000003</v>
      </c>
      <c r="V6" s="191">
        <v>0</v>
      </c>
      <c r="W6" s="191">
        <v>24367426.66</v>
      </c>
      <c r="X6" s="191">
        <v>0</v>
      </c>
      <c r="Y6" s="191">
        <v>37135784.759999998</v>
      </c>
      <c r="Z6" s="191">
        <v>0</v>
      </c>
      <c r="AA6" s="191">
        <v>17205304.879999999</v>
      </c>
      <c r="AB6" s="191">
        <v>0</v>
      </c>
      <c r="AC6" s="191">
        <v>25284395.940000001</v>
      </c>
      <c r="AD6" s="191">
        <v>0</v>
      </c>
      <c r="AE6" s="191">
        <v>11748483.060000001</v>
      </c>
      <c r="AF6" s="191">
        <v>0</v>
      </c>
      <c r="AG6" s="191">
        <v>18779188.219999999</v>
      </c>
      <c r="AH6" s="191">
        <v>0</v>
      </c>
      <c r="AI6" s="191">
        <v>9080858.7699999996</v>
      </c>
      <c r="AJ6" s="191">
        <v>0</v>
      </c>
      <c r="AK6" s="191">
        <v>12795527.029999999</v>
      </c>
      <c r="AL6" s="191">
        <v>8872828.1500000004</v>
      </c>
      <c r="AM6" s="191">
        <v>0</v>
      </c>
      <c r="AN6" s="191">
        <v>0</v>
      </c>
      <c r="AO6" s="191">
        <v>1096143768</v>
      </c>
      <c r="AP6" s="191">
        <v>0</v>
      </c>
      <c r="AQ6" s="191">
        <v>536471809</v>
      </c>
      <c r="AR6" s="191">
        <v>0</v>
      </c>
      <c r="AS6" s="191">
        <v>1093023844</v>
      </c>
      <c r="AT6" s="191">
        <v>0</v>
      </c>
      <c r="AU6" s="191">
        <v>540837241</v>
      </c>
      <c r="AV6" s="191">
        <v>0</v>
      </c>
      <c r="AW6" s="191">
        <v>1565741427</v>
      </c>
      <c r="AX6" s="191">
        <v>1293820003</v>
      </c>
      <c r="AY6" s="191">
        <v>916200274</v>
      </c>
      <c r="AZ6" s="191">
        <v>504119199</v>
      </c>
      <c r="BA6" s="191">
        <v>1221156417</v>
      </c>
      <c r="BB6" s="191">
        <v>764430938.20000005</v>
      </c>
      <c r="BC6" s="191">
        <v>414714313</v>
      </c>
      <c r="BD6" s="191">
        <v>211183270</v>
      </c>
      <c r="BE6" s="191">
        <v>711936782</v>
      </c>
      <c r="BF6" s="191">
        <v>514992427.41000003</v>
      </c>
      <c r="BG6" s="191">
        <v>333154416.35000002</v>
      </c>
      <c r="BH6" s="191">
        <v>151576011.08000001</v>
      </c>
      <c r="BI6" s="191">
        <v>614559213</v>
      </c>
      <c r="BJ6" s="191">
        <v>414915940.26999998</v>
      </c>
      <c r="BK6" s="191">
        <v>277321185.56999999</v>
      </c>
      <c r="BL6" s="191">
        <v>112488230.64</v>
      </c>
      <c r="BM6" s="191">
        <v>134939692</v>
      </c>
      <c r="BN6" s="191">
        <v>66050526.939999998</v>
      </c>
      <c r="BO6" s="191">
        <v>60604503</v>
      </c>
      <c r="BP6" s="191">
        <v>30569773.710000001</v>
      </c>
      <c r="BQ6" s="191">
        <v>43994685</v>
      </c>
      <c r="BR6" s="191">
        <v>18120442</v>
      </c>
      <c r="BS6" s="191">
        <v>28873751</v>
      </c>
      <c r="BT6" s="191">
        <v>15701000</v>
      </c>
      <c r="BU6" s="191">
        <v>0</v>
      </c>
      <c r="BV6" s="191">
        <v>0</v>
      </c>
    </row>
    <row r="7" spans="1:74" s="191" customFormat="1">
      <c r="A7" s="191" t="s">
        <v>306</v>
      </c>
      <c r="B7" s="191">
        <v>0</v>
      </c>
      <c r="C7" s="191">
        <v>14628792.720000001</v>
      </c>
      <c r="D7" s="191">
        <v>0</v>
      </c>
      <c r="E7" s="191">
        <v>18649474.84</v>
      </c>
      <c r="F7" s="191">
        <v>0</v>
      </c>
      <c r="G7" s="191">
        <v>10669528.640000001</v>
      </c>
      <c r="H7" s="191">
        <v>0</v>
      </c>
      <c r="I7" s="191">
        <v>21509722.449999999</v>
      </c>
      <c r="J7" s="191">
        <v>0</v>
      </c>
      <c r="K7" s="191">
        <v>10796240.109999999</v>
      </c>
      <c r="L7" s="191">
        <v>0</v>
      </c>
      <c r="M7" s="191">
        <v>21742638.440000001</v>
      </c>
      <c r="N7" s="191">
        <v>0</v>
      </c>
      <c r="O7" s="191">
        <v>10980237.82</v>
      </c>
      <c r="P7" s="191">
        <v>0</v>
      </c>
      <c r="Q7" s="191">
        <v>8689122.6899999995</v>
      </c>
      <c r="R7" s="191">
        <v>0</v>
      </c>
      <c r="S7" s="191">
        <v>1158504.94</v>
      </c>
      <c r="T7" s="191">
        <v>0</v>
      </c>
      <c r="U7" s="191">
        <v>2184092.7200000002</v>
      </c>
      <c r="V7" s="191">
        <v>0</v>
      </c>
      <c r="W7" s="191">
        <v>684524.39</v>
      </c>
      <c r="X7" s="191">
        <v>0</v>
      </c>
      <c r="Y7" s="191">
        <v>1191341.78</v>
      </c>
      <c r="Z7" s="191">
        <v>0</v>
      </c>
      <c r="AA7" s="191">
        <v>574026.6</v>
      </c>
      <c r="AB7" s="191">
        <v>0</v>
      </c>
      <c r="AC7" s="191">
        <v>946152.45</v>
      </c>
      <c r="AD7" s="191">
        <v>0</v>
      </c>
      <c r="AE7" s="191">
        <v>418101.76000000001</v>
      </c>
      <c r="AF7" s="191">
        <v>0</v>
      </c>
      <c r="AG7" s="191">
        <v>617575.89</v>
      </c>
      <c r="AH7" s="191">
        <v>0</v>
      </c>
      <c r="AI7" s="191">
        <v>292441.8</v>
      </c>
      <c r="AJ7" s="191">
        <v>0</v>
      </c>
      <c r="AK7" s="191">
        <v>581168.32999999996</v>
      </c>
      <c r="AL7" s="191">
        <v>567610.62</v>
      </c>
      <c r="AM7" s="191">
        <v>0</v>
      </c>
      <c r="AN7" s="191">
        <v>0</v>
      </c>
      <c r="AO7" s="191">
        <v>52222791</v>
      </c>
      <c r="AP7" s="191">
        <v>0</v>
      </c>
      <c r="AQ7" s="191">
        <v>25966451</v>
      </c>
      <c r="AR7" s="191">
        <v>0</v>
      </c>
      <c r="AS7" s="191">
        <v>51729826</v>
      </c>
      <c r="AT7" s="191">
        <v>0</v>
      </c>
      <c r="AU7" s="191">
        <v>25873685</v>
      </c>
      <c r="AV7" s="191">
        <v>0</v>
      </c>
      <c r="AW7" s="191">
        <v>55393375</v>
      </c>
      <c r="AX7" s="191">
        <v>31235927</v>
      </c>
      <c r="AY7" s="191">
        <v>20823951</v>
      </c>
      <c r="AZ7" s="191">
        <v>8368458</v>
      </c>
      <c r="BA7" s="191">
        <v>31044970</v>
      </c>
      <c r="BB7" s="191">
        <v>14488382.41</v>
      </c>
      <c r="BC7" s="191">
        <v>11480708</v>
      </c>
      <c r="BD7" s="191">
        <v>4420852</v>
      </c>
      <c r="BE7" s="191">
        <v>27596735</v>
      </c>
      <c r="BF7" s="191">
        <v>12821123.470000001</v>
      </c>
      <c r="BG7" s="191">
        <v>10207676.84</v>
      </c>
      <c r="BH7" s="191">
        <v>6777796.5899999999</v>
      </c>
      <c r="BI7" s="191">
        <v>20582387</v>
      </c>
      <c r="BJ7" s="191">
        <v>31992943.809999999</v>
      </c>
      <c r="BK7" s="191">
        <v>31914188.210000001</v>
      </c>
      <c r="BL7" s="191">
        <v>6374301.4199999999</v>
      </c>
      <c r="BM7" s="191">
        <v>13330391</v>
      </c>
      <c r="BN7" s="191">
        <v>6905802.79</v>
      </c>
      <c r="BO7" s="191">
        <v>4233921</v>
      </c>
      <c r="BP7" s="191">
        <v>1400782.34</v>
      </c>
      <c r="BQ7" s="191">
        <v>6695789</v>
      </c>
      <c r="BR7" s="191">
        <v>3643372</v>
      </c>
      <c r="BS7" s="191">
        <v>3672493</v>
      </c>
      <c r="BT7" s="191">
        <v>-120000</v>
      </c>
      <c r="BU7" s="191">
        <v>0</v>
      </c>
      <c r="BV7" s="191">
        <v>0</v>
      </c>
    </row>
    <row r="8" spans="1:74" s="191" customFormat="1">
      <c r="A8" s="191" t="s">
        <v>307</v>
      </c>
      <c r="B8" s="191">
        <v>0</v>
      </c>
      <c r="C8" s="191">
        <v>27528699.239999998</v>
      </c>
      <c r="D8" s="191">
        <v>0</v>
      </c>
      <c r="E8" s="191">
        <v>51974577.509999998</v>
      </c>
      <c r="F8" s="191">
        <v>0</v>
      </c>
      <c r="G8" s="191">
        <v>18026429.719999999</v>
      </c>
      <c r="H8" s="191">
        <v>0</v>
      </c>
      <c r="I8" s="191">
        <v>37748685.200000003</v>
      </c>
      <c r="J8" s="191">
        <v>0</v>
      </c>
      <c r="K8" s="191">
        <v>17558513.129999999</v>
      </c>
      <c r="L8" s="191">
        <v>0</v>
      </c>
      <c r="M8" s="191">
        <v>33007110.949999999</v>
      </c>
      <c r="N8" s="191">
        <v>0</v>
      </c>
      <c r="O8" s="191">
        <v>15865106.83</v>
      </c>
      <c r="P8" s="191">
        <v>0</v>
      </c>
      <c r="Q8" s="191">
        <v>24732441.32</v>
      </c>
      <c r="R8" s="191">
        <v>0</v>
      </c>
      <c r="S8" s="191">
        <v>13369529.140000001</v>
      </c>
      <c r="T8" s="191">
        <v>0</v>
      </c>
      <c r="U8" s="191">
        <v>14335013.439999999</v>
      </c>
      <c r="V8" s="191">
        <v>0</v>
      </c>
      <c r="W8" s="191">
        <v>4831684.04</v>
      </c>
      <c r="X8" s="191">
        <v>0</v>
      </c>
      <c r="Y8" s="191">
        <v>2831387.09</v>
      </c>
      <c r="Z8" s="191">
        <v>0</v>
      </c>
      <c r="AA8" s="191">
        <v>1146135.42</v>
      </c>
      <c r="AB8" s="191">
        <v>0</v>
      </c>
      <c r="AC8" s="191">
        <v>512885.5</v>
      </c>
      <c r="AD8" s="191">
        <v>0</v>
      </c>
      <c r="AE8" s="191">
        <v>147535.45000000001</v>
      </c>
      <c r="AF8" s="191">
        <v>0</v>
      </c>
      <c r="AG8" s="191">
        <v>159141.51999999999</v>
      </c>
      <c r="AH8" s="191">
        <v>0</v>
      </c>
      <c r="AI8" s="191">
        <v>73236.899999999994</v>
      </c>
      <c r="AJ8" s="191">
        <v>0</v>
      </c>
      <c r="AK8" s="191">
        <v>133744.28</v>
      </c>
      <c r="AL8" s="191">
        <v>0</v>
      </c>
      <c r="AM8" s="191">
        <v>0</v>
      </c>
      <c r="AN8" s="191">
        <v>0</v>
      </c>
      <c r="AO8" s="191">
        <v>4436020</v>
      </c>
      <c r="AP8" s="191">
        <v>0</v>
      </c>
      <c r="AQ8" s="191">
        <v>2750760</v>
      </c>
      <c r="AR8" s="191">
        <v>0</v>
      </c>
      <c r="AS8" s="191">
        <v>3986830</v>
      </c>
      <c r="AT8" s="191">
        <v>0</v>
      </c>
      <c r="AU8" s="191">
        <v>1720893</v>
      </c>
      <c r="AV8" s="191">
        <v>0</v>
      </c>
      <c r="AW8" s="191">
        <v>13520850</v>
      </c>
      <c r="AX8" s="191">
        <v>9857576</v>
      </c>
      <c r="AY8" s="191">
        <v>2428690</v>
      </c>
      <c r="AZ8" s="191">
        <v>2051992</v>
      </c>
      <c r="BA8" s="191">
        <v>5393661</v>
      </c>
      <c r="BB8" s="191">
        <v>5287891.9400000004</v>
      </c>
      <c r="BC8" s="191">
        <v>3449955</v>
      </c>
      <c r="BD8" s="191">
        <v>290957</v>
      </c>
      <c r="BE8" s="191">
        <v>635148</v>
      </c>
      <c r="BF8" s="191">
        <v>514457.12</v>
      </c>
      <c r="BG8" s="191">
        <v>306814.5</v>
      </c>
      <c r="BH8" s="191">
        <v>1610901.75</v>
      </c>
      <c r="BI8" s="191">
        <v>771503</v>
      </c>
      <c r="BJ8" s="191">
        <v>6229760.2000000002</v>
      </c>
      <c r="BK8" s="191">
        <v>5639760.2000000002</v>
      </c>
      <c r="BL8" s="191">
        <v>0</v>
      </c>
      <c r="BM8" s="191">
        <v>7953461</v>
      </c>
      <c r="BN8" s="191">
        <v>3712499.32</v>
      </c>
      <c r="BO8" s="191">
        <v>28969992</v>
      </c>
      <c r="BP8" s="191">
        <v>1599692.9</v>
      </c>
      <c r="BQ8" s="191">
        <v>0</v>
      </c>
      <c r="BR8" s="191">
        <v>0</v>
      </c>
      <c r="BS8" s="191">
        <v>0</v>
      </c>
      <c r="BT8" s="191">
        <v>0</v>
      </c>
      <c r="BU8" s="191">
        <v>0</v>
      </c>
      <c r="BV8" s="191">
        <v>0</v>
      </c>
    </row>
    <row r="9" spans="1:74" s="191" customFormat="1">
      <c r="A9" s="191" t="s">
        <v>308</v>
      </c>
      <c r="B9" s="191">
        <v>0</v>
      </c>
      <c r="C9" s="191">
        <v>-4944439.3499999996</v>
      </c>
      <c r="D9" s="191">
        <v>0</v>
      </c>
      <c r="E9" s="191">
        <v>-1512.16</v>
      </c>
      <c r="F9" s="191">
        <v>0</v>
      </c>
      <c r="G9" s="191">
        <v>-144633.59</v>
      </c>
      <c r="H9" s="191">
        <v>0</v>
      </c>
      <c r="I9" s="191">
        <v>1468291.13</v>
      </c>
      <c r="J9" s="191">
        <v>0</v>
      </c>
      <c r="K9" s="191">
        <v>404986.06</v>
      </c>
      <c r="L9" s="191">
        <v>0</v>
      </c>
      <c r="M9" s="191">
        <v>552915.82999999996</v>
      </c>
      <c r="N9" s="191">
        <v>0</v>
      </c>
      <c r="O9" s="191">
        <v>-39721.660000000003</v>
      </c>
      <c r="P9" s="191">
        <v>0</v>
      </c>
      <c r="Q9" s="191">
        <v>355071.35</v>
      </c>
      <c r="R9" s="191">
        <v>0</v>
      </c>
      <c r="S9" s="191">
        <v>-139463.70000000001</v>
      </c>
      <c r="T9" s="191">
        <v>0</v>
      </c>
      <c r="U9" s="191">
        <v>264753.34999999998</v>
      </c>
      <c r="V9" s="191">
        <v>0</v>
      </c>
      <c r="W9" s="191">
        <v>-4097.92</v>
      </c>
      <c r="X9" s="191">
        <v>0</v>
      </c>
      <c r="Y9" s="191">
        <v>26443.27</v>
      </c>
      <c r="Z9" s="191">
        <v>0</v>
      </c>
      <c r="AA9" s="191">
        <v>100729.55</v>
      </c>
      <c r="AB9" s="191">
        <v>0</v>
      </c>
      <c r="AC9" s="191">
        <v>303809.68</v>
      </c>
      <c r="AD9" s="191">
        <v>0</v>
      </c>
      <c r="AE9" s="191">
        <v>-20015.3</v>
      </c>
      <c r="AF9" s="191">
        <v>0</v>
      </c>
      <c r="AG9" s="191">
        <v>-36850.15</v>
      </c>
      <c r="AH9" s="191">
        <v>0</v>
      </c>
      <c r="AI9" s="191">
        <v>-20449.64</v>
      </c>
      <c r="AJ9" s="191">
        <v>0</v>
      </c>
      <c r="AK9" s="191">
        <v>-58483.56</v>
      </c>
      <c r="AL9" s="191">
        <v>-5313.38</v>
      </c>
      <c r="AM9" s="191">
        <v>0</v>
      </c>
      <c r="AN9" s="191">
        <v>0</v>
      </c>
      <c r="AO9" s="191">
        <v>-16507622</v>
      </c>
      <c r="AP9" s="191">
        <v>0</v>
      </c>
      <c r="AQ9" s="191">
        <v>25967</v>
      </c>
      <c r="AR9" s="191">
        <v>0</v>
      </c>
      <c r="AS9" s="191">
        <v>-23098476</v>
      </c>
      <c r="AT9" s="191">
        <v>0</v>
      </c>
      <c r="AU9" s="191">
        <v>-1106910</v>
      </c>
      <c r="AV9" s="191">
        <v>0</v>
      </c>
      <c r="AW9" s="191">
        <v>-25405331</v>
      </c>
      <c r="AX9" s="191">
        <v>-23113132</v>
      </c>
      <c r="AY9" s="191">
        <v>29345199</v>
      </c>
      <c r="AZ9" s="191">
        <v>6898</v>
      </c>
      <c r="BA9" s="191">
        <v>-6847925</v>
      </c>
      <c r="BB9" s="191">
        <v>715999.5</v>
      </c>
      <c r="BC9" s="191">
        <v>90028</v>
      </c>
      <c r="BD9" s="191">
        <v>-16881240</v>
      </c>
      <c r="BE9" s="191">
        <v>334044</v>
      </c>
      <c r="BF9" s="191">
        <v>107956.36</v>
      </c>
      <c r="BG9" s="191">
        <v>79956.36</v>
      </c>
      <c r="BH9" s="191">
        <v>-23256.2</v>
      </c>
      <c r="BI9" s="191">
        <v>6522835</v>
      </c>
      <c r="BJ9" s="191">
        <v>883887.36</v>
      </c>
      <c r="BK9" s="191">
        <v>895591.96</v>
      </c>
      <c r="BL9" s="191">
        <v>9462.94</v>
      </c>
      <c r="BM9" s="191">
        <v>187634</v>
      </c>
      <c r="BN9" s="191">
        <v>-1346.91</v>
      </c>
      <c r="BO9" s="191">
        <v>427992</v>
      </c>
      <c r="BP9" s="191">
        <v>204894.57</v>
      </c>
      <c r="BQ9" s="191">
        <v>1860140</v>
      </c>
      <c r="BR9" s="191">
        <v>-44751</v>
      </c>
      <c r="BS9" s="191">
        <v>1537003</v>
      </c>
      <c r="BT9" s="191">
        <v>380000</v>
      </c>
      <c r="BU9" s="191">
        <v>0</v>
      </c>
      <c r="BV9" s="191">
        <v>0</v>
      </c>
    </row>
    <row r="10" spans="1:74" s="191" customFormat="1">
      <c r="A10" s="191" t="s">
        <v>309</v>
      </c>
      <c r="B10" s="191">
        <v>0</v>
      </c>
      <c r="C10" s="191">
        <v>0</v>
      </c>
      <c r="D10" s="191">
        <v>0</v>
      </c>
      <c r="E10" s="191">
        <v>224678.11</v>
      </c>
      <c r="F10" s="191">
        <v>0</v>
      </c>
      <c r="G10" s="191">
        <v>0</v>
      </c>
      <c r="H10" s="191">
        <v>0</v>
      </c>
      <c r="I10" s="191">
        <v>19914.96</v>
      </c>
      <c r="J10" s="191">
        <v>0</v>
      </c>
      <c r="K10" s="191">
        <v>235403.61</v>
      </c>
      <c r="L10" s="191">
        <v>0</v>
      </c>
      <c r="M10" s="191">
        <v>0</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0</v>
      </c>
      <c r="AI10" s="191">
        <v>0</v>
      </c>
      <c r="AJ10" s="191">
        <v>0</v>
      </c>
      <c r="AK10" s="191">
        <v>0</v>
      </c>
      <c r="AL10" s="191">
        <v>0</v>
      </c>
      <c r="AM10" s="191">
        <v>0</v>
      </c>
      <c r="AN10" s="191">
        <v>0</v>
      </c>
      <c r="AO10" s="191">
        <v>0</v>
      </c>
      <c r="AP10" s="191">
        <v>0</v>
      </c>
      <c r="AQ10" s="191">
        <v>0</v>
      </c>
      <c r="AR10" s="191">
        <v>0</v>
      </c>
      <c r="AS10" s="191">
        <v>3078825</v>
      </c>
      <c r="AT10" s="191">
        <v>0</v>
      </c>
      <c r="AU10" s="191">
        <v>0</v>
      </c>
      <c r="AV10" s="191">
        <v>0</v>
      </c>
      <c r="AW10" s="191">
        <v>2905675</v>
      </c>
      <c r="AX10" s="191">
        <v>921227</v>
      </c>
      <c r="AY10" s="191">
        <v>920787</v>
      </c>
      <c r="AZ10" s="191">
        <v>593760</v>
      </c>
      <c r="BA10" s="191">
        <v>1150954</v>
      </c>
      <c r="BB10" s="191">
        <v>2152113.64</v>
      </c>
      <c r="BC10" s="191">
        <v>43035</v>
      </c>
      <c r="BD10" s="191">
        <v>18990305</v>
      </c>
      <c r="BE10" s="191">
        <v>166248</v>
      </c>
      <c r="BF10" s="191">
        <v>828695.79</v>
      </c>
      <c r="BG10" s="191">
        <v>828695.79</v>
      </c>
      <c r="BH10" s="191">
        <v>0</v>
      </c>
      <c r="BI10" s="191">
        <v>0</v>
      </c>
      <c r="BJ10" s="191">
        <v>1416928.8</v>
      </c>
      <c r="BK10" s="191">
        <v>1413828.8</v>
      </c>
      <c r="BL10" s="191">
        <v>5875.42</v>
      </c>
      <c r="BM10" s="191">
        <v>0</v>
      </c>
      <c r="BN10" s="191">
        <v>0</v>
      </c>
      <c r="BO10" s="191">
        <v>0</v>
      </c>
      <c r="BP10" s="191">
        <v>0</v>
      </c>
      <c r="BQ10" s="191">
        <v>0</v>
      </c>
      <c r="BR10" s="191">
        <v>0</v>
      </c>
      <c r="BS10" s="191">
        <v>0</v>
      </c>
      <c r="BT10" s="191">
        <v>0</v>
      </c>
      <c r="BU10" s="191">
        <v>0</v>
      </c>
      <c r="BV10" s="191">
        <v>0</v>
      </c>
    </row>
    <row r="11" spans="1:74" s="47" customFormat="1">
      <c r="A11" s="134" t="s">
        <v>296</v>
      </c>
      <c r="E11" s="47">
        <f>E5-E6-E7-E8-E9-E10</f>
        <v>78057632.959999993</v>
      </c>
      <c r="F11" s="47">
        <f t="shared" ref="F11:BQ11" si="1">F5-F6-F7-F8-F9-F10</f>
        <v>97545471.069999993</v>
      </c>
      <c r="G11" s="47">
        <f t="shared" si="1"/>
        <v>-17355452.150000002</v>
      </c>
      <c r="H11" s="47">
        <f t="shared" si="1"/>
        <v>39376799.079999998</v>
      </c>
      <c r="I11" s="47">
        <f t="shared" si="1"/>
        <v>61762912.960000008</v>
      </c>
      <c r="J11" s="47">
        <f t="shared" si="1"/>
        <v>90368504.859999999</v>
      </c>
      <c r="K11" s="47">
        <f t="shared" si="1"/>
        <v>1353715.6300000083</v>
      </c>
      <c r="L11" s="47">
        <f t="shared" si="1"/>
        <v>42119968.310000002</v>
      </c>
      <c r="M11" s="47">
        <f t="shared" si="1"/>
        <v>20190588.15000001</v>
      </c>
      <c r="N11" s="47">
        <f t="shared" si="1"/>
        <v>102580438.06999999</v>
      </c>
      <c r="O11" s="47">
        <f t="shared" si="1"/>
        <v>-5616180.0900000017</v>
      </c>
      <c r="P11" s="47">
        <f t="shared" si="1"/>
        <v>29869390.699999999</v>
      </c>
      <c r="Q11" s="47">
        <f t="shared" si="1"/>
        <v>167809166.45000002</v>
      </c>
      <c r="R11" s="47">
        <f t="shared" si="1"/>
        <v>140018812.97</v>
      </c>
      <c r="S11" s="47">
        <f t="shared" si="1"/>
        <v>29812531.800000001</v>
      </c>
      <c r="T11" s="47">
        <f t="shared" si="1"/>
        <v>20587765.609999999</v>
      </c>
      <c r="U11" s="47">
        <f t="shared" si="1"/>
        <v>263033366.03999999</v>
      </c>
      <c r="V11" s="47">
        <f t="shared" si="1"/>
        <v>137738156.25999999</v>
      </c>
      <c r="W11" s="47">
        <f t="shared" si="1"/>
        <v>92249210.709999993</v>
      </c>
      <c r="X11" s="47">
        <f t="shared" si="1"/>
        <v>71239036.120000005</v>
      </c>
      <c r="Y11" s="47">
        <f t="shared" si="1"/>
        <v>172017576.94999999</v>
      </c>
      <c r="Z11" s="47">
        <f t="shared" si="1"/>
        <v>126600583.27</v>
      </c>
      <c r="AA11" s="47">
        <f t="shared" si="1"/>
        <v>89443797.280000016</v>
      </c>
      <c r="AB11" s="47">
        <f t="shared" si="1"/>
        <v>63379454.5</v>
      </c>
      <c r="AC11" s="47">
        <f t="shared" si="1"/>
        <v>220732942.41999999</v>
      </c>
      <c r="AD11" s="47">
        <f t="shared" si="1"/>
        <v>180935610.74000001</v>
      </c>
      <c r="AE11" s="47">
        <f t="shared" si="1"/>
        <v>114168575.29999998</v>
      </c>
      <c r="AF11" s="47">
        <f t="shared" si="1"/>
        <v>48927759.670000002</v>
      </c>
      <c r="AG11" s="47">
        <f t="shared" si="1"/>
        <v>138358904.84</v>
      </c>
      <c r="AH11" s="47">
        <f t="shared" si="1"/>
        <v>104367512.18000001</v>
      </c>
      <c r="AI11" s="47">
        <f t="shared" si="1"/>
        <v>59951369.250000007</v>
      </c>
      <c r="AJ11" s="47">
        <f t="shared" si="1"/>
        <v>36866679.200000003</v>
      </c>
      <c r="AK11" s="47">
        <f t="shared" si="1"/>
        <v>110331164.23999999</v>
      </c>
      <c r="AL11" s="47">
        <f t="shared" si="1"/>
        <v>59173469.729999997</v>
      </c>
      <c r="AM11" s="47">
        <f t="shared" si="1"/>
        <v>0</v>
      </c>
      <c r="AN11" s="47">
        <f t="shared" si="1"/>
        <v>705476913</v>
      </c>
      <c r="AO11" s="47">
        <f t="shared" si="1"/>
        <v>-114312374</v>
      </c>
      <c r="AP11" s="47">
        <f t="shared" si="1"/>
        <v>811834126</v>
      </c>
      <c r="AQ11" s="47">
        <f t="shared" si="1"/>
        <v>24058867</v>
      </c>
      <c r="AR11" s="47">
        <f t="shared" si="1"/>
        <v>150207173</v>
      </c>
      <c r="AS11" s="47">
        <f t="shared" si="1"/>
        <v>-1128720849</v>
      </c>
      <c r="AT11" s="47">
        <f t="shared" si="1"/>
        <v>0</v>
      </c>
      <c r="AU11" s="47">
        <f t="shared" si="1"/>
        <v>-567324909</v>
      </c>
      <c r="AV11" s="47">
        <f t="shared" si="1"/>
        <v>0</v>
      </c>
      <c r="AW11" s="47">
        <f t="shared" si="1"/>
        <v>-1612155996</v>
      </c>
      <c r="AX11" s="47">
        <f t="shared" si="1"/>
        <v>-1312721601</v>
      </c>
      <c r="AY11" s="47">
        <f t="shared" si="1"/>
        <v>-969718901</v>
      </c>
      <c r="AZ11" s="47">
        <f t="shared" si="1"/>
        <v>-515140307</v>
      </c>
      <c r="BA11" s="47">
        <f t="shared" si="1"/>
        <v>-1251898077</v>
      </c>
      <c r="BB11" s="47">
        <f t="shared" si="1"/>
        <v>-787075325.69000006</v>
      </c>
      <c r="BC11" s="47">
        <f t="shared" si="1"/>
        <v>-429778039</v>
      </c>
      <c r="BD11" s="47">
        <f t="shared" si="1"/>
        <v>-218004144</v>
      </c>
      <c r="BE11" s="47">
        <f t="shared" si="1"/>
        <v>-740668957</v>
      </c>
      <c r="BF11" s="47">
        <f t="shared" si="1"/>
        <v>-529264660.1500001</v>
      </c>
      <c r="BG11" s="47">
        <f t="shared" si="1"/>
        <v>-344577559.84000003</v>
      </c>
      <c r="BH11" s="47">
        <f t="shared" si="1"/>
        <v>-159941453.22000003</v>
      </c>
      <c r="BI11" s="47">
        <f t="shared" si="1"/>
        <v>-642435938</v>
      </c>
      <c r="BJ11" s="47">
        <f t="shared" si="1"/>
        <v>-455439460.44</v>
      </c>
      <c r="BK11" s="47">
        <f t="shared" si="1"/>
        <v>-317184554.73999995</v>
      </c>
      <c r="BL11" s="47">
        <f t="shared" si="1"/>
        <v>-118877870.42</v>
      </c>
      <c r="BM11" s="47">
        <f t="shared" si="1"/>
        <v>-156411178</v>
      </c>
      <c r="BN11" s="47">
        <f t="shared" si="1"/>
        <v>-76667482.140000001</v>
      </c>
      <c r="BO11" s="47">
        <f t="shared" si="1"/>
        <v>-94236408</v>
      </c>
      <c r="BP11" s="47">
        <f t="shared" si="1"/>
        <v>-33775143.520000003</v>
      </c>
      <c r="BQ11" s="47">
        <f t="shared" si="1"/>
        <v>-52550614</v>
      </c>
      <c r="BR11" s="47">
        <f t="shared" ref="BR11:BS11" si="2">BR5-BR6-BR7-BR8-BR9-BR10</f>
        <v>-21719063</v>
      </c>
      <c r="BS11" s="47">
        <f t="shared" si="2"/>
        <v>-34083247</v>
      </c>
    </row>
    <row r="12" spans="1:74" s="26" customFormat="1">
      <c r="A12" s="17" t="s">
        <v>297</v>
      </c>
      <c r="E12" s="26">
        <f t="shared" ref="E12:Q12" si="3">I34</f>
        <v>1474754700.5699999</v>
      </c>
      <c r="F12" s="26">
        <f t="shared" si="3"/>
        <v>1421201537.6900001</v>
      </c>
      <c r="G12" s="26">
        <f t="shared" si="3"/>
        <v>1395858553.0700002</v>
      </c>
      <c r="H12" s="26">
        <f t="shared" si="3"/>
        <v>1543287033.8999999</v>
      </c>
      <c r="I12" s="26">
        <f t="shared" si="3"/>
        <v>1387588912.5200002</v>
      </c>
      <c r="J12" s="26">
        <f t="shared" si="3"/>
        <v>1371880035.2000003</v>
      </c>
      <c r="K12" s="26">
        <f t="shared" si="3"/>
        <v>1349397589.5900002</v>
      </c>
      <c r="L12" s="26">
        <f t="shared" si="3"/>
        <v>1345278086.23</v>
      </c>
      <c r="M12" s="26">
        <f t="shared" si="3"/>
        <v>1311069339.7399998</v>
      </c>
      <c r="N12" s="26">
        <f t="shared" si="3"/>
        <v>1268382275.0799999</v>
      </c>
      <c r="O12" s="26">
        <f t="shared" si="3"/>
        <v>1090431178.7</v>
      </c>
      <c r="P12" s="26">
        <f t="shared" si="3"/>
        <v>1065290545.74</v>
      </c>
      <c r="Q12" s="26">
        <f t="shared" si="3"/>
        <v>1029096146.12</v>
      </c>
      <c r="R12" s="191">
        <f t="shared" ref="R12" si="4">V34</f>
        <v>916861473.82000005</v>
      </c>
      <c r="S12" s="191">
        <f t="shared" ref="S12" si="5">W34</f>
        <v>899890040.64999998</v>
      </c>
      <c r="T12" s="191">
        <f t="shared" ref="T12" si="6">X34</f>
        <v>856624245.05999994</v>
      </c>
      <c r="U12" s="191">
        <f t="shared" ref="U12" si="7">Y34</f>
        <v>771446100.32000005</v>
      </c>
      <c r="V12" s="191">
        <f t="shared" ref="V12" si="8">Z34</f>
        <v>703020134.75</v>
      </c>
      <c r="W12" s="191">
        <f t="shared" ref="W12" si="9">AA34</f>
        <v>677541144.30999994</v>
      </c>
      <c r="X12" s="191">
        <f t="shared" ref="X12" si="10">AB34</f>
        <v>635689165.73000002</v>
      </c>
      <c r="Y12" s="191">
        <f t="shared" ref="Y12" si="11">AC34</f>
        <v>610177408.24000001</v>
      </c>
      <c r="Z12" s="191">
        <f t="shared" ref="Z12" si="12">AD34</f>
        <v>561481166.71000004</v>
      </c>
      <c r="AA12" s="191">
        <f t="shared" ref="AA12" si="13">AE34</f>
        <v>508127382.36000001</v>
      </c>
      <c r="AB12" s="191">
        <f t="shared" ref="AB12" si="14">AF34</f>
        <v>433486812.39999998</v>
      </c>
      <c r="AC12" s="191">
        <f t="shared" ref="AC12" si="15">AG34</f>
        <v>393436199.32999998</v>
      </c>
      <c r="AD12" s="191">
        <f t="shared" ref="AD12" si="16">AH34</f>
        <v>266827231.47</v>
      </c>
      <c r="AE12" s="191">
        <f t="shared" ref="AE12" si="17">AI34</f>
        <v>141288790.53</v>
      </c>
      <c r="AF12" s="191">
        <f t="shared" ref="AF12" si="18">AJ34</f>
        <v>0</v>
      </c>
      <c r="AG12" s="191">
        <f t="shared" ref="AG12" si="19">AK34</f>
        <v>0</v>
      </c>
      <c r="AH12" s="191">
        <f t="shared" ref="AH12" si="20">AL34</f>
        <v>0</v>
      </c>
      <c r="AI12" s="191">
        <f t="shared" ref="AI12" si="21">AM34</f>
        <v>0</v>
      </c>
      <c r="AJ12" s="191">
        <f t="shared" ref="AJ12" si="22">AN34</f>
        <v>8532202868</v>
      </c>
      <c r="AK12" s="191">
        <f t="shared" ref="AK12" si="23">AO34</f>
        <v>8238304700</v>
      </c>
      <c r="AL12" s="191">
        <f t="shared" ref="AL12" si="24">AP34</f>
        <v>8499445696</v>
      </c>
      <c r="AM12" s="191">
        <f t="shared" ref="AM12" si="25">AQ34</f>
        <v>8698074350</v>
      </c>
      <c r="AN12" s="191">
        <f t="shared" ref="AN12" si="26">AR34</f>
        <v>8403371922</v>
      </c>
      <c r="AO12" s="191">
        <f t="shared" ref="AO12" si="27">AS34</f>
        <v>8540278559</v>
      </c>
      <c r="AP12" s="191">
        <f t="shared" ref="AP12" si="28">AT34</f>
        <v>10053956715</v>
      </c>
      <c r="AQ12" s="191">
        <f t="shared" ref="AQ12" si="29">AU34</f>
        <v>10262195864</v>
      </c>
      <c r="AR12" s="191">
        <f t="shared" ref="AR12" si="30">AV34</f>
        <v>10569353455</v>
      </c>
      <c r="AS12" s="191">
        <f t="shared" ref="AS12" si="31">AW34</f>
        <v>11725754090</v>
      </c>
      <c r="AT12" s="191">
        <f t="shared" ref="AT12" si="32">AX34</f>
        <v>11785581265</v>
      </c>
      <c r="AU12" s="191">
        <f t="shared" ref="AU12" si="33">AY34</f>
        <v>14055686914</v>
      </c>
      <c r="AV12" s="191">
        <f t="shared" ref="AV12" si="34">AZ34</f>
        <v>14395067906</v>
      </c>
      <c r="AW12" s="191">
        <f t="shared" ref="AW12" si="35">BA34</f>
        <v>14607732167</v>
      </c>
      <c r="AX12" s="191">
        <f t="shared" ref="AX12" si="36">BB34</f>
        <v>14643176446</v>
      </c>
      <c r="AY12" s="191">
        <f t="shared" ref="AY12" si="37">BC34</f>
        <v>14905621582</v>
      </c>
      <c r="AZ12" s="191">
        <f t="shared" ref="AZ12" si="38">BD34</f>
        <v>13376945399</v>
      </c>
      <c r="BA12" s="191">
        <f t="shared" ref="BA12" si="39">BE34</f>
        <v>12576086418</v>
      </c>
      <c r="BB12" s="191">
        <f t="shared" ref="BB12" si="40">BF34</f>
        <v>8384459595.5600004</v>
      </c>
      <c r="BC12" s="191">
        <f t="shared" ref="BC12" si="41">BG34</f>
        <v>6735689343.8299999</v>
      </c>
      <c r="BD12" s="191">
        <f t="shared" ref="BD12" si="42">BH34</f>
        <v>6653641717.5200005</v>
      </c>
      <c r="BE12" s="191">
        <f t="shared" ref="BE12" si="43">BI34</f>
        <v>6418171245</v>
      </c>
      <c r="BF12" s="191">
        <f t="shared" ref="BF12" si="44">BJ34</f>
        <v>5442187708.7399998</v>
      </c>
      <c r="BG12" s="191">
        <f t="shared" ref="BG12" si="45">BK34</f>
        <v>5370836546.21</v>
      </c>
      <c r="BH12" s="191">
        <f t="shared" ref="BH12" si="46">BL34</f>
        <v>5328764572.8900003</v>
      </c>
      <c r="BI12" s="191">
        <f t="shared" ref="BI12" si="47">BM34</f>
        <v>2398206104</v>
      </c>
      <c r="BJ12" s="191">
        <f t="shared" ref="BJ12" si="48">BN34</f>
        <v>2235497541.7199998</v>
      </c>
      <c r="BK12" s="191">
        <f t="shared" ref="BK12" si="49">BO34</f>
        <v>2150428180.9899998</v>
      </c>
      <c r="BL12" s="191">
        <f t="shared" ref="BL12" si="50">BP34</f>
        <v>2057084094.0699999</v>
      </c>
      <c r="BM12" s="191">
        <f t="shared" ref="BM12" si="51">BQ34</f>
        <v>8499445696</v>
      </c>
      <c r="BN12" s="191">
        <f t="shared" ref="BN12" si="52">BR34</f>
        <v>8698074350</v>
      </c>
    </row>
    <row r="13" spans="1:74" s="218" customFormat="1">
      <c r="A13" s="218" t="s">
        <v>350</v>
      </c>
      <c r="E13" s="218">
        <f>E11/E12</f>
        <v>5.2929231505300739E-2</v>
      </c>
      <c r="F13" s="218">
        <f t="shared" ref="F13:AR13" si="53">F11/F12</f>
        <v>6.8635917203234212E-2</v>
      </c>
      <c r="G13" s="218">
        <f t="shared" si="53"/>
        <v>-1.2433532116724188E-2</v>
      </c>
      <c r="H13" s="218">
        <f t="shared" si="53"/>
        <v>2.5514890111201109E-2</v>
      </c>
      <c r="I13" s="218">
        <f t="shared" si="53"/>
        <v>4.4510958831338876E-2</v>
      </c>
      <c r="J13" s="218">
        <f t="shared" si="53"/>
        <v>6.5872016897472796E-2</v>
      </c>
      <c r="K13" s="218">
        <f t="shared" si="53"/>
        <v>1.0031999763771033E-3</v>
      </c>
      <c r="L13" s="218">
        <f t="shared" si="53"/>
        <v>3.1309488157973922E-2</v>
      </c>
      <c r="M13" s="218">
        <f t="shared" si="53"/>
        <v>1.5400091770892939E-2</v>
      </c>
      <c r="N13" s="218">
        <f t="shared" si="53"/>
        <v>8.0875017008204403E-2</v>
      </c>
      <c r="O13" s="218">
        <f t="shared" si="53"/>
        <v>-5.1504214110014252E-3</v>
      </c>
      <c r="P13" s="218">
        <f t="shared" si="53"/>
        <v>2.803872691768924E-2</v>
      </c>
      <c r="Q13" s="218">
        <f t="shared" si="53"/>
        <v>0.16306461459669314</v>
      </c>
      <c r="R13" s="218">
        <f t="shared" si="53"/>
        <v>0.1527153413771738</v>
      </c>
      <c r="S13" s="218">
        <f t="shared" si="53"/>
        <v>3.3129082947141071E-2</v>
      </c>
      <c r="T13" s="218">
        <f t="shared" si="53"/>
        <v>2.403360134706202E-2</v>
      </c>
      <c r="U13" s="218">
        <f t="shared" si="53"/>
        <v>0.3409614306571675</v>
      </c>
      <c r="V13" s="218">
        <f t="shared" si="53"/>
        <v>0.19592348704063911</v>
      </c>
      <c r="W13" s="218">
        <f t="shared" si="53"/>
        <v>0.13615292810585772</v>
      </c>
      <c r="X13" s="218">
        <f t="shared" si="53"/>
        <v>0.11206583336714877</v>
      </c>
      <c r="Y13" s="218">
        <f t="shared" si="53"/>
        <v>0.28191403783068386</v>
      </c>
      <c r="Z13" s="218">
        <f t="shared" si="53"/>
        <v>0.22547609924624248</v>
      </c>
      <c r="AA13" s="218">
        <f t="shared" si="53"/>
        <v>0.1760263280136132</v>
      </c>
      <c r="AB13" s="218">
        <f t="shared" si="53"/>
        <v>0.1462084951306814</v>
      </c>
      <c r="AC13" s="218">
        <f t="shared" si="53"/>
        <v>0.56103872189670378</v>
      </c>
      <c r="AD13" s="218">
        <f t="shared" si="53"/>
        <v>0.67810024390386492</v>
      </c>
      <c r="AE13" s="218">
        <f t="shared" si="53"/>
        <v>0.80805118984834434</v>
      </c>
      <c r="AF13" s="218" t="e">
        <f t="shared" si="53"/>
        <v>#DIV/0!</v>
      </c>
      <c r="AG13" s="218" t="e">
        <f t="shared" si="53"/>
        <v>#DIV/0!</v>
      </c>
      <c r="AH13" s="218" t="e">
        <f t="shared" si="53"/>
        <v>#DIV/0!</v>
      </c>
      <c r="AI13" s="218" t="e">
        <f t="shared" si="53"/>
        <v>#DIV/0!</v>
      </c>
      <c r="AJ13" s="218">
        <f t="shared" si="53"/>
        <v>4.3208863842500002E-3</v>
      </c>
      <c r="AK13" s="218">
        <f t="shared" si="53"/>
        <v>1.3392459766631355E-2</v>
      </c>
      <c r="AL13" s="218">
        <f t="shared" si="53"/>
        <v>6.9620386842224489E-3</v>
      </c>
      <c r="AM13" s="218">
        <f t="shared" si="53"/>
        <v>0</v>
      </c>
      <c r="AN13" s="218">
        <f t="shared" si="53"/>
        <v>8.3951646975550825E-2</v>
      </c>
      <c r="AO13" s="218">
        <f t="shared" si="53"/>
        <v>-1.3385087290804374E-2</v>
      </c>
      <c r="AP13" s="218">
        <f t="shared" si="53"/>
        <v>8.0747724404739499E-2</v>
      </c>
      <c r="AQ13" s="218">
        <f t="shared" si="53"/>
        <v>2.3444170544823662E-3</v>
      </c>
      <c r="AR13" s="218">
        <f t="shared" si="53"/>
        <v>1.4211576293622966E-2</v>
      </c>
    </row>
    <row r="14" spans="1:74" s="48" customFormat="1">
      <c r="A14" s="46" t="s">
        <v>293</v>
      </c>
    </row>
    <row r="15" spans="1:74" s="191" customFormat="1">
      <c r="A15" s="191" t="s">
        <v>313</v>
      </c>
      <c r="B15" s="191">
        <v>21504883.530000001</v>
      </c>
      <c r="C15" s="191">
        <v>21504883.530000001</v>
      </c>
      <c r="D15" s="191">
        <v>0</v>
      </c>
      <c r="E15" s="191">
        <v>506255168.33999997</v>
      </c>
      <c r="F15" s="191">
        <v>198483668.34</v>
      </c>
      <c r="G15" s="191">
        <v>199244203.62</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95735577</v>
      </c>
      <c r="AO15" s="191">
        <v>0</v>
      </c>
      <c r="AP15" s="191">
        <v>0</v>
      </c>
      <c r="AQ15" s="191">
        <v>218993295</v>
      </c>
      <c r="AR15" s="191">
        <v>0</v>
      </c>
      <c r="AS15" s="191">
        <v>0</v>
      </c>
      <c r="AT15" s="191">
        <v>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c r="BU15" s="191">
        <v>0</v>
      </c>
      <c r="BV15" s="191">
        <v>0</v>
      </c>
    </row>
    <row r="16" spans="1:74" s="191" customFormat="1">
      <c r="A16" s="191" t="s">
        <v>314</v>
      </c>
      <c r="B16" s="191">
        <v>1265267777.3800001</v>
      </c>
      <c r="C16" s="191">
        <v>1142610902.8099999</v>
      </c>
      <c r="D16" s="191">
        <v>1079513432.1500001</v>
      </c>
      <c r="E16" s="191">
        <v>116567376.89</v>
      </c>
      <c r="F16" s="191">
        <v>0</v>
      </c>
      <c r="G16" s="191">
        <v>0</v>
      </c>
      <c r="H16" s="191">
        <v>0</v>
      </c>
      <c r="I16" s="191">
        <v>18035726.640000001</v>
      </c>
      <c r="J16" s="191">
        <v>2903026.19</v>
      </c>
      <c r="K16" s="191">
        <v>2903026.19</v>
      </c>
      <c r="L16" s="191">
        <v>0</v>
      </c>
      <c r="M16" s="191">
        <v>296310794.95999998</v>
      </c>
      <c r="N16" s="191">
        <v>295890578.80000001</v>
      </c>
      <c r="O16" s="191">
        <v>125890578.8</v>
      </c>
      <c r="P16" s="191">
        <v>0</v>
      </c>
      <c r="Q16" s="191">
        <v>309325371.79000002</v>
      </c>
      <c r="R16" s="191">
        <v>0</v>
      </c>
      <c r="S16" s="191">
        <v>0</v>
      </c>
      <c r="T16" s="191">
        <v>0</v>
      </c>
      <c r="U16" s="191">
        <v>0</v>
      </c>
      <c r="V16" s="191">
        <v>0</v>
      </c>
      <c r="W16" s="191">
        <v>0</v>
      </c>
      <c r="X16" s="191">
        <v>0</v>
      </c>
      <c r="Y16" s="191">
        <v>180319.01</v>
      </c>
      <c r="Z16" s="191">
        <v>0</v>
      </c>
      <c r="AA16" s="191">
        <v>0</v>
      </c>
      <c r="AB16" s="191">
        <v>0</v>
      </c>
      <c r="AC16" s="191">
        <v>0</v>
      </c>
      <c r="AD16" s="191">
        <v>0</v>
      </c>
      <c r="AE16" s="191">
        <v>0</v>
      </c>
      <c r="AF16" s="191">
        <v>0</v>
      </c>
      <c r="AG16" s="191">
        <v>0</v>
      </c>
      <c r="AH16" s="191">
        <v>0</v>
      </c>
      <c r="AI16" s="191">
        <v>0</v>
      </c>
      <c r="AJ16" s="191">
        <v>0</v>
      </c>
      <c r="AK16" s="191">
        <v>0</v>
      </c>
      <c r="AL16" s="191">
        <v>0</v>
      </c>
      <c r="AM16" s="191">
        <v>0</v>
      </c>
      <c r="AN16" s="191">
        <v>0</v>
      </c>
      <c r="AO16" s="191">
        <v>12126325</v>
      </c>
      <c r="AP16" s="191">
        <v>0</v>
      </c>
      <c r="AQ16" s="191">
        <v>0</v>
      </c>
      <c r="AR16" s="191">
        <v>0</v>
      </c>
      <c r="AS16" s="191">
        <v>0</v>
      </c>
      <c r="AT16" s="191">
        <v>0</v>
      </c>
      <c r="AU16" s="191">
        <v>0</v>
      </c>
      <c r="AV16" s="191">
        <v>0</v>
      </c>
      <c r="AW16" s="191">
        <v>0</v>
      </c>
      <c r="AX16" s="191">
        <v>0</v>
      </c>
      <c r="AY16" s="191">
        <v>0</v>
      </c>
      <c r="AZ16" s="191">
        <v>0</v>
      </c>
      <c r="BA16" s="191">
        <v>0</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c r="BU16" s="191">
        <v>0</v>
      </c>
      <c r="BV16" s="191">
        <v>0</v>
      </c>
    </row>
    <row r="17" spans="1:74" s="47" customFormat="1">
      <c r="A17" s="134" t="s">
        <v>298</v>
      </c>
      <c r="E17" s="47">
        <f>E16-E15</f>
        <v>-389687791.44999999</v>
      </c>
      <c r="F17" s="47">
        <f t="shared" ref="F17:AV17" si="54">F16-F15</f>
        <v>-198483668.34</v>
      </c>
      <c r="G17" s="47">
        <f t="shared" si="54"/>
        <v>-199244203.62</v>
      </c>
      <c r="H17" s="47">
        <f t="shared" si="54"/>
        <v>0</v>
      </c>
      <c r="I17" s="47">
        <f t="shared" si="54"/>
        <v>18035726.640000001</v>
      </c>
      <c r="J17" s="47">
        <f t="shared" si="54"/>
        <v>2903026.19</v>
      </c>
      <c r="K17" s="47">
        <f t="shared" si="54"/>
        <v>2903026.19</v>
      </c>
      <c r="L17" s="47">
        <f t="shared" si="54"/>
        <v>0</v>
      </c>
      <c r="M17" s="47">
        <f t="shared" si="54"/>
        <v>296310794.95999998</v>
      </c>
      <c r="N17" s="47">
        <f t="shared" si="54"/>
        <v>295890578.80000001</v>
      </c>
      <c r="O17" s="47">
        <f t="shared" si="54"/>
        <v>125890578.8</v>
      </c>
      <c r="P17" s="47">
        <f t="shared" si="54"/>
        <v>0</v>
      </c>
      <c r="Q17" s="47">
        <f t="shared" si="54"/>
        <v>309325371.79000002</v>
      </c>
      <c r="R17" s="47">
        <f t="shared" si="54"/>
        <v>0</v>
      </c>
      <c r="S17" s="47">
        <f t="shared" si="54"/>
        <v>0</v>
      </c>
      <c r="T17" s="47">
        <f t="shared" si="54"/>
        <v>0</v>
      </c>
      <c r="U17" s="47">
        <f t="shared" si="54"/>
        <v>0</v>
      </c>
      <c r="V17" s="47">
        <f t="shared" si="54"/>
        <v>0</v>
      </c>
      <c r="W17" s="47">
        <f t="shared" si="54"/>
        <v>0</v>
      </c>
      <c r="X17" s="47">
        <f t="shared" si="54"/>
        <v>0</v>
      </c>
      <c r="Y17" s="47">
        <f t="shared" si="54"/>
        <v>180319.01</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-95735577</v>
      </c>
      <c r="AO17" s="47">
        <f t="shared" si="54"/>
        <v>12126325</v>
      </c>
      <c r="AP17" s="47">
        <f t="shared" si="54"/>
        <v>0</v>
      </c>
      <c r="AQ17" s="47">
        <f t="shared" si="54"/>
        <v>-218993295</v>
      </c>
      <c r="AR17" s="47">
        <f t="shared" si="54"/>
        <v>0</v>
      </c>
      <c r="AS17" s="47">
        <f t="shared" si="54"/>
        <v>0</v>
      </c>
      <c r="AT17" s="47">
        <f t="shared" si="54"/>
        <v>0</v>
      </c>
      <c r="AU17" s="47">
        <f t="shared" si="54"/>
        <v>0</v>
      </c>
      <c r="AV17" s="47">
        <f t="shared" si="54"/>
        <v>0</v>
      </c>
    </row>
    <row r="18" spans="1:74" s="48" customFormat="1">
      <c r="A18" s="46" t="s">
        <v>294</v>
      </c>
    </row>
    <row r="19" spans="1:74" s="191" customFormat="1">
      <c r="A19" s="191" t="s">
        <v>299</v>
      </c>
      <c r="E19" s="191">
        <f>E5+E17</f>
        <v>-130787974.68000001</v>
      </c>
      <c r="F19" s="191">
        <f t="shared" ref="F19:AS19" si="55">F5+F17</f>
        <v>-100938197.27000001</v>
      </c>
      <c r="G19" s="191">
        <f t="shared" si="55"/>
        <v>-134615889.62</v>
      </c>
      <c r="H19" s="191">
        <f t="shared" si="55"/>
        <v>39376799.079999998</v>
      </c>
      <c r="I19" s="191">
        <f t="shared" si="55"/>
        <v>247191236.53000003</v>
      </c>
      <c r="J19" s="191">
        <f t="shared" si="55"/>
        <v>93271531.049999997</v>
      </c>
      <c r="K19" s="191">
        <f t="shared" si="55"/>
        <v>80664206.640000001</v>
      </c>
      <c r="L19" s="191">
        <f t="shared" si="55"/>
        <v>42119968.310000002</v>
      </c>
      <c r="M19" s="191">
        <f t="shared" si="55"/>
        <v>464525931.26999998</v>
      </c>
      <c r="N19" s="191">
        <f t="shared" si="55"/>
        <v>398471016.87</v>
      </c>
      <c r="O19" s="191">
        <f t="shared" si="55"/>
        <v>189655878.22</v>
      </c>
      <c r="P19" s="191">
        <f t="shared" si="55"/>
        <v>29869390.699999999</v>
      </c>
      <c r="Q19" s="191">
        <f t="shared" si="55"/>
        <v>585626263.87</v>
      </c>
      <c r="R19" s="191">
        <f t="shared" si="55"/>
        <v>140018812.97</v>
      </c>
      <c r="S19" s="191">
        <f t="shared" si="55"/>
        <v>76390994.530000001</v>
      </c>
      <c r="T19" s="191">
        <f t="shared" si="55"/>
        <v>20587765.609999999</v>
      </c>
      <c r="U19" s="191">
        <f t="shared" si="55"/>
        <v>331273541.5</v>
      </c>
      <c r="V19" s="191">
        <f t="shared" si="55"/>
        <v>137738156.25999999</v>
      </c>
      <c r="W19" s="191">
        <f t="shared" si="55"/>
        <v>122128747.88</v>
      </c>
      <c r="X19" s="191">
        <f t="shared" si="55"/>
        <v>71239036.120000005</v>
      </c>
      <c r="Y19" s="191">
        <f t="shared" si="55"/>
        <v>213382852.85999998</v>
      </c>
      <c r="Z19" s="191">
        <f t="shared" si="55"/>
        <v>126600583.27</v>
      </c>
      <c r="AA19" s="191">
        <f t="shared" si="55"/>
        <v>108469993.73</v>
      </c>
      <c r="AB19" s="191">
        <f t="shared" si="55"/>
        <v>63379454.5</v>
      </c>
      <c r="AC19" s="191">
        <f t="shared" si="55"/>
        <v>247780185.98999998</v>
      </c>
      <c r="AD19" s="191">
        <f t="shared" si="55"/>
        <v>180935610.74000001</v>
      </c>
      <c r="AE19" s="191">
        <f t="shared" si="55"/>
        <v>126462680.27</v>
      </c>
      <c r="AF19" s="191">
        <f t="shared" si="55"/>
        <v>48927759.670000002</v>
      </c>
      <c r="AG19" s="191">
        <f t="shared" si="55"/>
        <v>157877960.31999999</v>
      </c>
      <c r="AH19" s="191">
        <f t="shared" si="55"/>
        <v>104367512.18000001</v>
      </c>
      <c r="AI19" s="191">
        <f t="shared" si="55"/>
        <v>69377457.079999998</v>
      </c>
      <c r="AJ19" s="191">
        <f t="shared" si="55"/>
        <v>36866679.200000003</v>
      </c>
      <c r="AK19" s="191">
        <f t="shared" si="55"/>
        <v>123783120.31999999</v>
      </c>
      <c r="AL19" s="191">
        <f t="shared" si="55"/>
        <v>68608595.11999999</v>
      </c>
      <c r="AM19" s="191">
        <f t="shared" si="55"/>
        <v>0</v>
      </c>
      <c r="AN19" s="191">
        <f t="shared" si="55"/>
        <v>609741336</v>
      </c>
      <c r="AO19" s="191">
        <f t="shared" si="55"/>
        <v>1034108908</v>
      </c>
      <c r="AP19" s="191">
        <f t="shared" si="55"/>
        <v>811834126</v>
      </c>
      <c r="AQ19" s="191">
        <f t="shared" si="55"/>
        <v>370280559</v>
      </c>
      <c r="AR19" s="191">
        <f t="shared" si="55"/>
        <v>150207173</v>
      </c>
      <c r="AS19" s="191">
        <f t="shared" si="55"/>
        <v>0</v>
      </c>
    </row>
    <row r="20" spans="1:74" s="191" customFormat="1">
      <c r="A20" s="191" t="s">
        <v>300</v>
      </c>
      <c r="B20" s="188">
        <v>396666516.38</v>
      </c>
      <c r="C20" s="188">
        <v>341205476.06</v>
      </c>
      <c r="D20" s="188">
        <v>-220460870.69999999</v>
      </c>
      <c r="E20" s="188">
        <v>198883096.36000001</v>
      </c>
      <c r="F20" s="188">
        <v>85614462.769999996</v>
      </c>
      <c r="G20" s="188">
        <v>44438358.880000003</v>
      </c>
      <c r="H20" s="188">
        <v>-11031873.58</v>
      </c>
      <c r="I20" s="188">
        <v>713769227.51999998</v>
      </c>
      <c r="J20" s="188">
        <v>374381936.62</v>
      </c>
      <c r="K20" s="188">
        <v>227732115.94999999</v>
      </c>
      <c r="L20" s="188">
        <v>112823879.39</v>
      </c>
      <c r="M20" s="188">
        <v>476859520.26999998</v>
      </c>
      <c r="N20" s="188">
        <v>231577969.28</v>
      </c>
      <c r="O20" s="188">
        <v>78091725.540000007</v>
      </c>
      <c r="P20" s="188">
        <v>-6597362.5</v>
      </c>
      <c r="Q20" s="188">
        <v>245450357.61000001</v>
      </c>
      <c r="R20" s="188">
        <v>98364249.260000005</v>
      </c>
      <c r="S20" s="188">
        <v>32368925.59</v>
      </c>
      <c r="T20" s="188">
        <v>-18100879.100000001</v>
      </c>
      <c r="U20" s="188">
        <v>70701834.230000004</v>
      </c>
      <c r="V20" s="188">
        <v>78038137.340000004</v>
      </c>
      <c r="W20" s="188">
        <v>99471671.659999996</v>
      </c>
      <c r="X20" s="188">
        <v>31757211.050000001</v>
      </c>
      <c r="Y20" s="188">
        <v>83007647.939999998</v>
      </c>
      <c r="Z20" s="188">
        <v>-373997.43</v>
      </c>
      <c r="AA20" s="188">
        <v>14656309.34</v>
      </c>
      <c r="AB20" s="188">
        <v>1463782.77</v>
      </c>
      <c r="AC20" s="188">
        <v>51143961.969999999</v>
      </c>
      <c r="AD20" s="188">
        <v>4307201.72</v>
      </c>
      <c r="AE20" s="188">
        <v>10692150.619999999</v>
      </c>
      <c r="AF20" s="188">
        <v>21082533.890000001</v>
      </c>
      <c r="AG20" s="188">
        <v>96173109.579999998</v>
      </c>
      <c r="AH20" s="188">
        <v>68665094.870000005</v>
      </c>
      <c r="AI20" s="188">
        <v>39395158.75</v>
      </c>
      <c r="AJ20" s="188">
        <v>-3257766.91</v>
      </c>
      <c r="AK20" s="188">
        <v>125630713.22</v>
      </c>
      <c r="AL20" s="188">
        <v>14103428.619999999</v>
      </c>
      <c r="AM20" s="188">
        <v>0</v>
      </c>
      <c r="AN20" s="191">
        <v>-147403907</v>
      </c>
      <c r="AO20" s="191">
        <v>1127969877</v>
      </c>
      <c r="AP20" s="191">
        <v>1274196010</v>
      </c>
      <c r="AQ20" s="191">
        <v>1035562169</v>
      </c>
      <c r="AR20" s="191">
        <v>758765411</v>
      </c>
      <c r="AS20" s="191">
        <v>2292098399</v>
      </c>
      <c r="AT20" s="191">
        <v>1438522331</v>
      </c>
      <c r="AU20" s="191">
        <v>488345973</v>
      </c>
      <c r="AV20" s="191">
        <v>232372937</v>
      </c>
      <c r="AW20" s="191">
        <v>843112560</v>
      </c>
      <c r="AX20" s="191">
        <v>499295186</v>
      </c>
      <c r="AY20" s="191">
        <v>-1808814</v>
      </c>
      <c r="AZ20" s="191">
        <v>100878844</v>
      </c>
      <c r="BA20" s="191">
        <v>-983558625</v>
      </c>
      <c r="BB20" s="191">
        <v>-772876227.13</v>
      </c>
      <c r="BC20" s="191">
        <v>-427419682</v>
      </c>
      <c r="BD20" s="191">
        <v>-54020833</v>
      </c>
      <c r="BE20" s="191">
        <v>207720737</v>
      </c>
      <c r="BF20" s="191">
        <v>346642035.73000002</v>
      </c>
      <c r="BG20" s="191">
        <v>218019969.84999999</v>
      </c>
      <c r="BH20" s="191">
        <v>342671976.62</v>
      </c>
      <c r="BI20" s="191">
        <v>747537474</v>
      </c>
      <c r="BJ20" s="191">
        <v>931865451.95000005</v>
      </c>
      <c r="BK20" s="191">
        <v>628673055.54999995</v>
      </c>
      <c r="BL20" s="191">
        <v>240983682.55000001</v>
      </c>
      <c r="BM20" s="191">
        <v>217680290</v>
      </c>
      <c r="BN20" s="191">
        <v>43679844.140000001</v>
      </c>
      <c r="BO20" s="191">
        <v>396715256</v>
      </c>
      <c r="BP20" s="191">
        <v>290378402.95999998</v>
      </c>
      <c r="BQ20" s="191">
        <v>-176842472</v>
      </c>
      <c r="BR20" s="191">
        <v>-52555139</v>
      </c>
      <c r="BS20" s="191">
        <v>-44736342</v>
      </c>
      <c r="BT20" s="191">
        <v>46820000</v>
      </c>
      <c r="BU20" s="191">
        <v>0</v>
      </c>
      <c r="BV20" s="191">
        <v>0</v>
      </c>
    </row>
    <row r="21" spans="1:74" s="219" customFormat="1">
      <c r="A21" s="219" t="s">
        <v>663</v>
      </c>
      <c r="E21" s="219">
        <f>E20/E19</f>
        <v>-1.5206527729067514</v>
      </c>
      <c r="F21" s="219">
        <f t="shared" ref="F21:AS21" si="56">F20/F19</f>
        <v>-0.84818696078937794</v>
      </c>
      <c r="G21" s="219">
        <f t="shared" si="56"/>
        <v>-0.33011228470459669</v>
      </c>
      <c r="H21" s="219">
        <f t="shared" si="56"/>
        <v>-0.28016176626208389</v>
      </c>
      <c r="I21" s="219">
        <f t="shared" si="56"/>
        <v>2.8875183341435906</v>
      </c>
      <c r="J21" s="219">
        <f t="shared" si="56"/>
        <v>4.0138929039269806</v>
      </c>
      <c r="K21" s="219">
        <f t="shared" si="56"/>
        <v>2.82321150155677</v>
      </c>
      <c r="L21" s="219">
        <f t="shared" si="56"/>
        <v>2.6786316304804454</v>
      </c>
      <c r="M21" s="219">
        <f t="shared" si="56"/>
        <v>1.0265509160409632</v>
      </c>
      <c r="N21" s="219">
        <f t="shared" si="56"/>
        <v>0.58116640728113889</v>
      </c>
      <c r="O21" s="219">
        <f t="shared" si="56"/>
        <v>0.41175483867372642</v>
      </c>
      <c r="P21" s="219">
        <f t="shared" si="56"/>
        <v>-0.22087368859519455</v>
      </c>
      <c r="Q21" s="219">
        <f t="shared" si="56"/>
        <v>0.41912457270612818</v>
      </c>
      <c r="R21" s="219">
        <f t="shared" si="56"/>
        <v>0.70250737864114898</v>
      </c>
      <c r="S21" s="219">
        <f t="shared" si="56"/>
        <v>0.42372698233805806</v>
      </c>
      <c r="T21" s="219">
        <f t="shared" si="56"/>
        <v>-0.87920561380434337</v>
      </c>
      <c r="U21" s="219">
        <f t="shared" si="56"/>
        <v>0.21342433177688597</v>
      </c>
      <c r="V21" s="219">
        <f t="shared" si="56"/>
        <v>0.5665687668469449</v>
      </c>
      <c r="W21" s="219">
        <f t="shared" si="56"/>
        <v>0.81448203954189269</v>
      </c>
      <c r="X21" s="219">
        <f t="shared" si="56"/>
        <v>0.44578383958628998</v>
      </c>
      <c r="Y21" s="219">
        <f t="shared" si="56"/>
        <v>0.38900805208777078</v>
      </c>
      <c r="Z21" s="219">
        <f t="shared" si="56"/>
        <v>-2.9541525034081305E-3</v>
      </c>
      <c r="AA21" s="219">
        <f t="shared" si="56"/>
        <v>0.13511855985243265</v>
      </c>
      <c r="AB21" s="219">
        <f t="shared" si="56"/>
        <v>2.3095540685033823E-2</v>
      </c>
      <c r="AC21" s="219">
        <f t="shared" si="56"/>
        <v>0.20640860271234154</v>
      </c>
      <c r="AD21" s="219">
        <f t="shared" si="56"/>
        <v>2.3805163076434644E-2</v>
      </c>
      <c r="AE21" s="219">
        <f t="shared" si="56"/>
        <v>8.4547872915330224E-2</v>
      </c>
      <c r="AF21" s="219">
        <f t="shared" si="56"/>
        <v>0.43089105309938669</v>
      </c>
      <c r="AG21" s="219">
        <f t="shared" si="56"/>
        <v>0.60916108483456755</v>
      </c>
      <c r="AH21" s="219">
        <f t="shared" si="56"/>
        <v>0.65791637105975131</v>
      </c>
      <c r="AI21" s="219">
        <f t="shared" si="56"/>
        <v>0.56783803281479395</v>
      </c>
      <c r="AJ21" s="219">
        <f t="shared" si="56"/>
        <v>-8.8366161007525729E-2</v>
      </c>
      <c r="AK21" s="219">
        <f t="shared" si="56"/>
        <v>1.0149260488443308</v>
      </c>
      <c r="AL21" s="219">
        <f t="shared" si="56"/>
        <v>0.20556358274546171</v>
      </c>
      <c r="AM21" s="219" t="e">
        <f t="shared" si="56"/>
        <v>#DIV/0!</v>
      </c>
      <c r="AN21" s="219">
        <f t="shared" si="56"/>
        <v>-0.2417482599539553</v>
      </c>
      <c r="AO21" s="219">
        <f t="shared" si="56"/>
        <v>1.090765071525716</v>
      </c>
      <c r="AP21" s="219">
        <f t="shared" si="56"/>
        <v>1.5695275293219197</v>
      </c>
      <c r="AQ21" s="219">
        <f t="shared" si="56"/>
        <v>2.7966960290777783</v>
      </c>
      <c r="AR21" s="219">
        <f t="shared" si="56"/>
        <v>5.0514592335746844</v>
      </c>
      <c r="AS21" s="219" t="e">
        <f t="shared" si="56"/>
        <v>#DIV/0!</v>
      </c>
    </row>
    <row r="22" spans="1:74" s="191" customFormat="1">
      <c r="A22" s="191" t="s">
        <v>301</v>
      </c>
      <c r="E22" s="191">
        <f>I35</f>
        <v>798159068.22000003</v>
      </c>
      <c r="F22" s="191">
        <f t="shared" ref="F22:Y22" si="57">J35</f>
        <v>636697461.95000005</v>
      </c>
      <c r="G22" s="191">
        <f t="shared" si="57"/>
        <v>558046066.27999997</v>
      </c>
      <c r="H22" s="191">
        <f t="shared" si="57"/>
        <v>437744807.25999999</v>
      </c>
      <c r="I22" s="191">
        <f t="shared" si="57"/>
        <v>546081549.03999996</v>
      </c>
      <c r="J22" s="191">
        <f t="shared" si="57"/>
        <v>403712468.94</v>
      </c>
      <c r="K22" s="191">
        <f t="shared" si="57"/>
        <v>192454966.77000001</v>
      </c>
      <c r="L22" s="191">
        <f t="shared" si="57"/>
        <v>287278734.86000001</v>
      </c>
      <c r="M22" s="191">
        <f t="shared" si="57"/>
        <v>296152955</v>
      </c>
      <c r="N22" s="191">
        <f t="shared" si="57"/>
        <v>228581798.34999999</v>
      </c>
      <c r="O22" s="191">
        <f t="shared" si="57"/>
        <v>76264788.909999996</v>
      </c>
      <c r="P22" s="191">
        <f t="shared" si="57"/>
        <v>81609545.260000005</v>
      </c>
      <c r="Q22" s="191">
        <f t="shared" si="57"/>
        <v>117019801.84</v>
      </c>
      <c r="R22" s="191">
        <f t="shared" si="57"/>
        <v>288407000.22000003</v>
      </c>
      <c r="S22" s="191">
        <f t="shared" si="57"/>
        <v>395385802.33999997</v>
      </c>
      <c r="T22" s="191">
        <f t="shared" si="57"/>
        <v>415229005.37</v>
      </c>
      <c r="U22" s="191">
        <f t="shared" si="57"/>
        <v>446558631.75</v>
      </c>
      <c r="V22" s="191">
        <f t="shared" si="57"/>
        <v>445462625.06999999</v>
      </c>
      <c r="W22" s="191">
        <f t="shared" si="57"/>
        <v>448243718.80000001</v>
      </c>
      <c r="X22" s="191">
        <f t="shared" si="57"/>
        <v>475663134.92000002</v>
      </c>
      <c r="Y22" s="191">
        <f t="shared" si="57"/>
        <v>543271781.39999998</v>
      </c>
      <c r="Z22" s="191">
        <f t="shared" ref="Z22" si="58">AD35</f>
        <v>583991549.62</v>
      </c>
      <c r="AA22" s="191">
        <f t="shared" ref="AA22" si="59">AE35</f>
        <v>61509212.060000002</v>
      </c>
      <c r="AB22" s="191">
        <f t="shared" ref="AB22" si="60">AF35</f>
        <v>71515655.140000001</v>
      </c>
      <c r="AC22" s="191">
        <f t="shared" ref="AC22" si="61">AG35</f>
        <v>80573415.659999996</v>
      </c>
      <c r="AD22" s="191">
        <f t="shared" ref="AD22" si="62">AH35</f>
        <v>55436295.049999997</v>
      </c>
      <c r="AE22" s="191">
        <f t="shared" ref="AE22" si="63">AI35</f>
        <v>17079246.809999999</v>
      </c>
      <c r="AF22" s="191">
        <f t="shared" ref="AF22" si="64">AJ35</f>
        <v>0</v>
      </c>
      <c r="AG22" s="191">
        <f t="shared" ref="AG22" si="65">AK35</f>
        <v>0</v>
      </c>
      <c r="AH22" s="191">
        <f t="shared" ref="AH22" si="66">AL35</f>
        <v>0</v>
      </c>
      <c r="AI22" s="191">
        <f t="shared" ref="AI22" si="67">AM35</f>
        <v>0</v>
      </c>
      <c r="AJ22" s="191">
        <f t="shared" ref="AJ22" si="68">AN35</f>
        <v>0</v>
      </c>
      <c r="AK22" s="191">
        <f t="shared" ref="AK22" si="69">AO35</f>
        <v>0</v>
      </c>
      <c r="AL22" s="191">
        <f t="shared" ref="AL22" si="70">AP35</f>
        <v>0</v>
      </c>
      <c r="AM22" s="191">
        <f t="shared" ref="AM22" si="71">AQ35</f>
        <v>0</v>
      </c>
      <c r="AN22" s="191">
        <f t="shared" ref="AN22" si="72">AR35</f>
        <v>0</v>
      </c>
      <c r="AO22" s="191">
        <f t="shared" ref="AO22" si="73">AS35</f>
        <v>0</v>
      </c>
      <c r="AP22" s="191">
        <f t="shared" ref="AP22" si="74">AT35</f>
        <v>0</v>
      </c>
      <c r="AQ22" s="191">
        <f t="shared" ref="AQ22" si="75">AU35</f>
        <v>0</v>
      </c>
      <c r="AR22" s="191">
        <f t="shared" ref="AR22" si="76">AV35</f>
        <v>0</v>
      </c>
      <c r="AS22" s="191">
        <f t="shared" ref="AS22" si="77">AW35</f>
        <v>0</v>
      </c>
    </row>
    <row r="23" spans="1:74" s="191" customFormat="1">
      <c r="A23" s="191" t="s">
        <v>302</v>
      </c>
      <c r="E23" s="191">
        <f>E20+E22-E19</f>
        <v>1127830139.26</v>
      </c>
      <c r="F23" s="191">
        <f t="shared" ref="F23:AS23" si="78">F20+F22-F19</f>
        <v>823250121.99000001</v>
      </c>
      <c r="G23" s="191">
        <f t="shared" si="78"/>
        <v>737100314.77999997</v>
      </c>
      <c r="H23" s="191">
        <f t="shared" si="78"/>
        <v>387336134.60000002</v>
      </c>
      <c r="I23" s="191">
        <f t="shared" si="78"/>
        <v>1012659540.03</v>
      </c>
      <c r="J23" s="191">
        <f t="shared" si="78"/>
        <v>684822874.50999999</v>
      </c>
      <c r="K23" s="191">
        <f t="shared" si="78"/>
        <v>339522876.08000004</v>
      </c>
      <c r="L23" s="191">
        <f t="shared" si="78"/>
        <v>357982645.94</v>
      </c>
      <c r="M23" s="191">
        <f t="shared" si="78"/>
        <v>308486544</v>
      </c>
      <c r="N23" s="191">
        <f t="shared" si="78"/>
        <v>61688750.75999999</v>
      </c>
      <c r="O23" s="191">
        <f t="shared" si="78"/>
        <v>-35299363.770000011</v>
      </c>
      <c r="P23" s="191">
        <f t="shared" si="78"/>
        <v>45142792.060000002</v>
      </c>
      <c r="Q23" s="191">
        <f t="shared" si="78"/>
        <v>-223156104.41999996</v>
      </c>
      <c r="R23" s="191">
        <f t="shared" si="78"/>
        <v>246752436.51000002</v>
      </c>
      <c r="S23" s="191">
        <f t="shared" si="78"/>
        <v>351363733.39999998</v>
      </c>
      <c r="T23" s="191">
        <f t="shared" si="78"/>
        <v>376540360.65999997</v>
      </c>
      <c r="U23" s="191">
        <f t="shared" si="78"/>
        <v>185986924.48000002</v>
      </c>
      <c r="V23" s="191">
        <f t="shared" si="78"/>
        <v>385762606.14999998</v>
      </c>
      <c r="W23" s="191">
        <f t="shared" si="78"/>
        <v>425586642.58000004</v>
      </c>
      <c r="X23" s="191">
        <f t="shared" si="78"/>
        <v>436181309.85000002</v>
      </c>
      <c r="Y23" s="191">
        <f t="shared" si="78"/>
        <v>412896576.4799999</v>
      </c>
      <c r="Z23" s="191">
        <f t="shared" si="78"/>
        <v>457016968.92000008</v>
      </c>
      <c r="AA23" s="191">
        <f t="shared" si="78"/>
        <v>-32304472.329999998</v>
      </c>
      <c r="AB23" s="191">
        <f t="shared" si="78"/>
        <v>9599983.4099999964</v>
      </c>
      <c r="AC23" s="191">
        <f t="shared" si="78"/>
        <v>-116062808.35999998</v>
      </c>
      <c r="AD23" s="191">
        <f t="shared" si="78"/>
        <v>-121192113.97000001</v>
      </c>
      <c r="AE23" s="191">
        <f t="shared" si="78"/>
        <v>-98691282.840000004</v>
      </c>
      <c r="AF23" s="191">
        <f t="shared" si="78"/>
        <v>-27845225.780000001</v>
      </c>
      <c r="AG23" s="191">
        <f t="shared" si="78"/>
        <v>-61704850.739999995</v>
      </c>
      <c r="AH23" s="191">
        <f t="shared" si="78"/>
        <v>-35702417.310000002</v>
      </c>
      <c r="AI23" s="191">
        <f t="shared" si="78"/>
        <v>-29982298.329999998</v>
      </c>
      <c r="AJ23" s="191">
        <f t="shared" si="78"/>
        <v>-40124446.109999999</v>
      </c>
      <c r="AK23" s="191">
        <f t="shared" si="78"/>
        <v>1847592.900000006</v>
      </c>
      <c r="AL23" s="191">
        <f t="shared" si="78"/>
        <v>-54505166.499999993</v>
      </c>
      <c r="AM23" s="191">
        <f t="shared" si="78"/>
        <v>0</v>
      </c>
      <c r="AN23" s="191">
        <f t="shared" si="78"/>
        <v>-757145243</v>
      </c>
      <c r="AO23" s="191">
        <f t="shared" si="78"/>
        <v>93860969</v>
      </c>
      <c r="AP23" s="191">
        <f t="shared" si="78"/>
        <v>462361884</v>
      </c>
      <c r="AQ23" s="191">
        <f t="shared" si="78"/>
        <v>665281610</v>
      </c>
      <c r="AR23" s="191">
        <f t="shared" si="78"/>
        <v>608558238</v>
      </c>
      <c r="AS23" s="191">
        <f t="shared" si="78"/>
        <v>2292098399</v>
      </c>
    </row>
    <row r="24" spans="1:74" s="219" customFormat="1">
      <c r="A24" s="219" t="s">
        <v>303</v>
      </c>
      <c r="B24" s="191">
        <v>4182415792.4299998</v>
      </c>
      <c r="C24" s="191">
        <v>4159166493.9099998</v>
      </c>
      <c r="D24" s="191">
        <v>4064691837.2800002</v>
      </c>
      <c r="E24" s="191">
        <v>-99286236.129999995</v>
      </c>
      <c r="F24" s="191">
        <v>-84006070.129999995</v>
      </c>
      <c r="G24" s="191">
        <v>-26273929.739999998</v>
      </c>
      <c r="H24" s="191">
        <v>12829140.810000001</v>
      </c>
      <c r="I24" s="191">
        <v>-204303594.58000001</v>
      </c>
      <c r="J24" s="191">
        <v>-184848197.83000001</v>
      </c>
      <c r="K24" s="191">
        <v>-45927602.850000001</v>
      </c>
      <c r="L24" s="191">
        <v>-35100860.409999996</v>
      </c>
      <c r="M24" s="191">
        <v>233059413.56</v>
      </c>
      <c r="N24" s="191">
        <v>232404869.46000001</v>
      </c>
      <c r="O24" s="191">
        <v>208104.19</v>
      </c>
      <c r="P24" s="191">
        <v>31968186.109999999</v>
      </c>
      <c r="Q24" s="191">
        <v>457387363.81999999</v>
      </c>
      <c r="R24" s="191">
        <v>447629344.37</v>
      </c>
      <c r="S24" s="191">
        <v>21369533.030000001</v>
      </c>
      <c r="T24" s="191">
        <v>12212625.199999999</v>
      </c>
      <c r="U24" s="191">
        <v>-122991317.05</v>
      </c>
      <c r="V24" s="191">
        <v>-115030060.78</v>
      </c>
      <c r="W24" s="191">
        <v>-28370311.710000001</v>
      </c>
      <c r="X24" s="191">
        <v>8169708.4400000004</v>
      </c>
      <c r="Y24" s="191">
        <v>29147441.25</v>
      </c>
      <c r="Z24" s="191">
        <v>25436803.559999999</v>
      </c>
      <c r="AA24" s="191">
        <v>-3511950.1</v>
      </c>
      <c r="AB24" s="191">
        <v>-5678195.71</v>
      </c>
      <c r="AC24" s="191">
        <v>671136726.36000001</v>
      </c>
      <c r="AD24" s="191">
        <v>679348696.77999997</v>
      </c>
      <c r="AE24" s="191">
        <v>87912874.310000002</v>
      </c>
      <c r="AF24" s="191">
        <v>18880330.649999999</v>
      </c>
      <c r="AG24" s="191">
        <v>80608012.079999998</v>
      </c>
      <c r="AH24" s="191">
        <v>55108761.369999997</v>
      </c>
      <c r="AI24" s="191">
        <v>62453332.140000001</v>
      </c>
      <c r="AJ24" s="191">
        <v>36468833.990000002</v>
      </c>
      <c r="AK24" s="191">
        <v>40294818.240000002</v>
      </c>
      <c r="AL24" s="191">
        <v>30212652.190000001</v>
      </c>
      <c r="AM24" s="191">
        <v>0</v>
      </c>
      <c r="AN24" s="191">
        <v>946911788</v>
      </c>
      <c r="AO24" s="191">
        <v>1933372006</v>
      </c>
      <c r="AP24" s="191">
        <v>771527021</v>
      </c>
      <c r="AQ24" s="191">
        <v>-505898251</v>
      </c>
      <c r="AR24" s="191">
        <v>-588962597</v>
      </c>
      <c r="AS24" s="191">
        <v>-4293200502</v>
      </c>
      <c r="AT24" s="191">
        <v>-3126883954</v>
      </c>
      <c r="AU24" s="191">
        <v>-2423175275</v>
      </c>
      <c r="AV24" s="191">
        <v>-1074583943</v>
      </c>
      <c r="AW24" s="191">
        <v>-334594446</v>
      </c>
      <c r="AX24" s="191">
        <v>529105655</v>
      </c>
      <c r="AY24" s="191">
        <v>-271301612</v>
      </c>
      <c r="AZ24" s="191">
        <v>29318502</v>
      </c>
      <c r="BA24" s="191">
        <v>5087772074</v>
      </c>
      <c r="BB24" s="191">
        <v>5925748911.0200005</v>
      </c>
      <c r="BC24" s="191">
        <v>6478505350</v>
      </c>
      <c r="BD24" s="191">
        <v>1097088132</v>
      </c>
      <c r="BE24" s="191">
        <v>4716385826</v>
      </c>
      <c r="BF24" s="191">
        <v>3837539025.46</v>
      </c>
      <c r="BG24" s="191">
        <v>1205182176.78</v>
      </c>
      <c r="BH24" s="191">
        <v>1196824407.01</v>
      </c>
      <c r="BI24" s="191">
        <v>3410208813</v>
      </c>
      <c r="BJ24" s="191">
        <v>1801791805.71</v>
      </c>
      <c r="BK24" s="191">
        <v>2093920944.8</v>
      </c>
      <c r="BL24" s="191">
        <v>2292563657.3899999</v>
      </c>
      <c r="BM24" s="191">
        <v>1662330154</v>
      </c>
      <c r="BN24" s="191">
        <v>217040345.68000001</v>
      </c>
      <c r="BO24" s="191">
        <v>-178621621</v>
      </c>
      <c r="BP24" s="191">
        <v>-301702338.36000001</v>
      </c>
      <c r="BQ24" s="191">
        <v>1463160347</v>
      </c>
      <c r="BR24" s="191">
        <v>257996357</v>
      </c>
      <c r="BS24" s="191">
        <v>240196122</v>
      </c>
      <c r="BT24" s="191">
        <v>38441000</v>
      </c>
      <c r="BU24" s="191">
        <v>0</v>
      </c>
      <c r="BV24" s="191">
        <v>0</v>
      </c>
    </row>
    <row r="25" spans="1:74" s="240" customFormat="1" ht="138.6" customHeight="1">
      <c r="A25" s="281" t="s">
        <v>739</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2"/>
      <c r="AI25" s="282"/>
      <c r="AJ25" s="282"/>
      <c r="AK25" s="282"/>
    </row>
    <row r="26" spans="1:74" s="26" customFormat="1">
      <c r="A26" s="17" t="s">
        <v>627</v>
      </c>
      <c r="E26" s="26">
        <f>现金流量表!E15</f>
        <v>85847000</v>
      </c>
      <c r="F26" s="26">
        <f>现金流量表!F15</f>
        <v>16397000</v>
      </c>
      <c r="G26" s="26">
        <f>现金流量表!G15</f>
        <v>6490000</v>
      </c>
      <c r="H26" s="26">
        <f>现金流量表!H15</f>
        <v>4115000</v>
      </c>
      <c r="I26" s="26">
        <f>现金流量表!I15</f>
        <v>17071096.620000001</v>
      </c>
      <c r="J26" s="26">
        <f>现金流量表!J15</f>
        <v>12323000</v>
      </c>
      <c r="K26" s="26">
        <f>现金流量表!K15</f>
        <v>10070000</v>
      </c>
      <c r="L26" s="26">
        <f>现金流量表!L15</f>
        <v>2657000</v>
      </c>
      <c r="M26" s="26">
        <f>现金流量表!M15</f>
        <v>28120000</v>
      </c>
      <c r="N26" s="26">
        <f>现金流量表!N15</f>
        <v>25500000</v>
      </c>
      <c r="O26" s="26">
        <f>现金流量表!O15</f>
        <v>22650000</v>
      </c>
      <c r="P26" s="26">
        <f>现金流量表!P15</f>
        <v>3405000</v>
      </c>
      <c r="Q26" s="26">
        <f>现金流量表!Q15</f>
        <v>84630000</v>
      </c>
      <c r="R26" s="26">
        <f>现金流量表!R15</f>
        <v>67477000</v>
      </c>
      <c r="S26" s="26">
        <f>现金流量表!S15</f>
        <v>5440000</v>
      </c>
      <c r="T26" s="26">
        <f>现金流量表!T15</f>
        <v>2640000</v>
      </c>
      <c r="U26" s="26">
        <f>现金流量表!U15</f>
        <v>9650000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628</v>
      </c>
      <c r="E27" s="26">
        <f>现金流量表!E22</f>
        <v>371468293.67000002</v>
      </c>
      <c r="F27" s="26">
        <f>现金流量表!F22</f>
        <v>228265000</v>
      </c>
      <c r="G27" s="26">
        <f>现金流量表!G22</f>
        <v>118415000</v>
      </c>
      <c r="H27" s="26">
        <f>现金流量表!H22</f>
        <v>26020000</v>
      </c>
      <c r="I27" s="26">
        <f>现金流量表!I22</f>
        <v>303110000</v>
      </c>
      <c r="J27" s="26">
        <f>现金流量表!J22</f>
        <v>240886973.81</v>
      </c>
      <c r="K27" s="26">
        <f>现金流量表!K22</f>
        <v>189046973.81</v>
      </c>
      <c r="L27" s="26">
        <f>现金流量表!L22</f>
        <v>174100000</v>
      </c>
      <c r="M27" s="26">
        <f>现金流量表!M22</f>
        <v>19490000</v>
      </c>
      <c r="N27" s="26">
        <f>现金流量表!N22</f>
        <v>13240000</v>
      </c>
      <c r="O27" s="26">
        <f>现金流量表!O22</f>
        <v>11120000</v>
      </c>
      <c r="P27" s="26">
        <f>现金流量表!P22</f>
        <v>8000000</v>
      </c>
      <c r="Q27" s="26">
        <f>现金流量表!Q22</f>
        <v>26130000</v>
      </c>
      <c r="R27" s="26">
        <f>现金流量表!R22</f>
        <v>401710001</v>
      </c>
      <c r="S27" s="26">
        <f>现金流量表!S22</f>
        <v>3710000</v>
      </c>
      <c r="T27" s="26">
        <f>现金流量表!T22</f>
        <v>1280000</v>
      </c>
      <c r="U27" s="26">
        <f>现金流量表!U22</f>
        <v>11500000</v>
      </c>
      <c r="V27" s="26">
        <f>现金流量表!V22</f>
        <v>0</v>
      </c>
      <c r="W27" s="26">
        <f>现金流量表!W22</f>
        <v>0</v>
      </c>
      <c r="X27" s="26">
        <f>现金流量表!X22</f>
        <v>0</v>
      </c>
      <c r="Y27" s="26">
        <f>现金流量表!Y22</f>
        <v>0</v>
      </c>
      <c r="Z27" s="26">
        <f>现金流量表!Z22</f>
        <v>217600</v>
      </c>
      <c r="AA27" s="26">
        <f>现金流量表!AA22</f>
        <v>217600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5000000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629</v>
      </c>
      <c r="E28" s="26">
        <f>E27-E26</f>
        <v>285621293.67000002</v>
      </c>
      <c r="F28" s="26">
        <f t="shared" ref="F28:BQ28" si="79">F27-F26</f>
        <v>211868000</v>
      </c>
      <c r="G28" s="26">
        <f t="shared" si="79"/>
        <v>111925000</v>
      </c>
      <c r="H28" s="26">
        <f t="shared" si="79"/>
        <v>21905000</v>
      </c>
      <c r="I28" s="26">
        <f t="shared" si="79"/>
        <v>286038903.38</v>
      </c>
      <c r="J28" s="26">
        <f t="shared" si="79"/>
        <v>228563973.81</v>
      </c>
      <c r="K28" s="26">
        <f t="shared" si="79"/>
        <v>178976973.81</v>
      </c>
      <c r="L28" s="26">
        <f t="shared" si="79"/>
        <v>171443000</v>
      </c>
      <c r="M28" s="26">
        <f t="shared" si="79"/>
        <v>-8630000</v>
      </c>
      <c r="N28" s="26">
        <f t="shared" si="79"/>
        <v>-12260000</v>
      </c>
      <c r="O28" s="26">
        <f t="shared" si="79"/>
        <v>-11530000</v>
      </c>
      <c r="P28" s="26">
        <f t="shared" si="79"/>
        <v>4595000</v>
      </c>
      <c r="Q28" s="26">
        <f t="shared" si="79"/>
        <v>-58500000</v>
      </c>
      <c r="R28" s="26">
        <f t="shared" si="79"/>
        <v>334233001</v>
      </c>
      <c r="S28" s="26">
        <f t="shared" si="79"/>
        <v>-1730000</v>
      </c>
      <c r="T28" s="26">
        <f t="shared" si="79"/>
        <v>-1360000</v>
      </c>
      <c r="U28" s="26">
        <f t="shared" si="79"/>
        <v>1850000</v>
      </c>
      <c r="V28" s="26">
        <f t="shared" si="79"/>
        <v>0</v>
      </c>
      <c r="W28" s="26">
        <f t="shared" si="79"/>
        <v>0</v>
      </c>
      <c r="X28" s="26">
        <f t="shared" si="79"/>
        <v>0</v>
      </c>
      <c r="Y28" s="26">
        <f t="shared" si="79"/>
        <v>0</v>
      </c>
      <c r="Z28" s="26">
        <f t="shared" si="79"/>
        <v>217600</v>
      </c>
      <c r="AA28" s="26">
        <f t="shared" si="79"/>
        <v>217600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5000000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149999999999999" customHeight="1">
      <c r="A29" s="179" t="s">
        <v>630</v>
      </c>
      <c r="E29" s="180">
        <f>POWER(E28/U28,1/5)-1</f>
        <v>1.7398309714705538</v>
      </c>
    </row>
    <row r="30" spans="1:74" s="30" customFormat="1" ht="15" customHeight="1" thickBot="1">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39813</v>
      </c>
      <c r="AM30" s="1">
        <v>25569</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45" customHeight="1">
      <c r="A31" s="110" t="s">
        <v>310</v>
      </c>
      <c r="B31" s="188">
        <v>9856762522.0300007</v>
      </c>
      <c r="C31" s="188">
        <v>9603385604.7000008</v>
      </c>
      <c r="D31" s="188">
        <v>9191924498.4599991</v>
      </c>
      <c r="E31" s="188">
        <v>4094440918.4699998</v>
      </c>
      <c r="F31" s="188">
        <v>3849507573.0900002</v>
      </c>
      <c r="G31" s="188">
        <v>3740329263.6999998</v>
      </c>
      <c r="H31" s="188">
        <v>3619813512.6500001</v>
      </c>
      <c r="I31" s="188">
        <v>3568238219.46</v>
      </c>
      <c r="J31" s="188">
        <v>3480622803.6900001</v>
      </c>
      <c r="K31" s="188">
        <v>3425279819.0700002</v>
      </c>
      <c r="L31" s="188">
        <v>3370379451.6799998</v>
      </c>
      <c r="M31" s="188">
        <v>3196681330.3000002</v>
      </c>
      <c r="N31" s="188">
        <v>3178597136.0100002</v>
      </c>
      <c r="O31" s="188">
        <v>3154614690.4000001</v>
      </c>
      <c r="P31" s="188">
        <v>2858566476.9200001</v>
      </c>
      <c r="Q31" s="188">
        <v>2821257730.4299998</v>
      </c>
      <c r="R31" s="188">
        <v>2763767482.4099998</v>
      </c>
      <c r="S31" s="188">
        <v>1090431178.7</v>
      </c>
      <c r="T31" s="188">
        <v>1065290545.74</v>
      </c>
      <c r="U31" s="188">
        <v>1029096146.12</v>
      </c>
      <c r="V31" s="188">
        <v>916861473.82000005</v>
      </c>
      <c r="W31" s="188">
        <v>899890040.64999998</v>
      </c>
      <c r="X31" s="188">
        <v>856624245.05999994</v>
      </c>
      <c r="Y31" s="188">
        <v>771446100.32000005</v>
      </c>
      <c r="Z31" s="188">
        <v>703020134.75</v>
      </c>
      <c r="AA31" s="188">
        <v>677541144.30999994</v>
      </c>
      <c r="AB31" s="188">
        <v>635689165.73000002</v>
      </c>
      <c r="AC31" s="188">
        <v>610177408.24000001</v>
      </c>
      <c r="AD31" s="188">
        <v>561481166.71000004</v>
      </c>
      <c r="AE31" s="188">
        <v>508127382.36000001</v>
      </c>
      <c r="AF31" s="188">
        <v>433486812.39999998</v>
      </c>
      <c r="AG31" s="188">
        <v>393436199.32999998</v>
      </c>
      <c r="AH31" s="188">
        <v>266827231.47</v>
      </c>
      <c r="AI31" s="188">
        <v>141288790.53</v>
      </c>
      <c r="AJ31" s="188">
        <v>0</v>
      </c>
      <c r="AK31" s="188"/>
      <c r="AL31" s="188"/>
      <c r="AM31" s="188"/>
      <c r="AN31" s="188">
        <v>8630488260</v>
      </c>
      <c r="AO31" s="188">
        <v>8339376532</v>
      </c>
      <c r="AP31" s="188">
        <v>8608939981</v>
      </c>
      <c r="AQ31" s="188">
        <v>8844347092</v>
      </c>
      <c r="AR31" s="188">
        <v>8551800331</v>
      </c>
      <c r="AS31" s="188">
        <v>8716752466</v>
      </c>
      <c r="AT31" s="188">
        <v>10103679480</v>
      </c>
      <c r="AU31" s="188">
        <v>10311918629</v>
      </c>
      <c r="AV31" s="188">
        <v>10619076220</v>
      </c>
      <c r="AW31" s="188">
        <v>11725754090</v>
      </c>
      <c r="AX31" s="188">
        <v>11785581265</v>
      </c>
      <c r="AY31" s="188">
        <v>14055686914</v>
      </c>
      <c r="AZ31" s="188">
        <v>14395067906</v>
      </c>
      <c r="BA31" s="188">
        <v>14607732167</v>
      </c>
      <c r="BB31" s="188">
        <v>14643176446</v>
      </c>
      <c r="BC31" s="188">
        <v>14905621582</v>
      </c>
      <c r="BD31" s="188">
        <v>13376945399</v>
      </c>
      <c r="BE31" s="188">
        <v>12576086418</v>
      </c>
      <c r="BF31" s="188">
        <v>8384459595.5600004</v>
      </c>
      <c r="BG31" s="188">
        <v>6735689343.8299999</v>
      </c>
      <c r="BH31" s="188">
        <v>6653641717.5200005</v>
      </c>
      <c r="BI31" s="188">
        <v>6418171245</v>
      </c>
      <c r="BJ31" s="188">
        <v>5442187708.7399998</v>
      </c>
      <c r="BK31" s="188">
        <v>5370836546.21</v>
      </c>
      <c r="BL31" s="188">
        <v>5328764572.8900003</v>
      </c>
      <c r="BM31" s="188">
        <v>2398206104</v>
      </c>
      <c r="BN31" s="188">
        <v>2235497541.7199998</v>
      </c>
      <c r="BO31" s="188">
        <v>2150428180.9899998</v>
      </c>
      <c r="BP31" s="188">
        <v>2057084094.0699999</v>
      </c>
      <c r="BQ31" s="188">
        <v>1831907677</v>
      </c>
      <c r="BR31" s="188">
        <v>1567571128.8299999</v>
      </c>
      <c r="BS31" s="188">
        <v>1388404848</v>
      </c>
      <c r="BT31" s="188">
        <v>1334100190</v>
      </c>
      <c r="BU31" s="188">
        <v>1204582449</v>
      </c>
      <c r="BV31" s="188">
        <v>1686369507.6900001</v>
      </c>
    </row>
    <row r="32" spans="1:74" s="54" customFormat="1" ht="15" customHeight="1">
      <c r="A32" s="136" t="s">
        <v>311</v>
      </c>
      <c r="B32" s="188">
        <v>7463719802.5799999</v>
      </c>
      <c r="C32" s="188">
        <v>7071058670.0600004</v>
      </c>
      <c r="D32" s="188">
        <v>6903591884.2799997</v>
      </c>
      <c r="E32" s="188">
        <v>1999672349.53</v>
      </c>
      <c r="F32" s="188">
        <v>1862333518.8900001</v>
      </c>
      <c r="G32" s="188">
        <v>1862333518.8900001</v>
      </c>
      <c r="H32" s="188">
        <v>1859320965.1800001</v>
      </c>
      <c r="I32" s="188">
        <v>1862333518.8900001</v>
      </c>
      <c r="J32" s="188">
        <v>1852321266</v>
      </c>
      <c r="K32" s="188">
        <v>1852321266</v>
      </c>
      <c r="L32" s="188">
        <v>1795942417.78</v>
      </c>
      <c r="M32" s="188">
        <v>1795942417.78</v>
      </c>
      <c r="N32" s="188">
        <v>1795317100.8099999</v>
      </c>
      <c r="O32" s="188">
        <v>1795317100.8099999</v>
      </c>
      <c r="P32" s="188">
        <v>1503388390.6900001</v>
      </c>
      <c r="Q32" s="188">
        <v>1503388390.6900001</v>
      </c>
      <c r="R32" s="188">
        <v>1495385207.3299999</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c r="AL32" s="188"/>
      <c r="AM32" s="188"/>
      <c r="AN32" s="188">
        <v>47364310</v>
      </c>
      <c r="AO32" s="188">
        <v>47364310</v>
      </c>
      <c r="AP32" s="188">
        <v>59317773</v>
      </c>
      <c r="AQ32" s="188">
        <v>59317773</v>
      </c>
      <c r="AR32" s="188">
        <v>47364310</v>
      </c>
      <c r="AS32" s="188">
        <v>47364310</v>
      </c>
      <c r="AT32" s="188">
        <v>49722765</v>
      </c>
      <c r="AU32" s="188">
        <v>49722765</v>
      </c>
      <c r="AV32" s="188">
        <v>49722765</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149999999999999" customHeight="1">
      <c r="A33" s="136" t="s">
        <v>312</v>
      </c>
      <c r="B33" s="188">
        <v>526110372.89999998</v>
      </c>
      <c r="C33" s="188">
        <v>380294533.20999998</v>
      </c>
      <c r="D33" s="188">
        <v>495656793.67000002</v>
      </c>
      <c r="E33" s="188">
        <v>431548293.67000002</v>
      </c>
      <c r="F33" s="188">
        <v>415325000</v>
      </c>
      <c r="G33" s="188">
        <v>333325000</v>
      </c>
      <c r="H33" s="188">
        <v>274750000</v>
      </c>
      <c r="I33" s="188">
        <v>231150000</v>
      </c>
      <c r="J33" s="188">
        <v>207100000</v>
      </c>
      <c r="K33" s="188">
        <v>177100000</v>
      </c>
      <c r="L33" s="188">
        <v>31150000</v>
      </c>
      <c r="M33" s="188">
        <v>13150000</v>
      </c>
      <c r="N33" s="188">
        <v>11400000</v>
      </c>
      <c r="O33" s="188">
        <v>9900000</v>
      </c>
      <c r="P33" s="188">
        <v>9900000</v>
      </c>
      <c r="Q33" s="188">
        <v>6800000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c r="AL33" s="188"/>
      <c r="AM33" s="188"/>
      <c r="AN33" s="188">
        <v>50921082</v>
      </c>
      <c r="AO33" s="188">
        <v>53707522</v>
      </c>
      <c r="AP33" s="188">
        <v>50176512</v>
      </c>
      <c r="AQ33" s="188">
        <v>86954969</v>
      </c>
      <c r="AR33" s="188">
        <v>101064099</v>
      </c>
      <c r="AS33" s="188">
        <v>129109597</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4.25" thickBot="1">
      <c r="A34" s="137" t="s">
        <v>315</v>
      </c>
      <c r="B34" s="49"/>
      <c r="C34" s="49"/>
      <c r="D34" s="49"/>
      <c r="E34" s="49">
        <f>E31-E32-E33</f>
        <v>1663220275.2699997</v>
      </c>
      <c r="F34" s="49">
        <f t="shared" ref="F34:BP34" si="81">F31-F32-F33</f>
        <v>1571849054.2</v>
      </c>
      <c r="G34" s="49">
        <f t="shared" si="81"/>
        <v>1544670744.8099997</v>
      </c>
      <c r="H34" s="49">
        <f t="shared" si="81"/>
        <v>1485742547.47</v>
      </c>
      <c r="I34" s="49">
        <f t="shared" si="81"/>
        <v>1474754700.5699999</v>
      </c>
      <c r="J34" s="49">
        <f t="shared" si="81"/>
        <v>1421201537.6900001</v>
      </c>
      <c r="K34" s="49">
        <f t="shared" si="81"/>
        <v>1395858553.0700002</v>
      </c>
      <c r="L34" s="49">
        <f t="shared" si="81"/>
        <v>1543287033.8999999</v>
      </c>
      <c r="M34" s="49">
        <f t="shared" si="81"/>
        <v>1387588912.5200002</v>
      </c>
      <c r="N34" s="49">
        <f t="shared" si="81"/>
        <v>1371880035.2000003</v>
      </c>
      <c r="O34" s="49">
        <f t="shared" si="81"/>
        <v>1349397589.5900002</v>
      </c>
      <c r="P34" s="49">
        <f t="shared" si="81"/>
        <v>1345278086.23</v>
      </c>
      <c r="Q34" s="49">
        <f t="shared" si="81"/>
        <v>1311069339.7399998</v>
      </c>
      <c r="R34" s="49">
        <f t="shared" si="81"/>
        <v>1268382275.0799999</v>
      </c>
      <c r="S34" s="49">
        <f t="shared" si="81"/>
        <v>1090431178.7</v>
      </c>
      <c r="T34" s="49">
        <f t="shared" si="81"/>
        <v>1065290545.74</v>
      </c>
      <c r="U34" s="49">
        <f t="shared" si="81"/>
        <v>1029096146.12</v>
      </c>
      <c r="V34" s="49">
        <f t="shared" si="81"/>
        <v>916861473.82000005</v>
      </c>
      <c r="W34" s="49">
        <f t="shared" si="81"/>
        <v>899890040.64999998</v>
      </c>
      <c r="X34" s="49">
        <f t="shared" si="81"/>
        <v>856624245.05999994</v>
      </c>
      <c r="Y34" s="49">
        <f t="shared" si="81"/>
        <v>771446100.32000005</v>
      </c>
      <c r="Z34" s="49">
        <f t="shared" si="81"/>
        <v>703020134.75</v>
      </c>
      <c r="AA34" s="49">
        <f t="shared" si="81"/>
        <v>677541144.30999994</v>
      </c>
      <c r="AB34" s="49">
        <f t="shared" si="81"/>
        <v>635689165.73000002</v>
      </c>
      <c r="AC34" s="49">
        <f t="shared" si="81"/>
        <v>610177408.24000001</v>
      </c>
      <c r="AD34" s="49">
        <f t="shared" si="81"/>
        <v>561481166.71000004</v>
      </c>
      <c r="AE34" s="49">
        <f t="shared" si="81"/>
        <v>508127382.36000001</v>
      </c>
      <c r="AF34" s="49">
        <f t="shared" si="81"/>
        <v>433486812.39999998</v>
      </c>
      <c r="AG34" s="49">
        <f t="shared" si="81"/>
        <v>393436199.32999998</v>
      </c>
      <c r="AH34" s="49">
        <f t="shared" si="81"/>
        <v>266827231.47</v>
      </c>
      <c r="AI34" s="49">
        <f t="shared" si="81"/>
        <v>141288790.53</v>
      </c>
      <c r="AJ34" s="49">
        <f t="shared" si="81"/>
        <v>0</v>
      </c>
      <c r="AK34" s="49">
        <f t="shared" si="81"/>
        <v>0</v>
      </c>
      <c r="AL34" s="49">
        <f t="shared" si="81"/>
        <v>0</v>
      </c>
      <c r="AM34" s="49">
        <f t="shared" si="81"/>
        <v>0</v>
      </c>
      <c r="AN34" s="49">
        <f t="shared" si="81"/>
        <v>8532202868</v>
      </c>
      <c r="AO34" s="49">
        <f t="shared" si="81"/>
        <v>8238304700</v>
      </c>
      <c r="AP34" s="49">
        <f t="shared" si="81"/>
        <v>8499445696</v>
      </c>
      <c r="AQ34" s="49">
        <f t="shared" si="81"/>
        <v>8698074350</v>
      </c>
      <c r="AR34" s="49">
        <f t="shared" si="81"/>
        <v>8403371922</v>
      </c>
      <c r="AS34" s="49">
        <f t="shared" si="81"/>
        <v>8540278559</v>
      </c>
      <c r="AT34" s="49">
        <f t="shared" si="81"/>
        <v>10053956715</v>
      </c>
      <c r="AU34" s="49">
        <f t="shared" si="81"/>
        <v>10262195864</v>
      </c>
      <c r="AV34" s="49">
        <f t="shared" si="81"/>
        <v>10569353455</v>
      </c>
      <c r="AW34" s="49">
        <f t="shared" si="81"/>
        <v>11725754090</v>
      </c>
      <c r="AX34" s="49">
        <f t="shared" si="81"/>
        <v>11785581265</v>
      </c>
      <c r="AY34" s="49">
        <f t="shared" si="81"/>
        <v>14055686914</v>
      </c>
      <c r="AZ34" s="49">
        <f t="shared" si="81"/>
        <v>14395067906</v>
      </c>
      <c r="BA34" s="49">
        <f t="shared" si="81"/>
        <v>14607732167</v>
      </c>
      <c r="BB34" s="49">
        <f t="shared" si="81"/>
        <v>14643176446</v>
      </c>
      <c r="BC34" s="49">
        <f t="shared" si="81"/>
        <v>14905621582</v>
      </c>
      <c r="BD34" s="49">
        <f t="shared" si="81"/>
        <v>13376945399</v>
      </c>
      <c r="BE34" s="49">
        <f t="shared" si="81"/>
        <v>12576086418</v>
      </c>
      <c r="BF34" s="49">
        <f t="shared" si="81"/>
        <v>8384459595.5600004</v>
      </c>
      <c r="BG34" s="49">
        <f t="shared" si="81"/>
        <v>6735689343.8299999</v>
      </c>
      <c r="BH34" s="49">
        <f t="shared" si="81"/>
        <v>6653641717.5200005</v>
      </c>
      <c r="BI34" s="49">
        <f t="shared" si="81"/>
        <v>6418171245</v>
      </c>
      <c r="BJ34" s="49">
        <f t="shared" si="81"/>
        <v>5442187708.7399998</v>
      </c>
      <c r="BK34" s="49">
        <f t="shared" si="81"/>
        <v>5370836546.21</v>
      </c>
      <c r="BL34" s="49">
        <f t="shared" si="81"/>
        <v>5328764572.8900003</v>
      </c>
      <c r="BM34" s="49">
        <f t="shared" si="81"/>
        <v>2398206104</v>
      </c>
      <c r="BN34" s="49">
        <f t="shared" si="81"/>
        <v>2235497541.7199998</v>
      </c>
      <c r="BO34" s="49">
        <f t="shared" si="81"/>
        <v>2150428180.9899998</v>
      </c>
      <c r="BP34" s="49">
        <f t="shared" si="81"/>
        <v>2057084094.0699999</v>
      </c>
      <c r="BQ34" s="49">
        <f>AP31-AP32-AP33</f>
        <v>8499445696</v>
      </c>
      <c r="BR34" s="49">
        <f>AQ31-AQ32-AQ33</f>
        <v>8698074350</v>
      </c>
      <c r="BS34" s="49">
        <f>AR31-AR32-AR33</f>
        <v>8403371922</v>
      </c>
      <c r="BT34" s="49"/>
      <c r="BU34" s="50"/>
    </row>
    <row r="35" spans="1:74" s="105" customFormat="1" ht="14.25" thickBot="1">
      <c r="A35" s="138" t="s">
        <v>317</v>
      </c>
      <c r="B35" s="33">
        <f>SUM(B22:B31)</f>
        <v>14039221687.460001</v>
      </c>
      <c r="C35" s="33">
        <f>SUM(C22:C31)</f>
        <v>13762595379.610001</v>
      </c>
      <c r="D35" s="33">
        <f>SUM(D22:D31)</f>
        <v>13256659525.74</v>
      </c>
      <c r="E35" s="33">
        <f>资产资本表!E17</f>
        <v>1011699382.3000001</v>
      </c>
      <c r="F35" s="33">
        <f>资产资本表!F17</f>
        <v>1240506178.53</v>
      </c>
      <c r="G35" s="33">
        <f>资产资本表!G17</f>
        <v>1135331214.2</v>
      </c>
      <c r="H35" s="33">
        <f>资产资本表!H17</f>
        <v>852002247.96000004</v>
      </c>
      <c r="I35" s="33">
        <f>资产资本表!I17</f>
        <v>798159068.22000003</v>
      </c>
      <c r="J35" s="33">
        <f>资产资本表!J17</f>
        <v>636697461.95000005</v>
      </c>
      <c r="K35" s="33">
        <f>资产资本表!K17</f>
        <v>558046066.27999997</v>
      </c>
      <c r="L35" s="33">
        <f>资产资本表!L17</f>
        <v>437744807.25999999</v>
      </c>
      <c r="M35" s="33">
        <f>资产资本表!M17</f>
        <v>546081549.03999996</v>
      </c>
      <c r="N35" s="33">
        <f>资产资本表!N17</f>
        <v>403712468.94</v>
      </c>
      <c r="O35" s="33">
        <f>资产资本表!O17</f>
        <v>192454966.77000001</v>
      </c>
      <c r="P35" s="33">
        <f>资产资本表!P17</f>
        <v>287278734.86000001</v>
      </c>
      <c r="Q35" s="33">
        <f>资产资本表!Q17</f>
        <v>296152955</v>
      </c>
      <c r="R35" s="33">
        <f>资产资本表!R17</f>
        <v>228581798.34999999</v>
      </c>
      <c r="S35" s="33">
        <f>资产资本表!S17</f>
        <v>76264788.909999996</v>
      </c>
      <c r="T35" s="33">
        <f>资产资本表!T17</f>
        <v>81609545.260000005</v>
      </c>
      <c r="U35" s="33">
        <f>资产资本表!U17</f>
        <v>117019801.84</v>
      </c>
      <c r="V35" s="33">
        <f>资产资本表!V17</f>
        <v>288407000.22000003</v>
      </c>
      <c r="W35" s="33">
        <f>资产资本表!W17</f>
        <v>395385802.33999997</v>
      </c>
      <c r="X35" s="33">
        <f>资产资本表!X17</f>
        <v>415229005.37</v>
      </c>
      <c r="Y35" s="33">
        <f>资产资本表!Y17</f>
        <v>446558631.75</v>
      </c>
      <c r="Z35" s="33">
        <f>资产资本表!Z17</f>
        <v>445462625.06999999</v>
      </c>
      <c r="AA35" s="33">
        <f>资产资本表!AA17</f>
        <v>448243718.80000001</v>
      </c>
      <c r="AB35" s="33">
        <f>资产资本表!AB17</f>
        <v>475663134.92000002</v>
      </c>
      <c r="AC35" s="33">
        <f>资产资本表!AC17</f>
        <v>543271781.39999998</v>
      </c>
      <c r="AD35" s="33">
        <f>资产资本表!AD17</f>
        <v>583991549.62</v>
      </c>
      <c r="AE35" s="33">
        <f>资产资本表!AE17</f>
        <v>61509212.060000002</v>
      </c>
      <c r="AF35" s="33">
        <f>资产资本表!AF17</f>
        <v>71515655.140000001</v>
      </c>
      <c r="AG35" s="33">
        <f>资产资本表!AG17</f>
        <v>80573415.659999996</v>
      </c>
      <c r="AH35" s="33">
        <f>资产资本表!AH17</f>
        <v>55436295.049999997</v>
      </c>
      <c r="AI35" s="33">
        <f>资产资本表!AI17</f>
        <v>17079246.809999999</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39813</v>
      </c>
      <c r="AM38" s="1">
        <v>25569</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c r="A39" s="46" t="s">
        <v>319</v>
      </c>
    </row>
    <row r="40" spans="1:74" s="191" customFormat="1">
      <c r="A40" s="191" t="s">
        <v>740</v>
      </c>
      <c r="B40" s="191">
        <v>4097333500</v>
      </c>
      <c r="C40" s="191">
        <v>4082778774</v>
      </c>
      <c r="D40" s="191">
        <v>4096393500</v>
      </c>
      <c r="E40" s="191">
        <v>2000000</v>
      </c>
      <c r="F40" s="191">
        <v>2000000</v>
      </c>
      <c r="G40" s="191">
        <v>0</v>
      </c>
      <c r="H40" s="191">
        <v>0</v>
      </c>
      <c r="I40" s="191">
        <v>0</v>
      </c>
      <c r="J40" s="191">
        <v>0</v>
      </c>
      <c r="K40" s="191">
        <v>0</v>
      </c>
      <c r="L40" s="191">
        <v>0</v>
      </c>
      <c r="M40" s="191">
        <v>0</v>
      </c>
      <c r="N40" s="191">
        <v>100000</v>
      </c>
      <c r="O40" s="191">
        <v>0</v>
      </c>
      <c r="P40" s="191">
        <v>0</v>
      </c>
      <c r="Q40" s="191">
        <v>390000000</v>
      </c>
      <c r="R40" s="191">
        <v>390000000</v>
      </c>
      <c r="S40" s="191">
        <v>0</v>
      </c>
      <c r="T40" s="191">
        <v>0</v>
      </c>
      <c r="U40" s="191">
        <v>0</v>
      </c>
      <c r="V40" s="191">
        <v>0</v>
      </c>
      <c r="W40" s="191">
        <v>0</v>
      </c>
      <c r="X40" s="191">
        <v>0</v>
      </c>
      <c r="Y40" s="191">
        <v>0</v>
      </c>
      <c r="Z40" s="191">
        <v>0</v>
      </c>
      <c r="AA40" s="191">
        <v>0</v>
      </c>
      <c r="AB40" s="191">
        <v>0</v>
      </c>
      <c r="AC40" s="191">
        <v>991765000</v>
      </c>
      <c r="AD40" s="191">
        <v>998700000</v>
      </c>
      <c r="AE40" s="191">
        <v>0</v>
      </c>
      <c r="AF40" s="191">
        <v>0</v>
      </c>
      <c r="AG40" s="191">
        <v>0</v>
      </c>
      <c r="AH40" s="191">
        <v>0</v>
      </c>
      <c r="AI40" s="191">
        <v>0</v>
      </c>
      <c r="AJ40" s="191">
        <v>0</v>
      </c>
      <c r="AK40" s="191">
        <v>0</v>
      </c>
      <c r="AL40" s="191">
        <v>0</v>
      </c>
      <c r="AM40" s="191">
        <v>0</v>
      </c>
      <c r="AN40" s="191">
        <v>0</v>
      </c>
      <c r="AO40" s="191">
        <v>2248499999</v>
      </c>
      <c r="AP40" s="191">
        <v>2248499999</v>
      </c>
      <c r="AQ40" s="191">
        <v>0</v>
      </c>
      <c r="AR40" s="191">
        <v>0</v>
      </c>
      <c r="AS40" s="191">
        <v>0</v>
      </c>
      <c r="AT40" s="191">
        <v>0</v>
      </c>
      <c r="AU40" s="191">
        <v>0</v>
      </c>
      <c r="AV40" s="191">
        <v>0</v>
      </c>
      <c r="AW40" s="191">
        <v>1200000005</v>
      </c>
      <c r="AX40" s="191">
        <v>1200000005</v>
      </c>
      <c r="AY40" s="191">
        <v>0</v>
      </c>
      <c r="AZ40" s="191">
        <v>0</v>
      </c>
      <c r="BA40" s="191">
        <v>18529013</v>
      </c>
      <c r="BB40" s="191">
        <v>8938537.2400000002</v>
      </c>
      <c r="BC40" s="191">
        <v>8938537</v>
      </c>
      <c r="BD40" s="191">
        <v>8938537</v>
      </c>
      <c r="BE40" s="191">
        <v>2147568955</v>
      </c>
      <c r="BF40" s="191">
        <v>2072100539.26</v>
      </c>
      <c r="BG40" s="191">
        <v>2072100539.26</v>
      </c>
      <c r="BH40" s="191">
        <v>2072100539.26</v>
      </c>
      <c r="BI40" s="191">
        <v>0</v>
      </c>
      <c r="BJ40" s="191">
        <v>0</v>
      </c>
      <c r="BK40" s="191">
        <v>2069573.31</v>
      </c>
      <c r="BL40" s="191">
        <v>2069573.31</v>
      </c>
      <c r="BM40" s="191">
        <v>134511204</v>
      </c>
      <c r="BN40" s="191">
        <v>76212173.519999996</v>
      </c>
      <c r="BO40" s="191">
        <v>19002200</v>
      </c>
      <c r="BP40" s="191">
        <v>0</v>
      </c>
      <c r="BQ40" s="191">
        <v>1008000000</v>
      </c>
      <c r="BR40" s="191">
        <v>0</v>
      </c>
      <c r="BS40" s="191">
        <v>72720731</v>
      </c>
      <c r="BT40" s="191">
        <v>0</v>
      </c>
      <c r="BU40" s="191">
        <v>0</v>
      </c>
      <c r="BV40" s="191">
        <v>0</v>
      </c>
    </row>
    <row r="41" spans="1:74" s="53" customFormat="1" ht="21.75" customHeight="1">
      <c r="A41" s="139" t="s">
        <v>631</v>
      </c>
      <c r="B41" s="53">
        <v>1419647033.29</v>
      </c>
      <c r="C41" s="53">
        <v>682396282.87</v>
      </c>
      <c r="D41" s="53">
        <v>73246783.790000007</v>
      </c>
      <c r="E41" s="53">
        <v>102709204</v>
      </c>
      <c r="I41" s="53">
        <v>102709204</v>
      </c>
      <c r="M41" s="53">
        <v>0</v>
      </c>
      <c r="Q41" s="53">
        <v>51354602</v>
      </c>
      <c r="Y41" s="53">
        <v>26250000</v>
      </c>
      <c r="AC41" s="53">
        <v>52500000</v>
      </c>
      <c r="AK41" s="53">
        <v>19500000</v>
      </c>
      <c r="AL41" s="53">
        <v>30000000</v>
      </c>
    </row>
    <row r="42" spans="1:74" s="26" customFormat="1">
      <c r="A42" s="17" t="s">
        <v>322</v>
      </c>
      <c r="E42" s="26">
        <f>E40-E41</f>
        <v>-100709204</v>
      </c>
      <c r="F42" s="26">
        <f t="shared" ref="F42:Y42" si="82">F40-F41</f>
        <v>2000000</v>
      </c>
      <c r="G42" s="26">
        <f t="shared" si="82"/>
        <v>0</v>
      </c>
      <c r="H42" s="26">
        <f t="shared" si="82"/>
        <v>0</v>
      </c>
      <c r="I42" s="26">
        <f>I40-I41</f>
        <v>-102709204</v>
      </c>
      <c r="J42" s="26">
        <f t="shared" si="82"/>
        <v>0</v>
      </c>
      <c r="K42" s="26">
        <f t="shared" si="82"/>
        <v>0</v>
      </c>
      <c r="L42" s="26">
        <f t="shared" si="82"/>
        <v>0</v>
      </c>
      <c r="M42" s="26">
        <f t="shared" si="82"/>
        <v>0</v>
      </c>
      <c r="N42" s="26">
        <f t="shared" si="82"/>
        <v>100000</v>
      </c>
      <c r="O42" s="26">
        <f t="shared" si="82"/>
        <v>0</v>
      </c>
      <c r="P42" s="26">
        <f t="shared" si="82"/>
        <v>0</v>
      </c>
      <c r="Q42" s="26">
        <f t="shared" si="82"/>
        <v>338645398</v>
      </c>
      <c r="R42" s="26">
        <f t="shared" si="82"/>
        <v>390000000</v>
      </c>
      <c r="S42" s="26">
        <f t="shared" si="82"/>
        <v>0</v>
      </c>
      <c r="T42" s="26">
        <f t="shared" si="82"/>
        <v>0</v>
      </c>
      <c r="U42" s="26">
        <f t="shared" si="82"/>
        <v>0</v>
      </c>
      <c r="V42" s="26">
        <f t="shared" si="82"/>
        <v>0</v>
      </c>
      <c r="W42" s="26">
        <f t="shared" si="82"/>
        <v>0</v>
      </c>
      <c r="X42" s="26">
        <f t="shared" si="82"/>
        <v>0</v>
      </c>
      <c r="Y42" s="26">
        <f t="shared" si="82"/>
        <v>-26250000</v>
      </c>
      <c r="Z42" s="26">
        <f t="shared" ref="Z42:BQ42" si="83">Z40-Z41</f>
        <v>0</v>
      </c>
      <c r="AA42" s="26">
        <f t="shared" si="83"/>
        <v>0</v>
      </c>
      <c r="AB42" s="26">
        <f t="shared" si="83"/>
        <v>0</v>
      </c>
      <c r="AC42" s="26">
        <f t="shared" si="83"/>
        <v>939265000</v>
      </c>
      <c r="AD42" s="26">
        <f t="shared" si="83"/>
        <v>998700000</v>
      </c>
      <c r="AE42" s="26">
        <f t="shared" si="83"/>
        <v>0</v>
      </c>
      <c r="AF42" s="26">
        <f t="shared" si="83"/>
        <v>0</v>
      </c>
      <c r="AG42" s="26">
        <f t="shared" si="83"/>
        <v>0</v>
      </c>
      <c r="AH42" s="26">
        <f t="shared" si="83"/>
        <v>0</v>
      </c>
      <c r="AI42" s="26">
        <f t="shared" si="83"/>
        <v>0</v>
      </c>
      <c r="AJ42" s="26">
        <f t="shared" si="83"/>
        <v>0</v>
      </c>
      <c r="AK42" s="26">
        <f t="shared" si="83"/>
        <v>-19500000</v>
      </c>
      <c r="AL42" s="191">
        <f t="shared" si="83"/>
        <v>-30000000</v>
      </c>
      <c r="AM42" s="191">
        <f t="shared" si="83"/>
        <v>0</v>
      </c>
      <c r="AN42" s="191">
        <f t="shared" si="83"/>
        <v>0</v>
      </c>
      <c r="AO42" s="191">
        <f t="shared" si="83"/>
        <v>2248499999</v>
      </c>
      <c r="AP42" s="191">
        <f t="shared" si="83"/>
        <v>2248499999</v>
      </c>
      <c r="AQ42" s="191">
        <f t="shared" si="83"/>
        <v>0</v>
      </c>
      <c r="AR42" s="191">
        <f t="shared" si="83"/>
        <v>0</v>
      </c>
      <c r="AS42" s="191">
        <f t="shared" si="83"/>
        <v>0</v>
      </c>
      <c r="AT42" s="191">
        <f t="shared" si="83"/>
        <v>0</v>
      </c>
      <c r="AU42" s="191">
        <f t="shared" si="83"/>
        <v>0</v>
      </c>
      <c r="AV42" s="191">
        <f t="shared" si="83"/>
        <v>0</v>
      </c>
      <c r="AW42" s="191">
        <f t="shared" si="83"/>
        <v>1200000005</v>
      </c>
      <c r="AX42" s="191">
        <f t="shared" si="83"/>
        <v>1200000005</v>
      </c>
      <c r="AY42" s="191">
        <f t="shared" si="83"/>
        <v>0</v>
      </c>
      <c r="AZ42" s="191">
        <f t="shared" si="83"/>
        <v>0</v>
      </c>
      <c r="BA42" s="26">
        <f t="shared" si="83"/>
        <v>18529013</v>
      </c>
      <c r="BB42" s="26">
        <f t="shared" si="83"/>
        <v>8938537.2400000002</v>
      </c>
      <c r="BC42" s="26">
        <f t="shared" si="83"/>
        <v>8938537</v>
      </c>
      <c r="BD42" s="26">
        <f t="shared" si="83"/>
        <v>8938537</v>
      </c>
      <c r="BE42" s="26">
        <f t="shared" si="83"/>
        <v>2147568955</v>
      </c>
      <c r="BF42" s="26">
        <f t="shared" si="83"/>
        <v>2072100539.26</v>
      </c>
      <c r="BG42" s="26">
        <f t="shared" si="83"/>
        <v>2072100539.26</v>
      </c>
      <c r="BH42" s="26">
        <f t="shared" si="83"/>
        <v>2072100539.26</v>
      </c>
      <c r="BI42" s="26">
        <f t="shared" si="83"/>
        <v>0</v>
      </c>
      <c r="BJ42" s="26">
        <f t="shared" si="83"/>
        <v>0</v>
      </c>
      <c r="BK42" s="26">
        <f t="shared" si="83"/>
        <v>2069573.31</v>
      </c>
      <c r="BL42" s="26">
        <f t="shared" si="83"/>
        <v>2069573.31</v>
      </c>
      <c r="BM42" s="26">
        <f t="shared" si="83"/>
        <v>134511204</v>
      </c>
      <c r="BN42" s="26">
        <f t="shared" si="83"/>
        <v>76212173.519999996</v>
      </c>
      <c r="BO42" s="26">
        <f t="shared" si="83"/>
        <v>19002200</v>
      </c>
      <c r="BP42" s="26">
        <f t="shared" si="83"/>
        <v>0</v>
      </c>
      <c r="BQ42" s="26">
        <f t="shared" si="83"/>
        <v>1008000000</v>
      </c>
      <c r="BR42" s="26">
        <f t="shared" ref="BR42:BV42" si="84">BR40-BR41</f>
        <v>0</v>
      </c>
      <c r="BS42" s="26">
        <f t="shared" si="84"/>
        <v>72720731</v>
      </c>
      <c r="BT42" s="26">
        <f t="shared" si="84"/>
        <v>0</v>
      </c>
      <c r="BU42" s="26">
        <f t="shared" si="84"/>
        <v>0</v>
      </c>
      <c r="BV42" s="26">
        <f t="shared" si="84"/>
        <v>0</v>
      </c>
    </row>
    <row r="43" spans="1:74" s="52" customFormat="1" ht="15" customHeight="1">
      <c r="A43" s="140" t="s">
        <v>321</v>
      </c>
    </row>
    <row r="44" spans="1:74" s="191" customFormat="1">
      <c r="A44" s="191" t="s">
        <v>324</v>
      </c>
      <c r="B44" s="191">
        <v>259076325</v>
      </c>
      <c r="C44" s="191">
        <v>229500000</v>
      </c>
      <c r="D44" s="191">
        <v>30000000</v>
      </c>
      <c r="E44" s="191">
        <v>215000000</v>
      </c>
      <c r="F44" s="191">
        <v>122000000</v>
      </c>
      <c r="G44" s="191">
        <v>122000000</v>
      </c>
      <c r="H44" s="191">
        <v>57000000</v>
      </c>
      <c r="I44" s="191">
        <v>236000000</v>
      </c>
      <c r="J44" s="191">
        <v>128000000</v>
      </c>
      <c r="K44" s="191">
        <v>73000000</v>
      </c>
      <c r="L44" s="191">
        <v>50000000</v>
      </c>
      <c r="M44" s="191">
        <v>468000000</v>
      </c>
      <c r="N44" s="191">
        <v>368000000</v>
      </c>
      <c r="O44" s="191">
        <v>93000000</v>
      </c>
      <c r="P44" s="191">
        <v>70000000</v>
      </c>
      <c r="Q44" s="191">
        <v>99500000</v>
      </c>
      <c r="R44" s="191">
        <v>74500000</v>
      </c>
      <c r="S44" s="191">
        <v>32500000</v>
      </c>
      <c r="T44" s="191">
        <v>20000000</v>
      </c>
      <c r="U44" s="191">
        <v>108781830.8</v>
      </c>
      <c r="V44" s="191">
        <v>105902705.62</v>
      </c>
      <c r="W44" s="191">
        <v>54402705.619999997</v>
      </c>
      <c r="X44" s="191">
        <v>9742124.4499999993</v>
      </c>
      <c r="Y44" s="191">
        <v>152400000</v>
      </c>
      <c r="Z44" s="191">
        <v>107400000</v>
      </c>
      <c r="AA44" s="191">
        <v>65000000</v>
      </c>
      <c r="AB44" s="191">
        <v>0</v>
      </c>
      <c r="AC44" s="191">
        <v>304033179.13</v>
      </c>
      <c r="AD44" s="191">
        <v>303929832.63</v>
      </c>
      <c r="AE44" s="191">
        <v>285434045.69999999</v>
      </c>
      <c r="AF44" s="191">
        <v>151959350</v>
      </c>
      <c r="AG44" s="191">
        <v>279328045.81</v>
      </c>
      <c r="AH44" s="191">
        <v>193167288.44999999</v>
      </c>
      <c r="AI44" s="191">
        <v>173167288.44999999</v>
      </c>
      <c r="AJ44" s="191">
        <v>39000000</v>
      </c>
      <c r="AK44" s="191">
        <v>194000000</v>
      </c>
      <c r="AL44" s="191">
        <v>185215223.59</v>
      </c>
      <c r="AM44" s="191">
        <v>0</v>
      </c>
      <c r="AN44" s="191">
        <v>1382403219</v>
      </c>
      <c r="AO44" s="191">
        <v>2671321134</v>
      </c>
      <c r="AP44" s="191">
        <v>1057240523</v>
      </c>
      <c r="AQ44" s="191">
        <v>757651132</v>
      </c>
      <c r="AR44" s="191">
        <v>359979101</v>
      </c>
      <c r="AS44" s="191">
        <v>1721033502</v>
      </c>
      <c r="AT44" s="191">
        <v>1544771359</v>
      </c>
      <c r="AU44" s="191">
        <v>1230061532</v>
      </c>
      <c r="AV44" s="191">
        <v>830387249</v>
      </c>
      <c r="AW44" s="191">
        <v>4367238900</v>
      </c>
      <c r="AX44" s="191">
        <v>2632916459</v>
      </c>
      <c r="AY44" s="191">
        <v>1455057216</v>
      </c>
      <c r="AZ44" s="191">
        <v>1101924440</v>
      </c>
      <c r="BA44" s="191">
        <v>14011294009</v>
      </c>
      <c r="BB44" s="191">
        <v>15320914684.299999</v>
      </c>
      <c r="BC44" s="191">
        <v>13584061419</v>
      </c>
      <c r="BD44" s="191">
        <v>3234014525</v>
      </c>
      <c r="BE44" s="191">
        <v>10399068580</v>
      </c>
      <c r="BF44" s="191">
        <v>7853363707.4899998</v>
      </c>
      <c r="BG44" s="191">
        <v>3452767661.5999999</v>
      </c>
      <c r="BH44" s="191">
        <v>978524524.17999995</v>
      </c>
      <c r="BI44" s="191">
        <v>8811082218</v>
      </c>
      <c r="BJ44" s="191">
        <v>5403968431.4399996</v>
      </c>
      <c r="BK44" s="191">
        <v>4126822881.25</v>
      </c>
      <c r="BL44" s="191">
        <v>3125174524.3800001</v>
      </c>
      <c r="BM44" s="191">
        <v>3463667526</v>
      </c>
      <c r="BN44" s="191">
        <v>658417736.50999999</v>
      </c>
      <c r="BO44" s="191">
        <v>826000000</v>
      </c>
      <c r="BP44" s="191">
        <v>189500000</v>
      </c>
      <c r="BQ44" s="191">
        <v>942800000</v>
      </c>
      <c r="BR44" s="191">
        <v>468700000</v>
      </c>
      <c r="BS44" s="191">
        <v>444557550</v>
      </c>
      <c r="BT44" s="191">
        <v>105827000</v>
      </c>
      <c r="BU44" s="191">
        <v>0</v>
      </c>
      <c r="BV44" s="191">
        <v>0</v>
      </c>
    </row>
    <row r="45" spans="1:74" s="191" customFormat="1">
      <c r="A45" s="191" t="s">
        <v>323</v>
      </c>
      <c r="E45" s="191">
        <f>股权价值增加表!E53</f>
        <v>14859461.9</v>
      </c>
      <c r="F45" s="191">
        <f>股权价值增加表!F53</f>
        <v>0</v>
      </c>
      <c r="G45" s="191">
        <f>股权价值增加表!G53</f>
        <v>0</v>
      </c>
      <c r="H45" s="191">
        <f>股权价值增加表!H53</f>
        <v>0</v>
      </c>
      <c r="I45" s="191">
        <f>股权价值增加表!I53</f>
        <v>19388891.059999999</v>
      </c>
      <c r="J45" s="191">
        <f>股权价值增加表!J53</f>
        <v>0</v>
      </c>
      <c r="K45" s="191">
        <f>股权价值增加表!K53</f>
        <v>0</v>
      </c>
      <c r="L45" s="191">
        <f>股权价值增加表!L53</f>
        <v>0</v>
      </c>
      <c r="M45" s="191">
        <f>股权价值增加表!M53</f>
        <v>15384302.83</v>
      </c>
      <c r="N45" s="191">
        <f>股权价值增加表!N53</f>
        <v>0</v>
      </c>
      <c r="O45" s="191">
        <f>股权价值增加表!O53</f>
        <v>0</v>
      </c>
      <c r="P45" s="191">
        <f>股权价值增加表!P53</f>
        <v>0</v>
      </c>
      <c r="Q45" s="191">
        <f>股权价值增加表!Q53</f>
        <v>831488.96</v>
      </c>
      <c r="R45" s="191">
        <f>股权价值增加表!R53</f>
        <v>0</v>
      </c>
      <c r="S45" s="191">
        <f>股权价值增加表!S53</f>
        <v>0</v>
      </c>
      <c r="T45" s="191">
        <f>股权价值增加表!T53</f>
        <v>0</v>
      </c>
      <c r="U45" s="191">
        <f>股权价值增加表!U53</f>
        <v>3773806.59</v>
      </c>
      <c r="V45" s="191">
        <f>股权价值增加表!V53</f>
        <v>0</v>
      </c>
      <c r="W45" s="191">
        <f>股权价值增加表!W53</f>
        <v>0</v>
      </c>
      <c r="X45" s="191">
        <f>股权价值增加表!X53</f>
        <v>0</v>
      </c>
      <c r="Y45" s="191">
        <f>股权价值增加表!Y53</f>
        <v>2937854.71</v>
      </c>
      <c r="Z45" s="191">
        <f>股权价值增加表!Z53</f>
        <v>0</v>
      </c>
      <c r="AA45" s="191">
        <f>股权价值增加表!AA53</f>
        <v>0</v>
      </c>
      <c r="AB45" s="191">
        <f>股权价值增加表!AB53</f>
        <v>0</v>
      </c>
      <c r="AC45" s="191">
        <f>股权价值增加表!AC53</f>
        <v>11256587.619999999</v>
      </c>
      <c r="AD45" s="191">
        <f>股权价值增加表!AD53</f>
        <v>0</v>
      </c>
      <c r="AE45" s="191">
        <f>股权价值增加表!AE53</f>
        <v>0</v>
      </c>
      <c r="AF45" s="191">
        <f>股权价值增加表!AF53</f>
        <v>0</v>
      </c>
      <c r="AG45" s="191">
        <f>股权价值增加表!AG53</f>
        <v>11173271.1</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c r="A46" s="191" t="s">
        <v>325</v>
      </c>
      <c r="B46" s="188">
        <v>0</v>
      </c>
      <c r="C46" s="188">
        <v>547752.29</v>
      </c>
      <c r="D46" s="188">
        <v>335685.52</v>
      </c>
      <c r="E46" s="188">
        <v>332420</v>
      </c>
      <c r="F46" s="188">
        <v>699983.24</v>
      </c>
      <c r="G46" s="188">
        <v>411492.24</v>
      </c>
      <c r="H46" s="188">
        <v>446302.67</v>
      </c>
      <c r="I46" s="188">
        <v>446501.04</v>
      </c>
      <c r="J46" s="188">
        <v>595897.77</v>
      </c>
      <c r="K46" s="188">
        <v>535142.36</v>
      </c>
      <c r="L46" s="188">
        <v>796799.19</v>
      </c>
      <c r="M46" s="188">
        <v>647251.72</v>
      </c>
      <c r="N46" s="188">
        <v>661368.94999999995</v>
      </c>
      <c r="O46" s="188">
        <v>586152.59</v>
      </c>
      <c r="P46" s="188">
        <v>226509.59</v>
      </c>
      <c r="Q46" s="188">
        <v>215531.51</v>
      </c>
      <c r="R46" s="188">
        <v>575188.36</v>
      </c>
      <c r="S46" s="188">
        <v>177945.21</v>
      </c>
      <c r="T46" s="188">
        <v>0</v>
      </c>
      <c r="U46" s="188">
        <v>16000</v>
      </c>
      <c r="V46" s="188">
        <v>0</v>
      </c>
      <c r="W46" s="188">
        <v>317132.71999999997</v>
      </c>
      <c r="X46" s="188">
        <v>175806.76</v>
      </c>
      <c r="Y46" s="188">
        <v>161510.46</v>
      </c>
      <c r="Z46" s="188">
        <v>150616.44</v>
      </c>
      <c r="AA46" s="188">
        <v>102073.97</v>
      </c>
      <c r="AB46" s="188">
        <v>5404.5</v>
      </c>
      <c r="AC46" s="188">
        <v>5404.5</v>
      </c>
      <c r="AD46" s="188">
        <v>93243.66</v>
      </c>
      <c r="AE46" s="188">
        <v>721984.74</v>
      </c>
      <c r="AF46" s="188">
        <v>505908.44</v>
      </c>
      <c r="AG46" s="188">
        <v>505908.44</v>
      </c>
      <c r="AH46" s="188">
        <v>285730.5</v>
      </c>
      <c r="AI46" s="188">
        <v>260655.08</v>
      </c>
      <c r="AJ46" s="188">
        <v>0</v>
      </c>
      <c r="AK46" s="188"/>
      <c r="AL46" s="188"/>
      <c r="AM46" s="188"/>
      <c r="AN46" s="191">
        <v>31854260</v>
      </c>
      <c r="AO46" s="191">
        <v>11781276</v>
      </c>
      <c r="AP46" s="191">
        <v>14452219</v>
      </c>
      <c r="AQ46" s="191">
        <v>13735972</v>
      </c>
      <c r="AR46" s="191">
        <v>23422775</v>
      </c>
      <c r="AS46" s="191">
        <v>21207784</v>
      </c>
      <c r="AT46" s="191">
        <v>16913487</v>
      </c>
      <c r="AU46" s="191">
        <v>17253593</v>
      </c>
      <c r="AV46" s="191">
        <v>20668839</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c r="A47" s="191" t="s">
        <v>326</v>
      </c>
      <c r="B47" s="191">
        <v>127000000</v>
      </c>
      <c r="C47" s="191">
        <v>107000000</v>
      </c>
      <c r="D47" s="191">
        <v>50000000</v>
      </c>
      <c r="E47" s="191">
        <v>286000000</v>
      </c>
      <c r="F47" s="191">
        <v>195847162.5</v>
      </c>
      <c r="G47" s="191">
        <v>138466972.5</v>
      </c>
      <c r="H47" s="191">
        <v>40000000</v>
      </c>
      <c r="I47" s="191">
        <v>338000000</v>
      </c>
      <c r="J47" s="191">
        <v>193000000</v>
      </c>
      <c r="K47" s="191">
        <v>108000000</v>
      </c>
      <c r="L47" s="191">
        <v>80000000</v>
      </c>
      <c r="M47" s="191">
        <v>167000000</v>
      </c>
      <c r="N47" s="191">
        <v>72000000</v>
      </c>
      <c r="O47" s="191">
        <v>35000000</v>
      </c>
      <c r="P47" s="191">
        <v>35000000</v>
      </c>
      <c r="Q47" s="191">
        <v>15500000</v>
      </c>
      <c r="R47" s="191">
        <v>12500000</v>
      </c>
      <c r="S47" s="191">
        <v>7500000</v>
      </c>
      <c r="T47" s="191">
        <v>7500000</v>
      </c>
      <c r="U47" s="191">
        <v>195781830.80000001</v>
      </c>
      <c r="V47" s="191">
        <v>191054955.00999999</v>
      </c>
      <c r="W47" s="191">
        <v>54536255.5</v>
      </c>
      <c r="X47" s="191">
        <v>0</v>
      </c>
      <c r="Y47" s="191">
        <v>63070810</v>
      </c>
      <c r="Z47" s="191">
        <v>28070090</v>
      </c>
      <c r="AA47" s="191">
        <v>15670090</v>
      </c>
      <c r="AB47" s="191">
        <v>5670090</v>
      </c>
      <c r="AC47" s="191">
        <v>616590414.94000006</v>
      </c>
      <c r="AD47" s="191">
        <v>604928988.08000004</v>
      </c>
      <c r="AE47" s="191">
        <v>177105345.81</v>
      </c>
      <c r="AF47" s="191">
        <v>128105345.81</v>
      </c>
      <c r="AG47" s="191">
        <v>130600000</v>
      </c>
      <c r="AH47" s="191">
        <v>81000000</v>
      </c>
      <c r="AI47" s="191">
        <v>81000000</v>
      </c>
      <c r="AJ47" s="191">
        <v>0</v>
      </c>
      <c r="AK47" s="191">
        <v>146000000</v>
      </c>
      <c r="AL47" s="191">
        <v>130715223.59</v>
      </c>
      <c r="AM47" s="191">
        <v>0</v>
      </c>
      <c r="AN47" s="191">
        <v>400268706</v>
      </c>
      <c r="AO47" s="191">
        <v>2677373775</v>
      </c>
      <c r="AP47" s="191">
        <v>2308332818</v>
      </c>
      <c r="AQ47" s="191">
        <v>1106101147</v>
      </c>
      <c r="AR47" s="191">
        <v>859482591</v>
      </c>
      <c r="AS47" s="191">
        <v>5493863572</v>
      </c>
      <c r="AT47" s="191">
        <v>4283473554</v>
      </c>
      <c r="AU47" s="191">
        <v>3381796981</v>
      </c>
      <c r="AV47" s="191">
        <v>1767548149</v>
      </c>
      <c r="AW47" s="191">
        <v>5095271585</v>
      </c>
      <c r="AX47" s="191">
        <v>2757303594</v>
      </c>
      <c r="AY47" s="191">
        <v>1326762763</v>
      </c>
      <c r="AZ47" s="191">
        <v>871261246</v>
      </c>
      <c r="BA47" s="191">
        <v>8288466861</v>
      </c>
      <c r="BB47" s="191">
        <v>8954897927.9699993</v>
      </c>
      <c r="BC47" s="191">
        <v>6880643264</v>
      </c>
      <c r="BD47" s="191">
        <v>2033085778</v>
      </c>
      <c r="BE47" s="191">
        <v>7902354598</v>
      </c>
      <c r="BF47" s="191">
        <v>6124783203.1300001</v>
      </c>
      <c r="BG47" s="191">
        <v>4413973244.1899996</v>
      </c>
      <c r="BH47" s="191">
        <v>1991113172.29</v>
      </c>
      <c r="BI47" s="191">
        <v>5352147807</v>
      </c>
      <c r="BJ47" s="191">
        <v>3401375832</v>
      </c>
      <c r="BK47" s="191">
        <v>1892166232.3</v>
      </c>
      <c r="BL47" s="191">
        <v>746884715.02999997</v>
      </c>
      <c r="BM47" s="191">
        <v>1787367383</v>
      </c>
      <c r="BN47" s="191">
        <v>476300000</v>
      </c>
      <c r="BO47" s="191">
        <v>943200000</v>
      </c>
      <c r="BP47" s="191">
        <v>463700000</v>
      </c>
      <c r="BQ47" s="191">
        <v>407083145</v>
      </c>
      <c r="BR47" s="191">
        <v>191300000</v>
      </c>
      <c r="BS47" s="191">
        <v>268041758</v>
      </c>
      <c r="BT47" s="191">
        <v>96000000</v>
      </c>
      <c r="BU47" s="191">
        <v>0</v>
      </c>
      <c r="BV47" s="191">
        <v>0</v>
      </c>
    </row>
    <row r="48" spans="1:74" s="191" customFormat="1">
      <c r="A48" s="191" t="s">
        <v>595</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c r="A49" s="191" t="s">
        <v>596</v>
      </c>
      <c r="E49" s="191">
        <f>E44+E48-E45-E46-E47</f>
        <v>-86191881.900000006</v>
      </c>
      <c r="F49" s="191">
        <f t="shared" ref="F49:BQ49" si="85">F44+F48-F45-F46-F47</f>
        <v>-74547145.739999995</v>
      </c>
      <c r="G49" s="191">
        <f t="shared" si="85"/>
        <v>-16878464.739999995</v>
      </c>
      <c r="H49" s="191">
        <f t="shared" si="85"/>
        <v>16553697.329999998</v>
      </c>
      <c r="I49" s="191">
        <f t="shared" si="85"/>
        <v>-121835392.09999999</v>
      </c>
      <c r="J49" s="191">
        <f t="shared" si="85"/>
        <v>-65595897.769999996</v>
      </c>
      <c r="K49" s="191">
        <f t="shared" si="85"/>
        <v>-35535142.359999999</v>
      </c>
      <c r="L49" s="191">
        <f t="shared" si="85"/>
        <v>-30796799.189999998</v>
      </c>
      <c r="M49" s="191">
        <f t="shared" si="85"/>
        <v>284968445.44999999</v>
      </c>
      <c r="N49" s="191">
        <f t="shared" si="85"/>
        <v>295338631.05000001</v>
      </c>
      <c r="O49" s="191">
        <f t="shared" si="85"/>
        <v>57413847.409999996</v>
      </c>
      <c r="P49" s="191">
        <f t="shared" si="85"/>
        <v>34773490.409999996</v>
      </c>
      <c r="Q49" s="191">
        <f t="shared" si="85"/>
        <v>82952979.530000001</v>
      </c>
      <c r="R49" s="191">
        <f t="shared" si="85"/>
        <v>61424811.640000001</v>
      </c>
      <c r="S49" s="191">
        <f t="shared" si="85"/>
        <v>24822054.789999999</v>
      </c>
      <c r="T49" s="191">
        <f t="shared" si="85"/>
        <v>12500000</v>
      </c>
      <c r="U49" s="191">
        <f t="shared" si="85"/>
        <v>-90789806.590000018</v>
      </c>
      <c r="V49" s="191">
        <f t="shared" si="85"/>
        <v>-85152249.389999986</v>
      </c>
      <c r="W49" s="191">
        <f t="shared" si="85"/>
        <v>-450682.60000000149</v>
      </c>
      <c r="X49" s="191">
        <f t="shared" si="85"/>
        <v>9566317.6899999995</v>
      </c>
      <c r="Y49" s="191">
        <f t="shared" si="85"/>
        <v>86229824.829999983</v>
      </c>
      <c r="Z49" s="191">
        <f t="shared" si="85"/>
        <v>79179293.560000002</v>
      </c>
      <c r="AA49" s="191">
        <f t="shared" si="85"/>
        <v>49227836.030000001</v>
      </c>
      <c r="AB49" s="191">
        <f t="shared" si="85"/>
        <v>-5675494.5</v>
      </c>
      <c r="AC49" s="191">
        <f t="shared" si="85"/>
        <v>-323819227.93000007</v>
      </c>
      <c r="AD49" s="191">
        <f t="shared" si="85"/>
        <v>-301092399.11000007</v>
      </c>
      <c r="AE49" s="191">
        <f t="shared" si="85"/>
        <v>107606715.14999998</v>
      </c>
      <c r="AF49" s="191">
        <f t="shared" si="85"/>
        <v>23348095.75</v>
      </c>
      <c r="AG49" s="191">
        <f t="shared" si="85"/>
        <v>137048866.27000001</v>
      </c>
      <c r="AH49" s="191">
        <f t="shared" si="85"/>
        <v>111881557.94999999</v>
      </c>
      <c r="AI49" s="191">
        <f t="shared" si="85"/>
        <v>91906633.369999975</v>
      </c>
      <c r="AJ49" s="191">
        <f t="shared" si="85"/>
        <v>39000000</v>
      </c>
      <c r="AK49" s="191">
        <f t="shared" si="85"/>
        <v>48000000</v>
      </c>
      <c r="AL49" s="191">
        <f t="shared" si="85"/>
        <v>54500000</v>
      </c>
      <c r="AM49" s="191">
        <f t="shared" si="85"/>
        <v>0</v>
      </c>
      <c r="AN49" s="191">
        <f t="shared" si="85"/>
        <v>950280253</v>
      </c>
      <c r="AO49" s="191">
        <f t="shared" si="85"/>
        <v>-17833917</v>
      </c>
      <c r="AP49" s="191">
        <f t="shared" si="85"/>
        <v>-1265544514</v>
      </c>
      <c r="AQ49" s="191">
        <f t="shared" si="85"/>
        <v>-362185987</v>
      </c>
      <c r="AR49" s="191">
        <f t="shared" si="85"/>
        <v>-522926265</v>
      </c>
      <c r="AS49" s="191">
        <f t="shared" si="85"/>
        <v>-3794037854</v>
      </c>
      <c r="AT49" s="191">
        <f t="shared" si="85"/>
        <v>-2755615682</v>
      </c>
      <c r="AU49" s="191">
        <f t="shared" si="85"/>
        <v>-2168989042</v>
      </c>
      <c r="AV49" s="191">
        <f t="shared" si="85"/>
        <v>-957829739</v>
      </c>
      <c r="AW49" s="191">
        <f t="shared" si="85"/>
        <v>-728032685</v>
      </c>
      <c r="AX49" s="191">
        <f t="shared" si="85"/>
        <v>-124387135</v>
      </c>
      <c r="AY49" s="191">
        <f t="shared" si="85"/>
        <v>128294453</v>
      </c>
      <c r="AZ49" s="191">
        <f t="shared" si="85"/>
        <v>230663194</v>
      </c>
      <c r="BA49" s="191">
        <f t="shared" si="85"/>
        <v>5722827148</v>
      </c>
      <c r="BB49" s="191">
        <f t="shared" si="85"/>
        <v>6366016756.3299999</v>
      </c>
      <c r="BC49" s="191">
        <f t="shared" si="85"/>
        <v>6703418155</v>
      </c>
      <c r="BD49" s="191">
        <f t="shared" si="85"/>
        <v>1200928747</v>
      </c>
      <c r="BE49" s="191">
        <f t="shared" si="85"/>
        <v>2496713982</v>
      </c>
      <c r="BF49" s="191">
        <f t="shared" si="85"/>
        <v>1728580504.3599997</v>
      </c>
      <c r="BG49" s="191">
        <f t="shared" si="85"/>
        <v>-961205582.58999968</v>
      </c>
      <c r="BH49" s="191">
        <f t="shared" si="85"/>
        <v>-1012588648.11</v>
      </c>
      <c r="BI49" s="191">
        <f t="shared" si="85"/>
        <v>3458934411</v>
      </c>
      <c r="BJ49" s="191">
        <f t="shared" si="85"/>
        <v>2002592599.4399996</v>
      </c>
      <c r="BK49" s="191">
        <f t="shared" si="85"/>
        <v>2234656648.9499998</v>
      </c>
      <c r="BL49" s="191">
        <f t="shared" si="85"/>
        <v>2378289809.3500004</v>
      </c>
      <c r="BM49" s="191">
        <f t="shared" si="85"/>
        <v>1676300143</v>
      </c>
      <c r="BN49" s="191">
        <f t="shared" si="85"/>
        <v>182117736.50999999</v>
      </c>
      <c r="BO49" s="191">
        <f t="shared" si="85"/>
        <v>-117200000</v>
      </c>
      <c r="BP49" s="191">
        <f t="shared" si="85"/>
        <v>-274200000</v>
      </c>
      <c r="BQ49" s="191">
        <f t="shared" si="85"/>
        <v>535716855</v>
      </c>
      <c r="BR49" s="191">
        <f t="shared" ref="BR49:BV49" si="86">BR44+BR48-BR45-BR46-BR47</f>
        <v>277400000</v>
      </c>
      <c r="BS49" s="191">
        <f t="shared" si="86"/>
        <v>176515792</v>
      </c>
      <c r="BT49" s="191">
        <f t="shared" si="86"/>
        <v>9827000</v>
      </c>
      <c r="BU49" s="191">
        <f t="shared" si="86"/>
        <v>0</v>
      </c>
      <c r="BV49" s="191">
        <f t="shared" si="86"/>
        <v>0</v>
      </c>
    </row>
    <row r="50" spans="1:74" s="26" customFormat="1"/>
    <row r="51" spans="1:74" s="16" customFormat="1" ht="120" customHeight="1">
      <c r="A51" s="283" t="s">
        <v>664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c r="AH51" s="284"/>
      <c r="AI51" s="284"/>
      <c r="AJ51" s="284"/>
      <c r="AK51" s="284"/>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4" workbookViewId="0">
      <selection activeCell="E3" sqref="E3"/>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7.25" hidden="1" customWidth="1"/>
    <col min="33" max="33" width="17.25" bestFit="1" customWidth="1"/>
    <col min="34" max="35" width="17.25" hidden="1" customWidth="1"/>
    <col min="36" max="36" width="9.5" hidden="1" customWidth="1"/>
    <col min="37" max="38" width="20.5" bestFit="1" customWidth="1"/>
    <col min="39" max="39" width="20.5" hidden="1" customWidth="1"/>
    <col min="40"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2" width="19.375" bestFit="1" customWidth="1"/>
    <col min="73" max="73" width="19.375" hidden="1" customWidth="1"/>
    <col min="74" max="74" width="9.5" hidden="1" customWidth="1"/>
  </cols>
  <sheetData>
    <row r="1" spans="1:74"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c r="A2" s="46" t="s">
        <v>327</v>
      </c>
    </row>
    <row r="3" spans="1:74" s="26" customFormat="1">
      <c r="A3" s="17" t="s">
        <v>328</v>
      </c>
      <c r="B3" s="26">
        <f>平均资本成本表!E53</f>
        <v>0</v>
      </c>
      <c r="E3" s="26">
        <f>股权价值增加表!E53</f>
        <v>14859461.9</v>
      </c>
      <c r="F3" s="26">
        <f>股权价值增加表!F53</f>
        <v>0</v>
      </c>
      <c r="G3" s="26">
        <f>股权价值增加表!G53</f>
        <v>0</v>
      </c>
      <c r="H3" s="26">
        <f>股权价值增加表!H53</f>
        <v>0</v>
      </c>
      <c r="I3" s="26">
        <f>股权价值增加表!I53</f>
        <v>19388891.059999999</v>
      </c>
      <c r="J3" s="26">
        <f>股权价值增加表!J53</f>
        <v>0</v>
      </c>
      <c r="K3" s="26">
        <f>股权价值增加表!K53</f>
        <v>0</v>
      </c>
      <c r="L3" s="26">
        <f>股权价值增加表!L53</f>
        <v>0</v>
      </c>
      <c r="M3" s="26">
        <f>股权价值增加表!M53</f>
        <v>15384302.83</v>
      </c>
      <c r="N3" s="26">
        <f>股权价值增加表!N53</f>
        <v>0</v>
      </c>
      <c r="O3" s="26">
        <f>股权价值增加表!O53</f>
        <v>0</v>
      </c>
      <c r="P3" s="26">
        <f>股权价值增加表!P53</f>
        <v>0</v>
      </c>
      <c r="Q3" s="26">
        <f>股权价值增加表!Q53</f>
        <v>831488.96</v>
      </c>
      <c r="R3" s="26">
        <f>股权价值增加表!R53</f>
        <v>0</v>
      </c>
      <c r="S3" s="26">
        <f>股权价值增加表!S53</f>
        <v>0</v>
      </c>
      <c r="T3" s="26">
        <f>股权价值增加表!T53</f>
        <v>0</v>
      </c>
      <c r="U3" s="26">
        <f>股权价值增加表!U53</f>
        <v>3773806.59</v>
      </c>
      <c r="V3" s="26">
        <f>股权价值增加表!V53</f>
        <v>0</v>
      </c>
      <c r="W3" s="26">
        <f>股权价值增加表!W53</f>
        <v>0</v>
      </c>
      <c r="X3" s="26">
        <f>股权价值增加表!X53</f>
        <v>0</v>
      </c>
      <c r="Y3" s="26">
        <f>股权价值增加表!Y53</f>
        <v>2937854.71</v>
      </c>
      <c r="Z3" s="26">
        <f>股权价值增加表!Z53</f>
        <v>0</v>
      </c>
      <c r="AA3" s="26">
        <f>股权价值增加表!AA53</f>
        <v>0</v>
      </c>
      <c r="AB3" s="26">
        <f>股权价值增加表!AB53</f>
        <v>0</v>
      </c>
      <c r="AC3" s="26">
        <f>股权价值增加表!AC53</f>
        <v>11256587.619999999</v>
      </c>
      <c r="AD3" s="26">
        <f>股权价值增加表!AD53</f>
        <v>0</v>
      </c>
      <c r="AE3" s="26">
        <f>股权价值增加表!AE53</f>
        <v>0</v>
      </c>
      <c r="AF3" s="26">
        <f>股权价值增加表!AF53</f>
        <v>0</v>
      </c>
      <c r="AG3" s="26">
        <f>股权价值增加表!AG53</f>
        <v>11173271.1</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321762420</v>
      </c>
      <c r="F4" s="26">
        <f>资产资本表!F89</f>
        <v>332149983.24000001</v>
      </c>
      <c r="G4" s="26">
        <f>资产资本表!G89</f>
        <v>388861492.24000001</v>
      </c>
      <c r="H4" s="26">
        <f>资产资本表!H89</f>
        <v>378446302.66999996</v>
      </c>
      <c r="I4" s="26">
        <f>资产资本表!I89</f>
        <v>361446501.03999996</v>
      </c>
      <c r="J4" s="26">
        <f>资产资本表!J89</f>
        <v>406595897.76999998</v>
      </c>
      <c r="K4" s="26">
        <f>资产资本表!K89</f>
        <v>441535142.36000001</v>
      </c>
      <c r="L4" s="26">
        <f>资产资本表!L89</f>
        <v>391796799.19</v>
      </c>
      <c r="M4" s="26">
        <f>资产资本表!M89</f>
        <v>421647251.72000003</v>
      </c>
      <c r="N4" s="26">
        <f>资产资本表!N89</f>
        <v>388661368.94999999</v>
      </c>
      <c r="O4" s="26">
        <f>资产资本表!O89</f>
        <v>150586152.59</v>
      </c>
      <c r="P4" s="26">
        <f>资产资本表!P89</f>
        <v>127226509.59</v>
      </c>
      <c r="Q4" s="26">
        <f>资产资本表!Q89</f>
        <v>92215531.510000005</v>
      </c>
      <c r="R4" s="26">
        <f>资产资本表!R89</f>
        <v>70575188.359999999</v>
      </c>
      <c r="S4" s="26">
        <f>资产资本表!S89</f>
        <v>33177945.210000001</v>
      </c>
      <c r="T4" s="26">
        <f>资产资本表!T89</f>
        <v>20500000</v>
      </c>
      <c r="U4" s="26">
        <f>资产资本表!U89</f>
        <v>8016000</v>
      </c>
      <c r="V4" s="26">
        <f>资产资本表!V89</f>
        <v>5000000</v>
      </c>
      <c r="W4" s="26">
        <f>资产资本表!W89</f>
        <v>90335244.310000002</v>
      </c>
      <c r="X4" s="26">
        <f>资产资本表!X89</f>
        <v>104922392.14</v>
      </c>
      <c r="Y4" s="26">
        <f>资产资本表!Y89</f>
        <v>95161510.459999993</v>
      </c>
      <c r="Z4" s="26">
        <f>资产资本表!Z89</f>
        <v>85150616.439999998</v>
      </c>
      <c r="AA4" s="26">
        <f>资产资本表!AA89</f>
        <v>55102073.969999999</v>
      </c>
      <c r="AB4" s="26">
        <f>资产资本表!AB89</f>
        <v>5404.5</v>
      </c>
      <c r="AC4" s="26">
        <f>资产资本表!AC89</f>
        <v>5676214.5</v>
      </c>
      <c r="AD4" s="26">
        <f>资产资本表!AD89</f>
        <v>12167553.66</v>
      </c>
      <c r="AE4" s="26">
        <f>资产资本表!AE89</f>
        <v>424459504.74000001</v>
      </c>
      <c r="AF4" s="26">
        <f>资产资本表!AF89</f>
        <v>367568414.25</v>
      </c>
      <c r="AG4" s="26">
        <f>资产资本表!AG89</f>
        <v>318733954.25</v>
      </c>
      <c r="AH4" s="26">
        <f>资产资本表!AH89</f>
        <v>169785730.5</v>
      </c>
      <c r="AI4" s="26">
        <f>资产资本表!AI89</f>
        <v>121760655.08</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333</v>
      </c>
      <c r="E5" s="63">
        <f>IF(E4+I4=0,0,E3/((E4+I4)/2))</f>
        <v>4.349902772750832E-2</v>
      </c>
      <c r="F5" s="63">
        <f t="shared" ref="F5:BQ5" si="0">IF(F4+J4=0,0,F3/((F4+J4)/2))</f>
        <v>0</v>
      </c>
      <c r="G5" s="63">
        <f t="shared" si="0"/>
        <v>0</v>
      </c>
      <c r="H5" s="63">
        <f t="shared" si="0"/>
        <v>0</v>
      </c>
      <c r="I5" s="63">
        <f t="shared" si="0"/>
        <v>4.9518696814178885E-2</v>
      </c>
      <c r="J5" s="63">
        <f t="shared" si="0"/>
        <v>0</v>
      </c>
      <c r="K5" s="63">
        <f t="shared" si="0"/>
        <v>0</v>
      </c>
      <c r="L5" s="63">
        <f t="shared" si="0"/>
        <v>0</v>
      </c>
      <c r="M5" s="63">
        <f t="shared" si="0"/>
        <v>5.9877085214455526E-2</v>
      </c>
      <c r="N5" s="63">
        <f t="shared" si="0"/>
        <v>0</v>
      </c>
      <c r="O5" s="63">
        <f t="shared" si="0"/>
        <v>0</v>
      </c>
      <c r="P5" s="63">
        <f t="shared" si="0"/>
        <v>0</v>
      </c>
      <c r="Q5" s="63">
        <f t="shared" si="0"/>
        <v>1.6591364962173467E-2</v>
      </c>
      <c r="R5" s="63">
        <f t="shared" si="0"/>
        <v>0</v>
      </c>
      <c r="S5" s="63">
        <f t="shared" si="0"/>
        <v>0</v>
      </c>
      <c r="T5" s="63">
        <f t="shared" si="0"/>
        <v>0</v>
      </c>
      <c r="U5" s="63">
        <f t="shared" si="0"/>
        <v>7.3151727991402446E-2</v>
      </c>
      <c r="V5" s="63">
        <f t="shared" si="0"/>
        <v>0</v>
      </c>
      <c r="W5" s="63">
        <f t="shared" si="0"/>
        <v>0</v>
      </c>
      <c r="X5" s="63">
        <f t="shared" si="0"/>
        <v>0</v>
      </c>
      <c r="Y5" s="63">
        <f t="shared" si="0"/>
        <v>5.826896057334454E-2</v>
      </c>
      <c r="Z5" s="63">
        <f t="shared" si="0"/>
        <v>0</v>
      </c>
      <c r="AA5" s="63">
        <f t="shared" si="0"/>
        <v>0</v>
      </c>
      <c r="AB5" s="63">
        <f t="shared" si="0"/>
        <v>0</v>
      </c>
      <c r="AC5" s="63">
        <f t="shared" si="0"/>
        <v>6.9397255106849964E-2</v>
      </c>
      <c r="AD5" s="63">
        <f t="shared" si="0"/>
        <v>0</v>
      </c>
      <c r="AE5" s="63">
        <f t="shared" si="0"/>
        <v>0</v>
      </c>
      <c r="AF5" s="63">
        <f t="shared" si="0"/>
        <v>0</v>
      </c>
      <c r="AG5" s="63">
        <f t="shared" si="0"/>
        <v>7.0110328385260198E-2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0.18778859171505902</v>
      </c>
      <c r="F6" s="63">
        <f>股权价值增加表!F41</f>
        <v>0.15567369450202898</v>
      </c>
      <c r="G6" s="63">
        <f>股权价值增加表!G41</f>
        <v>0.16285493054716632</v>
      </c>
      <c r="H6" s="63">
        <f>股权价值增加表!H41</f>
        <v>0.19808372465638202</v>
      </c>
      <c r="I6" s="63">
        <f>股权价值增加表!I41</f>
        <v>0.14620542641844445</v>
      </c>
      <c r="J6" s="63">
        <f>股权价值增加表!J41</f>
        <v>0.13387847280597467</v>
      </c>
      <c r="K6" s="63">
        <f>股权价值增加表!K41</f>
        <v>0.12684882342392584</v>
      </c>
      <c r="L6" s="63">
        <f>股权价值增加表!L41</f>
        <v>0.15312378188435594</v>
      </c>
      <c r="M6" s="63">
        <f>股权价值增加表!M41</f>
        <v>0.11931138246170142</v>
      </c>
      <c r="N6" s="63">
        <f>股权价值增加表!N41</f>
        <v>0.12967905878854097</v>
      </c>
      <c r="O6" s="63">
        <f>股权价值增加表!O41</f>
        <v>0.13355094624104741</v>
      </c>
      <c r="P6" s="63">
        <f>股权价值增加表!P41</f>
        <v>0.13645278060360555</v>
      </c>
      <c r="Q6" s="63">
        <f>股权价值增加表!Q41</f>
        <v>0.11018786814067871</v>
      </c>
      <c r="R6" s="63">
        <f>股权价值增加表!R41</f>
        <v>0.1696221762418989</v>
      </c>
      <c r="S6" s="63">
        <f>股权价值增加表!S41</f>
        <v>0.18351323268768199</v>
      </c>
      <c r="T6" s="63">
        <f>股权价值增加表!T41</f>
        <v>0.1748287975527916</v>
      </c>
      <c r="U6" s="63">
        <f>股权价值增加表!U41</f>
        <v>0.17550243063017315</v>
      </c>
      <c r="V6" s="63">
        <f>股权价值增加表!V41</f>
        <v>0.16505415481711949</v>
      </c>
      <c r="W6" s="63">
        <f>股权价值增加表!W41</f>
        <v>0.15904357585330645</v>
      </c>
      <c r="X6" s="63">
        <f>股权价值增加表!X41</f>
        <v>0.15535919349014493</v>
      </c>
      <c r="Y6" s="63">
        <f>股权价值增加表!Y41</f>
        <v>0.15693919353964564</v>
      </c>
      <c r="Z6" s="63">
        <f>股权价值增加表!Z41</f>
        <v>0.14891415125298027</v>
      </c>
      <c r="AA6" s="63">
        <f>股权价值增加表!AA41</f>
        <v>0.14566299867606403</v>
      </c>
      <c r="AB6" s="63">
        <f>股权价值增加表!AB41</f>
        <v>0.13262469805910782</v>
      </c>
      <c r="AC6" s="63">
        <f>股权价值增加表!AC41</f>
        <v>0.13830932589022404</v>
      </c>
      <c r="AD6" s="63">
        <f>股权价值增加表!AD41</f>
        <v>0.12966819843056621</v>
      </c>
      <c r="AE6" s="63">
        <f>股权价值增加表!AE41</f>
        <v>0.13682366422294562</v>
      </c>
      <c r="AF6" s="63">
        <f>股权价值增加表!AF41</f>
        <v>0.14600213316022917</v>
      </c>
      <c r="AG6" s="63">
        <f>股权价值增加表!AG41</f>
        <v>0.12910999388045638</v>
      </c>
      <c r="AH6" s="63">
        <f>股权价值增加表!AH41</f>
        <v>0.12504530206965778</v>
      </c>
      <c r="AI6" s="63">
        <f>股权价值增加表!AI41</f>
        <v>0.12628977873188141</v>
      </c>
      <c r="AJ6" s="63">
        <f>股权价值增加表!AJ41</f>
        <v>0.12512633561724176</v>
      </c>
      <c r="AK6" s="63">
        <f>股权价值增加表!AK41</f>
        <v>0.10459708703965831</v>
      </c>
      <c r="AL6" s="63">
        <f>股权价值增加表!AL41</f>
        <v>8.2688821322905781E-2</v>
      </c>
      <c r="AM6" s="63" t="e">
        <f>股权价值增加表!AM41</f>
        <v>#DIV/0!</v>
      </c>
      <c r="AN6" s="63">
        <f>股权价值增加表!AN41</f>
        <v>-7.908263937431903E-2</v>
      </c>
      <c r="AO6" s="63">
        <f>股权价值增加表!AO41</f>
        <v>-0.58172991285484033</v>
      </c>
      <c r="AP6" s="63">
        <f>股权价值增加表!AP41</f>
        <v>-2.8639420560183635</v>
      </c>
      <c r="AQ6" s="63">
        <f>股权价值增加表!AQ41</f>
        <v>1.4840327040720391</v>
      </c>
      <c r="AR6" s="63">
        <f>股权价值增加表!AR41</f>
        <v>3.3859520368449756</v>
      </c>
      <c r="AS6" s="63">
        <f>股权价值增加表!AS41</f>
        <v>0.16833034062191088</v>
      </c>
      <c r="AT6" s="63">
        <f>股权价值增加表!AT41</f>
        <v>-0.20043259923758461</v>
      </c>
      <c r="AU6" s="63">
        <f>股权价值增加表!AU41</f>
        <v>0.19527370776793657</v>
      </c>
      <c r="AV6" s="63">
        <f>股权价值增加表!AV41</f>
        <v>2.9607138828122079E-2</v>
      </c>
      <c r="AW6" s="63">
        <f>股权价值增加表!AW41</f>
        <v>-2.854434544527229E-2</v>
      </c>
      <c r="AX6" s="63">
        <f>股权价值增加表!AX41</f>
        <v>-1.3316642077243233E-2</v>
      </c>
      <c r="AY6" s="63">
        <f>股权价值增加表!AY41</f>
        <v>-1.4097372685549269E-2</v>
      </c>
      <c r="AZ6" s="63">
        <f>股权价值增加表!AZ41</f>
        <v>-1.5926791454917752E-2</v>
      </c>
      <c r="BA6" s="63">
        <f>股权价值增加表!BA41</f>
        <v>-0.11974921779965554</v>
      </c>
      <c r="BB6" s="63">
        <f>股权价值增加表!BB41</f>
        <v>-0.18103251490195235</v>
      </c>
      <c r="BC6" s="63">
        <f>股权价值增加表!BC41</f>
        <v>-0.2122355477930937</v>
      </c>
      <c r="BD6" s="63">
        <f>股权价值增加表!BD41</f>
        <v>-0.19291367167646845</v>
      </c>
      <c r="BE6" s="63">
        <f>股权价值增加表!BE41</f>
        <v>4.8170200129422157E-2</v>
      </c>
      <c r="BF6" s="63">
        <f>股权价值增加表!BF41</f>
        <v>0.20873076706627183</v>
      </c>
      <c r="BG6" s="63">
        <f>股权价值增加表!BG41</f>
        <v>0.24159714116329109</v>
      </c>
      <c r="BH6" s="63">
        <f>股权价值增加表!BH41</f>
        <v>0.23547703976212522</v>
      </c>
      <c r="BI6" s="63">
        <f>股权价值增加表!BI41</f>
        <v>-9.031005558279602E-2</v>
      </c>
      <c r="BJ6" s="63">
        <f>股权价值增加表!BJ41</f>
        <v>-0.11485665635615191</v>
      </c>
      <c r="BK6" s="63">
        <f>股权价值增加表!BK41</f>
        <v>-7.6095427967670312E-2</v>
      </c>
      <c r="BL6" s="63">
        <f>股权价值增加表!BL41</f>
        <v>-7.9024300210631754E-2</v>
      </c>
      <c r="BM6" s="63">
        <f>股权价值增加表!BM41</f>
        <v>-289.27003433055421</v>
      </c>
      <c r="BN6" s="63">
        <f>股权价值增加表!BN41</f>
        <v>-2.1035757007279332</v>
      </c>
      <c r="BO6" s="63">
        <f>股权价值增加表!BO41</f>
        <v>-1.9752236713944265</v>
      </c>
      <c r="BP6" s="63">
        <f>股权价值增加表!BP41</f>
        <v>-1.1591699355144411</v>
      </c>
      <c r="BQ6" s="63">
        <f>股权价值增加表!BQ41</f>
        <v>-0.5610615119813902</v>
      </c>
      <c r="BR6" s="63">
        <f>股权价值增加表!BR41</f>
        <v>4.1914039034278066</v>
      </c>
      <c r="BS6" s="63">
        <f>股权价值增加表!BS41</f>
        <v>0.51913179613853655</v>
      </c>
      <c r="BT6" s="63">
        <f>股权价值增加表!BT41</f>
        <v>0.43684494663518481</v>
      </c>
      <c r="BU6" s="63">
        <f>股权价值增加表!BU41</f>
        <v>0.24709647675202681</v>
      </c>
    </row>
    <row r="7" spans="1:74" s="63" customFormat="1">
      <c r="A7" s="63" t="s">
        <v>330</v>
      </c>
      <c r="E7" s="63">
        <f>E5*(1-E6)</f>
        <v>3.5330406569585228E-2</v>
      </c>
      <c r="F7" s="63">
        <f t="shared" ref="F7:BQ7" si="2">F5*(1-F6)</f>
        <v>0</v>
      </c>
      <c r="G7" s="63">
        <f t="shared" si="2"/>
        <v>0</v>
      </c>
      <c r="H7" s="63">
        <f t="shared" si="2"/>
        <v>0</v>
      </c>
      <c r="I7" s="63">
        <f t="shared" si="2"/>
        <v>4.2278794630776197E-2</v>
      </c>
      <c r="J7" s="63">
        <f t="shared" si="2"/>
        <v>0</v>
      </c>
      <c r="K7" s="63">
        <f t="shared" si="2"/>
        <v>0</v>
      </c>
      <c r="L7" s="63">
        <f t="shared" si="2"/>
        <v>0</v>
      </c>
      <c r="M7" s="63">
        <f t="shared" si="2"/>
        <v>5.2733067399741741E-2</v>
      </c>
      <c r="N7" s="63">
        <f t="shared" si="2"/>
        <v>0</v>
      </c>
      <c r="O7" s="63">
        <f t="shared" si="2"/>
        <v>0</v>
      </c>
      <c r="P7" s="63">
        <f t="shared" si="2"/>
        <v>0</v>
      </c>
      <c r="Q7" s="63">
        <f t="shared" si="2"/>
        <v>1.476319782744762E-2</v>
      </c>
      <c r="R7" s="63">
        <f t="shared" si="2"/>
        <v>0</v>
      </c>
      <c r="S7" s="63">
        <f t="shared" si="2"/>
        <v>0</v>
      </c>
      <c r="T7" s="63">
        <f t="shared" si="2"/>
        <v>0</v>
      </c>
      <c r="U7" s="63">
        <f t="shared" si="2"/>
        <v>6.0313421924114048E-2</v>
      </c>
      <c r="V7" s="63">
        <f t="shared" si="2"/>
        <v>0</v>
      </c>
      <c r="W7" s="63">
        <f t="shared" si="2"/>
        <v>0</v>
      </c>
      <c r="X7" s="63">
        <f t="shared" si="2"/>
        <v>0</v>
      </c>
      <c r="Y7" s="63">
        <f t="shared" si="2"/>
        <v>4.9124276892570443E-2</v>
      </c>
      <c r="Z7" s="63">
        <f t="shared" si="2"/>
        <v>0</v>
      </c>
      <c r="AA7" s="63">
        <f t="shared" si="2"/>
        <v>0</v>
      </c>
      <c r="AB7" s="63">
        <f t="shared" si="2"/>
        <v>0</v>
      </c>
      <c r="AC7" s="63">
        <f t="shared" si="2"/>
        <v>5.9798967534389638E-2</v>
      </c>
      <c r="AD7" s="63">
        <f t="shared" si="2"/>
        <v>0</v>
      </c>
      <c r="AE7" s="63">
        <f t="shared" si="2"/>
        <v>0</v>
      </c>
      <c r="AF7" s="63">
        <f t="shared" si="2"/>
        <v>0</v>
      </c>
      <c r="AG7" s="63">
        <f t="shared" si="2"/>
        <v>6.1058384316482466E-2</v>
      </c>
      <c r="AH7" s="63">
        <f t="shared" si="2"/>
        <v>0</v>
      </c>
      <c r="AI7" s="63">
        <f t="shared" si="2"/>
        <v>0</v>
      </c>
      <c r="AJ7" s="63">
        <f t="shared" si="2"/>
        <v>0</v>
      </c>
      <c r="AK7" s="63">
        <f t="shared" si="2"/>
        <v>0</v>
      </c>
      <c r="AL7" s="63">
        <f t="shared" si="2"/>
        <v>0</v>
      </c>
      <c r="AM7" s="63" t="e">
        <f t="shared" si="2"/>
        <v>#DIV/0!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5097149218.7000008</v>
      </c>
      <c r="F8" s="26">
        <f>资产资本表!F107</f>
        <v>5119387192.1700001</v>
      </c>
      <c r="G8" s="26">
        <f>资产资本表!G107</f>
        <v>5022308549.75</v>
      </c>
      <c r="H8" s="26">
        <f>资产资本表!H107</f>
        <v>4526638939.6399994</v>
      </c>
      <c r="I8" s="26">
        <f>资产资本表!I107</f>
        <v>4399416613.54</v>
      </c>
      <c r="J8" s="26">
        <f>资产资本表!J107</f>
        <v>4286165511.6600003</v>
      </c>
      <c r="K8" s="26">
        <f>资产资本表!K107</f>
        <v>4270757384.3499999</v>
      </c>
      <c r="L8" s="26">
        <f>资产资本表!L107</f>
        <v>4115868642.9300003</v>
      </c>
      <c r="M8" s="26">
        <f>资产资本表!M107</f>
        <v>3993312242.1900001</v>
      </c>
      <c r="N8" s="26">
        <f>资产资本表!N107</f>
        <v>3859156726.71</v>
      </c>
      <c r="O8" s="26">
        <f>资产资本表!O107</f>
        <v>3728473681.7000003</v>
      </c>
      <c r="P8" s="26">
        <f>资产资本表!P107</f>
        <v>3691562256.7200003</v>
      </c>
      <c r="Q8" s="26">
        <f>资产资本表!Q107</f>
        <v>3636192269.79</v>
      </c>
      <c r="R8" s="26">
        <f>资产资本表!R107</f>
        <v>3518332392.6500001</v>
      </c>
      <c r="S8" s="26">
        <f>资产资本表!S107</f>
        <v>1699682018.71</v>
      </c>
      <c r="T8" s="26">
        <f>资产资本表!T107</f>
        <v>1667749453.29</v>
      </c>
      <c r="U8" s="26">
        <f>资产资本表!U107</f>
        <v>1646264150.74</v>
      </c>
      <c r="V8" s="26">
        <f>资产资本表!V107</f>
        <v>1627272674.0600002</v>
      </c>
      <c r="W8" s="26">
        <f>资产资本表!W107</f>
        <v>1609673155.1100001</v>
      </c>
      <c r="X8" s="26">
        <f>资产资本表!X107</f>
        <v>1609144288.3200002</v>
      </c>
      <c r="Y8" s="26">
        <f>资产资本表!Y107</f>
        <v>1589716698.8200002</v>
      </c>
      <c r="Z8" s="26">
        <f>资产资本表!Z107</f>
        <v>1577089938.22</v>
      </c>
      <c r="AA8" s="26">
        <f>资产资本表!AA107</f>
        <v>1554308927.1600001</v>
      </c>
      <c r="AB8" s="26">
        <f>资产资本表!AB107</f>
        <v>1572019673.1300001</v>
      </c>
      <c r="AC8" s="26">
        <f>资产资本表!AC107</f>
        <v>1543171432.23</v>
      </c>
      <c r="AD8" s="26">
        <f>资产资本表!AD107</f>
        <v>1524317785.3099999</v>
      </c>
      <c r="AE8" s="26">
        <f>资产资本表!AE107</f>
        <v>499747618.13</v>
      </c>
      <c r="AF8" s="26">
        <f>资产资本表!AF107</f>
        <v>450770880.29000002</v>
      </c>
      <c r="AG8" s="26">
        <f>资产资本表!AG107</f>
        <v>409959037.79000002</v>
      </c>
      <c r="AH8" s="26">
        <f>资产资本表!AH107</f>
        <v>270673471.32999998</v>
      </c>
      <c r="AI8" s="26">
        <f>资产资本表!AI107</f>
        <v>198708395.81</v>
      </c>
      <c r="AJ8" s="26">
        <f>资产资本表!AJ107</f>
        <v>0</v>
      </c>
      <c r="AK8" s="26">
        <f>资产资本表!AK107</f>
        <v>21936151954</v>
      </c>
      <c r="AL8" s="26">
        <f>资产资本表!AL107</f>
        <v>17635170530</v>
      </c>
      <c r="AM8" s="26">
        <f>资产资本表!AM107</f>
        <v>17668415779</v>
      </c>
      <c r="AN8" s="26">
        <f>资产资本表!AN107</f>
        <v>6251855568</v>
      </c>
      <c r="AO8" s="26">
        <f>资产资本表!AO107</f>
        <v>6718801623</v>
      </c>
      <c r="AP8" s="26">
        <f>资产资本表!AP107</f>
        <v>7803008510</v>
      </c>
      <c r="AQ8" s="26">
        <f>资产资本表!AQ107</f>
        <v>6123342937</v>
      </c>
      <c r="AR8" s="26">
        <f>资产资本表!AR107</f>
        <v>5871972171</v>
      </c>
      <c r="AS8" s="26">
        <f>资产资本表!AS107</f>
        <v>5521339174</v>
      </c>
      <c r="AT8" s="26">
        <f>资产资本表!AT107</f>
        <v>4815248345</v>
      </c>
      <c r="AU8" s="26">
        <f>资产资本表!AU107</f>
        <v>4286708476</v>
      </c>
      <c r="AV8" s="26">
        <f>资产资本表!AV107</f>
        <v>4149673945</v>
      </c>
      <c r="AW8" s="26">
        <f>资产资本表!AW107</f>
        <v>4297451541</v>
      </c>
      <c r="AX8" s="26">
        <f>资产资本表!AX107</f>
        <v>4233717635</v>
      </c>
      <c r="AY8" s="26">
        <f>资产资本表!AY107</f>
        <v>1834761744</v>
      </c>
      <c r="AZ8" s="26">
        <f>资产资本表!AZ107</f>
        <v>3068898270</v>
      </c>
      <c r="BA8" s="26">
        <f>资产资本表!BA107</f>
        <v>3611521594</v>
      </c>
      <c r="BB8" s="26">
        <f>资产资本表!BB107</f>
        <v>4138880834</v>
      </c>
      <c r="BC8" s="26">
        <f>资产资本表!BC107</f>
        <v>4528295925</v>
      </c>
      <c r="BD8" s="26">
        <f>资产资本表!BD107</f>
        <v>5088280391</v>
      </c>
      <c r="BE8" s="26">
        <f>资产资本表!BE107</f>
        <v>5481194703</v>
      </c>
      <c r="BF8" s="26">
        <f>资产资本表!BF107</f>
        <v>5775750031.3199997</v>
      </c>
      <c r="BG8" s="26">
        <f>资产资本表!BG107</f>
        <v>5748834264.4500008</v>
      </c>
      <c r="BH8" s="26">
        <f>资产资本表!BH107</f>
        <v>5538049404.8299999</v>
      </c>
      <c r="BI8" s="26">
        <f>资产资本表!BI107</f>
        <v>3080180848</v>
      </c>
      <c r="BJ8" s="26">
        <f>资产资本表!BJ107</f>
        <v>2992428916.1300001</v>
      </c>
      <c r="BK8" s="26">
        <f>资产资本表!BK107</f>
        <v>2821404851.2199998</v>
      </c>
      <c r="BL8" s="26">
        <f>资产资本表!BL107</f>
        <v>2578590694.2200003</v>
      </c>
      <c r="BM8" s="26">
        <f>资产资本表!BM107</f>
        <v>2640890514</v>
      </c>
      <c r="BN8" s="26">
        <f>资产资本表!BN107</f>
        <v>2627029033.3499999</v>
      </c>
      <c r="BO8" s="26">
        <f>资产资本表!BO107</f>
        <v>2546625195.1500001</v>
      </c>
      <c r="BP8" s="26">
        <f>资产资本表!BP107</f>
        <v>2469173821.48</v>
      </c>
      <c r="BQ8" s="26">
        <f>资产资本表!BQ107</f>
        <v>2335783347</v>
      </c>
      <c r="BR8" s="26">
        <f>资产资本表!BR107</f>
        <v>2400207583.4700003</v>
      </c>
      <c r="BS8" s="26">
        <f>资产资本表!BS107</f>
        <v>2227180861</v>
      </c>
      <c r="BT8" s="26">
        <f>资产资本表!BT107</f>
        <v>1333758140</v>
      </c>
      <c r="BU8" s="26">
        <f>资产资本表!BU107</f>
        <v>1254162142</v>
      </c>
    </row>
    <row r="9" spans="1:74" s="63" customFormat="1">
      <c r="A9" s="63" t="s">
        <v>738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c r="A10" s="17" t="s">
        <v>332</v>
      </c>
      <c r="E10" s="26">
        <f>资产资本表!E70</f>
        <v>5428070583.6000004</v>
      </c>
      <c r="F10" s="26">
        <f>资产资本表!F70</f>
        <v>5451537175.4099998</v>
      </c>
      <c r="G10" s="26">
        <f>资产资本表!G70</f>
        <v>5411170041.9899998</v>
      </c>
      <c r="H10" s="26">
        <f>资产资本表!H70</f>
        <v>4905085242.3100004</v>
      </c>
      <c r="I10" s="26">
        <f>资产资本表!I70</f>
        <v>4760863114.5800009</v>
      </c>
      <c r="J10" s="26">
        <f>资产资本表!J70</f>
        <v>4692761409.4299994</v>
      </c>
      <c r="K10" s="26">
        <f>资产资本表!K70</f>
        <v>4712292526.71</v>
      </c>
      <c r="L10" s="26">
        <f>资产资本表!L70</f>
        <v>4507665442.1199999</v>
      </c>
      <c r="M10" s="26">
        <f>资产资本表!M70</f>
        <v>4414959493.9099998</v>
      </c>
      <c r="N10" s="26">
        <f>资产资本表!N70</f>
        <v>4247818095.6599998</v>
      </c>
      <c r="O10" s="26">
        <f>资产资本表!O70</f>
        <v>3879059834.29</v>
      </c>
      <c r="P10" s="26">
        <f>资产资本表!P70</f>
        <v>3818788766.3099999</v>
      </c>
      <c r="Q10" s="26">
        <f>资产资本表!Q70</f>
        <v>3728407801.2999992</v>
      </c>
      <c r="R10" s="26">
        <f>资产资本表!R70</f>
        <v>3588907581.0099988</v>
      </c>
      <c r="S10" s="26">
        <f>资产资本表!S70</f>
        <v>1732859963.9200001</v>
      </c>
      <c r="T10" s="26">
        <f>资产资本表!T70</f>
        <v>1688249453.2899997</v>
      </c>
      <c r="U10" s="26">
        <f>资产资本表!U70</f>
        <v>1654280150.7399998</v>
      </c>
      <c r="V10" s="26">
        <f>资产资本表!V70</f>
        <v>1632272674.0599999</v>
      </c>
      <c r="W10" s="26">
        <f>资产资本表!W70</f>
        <v>1700008399.4200003</v>
      </c>
      <c r="X10" s="26">
        <f>资产资本表!X70</f>
        <v>1714066680.46</v>
      </c>
      <c r="Y10" s="26">
        <f>资产资本表!Y70</f>
        <v>1684878209.2800002</v>
      </c>
      <c r="Z10" s="26">
        <f>资产资本表!Z70</f>
        <v>1662240554.6599998</v>
      </c>
      <c r="AA10" s="26">
        <f>资产资本表!AA70</f>
        <v>1609411001.1299999</v>
      </c>
      <c r="AB10" s="26">
        <f>资产资本表!AB70</f>
        <v>1572025077.6300001</v>
      </c>
      <c r="AC10" s="26">
        <f>资产资本表!AC70</f>
        <v>1548847646.73</v>
      </c>
      <c r="AD10" s="26">
        <f>资产资本表!AD70</f>
        <v>1536485338.9700003</v>
      </c>
      <c r="AE10" s="26">
        <f>资产资本表!AE70</f>
        <v>924207122.87</v>
      </c>
      <c r="AF10" s="26">
        <f>资产资本表!AF70</f>
        <v>818339294.53999996</v>
      </c>
      <c r="AG10" s="26">
        <f>资产资本表!AG70</f>
        <v>728692992.04000008</v>
      </c>
      <c r="AH10" s="26">
        <f>资产资本表!AH70</f>
        <v>468666012.45999998</v>
      </c>
      <c r="AI10" s="26">
        <f>资产资本表!AI70</f>
        <v>320469050.89000005</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347</v>
      </c>
      <c r="E11" s="63">
        <f>E4/E10</f>
        <v>5.9277493732699582E-2</v>
      </c>
      <c r="F11" s="63">
        <f t="shared" ref="F11:BQ11" si="3">F4/F10</f>
        <v>6.092776634418156E-2</v>
      </c>
      <c r="G11" s="63">
        <f t="shared" si="3"/>
        <v>7.1862737489763517E-2</v>
      </c>
      <c r="H11" s="63">
        <f t="shared" si="3"/>
        <v>7.715386868420139E-2</v>
      </c>
      <c r="I11" s="63">
        <f t="shared" si="3"/>
        <v>7.5920372491509125E-2</v>
      </c>
      <c r="J11" s="63">
        <f t="shared" si="3"/>
        <v>8.6643206908613463E-2</v>
      </c>
      <c r="K11" s="63">
        <f t="shared" si="3"/>
        <v>9.3698585106359755E-2</v>
      </c>
      <c r="L11" s="63">
        <f t="shared" si="3"/>
        <v>8.691789668528152E-2</v>
      </c>
      <c r="M11" s="63">
        <f t="shared" si="3"/>
        <v>9.5504217490923915E-2</v>
      </c>
      <c r="N11" s="63">
        <f t="shared" si="3"/>
        <v>9.1496707297117008E-2</v>
      </c>
      <c r="O11" s="63">
        <f t="shared" si="3"/>
        <v>3.8820270638481244E-2</v>
      </c>
      <c r="P11" s="63">
        <f t="shared" si="3"/>
        <v>3.3315932714690528E-2</v>
      </c>
      <c r="Q11" s="63">
        <f t="shared" si="3"/>
        <v>2.4733220297910235E-2</v>
      </c>
      <c r="R11" s="63">
        <f t="shared" si="3"/>
        <v>1.9664810744482467E-2</v>
      </c>
      <c r="S11" s="63">
        <f t="shared" si="3"/>
        <v>1.9146351061713206E-2</v>
      </c>
      <c r="T11" s="63">
        <f t="shared" si="3"/>
        <v>1.2142755301978827E-2</v>
      </c>
      <c r="U11" s="63">
        <f t="shared" si="3"/>
        <v>4.8456121512515564E-3</v>
      </c>
      <c r="V11" s="63">
        <f t="shared" si="3"/>
        <v>3.0632136893913395E-3</v>
      </c>
      <c r="W11" s="63">
        <f t="shared" si="3"/>
        <v>5.3138116459201079E-2</v>
      </c>
      <c r="X11" s="63">
        <f t="shared" si="3"/>
        <v>6.1212549859403498E-2</v>
      </c>
      <c r="Y11" s="63">
        <f t="shared" si="3"/>
        <v>5.6479756184077787E-2</v>
      </c>
      <c r="Z11" s="63">
        <f t="shared" si="3"/>
        <v>5.1226410161444406E-2</v>
      </c>
      <c r="AA11" s="63">
        <f t="shared" si="3"/>
        <v>3.4237416005800707E-2</v>
      </c>
      <c r="AB11" s="63">
        <f t="shared" si="3"/>
        <v>3.4379222551257739E-6</v>
      </c>
      <c r="AC11" s="63">
        <f t="shared" si="3"/>
        <v>3.6647984790394916E-3</v>
      </c>
      <c r="AD11" s="63">
        <f t="shared" si="3"/>
        <v>7.9190821750090064E-3</v>
      </c>
      <c r="AE11" s="63">
        <f t="shared" si="3"/>
        <v>0.45926880916249435</v>
      </c>
      <c r="AF11" s="63">
        <f t="shared" si="3"/>
        <v>0.44916383302431467</v>
      </c>
      <c r="AG11" s="63">
        <f t="shared" si="3"/>
        <v>0.43740499460231363</v>
      </c>
      <c r="AH11" s="63">
        <f t="shared" si="3"/>
        <v>0.36227446835499083</v>
      </c>
      <c r="AI11" s="63">
        <f t="shared" si="3"/>
        <v>0.37994512962124988</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c r="A12" s="17" t="s">
        <v>348</v>
      </c>
      <c r="E12" s="63">
        <f>E8/E10</f>
        <v>0.9390351765321876</v>
      </c>
      <c r="F12" s="63">
        <f t="shared" ref="F12:BQ12" si="4">F8/F10</f>
        <v>0.93907223365581849</v>
      </c>
      <c r="G12" s="63">
        <f t="shared" si="4"/>
        <v>0.92813726251023654</v>
      </c>
      <c r="H12" s="63">
        <f t="shared" si="4"/>
        <v>0.9228461313157984</v>
      </c>
      <c r="I12" s="63">
        <f t="shared" si="4"/>
        <v>0.92407962750849071</v>
      </c>
      <c r="J12" s="63">
        <f t="shared" si="4"/>
        <v>0.91335679309138673</v>
      </c>
      <c r="K12" s="63">
        <f t="shared" si="4"/>
        <v>0.90630141489364024</v>
      </c>
      <c r="L12" s="63">
        <f t="shared" si="4"/>
        <v>0.91308210331471862</v>
      </c>
      <c r="M12" s="63">
        <f t="shared" si="4"/>
        <v>0.90449578250907614</v>
      </c>
      <c r="N12" s="63">
        <f t="shared" si="4"/>
        <v>0.90850329270288299</v>
      </c>
      <c r="O12" s="63">
        <f t="shared" si="4"/>
        <v>0.96117972936151885</v>
      </c>
      <c r="P12" s="63">
        <f t="shared" si="4"/>
        <v>0.96668406728530953</v>
      </c>
      <c r="Q12" s="63">
        <f t="shared" si="4"/>
        <v>0.97526677970208997</v>
      </c>
      <c r="R12" s="63">
        <f t="shared" si="4"/>
        <v>0.98033518925551788</v>
      </c>
      <c r="S12" s="63">
        <f t="shared" si="4"/>
        <v>0.98085364893828675</v>
      </c>
      <c r="T12" s="63">
        <f t="shared" si="4"/>
        <v>0.98785724469802128</v>
      </c>
      <c r="U12" s="63">
        <f t="shared" si="4"/>
        <v>0.99515438784874855</v>
      </c>
      <c r="V12" s="63">
        <f t="shared" si="4"/>
        <v>0.99693678631060878</v>
      </c>
      <c r="W12" s="63">
        <f t="shared" si="4"/>
        <v>0.94686188354079881</v>
      </c>
      <c r="X12" s="63">
        <f t="shared" si="4"/>
        <v>0.93878745014059661</v>
      </c>
      <c r="Y12" s="63">
        <f t="shared" si="4"/>
        <v>0.94352024381592214</v>
      </c>
      <c r="Z12" s="63">
        <f t="shared" si="4"/>
        <v>0.94877358983855575</v>
      </c>
      <c r="AA12" s="63">
        <f t="shared" si="4"/>
        <v>0.96576258399419945</v>
      </c>
      <c r="AB12" s="63">
        <f t="shared" si="4"/>
        <v>0.9999965620777449</v>
      </c>
      <c r="AC12" s="63">
        <f t="shared" si="4"/>
        <v>0.99633520152096056</v>
      </c>
      <c r="AD12" s="63">
        <f t="shared" si="4"/>
        <v>0.99208091782499075</v>
      </c>
      <c r="AE12" s="63">
        <f t="shared" si="4"/>
        <v>0.54073119083750565</v>
      </c>
      <c r="AF12" s="63">
        <f t="shared" si="4"/>
        <v>0.55083616697568538</v>
      </c>
      <c r="AG12" s="63">
        <f t="shared" si="4"/>
        <v>0.56259500539768625</v>
      </c>
      <c r="AH12" s="63">
        <f t="shared" si="4"/>
        <v>0.57754021869273398</v>
      </c>
      <c r="AI12" s="63">
        <f t="shared" si="4"/>
        <v>0.62005487037874996</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c r="A13" s="63" t="s">
        <v>349</v>
      </c>
      <c r="E13" s="63">
        <f>E5*E11*(1-E6)+E9*E12</f>
        <v>7.7217112076577332E-2</v>
      </c>
      <c r="F13" s="63">
        <f t="shared" ref="F13:J13" si="5">F5*F11*(1-F6)+F9*F12</f>
        <v>7.5125778692465478E-2</v>
      </c>
      <c r="G13" s="63">
        <f t="shared" si="5"/>
        <v>7.4250981000818922E-2</v>
      </c>
      <c r="H13" s="63">
        <f t="shared" si="5"/>
        <v>7.3827690505263874E-2</v>
      </c>
      <c r="I13" s="63">
        <f t="shared" si="5"/>
        <v>7.7136192037539797E-2</v>
      </c>
      <c r="J13" s="63">
        <f t="shared" si="5"/>
        <v>7.3068543447310938E-2</v>
      </c>
      <c r="K13" s="63">
        <f t="shared" ref="K13" si="6">K5*K11*(1-K6)+K9*K12</f>
        <v>7.2504113191491221E-2</v>
      </c>
      <c r="L13" s="63">
        <f t="shared" ref="L13" si="7">L5*L11*(1-L6)+L9*L12</f>
        <v>7.3046568265177497E-2</v>
      </c>
      <c r="M13" s="63">
        <f t="shared" ref="M13" si="8">M5*M11*(1-M6)+M9*M12</f>
        <v>7.7395892938634581E-2</v>
      </c>
      <c r="N13" s="63">
        <f t="shared" ref="N13:O13" si="9">N5*N11*(1-N6)+N9*N12</f>
        <v>7.2680263416230642E-2</v>
      </c>
      <c r="O13" s="63">
        <f t="shared" si="9"/>
        <v>7.6894378348921516E-2</v>
      </c>
      <c r="P13" s="63">
        <f t="shared" ref="P13" si="10">P5*P11*(1-P6)+P9*P12</f>
        <v>7.7334725382824765E-2</v>
      </c>
      <c r="Q13" s="63">
        <f t="shared" ref="Q13" si="11">Q5*Q11*(1-Q6)+Q9*Q12</f>
        <v>7.8386483800335097E-2</v>
      </c>
      <c r="R13" s="63">
        <f t="shared" ref="R13" si="12">R5*R11*(1-R6)+R9*R12</f>
        <v>7.8426815140441433E-2</v>
      </c>
      <c r="S13" s="63">
        <f t="shared" ref="S13:T13" si="13">S5*S11*(1-S6)+S9*S12</f>
        <v>7.8468291915062938E-2</v>
      </c>
      <c r="T13" s="63">
        <f t="shared" si="13"/>
        <v>7.9028579575841709E-2</v>
      </c>
      <c r="U13" s="63">
        <f t="shared" ref="U13" si="14">U5*U11*(1-U6)+U9*U12</f>
        <v>7.9904606478058943E-2</v>
      </c>
      <c r="V13" s="63">
        <f t="shared" ref="V13" si="15">V5*V11*(1-V6)+V9*V12</f>
        <v>7.9754942904848705E-2</v>
      </c>
      <c r="W13" s="63">
        <f t="shared" ref="W13" si="16">W5*W11*(1-W6)+W9*W12</f>
        <v>7.5748950683263913E-2</v>
      </c>
      <c r="X13" s="63">
        <f t="shared" ref="X13:Y13" si="17">X5*X11*(1-X6)+X9*X12</f>
        <v>7.510299601124773E-2</v>
      </c>
      <c r="Y13" s="63">
        <f t="shared" si="17"/>
        <v>7.825614668688527E-2</v>
      </c>
      <c r="Z13" s="63">
        <f t="shared" ref="Z13" si="18">Z5*Z11*(1-Z6)+Z9*Z12</f>
        <v>7.590188718708446E-2</v>
      </c>
      <c r="AA13" s="63">
        <f t="shared" ref="AA13" si="19">AA5*AA11*(1-AA6)+AA9*AA12</f>
        <v>7.7261006719535952E-2</v>
      </c>
      <c r="AB13" s="63">
        <f t="shared" ref="AB13" si="20">AB5*AB11*(1-AB6)+AB9*AB12</f>
        <v>7.9999724966219599E-2</v>
      </c>
      <c r="AC13" s="63">
        <f t="shared" ref="AC13:AD13" si="21">AC5*AC11*(1-AC6)+AC9*AC12</f>
        <v>7.992596728694501E-2</v>
      </c>
      <c r="AD13" s="63">
        <f t="shared" si="21"/>
        <v>7.9366473425999257E-2</v>
      </c>
      <c r="AE13" s="63">
        <f t="shared" ref="AE13" si="22">AE5*AE11*(1-AE6)+AE9*AE12</f>
        <v>4.3258495267000451E-2</v>
      </c>
      <c r="AF13" s="63">
        <f t="shared" ref="AF13" si="23">AF5*AF11*(1-AF6)+AF9*AF12</f>
        <v>4.4066893358054832E-2</v>
      </c>
      <c r="AG13" s="63">
        <f t="shared" ref="AG13" si="24">AG5*AG11*(1-AG6)+AG9*AG12</f>
        <v>7.1714842694191899E-2</v>
      </c>
      <c r="AH13" s="63">
        <f t="shared" ref="AH13:AI13" si="25">AH5*AH11*(1-AH6)+AH9*AH12</f>
        <v>4.6203217495418718E-2</v>
      </c>
      <c r="AI13" s="63">
        <f t="shared" si="25"/>
        <v>4.9604389630299998E-2</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5" customHeight="1">
      <c r="A14" s="285" t="s">
        <v>665</v>
      </c>
      <c r="B14" s="284"/>
      <c r="C14" s="284"/>
      <c r="D14" s="284"/>
      <c r="E14" s="284"/>
      <c r="F14" s="284"/>
      <c r="G14" s="284"/>
      <c r="H14" s="284"/>
      <c r="I14" s="284"/>
      <c r="J14" s="284"/>
      <c r="K14" s="284"/>
      <c r="L14" s="284"/>
      <c r="M14" s="284"/>
      <c r="N14" s="284"/>
      <c r="O14" s="284"/>
      <c r="P14" s="284"/>
      <c r="Q14" s="284"/>
      <c r="R14" s="284"/>
      <c r="S14" s="284"/>
      <c r="T14" s="284"/>
      <c r="U14" s="284"/>
      <c r="V14" s="284"/>
      <c r="W14" s="284"/>
      <c r="X14" s="284"/>
      <c r="Y14" s="284"/>
      <c r="Z14" s="284"/>
      <c r="AA14" s="284"/>
      <c r="AB14" s="284"/>
      <c r="AC14" s="284"/>
      <c r="AD14" s="284"/>
      <c r="AE14" s="284"/>
      <c r="AF14" s="284"/>
      <c r="AG14" s="284"/>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67" workbookViewId="0">
      <selection activeCell="E45" sqref="E45"/>
    </sheetView>
  </sheetViews>
  <sheetFormatPr defaultRowHeight="13.5"/>
  <cols>
    <col min="1" max="1" width="36.75"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19.5" hidden="1" customWidth="1"/>
    <col min="33" max="35" width="19.5" bestFit="1" customWidth="1"/>
    <col min="36" max="36" width="9.5" hidden="1" customWidth="1"/>
    <col min="37" max="90" width="8.5" bestFit="1" customWidth="1"/>
  </cols>
  <sheetData>
    <row r="1" spans="1:90" s="26" customFormat="1"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c r="A2" s="41" t="s">
        <v>549</v>
      </c>
      <c r="E2" s="26">
        <f>资产资本表!E17</f>
        <v>1011699382.3000001</v>
      </c>
      <c r="F2" s="26">
        <f>资产资本表!F17</f>
        <v>1240506178.53</v>
      </c>
      <c r="G2" s="26">
        <f>资产资本表!G17</f>
        <v>1135331214.2</v>
      </c>
      <c r="H2" s="26">
        <f>资产资本表!H17</f>
        <v>852002247.96000004</v>
      </c>
      <c r="I2" s="26">
        <f>资产资本表!I17</f>
        <v>798159068.22000003</v>
      </c>
      <c r="J2" s="26">
        <f>资产资本表!J17</f>
        <v>636697461.95000005</v>
      </c>
      <c r="K2" s="26">
        <f>资产资本表!K17</f>
        <v>558046066.27999997</v>
      </c>
      <c r="L2" s="26">
        <f>资产资本表!L17</f>
        <v>437744807.25999999</v>
      </c>
      <c r="M2" s="26">
        <f>资产资本表!M17</f>
        <v>546081549.03999996</v>
      </c>
      <c r="N2" s="26">
        <f>资产资本表!N17</f>
        <v>403712468.94</v>
      </c>
      <c r="O2" s="26">
        <f>资产资本表!O17</f>
        <v>192454966.77000001</v>
      </c>
      <c r="P2" s="26">
        <f>资产资本表!P17</f>
        <v>287278734.86000001</v>
      </c>
      <c r="Q2" s="26">
        <f>资产资本表!Q17</f>
        <v>296152955</v>
      </c>
      <c r="R2" s="26">
        <f>资产资本表!R17</f>
        <v>228581798.34999999</v>
      </c>
      <c r="S2" s="26">
        <f>资产资本表!S17</f>
        <v>76264788.909999996</v>
      </c>
      <c r="T2" s="26">
        <f>资产资本表!T17</f>
        <v>81609545.260000005</v>
      </c>
      <c r="U2" s="26">
        <f>资产资本表!U17</f>
        <v>117019801.84</v>
      </c>
      <c r="V2" s="26">
        <f>资产资本表!V17</f>
        <v>288407000.22000003</v>
      </c>
      <c r="W2" s="26">
        <f>资产资本表!W17</f>
        <v>395385802.33999997</v>
      </c>
      <c r="X2" s="26">
        <f>资产资本表!X17</f>
        <v>415229005.37</v>
      </c>
      <c r="Y2" s="26">
        <f>资产资本表!Y17</f>
        <v>446558631.75</v>
      </c>
      <c r="Z2" s="26">
        <f>资产资本表!Z17</f>
        <v>445462625.06999999</v>
      </c>
      <c r="AA2" s="26">
        <f>资产资本表!AA17</f>
        <v>448243718.80000001</v>
      </c>
      <c r="AB2" s="26">
        <f>资产资本表!AB17</f>
        <v>475663134.92000002</v>
      </c>
      <c r="AC2" s="26">
        <f>资产资本表!AC17</f>
        <v>543271781.39999998</v>
      </c>
      <c r="AD2" s="26">
        <f>资产资本表!AD17</f>
        <v>583991549.62</v>
      </c>
      <c r="AE2" s="26">
        <f>资产资本表!AE17</f>
        <v>61509212.060000002</v>
      </c>
      <c r="AF2" s="26">
        <f>资产资本表!AF17</f>
        <v>71515655.140000001</v>
      </c>
      <c r="AG2" s="26">
        <f>资产资本表!AG17</f>
        <v>80573415.659999996</v>
      </c>
      <c r="AH2" s="26">
        <f>资产资本表!AH17</f>
        <v>55436295.049999997</v>
      </c>
      <c r="AI2" s="26">
        <f>资产资本表!AI17</f>
        <v>17079246.809999999</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550</v>
      </c>
      <c r="E3" s="26">
        <f>资产资本表!E19</f>
        <v>127485626.63</v>
      </c>
      <c r="F3" s="26">
        <f>资产资本表!F19</f>
        <v>77180105.909999996</v>
      </c>
      <c r="G3" s="26">
        <f>资产资本表!G19</f>
        <v>71112323.189999998</v>
      </c>
      <c r="H3" s="26">
        <f>资产资本表!H19</f>
        <v>41882391.369999997</v>
      </c>
      <c r="I3" s="26">
        <f>资产资本表!I19</f>
        <v>59432815.659999996</v>
      </c>
      <c r="J3" s="26">
        <f>资产资本表!J19</f>
        <v>17688723.84</v>
      </c>
      <c r="K3" s="26">
        <f>资产资本表!K19</f>
        <v>17688723.84</v>
      </c>
      <c r="L3" s="26">
        <f>资产资本表!L19</f>
        <v>154000000</v>
      </c>
      <c r="M3" s="26">
        <f>资产资本表!M19</f>
        <v>0</v>
      </c>
      <c r="N3" s="26">
        <f>资产资本表!N19</f>
        <v>0</v>
      </c>
      <c r="O3" s="26">
        <f>资产资本表!O19</f>
        <v>0</v>
      </c>
      <c r="P3" s="26">
        <f>资产资本表!P19</f>
        <v>0</v>
      </c>
      <c r="Q3" s="26">
        <f>资产资本表!Q19</f>
        <v>0</v>
      </c>
      <c r="R3" s="26">
        <f>资产资本表!R19</f>
        <v>6800000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10793820.49</v>
      </c>
      <c r="AA3" s="26">
        <f>资产资本表!AA19</f>
        <v>10161954.15</v>
      </c>
      <c r="AB3" s="26">
        <f>资产资本表!AB19</f>
        <v>11637847.42</v>
      </c>
      <c r="AC3" s="26">
        <f>资产资本表!AC19</f>
        <v>10882081.48</v>
      </c>
      <c r="AD3" s="26">
        <f>资产资本表!AD19</f>
        <v>9955446.0600000005</v>
      </c>
      <c r="AE3" s="26">
        <f>资产资本表!AE19</f>
        <v>9611004.1699999999</v>
      </c>
      <c r="AF3" s="26">
        <f>资产资本表!AF19</f>
        <v>9039649.9900000002</v>
      </c>
      <c r="AG3" s="26">
        <f>资产资本表!AG19</f>
        <v>8296076.1100000003</v>
      </c>
      <c r="AH3" s="26">
        <f>资产资本表!AH19</f>
        <v>5524269.5</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555</v>
      </c>
      <c r="E4" s="26">
        <f>资产资本表!E50</f>
        <v>753478576.5</v>
      </c>
      <c r="F4" s="26">
        <f>资产资本表!F50</f>
        <v>776848423.7900002</v>
      </c>
      <c r="G4" s="26">
        <f>资产资本表!G50</f>
        <v>868834564.08999991</v>
      </c>
      <c r="H4" s="26">
        <f>资产资本表!H50</f>
        <v>708019481.70000029</v>
      </c>
      <c r="I4" s="26">
        <f>资产资本表!I50</f>
        <v>625615826.89999998</v>
      </c>
      <c r="J4" s="26">
        <f>资产资本表!J50</f>
        <v>782541143.79000008</v>
      </c>
      <c r="K4" s="26">
        <f>资产资本表!K50</f>
        <v>906066641.3599999</v>
      </c>
      <c r="L4" s="26">
        <f>资产资本表!L50</f>
        <v>730691183.17999995</v>
      </c>
      <c r="M4" s="26">
        <f>资产资本表!M50</f>
        <v>685346614.57000029</v>
      </c>
      <c r="N4" s="26">
        <f>资产资本表!N50</f>
        <v>676908490.71000016</v>
      </c>
      <c r="O4" s="26">
        <f>资产资本表!O50</f>
        <v>541890177.11999977</v>
      </c>
      <c r="P4" s="26">
        <f>资产资本表!P50</f>
        <v>682843554.52999997</v>
      </c>
      <c r="Q4" s="26">
        <f>资产资本表!Q50</f>
        <v>617797115.86999977</v>
      </c>
      <c r="R4" s="26">
        <f>资产资本表!R50</f>
        <v>596558300.24999976</v>
      </c>
      <c r="S4" s="26">
        <f>资产资本表!S50</f>
        <v>566163996.30999994</v>
      </c>
      <c r="T4" s="26">
        <f>资产资本表!T50</f>
        <v>541349362.28999996</v>
      </c>
      <c r="U4" s="26">
        <f>资产资本表!U50</f>
        <v>508164202.77999991</v>
      </c>
      <c r="V4" s="26">
        <f>资产资本表!V50</f>
        <v>427004200.01999998</v>
      </c>
      <c r="W4" s="26">
        <f>资产资本表!W50</f>
        <v>404732556.43000019</v>
      </c>
      <c r="X4" s="26">
        <f>资产资本表!X50</f>
        <v>442213430.02999997</v>
      </c>
      <c r="Y4" s="26">
        <f>资产资本表!Y50</f>
        <v>466873477.21000004</v>
      </c>
      <c r="Z4" s="26">
        <f>资产资本表!Z50</f>
        <v>513757794.84000003</v>
      </c>
      <c r="AA4" s="26">
        <f>资产资本表!AA50</f>
        <v>483626138.01999998</v>
      </c>
      <c r="AB4" s="26">
        <f>资产资本表!AB50</f>
        <v>460672776.98000008</v>
      </c>
      <c r="AC4" s="26">
        <f>资产资本表!AC50</f>
        <v>395398457.08999991</v>
      </c>
      <c r="AD4" s="26">
        <f>资产资本表!AD50</f>
        <v>391012622.64000005</v>
      </c>
      <c r="AE4" s="26">
        <f>资产资本表!AE50</f>
        <v>354570528.44999993</v>
      </c>
      <c r="AF4" s="26">
        <f>资产资本表!AF50</f>
        <v>313336827</v>
      </c>
      <c r="AG4" s="26">
        <f>资产资本表!AG50</f>
        <v>254683377.04999998</v>
      </c>
      <c r="AH4" s="26">
        <f>资产资本表!AH50</f>
        <v>146402485.94</v>
      </c>
      <c r="AI4" s="26">
        <f>资产资本表!AI50</f>
        <v>162101013.55000001</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1739177996.3</v>
      </c>
      <c r="F5" s="26">
        <f>资产资本表!F33</f>
        <v>1632392935.4100001</v>
      </c>
      <c r="G5" s="26">
        <f>资产资本表!G33</f>
        <v>1683803270.29</v>
      </c>
      <c r="H5" s="26">
        <f>资产资本表!H33</f>
        <v>1548856906.4700003</v>
      </c>
      <c r="I5" s="26">
        <f>资产资本表!I33</f>
        <v>1368675061.24</v>
      </c>
      <c r="J5" s="26">
        <f>资产资本表!J33</f>
        <v>1499720011.74</v>
      </c>
      <c r="K5" s="26">
        <f>资产资本表!K33</f>
        <v>1555212333.03</v>
      </c>
      <c r="L5" s="26">
        <f>资产资本表!L33</f>
        <v>1412201621.0999999</v>
      </c>
      <c r="M5" s="26">
        <f>资产资本表!M33</f>
        <v>1341197044.0900002</v>
      </c>
      <c r="N5" s="26">
        <f>资产资本表!N33</f>
        <v>1335916236.8900001</v>
      </c>
      <c r="O5" s="26">
        <f>资产资本表!O33</f>
        <v>1223998681.6999998</v>
      </c>
      <c r="P5" s="26">
        <f>资产资本表!P33</f>
        <v>1163251414.02</v>
      </c>
      <c r="Q5" s="26">
        <f>资产资本表!Q33</f>
        <v>1088267056.4699998</v>
      </c>
      <c r="R5" s="26">
        <f>资产资本表!R33</f>
        <v>1098010161.0799999</v>
      </c>
      <c r="S5" s="26">
        <f>资产资本表!S33</f>
        <v>959039498.11000001</v>
      </c>
      <c r="T5" s="26">
        <f>资产资本表!T33</f>
        <v>975912299.69999993</v>
      </c>
      <c r="U5" s="26">
        <f>资产资本表!U33</f>
        <v>924407302.72000003</v>
      </c>
      <c r="V5" s="26">
        <f>资产资本表!V33</f>
        <v>822218717.04000008</v>
      </c>
      <c r="W5" s="26">
        <f>资产资本表!W33</f>
        <v>756868573.75000012</v>
      </c>
      <c r="X5" s="26">
        <f>资产资本表!X33</f>
        <v>682013257.77999997</v>
      </c>
      <c r="Y5" s="26">
        <f>资产资本表!Y33</f>
        <v>676673694.82000005</v>
      </c>
      <c r="Z5" s="26">
        <f>资产资本表!Z33</f>
        <v>659292366.23000002</v>
      </c>
      <c r="AA5" s="26">
        <f>资产资本表!AA33</f>
        <v>656573999.83999991</v>
      </c>
      <c r="AB5" s="26">
        <f>资产资本表!AB33</f>
        <v>610487986.44000006</v>
      </c>
      <c r="AC5" s="26">
        <f>资产资本表!AC33</f>
        <v>566223009.56999993</v>
      </c>
      <c r="AD5" s="26">
        <f>资产资本表!AD33</f>
        <v>546360999.96000004</v>
      </c>
      <c r="AE5" s="26">
        <f>资产资本表!AE33</f>
        <v>522059979.73999995</v>
      </c>
      <c r="AF5" s="26">
        <f>资产资本表!AF33</f>
        <v>471002081.08999997</v>
      </c>
      <c r="AG5" s="26">
        <f>资产资本表!AG33</f>
        <v>410344256.62</v>
      </c>
      <c r="AH5" s="26">
        <f>资产资本表!AH33</f>
        <v>342729420.55000001</v>
      </c>
      <c r="AI5" s="26">
        <f>资产资本表!AI33</f>
        <v>240653332.47</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985699419.79999995</v>
      </c>
      <c r="F6" s="26">
        <f>资产资本表!F49</f>
        <v>855544511.61999989</v>
      </c>
      <c r="G6" s="26">
        <f>资产资本表!G49</f>
        <v>814968706.20000005</v>
      </c>
      <c r="H6" s="26">
        <f>资产资本表!H49</f>
        <v>840837424.76999998</v>
      </c>
      <c r="I6" s="26">
        <f>资产资本表!I49</f>
        <v>743059234.34000003</v>
      </c>
      <c r="J6" s="26">
        <f>资产资本表!J49</f>
        <v>717178867.94999993</v>
      </c>
      <c r="K6" s="26">
        <f>资产资本表!K49</f>
        <v>649145691.67000008</v>
      </c>
      <c r="L6" s="26">
        <f>资产资本表!L49</f>
        <v>681510437.91999996</v>
      </c>
      <c r="M6" s="26">
        <f>资产资本表!M49</f>
        <v>655850429.51999986</v>
      </c>
      <c r="N6" s="26">
        <f>资产资本表!N49</f>
        <v>659007746.17999995</v>
      </c>
      <c r="O6" s="26">
        <f>资产资本表!O49</f>
        <v>682108504.58000004</v>
      </c>
      <c r="P6" s="26">
        <f>资产资本表!P49</f>
        <v>480407859.49000007</v>
      </c>
      <c r="Q6" s="26">
        <f>资产资本表!Q49</f>
        <v>470469940.60000002</v>
      </c>
      <c r="R6" s="26">
        <f>资产资本表!R49</f>
        <v>501451860.8300001</v>
      </c>
      <c r="S6" s="26">
        <f>资产资本表!S49</f>
        <v>392875501.80000007</v>
      </c>
      <c r="T6" s="26">
        <f>资产资本表!T49</f>
        <v>434562937.40999997</v>
      </c>
      <c r="U6" s="26">
        <f>资产资本表!U49</f>
        <v>416243099.94000012</v>
      </c>
      <c r="V6" s="26">
        <f>资产资本表!V49</f>
        <v>395214517.0200001</v>
      </c>
      <c r="W6" s="26">
        <f>资产资本表!W49</f>
        <v>352136017.31999993</v>
      </c>
      <c r="X6" s="26">
        <f>资产资本表!X49</f>
        <v>239799827.75</v>
      </c>
      <c r="Y6" s="26">
        <f>资产资本表!Y49</f>
        <v>209800217.60999998</v>
      </c>
      <c r="Z6" s="26">
        <f>资产资本表!Z49</f>
        <v>145534571.38999999</v>
      </c>
      <c r="AA6" s="26">
        <f>资产资本表!AA49</f>
        <v>172947861.81999996</v>
      </c>
      <c r="AB6" s="26">
        <f>资产资本表!AB49</f>
        <v>149815209.45999998</v>
      </c>
      <c r="AC6" s="26">
        <f>资产资本表!AC49</f>
        <v>170824552.47999999</v>
      </c>
      <c r="AD6" s="26">
        <f>资产资本表!AD49</f>
        <v>155348377.31999999</v>
      </c>
      <c r="AE6" s="26">
        <f>资产资本表!AE49</f>
        <v>167489451.29000002</v>
      </c>
      <c r="AF6" s="26">
        <f>资产资本表!AF49</f>
        <v>157665254.08999997</v>
      </c>
      <c r="AG6" s="26">
        <f>资产资本表!AG49</f>
        <v>155660879.57000002</v>
      </c>
      <c r="AH6" s="26">
        <f>资产资本表!AH49</f>
        <v>196326934.61000001</v>
      </c>
      <c r="AI6" s="26">
        <f>资产资本表!AI49</f>
        <v>78552318.919999987</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3535406998.1700001</v>
      </c>
      <c r="F7" s="26">
        <f>资产资本表!F68</f>
        <v>3357002467.1800003</v>
      </c>
      <c r="G7" s="26">
        <f>资产资本表!G68</f>
        <v>3335891940.5099998</v>
      </c>
      <c r="H7" s="26">
        <f>资产资本表!H68</f>
        <v>3303181121.2800002</v>
      </c>
      <c r="I7" s="26">
        <f>资产资本表!I68</f>
        <v>3277655403.8000007</v>
      </c>
      <c r="J7" s="26">
        <f>资产资本表!J68</f>
        <v>3255834079.8499994</v>
      </c>
      <c r="K7" s="26">
        <f>资产资本表!K68</f>
        <v>3230491095.23</v>
      </c>
      <c r="L7" s="26">
        <f>资产资本表!L68</f>
        <v>3185229451.6799998</v>
      </c>
      <c r="M7" s="26">
        <f>资产资本表!M68</f>
        <v>3183531330.2999997</v>
      </c>
      <c r="N7" s="26">
        <f>资产资本表!N68</f>
        <v>3167197136.0099998</v>
      </c>
      <c r="O7" s="26">
        <f>资产资本表!O68</f>
        <v>3144714690.4000001</v>
      </c>
      <c r="P7" s="26">
        <f>资产资本表!P68</f>
        <v>2848666476.9200001</v>
      </c>
      <c r="Q7" s="26">
        <f>资产资本表!Q68</f>
        <v>2814457730.4299994</v>
      </c>
      <c r="R7" s="26">
        <f>资产资本表!R68</f>
        <v>2756967482.4099994</v>
      </c>
      <c r="S7" s="26">
        <f>资产资本表!S68</f>
        <v>1090431178.7</v>
      </c>
      <c r="T7" s="26">
        <f>资产资本表!T68</f>
        <v>1065290545.7399999</v>
      </c>
      <c r="U7" s="26">
        <f>资产资本表!U68</f>
        <v>1029096146.12</v>
      </c>
      <c r="V7" s="26">
        <f>资产资本表!V68</f>
        <v>916861473.81999993</v>
      </c>
      <c r="W7" s="26">
        <f>资产资本表!W68</f>
        <v>899890040.6500001</v>
      </c>
      <c r="X7" s="26">
        <f>资产资本表!X68</f>
        <v>856624245.06000006</v>
      </c>
      <c r="Y7" s="26">
        <f>资产资本表!Y68</f>
        <v>771446100.32000005</v>
      </c>
      <c r="Z7" s="26">
        <f>资产资本表!Z68</f>
        <v>692226314.25999999</v>
      </c>
      <c r="AA7" s="26">
        <f>资产资本表!AA68</f>
        <v>667379190.15999997</v>
      </c>
      <c r="AB7" s="26">
        <f>资产资本表!AB68</f>
        <v>624051318.30999994</v>
      </c>
      <c r="AC7" s="26">
        <f>资产资本表!AC68</f>
        <v>599295326.76000011</v>
      </c>
      <c r="AD7" s="26">
        <f>资产资本表!AD68</f>
        <v>551525720.6500001</v>
      </c>
      <c r="AE7" s="26">
        <f>资产资本表!AE68</f>
        <v>498516378.19000006</v>
      </c>
      <c r="AF7" s="26">
        <f>资产资本表!AF68</f>
        <v>424447162.40999997</v>
      </c>
      <c r="AG7" s="26">
        <f>资产资本表!AG68</f>
        <v>385140123.22000009</v>
      </c>
      <c r="AH7" s="26">
        <f>资产资本表!AH68</f>
        <v>261302961.97</v>
      </c>
      <c r="AI7" s="26">
        <f>资产资本表!AI68</f>
        <v>141288790.53</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634</v>
      </c>
      <c r="E8" s="26">
        <f>资产资本表!E69</f>
        <v>4288885574.6700001</v>
      </c>
      <c r="F8" s="26">
        <f>资产资本表!F69</f>
        <v>4133850890.9700003</v>
      </c>
      <c r="G8" s="26">
        <f>资产资本表!G69</f>
        <v>4204726504.5999994</v>
      </c>
      <c r="H8" s="26">
        <f>资产资本表!H69</f>
        <v>4011200602.9800005</v>
      </c>
      <c r="I8" s="26">
        <f>资产资本表!I69</f>
        <v>3903271230.7000008</v>
      </c>
      <c r="J8" s="26">
        <f>资产资本表!J69</f>
        <v>4038375223.6399994</v>
      </c>
      <c r="K8" s="26">
        <f>资产资本表!K69</f>
        <v>4136557736.5900002</v>
      </c>
      <c r="L8" s="26">
        <f>资产资本表!L69</f>
        <v>3915920634.8599997</v>
      </c>
      <c r="M8" s="26">
        <f>资产资本表!M69</f>
        <v>3868877944.8699999</v>
      </c>
      <c r="N8" s="26">
        <f>资产资本表!N69</f>
        <v>3844105626.7199998</v>
      </c>
      <c r="O8" s="26">
        <f>资产资本表!O69</f>
        <v>3686604867.52</v>
      </c>
      <c r="P8" s="26">
        <f>资产资本表!P69</f>
        <v>3531510031.4499998</v>
      </c>
      <c r="Q8" s="26">
        <f>资产资本表!Q69</f>
        <v>3432254846.2999992</v>
      </c>
      <c r="R8" s="26">
        <f>资产资本表!R69</f>
        <v>3353525782.6599989</v>
      </c>
      <c r="S8" s="26">
        <f>资产资本表!S69</f>
        <v>1656595175.01</v>
      </c>
      <c r="T8" s="26">
        <f>资产资本表!T69</f>
        <v>1606639908.0299997</v>
      </c>
      <c r="U8" s="26">
        <f>资产资本表!U69</f>
        <v>1537260348.8999999</v>
      </c>
      <c r="V8" s="26">
        <f>资产资本表!V69</f>
        <v>1343865673.8399999</v>
      </c>
      <c r="W8" s="26">
        <f>资产资本表!W69</f>
        <v>1304622597.0800004</v>
      </c>
      <c r="X8" s="26">
        <f>资产资本表!X69</f>
        <v>1298837675.0900002</v>
      </c>
      <c r="Y8" s="26">
        <f>资产资本表!Y69</f>
        <v>1238319577.5300002</v>
      </c>
      <c r="Z8" s="26">
        <f>资产资本表!Z69</f>
        <v>1205984109.0999999</v>
      </c>
      <c r="AA8" s="26">
        <f>资产资本表!AA69</f>
        <v>1151005328.1799998</v>
      </c>
      <c r="AB8" s="26">
        <f>资产资本表!AB69</f>
        <v>1084724095.29</v>
      </c>
      <c r="AC8" s="26">
        <f>资产资本表!AC69</f>
        <v>994693783.85000002</v>
      </c>
      <c r="AD8" s="26">
        <f>资产资本表!AD69</f>
        <v>942538343.2900002</v>
      </c>
      <c r="AE8" s="26">
        <f>资产资本表!AE69</f>
        <v>853086906.63999999</v>
      </c>
      <c r="AF8" s="26">
        <f>资产资本表!AF69</f>
        <v>737783989.40999997</v>
      </c>
      <c r="AG8" s="26">
        <f>资产资本表!AG69</f>
        <v>639823500.2700001</v>
      </c>
      <c r="AH8" s="26">
        <f>资产资本表!AH69</f>
        <v>407705447.90999997</v>
      </c>
      <c r="AI8" s="26">
        <f>资产资本表!AI69</f>
        <v>303389804.08000004</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636</v>
      </c>
      <c r="E9" s="48">
        <f>资产资本表!E70</f>
        <v>5428070583.6000004</v>
      </c>
      <c r="F9" s="48">
        <f>资产资本表!F70</f>
        <v>5451537175.4099998</v>
      </c>
      <c r="G9" s="48">
        <f>资产资本表!G70</f>
        <v>5411170041.9899998</v>
      </c>
      <c r="H9" s="48">
        <f>资产资本表!H70</f>
        <v>4905085242.3100004</v>
      </c>
      <c r="I9" s="48">
        <f>资产资本表!I70</f>
        <v>4760863114.5800009</v>
      </c>
      <c r="J9" s="48">
        <f>资产资本表!J70</f>
        <v>4692761409.4299994</v>
      </c>
      <c r="K9" s="48">
        <f>资产资本表!K70</f>
        <v>4712292526.71</v>
      </c>
      <c r="L9" s="48">
        <f>资产资本表!L70</f>
        <v>4507665442.1199999</v>
      </c>
      <c r="M9" s="48">
        <f>资产资本表!M70</f>
        <v>4414959493.9099998</v>
      </c>
      <c r="N9" s="48">
        <f>资产资本表!N70</f>
        <v>4247818095.6599998</v>
      </c>
      <c r="O9" s="48">
        <f>资产资本表!O70</f>
        <v>3879059834.29</v>
      </c>
      <c r="P9" s="48">
        <f>资产资本表!P70</f>
        <v>3818788766.3099999</v>
      </c>
      <c r="Q9" s="48">
        <f>资产资本表!Q70</f>
        <v>3728407801.2999992</v>
      </c>
      <c r="R9" s="48">
        <f>资产资本表!R70</f>
        <v>3588907581.0099988</v>
      </c>
      <c r="S9" s="48">
        <f>资产资本表!S70</f>
        <v>1732859963.9200001</v>
      </c>
      <c r="T9" s="48">
        <f>资产资本表!T70</f>
        <v>1688249453.2899997</v>
      </c>
      <c r="U9" s="48">
        <f>资产资本表!U70</f>
        <v>1654280150.7399998</v>
      </c>
      <c r="V9" s="48">
        <f>资产资本表!V70</f>
        <v>1632272674.0599999</v>
      </c>
      <c r="W9" s="48">
        <f>资产资本表!W70</f>
        <v>1700008399.4200003</v>
      </c>
      <c r="X9" s="48">
        <f>资产资本表!X70</f>
        <v>1714066680.46</v>
      </c>
      <c r="Y9" s="48">
        <f>资产资本表!Y70</f>
        <v>1684878209.2800002</v>
      </c>
      <c r="Z9" s="48">
        <f>资产资本表!Z70</f>
        <v>1662240554.6599998</v>
      </c>
      <c r="AA9" s="48">
        <f>资产资本表!AA70</f>
        <v>1609411001.1299999</v>
      </c>
      <c r="AB9" s="48">
        <f>资产资本表!AB70</f>
        <v>1572025077.6300001</v>
      </c>
      <c r="AC9" s="48">
        <f>资产资本表!AC70</f>
        <v>1548847646.73</v>
      </c>
      <c r="AD9" s="48">
        <f>资产资本表!AD70</f>
        <v>1536485338.9700003</v>
      </c>
      <c r="AE9" s="48">
        <f>资产资本表!AE70</f>
        <v>924207122.87</v>
      </c>
      <c r="AF9" s="48">
        <f>资产资本表!AF70</f>
        <v>818339294.53999996</v>
      </c>
      <c r="AG9" s="48">
        <f>资产资本表!AG70</f>
        <v>728692992.04000008</v>
      </c>
      <c r="AH9" s="48">
        <f>资产资本表!AH70</f>
        <v>468666012.45999998</v>
      </c>
      <c r="AI9" s="48">
        <f>资产资本表!AI70</f>
        <v>320469050.89000005</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303762420</v>
      </c>
      <c r="F10" s="26">
        <f>资产资本表!F72</f>
        <v>314149983.24000001</v>
      </c>
      <c r="G10" s="26">
        <f>资产资本表!G72</f>
        <v>338861492.24000001</v>
      </c>
      <c r="H10" s="26">
        <f>资产资本表!H72</f>
        <v>308446302.66999996</v>
      </c>
      <c r="I10" s="26">
        <f>资产资本表!I72</f>
        <v>271446501.03999996</v>
      </c>
      <c r="J10" s="26">
        <f>资产资本表!J72</f>
        <v>296595897.76999998</v>
      </c>
      <c r="K10" s="26">
        <f>资产资本表!K72</f>
        <v>316535142.36000001</v>
      </c>
      <c r="L10" s="26">
        <f>资产资本表!L72</f>
        <v>281796799.19</v>
      </c>
      <c r="M10" s="26">
        <f>资产资本表!M72</f>
        <v>296647251.72000003</v>
      </c>
      <c r="N10" s="26">
        <f>资产资本表!N72</f>
        <v>188661368.94999999</v>
      </c>
      <c r="O10" s="26">
        <f>资产资本表!O72</f>
        <v>150586152.59</v>
      </c>
      <c r="P10" s="26">
        <f>资产资本表!P72</f>
        <v>127226509.59</v>
      </c>
      <c r="Q10" s="26">
        <f>资产资本表!Q72</f>
        <v>92215531.510000005</v>
      </c>
      <c r="R10" s="26">
        <f>资产资本表!R72</f>
        <v>70575188.359999999</v>
      </c>
      <c r="S10" s="26">
        <f>资产资本表!S72</f>
        <v>33177945.210000001</v>
      </c>
      <c r="T10" s="26">
        <f>资产资本表!T72</f>
        <v>20500000</v>
      </c>
      <c r="U10" s="26">
        <f>资产资本表!U72</f>
        <v>8016000</v>
      </c>
      <c r="V10" s="26">
        <f>资产资本表!V72</f>
        <v>5000000</v>
      </c>
      <c r="W10" s="26">
        <f>资产资本表!W72</f>
        <v>90335244.310000002</v>
      </c>
      <c r="X10" s="26">
        <f>资产资本表!X72</f>
        <v>104922392.14</v>
      </c>
      <c r="Y10" s="26">
        <f>资产资本表!Y72</f>
        <v>95161510.459999993</v>
      </c>
      <c r="Z10" s="26">
        <f>资产资本表!Z72</f>
        <v>85150616.439999998</v>
      </c>
      <c r="AA10" s="26">
        <f>资产资本表!AA72</f>
        <v>55102073.969999999</v>
      </c>
      <c r="AB10" s="26">
        <f>资产资本表!AB72</f>
        <v>5404.5</v>
      </c>
      <c r="AC10" s="26">
        <f>资产资本表!AC72</f>
        <v>5676214.5</v>
      </c>
      <c r="AD10" s="26">
        <f>资产资本表!AD72</f>
        <v>12167553.66</v>
      </c>
      <c r="AE10" s="26">
        <f>资产资本表!AE72</f>
        <v>314459504.74000001</v>
      </c>
      <c r="AF10" s="26">
        <f>资产资本表!AF72</f>
        <v>307568414.25</v>
      </c>
      <c r="AG10" s="26">
        <f>资产资本表!AG72</f>
        <v>288733954.25</v>
      </c>
      <c r="AH10" s="26">
        <f>资产资本表!AH72</f>
        <v>125785730.5</v>
      </c>
      <c r="AI10" s="26">
        <f>资产资本表!AI72</f>
        <v>121760655.08</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18000000</v>
      </c>
      <c r="F11" s="26">
        <f>资产资本表!F81</f>
        <v>18000000</v>
      </c>
      <c r="G11" s="26">
        <f>资产资本表!G81</f>
        <v>50000000</v>
      </c>
      <c r="H11" s="26">
        <f>资产资本表!H81</f>
        <v>70000000</v>
      </c>
      <c r="I11" s="26">
        <f>资产资本表!I81</f>
        <v>90000000</v>
      </c>
      <c r="J11" s="26">
        <f>资产资本表!J81</f>
        <v>110000000</v>
      </c>
      <c r="K11" s="26">
        <f>资产资本表!K81</f>
        <v>125000000</v>
      </c>
      <c r="L11" s="26">
        <f>资产资本表!L81</f>
        <v>110000000</v>
      </c>
      <c r="M11" s="26">
        <f>资产资本表!M81</f>
        <v>125000000</v>
      </c>
      <c r="N11" s="26">
        <f>资产资本表!N81</f>
        <v>200000000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110000000</v>
      </c>
      <c r="AF11" s="26">
        <f>资产资本表!AF81</f>
        <v>60000000</v>
      </c>
      <c r="AG11" s="26">
        <f>资产资本表!AG81</f>
        <v>30000000</v>
      </c>
      <c r="AH11" s="26">
        <f>资产资本表!AH81</f>
        <v>44000000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635</v>
      </c>
      <c r="E12" s="26">
        <f>资产资本表!E89</f>
        <v>321762420</v>
      </c>
      <c r="F12" s="26">
        <f>资产资本表!F89</f>
        <v>332149983.24000001</v>
      </c>
      <c r="G12" s="26">
        <f>资产资本表!G89</f>
        <v>388861492.24000001</v>
      </c>
      <c r="H12" s="26">
        <f>资产资本表!H89</f>
        <v>378446302.66999996</v>
      </c>
      <c r="I12" s="26">
        <f>资产资本表!I89</f>
        <v>361446501.03999996</v>
      </c>
      <c r="J12" s="26">
        <f>资产资本表!J89</f>
        <v>406595897.76999998</v>
      </c>
      <c r="K12" s="26">
        <f>资产资本表!K89</f>
        <v>441535142.36000001</v>
      </c>
      <c r="L12" s="26">
        <f>资产资本表!L89</f>
        <v>391796799.19</v>
      </c>
      <c r="M12" s="26">
        <f>资产资本表!M89</f>
        <v>421647251.72000003</v>
      </c>
      <c r="N12" s="26">
        <f>资产资本表!N89</f>
        <v>388661368.94999999</v>
      </c>
      <c r="O12" s="26">
        <f>资产资本表!O89</f>
        <v>150586152.59</v>
      </c>
      <c r="P12" s="26">
        <f>资产资本表!P89</f>
        <v>127226509.59</v>
      </c>
      <c r="Q12" s="26">
        <f>资产资本表!Q89</f>
        <v>92215531.510000005</v>
      </c>
      <c r="R12" s="26">
        <f>资产资本表!R89</f>
        <v>70575188.359999999</v>
      </c>
      <c r="S12" s="26">
        <f>资产资本表!S89</f>
        <v>33177945.210000001</v>
      </c>
      <c r="T12" s="26">
        <f>资产资本表!T89</f>
        <v>20500000</v>
      </c>
      <c r="U12" s="26">
        <f>资产资本表!U89</f>
        <v>8016000</v>
      </c>
      <c r="V12" s="26">
        <f>资产资本表!V89</f>
        <v>5000000</v>
      </c>
      <c r="W12" s="26">
        <f>资产资本表!W89</f>
        <v>90335244.310000002</v>
      </c>
      <c r="X12" s="26">
        <f>资产资本表!X89</f>
        <v>104922392.14</v>
      </c>
      <c r="Y12" s="26">
        <f>资产资本表!Y89</f>
        <v>95161510.459999993</v>
      </c>
      <c r="Z12" s="26">
        <f>资产资本表!Z89</f>
        <v>85150616.439999998</v>
      </c>
      <c r="AA12" s="26">
        <f>资产资本表!AA89</f>
        <v>55102073.969999999</v>
      </c>
      <c r="AB12" s="26">
        <f>资产资本表!AB89</f>
        <v>5404.5</v>
      </c>
      <c r="AC12" s="26">
        <f>资产资本表!AC89</f>
        <v>5676214.5</v>
      </c>
      <c r="AD12" s="26">
        <f>资产资本表!AD89</f>
        <v>12167553.66</v>
      </c>
      <c r="AE12" s="26">
        <f>资产资本表!AE89</f>
        <v>424459504.74000001</v>
      </c>
      <c r="AF12" s="26">
        <f>资产资本表!AF89</f>
        <v>367568414.25</v>
      </c>
      <c r="AG12" s="26">
        <f>资产资本表!AG89</f>
        <v>318733954.25</v>
      </c>
      <c r="AH12" s="26">
        <f>资产资本表!AH89</f>
        <v>169785730.5</v>
      </c>
      <c r="AI12" s="26">
        <f>资产资本表!AI89</f>
        <v>121760655.08</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5106308163.6000004</v>
      </c>
      <c r="F13" s="26">
        <f t="shared" ref="F13:BQ13" si="0">F9-F12</f>
        <v>5119387192.1700001</v>
      </c>
      <c r="G13" s="26">
        <f t="shared" si="0"/>
        <v>5022308549.75</v>
      </c>
      <c r="H13" s="26">
        <f t="shared" si="0"/>
        <v>4526638939.6400003</v>
      </c>
      <c r="I13" s="26">
        <f t="shared" si="0"/>
        <v>4399416613.5400009</v>
      </c>
      <c r="J13" s="26">
        <f t="shared" si="0"/>
        <v>4286165511.6599994</v>
      </c>
      <c r="K13" s="26">
        <f t="shared" si="0"/>
        <v>4270757384.3499999</v>
      </c>
      <c r="L13" s="26">
        <f t="shared" si="0"/>
        <v>4115868642.9299998</v>
      </c>
      <c r="M13" s="26">
        <f t="shared" si="0"/>
        <v>3993312242.1899996</v>
      </c>
      <c r="N13" s="26">
        <f t="shared" si="0"/>
        <v>3859156726.71</v>
      </c>
      <c r="O13" s="26">
        <f t="shared" si="0"/>
        <v>3728473681.6999998</v>
      </c>
      <c r="P13" s="26">
        <f t="shared" si="0"/>
        <v>3691562256.7199998</v>
      </c>
      <c r="Q13" s="26">
        <f t="shared" si="0"/>
        <v>3636192269.789999</v>
      </c>
      <c r="R13" s="26">
        <f t="shared" si="0"/>
        <v>3518332392.6499987</v>
      </c>
      <c r="S13" s="26">
        <f t="shared" si="0"/>
        <v>1699682018.71</v>
      </c>
      <c r="T13" s="26">
        <f t="shared" si="0"/>
        <v>1667749453.2899997</v>
      </c>
      <c r="U13" s="26">
        <f t="shared" si="0"/>
        <v>1646264150.7399998</v>
      </c>
      <c r="V13" s="26">
        <f t="shared" si="0"/>
        <v>1627272674.0599999</v>
      </c>
      <c r="W13" s="26">
        <f t="shared" si="0"/>
        <v>1609673155.1100004</v>
      </c>
      <c r="X13" s="26">
        <f t="shared" si="0"/>
        <v>1609144288.3199999</v>
      </c>
      <c r="Y13" s="26">
        <f t="shared" si="0"/>
        <v>1589716698.8200002</v>
      </c>
      <c r="Z13" s="26">
        <f t="shared" si="0"/>
        <v>1577089938.2199998</v>
      </c>
      <c r="AA13" s="26">
        <f t="shared" si="0"/>
        <v>1554308927.1599998</v>
      </c>
      <c r="AB13" s="26">
        <f t="shared" si="0"/>
        <v>1572019673.1300001</v>
      </c>
      <c r="AC13" s="26">
        <f t="shared" si="0"/>
        <v>1543171432.23</v>
      </c>
      <c r="AD13" s="26">
        <f t="shared" si="0"/>
        <v>1524317785.3100002</v>
      </c>
      <c r="AE13" s="26">
        <f t="shared" si="0"/>
        <v>499747618.13</v>
      </c>
      <c r="AF13" s="26">
        <f t="shared" si="0"/>
        <v>450770880.28999996</v>
      </c>
      <c r="AG13" s="26">
        <f t="shared" si="0"/>
        <v>409959037.79000008</v>
      </c>
      <c r="AH13" s="26">
        <f t="shared" si="0"/>
        <v>298880281.95999998</v>
      </c>
      <c r="AI13" s="26">
        <f t="shared" si="0"/>
        <v>198708395.81000006</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637</v>
      </c>
      <c r="E14" s="48">
        <f>E9</f>
        <v>5428070583.6000004</v>
      </c>
      <c r="F14" s="48">
        <f t="shared" ref="F14:BQ14" si="2">F9</f>
        <v>5451537175.4099998</v>
      </c>
      <c r="G14" s="48">
        <f t="shared" si="2"/>
        <v>5411170041.9899998</v>
      </c>
      <c r="H14" s="48">
        <f t="shared" si="2"/>
        <v>4905085242.3100004</v>
      </c>
      <c r="I14" s="48">
        <f t="shared" si="2"/>
        <v>4760863114.5800009</v>
      </c>
      <c r="J14" s="48">
        <f t="shared" si="2"/>
        <v>4692761409.4299994</v>
      </c>
      <c r="K14" s="48">
        <f t="shared" si="2"/>
        <v>4712292526.71</v>
      </c>
      <c r="L14" s="48">
        <f t="shared" si="2"/>
        <v>4507665442.1199999</v>
      </c>
      <c r="M14" s="48">
        <f t="shared" si="2"/>
        <v>4414959493.9099998</v>
      </c>
      <c r="N14" s="48">
        <f t="shared" si="2"/>
        <v>4247818095.6599998</v>
      </c>
      <c r="O14" s="48">
        <f t="shared" si="2"/>
        <v>3879059834.29</v>
      </c>
      <c r="P14" s="48">
        <f t="shared" si="2"/>
        <v>3818788766.3099999</v>
      </c>
      <c r="Q14" s="48">
        <f t="shared" si="2"/>
        <v>3728407801.2999992</v>
      </c>
      <c r="R14" s="48">
        <f t="shared" si="2"/>
        <v>3588907581.0099988</v>
      </c>
      <c r="S14" s="48">
        <f t="shared" si="2"/>
        <v>1732859963.9200001</v>
      </c>
      <c r="T14" s="48">
        <f t="shared" si="2"/>
        <v>1688249453.2899997</v>
      </c>
      <c r="U14" s="48">
        <f t="shared" si="2"/>
        <v>1654280150.7399998</v>
      </c>
      <c r="V14" s="48">
        <f t="shared" si="2"/>
        <v>1632272674.0599999</v>
      </c>
      <c r="W14" s="48">
        <f t="shared" si="2"/>
        <v>1700008399.4200003</v>
      </c>
      <c r="X14" s="48">
        <f t="shared" si="2"/>
        <v>1714066680.46</v>
      </c>
      <c r="Y14" s="48">
        <f t="shared" si="2"/>
        <v>1684878209.2800002</v>
      </c>
      <c r="Z14" s="48">
        <f t="shared" si="2"/>
        <v>1662240554.6599998</v>
      </c>
      <c r="AA14" s="48">
        <f t="shared" si="2"/>
        <v>1609411001.1299999</v>
      </c>
      <c r="AB14" s="48">
        <f t="shared" si="2"/>
        <v>1572025077.6300001</v>
      </c>
      <c r="AC14" s="48">
        <f t="shared" si="2"/>
        <v>1548847646.73</v>
      </c>
      <c r="AD14" s="48">
        <f t="shared" si="2"/>
        <v>1536485338.9700003</v>
      </c>
      <c r="AE14" s="48">
        <f t="shared" si="2"/>
        <v>924207122.87</v>
      </c>
      <c r="AF14" s="48">
        <f t="shared" si="2"/>
        <v>818339294.53999996</v>
      </c>
      <c r="AG14" s="48">
        <f t="shared" si="2"/>
        <v>728692992.04000008</v>
      </c>
      <c r="AH14" s="48">
        <f t="shared" si="2"/>
        <v>468666012.45999998</v>
      </c>
      <c r="AI14" s="48">
        <f t="shared" si="2"/>
        <v>320469050.89000005</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707936962.30000019</v>
      </c>
      <c r="F15" s="58">
        <f t="shared" ref="F15:BQ15" si="4">F11+F13-F3-F4-F7</f>
        <v>926356195.28999996</v>
      </c>
      <c r="G15" s="58">
        <f t="shared" si="4"/>
        <v>796469721.96000051</v>
      </c>
      <c r="H15" s="58">
        <f t="shared" si="4"/>
        <v>543555945.28999996</v>
      </c>
      <c r="I15" s="58">
        <f t="shared" si="4"/>
        <v>526712567.18000031</v>
      </c>
      <c r="J15" s="58">
        <f t="shared" si="4"/>
        <v>340101564.18000031</v>
      </c>
      <c r="K15" s="58">
        <f t="shared" si="4"/>
        <v>241510923.92000055</v>
      </c>
      <c r="L15" s="58">
        <f t="shared" si="4"/>
        <v>155948008.07000017</v>
      </c>
      <c r="M15" s="58">
        <f t="shared" si="4"/>
        <v>249434297.31999969</v>
      </c>
      <c r="N15" s="58">
        <f t="shared" si="4"/>
        <v>215051099.99000025</v>
      </c>
      <c r="O15" s="58">
        <f t="shared" si="4"/>
        <v>41868814.179999828</v>
      </c>
      <c r="P15" s="58">
        <f t="shared" si="4"/>
        <v>160052225.2699995</v>
      </c>
      <c r="Q15" s="58">
        <f t="shared" si="4"/>
        <v>203937423.48999977</v>
      </c>
      <c r="R15" s="58">
        <f t="shared" si="4"/>
        <v>158006609.98999929</v>
      </c>
      <c r="S15" s="58">
        <f t="shared" si="4"/>
        <v>43086843.700000048</v>
      </c>
      <c r="T15" s="58">
        <f t="shared" si="4"/>
        <v>61109545.259999871</v>
      </c>
      <c r="U15" s="58">
        <f t="shared" si="4"/>
        <v>109003801.83999979</v>
      </c>
      <c r="V15" s="58">
        <f t="shared" si="4"/>
        <v>283407000.22000003</v>
      </c>
      <c r="W15" s="58">
        <f t="shared" si="4"/>
        <v>305050558.03000021</v>
      </c>
      <c r="X15" s="58">
        <f t="shared" si="4"/>
        <v>310306613.2299999</v>
      </c>
      <c r="Y15" s="58">
        <f t="shared" si="4"/>
        <v>351397121.29000008</v>
      </c>
      <c r="Z15" s="58">
        <f t="shared" si="4"/>
        <v>360312008.62999976</v>
      </c>
      <c r="AA15" s="58">
        <f t="shared" si="4"/>
        <v>393141644.8299998</v>
      </c>
      <c r="AB15" s="58">
        <f t="shared" si="4"/>
        <v>475657730.42000008</v>
      </c>
      <c r="AC15" s="58">
        <f t="shared" si="4"/>
        <v>537595566.89999998</v>
      </c>
      <c r="AD15" s="58">
        <f t="shared" si="4"/>
        <v>571823995.96000004</v>
      </c>
      <c r="AE15" s="58">
        <f t="shared" si="4"/>
        <v>-252950292.67999995</v>
      </c>
      <c r="AF15" s="58">
        <f t="shared" si="4"/>
        <v>-236052759.11000001</v>
      </c>
      <c r="AG15" s="58">
        <f t="shared" si="4"/>
        <v>-208160538.59</v>
      </c>
      <c r="AH15" s="58">
        <f t="shared" si="4"/>
        <v>-70349435.450000018</v>
      </c>
      <c r="AI15" s="58">
        <f t="shared" si="4"/>
        <v>-104681408.26999995</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-707936962.30000007</v>
      </c>
      <c r="F16" s="58">
        <f t="shared" ref="F16:BQ16" si="6">F10-F2</f>
        <v>-926356195.28999996</v>
      </c>
      <c r="G16" s="58">
        <f t="shared" si="6"/>
        <v>-796469721.96000004</v>
      </c>
      <c r="H16" s="58">
        <f t="shared" si="6"/>
        <v>-543555945.29000008</v>
      </c>
      <c r="I16" s="58">
        <f t="shared" si="6"/>
        <v>-526712567.18000007</v>
      </c>
      <c r="J16" s="58">
        <f t="shared" si="6"/>
        <v>-340101564.18000007</v>
      </c>
      <c r="K16" s="58">
        <f t="shared" si="6"/>
        <v>-241510923.91999996</v>
      </c>
      <c r="L16" s="58">
        <f t="shared" si="6"/>
        <v>-155948008.06999999</v>
      </c>
      <c r="M16" s="58">
        <f t="shared" si="6"/>
        <v>-249434297.31999993</v>
      </c>
      <c r="N16" s="58">
        <f t="shared" si="6"/>
        <v>-215051099.99000001</v>
      </c>
      <c r="O16" s="58">
        <f t="shared" si="6"/>
        <v>-41868814.180000007</v>
      </c>
      <c r="P16" s="58">
        <f t="shared" si="6"/>
        <v>-160052225.27000001</v>
      </c>
      <c r="Q16" s="58">
        <f t="shared" si="6"/>
        <v>-203937423.49000001</v>
      </c>
      <c r="R16" s="58">
        <f t="shared" si="6"/>
        <v>-158006609.99000001</v>
      </c>
      <c r="S16" s="58">
        <f t="shared" si="6"/>
        <v>-43086843.699999996</v>
      </c>
      <c r="T16" s="58">
        <f t="shared" si="6"/>
        <v>-61109545.260000005</v>
      </c>
      <c r="U16" s="58">
        <f t="shared" si="6"/>
        <v>-109003801.84</v>
      </c>
      <c r="V16" s="58">
        <f t="shared" si="6"/>
        <v>-283407000.22000003</v>
      </c>
      <c r="W16" s="58">
        <f t="shared" si="6"/>
        <v>-305050558.02999997</v>
      </c>
      <c r="X16" s="58">
        <f t="shared" si="6"/>
        <v>-310306613.23000002</v>
      </c>
      <c r="Y16" s="58">
        <f t="shared" si="6"/>
        <v>-351397121.29000002</v>
      </c>
      <c r="Z16" s="58">
        <f t="shared" si="6"/>
        <v>-360312008.63</v>
      </c>
      <c r="AA16" s="58">
        <f t="shared" si="6"/>
        <v>-393141644.83000004</v>
      </c>
      <c r="AB16" s="58">
        <f t="shared" si="6"/>
        <v>-475657730.42000002</v>
      </c>
      <c r="AC16" s="58">
        <f t="shared" si="6"/>
        <v>-537595566.89999998</v>
      </c>
      <c r="AD16" s="58">
        <f t="shared" si="6"/>
        <v>-571823995.96000004</v>
      </c>
      <c r="AE16" s="58">
        <f t="shared" si="6"/>
        <v>252950292.68000001</v>
      </c>
      <c r="AF16" s="58">
        <f t="shared" si="6"/>
        <v>236052759.11000001</v>
      </c>
      <c r="AG16" s="58">
        <f t="shared" si="6"/>
        <v>208160538.59</v>
      </c>
      <c r="AH16" s="58">
        <f t="shared" si="6"/>
        <v>70349435.450000003</v>
      </c>
      <c r="AI16" s="58">
        <f t="shared" si="6"/>
        <v>104681408.27</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662</v>
      </c>
      <c r="E17" s="59">
        <f>(E11+E13-E7-E3)/E4</f>
        <v>1.9395581830454343</v>
      </c>
      <c r="F17" s="59">
        <f t="shared" ref="F17:BQ17" si="8">(F11+F13-F7-F3)/F4</f>
        <v>2.1924542380746526</v>
      </c>
      <c r="G17" s="59">
        <f t="shared" si="8"/>
        <v>1.91671044739594</v>
      </c>
      <c r="H17" s="59">
        <f t="shared" si="8"/>
        <v>1.7677132612013544</v>
      </c>
      <c r="I17" s="59">
        <f t="shared" si="8"/>
        <v>1.8419105536218976</v>
      </c>
      <c r="J17" s="59">
        <f t="shared" si="8"/>
        <v>1.4346117349598029</v>
      </c>
      <c r="K17" s="59">
        <f t="shared" si="8"/>
        <v>1.2665487425488862</v>
      </c>
      <c r="L17" s="59">
        <f t="shared" si="8"/>
        <v>1.213425331603575</v>
      </c>
      <c r="M17" s="59">
        <f t="shared" si="8"/>
        <v>1.3639534974233432</v>
      </c>
      <c r="N17" s="59">
        <f t="shared" si="8"/>
        <v>1.3176959706391567</v>
      </c>
      <c r="O17" s="59">
        <f t="shared" si="8"/>
        <v>1.0772643903650763</v>
      </c>
      <c r="P17" s="59">
        <f t="shared" si="8"/>
        <v>1.234390768146246</v>
      </c>
      <c r="Q17" s="59">
        <f t="shared" si="8"/>
        <v>1.330104201284283</v>
      </c>
      <c r="R17" s="59">
        <f t="shared" si="8"/>
        <v>1.2648636519243528</v>
      </c>
      <c r="S17" s="59">
        <f t="shared" si="8"/>
        <v>1.0761031149646048</v>
      </c>
      <c r="T17" s="59">
        <f t="shared" si="8"/>
        <v>1.1128837484937566</v>
      </c>
      <c r="U17" s="59">
        <f t="shared" si="8"/>
        <v>1.2145050777754036</v>
      </c>
      <c r="V17" s="59">
        <f t="shared" si="8"/>
        <v>1.6637100998227321</v>
      </c>
      <c r="W17" s="59">
        <f t="shared" si="8"/>
        <v>1.7537089695001089</v>
      </c>
      <c r="X17" s="59">
        <f t="shared" si="8"/>
        <v>1.7017123229589579</v>
      </c>
      <c r="Y17" s="59">
        <f t="shared" si="8"/>
        <v>1.7526602783047824</v>
      </c>
      <c r="Z17" s="59">
        <f t="shared" si="8"/>
        <v>1.7013266022410658</v>
      </c>
      <c r="AA17" s="59">
        <f t="shared" si="8"/>
        <v>1.8129040469970252</v>
      </c>
      <c r="AB17" s="59">
        <f t="shared" si="8"/>
        <v>2.0325284110301371</v>
      </c>
      <c r="AC17" s="59">
        <f t="shared" si="8"/>
        <v>2.3596299056312033</v>
      </c>
      <c r="AD17" s="59">
        <f t="shared" si="8"/>
        <v>2.4624182516135051</v>
      </c>
      <c r="AE17" s="59">
        <f t="shared" si="8"/>
        <v>0.28660090903277091</v>
      </c>
      <c r="AF17" s="59">
        <f t="shared" si="8"/>
        <v>0.2466485303688864</v>
      </c>
      <c r="AG17" s="59">
        <f t="shared" si="8"/>
        <v>0.18266931669775421</v>
      </c>
      <c r="AH17" s="59">
        <f t="shared" si="8"/>
        <v>0.51947922879648867</v>
      </c>
      <c r="AI17" s="59">
        <f t="shared" si="8"/>
        <v>0.35422113670059813</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83" t="s">
        <v>741</v>
      </c>
      <c r="B18" s="285"/>
      <c r="C18" s="285"/>
      <c r="D18" s="285"/>
      <c r="E18" s="285"/>
      <c r="F18" s="285"/>
      <c r="G18" s="285"/>
      <c r="H18" s="285"/>
      <c r="I18" s="285"/>
      <c r="J18" s="285"/>
      <c r="K18" s="285"/>
      <c r="L18" s="285"/>
      <c r="M18" s="285"/>
      <c r="N18" s="285"/>
      <c r="O18" s="285"/>
      <c r="P18" s="285"/>
      <c r="Q18" s="285"/>
      <c r="R18" s="285"/>
      <c r="S18" s="285"/>
      <c r="T18" s="285"/>
      <c r="U18" s="285"/>
      <c r="V18" s="285"/>
      <c r="W18" s="285"/>
      <c r="X18" s="285"/>
      <c r="Y18" s="285"/>
      <c r="Z18" s="285"/>
      <c r="AA18" s="285"/>
      <c r="AB18" s="285"/>
      <c r="AC18" s="285"/>
      <c r="AD18" s="285"/>
      <c r="AE18" s="285"/>
      <c r="AF18" s="285"/>
      <c r="AG18" s="285"/>
    </row>
    <row r="19" spans="1:90">
      <c r="A19" s="112" t="s">
        <v>571</v>
      </c>
      <c r="B19" s="113"/>
      <c r="C19" s="113"/>
      <c r="D19" s="113"/>
      <c r="E19" s="113" t="s">
        <v>564</v>
      </c>
      <c r="F19" s="113"/>
      <c r="G19" s="113"/>
      <c r="H19" s="113"/>
      <c r="I19" s="113" t="s">
        <v>599</v>
      </c>
      <c r="M19" s="113" t="s">
        <v>566</v>
      </c>
      <c r="N19" s="63"/>
      <c r="O19" s="63"/>
      <c r="P19" s="63"/>
      <c r="Q19" s="63"/>
      <c r="R19" s="63"/>
      <c r="S19" s="63"/>
      <c r="T19" s="63"/>
      <c r="U19" s="63"/>
    </row>
    <row r="20" spans="1:90" s="63" customFormat="1" ht="14.25" customHeight="1">
      <c r="A20" s="112" t="s">
        <v>572</v>
      </c>
      <c r="B20" s="114"/>
      <c r="C20" s="114"/>
      <c r="D20" s="114"/>
      <c r="E20" s="114">
        <f>POWER(E9/U9,1/5)-1</f>
        <v>0.26825705103362063</v>
      </c>
      <c r="F20" s="114"/>
      <c r="G20" s="114"/>
      <c r="H20" s="114"/>
      <c r="I20" s="114">
        <f>POWER(E9/Y9,1/6)-1</f>
        <v>0.21528879990722682</v>
      </c>
      <c r="M20" s="114">
        <f>POWER(E9/AC9,1/7)-1</f>
        <v>0.19620401332453863</v>
      </c>
    </row>
    <row r="21" spans="1:90" s="63" customFormat="1" ht="14.25" customHeight="1">
      <c r="A21" s="112" t="s">
        <v>570</v>
      </c>
      <c r="B21" s="114"/>
      <c r="C21" s="114"/>
      <c r="D21" s="114"/>
      <c r="E21" s="114">
        <f>POWER(E4/U4,1/5)-1</f>
        <v>8.1965388323218313E-2</v>
      </c>
      <c r="F21" s="114"/>
      <c r="G21" s="114"/>
      <c r="H21" s="114"/>
      <c r="I21" s="114">
        <f>POWER(E4/Y4,1/6)-1</f>
        <v>8.3041964057434692E-2</v>
      </c>
      <c r="M21" s="114">
        <f>POWER(E4/AC4,1/7)-1</f>
        <v>9.6491158324635506E-2</v>
      </c>
    </row>
    <row r="22" spans="1:90" s="63" customFormat="1" ht="14.25" customHeight="1">
      <c r="A22" s="112" t="s">
        <v>573</v>
      </c>
      <c r="B22" s="114"/>
      <c r="C22" s="114"/>
      <c r="D22" s="114"/>
      <c r="E22" s="114">
        <f>POWER(E5/U5,1/5)-1</f>
        <v>0.13473939571265192</v>
      </c>
      <c r="F22" s="114"/>
      <c r="G22" s="114"/>
      <c r="H22" s="114"/>
      <c r="I22" s="114">
        <f>POWER(E5/Y5,1/6)-1</f>
        <v>0.17038152159280462</v>
      </c>
      <c r="M22" s="114">
        <f>POWER(E5/AC5,1/7)-1</f>
        <v>0.17387636827357489</v>
      </c>
    </row>
    <row r="23" spans="1:90" s="63" customFormat="1" ht="14.25" customHeight="1">
      <c r="A23" s="112" t="s">
        <v>574</v>
      </c>
      <c r="B23" s="114"/>
      <c r="C23" s="114"/>
      <c r="D23" s="114"/>
      <c r="E23" s="114">
        <f>POWER(E6/U6,1/5)-1</f>
        <v>0.1881724842016177</v>
      </c>
      <c r="F23" s="114"/>
      <c r="G23" s="114"/>
      <c r="H23" s="114"/>
      <c r="I23" s="114">
        <f>POWER(E6/Y6,1/6)-1</f>
        <v>0.29416532992925748</v>
      </c>
      <c r="M23" s="114">
        <f>POWER(E6/AC6,1/7)-1</f>
        <v>0.28452342879141557</v>
      </c>
    </row>
    <row r="24" spans="1:90" s="63" customFormat="1" ht="14.25" customHeight="1">
      <c r="A24" s="112" t="s">
        <v>575</v>
      </c>
      <c r="B24" s="114"/>
      <c r="C24" s="114"/>
      <c r="D24" s="114"/>
      <c r="E24" s="114">
        <f>POWER(E7/U7,1/5)-1</f>
        <v>0.2799608704776142</v>
      </c>
      <c r="F24" s="114"/>
      <c r="G24" s="114"/>
      <c r="H24" s="114"/>
      <c r="I24" s="114">
        <f>POWER(E7/Y7,1/6)-1</f>
        <v>0.28881022073929108</v>
      </c>
      <c r="M24" s="114">
        <f>POWER(E7/AC7,1/7)-1</f>
        <v>0.28858797776718426</v>
      </c>
    </row>
    <row r="25" spans="1:90" s="106" customFormat="1">
      <c r="A25" s="141" t="s">
        <v>551</v>
      </c>
      <c r="B25" s="107"/>
      <c r="C25" s="107"/>
      <c r="D25" s="107"/>
      <c r="E25" s="107">
        <f>(E2-I2)/I2</f>
        <v>0.26754104862358213</v>
      </c>
      <c r="F25" s="107">
        <f t="shared" ref="F25:BQ25" si="10">(F2-J2)/J2</f>
        <v>0.94834478329900607</v>
      </c>
      <c r="G25" s="107">
        <f t="shared" si="10"/>
        <v>1.0344757947462118</v>
      </c>
      <c r="H25" s="107">
        <f t="shared" si="10"/>
        <v>0.94634461409830151</v>
      </c>
      <c r="I25" s="107">
        <f t="shared" si="10"/>
        <v>0.4616114930510784</v>
      </c>
      <c r="J25" s="106">
        <f t="shared" si="10"/>
        <v>0.57710625986294817</v>
      </c>
      <c r="K25" s="106">
        <f t="shared" si="10"/>
        <v>1.899618937592358</v>
      </c>
      <c r="L25" s="106">
        <f t="shared" si="10"/>
        <v>0.52376334946381198</v>
      </c>
      <c r="M25" s="107">
        <f t="shared" si="10"/>
        <v>0.84391727254587068</v>
      </c>
      <c r="N25" s="107">
        <f t="shared" si="10"/>
        <v>0.76616192476464529</v>
      </c>
      <c r="O25" s="107">
        <f t="shared" si="10"/>
        <v>1.5235101220448657</v>
      </c>
      <c r="P25" s="107">
        <f t="shared" si="10"/>
        <v>2.5201609559857019</v>
      </c>
      <c r="Q25" s="107">
        <f t="shared" si="10"/>
        <v>1.5307935096739178</v>
      </c>
      <c r="R25" s="107">
        <f t="shared" si="10"/>
        <v>-0.20743325170458662</v>
      </c>
      <c r="S25" s="107">
        <f t="shared" si="10"/>
        <v>-0.80711298064157988</v>
      </c>
      <c r="T25" s="107">
        <f t="shared" si="10"/>
        <v>-0.8034589486654965</v>
      </c>
      <c r="U25" s="107">
        <f t="shared" si="10"/>
        <v>-0.73795198766751857</v>
      </c>
      <c r="V25" s="106">
        <f t="shared" si="10"/>
        <v>-0.35256745686648849</v>
      </c>
      <c r="W25" s="106">
        <f t="shared" si="10"/>
        <v>-0.11792226916532542</v>
      </c>
      <c r="X25" s="106">
        <f t="shared" si="10"/>
        <v>-0.1270523719694279</v>
      </c>
      <c r="Y25" s="106">
        <f t="shared" si="10"/>
        <v>-0.17801982904536698</v>
      </c>
      <c r="Z25" s="106">
        <f t="shared" si="10"/>
        <v>-0.23721049498086058</v>
      </c>
      <c r="AA25" s="106">
        <f t="shared" si="10"/>
        <v>6.2874241725410913</v>
      </c>
      <c r="AB25" s="106">
        <f t="shared" si="10"/>
        <v>5.6511749628642223</v>
      </c>
      <c r="AC25" s="106">
        <f t="shared" si="10"/>
        <v>5.7425685872927783</v>
      </c>
      <c r="AD25" s="106">
        <f t="shared" si="10"/>
        <v>9.534462108141911</v>
      </c>
      <c r="AE25" s="106">
        <f t="shared" si="10"/>
        <v>2.601400737647634</v>
      </c>
      <c r="AF25" s="106" t="e">
        <f t="shared" si="10"/>
        <v>#DIV/0!</v>
      </c>
      <c r="AG25" s="106" t="e">
        <f t="shared" si="10"/>
        <v>#DIV/0!</v>
      </c>
      <c r="AH25" s="106" t="e">
        <f t="shared" si="10"/>
        <v>#DIV/0!</v>
      </c>
      <c r="AI25" s="106" t="e">
        <f t="shared" si="10"/>
        <v>#DIV/0!</v>
      </c>
      <c r="AJ25" s="106" t="e">
        <f t="shared" si="10"/>
        <v>#DIV/0!</v>
      </c>
      <c r="AK25" s="106" t="e">
        <f t="shared" si="10"/>
        <v>#DIV/0!</v>
      </c>
      <c r="AL25" s="106" t="e">
        <f t="shared" si="10"/>
        <v>#DIV/0!</v>
      </c>
      <c r="AM25" s="106" t="e">
        <f t="shared" si="10"/>
        <v>#DIV/0!</v>
      </c>
      <c r="AN25" s="106" t="e">
        <f t="shared" si="10"/>
        <v>#DIV/0!</v>
      </c>
      <c r="AO25" s="106" t="e">
        <f t="shared" si="10"/>
        <v>#DIV/0!</v>
      </c>
      <c r="AP25" s="106" t="e">
        <f t="shared" si="10"/>
        <v>#DIV/0!</v>
      </c>
      <c r="AQ25" s="106" t="e">
        <f t="shared" si="10"/>
        <v>#DIV/0!</v>
      </c>
      <c r="AR25" s="106" t="e">
        <f t="shared" si="10"/>
        <v>#DIV/0!</v>
      </c>
      <c r="AS25" s="106" t="e">
        <f t="shared" si="10"/>
        <v>#DIV/0!</v>
      </c>
      <c r="AT25" s="106" t="e">
        <f t="shared" si="10"/>
        <v>#DIV/0!</v>
      </c>
      <c r="AU25" s="106" t="e">
        <f t="shared" si="10"/>
        <v>#DIV/0!</v>
      </c>
      <c r="AV25" s="106" t="e">
        <f t="shared" si="10"/>
        <v>#DIV/0!</v>
      </c>
      <c r="AW25" s="106" t="e">
        <f t="shared" si="10"/>
        <v>#DIV/0!</v>
      </c>
      <c r="AX25" s="106" t="e">
        <f t="shared" si="10"/>
        <v>#DIV/0!</v>
      </c>
      <c r="AY25" s="106" t="e">
        <f t="shared" si="10"/>
        <v>#DIV/0!</v>
      </c>
      <c r="AZ25" s="106" t="e">
        <f t="shared" si="10"/>
        <v>#DIV/0!</v>
      </c>
      <c r="BA25" s="106" t="e">
        <f t="shared" si="10"/>
        <v>#DIV/0!</v>
      </c>
      <c r="BB25" s="106" t="e">
        <f t="shared" si="10"/>
        <v>#DIV/0!</v>
      </c>
      <c r="BC25" s="106" t="e">
        <f t="shared" si="10"/>
        <v>#DIV/0!</v>
      </c>
      <c r="BD25" s="106" t="e">
        <f t="shared" si="10"/>
        <v>#DIV/0!</v>
      </c>
      <c r="BE25" s="106" t="e">
        <f t="shared" si="10"/>
        <v>#DIV/0!</v>
      </c>
      <c r="BF25" s="106" t="e">
        <f t="shared" si="10"/>
        <v>#DIV/0!</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c r="A26" s="141" t="s">
        <v>559</v>
      </c>
      <c r="E26" s="107">
        <f>E2/E9</f>
        <v>0.18638287154125796</v>
      </c>
      <c r="F26" s="107">
        <f t="shared" ref="F26:BQ26" si="12">F2/F9</f>
        <v>0.22755163151514304</v>
      </c>
      <c r="G26" s="107">
        <f t="shared" si="12"/>
        <v>0.20981251843685791</v>
      </c>
      <c r="H26" s="107">
        <f t="shared" si="12"/>
        <v>0.17369774547664296</v>
      </c>
      <c r="I26" s="107">
        <f t="shared" si="12"/>
        <v>0.16765007709960444</v>
      </c>
      <c r="J26" s="107">
        <f t="shared" si="12"/>
        <v>0.13567650396002889</v>
      </c>
      <c r="K26" s="107">
        <f t="shared" si="12"/>
        <v>0.11842347713281993</v>
      </c>
      <c r="L26" s="107">
        <f t="shared" si="12"/>
        <v>9.7111201547851397E-2</v>
      </c>
      <c r="M26" s="107">
        <f t="shared" si="12"/>
        <v>0.12368891487980024</v>
      </c>
      <c r="N26" s="107">
        <f t="shared" si="12"/>
        <v>9.5039961657603339E-2</v>
      </c>
      <c r="O26" s="107">
        <f t="shared" si="12"/>
        <v>4.9613817520612134E-2</v>
      </c>
      <c r="P26" s="107">
        <f t="shared" si="12"/>
        <v>7.5227710261018252E-2</v>
      </c>
      <c r="Q26" s="107">
        <f t="shared" si="12"/>
        <v>7.9431481421302449E-2</v>
      </c>
      <c r="R26" s="107">
        <f t="shared" si="12"/>
        <v>6.3691191035259803E-2</v>
      </c>
      <c r="S26" s="107">
        <f t="shared" si="12"/>
        <v>4.4010935965926021E-2</v>
      </c>
      <c r="T26" s="107">
        <f t="shared" si="12"/>
        <v>4.8339743336485178E-2</v>
      </c>
      <c r="U26" s="107">
        <f t="shared" si="12"/>
        <v>7.0737596523572019E-2</v>
      </c>
      <c r="V26" s="107">
        <f t="shared" si="12"/>
        <v>0.17669045423803903</v>
      </c>
      <c r="W26" s="107">
        <f t="shared" si="12"/>
        <v>0.23257873459619116</v>
      </c>
      <c r="X26" s="107">
        <f t="shared" si="12"/>
        <v>0.2422478717447363</v>
      </c>
      <c r="Y26" s="107">
        <f t="shared" si="12"/>
        <v>0.2650391163530022</v>
      </c>
      <c r="Z26" s="107">
        <f t="shared" si="12"/>
        <v>0.26798926534500078</v>
      </c>
      <c r="AA26" s="107">
        <f t="shared" si="12"/>
        <v>0.2785141387037115</v>
      </c>
      <c r="AB26" s="107">
        <f t="shared" si="12"/>
        <v>0.30257986446190432</v>
      </c>
      <c r="AC26" s="107">
        <f t="shared" si="12"/>
        <v>0.35075869634239426</v>
      </c>
      <c r="AD26" s="107">
        <f t="shared" si="12"/>
        <v>0.3800827348027187</v>
      </c>
      <c r="AE26" s="107">
        <f t="shared" si="12"/>
        <v>6.6553492759276162E-2</v>
      </c>
      <c r="AF26" s="107">
        <f t="shared" si="12"/>
        <v>8.7391202667592732E-2</v>
      </c>
      <c r="AG26" s="107">
        <f t="shared" si="12"/>
        <v>0.11057251344552121</v>
      </c>
      <c r="AH26" s="107">
        <f t="shared" si="12"/>
        <v>0.11828528968639776</v>
      </c>
      <c r="AI26" s="107">
        <f t="shared" si="12"/>
        <v>5.3294528013135327E-2</v>
      </c>
      <c r="AJ26" s="107" t="e">
        <f t="shared" si="12"/>
        <v>#DIV/0!</v>
      </c>
      <c r="AK26" s="107" t="e">
        <f t="shared" si="12"/>
        <v>#DIV/0!</v>
      </c>
      <c r="AL26" s="107" t="e">
        <f t="shared" si="12"/>
        <v>#DIV/0!</v>
      </c>
      <c r="AM26" s="107" t="e">
        <f t="shared" si="12"/>
        <v>#DIV/0!</v>
      </c>
      <c r="AN26" s="107" t="e">
        <f t="shared" si="12"/>
        <v>#DIV/0!</v>
      </c>
      <c r="AO26" s="107" t="e">
        <f t="shared" si="12"/>
        <v>#DIV/0!</v>
      </c>
      <c r="AP26" s="107" t="e">
        <f t="shared" si="12"/>
        <v>#DIV/0!</v>
      </c>
      <c r="AQ26" s="107" t="e">
        <f t="shared" si="12"/>
        <v>#DIV/0!</v>
      </c>
      <c r="AR26" s="107" t="e">
        <f t="shared" si="12"/>
        <v>#DIV/0!</v>
      </c>
      <c r="AS26" s="107" t="e">
        <f t="shared" si="12"/>
        <v>#DIV/0!</v>
      </c>
      <c r="AT26" s="107" t="e">
        <f t="shared" si="12"/>
        <v>#DIV/0!</v>
      </c>
      <c r="AU26" s="107" t="e">
        <f t="shared" si="12"/>
        <v>#DIV/0!</v>
      </c>
      <c r="AV26" s="107" t="e">
        <f t="shared" si="12"/>
        <v>#DIV/0!</v>
      </c>
      <c r="AW26" s="107" t="e">
        <f t="shared" si="12"/>
        <v>#DIV/0!</v>
      </c>
      <c r="AX26" s="107" t="e">
        <f t="shared" si="12"/>
        <v>#DIV/0!</v>
      </c>
      <c r="AY26" s="107" t="e">
        <f t="shared" si="12"/>
        <v>#DIV/0!</v>
      </c>
      <c r="AZ26" s="107" t="e">
        <f t="shared" si="12"/>
        <v>#DIV/0!</v>
      </c>
      <c r="BA26" s="107" t="e">
        <f t="shared" si="12"/>
        <v>#DIV/0!</v>
      </c>
      <c r="BB26" s="107" t="e">
        <f t="shared" si="12"/>
        <v>#DIV/0!</v>
      </c>
      <c r="BC26" s="107" t="e">
        <f t="shared" si="12"/>
        <v>#DIV/0!</v>
      </c>
      <c r="BD26" s="107" t="e">
        <f t="shared" si="12"/>
        <v>#DIV/0!</v>
      </c>
      <c r="BE26" s="107" t="e">
        <f t="shared" si="12"/>
        <v>#DIV/0!</v>
      </c>
      <c r="BF26" s="107" t="e">
        <f t="shared" si="12"/>
        <v>#DIV/0!</v>
      </c>
      <c r="BG26" s="107" t="e">
        <f t="shared" si="12"/>
        <v>#DIV/0!</v>
      </c>
      <c r="BH26" s="107" t="e">
        <f t="shared" si="12"/>
        <v>#DIV/0!</v>
      </c>
      <c r="BI26" s="107" t="e">
        <f t="shared" si="12"/>
        <v>#DIV/0!</v>
      </c>
      <c r="BJ26" s="107" t="e">
        <f t="shared" si="12"/>
        <v>#DIV/0!</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c r="A27" s="142" t="s">
        <v>552</v>
      </c>
      <c r="E27" s="108">
        <f>(E3-I3)/I3</f>
        <v>1.1450376398000861</v>
      </c>
      <c r="F27" s="108">
        <f t="shared" ref="F27:BQ27" si="14">(F3-J3)/J3</f>
        <v>3.3632376540059088</v>
      </c>
      <c r="G27" s="108">
        <f t="shared" si="14"/>
        <v>3.020206535713545</v>
      </c>
      <c r="H27" s="108">
        <f t="shared" si="14"/>
        <v>-0.72803641967532462</v>
      </c>
      <c r="I27" s="108" t="e">
        <f t="shared" si="14"/>
        <v>#DIV/0!</v>
      </c>
      <c r="J27" s="108" t="e">
        <f t="shared" si="14"/>
        <v>#DIV/0!</v>
      </c>
      <c r="K27" s="108" t="e">
        <f t="shared" si="14"/>
        <v>#DIV/0!</v>
      </c>
      <c r="L27" s="108" t="e">
        <f t="shared" si="14"/>
        <v>#DIV/0!</v>
      </c>
      <c r="M27" s="108" t="e">
        <f t="shared" si="14"/>
        <v>#DIV/0!</v>
      </c>
      <c r="N27" s="108">
        <f t="shared" si="14"/>
        <v>-1</v>
      </c>
      <c r="O27" s="108" t="e">
        <f t="shared" si="14"/>
        <v>#DIV/0!</v>
      </c>
      <c r="P27" s="108" t="e">
        <f t="shared" si="14"/>
        <v>#DIV/0!</v>
      </c>
      <c r="Q27" s="108" t="e">
        <f t="shared" si="14"/>
        <v>#DIV/0!</v>
      </c>
      <c r="R27" s="108" t="e">
        <f t="shared" si="14"/>
        <v>#DIV/0!</v>
      </c>
      <c r="S27" s="108" t="e">
        <f t="shared" si="14"/>
        <v>#DIV/0!</v>
      </c>
      <c r="T27" s="108" t="e">
        <f t="shared" si="14"/>
        <v>#DIV/0!</v>
      </c>
      <c r="U27" s="108" t="e">
        <f t="shared" si="14"/>
        <v>#DIV/0!</v>
      </c>
      <c r="V27" s="108">
        <f t="shared" si="14"/>
        <v>-1</v>
      </c>
      <c r="W27" s="108">
        <f t="shared" si="14"/>
        <v>-1</v>
      </c>
      <c r="X27" s="108">
        <f t="shared" si="14"/>
        <v>-1</v>
      </c>
      <c r="Y27" s="108">
        <f t="shared" si="14"/>
        <v>-1</v>
      </c>
      <c r="Z27" s="108">
        <f t="shared" si="14"/>
        <v>8.421264350660343E-2</v>
      </c>
      <c r="AA27" s="108">
        <f t="shared" si="14"/>
        <v>5.7324913219759889E-2</v>
      </c>
      <c r="AB27" s="108">
        <f t="shared" si="14"/>
        <v>0.28742234852834159</v>
      </c>
      <c r="AC27" s="108">
        <f t="shared" si="14"/>
        <v>0.31171427741397612</v>
      </c>
      <c r="AD27" s="108">
        <f t="shared" si="14"/>
        <v>0.80212896202837325</v>
      </c>
      <c r="AE27" s="108" t="e">
        <f t="shared" si="14"/>
        <v>#DIV/0!</v>
      </c>
      <c r="AF27" s="108" t="e">
        <f t="shared" si="14"/>
        <v>#DIV/0!</v>
      </c>
      <c r="AG27" s="108" t="e">
        <f t="shared" si="14"/>
        <v>#DIV/0!</v>
      </c>
      <c r="AH27" s="108" t="e">
        <f t="shared" si="14"/>
        <v>#DIV/0!</v>
      </c>
      <c r="AI27" s="108" t="e">
        <f t="shared" si="14"/>
        <v>#DIV/0!</v>
      </c>
      <c r="AJ27" s="108" t="e">
        <f t="shared" si="14"/>
        <v>#DIV/0!</v>
      </c>
      <c r="AK27" s="108" t="e">
        <f t="shared" si="14"/>
        <v>#DIV/0!</v>
      </c>
      <c r="AL27" s="108" t="e">
        <f t="shared" si="14"/>
        <v>#DIV/0!</v>
      </c>
      <c r="AM27" s="108" t="e">
        <f t="shared" si="14"/>
        <v>#DIV/0!</v>
      </c>
      <c r="AN27" s="108" t="e">
        <f t="shared" si="14"/>
        <v>#DIV/0!</v>
      </c>
      <c r="AO27" s="108" t="e">
        <f t="shared" si="14"/>
        <v>#DIV/0!</v>
      </c>
      <c r="AP27" s="108" t="e">
        <f t="shared" si="14"/>
        <v>#DIV/0!</v>
      </c>
      <c r="AQ27" s="108" t="e">
        <f t="shared" si="14"/>
        <v>#DIV/0!</v>
      </c>
      <c r="AR27" s="108" t="e">
        <f t="shared" si="14"/>
        <v>#DIV/0!</v>
      </c>
      <c r="AS27" s="108" t="e">
        <f t="shared" si="14"/>
        <v>#DIV/0!</v>
      </c>
      <c r="AT27" s="108" t="e">
        <f t="shared" si="14"/>
        <v>#DIV/0!</v>
      </c>
      <c r="AU27" s="108" t="e">
        <f t="shared" si="14"/>
        <v>#DIV/0!</v>
      </c>
      <c r="AV27" s="108" t="e">
        <f t="shared" si="14"/>
        <v>#DIV/0!</v>
      </c>
      <c r="AW27" s="108" t="e">
        <f t="shared" si="14"/>
        <v>#DIV/0!</v>
      </c>
      <c r="AX27" s="108" t="e">
        <f t="shared" si="14"/>
        <v>#DIV/0!</v>
      </c>
      <c r="AY27" s="108" t="e">
        <f t="shared" si="14"/>
        <v>#DIV/0!</v>
      </c>
      <c r="AZ27" s="108" t="e">
        <f t="shared" si="14"/>
        <v>#DIV/0!</v>
      </c>
      <c r="BA27" s="108" t="e">
        <f t="shared" si="14"/>
        <v>#DIV/0!</v>
      </c>
      <c r="BB27" s="108" t="e">
        <f t="shared" si="14"/>
        <v>#DIV/0!</v>
      </c>
      <c r="BC27" s="108" t="e">
        <f t="shared" si="14"/>
        <v>#DIV/0!</v>
      </c>
      <c r="BD27" s="108" t="e">
        <f t="shared" si="14"/>
        <v>#DIV/0!</v>
      </c>
      <c r="BE27" s="108" t="e">
        <f t="shared" si="14"/>
        <v>#DIV/0!</v>
      </c>
      <c r="BF27" s="108" t="e">
        <f t="shared" si="14"/>
        <v>#DIV/0!</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c r="A28" s="142" t="s">
        <v>560</v>
      </c>
      <c r="E28" s="108">
        <f>E3/E9</f>
        <v>2.3486361252408234E-2</v>
      </c>
      <c r="F28" s="108">
        <f t="shared" ref="F28:BQ28" si="16">F3/F9</f>
        <v>1.4157494194139E-2</v>
      </c>
      <c r="G28" s="108">
        <f t="shared" si="16"/>
        <v>1.314176465314845E-2</v>
      </c>
      <c r="H28" s="108">
        <f t="shared" si="16"/>
        <v>8.5385654481054257E-3</v>
      </c>
      <c r="I28" s="108">
        <f t="shared" si="16"/>
        <v>1.248362203021313E-2</v>
      </c>
      <c r="J28" s="108">
        <f t="shared" si="16"/>
        <v>3.7693635573406532E-3</v>
      </c>
      <c r="K28" s="108">
        <f t="shared" si="16"/>
        <v>3.7537406134567383E-3</v>
      </c>
      <c r="L28" s="108">
        <f t="shared" si="16"/>
        <v>3.4164026141117576E-2</v>
      </c>
      <c r="M28" s="108">
        <f t="shared" si="16"/>
        <v>0</v>
      </c>
      <c r="N28" s="108">
        <f t="shared" si="16"/>
        <v>0</v>
      </c>
      <c r="O28" s="108">
        <f t="shared" si="16"/>
        <v>0</v>
      </c>
      <c r="P28" s="108">
        <f t="shared" si="16"/>
        <v>0</v>
      </c>
      <c r="Q28" s="108">
        <f t="shared" si="16"/>
        <v>0</v>
      </c>
      <c r="R28" s="108">
        <f t="shared" si="16"/>
        <v>1.8947269737401061E-3</v>
      </c>
      <c r="S28" s="108">
        <f t="shared" si="16"/>
        <v>0</v>
      </c>
      <c r="T28" s="108">
        <f t="shared" si="16"/>
        <v>0</v>
      </c>
      <c r="U28" s="108">
        <f t="shared" si="16"/>
        <v>0</v>
      </c>
      <c r="V28" s="108">
        <f t="shared" si="16"/>
        <v>0</v>
      </c>
      <c r="W28" s="108">
        <f t="shared" si="16"/>
        <v>0</v>
      </c>
      <c r="X28" s="108">
        <f t="shared" si="16"/>
        <v>0</v>
      </c>
      <c r="Y28" s="108">
        <f t="shared" si="16"/>
        <v>0</v>
      </c>
      <c r="Z28" s="108">
        <f t="shared" si="16"/>
        <v>6.493536967161654E-3</v>
      </c>
      <c r="AA28" s="108">
        <f t="shared" si="16"/>
        <v>6.3140826941440612E-3</v>
      </c>
      <c r="AB28" s="108">
        <f t="shared" si="16"/>
        <v>7.4030927277224665E-3</v>
      </c>
      <c r="AC28" s="108">
        <f t="shared" si="16"/>
        <v>7.0259211762853258E-3</v>
      </c>
      <c r="AD28" s="108">
        <f t="shared" si="16"/>
        <v>6.4793628728496309E-3</v>
      </c>
      <c r="AE28" s="108">
        <f t="shared" si="16"/>
        <v>1.0399188593303986E-2</v>
      </c>
      <c r="AF28" s="108">
        <f t="shared" si="16"/>
        <v>1.1046334998591648E-2</v>
      </c>
      <c r="AG28" s="108">
        <f t="shared" si="16"/>
        <v>1.138487154483929E-2</v>
      </c>
      <c r="AH28" s="108">
        <f t="shared" si="16"/>
        <v>1.1787220223210637E-2</v>
      </c>
      <c r="AI28" s="108">
        <f t="shared" si="16"/>
        <v>0</v>
      </c>
      <c r="AJ28" s="108" t="e">
        <f t="shared" si="16"/>
        <v>#DIV/0!</v>
      </c>
      <c r="AK28" s="108" t="e">
        <f t="shared" si="16"/>
        <v>#DIV/0!</v>
      </c>
      <c r="AL28" s="108" t="e">
        <f t="shared" si="16"/>
        <v>#DIV/0!</v>
      </c>
      <c r="AM28" s="108" t="e">
        <f t="shared" si="16"/>
        <v>#DIV/0!</v>
      </c>
      <c r="AN28" s="108" t="e">
        <f t="shared" si="16"/>
        <v>#DIV/0!</v>
      </c>
      <c r="AO28" s="108" t="e">
        <f t="shared" si="16"/>
        <v>#DIV/0!</v>
      </c>
      <c r="AP28" s="108" t="e">
        <f t="shared" si="16"/>
        <v>#DIV/0!</v>
      </c>
      <c r="AQ28" s="108" t="e">
        <f t="shared" si="16"/>
        <v>#DIV/0!</v>
      </c>
      <c r="AR28" s="108" t="e">
        <f t="shared" si="16"/>
        <v>#DIV/0!</v>
      </c>
      <c r="AS28" s="108" t="e">
        <f t="shared" si="16"/>
        <v>#DIV/0!</v>
      </c>
      <c r="AT28" s="108" t="e">
        <f t="shared" si="16"/>
        <v>#DIV/0!</v>
      </c>
      <c r="AU28" s="108" t="e">
        <f t="shared" si="16"/>
        <v>#DIV/0!</v>
      </c>
      <c r="AV28" s="108" t="e">
        <f t="shared" si="16"/>
        <v>#DIV/0!</v>
      </c>
      <c r="AW28" s="108" t="e">
        <f t="shared" si="16"/>
        <v>#DIV/0!</v>
      </c>
      <c r="AX28" s="108" t="e">
        <f t="shared" si="16"/>
        <v>#DIV/0!</v>
      </c>
      <c r="AY28" s="108" t="e">
        <f t="shared" si="16"/>
        <v>#DIV/0!</v>
      </c>
      <c r="AZ28" s="108" t="e">
        <f t="shared" si="16"/>
        <v>#DIV/0!</v>
      </c>
      <c r="BA28" s="108" t="e">
        <f t="shared" si="16"/>
        <v>#DIV/0!</v>
      </c>
      <c r="BB28" s="108" t="e">
        <f t="shared" si="16"/>
        <v>#DIV/0!</v>
      </c>
      <c r="BC28" s="108" t="e">
        <f t="shared" si="16"/>
        <v>#DIV/0!</v>
      </c>
      <c r="BD28" s="108" t="e">
        <f t="shared" si="16"/>
        <v>#DIV/0!</v>
      </c>
      <c r="BE28" s="108" t="e">
        <f t="shared" si="16"/>
        <v>#DIV/0!</v>
      </c>
      <c r="BF28" s="108" t="e">
        <f t="shared" si="16"/>
        <v>#DIV/0!</v>
      </c>
      <c r="BG28" s="108" t="e">
        <f t="shared" si="16"/>
        <v>#DIV/0!</v>
      </c>
      <c r="BH28" s="108" t="e">
        <f t="shared" si="16"/>
        <v>#DIV/0!</v>
      </c>
      <c r="BI28" s="108" t="e">
        <f t="shared" si="16"/>
        <v>#DIV/0!</v>
      </c>
      <c r="BJ28" s="108" t="e">
        <f t="shared" si="16"/>
        <v>#DIV/0!</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c r="A29" s="141" t="s">
        <v>569</v>
      </c>
      <c r="E29" s="107">
        <f>(E4-I4)/I4</f>
        <v>0.20437902000269875</v>
      </c>
      <c r="F29" s="107">
        <f t="shared" ref="F29:BQ29" si="18">(F4-J4)/J4</f>
        <v>-7.2746590325320432E-3</v>
      </c>
      <c r="G29" s="107">
        <f t="shared" si="18"/>
        <v>-4.109198547925226E-2</v>
      </c>
      <c r="H29" s="107">
        <f t="shared" si="18"/>
        <v>-3.1027747428580464E-2</v>
      </c>
      <c r="I29" s="107">
        <f t="shared" si="18"/>
        <v>-8.7154129604151559E-2</v>
      </c>
      <c r="J29" s="107">
        <f t="shared" si="18"/>
        <v>0.15605160007551871</v>
      </c>
      <c r="K29" s="107">
        <f t="shared" si="18"/>
        <v>0.67204846962810783</v>
      </c>
      <c r="L29" s="107">
        <f t="shared" si="18"/>
        <v>7.007114343040613E-2</v>
      </c>
      <c r="M29" s="107">
        <f t="shared" si="18"/>
        <v>0.10933929111157369</v>
      </c>
      <c r="N29" s="107">
        <f t="shared" si="18"/>
        <v>0.13468958595719485</v>
      </c>
      <c r="O29" s="107">
        <f t="shared" si="18"/>
        <v>-4.2874183713916672E-2</v>
      </c>
      <c r="P29" s="107">
        <f t="shared" si="18"/>
        <v>0.26137315769885733</v>
      </c>
      <c r="Q29" s="107">
        <f t="shared" si="18"/>
        <v>0.21574308558185346</v>
      </c>
      <c r="R29" s="107">
        <f t="shared" si="18"/>
        <v>0.39707829623703517</v>
      </c>
      <c r="S29" s="107">
        <f t="shared" si="18"/>
        <v>0.39885953653921058</v>
      </c>
      <c r="T29" s="107">
        <f t="shared" si="18"/>
        <v>0.22418118837610734</v>
      </c>
      <c r="U29" s="107">
        <f t="shared" si="18"/>
        <v>8.8440932255886701E-2</v>
      </c>
      <c r="V29" s="107">
        <f t="shared" si="18"/>
        <v>-0.16886088287384093</v>
      </c>
      <c r="W29" s="107">
        <f t="shared" si="18"/>
        <v>-0.1631292756694164</v>
      </c>
      <c r="X29" s="107">
        <f t="shared" si="18"/>
        <v>-4.007040978416989E-2</v>
      </c>
      <c r="Y29" s="107">
        <f t="shared" si="18"/>
        <v>0.18076706886018806</v>
      </c>
      <c r="Z29" s="107">
        <f t="shared" si="18"/>
        <v>0.3139161374670244</v>
      </c>
      <c r="AA29" s="107">
        <f t="shared" si="18"/>
        <v>0.36397726041745443</v>
      </c>
      <c r="AB29" s="107">
        <f t="shared" si="18"/>
        <v>0.4702158740504514</v>
      </c>
      <c r="AC29" s="107">
        <f t="shared" si="18"/>
        <v>0.55250987194336776</v>
      </c>
      <c r="AD29" s="107">
        <f t="shared" si="18"/>
        <v>1.6708058960163314</v>
      </c>
      <c r="AE29" s="107">
        <f t="shared" si="18"/>
        <v>1.187343068898411</v>
      </c>
      <c r="AF29" s="107" t="e">
        <f t="shared" si="18"/>
        <v>#DIV/0!</v>
      </c>
      <c r="AG29" s="107" t="e">
        <f t="shared" si="18"/>
        <v>#DIV/0!</v>
      </c>
      <c r="AH29" s="107" t="e">
        <f t="shared" si="18"/>
        <v>#DIV/0!</v>
      </c>
      <c r="AI29" s="107" t="e">
        <f t="shared" si="18"/>
        <v>#DIV/0!</v>
      </c>
      <c r="AJ29" s="107" t="e">
        <f t="shared" si="18"/>
        <v>#DIV/0!</v>
      </c>
      <c r="AK29" s="107" t="e">
        <f t="shared" si="18"/>
        <v>#DIV/0!</v>
      </c>
      <c r="AL29" s="107" t="e">
        <f t="shared" si="18"/>
        <v>#DIV/0!</v>
      </c>
      <c r="AM29" s="107" t="e">
        <f t="shared" si="18"/>
        <v>#DIV/0!</v>
      </c>
      <c r="AN29" s="107" t="e">
        <f t="shared" si="18"/>
        <v>#DIV/0!</v>
      </c>
      <c r="AO29" s="107" t="e">
        <f t="shared" si="18"/>
        <v>#DIV/0!</v>
      </c>
      <c r="AP29" s="107" t="e">
        <f t="shared" si="18"/>
        <v>#DIV/0!</v>
      </c>
      <c r="AQ29" s="107" t="e">
        <f t="shared" si="18"/>
        <v>#DIV/0!</v>
      </c>
      <c r="AR29" s="107" t="e">
        <f t="shared" si="18"/>
        <v>#DIV/0!</v>
      </c>
      <c r="AS29" s="107" t="e">
        <f t="shared" si="18"/>
        <v>#DIV/0!</v>
      </c>
      <c r="AT29" s="107" t="e">
        <f t="shared" si="18"/>
        <v>#DIV/0!</v>
      </c>
      <c r="AU29" s="107" t="e">
        <f t="shared" si="18"/>
        <v>#DIV/0!</v>
      </c>
      <c r="AV29" s="107" t="e">
        <f t="shared" si="18"/>
        <v>#DIV/0!</v>
      </c>
      <c r="AW29" s="107" t="e">
        <f t="shared" si="18"/>
        <v>#DIV/0!</v>
      </c>
      <c r="AX29" s="107" t="e">
        <f t="shared" si="18"/>
        <v>#DIV/0!</v>
      </c>
      <c r="AY29" s="107" t="e">
        <f t="shared" si="18"/>
        <v>#DIV/0!</v>
      </c>
      <c r="AZ29" s="107" t="e">
        <f t="shared" si="18"/>
        <v>#DIV/0!</v>
      </c>
      <c r="BA29" s="107" t="e">
        <f t="shared" si="18"/>
        <v>#DIV/0!</v>
      </c>
      <c r="BB29" s="107" t="e">
        <f t="shared" si="18"/>
        <v>#DIV/0!</v>
      </c>
      <c r="BC29" s="107" t="e">
        <f t="shared" si="18"/>
        <v>#DIV/0!</v>
      </c>
      <c r="BD29" s="107" t="e">
        <f t="shared" si="18"/>
        <v>#DIV/0!</v>
      </c>
      <c r="BE29" s="107" t="e">
        <f t="shared" si="18"/>
        <v>#DIV/0!</v>
      </c>
      <c r="BF29" s="107" t="e">
        <f t="shared" si="18"/>
        <v>#DIV/0!</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c r="A30" s="141" t="s">
        <v>553</v>
      </c>
      <c r="E30" s="107">
        <f>(E5-I5)/I5</f>
        <v>0.27070189671194095</v>
      </c>
      <c r="F30" s="107">
        <f t="shared" ref="F30:BQ30" si="20">(F5-J5)/J5</f>
        <v>8.8465128578280927E-2</v>
      </c>
      <c r="G30" s="107">
        <f t="shared" si="20"/>
        <v>8.2683846140461051E-2</v>
      </c>
      <c r="H30" s="107">
        <f t="shared" si="20"/>
        <v>9.6767546027567986E-2</v>
      </c>
      <c r="I30" s="107">
        <f t="shared" si="20"/>
        <v>2.0487680964614445E-2</v>
      </c>
      <c r="J30" s="107">
        <f t="shared" si="20"/>
        <v>0.12261530350984691</v>
      </c>
      <c r="K30" s="107">
        <f t="shared" si="20"/>
        <v>0.27059967978885463</v>
      </c>
      <c r="L30" s="107">
        <f t="shared" si="20"/>
        <v>0.21401238294623701</v>
      </c>
      <c r="M30" s="107">
        <f t="shared" si="20"/>
        <v>0.23241536727246587</v>
      </c>
      <c r="N30" s="107">
        <f t="shared" si="20"/>
        <v>0.21667019508817331</v>
      </c>
      <c r="O30" s="107">
        <f t="shared" si="20"/>
        <v>0.27627556957993976</v>
      </c>
      <c r="P30" s="107">
        <f t="shared" si="20"/>
        <v>0.19196306305145347</v>
      </c>
      <c r="Q30" s="107">
        <f t="shared" si="20"/>
        <v>0.1772592592765706</v>
      </c>
      <c r="R30" s="107">
        <f t="shared" si="20"/>
        <v>0.33542345646527394</v>
      </c>
      <c r="S30" s="107">
        <f t="shared" si="20"/>
        <v>0.26711496734276963</v>
      </c>
      <c r="T30" s="107">
        <f t="shared" si="20"/>
        <v>0.43092863454980557</v>
      </c>
      <c r="U30" s="107">
        <f t="shared" si="20"/>
        <v>0.36610497762277999</v>
      </c>
      <c r="V30" s="107">
        <f t="shared" si="20"/>
        <v>0.24712306581320517</v>
      </c>
      <c r="W30" s="107">
        <f t="shared" si="20"/>
        <v>0.15275440991333944</v>
      </c>
      <c r="X30" s="107">
        <f t="shared" si="20"/>
        <v>0.11716081713105023</v>
      </c>
      <c r="Y30" s="107">
        <f t="shared" si="20"/>
        <v>0.19506569564150772</v>
      </c>
      <c r="Z30" s="107">
        <f t="shared" si="20"/>
        <v>0.2066973416445681</v>
      </c>
      <c r="AA30" s="107">
        <f t="shared" si="20"/>
        <v>0.25766008757651104</v>
      </c>
      <c r="AB30" s="107">
        <f t="shared" si="20"/>
        <v>0.29614711049089154</v>
      </c>
      <c r="AC30" s="107">
        <f t="shared" si="20"/>
        <v>0.37987311978963972</v>
      </c>
      <c r="AD30" s="107">
        <f t="shared" si="20"/>
        <v>0.59414677351952827</v>
      </c>
      <c r="AE30" s="107">
        <f t="shared" si="20"/>
        <v>1.1693444856205359</v>
      </c>
      <c r="AF30" s="107" t="e">
        <f t="shared" si="20"/>
        <v>#DIV/0!</v>
      </c>
      <c r="AG30" s="107" t="e">
        <f t="shared" si="20"/>
        <v>#DIV/0!</v>
      </c>
      <c r="AH30" s="107" t="e">
        <f t="shared" si="20"/>
        <v>#DIV/0!</v>
      </c>
      <c r="AI30" s="107" t="e">
        <f t="shared" si="20"/>
        <v>#DIV/0!</v>
      </c>
      <c r="AJ30" s="107" t="e">
        <f t="shared" si="20"/>
        <v>#DIV/0!</v>
      </c>
      <c r="AK30" s="107" t="e">
        <f t="shared" si="20"/>
        <v>#DIV/0!</v>
      </c>
      <c r="AL30" s="107" t="e">
        <f t="shared" si="20"/>
        <v>#DIV/0!</v>
      </c>
      <c r="AM30" s="107" t="e">
        <f t="shared" si="20"/>
        <v>#DIV/0!</v>
      </c>
      <c r="AN30" s="107" t="e">
        <f t="shared" si="20"/>
        <v>#DIV/0!</v>
      </c>
      <c r="AO30" s="107" t="e">
        <f t="shared" si="20"/>
        <v>#DIV/0!</v>
      </c>
      <c r="AP30" s="107" t="e">
        <f t="shared" si="20"/>
        <v>#DIV/0!</v>
      </c>
      <c r="AQ30" s="107" t="e">
        <f t="shared" si="20"/>
        <v>#DIV/0!</v>
      </c>
      <c r="AR30" s="107" t="e">
        <f t="shared" si="20"/>
        <v>#DIV/0!</v>
      </c>
      <c r="AS30" s="107" t="e">
        <f t="shared" si="20"/>
        <v>#DIV/0!</v>
      </c>
      <c r="AT30" s="107" t="e">
        <f t="shared" si="20"/>
        <v>#DIV/0!</v>
      </c>
      <c r="AU30" s="107" t="e">
        <f t="shared" si="20"/>
        <v>#DIV/0!</v>
      </c>
      <c r="AV30" s="107" t="e">
        <f t="shared" si="20"/>
        <v>#DIV/0!</v>
      </c>
      <c r="AW30" s="107" t="e">
        <f t="shared" si="20"/>
        <v>#DIV/0!</v>
      </c>
      <c r="AX30" s="107" t="e">
        <f t="shared" si="20"/>
        <v>#DIV/0!</v>
      </c>
      <c r="AY30" s="107" t="e">
        <f t="shared" si="20"/>
        <v>#DIV/0!</v>
      </c>
      <c r="AZ30" s="107" t="e">
        <f t="shared" si="20"/>
        <v>#DIV/0!</v>
      </c>
      <c r="BA30" s="107" t="e">
        <f t="shared" si="20"/>
        <v>#DIV/0!</v>
      </c>
      <c r="BB30" s="107" t="e">
        <f t="shared" si="20"/>
        <v>#DIV/0!</v>
      </c>
      <c r="BC30" s="107" t="e">
        <f t="shared" si="20"/>
        <v>#DIV/0!</v>
      </c>
      <c r="BD30" s="107" t="e">
        <f t="shared" si="20"/>
        <v>#DIV/0!</v>
      </c>
      <c r="BE30" s="107" t="e">
        <f t="shared" si="20"/>
        <v>#DIV/0!</v>
      </c>
      <c r="BF30" s="107" t="e">
        <f t="shared" si="20"/>
        <v>#DIV/0!</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c r="A31" s="141" t="s">
        <v>554</v>
      </c>
      <c r="E31" s="107">
        <f>(E6-I6)/I6</f>
        <v>0.32654218431928611</v>
      </c>
      <c r="F31" s="107">
        <f t="shared" ref="F31:BQ31" si="22">(F6-J6)/J6</f>
        <v>0.19293045271329229</v>
      </c>
      <c r="G31" s="107">
        <f t="shared" si="22"/>
        <v>0.2554480706841043</v>
      </c>
      <c r="H31" s="107">
        <f t="shared" si="22"/>
        <v>0.23378510142305825</v>
      </c>
      <c r="I31" s="107">
        <f t="shared" si="22"/>
        <v>0.13297056904243559</v>
      </c>
      <c r="J31" s="107">
        <f t="shared" si="22"/>
        <v>8.8270770878179097E-2</v>
      </c>
      <c r="K31" s="107">
        <f t="shared" si="22"/>
        <v>-4.8324881875349751E-2</v>
      </c>
      <c r="L31" s="107">
        <f t="shared" si="22"/>
        <v>0.41860801079210058</v>
      </c>
      <c r="M31" s="107">
        <f t="shared" si="22"/>
        <v>0.39403258937984492</v>
      </c>
      <c r="N31" s="107">
        <f t="shared" si="22"/>
        <v>0.31419942302978854</v>
      </c>
      <c r="O31" s="107">
        <f t="shared" si="22"/>
        <v>0.73619505786145689</v>
      </c>
      <c r="P31" s="107">
        <f t="shared" si="22"/>
        <v>0.10549662231490876</v>
      </c>
      <c r="Q31" s="107">
        <f t="shared" si="22"/>
        <v>0.13027685183926532</v>
      </c>
      <c r="R31" s="107">
        <f t="shared" si="22"/>
        <v>0.26880931553590626</v>
      </c>
      <c r="S31" s="107">
        <f t="shared" si="22"/>
        <v>0.1156924667634284</v>
      </c>
      <c r="T31" s="107">
        <f t="shared" si="22"/>
        <v>0.81219036513674048</v>
      </c>
      <c r="U31" s="107">
        <f t="shared" si="22"/>
        <v>0.98399746521597586</v>
      </c>
      <c r="V31" s="107">
        <f t="shared" si="22"/>
        <v>1.7156057371475943</v>
      </c>
      <c r="W31" s="107">
        <f t="shared" si="22"/>
        <v>1.0360819359911762</v>
      </c>
      <c r="X31" s="107">
        <f t="shared" si="22"/>
        <v>0.60063740266655319</v>
      </c>
      <c r="Y31" s="107">
        <f t="shared" si="22"/>
        <v>0.22816196245889908</v>
      </c>
      <c r="Z31" s="107">
        <f t="shared" si="22"/>
        <v>-6.3172889857643522E-2</v>
      </c>
      <c r="AA31" s="107">
        <f t="shared" si="22"/>
        <v>3.2589577958249821E-2</v>
      </c>
      <c r="AB31" s="107">
        <f t="shared" si="22"/>
        <v>-4.9789312650452194E-2</v>
      </c>
      <c r="AC31" s="107">
        <f t="shared" si="22"/>
        <v>9.7414796523624475E-2</v>
      </c>
      <c r="AD31" s="107">
        <f t="shared" si="22"/>
        <v>-0.20872610969759806</v>
      </c>
      <c r="AE31" s="107">
        <f t="shared" si="22"/>
        <v>1.1322025064667569</v>
      </c>
      <c r="AF31" s="107" t="e">
        <f t="shared" si="22"/>
        <v>#DIV/0!</v>
      </c>
      <c r="AG31" s="107" t="e">
        <f t="shared" si="22"/>
        <v>#DIV/0!</v>
      </c>
      <c r="AH31" s="107" t="e">
        <f t="shared" si="22"/>
        <v>#DIV/0!</v>
      </c>
      <c r="AI31" s="107" t="e">
        <f t="shared" si="22"/>
        <v>#DIV/0!</v>
      </c>
      <c r="AJ31" s="107" t="e">
        <f t="shared" si="22"/>
        <v>#DIV/0!</v>
      </c>
      <c r="AK31" s="107" t="e">
        <f t="shared" si="22"/>
        <v>#DIV/0!</v>
      </c>
      <c r="AL31" s="107" t="e">
        <f t="shared" si="22"/>
        <v>#DIV/0!</v>
      </c>
      <c r="AM31" s="107" t="e">
        <f t="shared" si="22"/>
        <v>#DIV/0!</v>
      </c>
      <c r="AN31" s="107" t="e">
        <f t="shared" si="22"/>
        <v>#DIV/0!</v>
      </c>
      <c r="AO31" s="107" t="e">
        <f t="shared" si="22"/>
        <v>#DIV/0!</v>
      </c>
      <c r="AP31" s="107" t="e">
        <f t="shared" si="22"/>
        <v>#DIV/0!</v>
      </c>
      <c r="AQ31" s="107" t="e">
        <f t="shared" si="22"/>
        <v>#DIV/0!</v>
      </c>
      <c r="AR31" s="107" t="e">
        <f t="shared" si="22"/>
        <v>#DIV/0!</v>
      </c>
      <c r="AS31" s="107" t="e">
        <f t="shared" si="22"/>
        <v>#DIV/0!</v>
      </c>
      <c r="AT31" s="107" t="e">
        <f t="shared" si="22"/>
        <v>#DIV/0!</v>
      </c>
      <c r="AU31" s="107" t="e">
        <f t="shared" si="22"/>
        <v>#DIV/0!</v>
      </c>
      <c r="AV31" s="107" t="e">
        <f t="shared" si="22"/>
        <v>#DIV/0!</v>
      </c>
      <c r="AW31" s="107" t="e">
        <f t="shared" si="22"/>
        <v>#DIV/0!</v>
      </c>
      <c r="AX31" s="107" t="e">
        <f t="shared" si="22"/>
        <v>#DIV/0!</v>
      </c>
      <c r="AY31" s="107" t="e">
        <f t="shared" si="22"/>
        <v>#DIV/0!</v>
      </c>
      <c r="AZ31" s="107" t="e">
        <f t="shared" si="22"/>
        <v>#DIV/0!</v>
      </c>
      <c r="BA31" s="107" t="e">
        <f t="shared" si="22"/>
        <v>#DIV/0!</v>
      </c>
      <c r="BB31" s="107" t="e">
        <f t="shared" si="22"/>
        <v>#DIV/0!</v>
      </c>
      <c r="BC31" s="107" t="e">
        <f t="shared" si="22"/>
        <v>#DIV/0!</v>
      </c>
      <c r="BD31" s="107" t="e">
        <f t="shared" si="22"/>
        <v>#DIV/0!</v>
      </c>
      <c r="BE31" s="107" t="e">
        <f t="shared" si="22"/>
        <v>#DIV/0!</v>
      </c>
      <c r="BF31" s="107" t="e">
        <f t="shared" si="22"/>
        <v>#DIV/0!</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c r="A32" s="142" t="s">
        <v>556</v>
      </c>
      <c r="E32" s="108">
        <f>(E7-I7)/I7</f>
        <v>7.8639015581433935E-2</v>
      </c>
      <c r="F32" s="108">
        <f t="shared" ref="F32:BQ32" si="24">(F7-J7)/J7</f>
        <v>3.1072955454370648E-2</v>
      </c>
      <c r="G32" s="108">
        <f t="shared" si="24"/>
        <v>3.2626879992218506E-2</v>
      </c>
      <c r="H32" s="108">
        <f t="shared" si="24"/>
        <v>3.7030823489902304E-2</v>
      </c>
      <c r="I32" s="108">
        <f t="shared" si="24"/>
        <v>2.9565932838214341E-2</v>
      </c>
      <c r="J32" s="108">
        <f t="shared" si="24"/>
        <v>2.7985925736111118E-2</v>
      </c>
      <c r="K32" s="108">
        <f t="shared" si="24"/>
        <v>2.72763710780673E-2</v>
      </c>
      <c r="L32" s="108">
        <f t="shared" si="24"/>
        <v>0.11814755342081823</v>
      </c>
      <c r="M32" s="108">
        <f t="shared" si="24"/>
        <v>0.13113488821649932</v>
      </c>
      <c r="N32" s="108">
        <f t="shared" si="24"/>
        <v>0.14879742188377162</v>
      </c>
      <c r="O32" s="108">
        <f t="shared" si="24"/>
        <v>1.8839185377559491</v>
      </c>
      <c r="P32" s="108">
        <f t="shared" si="24"/>
        <v>1.6740746816082792</v>
      </c>
      <c r="Q32" s="108">
        <f t="shared" si="24"/>
        <v>1.7348831700918774</v>
      </c>
      <c r="R32" s="108">
        <f t="shared" si="24"/>
        <v>2.0069618597053767</v>
      </c>
      <c r="S32" s="108">
        <f t="shared" si="24"/>
        <v>0.21173824516645398</v>
      </c>
      <c r="T32" s="108">
        <f t="shared" si="24"/>
        <v>0.24359140181163602</v>
      </c>
      <c r="U32" s="108">
        <f t="shared" si="24"/>
        <v>0.333983211131828</v>
      </c>
      <c r="V32" s="108">
        <f t="shared" si="24"/>
        <v>0.32451115326370999</v>
      </c>
      <c r="W32" s="108">
        <f t="shared" si="24"/>
        <v>0.34839391745831499</v>
      </c>
      <c r="X32" s="108">
        <f t="shared" si="24"/>
        <v>0.37268237391090425</v>
      </c>
      <c r="Y32" s="108">
        <f t="shared" si="24"/>
        <v>0.28725532450037139</v>
      </c>
      <c r="Z32" s="108">
        <f t="shared" si="24"/>
        <v>0.25511157202999951</v>
      </c>
      <c r="AA32" s="108">
        <f t="shared" si="24"/>
        <v>0.33873072050932906</v>
      </c>
      <c r="AB32" s="108">
        <f t="shared" si="24"/>
        <v>0.47026856008802781</v>
      </c>
      <c r="AC32" s="108">
        <f t="shared" si="24"/>
        <v>0.55604490581125476</v>
      </c>
      <c r="AD32" s="108">
        <f t="shared" si="24"/>
        <v>1.1106753497624735</v>
      </c>
      <c r="AE32" s="108">
        <f t="shared" si="24"/>
        <v>2.5283505246238875</v>
      </c>
      <c r="AF32" s="108" t="e">
        <f t="shared" si="24"/>
        <v>#DIV/0!</v>
      </c>
      <c r="AG32" s="108" t="e">
        <f t="shared" si="24"/>
        <v>#DIV/0!</v>
      </c>
      <c r="AH32" s="108" t="e">
        <f t="shared" si="24"/>
        <v>#DIV/0!</v>
      </c>
      <c r="AI32" s="108" t="e">
        <f t="shared" si="24"/>
        <v>#DIV/0!</v>
      </c>
      <c r="AJ32" s="108" t="e">
        <f t="shared" si="24"/>
        <v>#DIV/0!</v>
      </c>
      <c r="AK32" s="108" t="e">
        <f t="shared" si="24"/>
        <v>#DIV/0!</v>
      </c>
      <c r="AL32" s="108" t="e">
        <f t="shared" si="24"/>
        <v>#DIV/0!</v>
      </c>
      <c r="AM32" s="108" t="e">
        <f t="shared" si="24"/>
        <v>#DIV/0!</v>
      </c>
      <c r="AN32" s="108" t="e">
        <f t="shared" si="24"/>
        <v>#DIV/0!</v>
      </c>
      <c r="AO32" s="108" t="e">
        <f t="shared" si="24"/>
        <v>#DIV/0!</v>
      </c>
      <c r="AP32" s="108" t="e">
        <f t="shared" si="24"/>
        <v>#DIV/0!</v>
      </c>
      <c r="AQ32" s="108" t="e">
        <f t="shared" si="24"/>
        <v>#DIV/0!</v>
      </c>
      <c r="AR32" s="108" t="e">
        <f t="shared" si="24"/>
        <v>#DIV/0!</v>
      </c>
      <c r="AS32" s="108" t="e">
        <f t="shared" si="24"/>
        <v>#DIV/0!</v>
      </c>
      <c r="AT32" s="108" t="e">
        <f t="shared" si="24"/>
        <v>#DIV/0!</v>
      </c>
      <c r="AU32" s="108" t="e">
        <f t="shared" si="24"/>
        <v>#DIV/0!</v>
      </c>
      <c r="AV32" s="108" t="e">
        <f t="shared" si="24"/>
        <v>#DIV/0!</v>
      </c>
      <c r="AW32" s="108" t="e">
        <f t="shared" si="24"/>
        <v>#DIV/0!</v>
      </c>
      <c r="AX32" s="108" t="e">
        <f t="shared" si="24"/>
        <v>#DIV/0!</v>
      </c>
      <c r="AY32" s="108" t="e">
        <f t="shared" si="24"/>
        <v>#DIV/0!</v>
      </c>
      <c r="AZ32" s="108" t="e">
        <f t="shared" si="24"/>
        <v>#DIV/0!</v>
      </c>
      <c r="BA32" s="108" t="e">
        <f t="shared" si="24"/>
        <v>#DIV/0!</v>
      </c>
      <c r="BB32" s="108" t="e">
        <f t="shared" si="24"/>
        <v>#DIV/0!</v>
      </c>
      <c r="BC32" s="108" t="e">
        <f t="shared" si="24"/>
        <v>#DIV/0!</v>
      </c>
      <c r="BD32" s="108" t="e">
        <f t="shared" si="24"/>
        <v>#DIV/0!</v>
      </c>
      <c r="BE32" s="108" t="e">
        <f t="shared" si="24"/>
        <v>#DIV/0!</v>
      </c>
      <c r="BF32" s="108" t="e">
        <f t="shared" si="24"/>
        <v>#DIV/0!</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c r="A33" s="142" t="s">
        <v>563</v>
      </c>
      <c r="E33" s="108">
        <f>E7/E9</f>
        <v>0.65131927518622101</v>
      </c>
      <c r="F33" s="108">
        <f t="shared" ref="F33:BQ33" si="26">F7/F9</f>
        <v>0.61579007152739929</v>
      </c>
      <c r="G33" s="108">
        <f t="shared" si="26"/>
        <v>0.61648255638316618</v>
      </c>
      <c r="H33" s="108">
        <f t="shared" si="26"/>
        <v>0.67341971812999535</v>
      </c>
      <c r="I33" s="108">
        <f t="shared" si="26"/>
        <v>0.68845823223992286</v>
      </c>
      <c r="J33" s="108">
        <f t="shared" si="26"/>
        <v>0.69379919322288008</v>
      </c>
      <c r="K33" s="108">
        <f t="shared" si="26"/>
        <v>0.68554553371189897</v>
      </c>
      <c r="L33" s="108">
        <f t="shared" si="26"/>
        <v>0.70662507956268261</v>
      </c>
      <c r="M33" s="108">
        <f t="shared" si="26"/>
        <v>0.72107826463444713</v>
      </c>
      <c r="N33" s="108">
        <f t="shared" si="26"/>
        <v>0.74560564145765285</v>
      </c>
      <c r="O33" s="108">
        <f t="shared" si="26"/>
        <v>0.81068991578872873</v>
      </c>
      <c r="P33" s="108">
        <f t="shared" si="26"/>
        <v>0.74596073552206321</v>
      </c>
      <c r="Q33" s="108">
        <f t="shared" si="26"/>
        <v>0.75486853381453356</v>
      </c>
      <c r="R33" s="108">
        <f t="shared" si="26"/>
        <v>0.76819127274214372</v>
      </c>
      <c r="S33" s="108">
        <f t="shared" si="26"/>
        <v>0.62926676211808497</v>
      </c>
      <c r="T33" s="108">
        <f t="shared" si="26"/>
        <v>0.63100304499669768</v>
      </c>
      <c r="U33" s="108">
        <f t="shared" si="26"/>
        <v>0.6220809369317889</v>
      </c>
      <c r="V33" s="108">
        <f t="shared" si="26"/>
        <v>0.56170852357618861</v>
      </c>
      <c r="W33" s="108">
        <f t="shared" si="26"/>
        <v>0.52934446733146712</v>
      </c>
      <c r="X33" s="108">
        <f t="shared" si="26"/>
        <v>0.49976133065611533</v>
      </c>
      <c r="Y33" s="108">
        <f t="shared" si="26"/>
        <v>0.45786460770340337</v>
      </c>
      <c r="Z33" s="108">
        <f t="shared" si="26"/>
        <v>0.41644171917198247</v>
      </c>
      <c r="AA33" s="108">
        <f t="shared" si="26"/>
        <v>0.41467293916309733</v>
      </c>
      <c r="AB33" s="108">
        <f t="shared" si="26"/>
        <v>0.39697287733528119</v>
      </c>
      <c r="AC33" s="108">
        <f t="shared" si="26"/>
        <v>0.38692981070492027</v>
      </c>
      <c r="AD33" s="108">
        <f t="shared" si="26"/>
        <v>0.35895280394912288</v>
      </c>
      <c r="AE33" s="108">
        <f t="shared" si="26"/>
        <v>0.53939897870720255</v>
      </c>
      <c r="AF33" s="108">
        <f t="shared" si="26"/>
        <v>0.51866892527577779</v>
      </c>
      <c r="AG33" s="108">
        <f t="shared" si="26"/>
        <v>0.5285355114254463</v>
      </c>
      <c r="AH33" s="108">
        <f t="shared" si="26"/>
        <v>0.55754621633097801</v>
      </c>
      <c r="AI33" s="108">
        <f t="shared" si="26"/>
        <v>0.4408812337341646</v>
      </c>
      <c r="AJ33" s="108" t="e">
        <f t="shared" si="26"/>
        <v>#DIV/0!</v>
      </c>
      <c r="AK33" s="108" t="e">
        <f t="shared" si="26"/>
        <v>#DIV/0!</v>
      </c>
      <c r="AL33" s="108" t="e">
        <f t="shared" si="26"/>
        <v>#DIV/0!</v>
      </c>
      <c r="AM33" s="108" t="e">
        <f t="shared" si="26"/>
        <v>#DIV/0!</v>
      </c>
      <c r="AN33" s="108" t="e">
        <f t="shared" si="26"/>
        <v>#DIV/0!</v>
      </c>
      <c r="AO33" s="108" t="e">
        <f t="shared" si="26"/>
        <v>#DIV/0!</v>
      </c>
      <c r="AP33" s="108" t="e">
        <f t="shared" si="26"/>
        <v>#DIV/0!</v>
      </c>
      <c r="AQ33" s="108" t="e">
        <f t="shared" si="26"/>
        <v>#DIV/0!</v>
      </c>
      <c r="AR33" s="108" t="e">
        <f t="shared" si="26"/>
        <v>#DIV/0!</v>
      </c>
      <c r="AS33" s="108" t="e">
        <f t="shared" si="26"/>
        <v>#DIV/0!</v>
      </c>
      <c r="AT33" s="108" t="e">
        <f t="shared" si="26"/>
        <v>#DIV/0!</v>
      </c>
      <c r="AU33" s="108" t="e">
        <f t="shared" si="26"/>
        <v>#DIV/0!</v>
      </c>
      <c r="AV33" s="108" t="e">
        <f t="shared" si="26"/>
        <v>#DIV/0!</v>
      </c>
      <c r="AW33" s="108" t="e">
        <f t="shared" si="26"/>
        <v>#DIV/0!</v>
      </c>
      <c r="AX33" s="108" t="e">
        <f t="shared" si="26"/>
        <v>#DIV/0!</v>
      </c>
      <c r="AY33" s="108" t="e">
        <f t="shared" si="26"/>
        <v>#DIV/0!</v>
      </c>
      <c r="AZ33" s="108" t="e">
        <f t="shared" si="26"/>
        <v>#DIV/0!</v>
      </c>
      <c r="BA33" s="108" t="e">
        <f t="shared" si="26"/>
        <v>#DIV/0!</v>
      </c>
      <c r="BB33" s="108" t="e">
        <f t="shared" si="26"/>
        <v>#DIV/0!</v>
      </c>
      <c r="BC33" s="108" t="e">
        <f t="shared" si="26"/>
        <v>#DIV/0!</v>
      </c>
      <c r="BD33" s="108" t="e">
        <f t="shared" si="26"/>
        <v>#DIV/0!</v>
      </c>
      <c r="BE33" s="108" t="e">
        <f t="shared" si="26"/>
        <v>#DIV/0!</v>
      </c>
      <c r="BF33" s="108" t="e">
        <f t="shared" si="26"/>
        <v>#DIV/0!</v>
      </c>
      <c r="BG33" s="108" t="e">
        <f t="shared" si="26"/>
        <v>#DIV/0!</v>
      </c>
      <c r="BH33" s="108" t="e">
        <f t="shared" si="26"/>
        <v>#DIV/0!</v>
      </c>
      <c r="BI33" s="108" t="e">
        <f t="shared" si="26"/>
        <v>#DIV/0!</v>
      </c>
      <c r="BJ33" s="108" t="e">
        <f t="shared" si="26"/>
        <v>#DIV/0!</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c r="A34" s="141" t="s">
        <v>557</v>
      </c>
      <c r="E34" s="107">
        <f>(E10-I10)/I10</f>
        <v>0.11905078472622498</v>
      </c>
      <c r="F34" s="107">
        <f t="shared" ref="F34:BQ34" si="28">(F10-J10)/J10</f>
        <v>5.9185193058916223E-2</v>
      </c>
      <c r="G34" s="107">
        <f t="shared" si="28"/>
        <v>7.0533558181062606E-2</v>
      </c>
      <c r="H34" s="107">
        <f t="shared" si="28"/>
        <v>9.4569929667766284E-2</v>
      </c>
      <c r="I34" s="107">
        <f t="shared" si="28"/>
        <v>-8.4951910169006384E-2</v>
      </c>
      <c r="J34" s="107">
        <f t="shared" si="28"/>
        <v>0.57210720679444105</v>
      </c>
      <c r="K34" s="107">
        <f t="shared" si="28"/>
        <v>1.1020202516351441</v>
      </c>
      <c r="L34" s="107">
        <f t="shared" si="28"/>
        <v>1.2149220323509466</v>
      </c>
      <c r="M34" s="107">
        <f t="shared" si="28"/>
        <v>2.2168903314061703</v>
      </c>
      <c r="N34" s="107">
        <f t="shared" si="28"/>
        <v>1.6731968179475361</v>
      </c>
      <c r="O34" s="107">
        <f t="shared" si="28"/>
        <v>3.5387425784467377</v>
      </c>
      <c r="P34" s="107">
        <f t="shared" si="28"/>
        <v>5.2061711995121955</v>
      </c>
      <c r="Q34" s="107">
        <f t="shared" si="28"/>
        <v>10.503933571606787</v>
      </c>
      <c r="R34" s="107">
        <f t="shared" si="28"/>
        <v>13.115037672</v>
      </c>
      <c r="S34" s="107">
        <f t="shared" si="28"/>
        <v>-0.63272424330702515</v>
      </c>
      <c r="T34" s="107">
        <f t="shared" si="28"/>
        <v>-0.80461749315964459</v>
      </c>
      <c r="U34" s="107">
        <f t="shared" si="28"/>
        <v>-0.91576426265985522</v>
      </c>
      <c r="V34" s="107">
        <f t="shared" si="28"/>
        <v>-0.94128051904917009</v>
      </c>
      <c r="W34" s="107">
        <f t="shared" si="28"/>
        <v>0.63941641033661445</v>
      </c>
      <c r="X34" s="107">
        <f t="shared" si="28"/>
        <v>19412.894373207513</v>
      </c>
      <c r="Y34" s="107">
        <f t="shared" si="28"/>
        <v>15.764960249476124</v>
      </c>
      <c r="Z34" s="107">
        <f t="shared" si="28"/>
        <v>5.9981706117250857</v>
      </c>
      <c r="AA34" s="107">
        <f t="shared" si="28"/>
        <v>-0.8247721148846836</v>
      </c>
      <c r="AB34" s="107">
        <f t="shared" si="28"/>
        <v>-0.99998242829969008</v>
      </c>
      <c r="AC34" s="107">
        <f t="shared" si="28"/>
        <v>-0.98034102184225536</v>
      </c>
      <c r="AD34" s="107">
        <f t="shared" si="28"/>
        <v>-0.90326761539934775</v>
      </c>
      <c r="AE34" s="107">
        <f t="shared" si="28"/>
        <v>1.5826035884366074</v>
      </c>
      <c r="AF34" s="107" t="e">
        <f t="shared" si="28"/>
        <v>#DIV/0!</v>
      </c>
      <c r="AG34" s="107" t="e">
        <f t="shared" si="28"/>
        <v>#DIV/0!</v>
      </c>
      <c r="AH34" s="107" t="e">
        <f t="shared" si="28"/>
        <v>#DIV/0!</v>
      </c>
      <c r="AI34" s="107" t="e">
        <f t="shared" si="28"/>
        <v>#DIV/0!</v>
      </c>
      <c r="AJ34" s="107" t="e">
        <f t="shared" si="28"/>
        <v>#DIV/0!</v>
      </c>
      <c r="AK34" s="107" t="e">
        <f t="shared" si="28"/>
        <v>#DIV/0!</v>
      </c>
      <c r="AL34" s="107" t="e">
        <f t="shared" si="28"/>
        <v>#DIV/0!</v>
      </c>
      <c r="AM34" s="107" t="e">
        <f t="shared" si="28"/>
        <v>#DIV/0!</v>
      </c>
      <c r="AN34" s="107" t="e">
        <f t="shared" si="28"/>
        <v>#DIV/0!</v>
      </c>
      <c r="AO34" s="107" t="e">
        <f t="shared" si="28"/>
        <v>#DIV/0!</v>
      </c>
      <c r="AP34" s="107" t="e">
        <f t="shared" si="28"/>
        <v>#DIV/0!</v>
      </c>
      <c r="AQ34" s="107" t="e">
        <f t="shared" si="28"/>
        <v>#DIV/0!</v>
      </c>
      <c r="AR34" s="107" t="e">
        <f t="shared" si="28"/>
        <v>#DIV/0!</v>
      </c>
      <c r="AS34" s="107" t="e">
        <f t="shared" si="28"/>
        <v>#DIV/0!</v>
      </c>
      <c r="AT34" s="107" t="e">
        <f t="shared" si="28"/>
        <v>#DIV/0!</v>
      </c>
      <c r="AU34" s="107" t="e">
        <f t="shared" si="28"/>
        <v>#DIV/0!</v>
      </c>
      <c r="AV34" s="107" t="e">
        <f t="shared" si="28"/>
        <v>#DIV/0!</v>
      </c>
      <c r="AW34" s="107" t="e">
        <f t="shared" si="28"/>
        <v>#DIV/0!</v>
      </c>
      <c r="AX34" s="107" t="e">
        <f t="shared" si="28"/>
        <v>#DIV/0!</v>
      </c>
      <c r="AY34" s="107" t="e">
        <f t="shared" si="28"/>
        <v>#DIV/0!</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c r="A35" s="141" t="s">
        <v>561</v>
      </c>
      <c r="E35" s="107">
        <f>E10/E12</f>
        <v>0.94405810349138974</v>
      </c>
      <c r="F35" s="107">
        <f t="shared" ref="F35:BQ35" si="30">F10/F12</f>
        <v>0.94580761430599314</v>
      </c>
      <c r="G35" s="107">
        <f t="shared" si="30"/>
        <v>0.87141951312283528</v>
      </c>
      <c r="H35" s="107">
        <f t="shared" si="30"/>
        <v>0.81503320416624847</v>
      </c>
      <c r="I35" s="107">
        <f t="shared" si="30"/>
        <v>0.75100049456547369</v>
      </c>
      <c r="J35" s="107">
        <f t="shared" si="30"/>
        <v>0.7294611170370835</v>
      </c>
      <c r="K35" s="107">
        <f t="shared" si="30"/>
        <v>0.71689682653145903</v>
      </c>
      <c r="L35" s="107">
        <f t="shared" si="30"/>
        <v>0.71924221885575945</v>
      </c>
      <c r="M35" s="107">
        <f t="shared" si="30"/>
        <v>0.70354366240952571</v>
      </c>
      <c r="N35" s="107">
        <f t="shared" si="30"/>
        <v>0.48541322606793641</v>
      </c>
      <c r="O35" s="107">
        <f t="shared" si="30"/>
        <v>1</v>
      </c>
      <c r="P35" s="107">
        <f t="shared" si="30"/>
        <v>1</v>
      </c>
      <c r="Q35" s="107">
        <f t="shared" si="30"/>
        <v>1</v>
      </c>
      <c r="R35" s="107">
        <f t="shared" si="30"/>
        <v>1</v>
      </c>
      <c r="S35" s="107">
        <f t="shared" si="30"/>
        <v>1</v>
      </c>
      <c r="T35" s="107">
        <f t="shared" si="30"/>
        <v>1</v>
      </c>
      <c r="U35" s="107">
        <f t="shared" si="30"/>
        <v>1</v>
      </c>
      <c r="V35" s="107">
        <f t="shared" si="30"/>
        <v>1</v>
      </c>
      <c r="W35" s="107">
        <f t="shared" si="30"/>
        <v>1</v>
      </c>
      <c r="X35" s="107">
        <f t="shared" si="30"/>
        <v>1</v>
      </c>
      <c r="Y35" s="107">
        <f t="shared" si="30"/>
        <v>1</v>
      </c>
      <c r="Z35" s="107">
        <f t="shared" si="30"/>
        <v>1</v>
      </c>
      <c r="AA35" s="107">
        <f t="shared" si="30"/>
        <v>1</v>
      </c>
      <c r="AB35" s="107">
        <f t="shared" si="30"/>
        <v>1</v>
      </c>
      <c r="AC35" s="107">
        <f t="shared" si="30"/>
        <v>1</v>
      </c>
      <c r="AD35" s="107">
        <f t="shared" si="30"/>
        <v>1</v>
      </c>
      <c r="AE35" s="107">
        <f t="shared" si="30"/>
        <v>0.74084689170200158</v>
      </c>
      <c r="AF35" s="107">
        <f t="shared" si="30"/>
        <v>0.83676508188978593</v>
      </c>
      <c r="AG35" s="107">
        <f t="shared" si="30"/>
        <v>0.90587761485721907</v>
      </c>
      <c r="AH35" s="107">
        <f t="shared" si="30"/>
        <v>0.74084983543419747</v>
      </c>
      <c r="AI35" s="107">
        <f t="shared" si="30"/>
        <v>1</v>
      </c>
      <c r="AJ35" s="107" t="e">
        <f t="shared" si="30"/>
        <v>#DIV/0!</v>
      </c>
      <c r="AK35" s="107" t="e">
        <f t="shared" si="30"/>
        <v>#DIV/0!</v>
      </c>
      <c r="AL35" s="107" t="e">
        <f t="shared" si="30"/>
        <v>#DIV/0!</v>
      </c>
      <c r="AM35" s="107" t="e">
        <f t="shared" si="30"/>
        <v>#DIV/0!</v>
      </c>
      <c r="AN35" s="107" t="e">
        <f t="shared" si="30"/>
        <v>#DIV/0!</v>
      </c>
      <c r="AO35" s="107" t="e">
        <f t="shared" si="30"/>
        <v>#DIV/0!</v>
      </c>
      <c r="AP35" s="107" t="e">
        <f t="shared" si="30"/>
        <v>#DIV/0!</v>
      </c>
      <c r="AQ35" s="107" t="e">
        <f t="shared" si="30"/>
        <v>#DIV/0!</v>
      </c>
      <c r="AR35" s="107" t="e">
        <f t="shared" si="30"/>
        <v>#DIV/0!</v>
      </c>
      <c r="AS35" s="107" t="e">
        <f t="shared" si="30"/>
        <v>#DIV/0!</v>
      </c>
      <c r="AT35" s="107" t="e">
        <f t="shared" si="30"/>
        <v>#DIV/0!</v>
      </c>
      <c r="AU35" s="107" t="e">
        <f t="shared" si="30"/>
        <v>#DIV/0!</v>
      </c>
      <c r="AV35" s="107" t="e">
        <f t="shared" si="30"/>
        <v>#DIV/0!</v>
      </c>
      <c r="AW35" s="107" t="e">
        <f t="shared" si="30"/>
        <v>#DIV/0!</v>
      </c>
      <c r="AX35" s="107" t="e">
        <f t="shared" si="30"/>
        <v>#DIV/0!</v>
      </c>
      <c r="AY35" s="107" t="e">
        <f t="shared" si="30"/>
        <v>#DIV/0!</v>
      </c>
      <c r="AZ35" s="107" t="e">
        <f t="shared" si="30"/>
        <v>#DIV/0!</v>
      </c>
      <c r="BA35" s="107" t="e">
        <f t="shared" si="30"/>
        <v>#DIV/0!</v>
      </c>
      <c r="BB35" s="107" t="e">
        <f t="shared" si="30"/>
        <v>#DIV/0!</v>
      </c>
      <c r="BC35" s="107" t="e">
        <f t="shared" si="30"/>
        <v>#DIV/0!</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c r="A36" s="141" t="s">
        <v>558</v>
      </c>
      <c r="E36" s="107">
        <f>(E11-I11)/I11</f>
        <v>-0.8</v>
      </c>
      <c r="F36" s="107">
        <f t="shared" ref="F36:BQ36" si="32">(F11-J11)/J11</f>
        <v>-0.83636363636363631</v>
      </c>
      <c r="G36" s="107">
        <f t="shared" si="32"/>
        <v>-0.6</v>
      </c>
      <c r="H36" s="107">
        <f t="shared" si="32"/>
        <v>-0.36363636363636365</v>
      </c>
      <c r="I36" s="107">
        <f t="shared" si="32"/>
        <v>-0.28000000000000003</v>
      </c>
      <c r="J36" s="107">
        <f t="shared" si="32"/>
        <v>-0.45</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f t="shared" si="32"/>
        <v>-1</v>
      </c>
      <c r="AB36" s="107">
        <f t="shared" si="32"/>
        <v>-1</v>
      </c>
      <c r="AC36" s="107">
        <f t="shared" si="32"/>
        <v>-1</v>
      </c>
      <c r="AD36" s="107">
        <f t="shared" si="32"/>
        <v>-1</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t="e">
        <f t="shared" si="32"/>
        <v>#DIV/0!</v>
      </c>
      <c r="AY36" s="107" t="e">
        <f t="shared" si="32"/>
        <v>#DIV/0!</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c r="A37" s="141" t="s">
        <v>562</v>
      </c>
      <c r="B37" s="107"/>
      <c r="C37" s="107"/>
      <c r="D37" s="107"/>
      <c r="E37" s="107">
        <f>E11/E12</f>
        <v>5.5941896508610298E-2</v>
      </c>
      <c r="F37" s="107">
        <f t="shared" ref="F37:BQ37" si="34">F11/F12</f>
        <v>5.4192385694006875E-2</v>
      </c>
      <c r="G37" s="107">
        <f t="shared" si="34"/>
        <v>0.1285804868771647</v>
      </c>
      <c r="H37" s="107">
        <f t="shared" si="34"/>
        <v>0.18496679583375147</v>
      </c>
      <c r="I37" s="107">
        <f t="shared" si="34"/>
        <v>0.24899950543452634</v>
      </c>
      <c r="J37" s="107">
        <f t="shared" si="34"/>
        <v>0.2705388829629165</v>
      </c>
      <c r="K37" s="107">
        <f t="shared" si="34"/>
        <v>0.28310317346854091</v>
      </c>
      <c r="L37" s="107">
        <f t="shared" si="34"/>
        <v>0.2807577811442406</v>
      </c>
      <c r="M37" s="107">
        <f t="shared" si="34"/>
        <v>0.29645633759047424</v>
      </c>
      <c r="N37" s="107">
        <f t="shared" si="34"/>
        <v>0.51458677393206353</v>
      </c>
      <c r="O37" s="109">
        <f t="shared" si="34"/>
        <v>0</v>
      </c>
      <c r="P37" s="109">
        <f t="shared" si="34"/>
        <v>0</v>
      </c>
      <c r="Q37" s="109">
        <f t="shared" si="34"/>
        <v>0</v>
      </c>
      <c r="R37" s="109">
        <f t="shared" si="34"/>
        <v>0</v>
      </c>
      <c r="S37" s="109">
        <f t="shared" si="34"/>
        <v>0</v>
      </c>
      <c r="T37" s="109">
        <f t="shared" si="34"/>
        <v>0</v>
      </c>
      <c r="U37" s="109">
        <f t="shared" si="34"/>
        <v>0</v>
      </c>
      <c r="V37" s="109">
        <f t="shared" si="34"/>
        <v>0</v>
      </c>
      <c r="W37" s="109">
        <f t="shared" si="34"/>
        <v>0</v>
      </c>
      <c r="X37" s="109">
        <f t="shared" si="34"/>
        <v>0</v>
      </c>
      <c r="Y37" s="109">
        <f t="shared" si="34"/>
        <v>0</v>
      </c>
      <c r="Z37" s="109">
        <f t="shared" si="34"/>
        <v>0</v>
      </c>
      <c r="AA37" s="109">
        <f t="shared" si="34"/>
        <v>0</v>
      </c>
      <c r="AB37" s="109">
        <f t="shared" si="34"/>
        <v>0</v>
      </c>
      <c r="AC37" s="109">
        <f t="shared" si="34"/>
        <v>0</v>
      </c>
      <c r="AD37" s="109">
        <f t="shared" si="34"/>
        <v>0</v>
      </c>
      <c r="AE37" s="109">
        <f t="shared" si="34"/>
        <v>0.25915310829799842</v>
      </c>
      <c r="AF37" s="109">
        <f t="shared" si="34"/>
        <v>0.16323491811021409</v>
      </c>
      <c r="AG37" s="109">
        <f t="shared" si="34"/>
        <v>9.4122385142780873E-2</v>
      </c>
      <c r="AH37" s="109">
        <f t="shared" si="34"/>
        <v>0.25915016456580253</v>
      </c>
      <c r="AI37" s="109">
        <f t="shared" si="34"/>
        <v>0</v>
      </c>
      <c r="AJ37" s="109" t="e">
        <f t="shared" si="34"/>
        <v>#DIV/0!</v>
      </c>
      <c r="AK37" s="109" t="e">
        <f t="shared" si="34"/>
        <v>#DIV/0!</v>
      </c>
      <c r="AL37" s="109" t="e">
        <f t="shared" si="34"/>
        <v>#DIV/0!</v>
      </c>
      <c r="AM37" s="109" t="e">
        <f t="shared" si="34"/>
        <v>#DIV/0!</v>
      </c>
      <c r="AN37" s="109" t="e">
        <f t="shared" si="34"/>
        <v>#DIV/0!</v>
      </c>
      <c r="AO37" s="109" t="e">
        <f t="shared" si="34"/>
        <v>#DIV/0!</v>
      </c>
      <c r="AP37" s="109" t="e">
        <f t="shared" si="34"/>
        <v>#DIV/0!</v>
      </c>
      <c r="AQ37" s="109" t="e">
        <f t="shared" si="34"/>
        <v>#DIV/0!</v>
      </c>
      <c r="AR37" s="109" t="e">
        <f t="shared" si="34"/>
        <v>#DIV/0!</v>
      </c>
      <c r="AS37" s="109" t="e">
        <f t="shared" si="34"/>
        <v>#DIV/0!</v>
      </c>
      <c r="AT37" s="109" t="e">
        <f t="shared" si="34"/>
        <v>#DIV/0!</v>
      </c>
      <c r="AU37" s="109" t="e">
        <f t="shared" si="34"/>
        <v>#DIV/0!</v>
      </c>
      <c r="AV37" s="109" t="e">
        <f t="shared" si="34"/>
        <v>#DIV/0!</v>
      </c>
      <c r="AW37" s="109" t="e">
        <f t="shared" si="34"/>
        <v>#DIV/0!</v>
      </c>
      <c r="AX37" s="109" t="e">
        <f t="shared" si="34"/>
        <v>#DIV/0!</v>
      </c>
      <c r="AY37" s="109" t="e">
        <f t="shared" si="34"/>
        <v>#DIV/0!</v>
      </c>
      <c r="AZ37" s="109" t="e">
        <f t="shared" si="34"/>
        <v>#DIV/0!</v>
      </c>
      <c r="BA37" s="109" t="e">
        <f t="shared" si="34"/>
        <v>#DIV/0!</v>
      </c>
      <c r="BB37" s="109" t="e">
        <f t="shared" si="34"/>
        <v>#DIV/0!</v>
      </c>
      <c r="BC37" s="109" t="e">
        <f t="shared" si="34"/>
        <v>#DIV/0!</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c r="A38" s="184" t="s">
        <v>632</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c r="A39" s="220" t="s">
        <v>549</v>
      </c>
      <c r="B39" s="221"/>
      <c r="C39" s="221"/>
      <c r="D39" s="221"/>
      <c r="E39" s="222">
        <f>E2/E9</f>
        <v>0.18638287154125796</v>
      </c>
      <c r="F39" s="222">
        <f t="shared" ref="F39:U39" si="37">F2/F9</f>
        <v>0.22755163151514304</v>
      </c>
      <c r="G39" s="222">
        <f t="shared" si="37"/>
        <v>0.20981251843685791</v>
      </c>
      <c r="H39" s="222">
        <f t="shared" si="37"/>
        <v>0.17369774547664296</v>
      </c>
      <c r="I39" s="222">
        <f t="shared" si="37"/>
        <v>0.16765007709960444</v>
      </c>
      <c r="J39" s="222">
        <f t="shared" si="37"/>
        <v>0.13567650396002889</v>
      </c>
      <c r="K39" s="222">
        <f t="shared" si="37"/>
        <v>0.11842347713281993</v>
      </c>
      <c r="L39" s="222">
        <f t="shared" si="37"/>
        <v>9.7111201547851397E-2</v>
      </c>
      <c r="M39" s="222">
        <f t="shared" si="37"/>
        <v>0.12368891487980024</v>
      </c>
      <c r="N39" s="222">
        <f t="shared" si="37"/>
        <v>9.5039961657603339E-2</v>
      </c>
      <c r="O39" s="222">
        <f t="shared" si="37"/>
        <v>4.9613817520612134E-2</v>
      </c>
      <c r="P39" s="222">
        <f t="shared" si="37"/>
        <v>7.5227710261018252E-2</v>
      </c>
      <c r="Q39" s="222">
        <f t="shared" si="37"/>
        <v>7.9431481421302449E-2</v>
      </c>
      <c r="R39" s="222">
        <f t="shared" si="37"/>
        <v>6.3691191035259803E-2</v>
      </c>
      <c r="S39" s="222">
        <f t="shared" si="37"/>
        <v>4.4010935965926021E-2</v>
      </c>
      <c r="T39" s="222">
        <f t="shared" si="37"/>
        <v>4.8339743336485178E-2</v>
      </c>
      <c r="U39" s="222">
        <f t="shared" si="37"/>
        <v>7.0737596523572019E-2</v>
      </c>
    </row>
    <row r="40" spans="1:89" s="223" customFormat="1">
      <c r="A40" s="220" t="s">
        <v>550</v>
      </c>
      <c r="B40" s="221"/>
      <c r="C40" s="221"/>
      <c r="D40" s="221"/>
      <c r="E40" s="222">
        <f>E3/E9</f>
        <v>2.3486361252408234E-2</v>
      </c>
      <c r="F40" s="222">
        <f t="shared" ref="F40:U40" si="38">F3/F9</f>
        <v>1.4157494194139E-2</v>
      </c>
      <c r="G40" s="222">
        <f t="shared" si="38"/>
        <v>1.314176465314845E-2</v>
      </c>
      <c r="H40" s="222">
        <f t="shared" si="38"/>
        <v>8.5385654481054257E-3</v>
      </c>
      <c r="I40" s="222">
        <f t="shared" si="38"/>
        <v>1.248362203021313E-2</v>
      </c>
      <c r="J40" s="222">
        <f t="shared" si="38"/>
        <v>3.7693635573406532E-3</v>
      </c>
      <c r="K40" s="222">
        <f t="shared" si="38"/>
        <v>3.7537406134567383E-3</v>
      </c>
      <c r="L40" s="222">
        <f t="shared" si="38"/>
        <v>3.4164026141117576E-2</v>
      </c>
      <c r="M40" s="222">
        <f t="shared" si="38"/>
        <v>0</v>
      </c>
      <c r="N40" s="222">
        <f t="shared" si="38"/>
        <v>0</v>
      </c>
      <c r="O40" s="222">
        <f t="shared" si="38"/>
        <v>0</v>
      </c>
      <c r="P40" s="222">
        <f t="shared" si="38"/>
        <v>0</v>
      </c>
      <c r="Q40" s="222">
        <f t="shared" si="38"/>
        <v>0</v>
      </c>
      <c r="R40" s="222">
        <f t="shared" si="38"/>
        <v>1.8947269737401061E-3</v>
      </c>
      <c r="S40" s="222">
        <f t="shared" si="38"/>
        <v>0</v>
      </c>
      <c r="T40" s="222">
        <f t="shared" si="38"/>
        <v>0</v>
      </c>
      <c r="U40" s="222">
        <f t="shared" si="38"/>
        <v>0</v>
      </c>
    </row>
    <row r="41" spans="1:89">
      <c r="A41" s="182" t="s">
        <v>555</v>
      </c>
      <c r="B41" s="64"/>
      <c r="C41" s="64"/>
      <c r="D41" s="64"/>
      <c r="E41" s="89">
        <f>E4/E9</f>
        <v>0.1388114920201127</v>
      </c>
      <c r="F41" s="89">
        <f t="shared" ref="F41:U41" si="39">F4/F9</f>
        <v>0.14250080276331875</v>
      </c>
      <c r="G41" s="89">
        <f t="shared" si="39"/>
        <v>0.16056316052682745</v>
      </c>
      <c r="H41" s="89">
        <f t="shared" si="39"/>
        <v>0.14434397094525633</v>
      </c>
      <c r="I41" s="89">
        <f t="shared" si="39"/>
        <v>0.13140806863025956</v>
      </c>
      <c r="J41" s="89">
        <f t="shared" si="39"/>
        <v>0.16675493925975038</v>
      </c>
      <c r="K41" s="89">
        <f t="shared" si="39"/>
        <v>0.19227724854182429</v>
      </c>
      <c r="L41" s="89">
        <f t="shared" si="39"/>
        <v>0.16209969274834837</v>
      </c>
      <c r="M41" s="89">
        <f t="shared" si="39"/>
        <v>0.15523282048575263</v>
      </c>
      <c r="N41" s="212">
        <f t="shared" si="39"/>
        <v>0.15935439688474379</v>
      </c>
      <c r="O41" s="212">
        <f t="shared" si="39"/>
        <v>0.1396962666906591</v>
      </c>
      <c r="P41" s="212">
        <f t="shared" si="39"/>
        <v>0.17881155421691852</v>
      </c>
      <c r="Q41" s="212">
        <f t="shared" si="39"/>
        <v>0.16569998476416392</v>
      </c>
      <c r="R41" s="212">
        <f t="shared" si="39"/>
        <v>0.16622280924885643</v>
      </c>
      <c r="S41" s="212">
        <f t="shared" si="39"/>
        <v>0.32672230191598894</v>
      </c>
      <c r="T41" s="212">
        <f t="shared" si="39"/>
        <v>0.32065721166681727</v>
      </c>
      <c r="U41" s="212">
        <f t="shared" si="39"/>
        <v>0.30718146654463918</v>
      </c>
    </row>
    <row r="42" spans="1:89">
      <c r="A42" s="182" t="s">
        <v>334</v>
      </c>
      <c r="B42" s="64"/>
      <c r="C42" s="64"/>
      <c r="D42" s="64"/>
      <c r="E42" s="89">
        <f>E5/E9</f>
        <v>0.3204044548636919</v>
      </c>
      <c r="F42" s="89">
        <f t="shared" ref="F42:U42" si="40">F5/F9</f>
        <v>0.29943718310739226</v>
      </c>
      <c r="G42" s="89">
        <f t="shared" si="40"/>
        <v>0.31117175346993314</v>
      </c>
      <c r="H42" s="89">
        <f t="shared" si="40"/>
        <v>0.31576554329983098</v>
      </c>
      <c r="I42" s="89">
        <f t="shared" si="40"/>
        <v>0.28748464895965475</v>
      </c>
      <c r="J42" s="89">
        <f t="shared" si="40"/>
        <v>0.31958155995877952</v>
      </c>
      <c r="K42" s="89">
        <f t="shared" si="40"/>
        <v>0.33003306229713392</v>
      </c>
      <c r="L42" s="89">
        <f t="shared" si="40"/>
        <v>0.31328891623239624</v>
      </c>
      <c r="M42" s="89">
        <f t="shared" si="40"/>
        <v>0.30378467705990259</v>
      </c>
      <c r="N42" s="212">
        <f t="shared" si="40"/>
        <v>0.31449469040468259</v>
      </c>
      <c r="O42" s="212">
        <f t="shared" si="40"/>
        <v>0.31554003650063139</v>
      </c>
      <c r="P42" s="212">
        <f t="shared" si="40"/>
        <v>0.30461266260192255</v>
      </c>
      <c r="Q42" s="212">
        <f t="shared" si="40"/>
        <v>0.29188519992114309</v>
      </c>
      <c r="R42" s="212">
        <f t="shared" si="40"/>
        <v>0.30594551024102862</v>
      </c>
      <c r="S42" s="212">
        <f t="shared" si="40"/>
        <v>0.55344316221635292</v>
      </c>
      <c r="T42" s="212">
        <f t="shared" si="40"/>
        <v>0.57806167080236703</v>
      </c>
      <c r="U42" s="212">
        <f t="shared" si="40"/>
        <v>0.558797312720273</v>
      </c>
    </row>
    <row r="43" spans="1:89">
      <c r="A43" s="182" t="s">
        <v>335</v>
      </c>
      <c r="B43" s="64"/>
      <c r="C43" s="64"/>
      <c r="D43" s="64"/>
      <c r="E43" s="89">
        <f>E6/E9</f>
        <v>0.18159296284357918</v>
      </c>
      <c r="F43" s="89">
        <f t="shared" ref="F43:U43" si="41">F6/F9</f>
        <v>0.15693638034407351</v>
      </c>
      <c r="G43" s="89">
        <f t="shared" si="41"/>
        <v>0.15060859294310569</v>
      </c>
      <c r="H43" s="89">
        <f t="shared" si="41"/>
        <v>0.17142157235457464</v>
      </c>
      <c r="I43" s="89">
        <f t="shared" si="41"/>
        <v>0.15607658032939517</v>
      </c>
      <c r="J43" s="89">
        <f t="shared" si="41"/>
        <v>0.15282662069902914</v>
      </c>
      <c r="K43" s="89">
        <f t="shared" si="41"/>
        <v>0.1377558137553096</v>
      </c>
      <c r="L43" s="89">
        <f t="shared" si="41"/>
        <v>0.15118922348404784</v>
      </c>
      <c r="M43" s="89">
        <f t="shared" si="41"/>
        <v>0.14855185657414993</v>
      </c>
      <c r="N43" s="212">
        <f t="shared" si="41"/>
        <v>0.15514029351993883</v>
      </c>
      <c r="O43" s="212">
        <f t="shared" si="41"/>
        <v>0.17584376980997229</v>
      </c>
      <c r="P43" s="212">
        <f t="shared" si="41"/>
        <v>0.12580110838500402</v>
      </c>
      <c r="Q43" s="212">
        <f t="shared" si="41"/>
        <v>0.12618521515697917</v>
      </c>
      <c r="R43" s="212">
        <f t="shared" si="41"/>
        <v>0.13972270099217221</v>
      </c>
      <c r="S43" s="212">
        <f t="shared" si="41"/>
        <v>0.22672086030036395</v>
      </c>
      <c r="T43" s="212">
        <f t="shared" si="41"/>
        <v>0.25740445913554977</v>
      </c>
      <c r="U43" s="212">
        <f t="shared" si="41"/>
        <v>0.25161584617563382</v>
      </c>
    </row>
    <row r="44" spans="1:89">
      <c r="A44" s="182" t="s">
        <v>336</v>
      </c>
      <c r="B44" s="64"/>
      <c r="C44" s="64"/>
      <c r="D44" s="64"/>
      <c r="E44" s="89">
        <f>E7/E9</f>
        <v>0.65131927518622101</v>
      </c>
      <c r="F44" s="89">
        <f t="shared" ref="F44:U44" si="42">F7/F9</f>
        <v>0.61579007152739929</v>
      </c>
      <c r="G44" s="89">
        <f t="shared" si="42"/>
        <v>0.61648255638316618</v>
      </c>
      <c r="H44" s="89">
        <f t="shared" si="42"/>
        <v>0.67341971812999535</v>
      </c>
      <c r="I44" s="89">
        <f t="shared" si="42"/>
        <v>0.68845823223992286</v>
      </c>
      <c r="J44" s="89">
        <f t="shared" si="42"/>
        <v>0.69379919322288008</v>
      </c>
      <c r="K44" s="89">
        <f t="shared" si="42"/>
        <v>0.68554553371189897</v>
      </c>
      <c r="L44" s="89">
        <f t="shared" si="42"/>
        <v>0.70662507956268261</v>
      </c>
      <c r="M44" s="89">
        <f t="shared" si="42"/>
        <v>0.72107826463444713</v>
      </c>
      <c r="N44" s="212">
        <f t="shared" si="42"/>
        <v>0.74560564145765285</v>
      </c>
      <c r="O44" s="212">
        <f t="shared" si="42"/>
        <v>0.81068991578872873</v>
      </c>
      <c r="P44" s="212">
        <f t="shared" si="42"/>
        <v>0.74596073552206321</v>
      </c>
      <c r="Q44" s="212">
        <f t="shared" si="42"/>
        <v>0.75486853381453356</v>
      </c>
      <c r="R44" s="212">
        <f t="shared" si="42"/>
        <v>0.76819127274214372</v>
      </c>
      <c r="S44" s="212">
        <f t="shared" si="42"/>
        <v>0.62926676211808497</v>
      </c>
      <c r="T44" s="212">
        <f t="shared" si="42"/>
        <v>0.63100304499669768</v>
      </c>
      <c r="U44" s="212">
        <f t="shared" si="42"/>
        <v>0.6220809369317889</v>
      </c>
    </row>
    <row r="45" spans="1:89" s="223" customFormat="1">
      <c r="A45" s="220" t="s">
        <v>337</v>
      </c>
      <c r="B45" s="221"/>
      <c r="C45" s="221"/>
      <c r="D45" s="221"/>
      <c r="E45" s="222">
        <f>E8/E9</f>
        <v>0.7901307672063338</v>
      </c>
      <c r="F45" s="222">
        <f t="shared" ref="F45:U45" si="43">F8/F9</f>
        <v>0.75829087429071806</v>
      </c>
      <c r="G45" s="222">
        <f t="shared" si="43"/>
        <v>0.77704571690999358</v>
      </c>
      <c r="H45" s="222">
        <f t="shared" si="43"/>
        <v>0.81776368907525165</v>
      </c>
      <c r="I45" s="222">
        <f t="shared" si="43"/>
        <v>0.81986630087018242</v>
      </c>
      <c r="J45" s="222">
        <f t="shared" si="43"/>
        <v>0.86055413248263046</v>
      </c>
      <c r="K45" s="222">
        <f t="shared" si="43"/>
        <v>0.87782278225372334</v>
      </c>
      <c r="L45" s="222">
        <f t="shared" si="43"/>
        <v>0.86872477231103096</v>
      </c>
      <c r="M45" s="222">
        <f t="shared" si="43"/>
        <v>0.87631108512019973</v>
      </c>
      <c r="N45" s="222">
        <f t="shared" si="43"/>
        <v>0.90496003834239669</v>
      </c>
      <c r="O45" s="222">
        <f t="shared" si="43"/>
        <v>0.95038618247938789</v>
      </c>
      <c r="P45" s="222">
        <f t="shared" si="43"/>
        <v>0.92477228973898173</v>
      </c>
      <c r="Q45" s="222">
        <f t="shared" si="43"/>
        <v>0.92056851857869759</v>
      </c>
      <c r="R45" s="222">
        <f t="shared" si="43"/>
        <v>0.93441408199100007</v>
      </c>
      <c r="S45" s="222">
        <f t="shared" si="43"/>
        <v>0.95598906403407391</v>
      </c>
      <c r="T45" s="222">
        <f t="shared" si="43"/>
        <v>0.95166025666351484</v>
      </c>
      <c r="U45" s="222">
        <f t="shared" si="43"/>
        <v>0.92926240347642808</v>
      </c>
    </row>
    <row r="46" spans="1:89">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c r="A47" s="182" t="s">
        <v>339</v>
      </c>
      <c r="B47" s="64"/>
      <c r="C47" s="64"/>
      <c r="D47" s="64"/>
      <c r="E47" s="89">
        <f>E10/E14</f>
        <v>5.5961398313015109E-2</v>
      </c>
      <c r="F47" s="89">
        <f t="shared" ref="F47:U47" si="45">F10/F14</f>
        <v>5.7625945330983343E-2</v>
      </c>
      <c r="G47" s="89">
        <f t="shared" si="45"/>
        <v>6.2622591715003853E-2</v>
      </c>
      <c r="H47" s="89">
        <f t="shared" si="45"/>
        <v>6.2882964807506644E-2</v>
      </c>
      <c r="I47" s="89">
        <f t="shared" si="45"/>
        <v>5.7016237288718338E-2</v>
      </c>
      <c r="J47" s="89">
        <f t="shared" si="45"/>
        <v>6.3202850495232332E-2</v>
      </c>
      <c r="K47" s="89">
        <f t="shared" si="45"/>
        <v>6.717221831323715E-2</v>
      </c>
      <c r="L47" s="89">
        <f t="shared" si="45"/>
        <v>6.251502087019753E-2</v>
      </c>
      <c r="M47" s="89">
        <f t="shared" si="45"/>
        <v>6.719138694912051E-2</v>
      </c>
      <c r="N47" s="212">
        <f t="shared" si="45"/>
        <v>4.4413711863687269E-2</v>
      </c>
      <c r="O47" s="212">
        <f t="shared" si="45"/>
        <v>3.8820270638481244E-2</v>
      </c>
      <c r="P47" s="212">
        <f t="shared" si="45"/>
        <v>3.3315932714690528E-2</v>
      </c>
      <c r="Q47" s="212">
        <f t="shared" si="45"/>
        <v>2.4733220297910235E-2</v>
      </c>
      <c r="R47" s="212">
        <f t="shared" si="45"/>
        <v>1.9664810744482467E-2</v>
      </c>
      <c r="S47" s="212">
        <f t="shared" si="45"/>
        <v>1.9146351061713206E-2</v>
      </c>
      <c r="T47" s="212">
        <f t="shared" si="45"/>
        <v>1.2142755301978827E-2</v>
      </c>
      <c r="U47" s="212">
        <f t="shared" si="45"/>
        <v>4.8456121512515564E-3</v>
      </c>
    </row>
    <row r="48" spans="1:89">
      <c r="A48" s="182" t="s">
        <v>340</v>
      </c>
      <c r="B48" s="64"/>
      <c r="C48" s="64"/>
      <c r="D48" s="64"/>
      <c r="E48" s="89">
        <f>E11/E14</f>
        <v>3.3160954196844758E-3</v>
      </c>
      <c r="F48" s="89">
        <f t="shared" ref="F48:U48" si="46">F11/F14</f>
        <v>3.3018210131982185E-3</v>
      </c>
      <c r="G48" s="89">
        <f t="shared" si="46"/>
        <v>9.2401457747596696E-3</v>
      </c>
      <c r="H48" s="89">
        <f t="shared" si="46"/>
        <v>1.4270903876694751E-2</v>
      </c>
      <c r="I48" s="89">
        <f t="shared" si="46"/>
        <v>1.890413520279079E-2</v>
      </c>
      <c r="J48" s="89">
        <f t="shared" si="46"/>
        <v>2.3440356413381141E-2</v>
      </c>
      <c r="K48" s="89">
        <f t="shared" si="46"/>
        <v>2.6526366793122612E-2</v>
      </c>
      <c r="L48" s="89">
        <f t="shared" si="46"/>
        <v>2.4402875815083984E-2</v>
      </c>
      <c r="M48" s="89">
        <f t="shared" si="46"/>
        <v>2.8312830541803415E-2</v>
      </c>
      <c r="N48" s="212">
        <f t="shared" si="46"/>
        <v>4.7082995433429746E-2</v>
      </c>
      <c r="O48" s="212">
        <f t="shared" si="46"/>
        <v>0</v>
      </c>
      <c r="P48" s="212">
        <f t="shared" si="46"/>
        <v>0</v>
      </c>
      <c r="Q48" s="212">
        <f t="shared" si="46"/>
        <v>0</v>
      </c>
      <c r="R48" s="212">
        <f t="shared" si="46"/>
        <v>0</v>
      </c>
      <c r="S48" s="212">
        <f t="shared" si="46"/>
        <v>0</v>
      </c>
      <c r="T48" s="212">
        <f t="shared" si="46"/>
        <v>0</v>
      </c>
      <c r="U48" s="212">
        <f t="shared" si="46"/>
        <v>0</v>
      </c>
    </row>
    <row r="49" spans="1:21">
      <c r="A49" s="182" t="s">
        <v>341</v>
      </c>
      <c r="B49" s="64"/>
      <c r="C49" s="64"/>
      <c r="D49" s="64"/>
      <c r="E49" s="89">
        <f>E12/E14</f>
        <v>5.9277493732699582E-2</v>
      </c>
      <c r="F49" s="89">
        <f t="shared" ref="F49:U49" si="47">F12/F14</f>
        <v>6.092776634418156E-2</v>
      </c>
      <c r="G49" s="89">
        <f t="shared" si="47"/>
        <v>7.1862737489763517E-2</v>
      </c>
      <c r="H49" s="89">
        <f t="shared" si="47"/>
        <v>7.715386868420139E-2</v>
      </c>
      <c r="I49" s="89">
        <f t="shared" si="47"/>
        <v>7.5920372491509125E-2</v>
      </c>
      <c r="J49" s="89">
        <f t="shared" si="47"/>
        <v>8.6643206908613463E-2</v>
      </c>
      <c r="K49" s="89">
        <f t="shared" si="47"/>
        <v>9.3698585106359755E-2</v>
      </c>
      <c r="L49" s="89">
        <f t="shared" si="47"/>
        <v>8.691789668528152E-2</v>
      </c>
      <c r="M49" s="89">
        <f t="shared" si="47"/>
        <v>9.5504217490923915E-2</v>
      </c>
      <c r="N49" s="212">
        <f t="shared" si="47"/>
        <v>9.1496707297117008E-2</v>
      </c>
      <c r="O49" s="212">
        <f t="shared" si="47"/>
        <v>3.8820270638481244E-2</v>
      </c>
      <c r="P49" s="212">
        <f t="shared" si="47"/>
        <v>3.3315932714690528E-2</v>
      </c>
      <c r="Q49" s="212">
        <f t="shared" si="47"/>
        <v>2.4733220297910235E-2</v>
      </c>
      <c r="R49" s="212">
        <f t="shared" si="47"/>
        <v>1.9664810744482467E-2</v>
      </c>
      <c r="S49" s="212">
        <f t="shared" si="47"/>
        <v>1.9146351061713206E-2</v>
      </c>
      <c r="T49" s="212">
        <f t="shared" si="47"/>
        <v>1.2142755301978827E-2</v>
      </c>
      <c r="U49" s="212">
        <f t="shared" si="47"/>
        <v>4.8456121512515564E-3</v>
      </c>
    </row>
    <row r="50" spans="1:21">
      <c r="A50" s="182" t="s">
        <v>345</v>
      </c>
      <c r="B50" s="64"/>
      <c r="C50" s="64"/>
      <c r="D50" s="64"/>
      <c r="E50" s="89">
        <f>E13/E14</f>
        <v>0.94072250626730036</v>
      </c>
      <c r="F50" s="89">
        <f t="shared" ref="F50:U50" si="48">F13/F14</f>
        <v>0.93907223365581849</v>
      </c>
      <c r="G50" s="89">
        <f t="shared" si="48"/>
        <v>0.92813726251023654</v>
      </c>
      <c r="H50" s="89">
        <f t="shared" si="48"/>
        <v>0.92284613131579862</v>
      </c>
      <c r="I50" s="89">
        <f t="shared" si="48"/>
        <v>0.92407962750849082</v>
      </c>
      <c r="J50" s="89">
        <f t="shared" si="48"/>
        <v>0.91335679309138651</v>
      </c>
      <c r="K50" s="89">
        <f t="shared" si="48"/>
        <v>0.90630141489364024</v>
      </c>
      <c r="L50" s="89">
        <f t="shared" si="48"/>
        <v>0.91308210331471851</v>
      </c>
      <c r="M50" s="89">
        <f t="shared" si="48"/>
        <v>0.90449578250907603</v>
      </c>
      <c r="N50" s="212">
        <f t="shared" si="48"/>
        <v>0.90850329270288299</v>
      </c>
      <c r="O50" s="212">
        <f t="shared" si="48"/>
        <v>0.96117972936151874</v>
      </c>
      <c r="P50" s="212">
        <f t="shared" si="48"/>
        <v>0.96668406728530942</v>
      </c>
      <c r="Q50" s="212">
        <f t="shared" si="48"/>
        <v>0.97526677970208975</v>
      </c>
      <c r="R50" s="212">
        <f t="shared" si="48"/>
        <v>0.98033518925551755</v>
      </c>
      <c r="S50" s="212">
        <f t="shared" si="48"/>
        <v>0.98085364893828675</v>
      </c>
      <c r="T50" s="212">
        <f t="shared" si="48"/>
        <v>0.98785724469802116</v>
      </c>
      <c r="U50" s="212">
        <f t="shared" si="48"/>
        <v>0.99515438784874843</v>
      </c>
    </row>
    <row r="51" spans="1:21">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c r="A54" s="227" t="s">
        <v>638</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c r="A55" s="182" t="s">
        <v>642</v>
      </c>
      <c r="B55" s="64"/>
      <c r="C55" s="64"/>
      <c r="D55" s="64"/>
      <c r="E55" s="212">
        <f>E2/E9</f>
        <v>0.18638287154125796</v>
      </c>
      <c r="F55" s="212">
        <f t="shared" ref="F55:U55" si="51">F2/F9</f>
        <v>0.22755163151514304</v>
      </c>
      <c r="G55" s="212">
        <f t="shared" si="51"/>
        <v>0.20981251843685791</v>
      </c>
      <c r="H55" s="212">
        <f t="shared" si="51"/>
        <v>0.17369774547664296</v>
      </c>
      <c r="I55" s="212">
        <f t="shared" si="51"/>
        <v>0.16765007709960444</v>
      </c>
      <c r="J55" s="212">
        <f t="shared" si="51"/>
        <v>0.13567650396002889</v>
      </c>
      <c r="K55" s="212">
        <f t="shared" si="51"/>
        <v>0.11842347713281993</v>
      </c>
      <c r="L55" s="212">
        <f t="shared" si="51"/>
        <v>9.7111201547851397E-2</v>
      </c>
      <c r="M55" s="212">
        <f t="shared" si="51"/>
        <v>0.12368891487980024</v>
      </c>
      <c r="N55" s="212">
        <f t="shared" si="51"/>
        <v>9.5039961657603339E-2</v>
      </c>
      <c r="O55" s="212">
        <f t="shared" si="51"/>
        <v>4.9613817520612134E-2</v>
      </c>
      <c r="P55" s="212">
        <f t="shared" si="51"/>
        <v>7.5227710261018252E-2</v>
      </c>
      <c r="Q55" s="212">
        <f t="shared" si="51"/>
        <v>7.9431481421302449E-2</v>
      </c>
      <c r="R55" s="212">
        <f t="shared" si="51"/>
        <v>6.3691191035259803E-2</v>
      </c>
      <c r="S55" s="212">
        <f t="shared" si="51"/>
        <v>4.4010935965926021E-2</v>
      </c>
      <c r="T55" s="212">
        <f t="shared" si="51"/>
        <v>4.8339743336485178E-2</v>
      </c>
      <c r="U55" s="212">
        <f t="shared" si="51"/>
        <v>7.0737596523572019E-2</v>
      </c>
    </row>
    <row r="56" spans="1:21">
      <c r="A56" s="182" t="s">
        <v>643</v>
      </c>
      <c r="B56" s="64"/>
      <c r="C56" s="64"/>
      <c r="D56" s="64"/>
      <c r="E56" s="212">
        <f>E4/E9</f>
        <v>0.1388114920201127</v>
      </c>
      <c r="F56" s="212">
        <f t="shared" ref="F56:U56" si="52">F4/F9</f>
        <v>0.14250080276331875</v>
      </c>
      <c r="G56" s="212">
        <f t="shared" si="52"/>
        <v>0.16056316052682745</v>
      </c>
      <c r="H56" s="212">
        <f t="shared" si="52"/>
        <v>0.14434397094525633</v>
      </c>
      <c r="I56" s="212">
        <f t="shared" si="52"/>
        <v>0.13140806863025956</v>
      </c>
      <c r="J56" s="212">
        <f t="shared" si="52"/>
        <v>0.16675493925975038</v>
      </c>
      <c r="K56" s="212">
        <f t="shared" si="52"/>
        <v>0.19227724854182429</v>
      </c>
      <c r="L56" s="212">
        <f t="shared" si="52"/>
        <v>0.16209969274834837</v>
      </c>
      <c r="M56" s="212">
        <f t="shared" si="52"/>
        <v>0.15523282048575263</v>
      </c>
      <c r="N56" s="212">
        <f t="shared" si="52"/>
        <v>0.15935439688474379</v>
      </c>
      <c r="O56" s="212">
        <f t="shared" si="52"/>
        <v>0.1396962666906591</v>
      </c>
      <c r="P56" s="212">
        <f t="shared" si="52"/>
        <v>0.17881155421691852</v>
      </c>
      <c r="Q56" s="212">
        <f t="shared" si="52"/>
        <v>0.16569998476416392</v>
      </c>
      <c r="R56" s="212">
        <f t="shared" si="52"/>
        <v>0.16622280924885643</v>
      </c>
      <c r="S56" s="212">
        <f t="shared" si="52"/>
        <v>0.32672230191598894</v>
      </c>
      <c r="T56" s="212">
        <f t="shared" si="52"/>
        <v>0.32065721166681727</v>
      </c>
      <c r="U56" s="212">
        <f t="shared" si="52"/>
        <v>0.30718146654463918</v>
      </c>
    </row>
    <row r="57" spans="1:21">
      <c r="A57" s="182" t="s">
        <v>644</v>
      </c>
      <c r="B57" s="64"/>
      <c r="C57" s="64"/>
      <c r="D57" s="64"/>
      <c r="E57" s="212">
        <f>E5/E9</f>
        <v>0.3204044548636919</v>
      </c>
      <c r="F57" s="212">
        <f t="shared" ref="F57:U57" si="53">F5/F9</f>
        <v>0.29943718310739226</v>
      </c>
      <c r="G57" s="212">
        <f t="shared" si="53"/>
        <v>0.31117175346993314</v>
      </c>
      <c r="H57" s="212">
        <f t="shared" si="53"/>
        <v>0.31576554329983098</v>
      </c>
      <c r="I57" s="212">
        <f t="shared" si="53"/>
        <v>0.28748464895965475</v>
      </c>
      <c r="J57" s="212">
        <f t="shared" si="53"/>
        <v>0.31958155995877952</v>
      </c>
      <c r="K57" s="212">
        <f t="shared" si="53"/>
        <v>0.33003306229713392</v>
      </c>
      <c r="L57" s="212">
        <f t="shared" si="53"/>
        <v>0.31328891623239624</v>
      </c>
      <c r="M57" s="212">
        <f t="shared" si="53"/>
        <v>0.30378467705990259</v>
      </c>
      <c r="N57" s="212">
        <f t="shared" si="53"/>
        <v>0.31449469040468259</v>
      </c>
      <c r="O57" s="212">
        <f t="shared" si="53"/>
        <v>0.31554003650063139</v>
      </c>
      <c r="P57" s="212">
        <f t="shared" si="53"/>
        <v>0.30461266260192255</v>
      </c>
      <c r="Q57" s="212">
        <f t="shared" si="53"/>
        <v>0.29188519992114309</v>
      </c>
      <c r="R57" s="212">
        <f t="shared" si="53"/>
        <v>0.30594551024102862</v>
      </c>
      <c r="S57" s="212">
        <f t="shared" si="53"/>
        <v>0.55344316221635292</v>
      </c>
      <c r="T57" s="212">
        <f t="shared" si="53"/>
        <v>0.57806167080236703</v>
      </c>
      <c r="U57" s="212">
        <f t="shared" si="53"/>
        <v>0.558797312720273</v>
      </c>
    </row>
    <row r="58" spans="1:21">
      <c r="A58" s="182" t="s">
        <v>645</v>
      </c>
      <c r="B58" s="64"/>
      <c r="C58" s="64"/>
      <c r="D58" s="64"/>
      <c r="E58" s="212">
        <f>E6/E9</f>
        <v>0.18159296284357918</v>
      </c>
      <c r="F58" s="212">
        <f t="shared" ref="F58:U58" si="54">F6/F9</f>
        <v>0.15693638034407351</v>
      </c>
      <c r="G58" s="212">
        <f t="shared" si="54"/>
        <v>0.15060859294310569</v>
      </c>
      <c r="H58" s="212">
        <f t="shared" si="54"/>
        <v>0.17142157235457464</v>
      </c>
      <c r="I58" s="212">
        <f t="shared" si="54"/>
        <v>0.15607658032939517</v>
      </c>
      <c r="J58" s="212">
        <f t="shared" si="54"/>
        <v>0.15282662069902914</v>
      </c>
      <c r="K58" s="212">
        <f t="shared" si="54"/>
        <v>0.1377558137553096</v>
      </c>
      <c r="L58" s="212">
        <f t="shared" si="54"/>
        <v>0.15118922348404784</v>
      </c>
      <c r="M58" s="212">
        <f t="shared" si="54"/>
        <v>0.14855185657414993</v>
      </c>
      <c r="N58" s="212">
        <f t="shared" si="54"/>
        <v>0.15514029351993883</v>
      </c>
      <c r="O58" s="212">
        <f t="shared" si="54"/>
        <v>0.17584376980997229</v>
      </c>
      <c r="P58" s="212">
        <f t="shared" si="54"/>
        <v>0.12580110838500402</v>
      </c>
      <c r="Q58" s="212">
        <f t="shared" si="54"/>
        <v>0.12618521515697917</v>
      </c>
      <c r="R58" s="212">
        <f t="shared" si="54"/>
        <v>0.13972270099217221</v>
      </c>
      <c r="S58" s="212">
        <f t="shared" si="54"/>
        <v>0.22672086030036395</v>
      </c>
      <c r="T58" s="212">
        <f t="shared" si="54"/>
        <v>0.25740445913554977</v>
      </c>
      <c r="U58" s="212">
        <f t="shared" si="54"/>
        <v>0.25161584617563382</v>
      </c>
    </row>
    <row r="59" spans="1:21" s="223" customFormat="1">
      <c r="A59" s="225" t="s">
        <v>639</v>
      </c>
      <c r="B59" s="221"/>
      <c r="C59" s="221"/>
      <c r="D59" s="221"/>
      <c r="E59" s="222">
        <f>E55+E56</f>
        <v>0.32519436356137066</v>
      </c>
      <c r="F59" s="222">
        <f t="shared" ref="F59:U59" si="55">F55+F56</f>
        <v>0.37005243427846179</v>
      </c>
      <c r="G59" s="222">
        <f t="shared" si="55"/>
        <v>0.3703756789636854</v>
      </c>
      <c r="H59" s="222">
        <f t="shared" si="55"/>
        <v>0.31804171642189927</v>
      </c>
      <c r="I59" s="222">
        <f t="shared" si="55"/>
        <v>0.299058145729864</v>
      </c>
      <c r="J59" s="222">
        <f t="shared" si="55"/>
        <v>0.30243144321977927</v>
      </c>
      <c r="K59" s="222">
        <f t="shared" si="55"/>
        <v>0.31070072567464424</v>
      </c>
      <c r="L59" s="222">
        <f t="shared" si="55"/>
        <v>0.25921089429619976</v>
      </c>
      <c r="M59" s="222">
        <f t="shared" si="55"/>
        <v>0.27892173536555287</v>
      </c>
      <c r="N59" s="222">
        <f t="shared" si="55"/>
        <v>0.25439435854234715</v>
      </c>
      <c r="O59" s="222">
        <f t="shared" si="55"/>
        <v>0.18931008421127124</v>
      </c>
      <c r="P59" s="222">
        <f t="shared" si="55"/>
        <v>0.25403926447793679</v>
      </c>
      <c r="Q59" s="222">
        <f t="shared" si="55"/>
        <v>0.24513146618546638</v>
      </c>
      <c r="R59" s="222">
        <f t="shared" si="55"/>
        <v>0.22991400028411624</v>
      </c>
      <c r="S59" s="222">
        <f t="shared" si="55"/>
        <v>0.37073323788191498</v>
      </c>
      <c r="T59" s="222">
        <f t="shared" si="55"/>
        <v>0.36899695500330243</v>
      </c>
      <c r="U59" s="222">
        <f t="shared" si="55"/>
        <v>0.37791906306821121</v>
      </c>
    </row>
    <row r="60" spans="1:21">
      <c r="A60" s="182" t="s">
        <v>646</v>
      </c>
      <c r="B60" s="64"/>
      <c r="C60" s="64"/>
      <c r="D60" s="64"/>
      <c r="E60" s="212">
        <f>E3/E9</f>
        <v>2.3486361252408234E-2</v>
      </c>
      <c r="F60" s="212">
        <f t="shared" ref="F60:U60" si="56">F3/F9</f>
        <v>1.4157494194139E-2</v>
      </c>
      <c r="G60" s="212">
        <f t="shared" si="56"/>
        <v>1.314176465314845E-2</v>
      </c>
      <c r="H60" s="212">
        <f t="shared" si="56"/>
        <v>8.5385654481054257E-3</v>
      </c>
      <c r="I60" s="212">
        <f t="shared" si="56"/>
        <v>1.248362203021313E-2</v>
      </c>
      <c r="J60" s="212">
        <f t="shared" si="56"/>
        <v>3.7693635573406532E-3</v>
      </c>
      <c r="K60" s="212">
        <f t="shared" si="56"/>
        <v>3.7537406134567383E-3</v>
      </c>
      <c r="L60" s="212">
        <f t="shared" si="56"/>
        <v>3.4164026141117576E-2</v>
      </c>
      <c r="M60" s="212">
        <f t="shared" si="56"/>
        <v>0</v>
      </c>
      <c r="N60" s="212">
        <f t="shared" si="56"/>
        <v>0</v>
      </c>
      <c r="O60" s="212">
        <f t="shared" si="56"/>
        <v>0</v>
      </c>
      <c r="P60" s="212">
        <f t="shared" si="56"/>
        <v>0</v>
      </c>
      <c r="Q60" s="212">
        <f t="shared" si="56"/>
        <v>0</v>
      </c>
      <c r="R60" s="212">
        <f t="shared" si="56"/>
        <v>1.8947269737401061E-3</v>
      </c>
      <c r="S60" s="212">
        <f t="shared" si="56"/>
        <v>0</v>
      </c>
      <c r="T60" s="212">
        <f t="shared" si="56"/>
        <v>0</v>
      </c>
      <c r="U60" s="212">
        <f t="shared" si="56"/>
        <v>0</v>
      </c>
    </row>
    <row r="61" spans="1:21">
      <c r="A61" s="182" t="s">
        <v>647</v>
      </c>
      <c r="B61" s="64"/>
      <c r="C61" s="64"/>
      <c r="D61" s="64"/>
      <c r="E61" s="212">
        <f>E7/E9</f>
        <v>0.65131927518622101</v>
      </c>
      <c r="F61" s="212">
        <f t="shared" ref="F61:U61" si="57">F7/F9</f>
        <v>0.61579007152739929</v>
      </c>
      <c r="G61" s="212">
        <f t="shared" si="57"/>
        <v>0.61648255638316618</v>
      </c>
      <c r="H61" s="212">
        <f t="shared" si="57"/>
        <v>0.67341971812999535</v>
      </c>
      <c r="I61" s="212">
        <f t="shared" si="57"/>
        <v>0.68845823223992286</v>
      </c>
      <c r="J61" s="212">
        <f t="shared" si="57"/>
        <v>0.69379919322288008</v>
      </c>
      <c r="K61" s="212">
        <f t="shared" si="57"/>
        <v>0.68554553371189897</v>
      </c>
      <c r="L61" s="212">
        <f t="shared" si="57"/>
        <v>0.70662507956268261</v>
      </c>
      <c r="M61" s="212">
        <f t="shared" si="57"/>
        <v>0.72107826463444713</v>
      </c>
      <c r="N61" s="212">
        <f t="shared" si="57"/>
        <v>0.74560564145765285</v>
      </c>
      <c r="O61" s="212">
        <f t="shared" si="57"/>
        <v>0.81068991578872873</v>
      </c>
      <c r="P61" s="212">
        <f t="shared" si="57"/>
        <v>0.74596073552206321</v>
      </c>
      <c r="Q61" s="212">
        <f t="shared" si="57"/>
        <v>0.75486853381453356</v>
      </c>
      <c r="R61" s="212">
        <f t="shared" si="57"/>
        <v>0.76819127274214372</v>
      </c>
      <c r="S61" s="212">
        <f t="shared" si="57"/>
        <v>0.62926676211808497</v>
      </c>
      <c r="T61" s="212">
        <f t="shared" si="57"/>
        <v>0.63100304499669768</v>
      </c>
      <c r="U61" s="212">
        <f t="shared" si="57"/>
        <v>0.6220809369317889</v>
      </c>
    </row>
    <row r="62" spans="1:21" s="223" customFormat="1">
      <c r="A62" s="225" t="s">
        <v>640</v>
      </c>
      <c r="B62" s="221"/>
      <c r="C62" s="221"/>
      <c r="D62" s="221"/>
      <c r="E62" s="222">
        <f>E60+E61</f>
        <v>0.67480563643862923</v>
      </c>
      <c r="F62" s="222">
        <f t="shared" ref="F62:M62" si="58">F60+F61</f>
        <v>0.62994756572153832</v>
      </c>
      <c r="G62" s="222">
        <f t="shared" si="58"/>
        <v>0.6296243210363146</v>
      </c>
      <c r="H62" s="222">
        <f t="shared" si="58"/>
        <v>0.68195828357810073</v>
      </c>
      <c r="I62" s="222">
        <f t="shared" si="58"/>
        <v>0.700941854270136</v>
      </c>
      <c r="J62" s="222">
        <f t="shared" si="58"/>
        <v>0.69756855678022078</v>
      </c>
      <c r="K62" s="222">
        <f t="shared" si="58"/>
        <v>0.68929927432535576</v>
      </c>
      <c r="L62" s="222">
        <f t="shared" si="58"/>
        <v>0.74078910570380019</v>
      </c>
      <c r="M62" s="222">
        <f t="shared" si="58"/>
        <v>0.72107826463444713</v>
      </c>
      <c r="N62" s="222">
        <f t="shared" ref="N62" si="59">N60+N61</f>
        <v>0.74560564145765285</v>
      </c>
      <c r="O62" s="222">
        <f t="shared" ref="O62" si="60">O60+O61</f>
        <v>0.81068991578872873</v>
      </c>
      <c r="P62" s="222">
        <f t="shared" ref="P62" si="61">P60+P61</f>
        <v>0.74596073552206321</v>
      </c>
      <c r="Q62" s="222">
        <f t="shared" ref="Q62" si="62">Q60+Q61</f>
        <v>0.75486853381453356</v>
      </c>
      <c r="R62" s="222">
        <f t="shared" ref="R62" si="63">R60+R61</f>
        <v>0.77008599971588387</v>
      </c>
      <c r="S62" s="222">
        <f t="shared" ref="S62" si="64">S60+S61</f>
        <v>0.62926676211808497</v>
      </c>
      <c r="T62" s="222">
        <f t="shared" ref="T62" si="65">T60+T61</f>
        <v>0.63100304499669768</v>
      </c>
      <c r="U62" s="222">
        <f t="shared" ref="U62" si="66">U60+U61</f>
        <v>0.6220809369317889</v>
      </c>
    </row>
    <row r="63" spans="1:21">
      <c r="A63" s="224" t="s">
        <v>641</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c r="A64" s="287" t="s">
        <v>697</v>
      </c>
      <c r="B64" s="288"/>
      <c r="C64" s="288"/>
      <c r="D64" s="288"/>
      <c r="E64" s="288"/>
      <c r="F64" s="288"/>
      <c r="G64" s="288"/>
      <c r="H64" s="288"/>
      <c r="I64" s="288"/>
      <c r="J64" s="288"/>
      <c r="K64" s="288"/>
      <c r="L64" s="288"/>
      <c r="M64" s="288"/>
      <c r="N64" s="288"/>
      <c r="O64" s="288"/>
      <c r="P64" s="288"/>
      <c r="Q64" s="288"/>
      <c r="R64" s="288"/>
      <c r="S64" s="288"/>
      <c r="T64" s="288"/>
      <c r="U64" s="288"/>
    </row>
    <row r="66" spans="1:21" s="9" customFormat="1">
      <c r="A66" s="230" t="s">
        <v>648</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c r="A67" s="17" t="s">
        <v>649</v>
      </c>
      <c r="E67" s="191">
        <f>E10</f>
        <v>303762420</v>
      </c>
      <c r="F67" s="191">
        <f t="shared" ref="F67:U67" si="68">F10</f>
        <v>314149983.24000001</v>
      </c>
      <c r="G67" s="191">
        <f t="shared" si="68"/>
        <v>338861492.24000001</v>
      </c>
      <c r="H67" s="191">
        <f t="shared" si="68"/>
        <v>308446302.66999996</v>
      </c>
      <c r="I67" s="191">
        <f t="shared" si="68"/>
        <v>271446501.03999996</v>
      </c>
      <c r="J67" s="191">
        <f t="shared" si="68"/>
        <v>296595897.76999998</v>
      </c>
      <c r="K67" s="191">
        <f t="shared" si="68"/>
        <v>316535142.36000001</v>
      </c>
      <c r="L67" s="191">
        <f t="shared" si="68"/>
        <v>281796799.19</v>
      </c>
      <c r="M67" s="191">
        <f t="shared" si="68"/>
        <v>296647251.72000003</v>
      </c>
      <c r="N67" s="191">
        <f t="shared" si="68"/>
        <v>188661368.94999999</v>
      </c>
      <c r="O67" s="191">
        <f t="shared" si="68"/>
        <v>150586152.59</v>
      </c>
      <c r="P67" s="191">
        <f t="shared" si="68"/>
        <v>127226509.59</v>
      </c>
      <c r="Q67" s="191">
        <f t="shared" si="68"/>
        <v>92215531.510000005</v>
      </c>
      <c r="R67" s="191">
        <f t="shared" si="68"/>
        <v>70575188.359999999</v>
      </c>
      <c r="S67" s="191">
        <f t="shared" si="68"/>
        <v>33177945.210000001</v>
      </c>
      <c r="T67" s="191">
        <f t="shared" si="68"/>
        <v>20500000</v>
      </c>
      <c r="U67" s="191">
        <f t="shared" si="68"/>
        <v>8016000</v>
      </c>
    </row>
    <row r="68" spans="1:21">
      <c r="A68" s="17" t="s">
        <v>650</v>
      </c>
      <c r="E68" s="191">
        <f>E11</f>
        <v>18000000</v>
      </c>
      <c r="F68" s="191">
        <f t="shared" ref="F68:U68" si="69">F11</f>
        <v>18000000</v>
      </c>
      <c r="G68" s="191">
        <f t="shared" si="69"/>
        <v>50000000</v>
      </c>
      <c r="H68" s="191">
        <f t="shared" si="69"/>
        <v>70000000</v>
      </c>
      <c r="I68" s="191">
        <f t="shared" si="69"/>
        <v>90000000</v>
      </c>
      <c r="J68" s="191">
        <f t="shared" si="69"/>
        <v>110000000</v>
      </c>
      <c r="K68" s="191">
        <f t="shared" si="69"/>
        <v>125000000</v>
      </c>
      <c r="L68" s="191">
        <f t="shared" si="69"/>
        <v>110000000</v>
      </c>
      <c r="M68" s="191">
        <f t="shared" si="69"/>
        <v>125000000</v>
      </c>
      <c r="N68" s="191">
        <f t="shared" si="69"/>
        <v>200000000</v>
      </c>
      <c r="O68" s="191">
        <f t="shared" si="69"/>
        <v>0</v>
      </c>
      <c r="P68" s="191">
        <f t="shared" si="69"/>
        <v>0</v>
      </c>
      <c r="Q68" s="191">
        <f t="shared" si="69"/>
        <v>0</v>
      </c>
      <c r="R68" s="191">
        <f t="shared" si="69"/>
        <v>0</v>
      </c>
      <c r="S68" s="191">
        <f t="shared" si="69"/>
        <v>0</v>
      </c>
      <c r="T68" s="191">
        <f t="shared" si="69"/>
        <v>0</v>
      </c>
      <c r="U68" s="191">
        <f t="shared" si="69"/>
        <v>0</v>
      </c>
    </row>
    <row r="69" spans="1:21">
      <c r="A69" s="17" t="s">
        <v>651</v>
      </c>
      <c r="E69" s="191">
        <f>E12</f>
        <v>321762420</v>
      </c>
      <c r="F69" s="191">
        <f t="shared" ref="F69:U69" si="70">F12</f>
        <v>332149983.24000001</v>
      </c>
      <c r="G69" s="191">
        <f t="shared" si="70"/>
        <v>388861492.24000001</v>
      </c>
      <c r="H69" s="191">
        <f t="shared" si="70"/>
        <v>378446302.66999996</v>
      </c>
      <c r="I69" s="191">
        <f t="shared" si="70"/>
        <v>361446501.03999996</v>
      </c>
      <c r="J69" s="191">
        <f t="shared" si="70"/>
        <v>406595897.76999998</v>
      </c>
      <c r="K69" s="191">
        <f t="shared" si="70"/>
        <v>441535142.36000001</v>
      </c>
      <c r="L69" s="191">
        <f t="shared" si="70"/>
        <v>391796799.19</v>
      </c>
      <c r="M69" s="191">
        <f t="shared" si="70"/>
        <v>421647251.72000003</v>
      </c>
      <c r="N69" s="191">
        <f t="shared" si="70"/>
        <v>388661368.94999999</v>
      </c>
      <c r="O69" s="191">
        <f t="shared" si="70"/>
        <v>150586152.59</v>
      </c>
      <c r="P69" s="191">
        <f t="shared" si="70"/>
        <v>127226509.59</v>
      </c>
      <c r="Q69" s="191">
        <f t="shared" si="70"/>
        <v>92215531.510000005</v>
      </c>
      <c r="R69" s="191">
        <f t="shared" si="70"/>
        <v>70575188.359999999</v>
      </c>
      <c r="S69" s="191">
        <f t="shared" si="70"/>
        <v>33177945.210000001</v>
      </c>
      <c r="T69" s="191">
        <f t="shared" si="70"/>
        <v>20500000</v>
      </c>
      <c r="U69" s="191">
        <f t="shared" si="70"/>
        <v>8016000</v>
      </c>
    </row>
    <row r="70" spans="1:21" s="232" customFormat="1">
      <c r="A70" s="232" t="s">
        <v>654</v>
      </c>
      <c r="E70" s="232">
        <f>E69/E74</f>
        <v>5.9277493732699582E-2</v>
      </c>
      <c r="F70" s="232">
        <f t="shared" ref="F70:U70" si="71">F69/F74</f>
        <v>6.092776634418156E-2</v>
      </c>
      <c r="G70" s="232">
        <f t="shared" si="71"/>
        <v>7.1862737489763517E-2</v>
      </c>
      <c r="H70" s="232">
        <f t="shared" si="71"/>
        <v>7.715386868420139E-2</v>
      </c>
      <c r="I70" s="232">
        <f t="shared" si="71"/>
        <v>7.5920372491509125E-2</v>
      </c>
      <c r="J70" s="232">
        <f t="shared" si="71"/>
        <v>8.6643206908613463E-2</v>
      </c>
      <c r="K70" s="232">
        <f t="shared" si="71"/>
        <v>9.3698585106359755E-2</v>
      </c>
      <c r="L70" s="232">
        <f t="shared" si="71"/>
        <v>8.691789668528152E-2</v>
      </c>
      <c r="M70" s="232">
        <f t="shared" si="71"/>
        <v>9.5504217490923915E-2</v>
      </c>
      <c r="N70" s="232">
        <f t="shared" si="71"/>
        <v>9.1496707297117008E-2</v>
      </c>
      <c r="O70" s="232">
        <f t="shared" si="71"/>
        <v>3.8820270638481244E-2</v>
      </c>
      <c r="P70" s="232">
        <f t="shared" si="71"/>
        <v>3.3315932714690528E-2</v>
      </c>
      <c r="Q70" s="232">
        <f t="shared" si="71"/>
        <v>2.4733220297910235E-2</v>
      </c>
      <c r="R70" s="232">
        <f t="shared" si="71"/>
        <v>1.9664810744482467E-2</v>
      </c>
      <c r="S70" s="232">
        <f t="shared" si="71"/>
        <v>1.9146351061713206E-2</v>
      </c>
      <c r="T70" s="232">
        <f t="shared" si="71"/>
        <v>1.2142755301978827E-2</v>
      </c>
      <c r="U70" s="232">
        <f t="shared" si="71"/>
        <v>4.8456121512515564E-3</v>
      </c>
    </row>
    <row r="71" spans="1:21">
      <c r="A71" s="17" t="s">
        <v>652</v>
      </c>
      <c r="E71" s="191">
        <f>E13</f>
        <v>5106308163.6000004</v>
      </c>
      <c r="F71" s="191">
        <f t="shared" ref="F71:U71" si="72">F13</f>
        <v>5119387192.1700001</v>
      </c>
      <c r="G71" s="191">
        <f t="shared" si="72"/>
        <v>5022308549.75</v>
      </c>
      <c r="H71" s="191">
        <f t="shared" si="72"/>
        <v>4526638939.6400003</v>
      </c>
      <c r="I71" s="191">
        <f t="shared" si="72"/>
        <v>4399416613.5400009</v>
      </c>
      <c r="J71" s="191">
        <f t="shared" si="72"/>
        <v>4286165511.6599994</v>
      </c>
      <c r="K71" s="191">
        <f t="shared" si="72"/>
        <v>4270757384.3499999</v>
      </c>
      <c r="L71" s="191">
        <f t="shared" si="72"/>
        <v>4115868642.9299998</v>
      </c>
      <c r="M71" s="191">
        <f t="shared" si="72"/>
        <v>3993312242.1899996</v>
      </c>
      <c r="N71" s="191">
        <f t="shared" si="72"/>
        <v>3859156726.71</v>
      </c>
      <c r="O71" s="191">
        <f t="shared" si="72"/>
        <v>3728473681.6999998</v>
      </c>
      <c r="P71" s="191">
        <f t="shared" si="72"/>
        <v>3691562256.7199998</v>
      </c>
      <c r="Q71" s="191">
        <f t="shared" si="72"/>
        <v>3636192269.789999</v>
      </c>
      <c r="R71" s="191">
        <f t="shared" si="72"/>
        <v>3518332392.6499987</v>
      </c>
      <c r="S71" s="191">
        <f t="shared" si="72"/>
        <v>1699682018.71</v>
      </c>
      <c r="T71" s="191">
        <f t="shared" si="72"/>
        <v>1667749453.2899997</v>
      </c>
      <c r="U71" s="191">
        <f t="shared" si="72"/>
        <v>1646264150.7399998</v>
      </c>
    </row>
    <row r="72" spans="1:21" s="232" customFormat="1">
      <c r="A72" s="232" t="s">
        <v>655</v>
      </c>
      <c r="E72" s="232">
        <f>E71/E74</f>
        <v>0.94072250626730036</v>
      </c>
      <c r="F72" s="232">
        <f t="shared" ref="F72:U72" si="73">F71/F74</f>
        <v>0.93907223365581849</v>
      </c>
      <c r="G72" s="232">
        <f t="shared" si="73"/>
        <v>0.92813726251023654</v>
      </c>
      <c r="H72" s="232">
        <f t="shared" si="73"/>
        <v>0.92284613131579862</v>
      </c>
      <c r="I72" s="232">
        <f t="shared" si="73"/>
        <v>0.92407962750849082</v>
      </c>
      <c r="J72" s="232">
        <f t="shared" si="73"/>
        <v>0.91335679309138651</v>
      </c>
      <c r="K72" s="232">
        <f t="shared" si="73"/>
        <v>0.90630141489364024</v>
      </c>
      <c r="L72" s="232">
        <f t="shared" si="73"/>
        <v>0.91308210331471851</v>
      </c>
      <c r="M72" s="232">
        <f t="shared" si="73"/>
        <v>0.90449578250907603</v>
      </c>
      <c r="N72" s="232">
        <f t="shared" si="73"/>
        <v>0.90850329270288299</v>
      </c>
      <c r="O72" s="232">
        <f t="shared" si="73"/>
        <v>0.96117972936151874</v>
      </c>
      <c r="P72" s="232">
        <f t="shared" si="73"/>
        <v>0.96668406728530942</v>
      </c>
      <c r="Q72" s="232">
        <f t="shared" si="73"/>
        <v>0.97526677970208975</v>
      </c>
      <c r="R72" s="232">
        <f t="shared" si="73"/>
        <v>0.98033518925551755</v>
      </c>
      <c r="S72" s="232">
        <f t="shared" si="73"/>
        <v>0.98085364893828675</v>
      </c>
      <c r="T72" s="232">
        <f t="shared" si="73"/>
        <v>0.98785724469802116</v>
      </c>
      <c r="U72" s="232">
        <f t="shared" si="73"/>
        <v>0.99515438784874843</v>
      </c>
    </row>
    <row r="73" spans="1:21" s="234" customFormat="1">
      <c r="A73" s="233" t="s">
        <v>656</v>
      </c>
      <c r="E73" s="235">
        <f>E74/E71</f>
        <v>1.0630127304681027</v>
      </c>
      <c r="F73" s="235">
        <f t="shared" ref="F73:U73" si="74">F74/F71</f>
        <v>1.0648808091226263</v>
      </c>
      <c r="G73" s="235">
        <f t="shared" si="74"/>
        <v>1.0774268423351561</v>
      </c>
      <c r="H73" s="235">
        <f t="shared" si="74"/>
        <v>1.0836042608470331</v>
      </c>
      <c r="I73" s="235">
        <f t="shared" si="74"/>
        <v>1.0821578251824533</v>
      </c>
      <c r="J73" s="235">
        <f t="shared" si="74"/>
        <v>1.0948623884597795</v>
      </c>
      <c r="K73" s="235">
        <f t="shared" si="74"/>
        <v>1.1033856767368677</v>
      </c>
      <c r="L73" s="235">
        <f t="shared" si="74"/>
        <v>1.0951917646504599</v>
      </c>
      <c r="M73" s="235">
        <f t="shared" si="74"/>
        <v>1.1055883502585218</v>
      </c>
      <c r="N73" s="235">
        <f t="shared" si="74"/>
        <v>1.1007114757117782</v>
      </c>
      <c r="O73" s="235">
        <f t="shared" si="74"/>
        <v>1.0403881495339777</v>
      </c>
      <c r="P73" s="235">
        <f t="shared" si="74"/>
        <v>1.0344641376041812</v>
      </c>
      <c r="Q73" s="235">
        <f t="shared" si="74"/>
        <v>1.0253604662977092</v>
      </c>
      <c r="R73" s="235">
        <f t="shared" si="74"/>
        <v>1.0200592725427069</v>
      </c>
      <c r="S73" s="235">
        <f t="shared" si="74"/>
        <v>1.019520089548974</v>
      </c>
      <c r="T73" s="235">
        <f t="shared" si="74"/>
        <v>1.0122920142228553</v>
      </c>
      <c r="U73" s="235">
        <f t="shared" si="74"/>
        <v>1.0048692064371303</v>
      </c>
    </row>
    <row r="74" spans="1:21">
      <c r="A74" s="17" t="s">
        <v>653</v>
      </c>
      <c r="E74" s="191">
        <f>E14</f>
        <v>5428070583.6000004</v>
      </c>
      <c r="F74" s="191">
        <f t="shared" ref="F74:U74" si="75">F14</f>
        <v>5451537175.4099998</v>
      </c>
      <c r="G74" s="191">
        <f t="shared" si="75"/>
        <v>5411170041.9899998</v>
      </c>
      <c r="H74" s="191">
        <f t="shared" si="75"/>
        <v>4905085242.3100004</v>
      </c>
      <c r="I74" s="191">
        <f t="shared" si="75"/>
        <v>4760863114.5800009</v>
      </c>
      <c r="J74" s="191">
        <f t="shared" si="75"/>
        <v>4692761409.4299994</v>
      </c>
      <c r="K74" s="191">
        <f t="shared" si="75"/>
        <v>4712292526.71</v>
      </c>
      <c r="L74" s="191">
        <f t="shared" si="75"/>
        <v>4507665442.1199999</v>
      </c>
      <c r="M74" s="191">
        <f t="shared" si="75"/>
        <v>4414959493.9099998</v>
      </c>
      <c r="N74" s="191">
        <f t="shared" si="75"/>
        <v>4247818095.6599998</v>
      </c>
      <c r="O74" s="191">
        <f t="shared" si="75"/>
        <v>3879059834.29</v>
      </c>
      <c r="P74" s="191">
        <f t="shared" si="75"/>
        <v>3818788766.3099999</v>
      </c>
      <c r="Q74" s="191">
        <f t="shared" si="75"/>
        <v>3728407801.2999992</v>
      </c>
      <c r="R74" s="191">
        <f t="shared" si="75"/>
        <v>3588907581.0099988</v>
      </c>
      <c r="S74" s="191">
        <f t="shared" si="75"/>
        <v>1732859963.9200001</v>
      </c>
      <c r="T74" s="191">
        <f t="shared" si="75"/>
        <v>1688249453.2899997</v>
      </c>
      <c r="U74" s="191">
        <f t="shared" si="75"/>
        <v>1654280150.7399998</v>
      </c>
    </row>
    <row r="75" spans="1:21" ht="83.45" customHeight="1">
      <c r="A75" s="285" t="s">
        <v>698</v>
      </c>
      <c r="B75" s="284"/>
      <c r="C75" s="284"/>
      <c r="D75" s="284"/>
      <c r="E75" s="284"/>
      <c r="F75" s="284"/>
      <c r="G75" s="284"/>
      <c r="H75" s="284"/>
      <c r="I75" s="284"/>
      <c r="J75" s="284"/>
      <c r="K75" s="284"/>
      <c r="L75" s="284"/>
      <c r="M75" s="284"/>
      <c r="N75" s="284"/>
      <c r="O75" s="284"/>
      <c r="P75" s="284"/>
      <c r="Q75" s="284"/>
      <c r="R75" s="284"/>
      <c r="S75" s="284"/>
      <c r="T75" s="284"/>
      <c r="U75" s="284"/>
    </row>
    <row r="77" spans="1:21" s="236" customFormat="1">
      <c r="A77" s="237" t="s">
        <v>657</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c r="A78" s="182" t="s">
        <v>649</v>
      </c>
      <c r="B78" s="64"/>
      <c r="C78" s="64"/>
      <c r="D78" s="64"/>
      <c r="E78" s="88">
        <f>E10</f>
        <v>303762420</v>
      </c>
      <c r="F78" s="88">
        <f t="shared" ref="F78:U78" si="77">F10</f>
        <v>314149983.24000001</v>
      </c>
      <c r="G78" s="88">
        <f t="shared" si="77"/>
        <v>338861492.24000001</v>
      </c>
      <c r="H78" s="88">
        <f t="shared" si="77"/>
        <v>308446302.66999996</v>
      </c>
      <c r="I78" s="88">
        <f t="shared" si="77"/>
        <v>271446501.03999996</v>
      </c>
      <c r="J78" s="88">
        <f t="shared" si="77"/>
        <v>296595897.76999998</v>
      </c>
      <c r="K78" s="88">
        <f t="shared" si="77"/>
        <v>316535142.36000001</v>
      </c>
      <c r="L78" s="88">
        <f t="shared" si="77"/>
        <v>281796799.19</v>
      </c>
      <c r="M78" s="88">
        <f t="shared" si="77"/>
        <v>296647251.72000003</v>
      </c>
      <c r="N78" s="88">
        <f t="shared" si="77"/>
        <v>188661368.94999999</v>
      </c>
      <c r="O78" s="88">
        <f t="shared" si="77"/>
        <v>150586152.59</v>
      </c>
      <c r="P78" s="88">
        <f t="shared" si="77"/>
        <v>127226509.59</v>
      </c>
      <c r="Q78" s="88">
        <f t="shared" si="77"/>
        <v>92215531.510000005</v>
      </c>
      <c r="R78" s="88">
        <f t="shared" si="77"/>
        <v>70575188.359999999</v>
      </c>
      <c r="S78" s="88">
        <f t="shared" si="77"/>
        <v>33177945.210000001</v>
      </c>
      <c r="T78" s="88">
        <f t="shared" si="77"/>
        <v>20500000</v>
      </c>
      <c r="U78" s="88">
        <f t="shared" si="77"/>
        <v>8016000</v>
      </c>
    </row>
    <row r="79" spans="1:21">
      <c r="A79" s="182" t="s">
        <v>658</v>
      </c>
      <c r="B79" s="64"/>
      <c r="C79" s="64"/>
      <c r="D79" s="64"/>
      <c r="E79" s="88">
        <f>E78</f>
        <v>303762420</v>
      </c>
      <c r="F79" s="88">
        <f t="shared" ref="F79:U79" si="78">F78</f>
        <v>314149983.24000001</v>
      </c>
      <c r="G79" s="88">
        <f t="shared" si="78"/>
        <v>338861492.24000001</v>
      </c>
      <c r="H79" s="88">
        <f t="shared" si="78"/>
        <v>308446302.66999996</v>
      </c>
      <c r="I79" s="88">
        <f t="shared" si="78"/>
        <v>271446501.03999996</v>
      </c>
      <c r="J79" s="88">
        <f t="shared" si="78"/>
        <v>296595897.76999998</v>
      </c>
      <c r="K79" s="88">
        <f t="shared" si="78"/>
        <v>316535142.36000001</v>
      </c>
      <c r="L79" s="88">
        <f t="shared" si="78"/>
        <v>281796799.19</v>
      </c>
      <c r="M79" s="88">
        <f t="shared" si="78"/>
        <v>296647251.72000003</v>
      </c>
      <c r="N79" s="88">
        <f t="shared" si="78"/>
        <v>188661368.94999999</v>
      </c>
      <c r="O79" s="88">
        <f t="shared" si="78"/>
        <v>150586152.59</v>
      </c>
      <c r="P79" s="88">
        <f t="shared" si="78"/>
        <v>127226509.59</v>
      </c>
      <c r="Q79" s="88">
        <f t="shared" si="78"/>
        <v>92215531.510000005</v>
      </c>
      <c r="R79" s="88">
        <f t="shared" si="78"/>
        <v>70575188.359999999</v>
      </c>
      <c r="S79" s="88">
        <f t="shared" si="78"/>
        <v>33177945.210000001</v>
      </c>
      <c r="T79" s="88">
        <f t="shared" si="78"/>
        <v>20500000</v>
      </c>
      <c r="U79" s="88">
        <f t="shared" si="78"/>
        <v>8016000</v>
      </c>
    </row>
    <row r="80" spans="1:21" s="218" customFormat="1">
      <c r="A80" s="222" t="s">
        <v>659</v>
      </c>
      <c r="B80" s="222"/>
      <c r="C80" s="222"/>
      <c r="D80" s="222"/>
      <c r="E80" s="222">
        <f>E79/E85</f>
        <v>5.5961398313015109E-2</v>
      </c>
      <c r="F80" s="222">
        <f t="shared" ref="F80:U80" si="79">F79/F85</f>
        <v>5.7625945330983343E-2</v>
      </c>
      <c r="G80" s="222">
        <f t="shared" si="79"/>
        <v>6.2622591715003853E-2</v>
      </c>
      <c r="H80" s="222">
        <f t="shared" si="79"/>
        <v>6.2882964807506644E-2</v>
      </c>
      <c r="I80" s="222">
        <f t="shared" si="79"/>
        <v>5.7016237288718338E-2</v>
      </c>
      <c r="J80" s="222">
        <f t="shared" si="79"/>
        <v>6.3202850495232332E-2</v>
      </c>
      <c r="K80" s="222">
        <f t="shared" si="79"/>
        <v>6.717221831323715E-2</v>
      </c>
      <c r="L80" s="222">
        <f t="shared" si="79"/>
        <v>6.251502087019753E-2</v>
      </c>
      <c r="M80" s="222">
        <f t="shared" si="79"/>
        <v>6.719138694912051E-2</v>
      </c>
      <c r="N80" s="222">
        <f t="shared" si="79"/>
        <v>4.4413711863687269E-2</v>
      </c>
      <c r="O80" s="222">
        <f t="shared" si="79"/>
        <v>3.8820270638481244E-2</v>
      </c>
      <c r="P80" s="222">
        <f t="shared" si="79"/>
        <v>3.3315932714690528E-2</v>
      </c>
      <c r="Q80" s="222">
        <f t="shared" si="79"/>
        <v>2.4733220297910235E-2</v>
      </c>
      <c r="R80" s="222">
        <f t="shared" si="79"/>
        <v>1.9664810744482467E-2</v>
      </c>
      <c r="S80" s="222">
        <f t="shared" si="79"/>
        <v>1.9146351061713206E-2</v>
      </c>
      <c r="T80" s="222">
        <f t="shared" si="79"/>
        <v>1.2142755301978827E-2</v>
      </c>
      <c r="U80" s="222">
        <f t="shared" si="79"/>
        <v>4.8456121512515564E-3</v>
      </c>
    </row>
    <row r="81" spans="1:21">
      <c r="A81" s="182" t="s">
        <v>650</v>
      </c>
      <c r="B81" s="64"/>
      <c r="C81" s="64"/>
      <c r="D81" s="64"/>
      <c r="E81" s="88">
        <f>E11</f>
        <v>18000000</v>
      </c>
      <c r="F81" s="88">
        <f t="shared" ref="F81:U81" si="80">F11</f>
        <v>18000000</v>
      </c>
      <c r="G81" s="88">
        <f t="shared" si="80"/>
        <v>50000000</v>
      </c>
      <c r="H81" s="88">
        <f t="shared" si="80"/>
        <v>70000000</v>
      </c>
      <c r="I81" s="88">
        <f t="shared" si="80"/>
        <v>90000000</v>
      </c>
      <c r="J81" s="88">
        <f t="shared" si="80"/>
        <v>110000000</v>
      </c>
      <c r="K81" s="88">
        <f t="shared" si="80"/>
        <v>125000000</v>
      </c>
      <c r="L81" s="88">
        <f t="shared" si="80"/>
        <v>110000000</v>
      </c>
      <c r="M81" s="88">
        <f t="shared" si="80"/>
        <v>125000000</v>
      </c>
      <c r="N81" s="88">
        <f t="shared" si="80"/>
        <v>200000000</v>
      </c>
      <c r="O81" s="88">
        <f t="shared" si="80"/>
        <v>0</v>
      </c>
      <c r="P81" s="88">
        <f t="shared" si="80"/>
        <v>0</v>
      </c>
      <c r="Q81" s="88">
        <f t="shared" si="80"/>
        <v>0</v>
      </c>
      <c r="R81" s="88">
        <f t="shared" si="80"/>
        <v>0</v>
      </c>
      <c r="S81" s="88">
        <f t="shared" si="80"/>
        <v>0</v>
      </c>
      <c r="T81" s="88">
        <f t="shared" si="80"/>
        <v>0</v>
      </c>
      <c r="U81" s="88">
        <f t="shared" si="80"/>
        <v>0</v>
      </c>
    </row>
    <row r="82" spans="1:21">
      <c r="A82" s="182" t="s">
        <v>652</v>
      </c>
      <c r="B82" s="64"/>
      <c r="C82" s="64"/>
      <c r="D82" s="64"/>
      <c r="E82" s="88">
        <f>E13</f>
        <v>5106308163.6000004</v>
      </c>
      <c r="F82" s="88">
        <f t="shared" ref="F82:U82" si="81">F13</f>
        <v>5119387192.1700001</v>
      </c>
      <c r="G82" s="88">
        <f t="shared" si="81"/>
        <v>5022308549.75</v>
      </c>
      <c r="H82" s="88">
        <f t="shared" si="81"/>
        <v>4526638939.6400003</v>
      </c>
      <c r="I82" s="88">
        <f t="shared" si="81"/>
        <v>4399416613.5400009</v>
      </c>
      <c r="J82" s="88">
        <f t="shared" si="81"/>
        <v>4286165511.6599994</v>
      </c>
      <c r="K82" s="88">
        <f t="shared" si="81"/>
        <v>4270757384.3499999</v>
      </c>
      <c r="L82" s="88">
        <f t="shared" si="81"/>
        <v>4115868642.9299998</v>
      </c>
      <c r="M82" s="88">
        <f t="shared" si="81"/>
        <v>3993312242.1899996</v>
      </c>
      <c r="N82" s="88">
        <f t="shared" si="81"/>
        <v>3859156726.71</v>
      </c>
      <c r="O82" s="88">
        <f t="shared" si="81"/>
        <v>3728473681.6999998</v>
      </c>
      <c r="P82" s="88">
        <f t="shared" si="81"/>
        <v>3691562256.7199998</v>
      </c>
      <c r="Q82" s="88">
        <f t="shared" si="81"/>
        <v>3636192269.789999</v>
      </c>
      <c r="R82" s="88">
        <f t="shared" si="81"/>
        <v>3518332392.6499987</v>
      </c>
      <c r="S82" s="88">
        <f t="shared" si="81"/>
        <v>1699682018.71</v>
      </c>
      <c r="T82" s="88">
        <f t="shared" si="81"/>
        <v>1667749453.2899997</v>
      </c>
      <c r="U82" s="88">
        <f t="shared" si="81"/>
        <v>1646264150.7399998</v>
      </c>
    </row>
    <row r="83" spans="1:21">
      <c r="A83" s="182" t="s">
        <v>660</v>
      </c>
      <c r="B83" s="64"/>
      <c r="C83" s="64"/>
      <c r="D83" s="64"/>
      <c r="E83" s="88">
        <f>E81+E82</f>
        <v>5124308163.6000004</v>
      </c>
      <c r="F83" s="88">
        <f t="shared" ref="F83:U83" si="82">F81+F82</f>
        <v>5137387192.1700001</v>
      </c>
      <c r="G83" s="88">
        <f t="shared" si="82"/>
        <v>5072308549.75</v>
      </c>
      <c r="H83" s="88">
        <f t="shared" si="82"/>
        <v>4596638939.6400003</v>
      </c>
      <c r="I83" s="88">
        <f t="shared" si="82"/>
        <v>4489416613.5400009</v>
      </c>
      <c r="J83" s="88">
        <f t="shared" si="82"/>
        <v>4396165511.6599998</v>
      </c>
      <c r="K83" s="88">
        <f t="shared" si="82"/>
        <v>4395757384.3500004</v>
      </c>
      <c r="L83" s="88">
        <f t="shared" si="82"/>
        <v>4225868642.9299998</v>
      </c>
      <c r="M83" s="88">
        <f t="shared" si="82"/>
        <v>4118312242.1899996</v>
      </c>
      <c r="N83" s="88">
        <f t="shared" si="82"/>
        <v>4059156726.71</v>
      </c>
      <c r="O83" s="88">
        <f t="shared" si="82"/>
        <v>3728473681.6999998</v>
      </c>
      <c r="P83" s="88">
        <f t="shared" si="82"/>
        <v>3691562256.7199998</v>
      </c>
      <c r="Q83" s="88">
        <f t="shared" si="82"/>
        <v>3636192269.789999</v>
      </c>
      <c r="R83" s="88">
        <f t="shared" si="82"/>
        <v>3518332392.6499987</v>
      </c>
      <c r="S83" s="88">
        <f t="shared" si="82"/>
        <v>1699682018.71</v>
      </c>
      <c r="T83" s="88">
        <f t="shared" si="82"/>
        <v>1667749453.2899997</v>
      </c>
      <c r="U83" s="88">
        <f t="shared" si="82"/>
        <v>1646264150.7399998</v>
      </c>
    </row>
    <row r="84" spans="1:21" s="218" customFormat="1">
      <c r="A84" s="222" t="s">
        <v>661</v>
      </c>
      <c r="B84" s="222"/>
      <c r="C84" s="222"/>
      <c r="D84" s="222"/>
      <c r="E84" s="222">
        <f>E83/E85</f>
        <v>0.94403860168698495</v>
      </c>
      <c r="F84" s="222">
        <f t="shared" ref="F84:U84" si="83">F83/F85</f>
        <v>0.94237405466901669</v>
      </c>
      <c r="G84" s="222">
        <f t="shared" si="83"/>
        <v>0.93737740828499616</v>
      </c>
      <c r="H84" s="222">
        <f t="shared" si="83"/>
        <v>0.93711703519249334</v>
      </c>
      <c r="I84" s="222">
        <f t="shared" si="83"/>
        <v>0.9429837627112817</v>
      </c>
      <c r="J84" s="222">
        <f t="shared" si="83"/>
        <v>0.93679714950476778</v>
      </c>
      <c r="K84" s="222">
        <f t="shared" si="83"/>
        <v>0.93282778168676295</v>
      </c>
      <c r="L84" s="222">
        <f t="shared" si="83"/>
        <v>0.93748497912980244</v>
      </c>
      <c r="M84" s="222">
        <f t="shared" si="83"/>
        <v>0.93280861305087948</v>
      </c>
      <c r="N84" s="222">
        <f t="shared" si="83"/>
        <v>0.95558628813631274</v>
      </c>
      <c r="O84" s="222">
        <f t="shared" si="83"/>
        <v>0.96117972936151874</v>
      </c>
      <c r="P84" s="222">
        <f t="shared" si="83"/>
        <v>0.96668406728530942</v>
      </c>
      <c r="Q84" s="222">
        <f t="shared" si="83"/>
        <v>0.97526677970208975</v>
      </c>
      <c r="R84" s="222">
        <f t="shared" si="83"/>
        <v>0.98033518925551755</v>
      </c>
      <c r="S84" s="222">
        <f t="shared" si="83"/>
        <v>0.98085364893828675</v>
      </c>
      <c r="T84" s="222">
        <f t="shared" si="83"/>
        <v>0.98785724469802116</v>
      </c>
      <c r="U84" s="222">
        <f t="shared" si="83"/>
        <v>0.99515438784874843</v>
      </c>
    </row>
    <row r="85" spans="1:21">
      <c r="A85" s="182" t="s">
        <v>653</v>
      </c>
      <c r="B85" s="64"/>
      <c r="C85" s="64"/>
      <c r="D85" s="64"/>
      <c r="E85" s="88">
        <f>E14</f>
        <v>5428070583.6000004</v>
      </c>
      <c r="F85" s="88">
        <f t="shared" ref="F85:U85" si="84">F14</f>
        <v>5451537175.4099998</v>
      </c>
      <c r="G85" s="88">
        <f t="shared" si="84"/>
        <v>5411170041.9899998</v>
      </c>
      <c r="H85" s="88">
        <f t="shared" si="84"/>
        <v>4905085242.3100004</v>
      </c>
      <c r="I85" s="88">
        <f t="shared" si="84"/>
        <v>4760863114.5800009</v>
      </c>
      <c r="J85" s="88">
        <f t="shared" si="84"/>
        <v>4692761409.4299994</v>
      </c>
      <c r="K85" s="88">
        <f t="shared" si="84"/>
        <v>4712292526.71</v>
      </c>
      <c r="L85" s="88">
        <f t="shared" si="84"/>
        <v>4507665442.1199999</v>
      </c>
      <c r="M85" s="88">
        <f t="shared" si="84"/>
        <v>4414959493.9099998</v>
      </c>
      <c r="N85" s="88">
        <f t="shared" si="84"/>
        <v>4247818095.6599998</v>
      </c>
      <c r="O85" s="88">
        <f t="shared" si="84"/>
        <v>3879059834.29</v>
      </c>
      <c r="P85" s="88">
        <f t="shared" si="84"/>
        <v>3818788766.3099999</v>
      </c>
      <c r="Q85" s="88">
        <f t="shared" si="84"/>
        <v>3728407801.2999992</v>
      </c>
      <c r="R85" s="88">
        <f t="shared" si="84"/>
        <v>3588907581.0099988</v>
      </c>
      <c r="S85" s="88">
        <f t="shared" si="84"/>
        <v>1732859963.9200001</v>
      </c>
      <c r="T85" s="88">
        <f t="shared" si="84"/>
        <v>1688249453.2899997</v>
      </c>
      <c r="U85" s="88">
        <f t="shared" si="84"/>
        <v>1654280150.7399998</v>
      </c>
    </row>
    <row r="87" spans="1:21" s="56" customFormat="1" ht="85.9" customHeight="1">
      <c r="A87" s="283" t="s">
        <v>699</v>
      </c>
      <c r="B87" s="286"/>
      <c r="C87" s="286"/>
      <c r="D87" s="286"/>
      <c r="E87" s="286"/>
      <c r="F87" s="286"/>
      <c r="G87" s="286"/>
      <c r="H87" s="286"/>
      <c r="I87" s="286"/>
      <c r="J87" s="286"/>
      <c r="K87" s="286"/>
      <c r="L87" s="286"/>
      <c r="M87" s="286"/>
      <c r="N87" s="286"/>
      <c r="O87" s="286"/>
      <c r="P87" s="286"/>
      <c r="Q87" s="286"/>
      <c r="R87" s="286"/>
      <c r="S87" s="286"/>
      <c r="T87" s="286"/>
      <c r="U87" s="286"/>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topLeftCell="A61" zoomScaleNormal="100" workbookViewId="0">
      <selection activeCell="E39" sqref="E39"/>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23" bestFit="1" customWidth="1"/>
    <col min="10" max="11" width="19.375" hidden="1" customWidth="1"/>
    <col min="12" max="12" width="18.375" hidden="1" customWidth="1"/>
    <col min="13" max="13" width="23"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3" width="17.25" hidden="1" customWidth="1"/>
    <col min="24" max="24" width="18.375" hidden="1" customWidth="1"/>
    <col min="25" max="25" width="17.25" bestFit="1" customWidth="1"/>
    <col min="26" max="28" width="17.25" hidden="1" customWidth="1"/>
    <col min="29" max="29" width="17.25" bestFit="1" customWidth="1"/>
    <col min="30" max="32" width="17.25" hidden="1" customWidth="1"/>
    <col min="33" max="33" width="17.25" bestFit="1" customWidth="1"/>
    <col min="34" max="36" width="17.25" hidden="1" customWidth="1"/>
    <col min="37" max="38" width="17.25" bestFit="1" customWidth="1"/>
    <col min="39" max="39" width="9.625" hidden="1" customWidth="1"/>
    <col min="40" max="71" width="18.375" bestFit="1" customWidth="1"/>
    <col min="72" max="81" width="17.2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351</v>
      </c>
      <c r="E2" s="26">
        <f>股权价值增加表!E4</f>
        <v>3490821643.5799999</v>
      </c>
      <c r="F2" s="26">
        <f>股权价值增加表!F4</f>
        <v>2461092792.1799998</v>
      </c>
      <c r="G2" s="26">
        <f>股权价值增加表!G4</f>
        <v>1632933466.8</v>
      </c>
      <c r="H2" s="26">
        <f>股权价值增加表!H4</f>
        <v>858461043.73000002</v>
      </c>
      <c r="I2" s="26">
        <f>股权价值增加表!I4</f>
        <v>3455902430.25</v>
      </c>
      <c r="J2" s="26">
        <f>股权价值增加表!J4</f>
        <v>2541940807.8800001</v>
      </c>
      <c r="K2" s="26">
        <f>股权价值增加表!K4</f>
        <v>1698613370.6300001</v>
      </c>
      <c r="L2" s="26">
        <f>股权价值增加表!L4</f>
        <v>835124707.30999994</v>
      </c>
      <c r="M2" s="26">
        <f>股权价值增加表!M4</f>
        <v>3025827440.4899998</v>
      </c>
      <c r="N2" s="26">
        <f>股权价值增加表!N4</f>
        <v>2193259400.0599999</v>
      </c>
      <c r="O2" s="26">
        <f>股权价值增加表!O4</f>
        <v>1255221897.5799999</v>
      </c>
      <c r="P2" s="26">
        <f>股权价值增加表!P4</f>
        <v>496966166.79000002</v>
      </c>
      <c r="Q2" s="26">
        <f>股权价值增加表!Q4</f>
        <v>1712230060.6500001</v>
      </c>
      <c r="R2" s="26">
        <f>股权价值增加表!R4</f>
        <v>1124171914.4000001</v>
      </c>
      <c r="S2" s="26">
        <f>股权价值增加表!S4</f>
        <v>730223749.21000004</v>
      </c>
      <c r="T2" s="26">
        <f>股权价值增加表!T4</f>
        <v>327881464.25</v>
      </c>
      <c r="U2" s="26">
        <f>股权价值增加表!U4</f>
        <v>1227431183.24</v>
      </c>
      <c r="V2" s="26">
        <f>股权价值增加表!V4</f>
        <v>884232437.92999995</v>
      </c>
      <c r="W2" s="26">
        <f>股权价值增加表!W4</f>
        <v>577935690.87</v>
      </c>
      <c r="X2" s="26">
        <f>股权价值增加表!X4</f>
        <v>261395751.71000001</v>
      </c>
      <c r="Y2" s="26">
        <f>股权价值增加表!Y4</f>
        <v>928899703.54999995</v>
      </c>
      <c r="Z2" s="26">
        <f>股权价值增加表!Z4</f>
        <v>693511863.35000002</v>
      </c>
      <c r="AA2" s="26">
        <f>股权价值增加表!AA4</f>
        <v>466620229.04000002</v>
      </c>
      <c r="AB2" s="26">
        <f>股权价值增加表!AB4</f>
        <v>228839761.06</v>
      </c>
      <c r="AC2" s="26">
        <f>股权价值增加表!AC4</f>
        <v>998726425.88999999</v>
      </c>
      <c r="AD2" s="26">
        <f>股权价值增加表!AD4</f>
        <v>745992572.11000001</v>
      </c>
      <c r="AE2" s="26">
        <f>股权价值增加表!AE4</f>
        <v>522702359.55000001</v>
      </c>
      <c r="AF2" s="26">
        <f>股权价值增加表!AF4</f>
        <v>233658736.02000001</v>
      </c>
      <c r="AG2" s="26">
        <f>股权价值增加表!AG4</f>
        <v>907986860.39999998</v>
      </c>
      <c r="AH2" s="26">
        <f>股权价值增加表!AH4</f>
        <v>662975139.73000002</v>
      </c>
      <c r="AI2" s="26">
        <f>股权价值增加表!AI4</f>
        <v>429193147.08999997</v>
      </c>
      <c r="AJ2" s="26">
        <f>股权价值增加表!AJ4</f>
        <v>197229687.81</v>
      </c>
      <c r="AK2" s="26">
        <f>股权价值增加表!AK4</f>
        <v>568512432.92999995</v>
      </c>
      <c r="AL2" s="26">
        <f>股权价值增加表!AL4</f>
        <v>420832438.18000001</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1.0104224304583121E-2</v>
      </c>
      <c r="F3" s="66">
        <f t="shared" ref="F3:BQ3" si="0">(F2-J2)/J2</f>
        <v>-3.180562483963905E-2</v>
      </c>
      <c r="G3" s="66">
        <f t="shared" si="0"/>
        <v>-3.8666776657739418E-2</v>
      </c>
      <c r="H3" s="66">
        <f t="shared" si="0"/>
        <v>2.7943534918477248E-2</v>
      </c>
      <c r="I3" s="66">
        <f t="shared" si="0"/>
        <v>0.14213467166202784</v>
      </c>
      <c r="J3" s="66">
        <f t="shared" si="0"/>
        <v>0.15897864512080123</v>
      </c>
      <c r="K3" s="66">
        <f t="shared" si="0"/>
        <v>0.35323752230966893</v>
      </c>
      <c r="L3" s="66">
        <f t="shared" si="0"/>
        <v>0.68044579916623082</v>
      </c>
      <c r="M3" s="66">
        <f t="shared" si="0"/>
        <v>0.76718509388938616</v>
      </c>
      <c r="N3" s="66">
        <f t="shared" si="0"/>
        <v>0.95099999561063553</v>
      </c>
      <c r="O3" s="66">
        <f t="shared" si="0"/>
        <v>0.71895518180280282</v>
      </c>
      <c r="P3" s="66">
        <f t="shared" si="0"/>
        <v>0.51568850629225538</v>
      </c>
      <c r="Q3" s="66">
        <f t="shared" si="0"/>
        <v>0.39497031200583993</v>
      </c>
      <c r="R3" s="66">
        <f t="shared" si="0"/>
        <v>0.27135339779176354</v>
      </c>
      <c r="S3" s="66">
        <f t="shared" si="0"/>
        <v>0.26350346716042405</v>
      </c>
      <c r="T3" s="66">
        <f t="shared" si="0"/>
        <v>0.25434886414589153</v>
      </c>
      <c r="U3" s="66">
        <f t="shared" si="0"/>
        <v>0.32138182254671266</v>
      </c>
      <c r="V3" s="66">
        <f t="shared" si="0"/>
        <v>0.27500693882686689</v>
      </c>
      <c r="W3" s="66">
        <f t="shared" si="0"/>
        <v>0.2385568710962544</v>
      </c>
      <c r="X3" s="66">
        <f t="shared" si="0"/>
        <v>0.14226544591376356</v>
      </c>
      <c r="Y3" s="66">
        <f t="shared" si="0"/>
        <v>-6.9915765248501363E-2</v>
      </c>
      <c r="Z3" s="66">
        <f t="shared" si="0"/>
        <v>-7.0350176023282807E-2</v>
      </c>
      <c r="AA3" s="66">
        <f t="shared" si="0"/>
        <v>-0.10729266758673461</v>
      </c>
      <c r="AB3" s="66">
        <f t="shared" si="0"/>
        <v>-2.0623987966739359E-2</v>
      </c>
      <c r="AC3" s="66">
        <f t="shared" si="0"/>
        <v>9.993488831988831E-2</v>
      </c>
      <c r="AD3" s="66">
        <f t="shared" si="0"/>
        <v>0.12521952544677506</v>
      </c>
      <c r="AE3" s="66">
        <f t="shared" si="0"/>
        <v>0.2178721004610811</v>
      </c>
      <c r="AF3" s="66">
        <f t="shared" si="0"/>
        <v>0.18470367526563095</v>
      </c>
      <c r="AG3" s="66">
        <f t="shared" si="0"/>
        <v>0.59712753460890267</v>
      </c>
      <c r="AH3" s="66">
        <f t="shared" si="0"/>
        <v>0.57538982165255481</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2458183794.1599998</v>
      </c>
      <c r="F4" s="26">
        <f>股权价值增加表!F5</f>
        <v>1715152035.3900001</v>
      </c>
      <c r="G4" s="26">
        <f>股权价值增加表!G5</f>
        <v>1121382805.5699999</v>
      </c>
      <c r="H4" s="26">
        <f>股权价值增加表!H5</f>
        <v>586000060.14999998</v>
      </c>
      <c r="I4" s="26">
        <f>股权价值增加表!I5</f>
        <v>2287928997.77</v>
      </c>
      <c r="J4" s="26">
        <f>股权价值增加表!J5</f>
        <v>1691508316.01</v>
      </c>
      <c r="K4" s="26">
        <f>股权价值增加表!K5</f>
        <v>1106353465.25</v>
      </c>
      <c r="L4" s="26">
        <f>股权价值增加表!L5</f>
        <v>557933943.28999996</v>
      </c>
      <c r="M4" s="26">
        <f>股权价值增加表!M5</f>
        <v>2087752452.5999999</v>
      </c>
      <c r="N4" s="26">
        <f>股权价值增加表!N5</f>
        <v>1550136618.78</v>
      </c>
      <c r="O4" s="26">
        <f>股权价值增加表!O5</f>
        <v>900812949.77999997</v>
      </c>
      <c r="P4" s="26">
        <f>股权价值增加表!P5</f>
        <v>352753458.19999999</v>
      </c>
      <c r="Q4" s="26">
        <f>股权价值增加表!Q5</f>
        <v>1200997442.29</v>
      </c>
      <c r="R4" s="26">
        <f>股权价值增加表!R5</f>
        <v>834680907.57000005</v>
      </c>
      <c r="S4" s="26">
        <f>股权价值增加表!S5</f>
        <v>550912426.27999997</v>
      </c>
      <c r="T4" s="26">
        <f>股权价值增加表!T5</f>
        <v>249544225.88999999</v>
      </c>
      <c r="U4" s="26">
        <f>股权价值增加表!U5</f>
        <v>945671165.38</v>
      </c>
      <c r="V4" s="26">
        <f>股权价值增加表!V5</f>
        <v>683302485.5</v>
      </c>
      <c r="W4" s="26">
        <f>股权价值增加表!W5</f>
        <v>445375619.62</v>
      </c>
      <c r="X4" s="26">
        <f>股权价值增加表!X5</f>
        <v>201367084.09</v>
      </c>
      <c r="Y4" s="26">
        <f>股权价值增加表!Y5</f>
        <v>695912228.38999999</v>
      </c>
      <c r="Z4" s="26">
        <f>股权价值增加表!Z5</f>
        <v>516678454.25999999</v>
      </c>
      <c r="AA4" s="26">
        <f>股权价值增加表!AA5</f>
        <v>344398762.08999997</v>
      </c>
      <c r="AB4" s="26">
        <f>股权价值增加表!AB5</f>
        <v>171175796.47</v>
      </c>
      <c r="AC4" s="26">
        <f>股权价值增加表!AC5</f>
        <v>710767849.80999994</v>
      </c>
      <c r="AD4" s="26">
        <f>股权价值增加表!AD5</f>
        <v>521149633.97000003</v>
      </c>
      <c r="AE4" s="26">
        <f>股权价值增加表!AE5</f>
        <v>358446580.54000002</v>
      </c>
      <c r="AF4" s="26">
        <f>股权价值增加表!AF5</f>
        <v>157996905.28</v>
      </c>
      <c r="AG4" s="26">
        <f>股权价值增加表!AG5</f>
        <v>620456706.17999995</v>
      </c>
      <c r="AH4" s="26">
        <f>股权价值增加表!AH5</f>
        <v>446637078.19</v>
      </c>
      <c r="AI4" s="26">
        <f>股权价值增加表!AI5</f>
        <v>284996651.92000002</v>
      </c>
      <c r="AJ4" s="26">
        <f>股权价值增加表!AJ5</f>
        <v>129272827.68000001</v>
      </c>
      <c r="AK4" s="26">
        <f>股权价值增加表!AK5</f>
        <v>378402105.88</v>
      </c>
      <c r="AL4" s="26">
        <f>股权价值增加表!AL5</f>
        <v>271643761.92000002</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0.70418487254451023</v>
      </c>
      <c r="F5" s="66">
        <f t="shared" si="2"/>
        <v>0.6969066915476777</v>
      </c>
      <c r="G5" s="66">
        <f t="shared" si="2"/>
        <v>0.68672902379025447</v>
      </c>
      <c r="H5" s="66">
        <f t="shared" si="2"/>
        <v>0.68261695091467256</v>
      </c>
      <c r="I5" s="66">
        <f t="shared" si="2"/>
        <v>0.66203518297954123</v>
      </c>
      <c r="J5" s="66">
        <f t="shared" si="2"/>
        <v>0.66543969504181022</v>
      </c>
      <c r="K5" s="66">
        <f t="shared" si="2"/>
        <v>0.65132742057697546</v>
      </c>
      <c r="L5" s="66">
        <f t="shared" si="2"/>
        <v>0.66808458474081978</v>
      </c>
      <c r="M5" s="66">
        <f t="shared" si="2"/>
        <v>0.68997736773181984</v>
      </c>
      <c r="N5" s="66">
        <f t="shared" si="2"/>
        <v>0.70677304232121085</v>
      </c>
      <c r="O5" s="66">
        <f t="shared" si="2"/>
        <v>0.7176523541508627</v>
      </c>
      <c r="P5" s="66">
        <f t="shared" si="2"/>
        <v>0.70981382994038078</v>
      </c>
      <c r="Q5" s="66">
        <f t="shared" si="2"/>
        <v>0.70142293952839196</v>
      </c>
      <c r="R5" s="66">
        <f t="shared" si="2"/>
        <v>0.74248511004252504</v>
      </c>
      <c r="S5" s="66">
        <f t="shared" si="2"/>
        <v>0.75444331532083164</v>
      </c>
      <c r="T5" s="66">
        <f t="shared" si="2"/>
        <v>0.7610806132661706</v>
      </c>
      <c r="U5" s="66">
        <f t="shared" si="2"/>
        <v>0.77044740128220501</v>
      </c>
      <c r="V5" s="66">
        <f t="shared" si="2"/>
        <v>0.77276342304249812</v>
      </c>
      <c r="W5" s="66">
        <f t="shared" si="2"/>
        <v>0.77063179633282441</v>
      </c>
      <c r="X5" s="66">
        <f t="shared" si="2"/>
        <v>0.77035331589245737</v>
      </c>
      <c r="Y5" s="66">
        <f t="shared" si="2"/>
        <v>0.74917908330728744</v>
      </c>
      <c r="Z5" s="66">
        <f t="shared" si="2"/>
        <v>0.74501747059407386</v>
      </c>
      <c r="AA5" s="66">
        <f t="shared" si="2"/>
        <v>0.73807079216978633</v>
      </c>
      <c r="AB5" s="66">
        <f t="shared" si="2"/>
        <v>0.7480159727361323</v>
      </c>
      <c r="AC5" s="66">
        <f t="shared" si="2"/>
        <v>0.71167421967092725</v>
      </c>
      <c r="AD5" s="66">
        <f t="shared" si="2"/>
        <v>0.69859895856061438</v>
      </c>
      <c r="AE5" s="66">
        <f t="shared" si="2"/>
        <v>0.68575657635942278</v>
      </c>
      <c r="AF5" s="66">
        <f t="shared" si="2"/>
        <v>0.67618659576450102</v>
      </c>
      <c r="AG5" s="66">
        <f t="shared" si="2"/>
        <v>0.68333225208420645</v>
      </c>
      <c r="AH5" s="66">
        <f t="shared" si="2"/>
        <v>0.67368601237731962</v>
      </c>
      <c r="AI5" s="66">
        <f t="shared" si="2"/>
        <v>0.66402889666884046</v>
      </c>
      <c r="AJ5" s="66">
        <f t="shared" si="2"/>
        <v>0.6554430477248141</v>
      </c>
      <c r="AK5" s="66">
        <f t="shared" ref="AK5:BP5" si="3">AK4/AK2</f>
        <v>0.66560040548241106</v>
      </c>
      <c r="AL5" s="66">
        <f t="shared" si="3"/>
        <v>0.64549150035770664</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7.4414370618993822E-2</v>
      </c>
      <c r="F6" s="66">
        <f t="shared" ref="F6:BQ6" si="5">(F4-J4)/J4</f>
        <v>1.397789130340896E-2</v>
      </c>
      <c r="G6" s="66">
        <f t="shared" si="5"/>
        <v>1.3584573820269808E-2</v>
      </c>
      <c r="H6" s="66">
        <f t="shared" si="5"/>
        <v>5.0303655473085199E-2</v>
      </c>
      <c r="I6" s="66">
        <f t="shared" si="5"/>
        <v>9.5881360321578624E-2</v>
      </c>
      <c r="J6" s="66">
        <f t="shared" si="5"/>
        <v>9.1199508170617519E-2</v>
      </c>
      <c r="K6" s="66">
        <f t="shared" si="5"/>
        <v>0.22817224765718336</v>
      </c>
      <c r="L6" s="66">
        <f t="shared" si="5"/>
        <v>0.58165407119458812</v>
      </c>
      <c r="M6" s="66">
        <f t="shared" si="5"/>
        <v>0.73834879166701739</v>
      </c>
      <c r="N6" s="66">
        <f t="shared" si="5"/>
        <v>0.85716074816291232</v>
      </c>
      <c r="O6" s="66">
        <f t="shared" si="5"/>
        <v>0.63512911818431894</v>
      </c>
      <c r="P6" s="66">
        <f t="shared" si="5"/>
        <v>0.41359094542021185</v>
      </c>
      <c r="Q6" s="66">
        <f t="shared" si="5"/>
        <v>0.26999477858395093</v>
      </c>
      <c r="R6" s="66">
        <f t="shared" si="5"/>
        <v>0.22153939914213885</v>
      </c>
      <c r="S6" s="66">
        <f t="shared" si="5"/>
        <v>0.23696134680664666</v>
      </c>
      <c r="T6" s="66">
        <f t="shared" si="5"/>
        <v>0.23925033238534382</v>
      </c>
      <c r="U6" s="66">
        <f t="shared" si="5"/>
        <v>0.35889430707061987</v>
      </c>
      <c r="V6" s="66">
        <f t="shared" si="5"/>
        <v>0.32249076745157329</v>
      </c>
      <c r="W6" s="66">
        <f t="shared" si="5"/>
        <v>0.29319750430349184</v>
      </c>
      <c r="X6" s="66">
        <f t="shared" si="5"/>
        <v>0.1763759143676091</v>
      </c>
      <c r="Y6" s="66">
        <f t="shared" si="5"/>
        <v>-2.0900806675444184E-2</v>
      </c>
      <c r="Z6" s="66">
        <f t="shared" si="5"/>
        <v>-8.579454764152096E-3</v>
      </c>
      <c r="AA6" s="66">
        <f t="shared" si="5"/>
        <v>-3.9190828459953503E-2</v>
      </c>
      <c r="AB6" s="66">
        <f t="shared" si="5"/>
        <v>8.3412337517906082E-2</v>
      </c>
      <c r="AC6" s="66">
        <f t="shared" si="5"/>
        <v>0.14555591507105081</v>
      </c>
      <c r="AD6" s="66">
        <f t="shared" si="5"/>
        <v>0.16683020604102711</v>
      </c>
      <c r="AE6" s="66">
        <f t="shared" si="5"/>
        <v>0.25772207541798692</v>
      </c>
      <c r="AF6" s="66">
        <f t="shared" si="5"/>
        <v>0.22219733346518217</v>
      </c>
      <c r="AG6" s="66">
        <f t="shared" si="5"/>
        <v>0.63967561633169412</v>
      </c>
      <c r="AH6" s="66">
        <f t="shared" si="5"/>
        <v>0.64420149033842378</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7" t="s">
        <v>355</v>
      </c>
      <c r="E7" s="27">
        <f>股权价值增加表!E6</f>
        <v>1032637849.4200001</v>
      </c>
      <c r="F7" s="27">
        <f>股权价值增加表!F6</f>
        <v>745940756.78999972</v>
      </c>
      <c r="G7" s="27">
        <f>股权价值增加表!G6</f>
        <v>511550661.23000002</v>
      </c>
      <c r="H7" s="27">
        <f>股权价值增加表!H6</f>
        <v>272460983.58000004</v>
      </c>
      <c r="I7" s="27">
        <f>股权价值增加表!I6</f>
        <v>1167973432.48</v>
      </c>
      <c r="J7" s="27">
        <f>股权价值增加表!J6</f>
        <v>850432491.87000012</v>
      </c>
      <c r="K7" s="27">
        <f>股权价值增加表!K6</f>
        <v>592259905.38000011</v>
      </c>
      <c r="L7" s="27">
        <f>股权价值增加表!L6</f>
        <v>277190764.01999998</v>
      </c>
      <c r="M7" s="27">
        <f>股权价值增加表!M6</f>
        <v>938074987.88999987</v>
      </c>
      <c r="N7" s="27">
        <f>股权价值增加表!N6</f>
        <v>643122781.27999997</v>
      </c>
      <c r="O7" s="27">
        <f>股权价值增加表!O6</f>
        <v>354408947.79999995</v>
      </c>
      <c r="P7" s="27">
        <f>股权价值增加表!P6</f>
        <v>144212708.59000003</v>
      </c>
      <c r="Q7" s="27">
        <f>股权价值增加表!Q6</f>
        <v>511232618.36000013</v>
      </c>
      <c r="R7" s="27">
        <f>股权价值增加表!R6</f>
        <v>289491006.83000004</v>
      </c>
      <c r="S7" s="27">
        <f>股权价值增加表!S6</f>
        <v>179311322.93000007</v>
      </c>
      <c r="T7" s="27">
        <f>股权价值增加表!T6</f>
        <v>78337238.360000014</v>
      </c>
      <c r="U7" s="27">
        <f>股权价值增加表!U6</f>
        <v>281760017.86000001</v>
      </c>
      <c r="V7" s="27">
        <f>股权价值增加表!V6</f>
        <v>200929952.42999995</v>
      </c>
      <c r="W7" s="27">
        <f>股权价值增加表!W6</f>
        <v>132560071.25</v>
      </c>
      <c r="X7" s="27">
        <f>股权价值增加表!X6</f>
        <v>60028667.620000005</v>
      </c>
      <c r="Y7" s="27">
        <f>股权价值增加表!Y6</f>
        <v>232987475.15999997</v>
      </c>
      <c r="Z7" s="27">
        <f>股权价值增加表!Z6</f>
        <v>176833409.09000003</v>
      </c>
      <c r="AA7" s="27">
        <f>股权价值增加表!AA6</f>
        <v>122221466.95000005</v>
      </c>
      <c r="AB7" s="27">
        <f>股权价值增加表!AB6</f>
        <v>57663964.590000004</v>
      </c>
      <c r="AC7" s="27">
        <f>股权价值增加表!AC6</f>
        <v>287958576.08000004</v>
      </c>
      <c r="AD7" s="27">
        <f>股权价值增加表!AD6</f>
        <v>224842938.13999999</v>
      </c>
      <c r="AE7" s="27">
        <f>股权价值增加表!AE6</f>
        <v>164255779.00999999</v>
      </c>
      <c r="AF7" s="27">
        <f>股权价值增加表!AF6</f>
        <v>75661830.74000001</v>
      </c>
      <c r="AG7" s="27">
        <f>股权价值增加表!AG6</f>
        <v>287530154.22000003</v>
      </c>
      <c r="AH7" s="27">
        <f>股权价值增加表!AH6</f>
        <v>216338061.54000002</v>
      </c>
      <c r="AI7" s="27">
        <f>股权价值增加表!AI6</f>
        <v>144196495.16999996</v>
      </c>
      <c r="AJ7" s="27">
        <f>股权价值增加表!AJ6</f>
        <v>67956860.129999995</v>
      </c>
      <c r="AK7" s="27">
        <f>股权价值增加表!AK6</f>
        <v>190110327.04999995</v>
      </c>
      <c r="AL7" s="27">
        <f>股权价值增加表!AL6</f>
        <v>149188676.25999999</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0.29581512745548982</v>
      </c>
      <c r="F8" s="66">
        <f t="shared" ref="F8:BQ8" si="7">F7/F2</f>
        <v>0.30309330845232224</v>
      </c>
      <c r="G8" s="66">
        <f t="shared" si="7"/>
        <v>0.31327097620974548</v>
      </c>
      <c r="H8" s="66">
        <f t="shared" si="7"/>
        <v>0.31738304908532744</v>
      </c>
      <c r="I8" s="66">
        <f t="shared" si="7"/>
        <v>0.33796481702045877</v>
      </c>
      <c r="J8" s="66">
        <f t="shared" si="7"/>
        <v>0.33456030495818978</v>
      </c>
      <c r="K8" s="66">
        <f t="shared" si="7"/>
        <v>0.34867257942302454</v>
      </c>
      <c r="L8" s="66">
        <f t="shared" si="7"/>
        <v>0.33191541525918022</v>
      </c>
      <c r="M8" s="66">
        <f t="shared" si="7"/>
        <v>0.31002263226818011</v>
      </c>
      <c r="N8" s="66">
        <f t="shared" si="7"/>
        <v>0.29322695767878909</v>
      </c>
      <c r="O8" s="66">
        <f t="shared" si="7"/>
        <v>0.28234764584913735</v>
      </c>
      <c r="P8" s="66">
        <f t="shared" si="7"/>
        <v>0.29018617005961922</v>
      </c>
      <c r="Q8" s="66">
        <f t="shared" si="7"/>
        <v>0.29857706047160804</v>
      </c>
      <c r="R8" s="66">
        <f t="shared" si="7"/>
        <v>0.25751488995747501</v>
      </c>
      <c r="S8" s="66">
        <f t="shared" si="7"/>
        <v>0.24555668467916833</v>
      </c>
      <c r="T8" s="66">
        <f t="shared" si="7"/>
        <v>0.23891938673382943</v>
      </c>
      <c r="U8" s="66">
        <f t="shared" si="7"/>
        <v>0.22955259871779499</v>
      </c>
      <c r="V8" s="66">
        <f t="shared" si="7"/>
        <v>0.22723657695750188</v>
      </c>
      <c r="W8" s="66">
        <f t="shared" si="7"/>
        <v>0.22936820366717561</v>
      </c>
      <c r="X8" s="66">
        <f t="shared" si="7"/>
        <v>0.22964668410754258</v>
      </c>
      <c r="Y8" s="66">
        <f t="shared" si="7"/>
        <v>0.25082091669271261</v>
      </c>
      <c r="Z8" s="66">
        <f t="shared" si="7"/>
        <v>0.25498252940592619</v>
      </c>
      <c r="AA8" s="66">
        <f t="shared" si="7"/>
        <v>0.26192920783021362</v>
      </c>
      <c r="AB8" s="66">
        <f t="shared" si="7"/>
        <v>0.25198402726386765</v>
      </c>
      <c r="AC8" s="66">
        <f t="shared" si="7"/>
        <v>0.28832578032907269</v>
      </c>
      <c r="AD8" s="66">
        <f t="shared" si="7"/>
        <v>0.30140104143938562</v>
      </c>
      <c r="AE8" s="66">
        <f t="shared" si="7"/>
        <v>0.31424342364057728</v>
      </c>
      <c r="AF8" s="66">
        <f t="shared" si="7"/>
        <v>0.32381340423549898</v>
      </c>
      <c r="AG8" s="66">
        <f t="shared" si="7"/>
        <v>0.31666774791579355</v>
      </c>
      <c r="AH8" s="66">
        <f t="shared" si="7"/>
        <v>0.32631398762268038</v>
      </c>
      <c r="AI8" s="66">
        <f t="shared" si="7"/>
        <v>0.33597110333115959</v>
      </c>
      <c r="AJ8" s="66">
        <f t="shared" si="7"/>
        <v>0.34455695227518596</v>
      </c>
      <c r="AK8" s="66">
        <f t="shared" si="7"/>
        <v>0.33439959451758894</v>
      </c>
      <c r="AL8" s="66">
        <f t="shared" si="7"/>
        <v>0.35450849964229342</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-0.11587214169130289</v>
      </c>
      <c r="F9" s="66">
        <f t="shared" ref="F9:BQ9" si="9">(F7-J7)/J7</f>
        <v>-0.12286893560503018</v>
      </c>
      <c r="G9" s="66">
        <f t="shared" si="9"/>
        <v>-0.1362733546823775</v>
      </c>
      <c r="H9" s="66">
        <f t="shared" si="9"/>
        <v>-1.7063268528163054E-2</v>
      </c>
      <c r="I9" s="66">
        <f t="shared" si="9"/>
        <v>0.24507469824678707</v>
      </c>
      <c r="J9" s="66">
        <f t="shared" si="9"/>
        <v>0.32234857265885369</v>
      </c>
      <c r="K9" s="66">
        <f t="shared" si="9"/>
        <v>0.67112006922078105</v>
      </c>
      <c r="L9" s="66">
        <f t="shared" si="9"/>
        <v>0.92209664966531868</v>
      </c>
      <c r="M9" s="66">
        <f t="shared" si="9"/>
        <v>0.83492788644684168</v>
      </c>
      <c r="N9" s="66">
        <f t="shared" si="9"/>
        <v>1.2215639384530717</v>
      </c>
      <c r="O9" s="66">
        <f t="shared" si="9"/>
        <v>0.97650065823425369</v>
      </c>
      <c r="P9" s="66">
        <f t="shared" si="9"/>
        <v>0.84092152862561043</v>
      </c>
      <c r="Q9" s="66">
        <f t="shared" si="9"/>
        <v>0.8144257025637317</v>
      </c>
      <c r="R9" s="66">
        <f t="shared" si="9"/>
        <v>0.44075586207513301</v>
      </c>
      <c r="S9" s="66">
        <f t="shared" si="9"/>
        <v>0.35267974163826549</v>
      </c>
      <c r="T9" s="66">
        <f t="shared" si="9"/>
        <v>0.30499711997439144</v>
      </c>
      <c r="U9" s="66">
        <f t="shared" si="9"/>
        <v>0.20933547035739317</v>
      </c>
      <c r="V9" s="66">
        <f t="shared" si="9"/>
        <v>0.13626691621228593</v>
      </c>
      <c r="W9" s="66">
        <f t="shared" si="9"/>
        <v>8.4589103354727399E-2</v>
      </c>
      <c r="X9" s="66">
        <f t="shared" si="9"/>
        <v>4.1008332444940565E-2</v>
      </c>
      <c r="Y9" s="66">
        <f t="shared" si="9"/>
        <v>-0.19089933582922053</v>
      </c>
      <c r="Z9" s="66">
        <f t="shared" si="9"/>
        <v>-0.21352473618765155</v>
      </c>
      <c r="AA9" s="66">
        <f t="shared" si="9"/>
        <v>-0.25590766007350563</v>
      </c>
      <c r="AB9" s="66">
        <f t="shared" si="9"/>
        <v>-0.23787246454354039</v>
      </c>
      <c r="AC9" s="66">
        <f t="shared" si="9"/>
        <v>1.4900067130775188E-3</v>
      </c>
      <c r="AD9" s="66">
        <f t="shared" si="9"/>
        <v>3.9312900094685591E-2</v>
      </c>
      <c r="AE9" s="66">
        <f t="shared" si="9"/>
        <v>0.13911075866546693</v>
      </c>
      <c r="AF9" s="66">
        <f t="shared" si="9"/>
        <v>0.11338032091624853</v>
      </c>
      <c r="AG9" s="66">
        <f t="shared" si="9"/>
        <v>0.51243837555641147</v>
      </c>
      <c r="AH9" s="66">
        <f t="shared" si="9"/>
        <v>0.45009706475962558</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7" t="s">
        <v>358</v>
      </c>
      <c r="E10" s="27">
        <f>股权价值增加表!E8</f>
        <v>26491723.469999999</v>
      </c>
      <c r="F10" s="27">
        <f>股权价值增加表!F8</f>
        <v>19505629.629999999</v>
      </c>
      <c r="G10" s="27">
        <f>股权价值增加表!G8</f>
        <v>10339226.560000001</v>
      </c>
      <c r="H10" s="27">
        <f>股权价值增加表!H8</f>
        <v>2927605.87</v>
      </c>
      <c r="I10" s="27">
        <f>股权价值增加表!I8</f>
        <v>28155411.559999999</v>
      </c>
      <c r="J10" s="27">
        <f>股权价值增加表!J8</f>
        <v>17364303.859999999</v>
      </c>
      <c r="K10" s="27">
        <f>股权价值增加表!K8</f>
        <v>12810231.35</v>
      </c>
      <c r="L10" s="27">
        <f>股权价值增加表!L8</f>
        <v>6605592.3499999996</v>
      </c>
      <c r="M10" s="27">
        <f>股权价值增加表!M8</f>
        <v>25171144.469999999</v>
      </c>
      <c r="N10" s="27">
        <f>股权价值增加表!N8</f>
        <v>17555280.129999999</v>
      </c>
      <c r="O10" s="27">
        <f>股权价值增加表!O8</f>
        <v>11195529.09</v>
      </c>
      <c r="P10" s="27">
        <f>股权价值增加表!P8</f>
        <v>5067938.87</v>
      </c>
      <c r="Q10" s="27">
        <f>股权价值增加表!Q8</f>
        <v>12147477.26</v>
      </c>
      <c r="R10" s="27">
        <f>股权价值增加表!R8</f>
        <v>6163022.5899999999</v>
      </c>
      <c r="S10" s="27">
        <f>股权价值增加表!S8</f>
        <v>3816687.57</v>
      </c>
      <c r="T10" s="27">
        <f>股权价值增加表!T8</f>
        <v>1628021.42</v>
      </c>
      <c r="U10" s="27">
        <f>股权价值增加表!U8</f>
        <v>5358586.7699999996</v>
      </c>
      <c r="V10" s="27">
        <f>股权价值增加表!V8</f>
        <v>3953784.91</v>
      </c>
      <c r="W10" s="27">
        <f>股权价值增加表!W8</f>
        <v>2721717.67</v>
      </c>
      <c r="X10" s="27">
        <f>股权价值增加表!X8</f>
        <v>1229719.07</v>
      </c>
      <c r="Y10" s="27">
        <f>股权价值增加表!Y8</f>
        <v>4327173.2</v>
      </c>
      <c r="Z10" s="27">
        <f>股权价值增加表!Z8</f>
        <v>3124414.8</v>
      </c>
      <c r="AA10" s="27">
        <f>股权价值增加表!AA8</f>
        <v>1565322.62</v>
      </c>
      <c r="AB10" s="27">
        <f>股权价值增加表!AB8</f>
        <v>1308407.5900000001</v>
      </c>
      <c r="AC10" s="27">
        <f>股权价值增加表!AC8</f>
        <v>4334479.09</v>
      </c>
      <c r="AD10" s="27">
        <f>股权价值增加表!AD8</f>
        <v>3170969.89</v>
      </c>
      <c r="AE10" s="27">
        <f>股权价值增加表!AE8</f>
        <v>1990701.02</v>
      </c>
      <c r="AF10" s="27">
        <f>股权价值增加表!AF8</f>
        <v>1087762.31</v>
      </c>
      <c r="AG10" s="27">
        <f>股权价值增加表!AG8</f>
        <v>1635543.5</v>
      </c>
      <c r="AH10" s="27">
        <f>股权价值增加表!AH8</f>
        <v>698953.48</v>
      </c>
      <c r="AI10" s="27">
        <f>股权价值增加表!AI8</f>
        <v>469584.02</v>
      </c>
      <c r="AJ10" s="27">
        <f>股权价值增加表!AJ8</f>
        <v>239475.21</v>
      </c>
      <c r="AK10" s="27">
        <f>股权价值增加表!AK8</f>
        <v>636407.39</v>
      </c>
      <c r="AL10" s="27">
        <f>股权价值增加表!AL8</f>
        <v>507834.55</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7.5889650560409336E-3</v>
      </c>
      <c r="F11" s="57">
        <f t="shared" ref="F11:BQ11" si="11">F10/F2</f>
        <v>7.9255969917014779E-3</v>
      </c>
      <c r="G11" s="57">
        <f t="shared" si="11"/>
        <v>6.3316888104825268E-3</v>
      </c>
      <c r="H11" s="57">
        <f t="shared" si="11"/>
        <v>3.4102955415188062E-3</v>
      </c>
      <c r="I11" s="57">
        <f t="shared" si="11"/>
        <v>8.1470504819672347E-3</v>
      </c>
      <c r="J11" s="57">
        <f t="shared" si="11"/>
        <v>6.8311204596781996E-3</v>
      </c>
      <c r="K11" s="57">
        <f t="shared" si="11"/>
        <v>7.5415816050292848E-3</v>
      </c>
      <c r="L11" s="57">
        <f t="shared" si="11"/>
        <v>7.9097077264988526E-3</v>
      </c>
      <c r="M11" s="57">
        <f t="shared" si="11"/>
        <v>8.3187640290299583E-3</v>
      </c>
      <c r="N11" s="57">
        <f t="shared" si="11"/>
        <v>8.0041969178473588E-3</v>
      </c>
      <c r="O11" s="57">
        <f t="shared" si="11"/>
        <v>8.9191633061726974E-3</v>
      </c>
      <c r="P11" s="57">
        <f t="shared" si="11"/>
        <v>1.019775431139466E-2</v>
      </c>
      <c r="Q11" s="57">
        <f t="shared" si="11"/>
        <v>7.0945356813724852E-3</v>
      </c>
      <c r="R11" s="57">
        <f t="shared" si="11"/>
        <v>5.4822776757319771E-3</v>
      </c>
      <c r="S11" s="57">
        <f t="shared" si="11"/>
        <v>5.2267371119182606E-3</v>
      </c>
      <c r="T11" s="57">
        <f t="shared" si="11"/>
        <v>4.9652743369435525E-3</v>
      </c>
      <c r="U11" s="57">
        <f t="shared" si="11"/>
        <v>4.3656922222353491E-3</v>
      </c>
      <c r="V11" s="57">
        <f t="shared" si="11"/>
        <v>4.4714316512249469E-3</v>
      </c>
      <c r="W11" s="57">
        <f t="shared" si="11"/>
        <v>4.7093780726759427E-3</v>
      </c>
      <c r="X11" s="57">
        <f t="shared" si="11"/>
        <v>4.704434031369744E-3</v>
      </c>
      <c r="Y11" s="57">
        <f t="shared" si="11"/>
        <v>4.6583858122278762E-3</v>
      </c>
      <c r="Z11" s="57">
        <f t="shared" si="11"/>
        <v>4.5052074306379634E-3</v>
      </c>
      <c r="AA11" s="57">
        <f t="shared" si="11"/>
        <v>3.3545965703638968E-3</v>
      </c>
      <c r="AB11" s="57">
        <f t="shared" si="11"/>
        <v>5.717571037215625E-3</v>
      </c>
      <c r="AC11" s="57">
        <f t="shared" si="11"/>
        <v>4.3400064098007562E-3</v>
      </c>
      <c r="AD11" s="57">
        <f t="shared" si="11"/>
        <v>4.2506722031173602E-3</v>
      </c>
      <c r="AE11" s="57">
        <f t="shared" si="11"/>
        <v>3.8084791155597914E-3</v>
      </c>
      <c r="AF11" s="57">
        <f t="shared" si="11"/>
        <v>4.6553462050179586E-3</v>
      </c>
      <c r="AG11" s="57">
        <f t="shared" si="11"/>
        <v>1.8012854275000036E-3</v>
      </c>
      <c r="AH11" s="57">
        <f t="shared" si="11"/>
        <v>1.0542680081256927E-3</v>
      </c>
      <c r="AI11" s="57">
        <f t="shared" si="11"/>
        <v>1.0941088486241142E-3</v>
      </c>
      <c r="AJ11" s="57">
        <f t="shared" si="11"/>
        <v>1.2141945396714157E-3</v>
      </c>
      <c r="AK11" s="57">
        <f t="shared" si="11"/>
        <v>1.1194256328222814E-3</v>
      </c>
      <c r="AL11" s="57">
        <f t="shared" si="11"/>
        <v>1.2067381312055301E-3</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7" t="s">
        <v>360</v>
      </c>
      <c r="E12" s="27">
        <f>股权价值增加表!E9</f>
        <v>186154765.38</v>
      </c>
      <c r="F12" s="27">
        <f>股权价值增加表!F9</f>
        <v>134160734.63</v>
      </c>
      <c r="G12" s="27">
        <f>股权价值增加表!G9</f>
        <v>82595871.680000007</v>
      </c>
      <c r="H12" s="27">
        <f>股权价值增加表!H9</f>
        <v>24399908.16</v>
      </c>
      <c r="I12" s="27">
        <f>股权价值增加表!I9</f>
        <v>175331698.86000001</v>
      </c>
      <c r="J12" s="27">
        <f>股权价值增加表!J9</f>
        <v>115764881.70999999</v>
      </c>
      <c r="K12" s="27">
        <f>股权价值增加表!K9</f>
        <v>87076714.459999993</v>
      </c>
      <c r="L12" s="27">
        <f>股权价值增加表!L9</f>
        <v>44581341.640000001</v>
      </c>
      <c r="M12" s="27">
        <f>股权价值增加表!M9</f>
        <v>146528814.59</v>
      </c>
      <c r="N12" s="27">
        <f>股权价值增加表!N9</f>
        <v>107560680.92</v>
      </c>
      <c r="O12" s="27">
        <f>股权价值增加表!O9</f>
        <v>64804052.850000001</v>
      </c>
      <c r="P12" s="27">
        <f>股权价值增加表!P9</f>
        <v>21775503.600000001</v>
      </c>
      <c r="Q12" s="27">
        <f>股权价值增加表!Q9</f>
        <v>86844822.980000004</v>
      </c>
      <c r="R12" s="27">
        <f>股权价值增加表!R9</f>
        <v>57067597.759999998</v>
      </c>
      <c r="S12" s="27">
        <f>股权价值增加表!S9</f>
        <v>38815863.170000002</v>
      </c>
      <c r="T12" s="27">
        <f>股权价值增加表!T9</f>
        <v>19138358.969999999</v>
      </c>
      <c r="U12" s="27">
        <f>股权价值增加表!U9</f>
        <v>74404812.109999999</v>
      </c>
      <c r="V12" s="27">
        <f>股权价值增加表!V9</f>
        <v>55457467.060000002</v>
      </c>
      <c r="W12" s="27">
        <f>股权价值增加表!W9</f>
        <v>34924665.530000001</v>
      </c>
      <c r="X12" s="27">
        <f>股权价值增加表!X9</f>
        <v>15471865.109999999</v>
      </c>
      <c r="Y12" s="27">
        <f>股权价值增加表!Y9</f>
        <v>58763297.210000001</v>
      </c>
      <c r="Z12" s="27">
        <f>股权价值增加表!Z9</f>
        <v>40976591.039999999</v>
      </c>
      <c r="AA12" s="27">
        <f>股权价值增加表!AA9</f>
        <v>27109521.780000001</v>
      </c>
      <c r="AB12" s="27">
        <f>股权价值增加表!AB9</f>
        <v>13538614.73</v>
      </c>
      <c r="AC12" s="27">
        <f>股权价值增加表!AC9</f>
        <v>60205935.82</v>
      </c>
      <c r="AD12" s="27">
        <f>股权价值增加表!AD9</f>
        <v>43071985.909999996</v>
      </c>
      <c r="AE12" s="27">
        <f>股权价值增加表!AE9</f>
        <v>28135458.109999999</v>
      </c>
      <c r="AF12" s="27">
        <f>股权价值增加表!AF9</f>
        <v>14556538.220000001</v>
      </c>
      <c r="AG12" s="27">
        <f>股权价值增加表!AG9</f>
        <v>48193789.229999997</v>
      </c>
      <c r="AH12" s="27">
        <f>股权价值增加表!AH9</f>
        <v>35872503.759999998</v>
      </c>
      <c r="AI12" s="27">
        <f>股权价值增加表!AI9</f>
        <v>24551520.23</v>
      </c>
      <c r="AJ12" s="27">
        <f>股权价值增加表!AJ9</f>
        <v>11137358.08</v>
      </c>
      <c r="AK12" s="27">
        <f>股权价值增加表!AK9</f>
        <v>30394487.989999998</v>
      </c>
      <c r="AL12" s="27">
        <f>股权价值增加表!AL9</f>
        <v>21106113.699999999</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5.3326919673011314E-2</v>
      </c>
      <c r="F13" s="57">
        <f t="shared" ref="F13:BQ13" si="13">F12/F2</f>
        <v>5.4512668135183309E-2</v>
      </c>
      <c r="G13" s="57">
        <f t="shared" si="13"/>
        <v>5.0581284148618816E-2</v>
      </c>
      <c r="H13" s="57">
        <f t="shared" si="13"/>
        <v>2.8422848466114169E-2</v>
      </c>
      <c r="I13" s="57">
        <f t="shared" si="13"/>
        <v>5.0733984074694066E-2</v>
      </c>
      <c r="J13" s="57">
        <f t="shared" si="13"/>
        <v>4.5541926606288238E-2</v>
      </c>
      <c r="K13" s="57">
        <f t="shared" si="13"/>
        <v>5.1263410476807936E-2</v>
      </c>
      <c r="L13" s="57">
        <f t="shared" si="13"/>
        <v>5.3382855578060773E-2</v>
      </c>
      <c r="M13" s="57">
        <f t="shared" si="13"/>
        <v>4.8426031382103954E-2</v>
      </c>
      <c r="N13" s="57">
        <f t="shared" si="13"/>
        <v>4.9041477226568604E-2</v>
      </c>
      <c r="O13" s="57">
        <f t="shared" si="13"/>
        <v>5.1627567185482282E-2</v>
      </c>
      <c r="P13" s="57">
        <f t="shared" si="13"/>
        <v>4.3816873371183722E-2</v>
      </c>
      <c r="Q13" s="57">
        <f t="shared" si="13"/>
        <v>5.0720300370752633E-2</v>
      </c>
      <c r="R13" s="57">
        <f t="shared" si="13"/>
        <v>5.0764119819216857E-2</v>
      </c>
      <c r="S13" s="57">
        <f t="shared" si="13"/>
        <v>5.3156122643221802E-2</v>
      </c>
      <c r="T13" s="57">
        <f t="shared" si="13"/>
        <v>5.8369749609900365E-2</v>
      </c>
      <c r="U13" s="57">
        <f t="shared" si="13"/>
        <v>6.0618316632299218E-2</v>
      </c>
      <c r="V13" s="57">
        <f t="shared" si="13"/>
        <v>6.2718200193861554E-2</v>
      </c>
      <c r="W13" s="57">
        <f t="shared" si="13"/>
        <v>6.0430020297631878E-2</v>
      </c>
      <c r="X13" s="57">
        <f t="shared" si="13"/>
        <v>5.9189428323857894E-2</v>
      </c>
      <c r="Y13" s="57">
        <f t="shared" si="13"/>
        <v>6.3261186310451814E-2</v>
      </c>
      <c r="Z13" s="57">
        <f t="shared" si="13"/>
        <v>5.9085638192349167E-2</v>
      </c>
      <c r="AA13" s="57">
        <f t="shared" si="13"/>
        <v>5.8097613632768788E-2</v>
      </c>
      <c r="AB13" s="57">
        <f t="shared" si="13"/>
        <v>5.916198595597328E-2</v>
      </c>
      <c r="AC13" s="57">
        <f t="shared" si="13"/>
        <v>6.028271031914309E-2</v>
      </c>
      <c r="AD13" s="57">
        <f t="shared" si="13"/>
        <v>5.773782142116133E-2</v>
      </c>
      <c r="AE13" s="57">
        <f t="shared" si="13"/>
        <v>5.382692003575823E-2</v>
      </c>
      <c r="AF13" s="57">
        <f t="shared" si="13"/>
        <v>6.2298283676215871E-2</v>
      </c>
      <c r="AG13" s="57">
        <f t="shared" si="13"/>
        <v>5.3077628467849136E-2</v>
      </c>
      <c r="AH13" s="57">
        <f t="shared" si="13"/>
        <v>5.4108369394679348E-2</v>
      </c>
      <c r="AI13" s="57">
        <f t="shared" si="13"/>
        <v>5.7203896186281959E-2</v>
      </c>
      <c r="AJ13" s="57">
        <f t="shared" si="13"/>
        <v>5.6468973832829394E-2</v>
      </c>
      <c r="AK13" s="57">
        <f t="shared" si="13"/>
        <v>5.3463189597020518E-2</v>
      </c>
      <c r="AL13" s="57">
        <f t="shared" si="13"/>
        <v>5.015324814617169E-2</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7" t="s">
        <v>362</v>
      </c>
      <c r="E14" s="26">
        <f>股权价值增加表!E10</f>
        <v>358108184.72000003</v>
      </c>
      <c r="F14" s="26">
        <f>股权价值增加表!F10</f>
        <v>240796843.28999999</v>
      </c>
      <c r="G14" s="26">
        <f>股权价值增加表!G10</f>
        <v>158532005.06</v>
      </c>
      <c r="H14" s="26">
        <f>股权价值增加表!H10</f>
        <v>79614239.409999996</v>
      </c>
      <c r="I14" s="26">
        <f>股权价值增加表!I10</f>
        <v>354748154.99000001</v>
      </c>
      <c r="J14" s="26">
        <f>股权价值增加表!J10</f>
        <v>243743247.87</v>
      </c>
      <c r="K14" s="26">
        <f>股权价值增加表!K10</f>
        <v>162436852.12</v>
      </c>
      <c r="L14" s="26">
        <f>股权价值增加表!L10</f>
        <v>72638320.290000007</v>
      </c>
      <c r="M14" s="26">
        <f>股权价值增加表!M10</f>
        <v>268045559.68000001</v>
      </c>
      <c r="N14" s="26">
        <f>股权价值增加表!N10</f>
        <v>182604840.47999999</v>
      </c>
      <c r="O14" s="26">
        <f>股权价值增加表!O10</f>
        <v>105345227.56999999</v>
      </c>
      <c r="P14" s="26">
        <f>股权价值增加表!P10</f>
        <v>50556841.380000003</v>
      </c>
      <c r="Q14" s="26">
        <f>股权价值增加表!Q10</f>
        <v>163239878.59999999</v>
      </c>
      <c r="R14" s="26">
        <f>股权价值增加表!R10</f>
        <v>102863299.79000001</v>
      </c>
      <c r="S14" s="26">
        <f>股权价值增加表!S10</f>
        <v>59089703.75</v>
      </c>
      <c r="T14" s="26">
        <f>股权价值增加表!T10</f>
        <v>29956919.370000001</v>
      </c>
      <c r="U14" s="26">
        <f>股权价值增加表!U10</f>
        <v>98026160.409999996</v>
      </c>
      <c r="V14" s="26">
        <f>股权价值增加表!V10</f>
        <v>67588826.120000005</v>
      </c>
      <c r="W14" s="26">
        <f>股权价值增加表!W10</f>
        <v>40532940.640000001</v>
      </c>
      <c r="X14" s="26">
        <f>股权价值增加表!X10</f>
        <v>19732849.23</v>
      </c>
      <c r="Y14" s="26">
        <f>股权价值增加表!Y10</f>
        <v>68380359.689999998</v>
      </c>
      <c r="Z14" s="26">
        <f>股权价值增加表!Z10</f>
        <v>41525510.280000001</v>
      </c>
      <c r="AA14" s="26">
        <f>股权价值增加表!AA10</f>
        <v>26229191.829999998</v>
      </c>
      <c r="AB14" s="26">
        <f>股权价值增加表!AB10</f>
        <v>12392261.060000001</v>
      </c>
      <c r="AC14" s="26">
        <f>股权价值增加表!AC10</f>
        <v>52821694.600000001</v>
      </c>
      <c r="AD14" s="26">
        <f>股权价值增加表!AD10</f>
        <v>26954448.370000001</v>
      </c>
      <c r="AE14" s="26">
        <f>股权价值增加表!AE10</f>
        <v>17506046.760000002</v>
      </c>
      <c r="AF14" s="26">
        <f>股权价值增加表!AF10</f>
        <v>8697271.3900000006</v>
      </c>
      <c r="AG14" s="26">
        <f>股权价值增加表!AG10</f>
        <v>46402393.850000001</v>
      </c>
      <c r="AH14" s="26">
        <f>股权价值增加表!AH10</f>
        <v>35570841.57</v>
      </c>
      <c r="AI14" s="26">
        <f>股权价值增加表!AI10</f>
        <v>22117006.210000001</v>
      </c>
      <c r="AJ14" s="26">
        <f>股权价值增加表!AJ10</f>
        <v>9743382.7100000009</v>
      </c>
      <c r="AK14" s="26">
        <f>股权价值增加表!AK10</f>
        <v>29117232.809999999</v>
      </c>
      <c r="AL14" s="26">
        <f>股权价值增加表!AL10</f>
        <v>29264056.899999999</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0.10258564351994318</v>
      </c>
      <c r="F15" s="57">
        <f t="shared" ref="F15:BQ15" si="15">F14/F2</f>
        <v>9.7841432088672159E-2</v>
      </c>
      <c r="G15" s="57">
        <f t="shared" si="15"/>
        <v>9.7084179045377389E-2</v>
      </c>
      <c r="H15" s="57">
        <f t="shared" si="15"/>
        <v>9.2740654909717682E-2</v>
      </c>
      <c r="I15" s="57">
        <f t="shared" si="15"/>
        <v>0.10264993359906215</v>
      </c>
      <c r="J15" s="57">
        <f t="shared" si="15"/>
        <v>9.5888640331197927E-2</v>
      </c>
      <c r="K15" s="57">
        <f t="shared" si="15"/>
        <v>9.5629090721070717E-2</v>
      </c>
      <c r="L15" s="57">
        <f t="shared" si="15"/>
        <v>8.6979010025908049E-2</v>
      </c>
      <c r="M15" s="57">
        <f t="shared" si="15"/>
        <v>8.8585871121782456E-2</v>
      </c>
      <c r="N15" s="57">
        <f t="shared" si="15"/>
        <v>8.3257292992796272E-2</v>
      </c>
      <c r="O15" s="57">
        <f t="shared" si="15"/>
        <v>8.392558142357133E-2</v>
      </c>
      <c r="P15" s="57">
        <f t="shared" si="15"/>
        <v>0.10173095224279825</v>
      </c>
      <c r="Q15" s="57">
        <f t="shared" si="15"/>
        <v>9.5337584797471994E-2</v>
      </c>
      <c r="R15" s="57">
        <f t="shared" si="15"/>
        <v>9.1501396247655617E-2</v>
      </c>
      <c r="S15" s="57">
        <f t="shared" si="15"/>
        <v>8.0919997211713252E-2</v>
      </c>
      <c r="T15" s="57">
        <f t="shared" si="15"/>
        <v>9.1365089632388388E-2</v>
      </c>
      <c r="U15" s="57">
        <f t="shared" si="15"/>
        <v>7.9862856466823937E-2</v>
      </c>
      <c r="V15" s="57">
        <f t="shared" si="15"/>
        <v>7.6437849620430529E-2</v>
      </c>
      <c r="W15" s="57">
        <f t="shared" si="15"/>
        <v>7.0133998090658539E-2</v>
      </c>
      <c r="X15" s="57">
        <f t="shared" si="15"/>
        <v>7.5490321097078095E-2</v>
      </c>
      <c r="Y15" s="57">
        <f t="shared" si="15"/>
        <v>7.3614362701020369E-2</v>
      </c>
      <c r="Z15" s="57">
        <f t="shared" si="15"/>
        <v>5.9877144825485125E-2</v>
      </c>
      <c r="AA15" s="57">
        <f t="shared" si="15"/>
        <v>5.6211004576382298E-2</v>
      </c>
      <c r="AB15" s="57">
        <f t="shared" si="15"/>
        <v>5.4152569477429434E-2</v>
      </c>
      <c r="AC15" s="57">
        <f t="shared" si="15"/>
        <v>5.2889052728257134E-2</v>
      </c>
      <c r="AD15" s="57">
        <f t="shared" si="15"/>
        <v>3.6132328092437688E-2</v>
      </c>
      <c r="AE15" s="57">
        <f t="shared" si="15"/>
        <v>3.3491424785361872E-2</v>
      </c>
      <c r="AF15" s="57">
        <f t="shared" si="15"/>
        <v>3.7222110921868369E-2</v>
      </c>
      <c r="AG15" s="57">
        <f t="shared" si="15"/>
        <v>5.110469751683204E-2</v>
      </c>
      <c r="AH15" s="57">
        <f t="shared" si="15"/>
        <v>5.3653356571539627E-2</v>
      </c>
      <c r="AI15" s="57">
        <f t="shared" si="15"/>
        <v>5.1531592151358739E-2</v>
      </c>
      <c r="AJ15" s="57">
        <f t="shared" si="15"/>
        <v>4.9401197244637068E-2</v>
      </c>
      <c r="AK15" s="57">
        <f t="shared" si="15"/>
        <v>5.1216527772199413E-2</v>
      </c>
      <c r="AL15" s="57">
        <f t="shared" si="15"/>
        <v>6.9538500944841777E-2</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7" t="s">
        <v>364</v>
      </c>
      <c r="E16" s="26">
        <f>股权价值增加表!E11</f>
        <v>12366028.390000001</v>
      </c>
      <c r="F16" s="26">
        <f>股权价值增加表!F11</f>
        <v>-1054217.08</v>
      </c>
      <c r="G16" s="26">
        <f>股权价值增加表!G11</f>
        <v>4272596.29</v>
      </c>
      <c r="H16" s="26">
        <f>股权价值增加表!H11</f>
        <v>6634367.4299999997</v>
      </c>
      <c r="I16" s="26">
        <f>股权价值增加表!I11</f>
        <v>-687475.79</v>
      </c>
      <c r="J16" s="26">
        <f>股权价值增加表!J11</f>
        <v>5732192.8099999996</v>
      </c>
      <c r="K16" s="26">
        <f>股权价值增加表!K11</f>
        <v>2723234.17</v>
      </c>
      <c r="L16" s="26">
        <f>股权价值增加表!L11</f>
        <v>3982056.46</v>
      </c>
      <c r="M16" s="26">
        <f>股权价值增加表!M11</f>
        <v>31368183.050000001</v>
      </c>
      <c r="N16" s="26">
        <f>股权价值增加表!N11</f>
        <v>16325388.710000001</v>
      </c>
      <c r="O16" s="26">
        <f>股权价值增加表!O11</f>
        <v>5076743.57</v>
      </c>
      <c r="P16" s="26">
        <f>股权价值增加表!P11</f>
        <v>899459.72</v>
      </c>
      <c r="Q16" s="26">
        <f>股权价值增加表!Q11</f>
        <v>10472153.449999999</v>
      </c>
      <c r="R16" s="26">
        <f>股权价值增加表!R11</f>
        <v>6769672.1900000004</v>
      </c>
      <c r="S16" s="26">
        <f>股权价值增加表!S11</f>
        <v>8498308.2599999998</v>
      </c>
      <c r="T16" s="26">
        <f>股权价值增加表!T11</f>
        <v>566405.22</v>
      </c>
      <c r="U16" s="26">
        <f>股权价值增加表!U11</f>
        <v>8194603.2800000003</v>
      </c>
      <c r="V16" s="26">
        <f>股权价值增加表!V11</f>
        <v>2054782.28</v>
      </c>
      <c r="W16" s="26">
        <f>股权价值增加表!W11</f>
        <v>3495793.07</v>
      </c>
      <c r="X16" s="26">
        <f>股权价值增加表!X11</f>
        <v>330545.49</v>
      </c>
      <c r="Y16" s="26">
        <f>股权价值增加表!Y11</f>
        <v>1963377.78</v>
      </c>
      <c r="Z16" s="26">
        <f>股权价值增加表!Z11</f>
        <v>693123.36</v>
      </c>
      <c r="AA16" s="26">
        <f>股权价值增加表!AA11</f>
        <v>825859.68</v>
      </c>
      <c r="AB16" s="26">
        <f>股权价值增加表!AB11</f>
        <v>621683.87</v>
      </c>
      <c r="AC16" s="26">
        <f>股权价值增加表!AC11</f>
        <v>3684165.41</v>
      </c>
      <c r="AD16" s="26">
        <f>股权价值增加表!AD11</f>
        <v>2197647.42</v>
      </c>
      <c r="AE16" s="26">
        <f>股权价值增加表!AE11</f>
        <v>3381825.99</v>
      </c>
      <c r="AF16" s="26">
        <f>股权价值增加表!AF11</f>
        <v>0</v>
      </c>
      <c r="AG16" s="26">
        <f>股权价值增加表!AG11</f>
        <v>-878286.96</v>
      </c>
      <c r="AH16" s="26">
        <f>股权价值增加表!AH11</f>
        <v>-1282255.5</v>
      </c>
      <c r="AI16" s="26">
        <f>股权价值增加表!AI11</f>
        <v>1969124.73</v>
      </c>
      <c r="AJ16" s="26">
        <f>股权价值增加表!AJ11</f>
        <v>0</v>
      </c>
      <c r="AK16" s="26">
        <f>股权价值增加表!AK11</f>
        <v>7361011.8899999997</v>
      </c>
      <c r="AL16" s="26">
        <f>股权价值增加表!AL11</f>
        <v>3313259.1</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666</v>
      </c>
      <c r="E17" s="57">
        <f>E16/E2</f>
        <v>3.5424406207468289E-3</v>
      </c>
      <c r="F17" s="57">
        <f t="shared" ref="F17:BQ17" si="17">F16/F2</f>
        <v>-4.2835324346555422E-4</v>
      </c>
      <c r="G17" s="57">
        <f t="shared" si="17"/>
        <v>2.6165158451757686E-3</v>
      </c>
      <c r="H17" s="57">
        <f t="shared" si="17"/>
        <v>7.7282102414033549E-3</v>
      </c>
      <c r="I17" s="57">
        <f t="shared" si="17"/>
        <v>-1.9892800907294944E-4</v>
      </c>
      <c r="J17" s="57">
        <f t="shared" si="17"/>
        <v>2.2550457478121596E-3</v>
      </c>
      <c r="K17" s="57">
        <f t="shared" si="17"/>
        <v>1.6032101342696823E-3</v>
      </c>
      <c r="L17" s="57">
        <f t="shared" si="17"/>
        <v>4.7682177585507031E-3</v>
      </c>
      <c r="M17" s="57">
        <f t="shared" si="17"/>
        <v>1.0366811613328572E-2</v>
      </c>
      <c r="N17" s="57">
        <f t="shared" si="17"/>
        <v>7.443437246662841E-3</v>
      </c>
      <c r="O17" s="57">
        <f t="shared" si="17"/>
        <v>4.0444988888320762E-3</v>
      </c>
      <c r="P17" s="57">
        <f t="shared" si="17"/>
        <v>1.8099013174473892E-3</v>
      </c>
      <c r="Q17" s="57">
        <f t="shared" si="17"/>
        <v>6.1160901742517825E-3</v>
      </c>
      <c r="R17" s="57">
        <f t="shared" si="17"/>
        <v>6.0219189816827536E-3</v>
      </c>
      <c r="S17" s="57">
        <f t="shared" si="17"/>
        <v>1.1637951065264558E-2</v>
      </c>
      <c r="T17" s="57">
        <f t="shared" si="17"/>
        <v>1.7274694722240614E-3</v>
      </c>
      <c r="U17" s="57">
        <f t="shared" si="17"/>
        <v>6.6762221718769119E-3</v>
      </c>
      <c r="V17" s="57">
        <f t="shared" si="17"/>
        <v>2.3238033257525284E-3</v>
      </c>
      <c r="W17" s="57">
        <f t="shared" si="17"/>
        <v>6.0487578898918331E-3</v>
      </c>
      <c r="X17" s="57">
        <f t="shared" si="17"/>
        <v>1.2645404060228061E-3</v>
      </c>
      <c r="Y17" s="57">
        <f t="shared" si="17"/>
        <v>2.1136596044723757E-3</v>
      </c>
      <c r="Z17" s="57">
        <f t="shared" si="17"/>
        <v>9.9943980287788676E-4</v>
      </c>
      <c r="AA17" s="57">
        <f t="shared" si="17"/>
        <v>1.769875433174169E-3</v>
      </c>
      <c r="AB17" s="57">
        <f t="shared" si="17"/>
        <v>2.7166776748949644E-3</v>
      </c>
      <c r="AC17" s="57">
        <f t="shared" si="17"/>
        <v>3.6888634509865017E-3</v>
      </c>
      <c r="AD17" s="57">
        <f t="shared" si="17"/>
        <v>2.945937402277441E-3</v>
      </c>
      <c r="AE17" s="57">
        <f t="shared" si="17"/>
        <v>6.4698885096127175E-3</v>
      </c>
      <c r="AF17" s="57">
        <f t="shared" si="17"/>
        <v>0</v>
      </c>
      <c r="AG17" s="57">
        <f t="shared" si="17"/>
        <v>-9.6729038525192291E-4</v>
      </c>
      <c r="AH17" s="57">
        <f t="shared" si="17"/>
        <v>-1.9340928839687791E-3</v>
      </c>
      <c r="AI17" s="57">
        <f t="shared" si="17"/>
        <v>4.5879687114088125E-3</v>
      </c>
      <c r="AJ17" s="57">
        <f t="shared" si="17"/>
        <v>0</v>
      </c>
      <c r="AK17" s="57">
        <f t="shared" si="17"/>
        <v>1.2947846807963036E-2</v>
      </c>
      <c r="AL17" s="57">
        <f t="shared" si="17"/>
        <v>7.8731076775570251E-3</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7" t="s">
        <v>365</v>
      </c>
      <c r="E18" s="26">
        <f>股权价值增加表!E12</f>
        <v>7151997.1900000004</v>
      </c>
      <c r="F18" s="26">
        <f>股权价值增加表!F12</f>
        <v>0</v>
      </c>
      <c r="G18" s="26">
        <f>股权价值增加表!G12</f>
        <v>0</v>
      </c>
      <c r="H18" s="26">
        <f>股权价值增加表!H12</f>
        <v>0</v>
      </c>
      <c r="I18" s="26">
        <f>股权价值增加表!I12</f>
        <v>1468736.14</v>
      </c>
      <c r="J18" s="26">
        <f>股权价值增加表!J12</f>
        <v>0</v>
      </c>
      <c r="K18" s="26">
        <f>股权价值增加表!K12</f>
        <v>0</v>
      </c>
      <c r="L18" s="26">
        <f>股权价值增加表!L12</f>
        <v>0</v>
      </c>
      <c r="M18" s="26">
        <f>股权价值增加表!M12</f>
        <v>2519870.38</v>
      </c>
      <c r="N18" s="26">
        <f>股权价值增加表!N12</f>
        <v>0</v>
      </c>
      <c r="O18" s="26">
        <f>股权价值增加表!O12</f>
        <v>0</v>
      </c>
      <c r="P18" s="26">
        <f>股权价值增加表!P12</f>
        <v>0</v>
      </c>
      <c r="Q18" s="26">
        <f>股权价值增加表!Q12</f>
        <v>1436548.9</v>
      </c>
      <c r="R18" s="26">
        <f>股权价值增加表!R12</f>
        <v>0</v>
      </c>
      <c r="S18" s="26">
        <f>股权价值增加表!S12</f>
        <v>0</v>
      </c>
      <c r="T18" s="26">
        <f>股权价值增加表!T12</f>
        <v>0</v>
      </c>
      <c r="U18" s="26">
        <f>股权价值增加表!U12</f>
        <v>763711.99</v>
      </c>
      <c r="V18" s="26">
        <f>股权价值增加表!V12</f>
        <v>0</v>
      </c>
      <c r="W18" s="26">
        <f>股权价值增加表!W12</f>
        <v>0</v>
      </c>
      <c r="X18" s="26">
        <f>股权价值增加表!X12</f>
        <v>0</v>
      </c>
      <c r="Y18" s="26">
        <f>股权价值增加表!Y12</f>
        <v>125710.89</v>
      </c>
      <c r="Z18" s="26">
        <f>股权价值增加表!Z12</f>
        <v>0</v>
      </c>
      <c r="AA18" s="26">
        <f>股权价值增加表!AA12</f>
        <v>0</v>
      </c>
      <c r="AB18" s="26">
        <f>股权价值增加表!AB12</f>
        <v>0</v>
      </c>
      <c r="AC18" s="26">
        <f>股权价值增加表!AC12</f>
        <v>257790.45</v>
      </c>
      <c r="AD18" s="26">
        <f>股权价值增加表!AD12</f>
        <v>0</v>
      </c>
      <c r="AE18" s="26">
        <f>股权价值增加表!AE12</f>
        <v>0</v>
      </c>
      <c r="AF18" s="26">
        <f>股权价值增加表!AF12</f>
        <v>0</v>
      </c>
      <c r="AG18" s="26">
        <f>股权价值增加表!AG12</f>
        <v>1073757.8899999999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2.0488005175381273E-3</v>
      </c>
      <c r="F19" s="57">
        <f t="shared" ref="F19:BQ19" si="19">F18/F2</f>
        <v>0</v>
      </c>
      <c r="G19" s="57">
        <f t="shared" si="19"/>
        <v>0</v>
      </c>
      <c r="H19" s="57">
        <f t="shared" si="19"/>
        <v>0</v>
      </c>
      <c r="I19" s="57">
        <f t="shared" si="19"/>
        <v>4.2499352040264386E-4</v>
      </c>
      <c r="J19" s="57">
        <f t="shared" si="19"/>
        <v>0</v>
      </c>
      <c r="K19" s="57">
        <f t="shared" si="19"/>
        <v>0</v>
      </c>
      <c r="L19" s="57">
        <f t="shared" si="19"/>
        <v>0</v>
      </c>
      <c r="M19" s="57">
        <f t="shared" si="19"/>
        <v>8.3278720599874474E-4</v>
      </c>
      <c r="N19" s="57">
        <f t="shared" si="19"/>
        <v>0</v>
      </c>
      <c r="O19" s="57">
        <f t="shared" si="19"/>
        <v>0</v>
      </c>
      <c r="P19" s="57">
        <f t="shared" si="19"/>
        <v>0</v>
      </c>
      <c r="Q19" s="57">
        <f t="shared" si="19"/>
        <v>8.3899292099488918E-4</v>
      </c>
      <c r="R19" s="57">
        <f t="shared" si="19"/>
        <v>0</v>
      </c>
      <c r="S19" s="57">
        <f t="shared" si="19"/>
        <v>0</v>
      </c>
      <c r="T19" s="57">
        <f t="shared" si="19"/>
        <v>0</v>
      </c>
      <c r="U19" s="57">
        <f t="shared" si="19"/>
        <v>6.2220350959640814E-4</v>
      </c>
      <c r="V19" s="57">
        <f t="shared" si="19"/>
        <v>0</v>
      </c>
      <c r="W19" s="57">
        <f t="shared" si="19"/>
        <v>0</v>
      </c>
      <c r="X19" s="57">
        <f t="shared" si="19"/>
        <v>0</v>
      </c>
      <c r="Y19" s="57">
        <f t="shared" si="19"/>
        <v>1.3533311456507893E-4</v>
      </c>
      <c r="Z19" s="57">
        <f t="shared" si="19"/>
        <v>0</v>
      </c>
      <c r="AA19" s="57">
        <f t="shared" si="19"/>
        <v>0</v>
      </c>
      <c r="AB19" s="57">
        <f t="shared" si="19"/>
        <v>0</v>
      </c>
      <c r="AC19" s="57">
        <f t="shared" si="19"/>
        <v>2.5811918390992203E-4</v>
      </c>
      <c r="AD19" s="57">
        <f t="shared" si="19"/>
        <v>0</v>
      </c>
      <c r="AE19" s="57">
        <f t="shared" si="19"/>
        <v>0</v>
      </c>
      <c r="AF19" s="57">
        <f t="shared" si="19"/>
        <v>0</v>
      </c>
      <c r="AG19" s="57">
        <f t="shared" si="19"/>
        <v>1.1825698551705605E-3</v>
      </c>
      <c r="AH19" s="57">
        <f t="shared" si="19"/>
        <v>0</v>
      </c>
      <c r="AI19" s="57">
        <f t="shared" si="19"/>
        <v>0</v>
      </c>
      <c r="AJ19" s="57">
        <f t="shared" si="19"/>
        <v>0</v>
      </c>
      <c r="AK19" s="57">
        <f t="shared" si="19"/>
        <v>0</v>
      </c>
      <c r="AL19" s="57">
        <f t="shared" si="19"/>
        <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7" t="s">
        <v>367</v>
      </c>
      <c r="E20" s="26">
        <f>股权价值增加表!E13-股权价值增加表!E14</f>
        <v>8136836.0999999996</v>
      </c>
      <c r="F20" s="26">
        <f>股权价值增加表!F13-股权价值增加表!F14</f>
        <v>9999585.1399999987</v>
      </c>
      <c r="G20" s="26">
        <f>股权价值增加表!G13-股权价值增加表!G14</f>
        <v>3820628.85</v>
      </c>
      <c r="H20" s="26">
        <f>股权价值增加表!H13-股权价值增加表!H14</f>
        <v>1154899.9200000002</v>
      </c>
      <c r="I20" s="26">
        <f>股权价值增加表!I13-股权价值增加表!I14</f>
        <v>5421113.8499999996</v>
      </c>
      <c r="J20" s="26">
        <f>股权价值增加表!J13-股权价值增加表!J14</f>
        <v>1679682.1400000006</v>
      </c>
      <c r="K20" s="26">
        <f>股权价值增加表!K13-股权价值增加表!K14</f>
        <v>-1234352.2899999996</v>
      </c>
      <c r="L20" s="26">
        <f>股权价值增加表!L13-股权价值增加表!L14</f>
        <v>-208478.42999999993</v>
      </c>
      <c r="M20" s="26">
        <f>股权价值增加表!M13-股权价值增加表!M14</f>
        <v>13154218.82</v>
      </c>
      <c r="N20" s="26">
        <f>股权价值增加表!N13-股权价值增加表!N14</f>
        <v>6127726.04</v>
      </c>
      <c r="O20" s="26">
        <f>股权价值增加表!O13-股权价值增加表!O14</f>
        <v>2546643.98</v>
      </c>
      <c r="P20" s="26">
        <f>股权价值增加表!P13-股权价值增加表!P14</f>
        <v>-207224.64</v>
      </c>
      <c r="Q20" s="26">
        <f>股权价值增加表!Q13-股权价值增加表!Q14</f>
        <v>-660564.80999999959</v>
      </c>
      <c r="R20" s="26">
        <f>股权价值增加表!R13-股权价值增加表!R14</f>
        <v>-3323852.6399999997</v>
      </c>
      <c r="S20" s="26">
        <f>股权价值增加表!S13-股权价值增加表!S14</f>
        <v>-3068068.68</v>
      </c>
      <c r="T20" s="26">
        <f>股权价值增加表!T13-股权价值增加表!T14</f>
        <v>-853161.26000000013</v>
      </c>
      <c r="U20" s="26">
        <f>股权价值增加表!U13-股权价值增加表!U14</f>
        <v>2144163.5199999996</v>
      </c>
      <c r="V20" s="26">
        <f>股权价值增加表!V13-股权价值增加表!V14</f>
        <v>2210309.3999999994</v>
      </c>
      <c r="W20" s="26">
        <f>股权价值增加表!W13-股权价值增加表!W14</f>
        <v>2402941.7299999995</v>
      </c>
      <c r="X20" s="26">
        <f>股权价值增加表!X13-股权价值增加表!X14</f>
        <v>-1211987.2999999998</v>
      </c>
      <c r="Y20" s="26">
        <f>股权价值增加表!Y13-股权价值增加表!Y14</f>
        <v>-3502718.0900000003</v>
      </c>
      <c r="Z20" s="26">
        <f>股权价值增加表!Z13-股权价值增加表!Z14</f>
        <v>-2172730.1100000003</v>
      </c>
      <c r="AA20" s="26">
        <f>股权价值增加表!AA13-股权价值增加表!AA14</f>
        <v>-2019670.73</v>
      </c>
      <c r="AB20" s="26">
        <f>股权价值增加表!AB13-股权价值增加表!AB14</f>
        <v>-1651228.5899999999</v>
      </c>
      <c r="AC20" s="26">
        <f>股权价值增加表!AC13-股权价值增加表!AC14</f>
        <v>-631518.83000000007</v>
      </c>
      <c r="AD20" s="26">
        <f>股权价值增加表!AD13-股权价值增加表!AD14</f>
        <v>-954542.69000000006</v>
      </c>
      <c r="AE20" s="26">
        <f>股权价值增加表!AE13-股权价值增加表!AE14</f>
        <v>-769682.37</v>
      </c>
      <c r="AF20" s="26">
        <f>股权价值增加表!AF13-股权价值增加表!AF14</f>
        <v>-356475.48</v>
      </c>
      <c r="AG20" s="26">
        <f>股权价值增加表!AG13-股权价值增加表!AG14</f>
        <v>496771.20000000019</v>
      </c>
      <c r="AH20" s="26">
        <f>股权价值增加表!AH13-股权价值增加表!AH14</f>
        <v>501527.02</v>
      </c>
      <c r="AI20" s="26">
        <f>股权价值增加表!AI13-股权价值增加表!AI14</f>
        <v>565465.3600000001</v>
      </c>
      <c r="AJ20" s="26">
        <f>股权价值增加表!AJ13-股权价值增加表!AJ14</f>
        <v>284685.32999999996</v>
      </c>
      <c r="AK20" s="26">
        <f>股权价值增加表!AK13-股权价值增加表!AK14</f>
        <v>-762451.05</v>
      </c>
      <c r="AL20" s="26">
        <f>股权价值增加表!AL13-股权价值增加表!AL14</f>
        <v>-1392838.13</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2.3309228974687161E-3</v>
      </c>
      <c r="F21" s="57">
        <f t="shared" ref="F21:BQ21" si="21">F20/F2</f>
        <v>4.063067094330285E-3</v>
      </c>
      <c r="G21" s="57">
        <f t="shared" si="21"/>
        <v>2.3397333251348857E-3</v>
      </c>
      <c r="H21" s="57">
        <f t="shared" si="21"/>
        <v>1.3453143021865941E-3</v>
      </c>
      <c r="I21" s="57">
        <f t="shared" si="21"/>
        <v>1.5686536178070966E-3</v>
      </c>
      <c r="J21" s="57">
        <f t="shared" si="21"/>
        <v>6.6078727513756293E-4</v>
      </c>
      <c r="K21" s="57">
        <f t="shared" si="21"/>
        <v>-7.2668231119727355E-4</v>
      </c>
      <c r="L21" s="57">
        <f t="shared" si="21"/>
        <v>-2.4963748309102815E-4</v>
      </c>
      <c r="M21" s="57">
        <f t="shared" si="21"/>
        <v>4.3473129511542195E-3</v>
      </c>
      <c r="N21" s="57">
        <f t="shared" si="21"/>
        <v>2.793890243822672E-3</v>
      </c>
      <c r="O21" s="57">
        <f t="shared" si="21"/>
        <v>2.0288396696311562E-3</v>
      </c>
      <c r="P21" s="57">
        <f t="shared" si="21"/>
        <v>-4.169793717316891E-4</v>
      </c>
      <c r="Q21" s="57">
        <f t="shared" si="21"/>
        <v>-3.8579208786302624E-4</v>
      </c>
      <c r="R21" s="57">
        <f t="shared" si="21"/>
        <v>-2.9567120450380816E-3</v>
      </c>
      <c r="S21" s="57">
        <f t="shared" si="21"/>
        <v>-4.2015460101362378E-3</v>
      </c>
      <c r="T21" s="57">
        <f t="shared" si="21"/>
        <v>-2.6020417529595075E-3</v>
      </c>
      <c r="U21" s="57">
        <f t="shared" si="21"/>
        <v>1.7468706590459424E-3</v>
      </c>
      <c r="V21" s="57">
        <f t="shared" si="21"/>
        <v>2.499692733705137E-3</v>
      </c>
      <c r="W21" s="57">
        <f t="shared" si="21"/>
        <v>4.1578012362979561E-3</v>
      </c>
      <c r="X21" s="57">
        <f t="shared" si="21"/>
        <v>-4.6365990727523891E-3</v>
      </c>
      <c r="Y21" s="57">
        <f t="shared" si="21"/>
        <v>-3.7708248550554729E-3</v>
      </c>
      <c r="Z21" s="57">
        <f t="shared" si="21"/>
        <v>-3.1329386342501134E-3</v>
      </c>
      <c r="AA21" s="57">
        <f t="shared" si="21"/>
        <v>-4.3282965553275831E-3</v>
      </c>
      <c r="AB21" s="57">
        <f t="shared" si="21"/>
        <v>-7.2156542305035036E-3</v>
      </c>
      <c r="AC21" s="57">
        <f t="shared" si="21"/>
        <v>-6.3232414165594107E-4</v>
      </c>
      <c r="AD21" s="57">
        <f t="shared" si="21"/>
        <v>-1.2795605823528876E-3</v>
      </c>
      <c r="AE21" s="57">
        <f t="shared" si="21"/>
        <v>-1.4725060178848776E-3</v>
      </c>
      <c r="AF21" s="57">
        <f t="shared" si="21"/>
        <v>-1.5256244473114307E-3</v>
      </c>
      <c r="AG21" s="57">
        <f t="shared" si="21"/>
        <v>5.4711276304279897E-4</v>
      </c>
      <c r="AH21" s="57">
        <f t="shared" si="21"/>
        <v>7.564793759902512E-4</v>
      </c>
      <c r="AI21" s="57">
        <f t="shared" si="21"/>
        <v>1.3175078955336265E-3</v>
      </c>
      <c r="AJ21" s="57">
        <f t="shared" si="21"/>
        <v>1.4434202739003969E-3</v>
      </c>
      <c r="AK21" s="57">
        <f t="shared" si="21"/>
        <v>-1.3411334666341053E-3</v>
      </c>
      <c r="AL21" s="57">
        <f t="shared" si="21"/>
        <v>-3.3097214084154085E-3</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0.1714236922847491</v>
      </c>
      <c r="F22" s="66">
        <f t="shared" ref="F22:BQ22" si="23">F11+F13+F15+F17+F19+F21</f>
        <v>0.16391441106642171</v>
      </c>
      <c r="G22" s="66">
        <f t="shared" si="23"/>
        <v>0.15895340117478937</v>
      </c>
      <c r="H22" s="66">
        <f t="shared" si="23"/>
        <v>0.1336473234609406</v>
      </c>
      <c r="I22" s="66">
        <f t="shared" si="23"/>
        <v>0.16332568728486022</v>
      </c>
      <c r="J22" s="66">
        <f t="shared" si="23"/>
        <v>0.15117752042011409</v>
      </c>
      <c r="K22" s="66">
        <f t="shared" si="23"/>
        <v>0.15531061062598034</v>
      </c>
      <c r="L22" s="66">
        <f t="shared" si="23"/>
        <v>0.15279015360592735</v>
      </c>
      <c r="M22" s="66">
        <f t="shared" si="23"/>
        <v>0.16087757830339794</v>
      </c>
      <c r="N22" s="66">
        <f t="shared" si="23"/>
        <v>0.15054029462769777</v>
      </c>
      <c r="O22" s="66">
        <f t="shared" si="23"/>
        <v>0.15054565047368954</v>
      </c>
      <c r="P22" s="66">
        <f t="shared" si="23"/>
        <v>0.15713850187109232</v>
      </c>
      <c r="Q22" s="66">
        <f t="shared" si="23"/>
        <v>0.15972171185698078</v>
      </c>
      <c r="R22" s="66">
        <f t="shared" si="23"/>
        <v>0.1508130006792491</v>
      </c>
      <c r="S22" s="66">
        <f t="shared" si="23"/>
        <v>0.14673926202198165</v>
      </c>
      <c r="T22" s="66">
        <f t="shared" si="23"/>
        <v>0.15382554129849688</v>
      </c>
      <c r="U22" s="66">
        <f t="shared" si="23"/>
        <v>0.15389216166187775</v>
      </c>
      <c r="V22" s="66">
        <f t="shared" si="23"/>
        <v>0.14845097752497469</v>
      </c>
      <c r="W22" s="66">
        <f t="shared" si="23"/>
        <v>0.14547995558715615</v>
      </c>
      <c r="X22" s="66">
        <f t="shared" si="23"/>
        <v>0.13601212478557617</v>
      </c>
      <c r="Y22" s="66">
        <f t="shared" si="23"/>
        <v>0.14001210268768202</v>
      </c>
      <c r="Z22" s="66">
        <f t="shared" si="23"/>
        <v>0.12133449161710003</v>
      </c>
      <c r="AA22" s="66">
        <f t="shared" si="23"/>
        <v>0.11510479365736156</v>
      </c>
      <c r="AB22" s="66">
        <f t="shared" si="23"/>
        <v>0.11453314991500979</v>
      </c>
      <c r="AC22" s="66">
        <f t="shared" si="23"/>
        <v>0.12082642795044146</v>
      </c>
      <c r="AD22" s="66">
        <f t="shared" si="23"/>
        <v>9.9787198536640934E-2</v>
      </c>
      <c r="AE22" s="66">
        <f t="shared" si="23"/>
        <v>9.6124206428407744E-2</v>
      </c>
      <c r="AF22" s="66">
        <f t="shared" si="23"/>
        <v>0.10265011635579076</v>
      </c>
      <c r="AG22" s="66">
        <f t="shared" si="23"/>
        <v>0.10674600364514261</v>
      </c>
      <c r="AH22" s="66">
        <f t="shared" si="23"/>
        <v>0.10763838046636613</v>
      </c>
      <c r="AI22" s="66">
        <f t="shared" si="23"/>
        <v>0.11573507379320726</v>
      </c>
      <c r="AJ22" s="66">
        <f t="shared" si="23"/>
        <v>0.10852778589103829</v>
      </c>
      <c r="AK22" s="66">
        <f t="shared" si="23"/>
        <v>0.11740585634337115</v>
      </c>
      <c r="AL22" s="66">
        <f t="shared" si="23"/>
        <v>0.12546187349136062</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7" t="s">
        <v>370</v>
      </c>
      <c r="E23" s="27">
        <f>股权价值增加表!E17</f>
        <v>365902852.78474098</v>
      </c>
      <c r="F23" s="27">
        <f>股权价值增加表!F17</f>
        <v>306094756.60540807</v>
      </c>
      <c r="G23" s="27">
        <f>股权价值增加表!G17</f>
        <v>217349305.85290074</v>
      </c>
      <c r="H23" s="27">
        <f>股权价值增加表!H17</f>
        <v>128338490.35512638</v>
      </c>
      <c r="I23" s="27">
        <f>股权价值增加表!I17</f>
        <v>524552620.09044313</v>
      </c>
      <c r="J23" s="27">
        <f>股权价值增加表!J17</f>
        <v>406650594.29501313</v>
      </c>
      <c r="K23" s="27">
        <f>股权价值增加表!K17</f>
        <v>284628529.1409471</v>
      </c>
      <c r="L23" s="27">
        <f>股权价值增加表!L17</f>
        <v>126332738.53846429</v>
      </c>
      <c r="M23" s="27">
        <f>股权价值增加表!M17</f>
        <v>420613039.12535894</v>
      </c>
      <c r="N23" s="27">
        <f>股权价值增加表!N17</f>
        <v>283032127.32709539</v>
      </c>
      <c r="O23" s="27">
        <f>股权价值增加表!O17</f>
        <v>147759056.46530759</v>
      </c>
      <c r="P23" s="27">
        <f>股权价值增加表!P17</f>
        <v>56740009.403530419</v>
      </c>
      <c r="Q23" s="27">
        <f>股权价值增加表!Q17</f>
        <v>210379325.51565036</v>
      </c>
      <c r="R23" s="27">
        <f>股权价值增加表!R17</f>
        <v>94084765.121348232</v>
      </c>
      <c r="S23" s="27">
        <f>股权价值增加表!S17</f>
        <v>53906653.952093497</v>
      </c>
      <c r="T23" s="27">
        <f>股权价值增加表!T17</f>
        <v>21614841.539610043</v>
      </c>
      <c r="U23" s="27">
        <f>股权价值增加表!U17</f>
        <v>80105138.822039142</v>
      </c>
      <c r="V23" s="27">
        <f>股权价值增加表!V17</f>
        <v>61857298.137732655</v>
      </c>
      <c r="W23" s="27">
        <f>股权价值增加表!W17</f>
        <v>44812798.529327855</v>
      </c>
      <c r="X23" s="27">
        <f>股权价值增加表!X17</f>
        <v>18625766.872303322</v>
      </c>
      <c r="Y23" s="27">
        <f>股权价值增加表!Y17</f>
        <v>80870471.536777064</v>
      </c>
      <c r="Z23" s="27">
        <f>股权价值增加表!Z17</f>
        <v>75185808.582051516</v>
      </c>
      <c r="AA23" s="27">
        <f>股权价值增加表!AA17</f>
        <v>55080729.980501175</v>
      </c>
      <c r="AB23" s="27">
        <f>股权价值增加表!AB17</f>
        <v>24418148.919701423</v>
      </c>
      <c r="AC23" s="27">
        <f>股权价值增加表!AC17</f>
        <v>143060463.79079911</v>
      </c>
      <c r="AD23" s="27">
        <f>股权价值增加表!AD17</f>
        <v>129238479.4827432</v>
      </c>
      <c r="AE23" s="27">
        <f>股权价值增加表!AE17</f>
        <v>97083224.736816362</v>
      </c>
      <c r="AF23" s="27">
        <f>股权价值增加表!AF17</f>
        <v>43522962.258444265</v>
      </c>
      <c r="AG23" s="27">
        <f>股权价值增加表!AG17</f>
        <v>166862288.21204284</v>
      </c>
      <c r="AH23" s="27">
        <f>股权价值增加表!AH17</f>
        <v>127725488.9182225</v>
      </c>
      <c r="AI23" s="27">
        <f>股权价值增加表!AI17</f>
        <v>83574511.242152482</v>
      </c>
      <c r="AJ23" s="27">
        <f>股权价值增加表!AJ17</f>
        <v>41225210.175257415</v>
      </c>
      <c r="AK23" s="27">
        <f>股权价值增加表!AK17</f>
        <v>109094759.05417378</v>
      </c>
      <c r="AL23" s="27">
        <f>股权价值增加表!AL17</f>
        <v>85864521.995429948</v>
      </c>
      <c r="AM23" s="27" t="e">
        <f>股权价值增加表!AM17</f>
        <v>#DIV/0!</v>
      </c>
      <c r="AN23" s="27">
        <f>股权价值增加表!AN17</f>
        <v>0</v>
      </c>
      <c r="AO23" s="27">
        <f>股权价值增加表!AO17</f>
        <v>0</v>
      </c>
      <c r="AP23" s="27">
        <f>股权价值增加表!AP17</f>
        <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0.10481854707692559</v>
      </c>
      <c r="F24" s="57">
        <f t="shared" ref="F24:BQ24" si="25">F23/F2</f>
        <v>0.1243735130906112</v>
      </c>
      <c r="G24" s="57">
        <f t="shared" si="25"/>
        <v>0.13310358950437351</v>
      </c>
      <c r="H24" s="57">
        <f t="shared" si="25"/>
        <v>0.14949832760901718</v>
      </c>
      <c r="I24" s="57">
        <f t="shared" si="25"/>
        <v>0.15178455719668479</v>
      </c>
      <c r="J24" s="57">
        <f t="shared" si="25"/>
        <v>0.15997642157299607</v>
      </c>
      <c r="K24" s="57">
        <f t="shared" si="25"/>
        <v>0.16756522353016742</v>
      </c>
      <c r="L24" s="57">
        <f t="shared" si="25"/>
        <v>0.15127410006272193</v>
      </c>
      <c r="M24" s="57">
        <f t="shared" si="25"/>
        <v>0.13900760945483567</v>
      </c>
      <c r="N24" s="57">
        <f t="shared" si="25"/>
        <v>0.12904635325823868</v>
      </c>
      <c r="O24" s="57">
        <f t="shared" si="25"/>
        <v>0.11771548660055969</v>
      </c>
      <c r="P24" s="57">
        <f t="shared" si="25"/>
        <v>0.1141727811573674</v>
      </c>
      <c r="Q24" s="57">
        <f t="shared" si="25"/>
        <v>0.12286860881053902</v>
      </c>
      <c r="R24" s="57">
        <f t="shared" si="25"/>
        <v>8.3692506382854914E-2</v>
      </c>
      <c r="S24" s="57">
        <f t="shared" si="25"/>
        <v>7.3822104540441136E-2</v>
      </c>
      <c r="T24" s="57">
        <f t="shared" si="25"/>
        <v>6.5922730914515379E-2</v>
      </c>
      <c r="U24" s="57">
        <f t="shared" si="25"/>
        <v>6.5262427674836213E-2</v>
      </c>
      <c r="V24" s="57">
        <f t="shared" si="25"/>
        <v>6.9955925030913163E-2</v>
      </c>
      <c r="W24" s="57">
        <f t="shared" si="25"/>
        <v>7.7539420453283575E-2</v>
      </c>
      <c r="X24" s="57">
        <f t="shared" si="25"/>
        <v>7.1255048142355754E-2</v>
      </c>
      <c r="Y24" s="57">
        <f t="shared" si="25"/>
        <v>8.7060498811348849E-2</v>
      </c>
      <c r="Z24" s="57">
        <f t="shared" si="25"/>
        <v>0.10841315420167068</v>
      </c>
      <c r="AA24" s="57">
        <f t="shared" si="25"/>
        <v>0.11804188192573943</v>
      </c>
      <c r="AB24" s="57">
        <f t="shared" si="25"/>
        <v>0.10670413570873802</v>
      </c>
      <c r="AC24" s="57">
        <f t="shared" si="25"/>
        <v>0.14324289423233488</v>
      </c>
      <c r="AD24" s="57">
        <f t="shared" si="25"/>
        <v>0.17324365458116975</v>
      </c>
      <c r="AE24" s="57">
        <f t="shared" si="25"/>
        <v>0.18573328197790487</v>
      </c>
      <c r="AF24" s="57">
        <f t="shared" si="25"/>
        <v>0.18626721602533586</v>
      </c>
      <c r="AG24" s="57">
        <f t="shared" si="25"/>
        <v>0.18377169922760134</v>
      </c>
      <c r="AH24" s="57">
        <f t="shared" si="25"/>
        <v>0.19265502017200728</v>
      </c>
      <c r="AI24" s="57">
        <f t="shared" si="25"/>
        <v>0.19472471032867461</v>
      </c>
      <c r="AJ24" s="57">
        <f t="shared" si="25"/>
        <v>0.20902132246425023</v>
      </c>
      <c r="AK24" s="57">
        <f t="shared" si="25"/>
        <v>0.19189511562996275</v>
      </c>
      <c r="AL24" s="57">
        <f t="shared" si="25"/>
        <v>0.20403494171403122</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9" t="s">
        <v>667</v>
      </c>
      <c r="B25" s="290"/>
      <c r="C25" s="290"/>
      <c r="D25" s="290"/>
      <c r="E25" s="290"/>
      <c r="F25" s="290"/>
      <c r="G25" s="290"/>
      <c r="H25" s="290"/>
      <c r="I25" s="290"/>
      <c r="J25" s="290"/>
      <c r="K25" s="290"/>
      <c r="L25" s="290"/>
      <c r="M25" s="290"/>
      <c r="N25" s="290"/>
      <c r="O25" s="290"/>
      <c r="P25" s="290"/>
      <c r="Q25" s="290"/>
      <c r="R25" s="290"/>
      <c r="S25" s="290"/>
      <c r="T25" s="290"/>
      <c r="U25" s="290"/>
      <c r="V25" s="290"/>
      <c r="W25" s="290"/>
      <c r="X25" s="290"/>
      <c r="Y25" s="290"/>
      <c r="Z25" s="290"/>
      <c r="AA25" s="290"/>
      <c r="AB25" s="290"/>
      <c r="AC25" s="290"/>
      <c r="AD25" s="290"/>
      <c r="AE25" s="290"/>
      <c r="AF25" s="290"/>
      <c r="AG25" s="290"/>
    </row>
    <row r="26" spans="1:89" s="63" customFormat="1" ht="14.25" thickBot="1">
      <c r="A26" s="149" t="s">
        <v>597</v>
      </c>
      <c r="B26" s="150"/>
      <c r="C26" s="150"/>
      <c r="D26" s="150"/>
      <c r="E26" s="151">
        <f>POWER(E2/Y2,1/6)-1</f>
        <v>0.2468852072968728</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39813</v>
      </c>
      <c r="AM27" s="1">
        <v>25569</v>
      </c>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373</v>
      </c>
      <c r="E28" s="26">
        <f>股权价值增加表!E15</f>
        <v>450501986.37</v>
      </c>
      <c r="F28" s="26">
        <f>股权价值增加表!F15</f>
        <v>362531351.4599998</v>
      </c>
      <c r="G28" s="26">
        <f>股权价值增加表!G15</f>
        <v>259631590.49000001</v>
      </c>
      <c r="H28" s="26">
        <f>股权价值增加表!H15</f>
        <v>160039762.63000005</v>
      </c>
      <c r="I28" s="26">
        <f>股权价值增加表!I15</f>
        <v>614378020.56999981</v>
      </c>
      <c r="J28" s="26">
        <f>股权价值增加表!J15</f>
        <v>469507547.76000017</v>
      </c>
      <c r="K28" s="26">
        <f>股权价值增加表!K15</f>
        <v>325978520.99000013</v>
      </c>
      <c r="L28" s="26">
        <f>股权价值增加表!L15</f>
        <v>149174974.84999996</v>
      </c>
      <c r="M28" s="26">
        <f>股权价值增加表!M15</f>
        <v>477595634.53999984</v>
      </c>
      <c r="N28" s="26">
        <f>股权价值增加表!N15</f>
        <v>325204317.08000004</v>
      </c>
      <c r="O28" s="26">
        <f>股权价值增加表!O15</f>
        <v>170534038.69999999</v>
      </c>
      <c r="P28" s="26">
        <f>股权价值增加表!P15</f>
        <v>65705740.380000025</v>
      </c>
      <c r="Q28" s="26">
        <f>股权价值增加表!Q15</f>
        <v>236431172.36000013</v>
      </c>
      <c r="R28" s="26">
        <f>股权价值增加表!R15</f>
        <v>113303561.86000006</v>
      </c>
      <c r="S28" s="26">
        <f>股权价值增加表!S15</f>
        <v>66022691.500000045</v>
      </c>
      <c r="T28" s="26">
        <f>股权价值增加表!T15</f>
        <v>26194372.120000012</v>
      </c>
      <c r="U28" s="26">
        <f>股权价值增加表!U15</f>
        <v>97156306.820000008</v>
      </c>
      <c r="V28" s="26">
        <f>股权价值增加表!V15</f>
        <v>74085401.459999934</v>
      </c>
      <c r="W28" s="26">
        <f>股权价值增加表!W15</f>
        <v>53287896.070000008</v>
      </c>
      <c r="X28" s="26">
        <f>股权价值增加表!X15</f>
        <v>22051701.420000006</v>
      </c>
      <c r="Y28" s="26">
        <f>股权价值增加表!Y15</f>
        <v>95924838.299999967</v>
      </c>
      <c r="Z28" s="26">
        <f>股权价值增加表!Z15</f>
        <v>88341039.50000003</v>
      </c>
      <c r="AA28" s="26">
        <f>股权价值增加表!AA15</f>
        <v>64471900.31000004</v>
      </c>
      <c r="AB28" s="26">
        <f>股权价值增加表!AB15</f>
        <v>28151768.75</v>
      </c>
      <c r="AC28" s="26">
        <f>股权价值增加表!AC15</f>
        <v>166022991.88000005</v>
      </c>
      <c r="AD28" s="26">
        <f>股权价值增加表!AD15</f>
        <v>148493343.85999998</v>
      </c>
      <c r="AE28" s="26">
        <f>股权价值增加表!AE15</f>
        <v>112472064.75999999</v>
      </c>
      <c r="AF28" s="26">
        <f>股权价值增加表!AF15</f>
        <v>50963783.340000011</v>
      </c>
      <c r="AG28" s="26">
        <f>股权价值增加表!AG15</f>
        <v>191599727.91000006</v>
      </c>
      <c r="AH28" s="26">
        <f>股权价值增加表!AH15</f>
        <v>145979545.25000003</v>
      </c>
      <c r="AI28" s="26">
        <f>股权价值增加表!AI15</f>
        <v>95654725.339999959</v>
      </c>
      <c r="AJ28" s="26">
        <f>股权价值增加表!AJ15</f>
        <v>47121329.459999993</v>
      </c>
      <c r="AK28" s="26">
        <f>股权价值增加表!AK15</f>
        <v>121838735.91999996</v>
      </c>
      <c r="AL28" s="26">
        <f>股权价值增加表!AL15</f>
        <v>93604573.879999995</v>
      </c>
      <c r="AM28" s="26">
        <f>股权价值增加表!AM15</f>
        <v>0</v>
      </c>
      <c r="AN28" s="26">
        <f>股权价值增加表!AN15</f>
        <v>0</v>
      </c>
      <c r="AO28" s="26">
        <f>股权价值增加表!AO15</f>
        <v>0</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4" t="s">
        <v>378</v>
      </c>
      <c r="E29" s="59">
        <f t="shared" ref="E29:AJ29" si="27">E28/E34</f>
        <v>0.4682118664982986</v>
      </c>
      <c r="F29" s="59">
        <f t="shared" si="27"/>
        <v>0.42414770783094585</v>
      </c>
      <c r="G29" s="59">
        <f t="shared" si="27"/>
        <v>0.34765575892773093</v>
      </c>
      <c r="H29" s="59">
        <f t="shared" si="27"/>
        <v>1.00093563879738</v>
      </c>
      <c r="I29" s="59">
        <f t="shared" si="27"/>
        <v>0.99951013762153873</v>
      </c>
      <c r="J29" s="59">
        <f t="shared" si="27"/>
        <v>1.0001791567303842</v>
      </c>
      <c r="K29" s="59">
        <f t="shared" si="27"/>
        <v>1.0004275216807859</v>
      </c>
      <c r="L29" s="59">
        <f t="shared" si="27"/>
        <v>1.0001860438210695</v>
      </c>
      <c r="M29" s="59">
        <f t="shared" si="27"/>
        <v>0.99150518649296382</v>
      </c>
      <c r="N29" s="59">
        <f t="shared" si="27"/>
        <v>0.99932221609261618</v>
      </c>
      <c r="O29" s="59">
        <f t="shared" si="27"/>
        <v>0.99963959739762165</v>
      </c>
      <c r="P29" s="59">
        <f t="shared" si="27"/>
        <v>0.99995625702939506</v>
      </c>
      <c r="Q29" s="59">
        <f t="shared" si="27"/>
        <v>0.99168377926027695</v>
      </c>
      <c r="R29" s="59">
        <f t="shared" si="27"/>
        <v>0.99388911462162322</v>
      </c>
      <c r="S29" s="59">
        <f t="shared" si="27"/>
        <v>0.99983745444053906</v>
      </c>
      <c r="T29" s="59">
        <f t="shared" si="27"/>
        <v>0.99975559006204007</v>
      </c>
      <c r="U29" s="59">
        <f t="shared" si="27"/>
        <v>0.93232078016077069</v>
      </c>
      <c r="V29" s="59">
        <f t="shared" si="27"/>
        <v>1</v>
      </c>
      <c r="W29" s="59">
        <f t="shared" si="27"/>
        <v>1</v>
      </c>
      <c r="X29" s="59">
        <f t="shared" si="27"/>
        <v>1</v>
      </c>
      <c r="Y29" s="59">
        <f t="shared" si="27"/>
        <v>0.8435934153840926</v>
      </c>
      <c r="Z29" s="59">
        <f t="shared" si="27"/>
        <v>0.97576479059178467</v>
      </c>
      <c r="AA29" s="59">
        <f t="shared" si="27"/>
        <v>0.97634145171359732</v>
      </c>
      <c r="AB29" s="59">
        <f t="shared" si="27"/>
        <v>0.97385574563501454</v>
      </c>
      <c r="AC29" s="59">
        <f t="shared" si="27"/>
        <v>0.94567066770321551</v>
      </c>
      <c r="AD29" s="59">
        <f t="shared" si="27"/>
        <v>0.98894878482116733</v>
      </c>
      <c r="AE29" s="59">
        <f t="shared" si="27"/>
        <v>0.98844395104034355</v>
      </c>
      <c r="AF29" s="59">
        <f t="shared" si="27"/>
        <v>0.98561957292003322</v>
      </c>
      <c r="AG29" s="59">
        <f t="shared" si="27"/>
        <v>0.99250259367986393</v>
      </c>
      <c r="AH29" s="59">
        <f t="shared" si="27"/>
        <v>0.98649533977578741</v>
      </c>
      <c r="AI29" s="59">
        <f t="shared" si="27"/>
        <v>0.986591762857845</v>
      </c>
      <c r="AJ29" s="59">
        <f t="shared" si="27"/>
        <v>0.98785271868452329</v>
      </c>
      <c r="AK29" s="59">
        <f t="shared" ref="AK29:BP29" si="28">AK28/AK34</f>
        <v>0.99571545747670631</v>
      </c>
      <c r="AL29" s="59">
        <f t="shared" si="28"/>
        <v>1</v>
      </c>
      <c r="AM29" s="59" t="e">
        <f t="shared" si="28"/>
        <v>#DIV/0!</v>
      </c>
      <c r="AN29" s="59" t="e">
        <f t="shared" si="28"/>
        <v>#DIV/0!</v>
      </c>
      <c r="AO29" s="59">
        <f t="shared" si="28"/>
        <v>0</v>
      </c>
      <c r="AP29" s="59">
        <f t="shared" si="28"/>
        <v>0</v>
      </c>
      <c r="AQ29" s="59">
        <f t="shared" si="28"/>
        <v>0</v>
      </c>
      <c r="AR29" s="59">
        <f t="shared" si="28"/>
        <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-1541608.46</v>
      </c>
      <c r="F30" s="26">
        <f>股权价值增加表!F20</f>
        <v>0</v>
      </c>
      <c r="G30" s="26">
        <f>股权价值增加表!G20</f>
        <v>0</v>
      </c>
      <c r="H30" s="26">
        <f>股权价值增加表!H20</f>
        <v>0</v>
      </c>
      <c r="I30" s="26">
        <f>股权价值增加表!I20</f>
        <v>-567184.34</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2271772.0499999998</v>
      </c>
      <c r="Z30" s="26">
        <f>股权价值增加表!Z20</f>
        <v>2194139.0099999998</v>
      </c>
      <c r="AA30" s="26">
        <f>股权价值增加表!AA20</f>
        <v>1562272.67</v>
      </c>
      <c r="AB30" s="26">
        <f>股权价值增加表!AB20</f>
        <v>755765.94</v>
      </c>
      <c r="AC30" s="26">
        <f>股权价值增加表!AC20</f>
        <v>2586005.37</v>
      </c>
      <c r="AD30" s="26">
        <f>股权价值增加表!AD20</f>
        <v>1659369.95</v>
      </c>
      <c r="AE30" s="26">
        <f>股权价值增加表!AE20</f>
        <v>1314928.06</v>
      </c>
      <c r="AF30" s="26">
        <f>股权价值增加表!AF20</f>
        <v>743573.88</v>
      </c>
      <c r="AG30" s="26">
        <f>股权价值增加表!AG20</f>
        <v>2771806.61</v>
      </c>
      <c r="AH30" s="26">
        <f>股权价值增加表!AH20</f>
        <v>1998391.76</v>
      </c>
      <c r="AI30" s="26">
        <f>股权价值增加表!AI20</f>
        <v>1299991.8400000001</v>
      </c>
      <c r="AJ30" s="26">
        <f>股权价值增加表!AJ20</f>
        <v>579434.6</v>
      </c>
      <c r="AK30" s="26">
        <f>股权价值增加表!AK20</f>
        <v>524269.5</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4" t="s">
        <v>379</v>
      </c>
      <c r="E31" s="59">
        <f>E30/E34</f>
        <v>-1.6022113027340783E-3</v>
      </c>
      <c r="F31" s="59">
        <f t="shared" ref="F31:BQ31" si="30">F30/F34</f>
        <v>0</v>
      </c>
      <c r="G31" s="59">
        <f t="shared" si="30"/>
        <v>0</v>
      </c>
      <c r="H31" s="59">
        <f t="shared" si="30"/>
        <v>0</v>
      </c>
      <c r="I31" s="59">
        <f t="shared" si="30"/>
        <v>-9.2273238747086735E-4</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1.9978683066840489E-2</v>
      </c>
      <c r="Z31" s="59">
        <f t="shared" si="30"/>
        <v>2.4235209408215247E-2</v>
      </c>
      <c r="AA31" s="59">
        <f t="shared" si="30"/>
        <v>2.3658548286402709E-2</v>
      </c>
      <c r="AB31" s="59">
        <f t="shared" si="30"/>
        <v>2.6144254364985419E-2</v>
      </c>
      <c r="AC31" s="59">
        <f t="shared" si="30"/>
        <v>1.4729944312168482E-2</v>
      </c>
      <c r="AD31" s="59">
        <f t="shared" si="30"/>
        <v>1.105121517883274E-2</v>
      </c>
      <c r="AE31" s="59">
        <f t="shared" si="30"/>
        <v>1.1556048959656479E-2</v>
      </c>
      <c r="AF31" s="59">
        <f t="shared" si="30"/>
        <v>1.4380427079966703E-2</v>
      </c>
      <c r="AG31" s="59">
        <f t="shared" si="30"/>
        <v>1.4358189751168265E-2</v>
      </c>
      <c r="AH31" s="59">
        <f t="shared" si="30"/>
        <v>1.3504660224212702E-2</v>
      </c>
      <c r="AI31" s="59">
        <f t="shared" si="30"/>
        <v>1.3408237142154908E-2</v>
      </c>
      <c r="AJ31" s="59">
        <f t="shared" si="30"/>
        <v>1.2147281315476691E-2</v>
      </c>
      <c r="AK31" s="59">
        <f t="shared" si="30"/>
        <v>4.2845425232936399E-3</v>
      </c>
      <c r="AL31" s="59">
        <f t="shared" si="30"/>
        <v>0</v>
      </c>
      <c r="AM31" s="59" t="e">
        <f t="shared" si="30"/>
        <v>#DIV/0!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513215121.26999998</v>
      </c>
      <c r="F32" s="26">
        <f>股权价值增加表!F27</f>
        <v>492197661.01999998</v>
      </c>
      <c r="G32" s="26">
        <f>股权价值增加表!G27</f>
        <v>487174938.16000003</v>
      </c>
      <c r="H32" s="26">
        <f>股权价值增加表!H27</f>
        <v>-149599.44</v>
      </c>
      <c r="I32" s="26">
        <f>股权价值增加表!I27</f>
        <v>868292.51999999955</v>
      </c>
      <c r="J32" s="26">
        <f>股权价值增加表!J27</f>
        <v>-84100.37</v>
      </c>
      <c r="K32" s="26">
        <f>股权价值增加表!K27</f>
        <v>-139303.32999999999</v>
      </c>
      <c r="L32" s="26">
        <f>股权价值增加表!L27</f>
        <v>-27747.919999999998</v>
      </c>
      <c r="M32" s="26">
        <f>股权价值增加表!M27</f>
        <v>4091845.31</v>
      </c>
      <c r="N32" s="26">
        <f>股权价值增加表!N27</f>
        <v>220567.75</v>
      </c>
      <c r="O32" s="26">
        <f>股权价值增加表!O27</f>
        <v>61483.069999999992</v>
      </c>
      <c r="P32" s="26">
        <f>股权价值增加表!P27</f>
        <v>2874.29</v>
      </c>
      <c r="Q32" s="26">
        <f>股权价值增加表!Q27</f>
        <v>1982702.41</v>
      </c>
      <c r="R32" s="26">
        <f>股权价值增加表!R27</f>
        <v>696642.18</v>
      </c>
      <c r="S32" s="26">
        <f>股权价值增加表!S27</f>
        <v>10733.44</v>
      </c>
      <c r="T32" s="26">
        <f>股权价值增加表!T27</f>
        <v>6403.73</v>
      </c>
      <c r="U32" s="26">
        <f>股权价值增加表!U27</f>
        <v>7052790.4000000004</v>
      </c>
      <c r="V32" s="26">
        <f>股权价值增加表!V27</f>
        <v>0</v>
      </c>
      <c r="W32" s="26">
        <f>股权价值增加表!W27</f>
        <v>0</v>
      </c>
      <c r="X32" s="26">
        <f>股权价值增加表!X27</f>
        <v>0</v>
      </c>
      <c r="Y32" s="26">
        <f>股权价值增加表!Y27</f>
        <v>15513189.359999999</v>
      </c>
      <c r="Z32" s="26">
        <f>股权价值增加表!Z27</f>
        <v>0</v>
      </c>
      <c r="AA32" s="26">
        <f>股权价值增加表!AA27</f>
        <v>0</v>
      </c>
      <c r="AB32" s="26">
        <f>股权价值增加表!AB27</f>
        <v>0</v>
      </c>
      <c r="AC32" s="26">
        <f>股权价值增加表!AC27</f>
        <v>6952112.5</v>
      </c>
      <c r="AD32" s="26">
        <f>股权价值增加表!AD27</f>
        <v>0</v>
      </c>
      <c r="AE32" s="26">
        <f>股权价值增加表!AE27</f>
        <v>0</v>
      </c>
      <c r="AF32" s="26">
        <f>股权价值增加表!AF27</f>
        <v>0</v>
      </c>
      <c r="AG32" s="26">
        <f>股权价值增加表!AG27</f>
        <v>-1324454.21</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75290672</v>
      </c>
      <c r="AP32" s="26">
        <f>股权价值增加表!AP27</f>
        <v>28784091</v>
      </c>
      <c r="AQ32" s="26">
        <f>股权价值增加表!AQ27</f>
        <v>50906440</v>
      </c>
      <c r="AR32" s="26">
        <f>股权价值增加表!AR27</f>
        <v>43814249</v>
      </c>
      <c r="AS32" s="26">
        <f>股权价值增加表!AS27</f>
        <v>-44659784</v>
      </c>
      <c r="AT32" s="26">
        <f>股权价值增加表!AT27</f>
        <v>200263335</v>
      </c>
      <c r="AU32" s="26">
        <f>股权价值增加表!AU27</f>
        <v>221606916</v>
      </c>
      <c r="AV32" s="26">
        <f>股权价值增加表!AV27</f>
        <v>217868111</v>
      </c>
      <c r="AW32" s="26">
        <f>股权价值增加表!AW27</f>
        <v>157168368</v>
      </c>
      <c r="AX32" s="26">
        <f>股权价值增加表!AX27</f>
        <v>138057057</v>
      </c>
      <c r="AY32" s="26">
        <f>股权价值增加表!AY27</f>
        <v>87479921</v>
      </c>
      <c r="AZ32" s="26">
        <f>股权价值增加表!AZ27</f>
        <v>38948566</v>
      </c>
      <c r="BA32" s="26">
        <f>股权价值增加表!BA27</f>
        <v>113301589</v>
      </c>
      <c r="BB32" s="26">
        <f>股权价值增加表!BB27</f>
        <v>89939587</v>
      </c>
      <c r="BC32" s="26">
        <f>股权价值增加表!BC27</f>
        <v>66406176</v>
      </c>
      <c r="BD32" s="26">
        <f>股权价值增加表!BD27</f>
        <v>32739923</v>
      </c>
      <c r="BE32" s="26">
        <f>股权价值增加表!BE27</f>
        <v>286112046</v>
      </c>
      <c r="BF32" s="26">
        <f>股权价值增加表!BF27</f>
        <v>206559792.81999999</v>
      </c>
      <c r="BG32" s="26">
        <f>股权价值增加表!BG27</f>
        <v>165179911.53</v>
      </c>
      <c r="BH32" s="26">
        <f>股权价值增加表!BH27</f>
        <v>78125625.650000006</v>
      </c>
      <c r="BI32" s="26">
        <f>股权价值增加表!BI27</f>
        <v>53204161</v>
      </c>
      <c r="BJ32" s="26">
        <f>股权价值增加表!BJ27</f>
        <v>4681908.37</v>
      </c>
      <c r="BK32" s="26">
        <f>股权价值增加表!BK27</f>
        <v>6034700.5800000001</v>
      </c>
      <c r="BL32" s="26">
        <f>股权价值增加表!BL27</f>
        <v>15558077.91</v>
      </c>
      <c r="BM32" s="26">
        <f>股权价值增加表!BM27</f>
        <v>65379188</v>
      </c>
      <c r="BN32" s="26">
        <f>股权价值增加表!BN27</f>
        <v>39136404.890000001</v>
      </c>
      <c r="BO32" s="26">
        <f>股权价值增加表!BO27</f>
        <v>17808258.879999999</v>
      </c>
      <c r="BP32" s="26">
        <f>股权价值增加表!BP27</f>
        <v>2808093.15</v>
      </c>
      <c r="BQ32" s="26">
        <f>股权价值增加表!BQ27</f>
        <v>-15965737</v>
      </c>
      <c r="BR32" s="26">
        <f>股权价值增加表!BR27</f>
        <v>10466286.75</v>
      </c>
      <c r="BS32" s="26">
        <f>股权价值增加表!BS27</f>
        <v>58008092</v>
      </c>
      <c r="BT32" s="26">
        <f>股权价值增加表!BT27</f>
        <v>31267187</v>
      </c>
      <c r="BU32" s="26">
        <f>股权价值增加表!BU27</f>
        <v>52262841</v>
      </c>
      <c r="BV32" s="26">
        <f>股权价值增加表!BV27</f>
        <v>15953986.210000001</v>
      </c>
      <c r="BW32" s="26">
        <f>股权价值增加表!BW27</f>
        <v>40708000</v>
      </c>
      <c r="BX32" s="26">
        <f>股权价值增加表!BX27</f>
        <v>19592366.059999999</v>
      </c>
      <c r="BY32" s="26">
        <f>股权价值增加表!BY27</f>
        <v>61388000</v>
      </c>
      <c r="BZ32" s="26">
        <f>股权价值增加表!BZ27</f>
        <v>31066000</v>
      </c>
      <c r="CA32" s="26">
        <f>股权价值增加表!CA27</f>
        <v>106110000</v>
      </c>
      <c r="CB32" s="26">
        <f>股权价值增加表!CB27</f>
        <v>106170000</v>
      </c>
      <c r="CC32" s="26">
        <f>股权价值增加表!CC27</f>
        <v>100099000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4" t="s">
        <v>380</v>
      </c>
      <c r="E33" s="59">
        <f>E32/E34</f>
        <v>0.53339034480443537</v>
      </c>
      <c r="F33" s="59">
        <f t="shared" ref="F33:BQ33" si="32">F32/F34</f>
        <v>0.5758522921690542</v>
      </c>
      <c r="G33" s="59">
        <f t="shared" si="32"/>
        <v>0.65234424107226896</v>
      </c>
      <c r="H33" s="59">
        <f t="shared" si="32"/>
        <v>-9.3563879738010262E-4</v>
      </c>
      <c r="I33" s="59">
        <f t="shared" si="32"/>
        <v>1.4125947659321756E-3</v>
      </c>
      <c r="J33" s="59">
        <f t="shared" si="32"/>
        <v>-1.791567303840467E-4</v>
      </c>
      <c r="K33" s="59">
        <f t="shared" si="32"/>
        <v>-4.2752168078600438E-4</v>
      </c>
      <c r="L33" s="59">
        <f t="shared" si="32"/>
        <v>-1.8604382106965402E-4</v>
      </c>
      <c r="M33" s="59">
        <f t="shared" si="32"/>
        <v>8.4948135070361877E-3</v>
      </c>
      <c r="N33" s="59">
        <f t="shared" si="32"/>
        <v>6.7778390738379836E-4</v>
      </c>
      <c r="O33" s="59">
        <f t="shared" si="32"/>
        <v>3.604026023783473E-4</v>
      </c>
      <c r="P33" s="59">
        <f t="shared" si="32"/>
        <v>4.3742970604922642E-5</v>
      </c>
      <c r="Q33" s="59">
        <f t="shared" si="32"/>
        <v>8.3162207397230112E-3</v>
      </c>
      <c r="R33" s="59">
        <f t="shared" si="32"/>
        <v>6.1108853783767283E-3</v>
      </c>
      <c r="S33" s="59">
        <f t="shared" si="32"/>
        <v>1.6254555946102641E-4</v>
      </c>
      <c r="T33" s="59">
        <f t="shared" si="32"/>
        <v>2.4440993795990957E-4</v>
      </c>
      <c r="U33" s="59">
        <f t="shared" si="32"/>
        <v>6.767921983922931E-2</v>
      </c>
      <c r="V33" s="59">
        <f t="shared" si="32"/>
        <v>0</v>
      </c>
      <c r="W33" s="59">
        <f t="shared" si="32"/>
        <v>0</v>
      </c>
      <c r="X33" s="59">
        <f t="shared" si="32"/>
        <v>0</v>
      </c>
      <c r="Y33" s="59">
        <f t="shared" si="32"/>
        <v>0.13642790154906698</v>
      </c>
      <c r="Z33" s="59">
        <f t="shared" si="32"/>
        <v>0</v>
      </c>
      <c r="AA33" s="59">
        <f t="shared" si="32"/>
        <v>0</v>
      </c>
      <c r="AB33" s="59">
        <f t="shared" si="32"/>
        <v>0</v>
      </c>
      <c r="AC33" s="59">
        <f t="shared" si="32"/>
        <v>3.9599387984615979E-2</v>
      </c>
      <c r="AD33" s="59">
        <f t="shared" si="32"/>
        <v>0</v>
      </c>
      <c r="AE33" s="59">
        <f t="shared" si="32"/>
        <v>0</v>
      </c>
      <c r="AF33" s="59">
        <f t="shared" si="32"/>
        <v>0</v>
      </c>
      <c r="AG33" s="59">
        <f t="shared" si="32"/>
        <v>-6.8607834310322469E-3</v>
      </c>
      <c r="AH33" s="59">
        <f t="shared" si="32"/>
        <v>0</v>
      </c>
      <c r="AI33" s="59">
        <f t="shared" si="32"/>
        <v>0</v>
      </c>
      <c r="AJ33" s="59">
        <f t="shared" si="32"/>
        <v>0</v>
      </c>
      <c r="AK33" s="59">
        <f t="shared" si="32"/>
        <v>0</v>
      </c>
      <c r="AL33" s="59">
        <f t="shared" si="32"/>
        <v>0</v>
      </c>
      <c r="AM33" s="59" t="e">
        <f t="shared" si="32"/>
        <v>#DIV/0!</v>
      </c>
      <c r="AN33" s="59" t="e">
        <f t="shared" si="32"/>
        <v>#DIV/0!</v>
      </c>
      <c r="AO33" s="59">
        <f t="shared" si="32"/>
        <v>1</v>
      </c>
      <c r="AP33" s="59">
        <f t="shared" si="32"/>
        <v>1</v>
      </c>
      <c r="AQ33" s="59">
        <f t="shared" si="32"/>
        <v>1</v>
      </c>
      <c r="AR33" s="59">
        <f t="shared" si="32"/>
        <v>1</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4" t="s">
        <v>376</v>
      </c>
      <c r="E34" s="58">
        <f>股权价值增加表!E31</f>
        <v>962175499.18000007</v>
      </c>
      <c r="F34" s="58">
        <f>股权价值增加表!F31</f>
        <v>854729012.47999978</v>
      </c>
      <c r="G34" s="58">
        <f>股权价值增加表!G31</f>
        <v>746806528.6500001</v>
      </c>
      <c r="H34" s="58">
        <f>股权价值增加表!H31</f>
        <v>159890163.19000006</v>
      </c>
      <c r="I34" s="58">
        <f>股权价值增加表!I31</f>
        <v>614679128.74999976</v>
      </c>
      <c r="J34" s="58">
        <f>股权价值增加表!J31</f>
        <v>469423447.39000016</v>
      </c>
      <c r="K34" s="58">
        <f>股权价值增加表!K31</f>
        <v>325839217.66000015</v>
      </c>
      <c r="L34" s="58">
        <f>股权价值增加表!L31</f>
        <v>149147226.92999998</v>
      </c>
      <c r="M34" s="58">
        <f>股权价值增加表!M31</f>
        <v>481687479.84999985</v>
      </c>
      <c r="N34" s="58">
        <f>股权价值增加表!N31</f>
        <v>325424884.83000004</v>
      </c>
      <c r="O34" s="58">
        <f>股权价值增加表!O31</f>
        <v>170595521.76999998</v>
      </c>
      <c r="P34" s="58">
        <f>股权价值增加表!P31</f>
        <v>65708614.670000024</v>
      </c>
      <c r="Q34" s="58">
        <f>股权价值增加表!Q31</f>
        <v>238413874.77000013</v>
      </c>
      <c r="R34" s="58">
        <f>股权价值增加表!R31</f>
        <v>114000204.04000007</v>
      </c>
      <c r="S34" s="58">
        <f>股权价值增加表!S31</f>
        <v>66033424.940000042</v>
      </c>
      <c r="T34" s="58">
        <f>股权价值增加表!T31</f>
        <v>26200775.850000013</v>
      </c>
      <c r="U34" s="58">
        <f>股权价值增加表!U31</f>
        <v>104209097.22000001</v>
      </c>
      <c r="V34" s="58">
        <f>股权价值增加表!V31</f>
        <v>74085401.459999934</v>
      </c>
      <c r="W34" s="58">
        <f>股权价值增加表!W31</f>
        <v>53287896.070000008</v>
      </c>
      <c r="X34" s="58">
        <f>股权价值增加表!X31</f>
        <v>22051701.420000006</v>
      </c>
      <c r="Y34" s="58">
        <f>股权价值增加表!Y31</f>
        <v>113709799.70999996</v>
      </c>
      <c r="Z34" s="58">
        <f>股权价值增加表!Z31</f>
        <v>90535178.510000035</v>
      </c>
      <c r="AA34" s="58">
        <f>股权价值增加表!AA31</f>
        <v>66034172.980000041</v>
      </c>
      <c r="AB34" s="58">
        <f>股权价值增加表!AB31</f>
        <v>28907534.690000001</v>
      </c>
      <c r="AC34" s="58">
        <f>股权价值增加表!AC31</f>
        <v>175561109.75000006</v>
      </c>
      <c r="AD34" s="58">
        <f>股权价值增加表!AD31</f>
        <v>150152713.80999997</v>
      </c>
      <c r="AE34" s="58">
        <f>股权价值增加表!AE31</f>
        <v>113786992.81999999</v>
      </c>
      <c r="AF34" s="58">
        <f>股权价值增加表!AF31</f>
        <v>51707357.220000014</v>
      </c>
      <c r="AG34" s="58">
        <f>股权价值增加表!AG31</f>
        <v>193047080.31000006</v>
      </c>
      <c r="AH34" s="58">
        <f>股权价值增加表!AH31</f>
        <v>147977937.01000002</v>
      </c>
      <c r="AI34" s="58">
        <f>股权价值增加表!AI31</f>
        <v>96954717.179999962</v>
      </c>
      <c r="AJ34" s="58">
        <f>股权价值增加表!AJ31</f>
        <v>47700764.059999995</v>
      </c>
      <c r="AK34" s="58">
        <f>股权价值增加表!AK31</f>
        <v>122363005.41999996</v>
      </c>
      <c r="AL34" s="58">
        <f>股权价值增加表!AL31</f>
        <v>93604573.879999995</v>
      </c>
      <c r="AM34" s="58">
        <f>股权价值增加表!AM31</f>
        <v>0</v>
      </c>
      <c r="AN34" s="58">
        <f>股权价值增加表!AN31</f>
        <v>0</v>
      </c>
      <c r="AO34" s="58">
        <f>股权价值增加表!AO31</f>
        <v>75290672</v>
      </c>
      <c r="AP34" s="58">
        <f>股权价值增加表!AP31</f>
        <v>28784091</v>
      </c>
      <c r="AQ34" s="58">
        <f>股权价值增加表!AQ31</f>
        <v>50906440</v>
      </c>
      <c r="AR34" s="58">
        <f>股权价值增加表!AR31</f>
        <v>43814249</v>
      </c>
      <c r="AS34" s="58">
        <f>股权价值增加表!AS31</f>
        <v>-44659784</v>
      </c>
      <c r="AT34" s="58">
        <f>股权价值增加表!AT31</f>
        <v>200263335</v>
      </c>
      <c r="AU34" s="58">
        <f>股权价值增加表!AU31</f>
        <v>221606916</v>
      </c>
      <c r="AV34" s="58">
        <f>股权价值增加表!AV31</f>
        <v>217868111</v>
      </c>
      <c r="AW34" s="58">
        <f>股权价值增加表!AW31</f>
        <v>157168368</v>
      </c>
      <c r="AX34" s="58">
        <f>股权价值增加表!AX31</f>
        <v>138057057</v>
      </c>
      <c r="AY34" s="58">
        <f>股权价值增加表!AY31</f>
        <v>87479921</v>
      </c>
      <c r="AZ34" s="58">
        <f>股权价值增加表!AZ31</f>
        <v>38948566</v>
      </c>
      <c r="BA34" s="58">
        <f>股权价值增加表!BA31</f>
        <v>113301589</v>
      </c>
      <c r="BB34" s="58">
        <f>股权价值增加表!BB31</f>
        <v>89939587</v>
      </c>
      <c r="BC34" s="58">
        <f>股权价值增加表!BC31</f>
        <v>66406176</v>
      </c>
      <c r="BD34" s="58">
        <f>股权价值增加表!BD31</f>
        <v>32739923</v>
      </c>
      <c r="BE34" s="58">
        <f>股权价值增加表!BE31</f>
        <v>286112046</v>
      </c>
      <c r="BF34" s="58">
        <f>股权价值增加表!BF31</f>
        <v>206559792.81999999</v>
      </c>
      <c r="BG34" s="58">
        <f>股权价值增加表!BG31</f>
        <v>165179911.53</v>
      </c>
      <c r="BH34" s="58">
        <f>股权价值增加表!BH31</f>
        <v>78125625.650000006</v>
      </c>
      <c r="BI34" s="58">
        <f>股权价值增加表!BI31</f>
        <v>53204161</v>
      </c>
      <c r="BJ34" s="58">
        <f>股权价值增加表!BJ31</f>
        <v>4681908.37</v>
      </c>
      <c r="BK34" s="58">
        <f>股权价值增加表!BK31</f>
        <v>6034700.5800000001</v>
      </c>
      <c r="BL34" s="58">
        <f>股权价值增加表!BL31</f>
        <v>15558077.91</v>
      </c>
      <c r="BM34" s="58">
        <f>股权价值增加表!BM31</f>
        <v>65379188</v>
      </c>
      <c r="BN34" s="58">
        <f>股权价值增加表!BN31</f>
        <v>39136404.890000001</v>
      </c>
      <c r="BO34" s="58">
        <f>股权价值增加表!BO31</f>
        <v>17808258.879999999</v>
      </c>
      <c r="BP34" s="58">
        <f>股权价值增加表!BP31</f>
        <v>2808093.15</v>
      </c>
      <c r="BQ34" s="58">
        <f>股权价值增加表!BQ31</f>
        <v>-15965737</v>
      </c>
      <c r="BR34" s="58">
        <f>股权价值增加表!BR31</f>
        <v>10466286.75</v>
      </c>
      <c r="BS34" s="58">
        <f>股权价值增加表!BS31</f>
        <v>58008092</v>
      </c>
      <c r="BT34" s="58">
        <f>股权价值增加表!BT31</f>
        <v>31267187</v>
      </c>
      <c r="BU34" s="58">
        <f>股权价值增加表!BU31</f>
        <v>52262841</v>
      </c>
      <c r="BV34" s="58">
        <f>股权价值增加表!BV31</f>
        <v>15953986.210000001</v>
      </c>
      <c r="BW34" s="58">
        <f>股权价值增加表!BW31</f>
        <v>40708000</v>
      </c>
      <c r="BX34" s="58">
        <f>股权价值增加表!BX31</f>
        <v>19592366.059999999</v>
      </c>
      <c r="BY34" s="58">
        <f>股权价值增加表!BY31</f>
        <v>61388000</v>
      </c>
      <c r="BZ34" s="58">
        <f>股权价值增加表!BZ31</f>
        <v>31066000</v>
      </c>
      <c r="CA34" s="58">
        <f>股权价值增加表!CA31</f>
        <v>106110000</v>
      </c>
      <c r="CB34" s="58">
        <f>股权价值增加表!CB31</f>
        <v>106170000</v>
      </c>
      <c r="CC34" s="58">
        <f>股权价值增加表!CC31</f>
        <v>100099000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9" t="s">
        <v>674</v>
      </c>
      <c r="B35" s="290"/>
      <c r="C35" s="290"/>
      <c r="D35" s="290"/>
      <c r="E35" s="290"/>
      <c r="F35" s="290"/>
      <c r="G35" s="290"/>
      <c r="H35" s="290"/>
      <c r="I35" s="290"/>
      <c r="J35" s="290"/>
      <c r="K35" s="290"/>
      <c r="L35" s="290"/>
      <c r="M35" s="290"/>
      <c r="N35" s="290"/>
      <c r="O35" s="290"/>
      <c r="P35" s="290"/>
      <c r="Q35" s="290"/>
      <c r="R35" s="290"/>
      <c r="S35" s="290"/>
      <c r="T35" s="290"/>
      <c r="U35" s="290"/>
      <c r="V35" s="290"/>
      <c r="W35" s="290"/>
      <c r="X35" s="290"/>
      <c r="Y35" s="290"/>
      <c r="Z35" s="290"/>
      <c r="AA35" s="290"/>
      <c r="AB35" s="290"/>
      <c r="AC35" s="290"/>
      <c r="AD35" s="290"/>
      <c r="AE35" s="290"/>
      <c r="AF35" s="290"/>
      <c r="AG35" s="290"/>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39813</v>
      </c>
      <c r="AM38" s="1">
        <v>25569</v>
      </c>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376</v>
      </c>
      <c r="E39" s="26">
        <f>股权价值增加表!E31</f>
        <v>962175499.18000007</v>
      </c>
      <c r="F39" s="26">
        <f>股权价值增加表!F31</f>
        <v>854729012.47999978</v>
      </c>
      <c r="G39" s="26">
        <f>股权价值增加表!G31</f>
        <v>746806528.6500001</v>
      </c>
      <c r="H39" s="26">
        <f>股权价值增加表!H31</f>
        <v>159890163.19000006</v>
      </c>
      <c r="I39" s="26">
        <f>股权价值增加表!I31</f>
        <v>614679128.74999976</v>
      </c>
      <c r="J39" s="26">
        <f>股权价值增加表!J31</f>
        <v>469423447.39000016</v>
      </c>
      <c r="K39" s="26">
        <f>股权价值增加表!K31</f>
        <v>325839217.66000015</v>
      </c>
      <c r="L39" s="26">
        <f>股权价值增加表!L31</f>
        <v>149147226.92999998</v>
      </c>
      <c r="M39" s="26">
        <f>股权价值增加表!M31</f>
        <v>481687479.84999985</v>
      </c>
      <c r="N39" s="26">
        <f>股权价值增加表!N31</f>
        <v>325424884.83000004</v>
      </c>
      <c r="O39" s="26">
        <f>股权价值增加表!O31</f>
        <v>170595521.76999998</v>
      </c>
      <c r="P39" s="26">
        <f>股权价值增加表!P31</f>
        <v>65708614.670000024</v>
      </c>
      <c r="Q39" s="26">
        <f>股权价值增加表!Q31</f>
        <v>238413874.77000013</v>
      </c>
      <c r="R39" s="26">
        <f>股权价值增加表!R31</f>
        <v>114000204.04000007</v>
      </c>
      <c r="S39" s="26">
        <f>股权价值增加表!S31</f>
        <v>66033424.940000042</v>
      </c>
      <c r="T39" s="26">
        <f>股权价值增加表!T31</f>
        <v>26200775.850000013</v>
      </c>
      <c r="U39" s="26">
        <f>股权价值增加表!U31</f>
        <v>104209097.22000001</v>
      </c>
      <c r="V39" s="26">
        <f>股权价值增加表!V31</f>
        <v>74085401.459999934</v>
      </c>
      <c r="W39" s="26">
        <f>股权价值增加表!W31</f>
        <v>53287896.070000008</v>
      </c>
      <c r="X39" s="26">
        <f>股权价值增加表!X31</f>
        <v>22051701.420000006</v>
      </c>
      <c r="Y39" s="26">
        <f>股权价值增加表!Y31</f>
        <v>113709799.70999996</v>
      </c>
      <c r="Z39" s="26">
        <f>股权价值增加表!Z31</f>
        <v>90535178.510000035</v>
      </c>
      <c r="AA39" s="26">
        <f>股权价值增加表!AA31</f>
        <v>66034172.980000041</v>
      </c>
      <c r="AB39" s="26">
        <f>股权价值增加表!AB31</f>
        <v>28907534.690000001</v>
      </c>
      <c r="AC39" s="26">
        <f>股权价值增加表!AC31</f>
        <v>175561109.75000006</v>
      </c>
      <c r="AD39" s="26">
        <f>股权价值增加表!AD31</f>
        <v>150152713.80999997</v>
      </c>
      <c r="AE39" s="26">
        <f>股权价值增加表!AE31</f>
        <v>113786992.81999999</v>
      </c>
      <c r="AF39" s="26">
        <f>股权价值增加表!AF31</f>
        <v>51707357.220000014</v>
      </c>
      <c r="AG39" s="26">
        <f>股权价值增加表!AG31</f>
        <v>193047080.31000006</v>
      </c>
      <c r="AH39" s="26">
        <f>股权价值增加表!AH31</f>
        <v>147977937.01000002</v>
      </c>
      <c r="AI39" s="26">
        <f>股权价值增加表!AI31</f>
        <v>96954717.179999962</v>
      </c>
      <c r="AJ39" s="26">
        <f>股权价值增加表!AJ31</f>
        <v>47700764.059999995</v>
      </c>
      <c r="AK39" s="26">
        <f>股权价值增加表!AK31</f>
        <v>122363005.41999996</v>
      </c>
      <c r="AL39" s="26">
        <f>股权价值增加表!AL31</f>
        <v>93604573.879999995</v>
      </c>
      <c r="AM39" s="26">
        <f>股权价值增加表!AM31</f>
        <v>0</v>
      </c>
      <c r="AN39" s="26">
        <f>股权价值增加表!AN31</f>
        <v>0</v>
      </c>
      <c r="AO39" s="26">
        <f>股权价值增加表!AO31</f>
        <v>75290672</v>
      </c>
      <c r="AP39" s="26">
        <f>股权价值增加表!AP31</f>
        <v>28784091</v>
      </c>
      <c r="AQ39" s="26">
        <f>股权价值增加表!AQ31</f>
        <v>50906440</v>
      </c>
      <c r="AR39" s="26">
        <f>股权价值增加表!AR31</f>
        <v>43814249</v>
      </c>
      <c r="AS39" s="26">
        <f>股权价值增加表!AS31</f>
        <v>-44659784</v>
      </c>
      <c r="AT39" s="26">
        <f>股权价值增加表!AT31</f>
        <v>200263335</v>
      </c>
      <c r="AU39" s="26">
        <f>股权价值增加表!AU31</f>
        <v>221606916</v>
      </c>
      <c r="AV39" s="26">
        <f>股权价值增加表!AV31</f>
        <v>217868111</v>
      </c>
      <c r="AW39" s="26">
        <f>股权价值增加表!AW31</f>
        <v>157168368</v>
      </c>
      <c r="AX39" s="26">
        <f>股权价值增加表!AX31</f>
        <v>138057057</v>
      </c>
      <c r="AY39" s="26">
        <f>股权价值增加表!AY31</f>
        <v>87479921</v>
      </c>
      <c r="AZ39" s="26">
        <f>股权价值增加表!AZ31</f>
        <v>38948566</v>
      </c>
      <c r="BA39" s="26">
        <f>股权价值增加表!BA31</f>
        <v>113301589</v>
      </c>
      <c r="BB39" s="26">
        <f>股权价值增加表!BB31</f>
        <v>89939587</v>
      </c>
      <c r="BC39" s="26">
        <f>股权价值增加表!BC31</f>
        <v>66406176</v>
      </c>
      <c r="BD39" s="26">
        <f>股权价值增加表!BD31</f>
        <v>32739923</v>
      </c>
      <c r="BE39" s="26">
        <f>股权价值增加表!BE31</f>
        <v>286112046</v>
      </c>
      <c r="BF39" s="26">
        <f>股权价值增加表!BF31</f>
        <v>206559792.81999999</v>
      </c>
      <c r="BG39" s="26">
        <f>股权价值增加表!BG31</f>
        <v>165179911.53</v>
      </c>
      <c r="BH39" s="26">
        <f>股权价值增加表!BH31</f>
        <v>78125625.650000006</v>
      </c>
      <c r="BI39" s="26">
        <f>股权价值增加表!BI31</f>
        <v>53204161</v>
      </c>
      <c r="BJ39" s="26">
        <f>股权价值增加表!BJ31</f>
        <v>4681908.37</v>
      </c>
      <c r="BK39" s="26">
        <f>股权价值增加表!BK31</f>
        <v>6034700.5800000001</v>
      </c>
      <c r="BL39" s="26">
        <f>股权价值增加表!BL31</f>
        <v>15558077.91</v>
      </c>
      <c r="BM39" s="26">
        <f>股权价值增加表!BM31</f>
        <v>65379188</v>
      </c>
      <c r="BN39" s="26">
        <f>股权价值增加表!BN31</f>
        <v>39136404.890000001</v>
      </c>
      <c r="BO39" s="26">
        <f>股权价值增加表!BO31</f>
        <v>17808258.879999999</v>
      </c>
      <c r="BP39" s="26">
        <f>股权价值增加表!BP31</f>
        <v>2808093.15</v>
      </c>
      <c r="BQ39" s="26">
        <f>股权价值增加表!BQ31</f>
        <v>-15965737</v>
      </c>
      <c r="BR39" s="26">
        <f>股权价值增加表!BR31</f>
        <v>10466286.75</v>
      </c>
      <c r="BS39" s="26">
        <f>股权价值增加表!BS31</f>
        <v>58008092</v>
      </c>
      <c r="BT39" s="26">
        <f>股权价值增加表!BT31</f>
        <v>31267187</v>
      </c>
      <c r="BU39" s="26">
        <f>股权价值增加表!BU31</f>
        <v>52262841</v>
      </c>
      <c r="BV39" s="26">
        <f>股权价值增加表!BV31</f>
        <v>15953986.210000001</v>
      </c>
      <c r="BW39" s="26">
        <f>股权价值增加表!BW31</f>
        <v>40708000</v>
      </c>
      <c r="BX39" s="26">
        <f>股权价值增加表!BX31</f>
        <v>19592366.059999999</v>
      </c>
      <c r="BY39" s="26">
        <f>股权价值增加表!BY31</f>
        <v>61388000</v>
      </c>
      <c r="BZ39" s="26">
        <f>股权价值增加表!BZ31</f>
        <v>31066000</v>
      </c>
      <c r="CA39" s="26">
        <f>股权价值增加表!CA31</f>
        <v>106110000</v>
      </c>
      <c r="CB39" s="26">
        <f>股权价值增加表!CB31</f>
        <v>106170000</v>
      </c>
      <c r="CC39" s="26">
        <f>股权价值增加表!CC31</f>
        <v>100099000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939502438.4000001</v>
      </c>
      <c r="F40" s="26">
        <f>股权价值增加表!F38</f>
        <v>843707219.12999976</v>
      </c>
      <c r="G40" s="26">
        <f>股权价值增加表!G38</f>
        <v>738090316.80000007</v>
      </c>
      <c r="H40" s="26">
        <f>股权价值增加表!H38</f>
        <v>156153865.36000004</v>
      </c>
      <c r="I40" s="26">
        <f>股权价值增加表!I38</f>
        <v>593066388.25999975</v>
      </c>
      <c r="J40" s="26">
        <f>股权价值增加表!J38</f>
        <v>456705509.62000018</v>
      </c>
      <c r="K40" s="26">
        <f>股权价值增加表!K38</f>
        <v>317751552.77000016</v>
      </c>
      <c r="L40" s="26">
        <f>股权价值增加表!L38</f>
        <v>144715836.99999997</v>
      </c>
      <c r="M40" s="26">
        <f>股权价值增加表!M38</f>
        <v>462796278.44999987</v>
      </c>
      <c r="N40" s="26">
        <f>股权价值增加表!N38</f>
        <v>317445031.87000006</v>
      </c>
      <c r="O40" s="26">
        <f>股权价值增加表!O38</f>
        <v>168037593.52999997</v>
      </c>
      <c r="P40" s="26">
        <f>股权价值增加表!P38</f>
        <v>64119234.810000025</v>
      </c>
      <c r="Q40" s="26">
        <f>股权价值增加表!Q38</f>
        <v>235793191.65000013</v>
      </c>
      <c r="R40" s="26">
        <f>股权价值增加表!R38</f>
        <v>112283667.69000007</v>
      </c>
      <c r="S40" s="26">
        <f>股权价值增加表!S38</f>
        <v>65424046.180000044</v>
      </c>
      <c r="T40" s="26">
        <f>股权价值增加表!T38</f>
        <v>26037387.740000013</v>
      </c>
      <c r="U40" s="26">
        <f>股权价值增加表!U38</f>
        <v>98309783.050000012</v>
      </c>
      <c r="V40" s="26">
        <f>股权价值增加表!V38</f>
        <v>76419297.85999994</v>
      </c>
      <c r="W40" s="26">
        <f>股权价值增加表!W38</f>
        <v>54945125.530000009</v>
      </c>
      <c r="X40" s="26">
        <f>股权价值增加表!X38</f>
        <v>23001007.470000006</v>
      </c>
      <c r="Y40" s="26">
        <f>股权价值增加表!Y38</f>
        <v>110650848.12999997</v>
      </c>
      <c r="Z40" s="26">
        <f>股权价值增加表!Z38</f>
        <v>101539117.49000004</v>
      </c>
      <c r="AA40" s="26">
        <f>股权价值增加表!AA38</f>
        <v>74487579.060000047</v>
      </c>
      <c r="AB40" s="26">
        <f>股权价值增加表!AB38</f>
        <v>33259237.190000001</v>
      </c>
      <c r="AC40" s="26">
        <f>股权价值增加表!AC38</f>
        <v>162626223.83000007</v>
      </c>
      <c r="AD40" s="26">
        <f>股权价值增加表!AD38</f>
        <v>140858631.49999997</v>
      </c>
      <c r="AE40" s="26">
        <f>股权价值增加表!AE38</f>
        <v>104021132.89999999</v>
      </c>
      <c r="AF40" s="26">
        <f>股权价值增加表!AF38</f>
        <v>47789162.110000014</v>
      </c>
      <c r="AG40" s="26">
        <f>股权价值增加表!AG38</f>
        <v>178826147.04000005</v>
      </c>
      <c r="AH40" s="26">
        <f>股权价值增加表!AH38</f>
        <v>138622584.96000001</v>
      </c>
      <c r="AI40" s="26">
        <f>股权价值增加表!AI38</f>
        <v>91574907.059999958</v>
      </c>
      <c r="AJ40" s="26">
        <f>股权价值增加表!AJ38</f>
        <v>45410828.119999997</v>
      </c>
      <c r="AK40" s="26">
        <f>股权价值增加表!AK38</f>
        <v>113876193.65999995</v>
      </c>
      <c r="AL40" s="26">
        <f>股权价值增加表!AL38</f>
        <v>84002622.590000004</v>
      </c>
      <c r="AM40" s="26">
        <f>股权价值增加表!AM38</f>
        <v>0</v>
      </c>
      <c r="AN40" s="26">
        <f>股权价值增加表!AN38</f>
        <v>-26282532</v>
      </c>
      <c r="AO40" s="26">
        <f>股权价值增加表!AO38</f>
        <v>-115895364</v>
      </c>
      <c r="AP40" s="26">
        <f>股权价值增加表!AP38</f>
        <v>-21341716</v>
      </c>
      <c r="AQ40" s="26">
        <f>股权价值增加表!AQ38</f>
        <v>38221907</v>
      </c>
      <c r="AR40" s="26">
        <f>股权价值增加表!AR38</f>
        <v>9801065</v>
      </c>
      <c r="AS40" s="26">
        <f>股权价值增加表!AS38</f>
        <v>-334508252</v>
      </c>
      <c r="AT40" s="26">
        <f>股权价值增加表!AT38</f>
        <v>-59105051</v>
      </c>
      <c r="AU40" s="26">
        <f>股权价值增加表!AU38</f>
        <v>52010453</v>
      </c>
      <c r="AV40" s="26">
        <f>股权价值增加表!AV38</f>
        <v>108454215</v>
      </c>
      <c r="AW40" s="26">
        <f>股权价值增加表!AW38</f>
        <v>-467126914</v>
      </c>
      <c r="AX40" s="26">
        <f>股权价值增加表!AX38</f>
        <v>-406404405</v>
      </c>
      <c r="AY40" s="26">
        <f>股权价值增加表!AY38</f>
        <v>-258831066</v>
      </c>
      <c r="AZ40" s="26">
        <f>股权价值增加表!AZ38</f>
        <v>-77154272</v>
      </c>
      <c r="BA40" s="26">
        <f>股权价值增加表!BA38</f>
        <v>-348469867</v>
      </c>
      <c r="BB40" s="26">
        <f>股权价值增加表!BB38</f>
        <v>-184293805</v>
      </c>
      <c r="BC40" s="26">
        <f>股权价值增加表!BC38</f>
        <v>-104318566</v>
      </c>
      <c r="BD40" s="26">
        <f>股权价值增加表!BD38</f>
        <v>-16059318</v>
      </c>
      <c r="BE40" s="26">
        <f>股权价值增加表!BE38</f>
        <v>272213048</v>
      </c>
      <c r="BF40" s="26">
        <f>股权价值增加表!BF38</f>
        <v>143645710.22</v>
      </c>
      <c r="BG40" s="26">
        <f>股权价值增加表!BG38</f>
        <v>128862702.39</v>
      </c>
      <c r="BH40" s="26">
        <f>股权价值增加表!BH38</f>
        <v>56874086.720000006</v>
      </c>
      <c r="BI40" s="26">
        <f>股权价值增加表!BI38</f>
        <v>-209147629</v>
      </c>
      <c r="BJ40" s="26">
        <f>股权价值增加表!BJ38</f>
        <v>-174154547.63</v>
      </c>
      <c r="BK40" s="26">
        <f>股权价值增加表!BK38</f>
        <v>-148440100.16999999</v>
      </c>
      <c r="BL40" s="26">
        <f>股权价值增加表!BL38</f>
        <v>-135603637.75999999</v>
      </c>
      <c r="BM40" s="26">
        <f>股权价值增加表!BM38</f>
        <v>-163120</v>
      </c>
      <c r="BN40" s="26">
        <f>股权价值增加表!BN38</f>
        <v>-19320277.689999998</v>
      </c>
      <c r="BO40" s="26">
        <f>股权价值增加表!BO38</f>
        <v>-14030276.460000001</v>
      </c>
      <c r="BP40" s="26">
        <f>股权价值增加表!BP38</f>
        <v>-12804175.32</v>
      </c>
      <c r="BQ40" s="26">
        <f>股权价值增加表!BQ38</f>
        <v>-36495264</v>
      </c>
      <c r="BR40" s="26">
        <f>股权价值增加表!BR38</f>
        <v>1769269.5600000005</v>
      </c>
      <c r="BS40" s="26">
        <f>股权价值增加表!BS38</f>
        <v>32058830</v>
      </c>
      <c r="BT40" s="26">
        <f>股权价值增加表!BT38</f>
        <v>21279564</v>
      </c>
      <c r="BU40" s="26">
        <f>股权价值增加表!BU38</f>
        <v>38964558</v>
      </c>
      <c r="BV40" s="26">
        <f>股权价值增加表!BV38</f>
        <v>9617858.9400000013</v>
      </c>
      <c r="BW40" s="26">
        <f>股权价值增加表!BW38</f>
        <v>44892000</v>
      </c>
      <c r="BX40" s="26">
        <f>股权价值增加表!BX38</f>
        <v>23038772.859999999</v>
      </c>
      <c r="BY40" s="26">
        <f>股权价值增加表!BY38</f>
        <v>70799000</v>
      </c>
      <c r="BZ40" s="26">
        <f>股权价值增加表!BZ38</f>
        <v>31066000</v>
      </c>
      <c r="CA40" s="26">
        <f>股权价值增加表!CA38</f>
        <v>90784000</v>
      </c>
      <c r="CB40" s="26">
        <f>股权价值增加表!CB38</f>
        <v>95189000</v>
      </c>
      <c r="CC40" s="26">
        <f>股权价值增加表!CC38</f>
        <v>89397000</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2.3564371363979597E-2</v>
      </c>
      <c r="F41" s="59">
        <f t="shared" ref="F41:BQ41" si="34">1-F40/F39</f>
        <v>1.2895073396444356E-2</v>
      </c>
      <c r="G41" s="59">
        <f t="shared" si="34"/>
        <v>1.1671311799799411E-2</v>
      </c>
      <c r="H41" s="59">
        <f t="shared" si="34"/>
        <v>2.3367903037037396E-2</v>
      </c>
      <c r="I41" s="59">
        <f t="shared" si="34"/>
        <v>3.5161012435791172E-2</v>
      </c>
      <c r="J41" s="59">
        <f t="shared" si="34"/>
        <v>2.7092676858627041E-2</v>
      </c>
      <c r="K41" s="59">
        <f t="shared" si="34"/>
        <v>2.4821029672490558E-2</v>
      </c>
      <c r="L41" s="59">
        <f t="shared" si="34"/>
        <v>2.9711514060397626E-2</v>
      </c>
      <c r="M41" s="59">
        <f t="shared" si="34"/>
        <v>3.9218792661754098E-2</v>
      </c>
      <c r="N41" s="59">
        <f t="shared" si="34"/>
        <v>2.4521336050156717E-2</v>
      </c>
      <c r="O41" s="59">
        <f t="shared" si="34"/>
        <v>1.4994111295891233E-2</v>
      </c>
      <c r="P41" s="59">
        <f t="shared" si="34"/>
        <v>2.4188302675107964E-2</v>
      </c>
      <c r="Q41" s="59">
        <f t="shared" si="34"/>
        <v>1.0992158583590039E-2</v>
      </c>
      <c r="R41" s="59">
        <f t="shared" si="34"/>
        <v>1.5057309453566425E-2</v>
      </c>
      <c r="S41" s="59">
        <f t="shared" si="34"/>
        <v>9.2283379296727031E-3</v>
      </c>
      <c r="T41" s="59">
        <f t="shared" si="34"/>
        <v>6.2360027403539631E-3</v>
      </c>
      <c r="U41" s="59">
        <f t="shared" si="34"/>
        <v>5.6610356747892387E-2</v>
      </c>
      <c r="V41" s="59">
        <f t="shared" si="34"/>
        <v>-3.1502784003406115E-2</v>
      </c>
      <c r="W41" s="59">
        <f t="shared" si="34"/>
        <v>-3.1099547593754329E-2</v>
      </c>
      <c r="X41" s="59">
        <f t="shared" si="34"/>
        <v>-4.3049106820348015E-2</v>
      </c>
      <c r="Y41" s="59">
        <f t="shared" si="34"/>
        <v>2.690138921888352E-2</v>
      </c>
      <c r="Z41" s="59">
        <f t="shared" si="34"/>
        <v>-0.12154324055134613</v>
      </c>
      <c r="AA41" s="59">
        <f t="shared" si="34"/>
        <v>-0.12801562734132088</v>
      </c>
      <c r="AB41" s="59">
        <f t="shared" si="34"/>
        <v>-0.15053869334299841</v>
      </c>
      <c r="AC41" s="59">
        <f t="shared" si="34"/>
        <v>7.3677398932026184E-2</v>
      </c>
      <c r="AD41" s="59">
        <f t="shared" si="34"/>
        <v>6.1897531347722023E-2</v>
      </c>
      <c r="AE41" s="59">
        <f t="shared" si="34"/>
        <v>8.5825802035639054E-2</v>
      </c>
      <c r="AF41" s="59">
        <f t="shared" si="34"/>
        <v>7.5776356028586012E-2</v>
      </c>
      <c r="AG41" s="59">
        <f t="shared" si="34"/>
        <v>7.3665622122663921E-2</v>
      </c>
      <c r="AH41" s="59">
        <f t="shared" si="34"/>
        <v>6.3221262838444647E-2</v>
      </c>
      <c r="AI41" s="59">
        <f t="shared" si="34"/>
        <v>5.5487863576685892E-2</v>
      </c>
      <c r="AJ41" s="59">
        <f t="shared" si="34"/>
        <v>4.8006273801392774E-2</v>
      </c>
      <c r="AK41" s="59">
        <f t="shared" si="34"/>
        <v>6.9357660273787758E-2</v>
      </c>
      <c r="AL41" s="59">
        <f t="shared" si="34"/>
        <v>0.10257993698373735</v>
      </c>
      <c r="AM41" s="59" t="e">
        <f t="shared" si="34"/>
        <v>#DIV/0!</v>
      </c>
      <c r="AN41" s="59" t="e">
        <f t="shared" si="34"/>
        <v>#DIV/0!</v>
      </c>
      <c r="AO41" s="59">
        <f t="shared" si="34"/>
        <v>2.5393057456041834</v>
      </c>
      <c r="AP41" s="59">
        <f t="shared" si="34"/>
        <v>1.7414413746815907</v>
      </c>
      <c r="AQ41" s="59">
        <f t="shared" si="34"/>
        <v>0.24917344446007228</v>
      </c>
      <c r="AR41" s="59">
        <f t="shared" si="34"/>
        <v>0.77630416534127966</v>
      </c>
      <c r="AS41" s="59">
        <f t="shared" si="34"/>
        <v>-6.4901448694870538</v>
      </c>
      <c r="AT41" s="59">
        <f t="shared" si="34"/>
        <v>1.2951366559435356</v>
      </c>
      <c r="AU41" s="59">
        <f t="shared" si="34"/>
        <v>0.76530311445695132</v>
      </c>
      <c r="AV41" s="59">
        <f t="shared" si="34"/>
        <v>0.5022024356744893</v>
      </c>
      <c r="AW41" s="59">
        <f t="shared" si="34"/>
        <v>3.9721433132142723</v>
      </c>
      <c r="AX41" s="59">
        <f t="shared" si="34"/>
        <v>3.9437423470500317</v>
      </c>
      <c r="AY41" s="59">
        <f t="shared" si="34"/>
        <v>3.9587482823629894</v>
      </c>
      <c r="AZ41" s="59">
        <f t="shared" si="34"/>
        <v>2.9809271540318072</v>
      </c>
      <c r="BA41" s="59">
        <f t="shared" si="34"/>
        <v>4.0755955858659672</v>
      </c>
      <c r="BB41" s="59">
        <f t="shared" si="34"/>
        <v>3.0490844037342533</v>
      </c>
      <c r="BC41" s="59">
        <f t="shared" si="34"/>
        <v>2.5709166267908574</v>
      </c>
      <c r="BD41" s="59">
        <f t="shared" si="34"/>
        <v>1.4905117828163492</v>
      </c>
      <c r="BE41" s="59">
        <f t="shared" si="34"/>
        <v>4.8578863400948857E-2</v>
      </c>
      <c r="BF41" s="59">
        <f t="shared" si="34"/>
        <v>0.30458048849237807</v>
      </c>
      <c r="BG41" s="59">
        <f t="shared" si="34"/>
        <v>0.21986456345452188</v>
      </c>
      <c r="BH41" s="59">
        <f t="shared" si="34"/>
        <v>0.27201751990065504</v>
      </c>
      <c r="BI41" s="59">
        <f t="shared" si="34"/>
        <v>4.9310389463711308</v>
      </c>
      <c r="BJ41" s="59">
        <f t="shared" si="34"/>
        <v>38.197342166267127</v>
      </c>
      <c r="BK41" s="59">
        <f t="shared" si="34"/>
        <v>25.597757287570346</v>
      </c>
      <c r="BL41" s="59">
        <f t="shared" si="34"/>
        <v>9.7159634078474664</v>
      </c>
      <c r="BM41" s="59">
        <f t="shared" si="34"/>
        <v>1.0024949835718364</v>
      </c>
      <c r="BN41" s="59">
        <f t="shared" si="34"/>
        <v>1.4936651116601833</v>
      </c>
      <c r="BO41" s="59">
        <f t="shared" si="34"/>
        <v>1.7878522293808885</v>
      </c>
      <c r="BP41" s="59">
        <f t="shared" si="34"/>
        <v>5.559740235112927</v>
      </c>
      <c r="BQ41" s="59">
        <f t="shared" si="34"/>
        <v>-1.2858490027738774</v>
      </c>
      <c r="BR41" s="59">
        <f t="shared" ref="BR41:CK41" si="35">1-BR40/BR39</f>
        <v>0.83095537106319006</v>
      </c>
      <c r="BS41" s="59">
        <f t="shared" si="35"/>
        <v>0.44733865751005908</v>
      </c>
      <c r="BT41" s="59">
        <f t="shared" si="35"/>
        <v>0.31942825557028842</v>
      </c>
      <c r="BU41" s="59">
        <f t="shared" si="35"/>
        <v>0.25445005946002819</v>
      </c>
      <c r="BV41" s="59">
        <f t="shared" si="35"/>
        <v>0.39715010321548971</v>
      </c>
      <c r="BW41" s="59">
        <f t="shared" si="35"/>
        <v>-0.10278078019062598</v>
      </c>
      <c r="BX41" s="59">
        <f t="shared" si="35"/>
        <v>-0.17590559452828036</v>
      </c>
      <c r="BY41" s="59">
        <f t="shared" si="35"/>
        <v>-0.15330357724636734</v>
      </c>
      <c r="BZ41" s="59">
        <f t="shared" si="35"/>
        <v>0</v>
      </c>
      <c r="CA41" s="59">
        <f t="shared" si="35"/>
        <v>0.14443502026199229</v>
      </c>
      <c r="CB41" s="59">
        <f t="shared" si="35"/>
        <v>0.10342846378449655</v>
      </c>
      <c r="CC41" s="59">
        <f t="shared" si="35"/>
        <v>0.10691415498656331</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427</v>
      </c>
      <c r="E42" s="148">
        <f>E39/(E39-E40)</f>
        <v>42.436947905539967</v>
      </c>
      <c r="F42" s="29">
        <f t="shared" ref="F42:BQ42" si="36">F39/(F39-F40)</f>
        <v>77.548996369088883</v>
      </c>
      <c r="G42" s="29">
        <f t="shared" si="36"/>
        <v>85.680171788160251</v>
      </c>
      <c r="H42" s="29">
        <f t="shared" si="36"/>
        <v>42.793741415951175</v>
      </c>
      <c r="I42" s="29">
        <f t="shared" si="36"/>
        <v>28.4405917442263</v>
      </c>
      <c r="J42" s="29">
        <f t="shared" si="36"/>
        <v>36.910343160925912</v>
      </c>
      <c r="K42" s="29">
        <f t="shared" si="36"/>
        <v>40.288417249196968</v>
      </c>
      <c r="L42" s="29">
        <f t="shared" si="36"/>
        <v>33.656985570213571</v>
      </c>
      <c r="M42" s="29">
        <f t="shared" si="36"/>
        <v>25.497980231686082</v>
      </c>
      <c r="N42" s="29">
        <f t="shared" si="36"/>
        <v>40.78081218554194</v>
      </c>
      <c r="O42" s="29">
        <f t="shared" si="36"/>
        <v>66.692848963581298</v>
      </c>
      <c r="P42" s="29">
        <f t="shared" si="36"/>
        <v>41.342297284426422</v>
      </c>
      <c r="Q42" s="29">
        <f t="shared" si="36"/>
        <v>90.973942233046358</v>
      </c>
      <c r="R42" s="29">
        <f t="shared" si="36"/>
        <v>66.412927427957158</v>
      </c>
      <c r="S42" s="29">
        <f t="shared" si="36"/>
        <v>108.36187487072944</v>
      </c>
      <c r="T42" s="29">
        <f t="shared" si="36"/>
        <v>160.35913414997032</v>
      </c>
      <c r="U42" s="29">
        <f t="shared" si="36"/>
        <v>17.664612227288785</v>
      </c>
      <c r="V42" s="29">
        <f t="shared" si="36"/>
        <v>-31.743226246032062</v>
      </c>
      <c r="W42" s="29">
        <f t="shared" si="36"/>
        <v>-32.154808586374017</v>
      </c>
      <c r="X42" s="29">
        <f t="shared" si="36"/>
        <v>-23.229285666092604</v>
      </c>
      <c r="Y42" s="29">
        <f t="shared" si="36"/>
        <v>37.172801443950945</v>
      </c>
      <c r="Z42" s="29">
        <f t="shared" si="36"/>
        <v>-8.2275245868366316</v>
      </c>
      <c r="AA42" s="29">
        <f t="shared" si="36"/>
        <v>-7.8115462992167055</v>
      </c>
      <c r="AB42" s="29">
        <f t="shared" si="36"/>
        <v>-6.6428104150042433</v>
      </c>
      <c r="AC42" s="29">
        <f t="shared" si="36"/>
        <v>13.572683271875368</v>
      </c>
      <c r="AD42" s="29">
        <f t="shared" si="36"/>
        <v>16.155733164579637</v>
      </c>
      <c r="AE42" s="29">
        <f t="shared" si="36"/>
        <v>11.65150777833397</v>
      </c>
      <c r="AF42" s="29">
        <f t="shared" si="36"/>
        <v>13.196728536573572</v>
      </c>
      <c r="AG42" s="29">
        <f t="shared" si="36"/>
        <v>13.574853115811008</v>
      </c>
      <c r="AH42" s="29">
        <f t="shared" si="36"/>
        <v>15.817463225234782</v>
      </c>
      <c r="AI42" s="29">
        <f t="shared" si="36"/>
        <v>18.021958957168525</v>
      </c>
      <c r="AJ42" s="29">
        <f t="shared" si="36"/>
        <v>20.830610685118138</v>
      </c>
      <c r="AK42" s="29">
        <f t="shared" si="36"/>
        <v>14.418018082682192</v>
      </c>
      <c r="AL42" s="29">
        <f t="shared" si="36"/>
        <v>9.7484949728379711</v>
      </c>
      <c r="AM42" s="29" t="e">
        <f t="shared" si="36"/>
        <v>#DIV/0!</v>
      </c>
      <c r="AN42" s="29">
        <f t="shared" si="36"/>
        <v>0</v>
      </c>
      <c r="AO42" s="29">
        <f t="shared" si="36"/>
        <v>0.3938084264689708</v>
      </c>
      <c r="AP42" s="29">
        <f t="shared" si="36"/>
        <v>0.57423695941693265</v>
      </c>
      <c r="AQ42" s="29">
        <f t="shared" si="36"/>
        <v>4.0132687581009092</v>
      </c>
      <c r="AR42" s="29">
        <f t="shared" si="36"/>
        <v>1.2881548813542418</v>
      </c>
      <c r="AS42" s="29">
        <f t="shared" si="36"/>
        <v>-0.15407976556909039</v>
      </c>
      <c r="AT42" s="29">
        <f t="shared" si="36"/>
        <v>0.77211929367521304</v>
      </c>
      <c r="AU42" s="29">
        <f t="shared" si="36"/>
        <v>1.3066718024655974</v>
      </c>
      <c r="AV42" s="29">
        <f t="shared" si="36"/>
        <v>1.9912288929004045</v>
      </c>
      <c r="AW42" s="29">
        <f t="shared" si="36"/>
        <v>0.2517532528781789</v>
      </c>
      <c r="AX42" s="29">
        <f t="shared" si="36"/>
        <v>0.25356626067319343</v>
      </c>
      <c r="AY42" s="29">
        <f t="shared" si="36"/>
        <v>0.25260509854976099</v>
      </c>
      <c r="AZ42" s="29">
        <f t="shared" si="36"/>
        <v>0.33546609773656005</v>
      </c>
      <c r="BA42" s="29">
        <f t="shared" si="36"/>
        <v>0.24536291173441435</v>
      </c>
      <c r="BB42" s="29">
        <f t="shared" si="36"/>
        <v>0.32796730676766017</v>
      </c>
      <c r="BC42" s="29">
        <f t="shared" si="36"/>
        <v>0.38896632803228953</v>
      </c>
      <c r="BD42" s="29">
        <f t="shared" si="36"/>
        <v>0.67091049633333433</v>
      </c>
      <c r="BE42" s="29">
        <f t="shared" si="36"/>
        <v>20.585084334856369</v>
      </c>
      <c r="BF42" s="29">
        <f t="shared" si="36"/>
        <v>3.2832044000908631</v>
      </c>
      <c r="BG42" s="29">
        <f t="shared" si="36"/>
        <v>4.5482545449250891</v>
      </c>
      <c r="BH42" s="29">
        <f t="shared" si="36"/>
        <v>3.6762337968716698</v>
      </c>
      <c r="BI42" s="29">
        <f t="shared" si="36"/>
        <v>0.20279701922369198</v>
      </c>
      <c r="BJ42" s="29">
        <f t="shared" si="36"/>
        <v>2.6179831980119313E-2</v>
      </c>
      <c r="BK42" s="29">
        <f t="shared" si="36"/>
        <v>3.9065922407412461E-2</v>
      </c>
      <c r="BL42" s="29">
        <f t="shared" si="36"/>
        <v>0.10292340121333846</v>
      </c>
      <c r="BM42" s="29">
        <f t="shared" si="36"/>
        <v>0.99751122587871033</v>
      </c>
      <c r="BN42" s="29">
        <f t="shared" si="36"/>
        <v>0.66949411363603251</v>
      </c>
      <c r="BO42" s="29">
        <f t="shared" si="36"/>
        <v>0.55933034261242498</v>
      </c>
      <c r="BP42" s="29">
        <f t="shared" si="36"/>
        <v>0.17986451843279119</v>
      </c>
      <c r="BQ42" s="29">
        <f t="shared" si="36"/>
        <v>-0.77769629081079172</v>
      </c>
      <c r="BR42" s="29">
        <f t="shared" ref="BR42:CK42" si="37">BR39/(BR39-BR40)</f>
        <v>1.2034340649612998</v>
      </c>
      <c r="BS42" s="29">
        <f t="shared" si="37"/>
        <v>2.2354428422665737</v>
      </c>
      <c r="BT42" s="29">
        <f t="shared" si="37"/>
        <v>3.1305934354951122</v>
      </c>
      <c r="BU42" s="29">
        <f t="shared" si="37"/>
        <v>3.9300442771446509</v>
      </c>
      <c r="BV42" s="29">
        <f t="shared" si="37"/>
        <v>2.5179396704258439</v>
      </c>
      <c r="BW42" s="29">
        <f t="shared" si="37"/>
        <v>-9.7294455066921604</v>
      </c>
      <c r="BX42" s="29">
        <f t="shared" si="37"/>
        <v>-5.6848675147692935</v>
      </c>
      <c r="BY42" s="29">
        <f t="shared" si="37"/>
        <v>-6.5230049941557748</v>
      </c>
      <c r="BZ42" s="29" t="e">
        <f t="shared" si="37"/>
        <v>#DIV/0!</v>
      </c>
      <c r="CA42" s="29">
        <f t="shared" si="37"/>
        <v>6.9235286441341515</v>
      </c>
      <c r="CB42" s="29">
        <f t="shared" si="37"/>
        <v>9.6685183498770595</v>
      </c>
      <c r="CC42" s="29">
        <f t="shared" si="37"/>
        <v>9.3532984488880579</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9" t="s">
        <v>696</v>
      </c>
      <c r="B43" s="290"/>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90"/>
      <c r="AB43" s="290"/>
      <c r="AC43" s="290"/>
      <c r="AD43" s="290"/>
      <c r="AE43" s="290"/>
      <c r="AF43" s="290"/>
      <c r="AG43" s="290"/>
    </row>
    <row r="45" spans="1:89" ht="14.4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422</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39813</v>
      </c>
      <c r="AM46" s="1">
        <v>25569</v>
      </c>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423</v>
      </c>
      <c r="E47" s="26">
        <f>股权价值增加表!E42</f>
        <v>763074598.58000016</v>
      </c>
      <c r="F47" s="26">
        <f>股权价值增加表!F42</f>
        <v>712364199.24999976</v>
      </c>
      <c r="G47" s="26">
        <f>股权价值增加表!G42</f>
        <v>617888669.5200001</v>
      </c>
      <c r="H47" s="26">
        <f>股权价值增加表!H42</f>
        <v>125222326.09000005</v>
      </c>
      <c r="I47" s="26">
        <f>股权价值增加表!I42</f>
        <v>506356864.06999975</v>
      </c>
      <c r="J47" s="26">
        <f>股权价值增加表!J42</f>
        <v>395562473.47000021</v>
      </c>
      <c r="K47" s="26">
        <f>股权价值增加表!K42</f>
        <v>277445142.16000015</v>
      </c>
      <c r="L47" s="26">
        <f>股权价值增加表!L42</f>
        <v>122556400.73999996</v>
      </c>
      <c r="M47" s="26">
        <f>股权价值增加表!M42</f>
        <v>407579414.66999984</v>
      </c>
      <c r="N47" s="26">
        <f>股权价值增加表!N42</f>
        <v>276279058.92000008</v>
      </c>
      <c r="O47" s="26">
        <f>股权价值增加表!O42</f>
        <v>145596013.90999997</v>
      </c>
      <c r="P47" s="26">
        <f>股权价值增加表!P42</f>
        <v>55369986.930000022</v>
      </c>
      <c r="Q47" s="26">
        <f>股权价值增加表!Q42</f>
        <v>209811642.54000014</v>
      </c>
      <c r="R47" s="26">
        <f>股权价值增加表!R42</f>
        <v>93237867.620000064</v>
      </c>
      <c r="S47" s="26">
        <f>股权价值增加表!S42</f>
        <v>53417867.970000044</v>
      </c>
      <c r="T47" s="26">
        <f>股权价值增加表!T42</f>
        <v>21485302.550000012</v>
      </c>
      <c r="U47" s="26">
        <f>股权价值增加表!U42</f>
        <v>81056177.170000017</v>
      </c>
      <c r="V47" s="26">
        <f>股权价值增加表!V42</f>
        <v>63805975.239999942</v>
      </c>
      <c r="W47" s="26">
        <f>股权价值增加表!W42</f>
        <v>46206456.290000007</v>
      </c>
      <c r="X47" s="26">
        <f>股权价值增加表!X42</f>
        <v>19427589.500000007</v>
      </c>
      <c r="Y47" s="26">
        <f>股权价值增加表!Y42</f>
        <v>93285393.259999961</v>
      </c>
      <c r="Z47" s="26">
        <f>股权价值增加表!Z42</f>
        <v>86418505.990000039</v>
      </c>
      <c r="AA47" s="26">
        <f>股权价值增加表!AA42</f>
        <v>63637494.930000044</v>
      </c>
      <c r="AB47" s="26">
        <f>股权价值增加表!AB42</f>
        <v>28848240.900000002</v>
      </c>
      <c r="AC47" s="26">
        <f>股权价值增加表!AC42</f>
        <v>140133500.44000006</v>
      </c>
      <c r="AD47" s="26">
        <f>股权价值增加表!AD42</f>
        <v>122593746.51999997</v>
      </c>
      <c r="AE47" s="26">
        <f>股权价值增加表!AE42</f>
        <v>89788580.339999989</v>
      </c>
      <c r="AF47" s="26">
        <f>股权价值增加表!AF42</f>
        <v>40811842.500000015</v>
      </c>
      <c r="AG47" s="26">
        <f>股权价值增加表!AG42</f>
        <v>155737904.29000005</v>
      </c>
      <c r="AH47" s="26">
        <f>股权价值增加表!AH42</f>
        <v>121288481.95</v>
      </c>
      <c r="AI47" s="26">
        <f>股权价值增加表!AI42</f>
        <v>80009932.309999958</v>
      </c>
      <c r="AJ47" s="26">
        <f>股权价值增加表!AJ42</f>
        <v>39728737.599999994</v>
      </c>
      <c r="AK47" s="26">
        <f>股权价值增加表!AK42</f>
        <v>101965075.51999995</v>
      </c>
      <c r="AL47" s="26">
        <f>股权价值增加表!AL42</f>
        <v>77056544.74000001</v>
      </c>
      <c r="AM47" s="26">
        <f>股权价值增加表!AM42</f>
        <v>0</v>
      </c>
      <c r="AN47" s="26">
        <f>股权价值增加表!AN42</f>
        <v>-28361024</v>
      </c>
      <c r="AO47" s="26">
        <f>股权价值增加表!AO42</f>
        <v>-183315164</v>
      </c>
      <c r="AP47" s="26">
        <f>股权价值增加表!AP42</f>
        <v>-82463154</v>
      </c>
      <c r="AQ47" s="26">
        <f>股权价值增加表!AQ42</f>
        <v>-18500653</v>
      </c>
      <c r="AR47" s="26">
        <f>股权价值增加表!AR42</f>
        <v>-23384871</v>
      </c>
      <c r="AS47" s="26">
        <f>股权价值增加表!AS42</f>
        <v>-278200364</v>
      </c>
      <c r="AT47" s="26">
        <f>股权价值增加表!AT42</f>
        <v>-70951630</v>
      </c>
      <c r="AU47" s="26">
        <f>股权价值增加表!AU42</f>
        <v>41854179</v>
      </c>
      <c r="AV47" s="26">
        <f>股权价值增加表!AV42</f>
        <v>105243196</v>
      </c>
      <c r="AW47" s="26">
        <f>股权价值增加表!AW42</f>
        <v>-480460746</v>
      </c>
      <c r="AX47" s="26">
        <f>股权价值增加表!AX42</f>
        <v>-411816347</v>
      </c>
      <c r="AY47" s="26">
        <f>股权价值增加表!AY42</f>
        <v>-262479904</v>
      </c>
      <c r="AZ47" s="26">
        <f>股权价值增加表!AZ42</f>
        <v>-78383092</v>
      </c>
      <c r="BA47" s="26">
        <f>股权价值增加表!BA42</f>
        <v>-390198861</v>
      </c>
      <c r="BB47" s="26">
        <f>股权价值增加表!BB42</f>
        <v>-217656976</v>
      </c>
      <c r="BC47" s="26">
        <f>股权价值增加表!BC42</f>
        <v>-126458674</v>
      </c>
      <c r="BD47" s="26">
        <f>股权价值增加表!BD42</f>
        <v>-19157380</v>
      </c>
      <c r="BE47" s="26">
        <f>股权价值增加表!BE42</f>
        <v>259100491</v>
      </c>
      <c r="BF47" s="26">
        <f>股权价值增加表!BF42</f>
        <v>113662430.94</v>
      </c>
      <c r="BG47" s="26">
        <f>股权价值增加表!BG42</f>
        <v>97729841.890000001</v>
      </c>
      <c r="BH47" s="26">
        <f>股权价值增加表!BH42</f>
        <v>43481545.140000008</v>
      </c>
      <c r="BI47" s="26">
        <f>股权价值增加表!BI42</f>
        <v>-228035763</v>
      </c>
      <c r="BJ47" s="26">
        <f>股权价值增加表!BJ42</f>
        <v>-194157356.66</v>
      </c>
      <c r="BK47" s="26">
        <f>股权价值增加表!BK42</f>
        <v>-159735713.11999997</v>
      </c>
      <c r="BL47" s="26">
        <f>股权价值增加表!BL42</f>
        <v>-146319620.34</v>
      </c>
      <c r="BM47" s="26">
        <f>股权价值增加表!BM42</f>
        <v>-47348848</v>
      </c>
      <c r="BN47" s="26">
        <f>股权价值增加表!BN42</f>
        <v>-59961944.369999997</v>
      </c>
      <c r="BO47" s="26">
        <f>股权价值增加表!BO42</f>
        <v>-41743210.640000001</v>
      </c>
      <c r="BP47" s="26">
        <f>股权价值增加表!BP42</f>
        <v>-27646390.399999999</v>
      </c>
      <c r="BQ47" s="26">
        <f>股权价值增加表!BQ42</f>
        <v>-56971352</v>
      </c>
      <c r="BR47" s="26">
        <f>股权价值增加表!BR42</f>
        <v>-5646453.7799999993</v>
      </c>
      <c r="BS47" s="26">
        <f>股权价值增加表!BS42</f>
        <v>15416072</v>
      </c>
      <c r="BT47" s="26">
        <f>股权价值增加表!BT42</f>
        <v>11983694</v>
      </c>
      <c r="BU47" s="26">
        <f>股权价值增加表!BU42</f>
        <v>29336553</v>
      </c>
      <c r="BV47" s="26">
        <f>股权价值增加表!BV42</f>
        <v>4743327.5900000017</v>
      </c>
      <c r="BW47" s="26">
        <f>股权价值增加表!BW42</f>
        <v>39385000</v>
      </c>
      <c r="BX47" s="26">
        <f>股权价值增加表!BX42</f>
        <v>19267211.82</v>
      </c>
      <c r="BY47" s="26">
        <f>股权价值增加表!BY42</f>
        <v>56745000</v>
      </c>
      <c r="BZ47" s="26">
        <f>股权价值增加表!BZ42</f>
        <v>23221000</v>
      </c>
      <c r="CA47" s="26">
        <f>股权价值增加表!CA42</f>
        <v>87851000</v>
      </c>
      <c r="CB47" s="26">
        <f>股权价值增加表!CB42</f>
        <v>94389000</v>
      </c>
      <c r="CC47" s="26">
        <f>股权价值增加表!CC42</f>
        <v>88932000</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426</v>
      </c>
      <c r="E48" s="63">
        <f>股权价值增加表!E43</f>
        <v>0.21859455351532417</v>
      </c>
      <c r="F48" s="63">
        <f>股权价值增加表!F43</f>
        <v>0.28945036185287348</v>
      </c>
      <c r="G48" s="63">
        <f>股权价值增加表!G43</f>
        <v>0.37839182188534232</v>
      </c>
      <c r="H48" s="63">
        <f>股权价值增加表!H43</f>
        <v>0.14586838506487257</v>
      </c>
      <c r="I48" s="63">
        <f>股权价值增加表!I43</f>
        <v>0.14651943285139848</v>
      </c>
      <c r="J48" s="63">
        <f>股权价值增加表!J43</f>
        <v>0.15561435271968532</v>
      </c>
      <c r="K48" s="63">
        <f>股权价值增加表!K43</f>
        <v>0.16333625235570723</v>
      </c>
      <c r="L48" s="63">
        <f>股权价值增加表!L43</f>
        <v>0.14675221516887391</v>
      </c>
      <c r="M48" s="63">
        <f>股权价值增加表!M43</f>
        <v>0.13470015150764739</v>
      </c>
      <c r="N48" s="63">
        <f>股权价值增加表!N43</f>
        <v>0.12596734290182093</v>
      </c>
      <c r="O48" s="63">
        <f>股权价值增加表!O43</f>
        <v>0.11599225140248208</v>
      </c>
      <c r="P48" s="63">
        <f>股权价值增加表!P43</f>
        <v>0.11141600903668233</v>
      </c>
      <c r="Q48" s="63">
        <f>股权价值增加表!Q43</f>
        <v>0.12253706284093099</v>
      </c>
      <c r="R48" s="63">
        <f>股权价值增加表!R43</f>
        <v>8.2939154079261571E-2</v>
      </c>
      <c r="S48" s="63">
        <f>股权价值增加表!S43</f>
        <v>7.3152739866089958E-2</v>
      </c>
      <c r="T48" s="63">
        <f>股权价值增加表!T43</f>
        <v>6.5527652193288058E-2</v>
      </c>
      <c r="U48" s="63">
        <f>股权价值增加表!U43</f>
        <v>6.6037247771430524E-2</v>
      </c>
      <c r="V48" s="63">
        <f>股权价值增加表!V43</f>
        <v>7.215973142692049E-2</v>
      </c>
      <c r="W48" s="63">
        <f>股权价值增加表!W43</f>
        <v>7.9950861350062588E-2</v>
      </c>
      <c r="X48" s="63">
        <f>股权价值增加表!X43</f>
        <v>7.432251432132507E-2</v>
      </c>
      <c r="Y48" s="63">
        <f>股权价值增加表!Y43</f>
        <v>0.10042568955882833</v>
      </c>
      <c r="Z48" s="63">
        <f>股权价值增加表!Z43</f>
        <v>0.12460998947091773</v>
      </c>
      <c r="AA48" s="63">
        <f>股权价值增加表!AA43</f>
        <v>0.13637963159232186</v>
      </c>
      <c r="AB48" s="63">
        <f>股权价值增加表!AB43</f>
        <v>0.12606306162169179</v>
      </c>
      <c r="AC48" s="63">
        <f>股权价值增加表!AC43</f>
        <v>0.14031219842322906</v>
      </c>
      <c r="AD48" s="63">
        <f>股权价值增加表!AD43</f>
        <v>0.16433641714856506</v>
      </c>
      <c r="AE48" s="63">
        <f>股权价值增加表!AE43</f>
        <v>0.17177764496280432</v>
      </c>
      <c r="AF48" s="63">
        <f>股权价值增加表!AF43</f>
        <v>0.17466431255755285</v>
      </c>
      <c r="AG48" s="63">
        <f>股权价值增加表!AG43</f>
        <v>0.17151999779092844</v>
      </c>
      <c r="AH48" s="63">
        <f>股权价值增加表!AH43</f>
        <v>0.18294574665257488</v>
      </c>
      <c r="AI48" s="63">
        <f>股权价值增加表!AI43</f>
        <v>0.18641940779455693</v>
      </c>
      <c r="AJ48" s="63">
        <f>股权价值增加表!AJ43</f>
        <v>0.20143386140869637</v>
      </c>
      <c r="AK48" s="63">
        <f>股权价值增加表!AK43</f>
        <v>0.17935416995982348</v>
      </c>
      <c r="AL48" s="63">
        <f>股权价值增加表!AL43</f>
        <v>0.18310505025052537</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424</v>
      </c>
      <c r="E49" s="59">
        <f>(E47-I47)/I47</f>
        <v>0.50698973930471147</v>
      </c>
      <c r="F49" s="59">
        <f t="shared" ref="F49:BQ49" si="38">(F47-J47)/J47</f>
        <v>0.80088923249193422</v>
      </c>
      <c r="G49" s="59">
        <f t="shared" si="38"/>
        <v>1.2270660956956645</v>
      </c>
      <c r="H49" s="59">
        <f t="shared" si="38"/>
        <v>2.1752640693616408E-2</v>
      </c>
      <c r="I49" s="59">
        <f t="shared" si="38"/>
        <v>0.24235141875351071</v>
      </c>
      <c r="J49" s="59">
        <f t="shared" si="38"/>
        <v>0.431749749750451</v>
      </c>
      <c r="K49" s="59">
        <f t="shared" si="38"/>
        <v>0.90558199162995345</v>
      </c>
      <c r="L49" s="59">
        <f t="shared" si="38"/>
        <v>1.2134085184982708</v>
      </c>
      <c r="M49" s="59">
        <f t="shared" si="38"/>
        <v>0.94259674885437161</v>
      </c>
      <c r="N49" s="59">
        <f t="shared" si="38"/>
        <v>1.963163636967783</v>
      </c>
      <c r="O49" s="59">
        <f t="shared" si="38"/>
        <v>1.7256051101060041</v>
      </c>
      <c r="P49" s="59">
        <f t="shared" si="38"/>
        <v>1.5771099476558217</v>
      </c>
      <c r="Q49" s="59">
        <f t="shared" si="38"/>
        <v>1.5884719692610207</v>
      </c>
      <c r="R49" s="59">
        <f t="shared" si="38"/>
        <v>0.46127172681390627</v>
      </c>
      <c r="S49" s="59">
        <f t="shared" si="38"/>
        <v>0.15606935175335507</v>
      </c>
      <c r="T49" s="59">
        <f t="shared" si="38"/>
        <v>0.10591705419758862</v>
      </c>
      <c r="U49" s="59">
        <f t="shared" si="38"/>
        <v>-0.13109465118419278</v>
      </c>
      <c r="V49" s="59">
        <f t="shared" si="38"/>
        <v>-0.2616630603706192</v>
      </c>
      <c r="W49" s="59">
        <f t="shared" si="38"/>
        <v>-0.27391145203270223</v>
      </c>
      <c r="X49" s="59">
        <f t="shared" si="38"/>
        <v>-0.32655895493440623</v>
      </c>
      <c r="Y49" s="59">
        <f t="shared" si="38"/>
        <v>-0.3343105469634558</v>
      </c>
      <c r="Z49" s="59">
        <f t="shared" si="38"/>
        <v>-0.29508226607707344</v>
      </c>
      <c r="AA49" s="59">
        <f t="shared" si="38"/>
        <v>-0.29125179739978441</v>
      </c>
      <c r="AB49" s="59">
        <f t="shared" si="38"/>
        <v>-0.2931404432426693</v>
      </c>
      <c r="AC49" s="59">
        <f t="shared" si="38"/>
        <v>-0.10019657013582887</v>
      </c>
      <c r="AD49" s="59">
        <f t="shared" si="38"/>
        <v>1.0761653118373149E-2</v>
      </c>
      <c r="AE49" s="59">
        <f t="shared" si="38"/>
        <v>0.12221792654582532</v>
      </c>
      <c r="AF49" s="59">
        <f t="shared" si="38"/>
        <v>2.7262504812134304E-2</v>
      </c>
      <c r="AG49" s="59">
        <f t="shared" si="38"/>
        <v>0.52736516396197664</v>
      </c>
      <c r="AH49" s="59">
        <f t="shared" si="38"/>
        <v>0.57401921354305441</v>
      </c>
      <c r="AI49" s="59" t="e">
        <f t="shared" si="38"/>
        <v>#DIV/0!</v>
      </c>
      <c r="AJ49" s="59">
        <f t="shared" si="38"/>
        <v>-2.4008216910644693</v>
      </c>
      <c r="AK49" s="59">
        <f t="shared" si="38"/>
        <v>-1.5562282644549796</v>
      </c>
      <c r="AL49" s="59">
        <f t="shared" si="38"/>
        <v>-1.9344360602554689</v>
      </c>
      <c r="AM49" s="59">
        <f t="shared" si="38"/>
        <v>-1</v>
      </c>
      <c r="AN49" s="59">
        <f t="shared" si="38"/>
        <v>0.21279369041633797</v>
      </c>
      <c r="AO49" s="59">
        <f t="shared" si="38"/>
        <v>-0.3410678499327916</v>
      </c>
      <c r="AP49" s="59">
        <f t="shared" si="38"/>
        <v>0.16224467288489355</v>
      </c>
      <c r="AQ49" s="59">
        <f t="shared" si="38"/>
        <v>-1.442026422260009</v>
      </c>
      <c r="AR49" s="59">
        <f t="shared" si="38"/>
        <v>-1.2221984117624098</v>
      </c>
      <c r="AS49" s="59">
        <f t="shared" si="38"/>
        <v>-0.42097171035071407</v>
      </c>
      <c r="AT49" s="59">
        <f t="shared" si="38"/>
        <v>-0.82771050611062802</v>
      </c>
      <c r="AU49" s="59">
        <f t="shared" si="38"/>
        <v>-1.1594566988259793</v>
      </c>
      <c r="AV49" s="59">
        <f t="shared" si="38"/>
        <v>-2.3426772702459862</v>
      </c>
      <c r="AW49" s="59">
        <f t="shared" si="38"/>
        <v>0.23132277928407383</v>
      </c>
      <c r="AX49" s="59">
        <f t="shared" si="38"/>
        <v>0.89204295018782209</v>
      </c>
      <c r="AY49" s="59">
        <f t="shared" si="38"/>
        <v>1.0756180315476027</v>
      </c>
      <c r="AZ49" s="59">
        <f t="shared" si="38"/>
        <v>3.0915350637717682</v>
      </c>
      <c r="BA49" s="59">
        <f t="shared" si="38"/>
        <v>-2.5059749963962825</v>
      </c>
      <c r="BB49" s="59">
        <f t="shared" si="38"/>
        <v>-2.9149421158772904</v>
      </c>
      <c r="BC49" s="59">
        <f t="shared" si="38"/>
        <v>-2.29396171685549</v>
      </c>
      <c r="BD49" s="59">
        <f t="shared" si="38"/>
        <v>-1.4405864588831399</v>
      </c>
      <c r="BE49" s="59">
        <f t="shared" si="38"/>
        <v>-2.1362274390267459</v>
      </c>
      <c r="BF49" s="59">
        <f t="shared" si="38"/>
        <v>-1.5854139801616727</v>
      </c>
      <c r="BG49" s="59">
        <f t="shared" si="38"/>
        <v>-1.6118221152997976</v>
      </c>
      <c r="BH49" s="59">
        <f t="shared" si="38"/>
        <v>-1.2971682474227504</v>
      </c>
      <c r="BI49" s="59">
        <f t="shared" si="38"/>
        <v>3.8160783763947119</v>
      </c>
      <c r="BJ49" s="59">
        <f t="shared" si="38"/>
        <v>2.238009685975765</v>
      </c>
      <c r="BK49" s="59">
        <f t="shared" si="38"/>
        <v>2.8266273885251865</v>
      </c>
      <c r="BL49" s="59">
        <f t="shared" si="38"/>
        <v>4.2925397573782362</v>
      </c>
      <c r="BM49" s="59">
        <f t="shared" si="38"/>
        <v>-0.16890074857272125</v>
      </c>
      <c r="BN49" s="59">
        <f t="shared" si="38"/>
        <v>9.6193987777581711</v>
      </c>
      <c r="BO49" s="59">
        <f t="shared" si="38"/>
        <v>-3.7077721640116885</v>
      </c>
      <c r="BP49" s="59">
        <f t="shared" si="38"/>
        <v>-3.3070006961125675</v>
      </c>
      <c r="BQ49" s="59">
        <f t="shared" si="38"/>
        <v>-2.9419920261252233</v>
      </c>
      <c r="BR49" s="59">
        <f t="shared" ref="BR49:CJ49" si="39">(BR47-BV47)/BV47</f>
        <v>-2.190399286758939</v>
      </c>
      <c r="BS49" s="59">
        <f t="shared" si="39"/>
        <v>-0.60858011933477207</v>
      </c>
      <c r="BT49" s="59">
        <f t="shared" si="39"/>
        <v>-0.37802656077302627</v>
      </c>
      <c r="BU49" s="59">
        <f t="shared" si="39"/>
        <v>-0.48301078509119744</v>
      </c>
      <c r="BV49" s="59">
        <f t="shared" si="39"/>
        <v>-0.79573112312131244</v>
      </c>
      <c r="BW49" s="59">
        <f t="shared" si="39"/>
        <v>-0.55168410149002289</v>
      </c>
      <c r="BX49" s="59">
        <f t="shared" si="39"/>
        <v>-0.79587439405015425</v>
      </c>
      <c r="BY49" s="59">
        <f t="shared" si="39"/>
        <v>-0.36192821481581433</v>
      </c>
      <c r="BZ49" s="59" t="e">
        <f t="shared" si="39"/>
        <v>#DIV/0!</v>
      </c>
      <c r="CA49" s="59">
        <f t="shared" si="39"/>
        <v>-5.3748319306807426</v>
      </c>
      <c r="CB49" s="59">
        <f t="shared" si="39"/>
        <v>-7.575539393052015</v>
      </c>
      <c r="CC49" s="59">
        <f t="shared" si="39"/>
        <v>-21.538568129330255</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425</v>
      </c>
      <c r="E50" s="26">
        <f>股权价值增加表!E47</f>
        <v>355302661.08400017</v>
      </c>
      <c r="F50" s="26">
        <f>股权价值增加表!F47</f>
        <v>302813223.87639976</v>
      </c>
      <c r="G50" s="26">
        <f>股权价值增加表!G47</f>
        <v>216103985.54000008</v>
      </c>
      <c r="H50" s="26">
        <f>股权价值增加表!H47</f>
        <v>-236908789.0812</v>
      </c>
      <c r="I50" s="26">
        <f>股权价值增加表!I47</f>
        <v>154403534.98679978</v>
      </c>
      <c r="J50" s="26">
        <f>股权价值增加表!J47</f>
        <v>52669232.537200212</v>
      </c>
      <c r="K50" s="26">
        <f>股权价值增加表!K47</f>
        <v>-64215448.58799988</v>
      </c>
      <c r="L50" s="26">
        <f>股权价值增加表!L47</f>
        <v>-206713090.69440007</v>
      </c>
      <c r="M50" s="26">
        <f>股权价值增加表!M47</f>
        <v>88114435.294799805</v>
      </c>
      <c r="N50" s="26">
        <f>股权价值增加表!N47</f>
        <v>-32453479.216799915</v>
      </c>
      <c r="O50" s="26">
        <f>股权价值增加表!O47</f>
        <v>-152681880.62600005</v>
      </c>
      <c r="P50" s="26">
        <f>股权价值增加表!P47</f>
        <v>-239954993.60759997</v>
      </c>
      <c r="Q50" s="26">
        <f>股权价值增加表!Q47</f>
        <v>-81083739.043199837</v>
      </c>
      <c r="R50" s="26">
        <f>股权价值增加表!R47</f>
        <v>-188228723.79199994</v>
      </c>
      <c r="S50" s="26">
        <f>股权价值增加表!S47</f>
        <v>-82556693.526799962</v>
      </c>
      <c r="T50" s="26">
        <f>股权价值增加表!T47</f>
        <v>-111934653.71319999</v>
      </c>
      <c r="U50" s="26">
        <f>股权价值增加表!U47</f>
        <v>-50644954.889199987</v>
      </c>
      <c r="V50" s="26">
        <f>股权价值增加表!V47</f>
        <v>-66375838.684800051</v>
      </c>
      <c r="W50" s="26">
        <f>股权价值增加表!W47</f>
        <v>-82567396.118799984</v>
      </c>
      <c r="X50" s="26">
        <f>股权价值增加表!X47</f>
        <v>-109303953.56559998</v>
      </c>
      <c r="Y50" s="26">
        <f>股权价值增加表!Y47</f>
        <v>-33891942.645600036</v>
      </c>
      <c r="Z50" s="26">
        <f>股权价值增加表!Z47</f>
        <v>-39748689.067599967</v>
      </c>
      <c r="AA50" s="26">
        <f>股权价值增加表!AA47</f>
        <v>-60707219.24279996</v>
      </c>
      <c r="AB50" s="26">
        <f>股权价值增加表!AB47</f>
        <v>-96913332.95040001</v>
      </c>
      <c r="AC50" s="26">
        <f>股权价值增加表!AC47</f>
        <v>16679785.861600056</v>
      </c>
      <c r="AD50" s="26">
        <f>股权价值增加表!AD47</f>
        <v>648323.69519996643</v>
      </c>
      <c r="AE50" s="26">
        <f>股权价值增加表!AE47</f>
        <v>49808770.889599986</v>
      </c>
      <c r="AF50" s="26">
        <f>股权价值增加表!AF47</f>
        <v>4750172.0768000111</v>
      </c>
      <c r="AG50" s="26">
        <f>股权价值增加表!AG47</f>
        <v>122941181.26680005</v>
      </c>
      <c r="AH50" s="26">
        <f>股权价值增加表!AH47</f>
        <v>99634604.243600011</v>
      </c>
      <c r="AI50" s="26">
        <f>股权价值增加表!AI47</f>
        <v>64113260.645199955</v>
      </c>
      <c r="AJ50" s="26">
        <f>股权价值增加表!AJ47</f>
        <v>39728737.599999994</v>
      </c>
      <c r="AK50" s="26">
        <f>股权价值增加表!AK47</f>
        <v>101965075.51999995</v>
      </c>
      <c r="AL50" s="26">
        <f>股权价值增加表!AL47</f>
        <v>77056544.74000001</v>
      </c>
      <c r="AM50" s="26">
        <f>股权价值增加表!AM47</f>
        <v>0</v>
      </c>
      <c r="AN50" s="26">
        <f>股权价值增加表!AN47</f>
        <v>-528509469.44</v>
      </c>
      <c r="AO50" s="26">
        <f>股权价值增加表!AO47</f>
        <v>-720819293.84000003</v>
      </c>
      <c r="AP50" s="26">
        <f>股权价值增加表!AP47</f>
        <v>-706703834.80000007</v>
      </c>
      <c r="AQ50" s="26">
        <f>股权价值增加表!AQ47</f>
        <v>-508368087.96000004</v>
      </c>
      <c r="AR50" s="26">
        <f>股权价值增加表!AR47</f>
        <v>-493142644.68000001</v>
      </c>
      <c r="AS50" s="26">
        <f>股权价值增加表!AS47</f>
        <v>-719907497.92000008</v>
      </c>
      <c r="AT50" s="26">
        <f>股权价值增加表!AT47</f>
        <v>-456171497.60000002</v>
      </c>
      <c r="AU50" s="26">
        <f>股权价值增加表!AU47</f>
        <v>-301082499.07999998</v>
      </c>
      <c r="AV50" s="26">
        <f>股权价值增加表!AV47</f>
        <v>-226730719.60000002</v>
      </c>
      <c r="AW50" s="26">
        <f>股权价值增加表!AW47</f>
        <v>-824256869.27999997</v>
      </c>
      <c r="AX50" s="26">
        <f>股权价值增加表!AX47</f>
        <v>-750513757.79999995</v>
      </c>
      <c r="AY50" s="26">
        <f>股权价值增加表!AY47</f>
        <v>-409260843.51999998</v>
      </c>
      <c r="AZ50" s="26">
        <f>股权价值增加表!AZ47</f>
        <v>-323894953.60000002</v>
      </c>
      <c r="BA50" s="26">
        <f>股权价值增加表!BA47</f>
        <v>-679120588.51999998</v>
      </c>
      <c r="BB50" s="26">
        <f>股权价值增加表!BB47</f>
        <v>-548767442.72000003</v>
      </c>
      <c r="BC50" s="26">
        <f>股权价值增加表!BC47</f>
        <v>-488722348</v>
      </c>
      <c r="BD50" s="26">
        <f>股权价值增加表!BD47</f>
        <v>-426219811.28000003</v>
      </c>
      <c r="BE50" s="26">
        <f>股权价值增加表!BE47</f>
        <v>-179395085.24000001</v>
      </c>
      <c r="BF50" s="26">
        <f>股权价值增加表!BF47</f>
        <v>-348397571.56559998</v>
      </c>
      <c r="BG50" s="26">
        <f>股权价值增加表!BG47</f>
        <v>-362176899.26600003</v>
      </c>
      <c r="BH50" s="26">
        <f>股权价值增加表!BH47</f>
        <v>-399562407.2464</v>
      </c>
      <c r="BI50" s="26">
        <f>股权价值增加表!BI47</f>
        <v>-474450230.84000003</v>
      </c>
      <c r="BJ50" s="26">
        <f>股权价值增加表!BJ47</f>
        <v>-433551669.95039999</v>
      </c>
      <c r="BK50" s="26">
        <f>股权价值增加表!BK47</f>
        <v>-385448101.21759999</v>
      </c>
      <c r="BL50" s="26">
        <f>股权价值增加表!BL47</f>
        <v>-352606875.87759995</v>
      </c>
      <c r="BM50" s="26">
        <f>股权价值增加表!BM47</f>
        <v>-258620089.12</v>
      </c>
      <c r="BN50" s="26">
        <f>股权价值增加表!BN47</f>
        <v>-270124267.03799999</v>
      </c>
      <c r="BO50" s="26">
        <f>股权价值增加表!BO47</f>
        <v>-245473226.25200003</v>
      </c>
      <c r="BP50" s="26">
        <f>股权价值增加表!BP47</f>
        <v>-225180296.11840001</v>
      </c>
      <c r="BQ50" s="26">
        <f>股权价值增加表!BQ47</f>
        <v>-243834019.75999999</v>
      </c>
      <c r="BR50" s="26">
        <f>股权价值增加表!BR47</f>
        <v>-197663060.4576</v>
      </c>
      <c r="BS50" s="26">
        <f>股权价值增加表!BS47</f>
        <v>-162758396.88</v>
      </c>
      <c r="BT50" s="26">
        <f>股权价值增加表!BT47</f>
        <v>-94716957.200000003</v>
      </c>
      <c r="BU50" s="26">
        <f>股权价值增加表!BU47</f>
        <v>-70996418.359999999</v>
      </c>
      <c r="BV50" s="26">
        <f>股权价值增加表!BV47</f>
        <v>-86117071.784400001</v>
      </c>
      <c r="BW50" s="26">
        <f>股权价值增加表!BW47</f>
        <v>-48009560</v>
      </c>
      <c r="BX50" s="26">
        <f>股权价值增加表!BX47</f>
        <v>-59978172.057599999</v>
      </c>
      <c r="BY50" s="26">
        <f>股权价值增加表!BY47</f>
        <v>-19895720</v>
      </c>
      <c r="BZ50" s="26">
        <f>股权价值增加表!BZ47</f>
        <v>-56294920</v>
      </c>
      <c r="CA50" s="26">
        <f>股权价值增加表!CA47</f>
        <v>41854760</v>
      </c>
      <c r="CB50" s="26">
        <f>股权价值增加表!CB47</f>
        <v>57056840</v>
      </c>
      <c r="CC50" s="26">
        <f>股权价值增加表!CC47</f>
        <v>55002400</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9" t="s">
        <v>681</v>
      </c>
      <c r="B51" s="290"/>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c r="AA51" s="290"/>
      <c r="AB51" s="290"/>
      <c r="AC51" s="290"/>
      <c r="AD51" s="290"/>
      <c r="AE51" s="290"/>
      <c r="AF51" s="290"/>
      <c r="AG51" s="290"/>
    </row>
    <row r="53" spans="1:88">
      <c r="A53" s="20" t="s">
        <v>668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669</v>
      </c>
      <c r="E54" s="191">
        <f>E39</f>
        <v>962175499.18000007</v>
      </c>
      <c r="F54" s="191">
        <f t="shared" ref="F54:AC54" si="41">F39</f>
        <v>854729012.47999978</v>
      </c>
      <c r="G54" s="191">
        <f t="shared" si="41"/>
        <v>746806528.6500001</v>
      </c>
      <c r="H54" s="191">
        <f t="shared" si="41"/>
        <v>159890163.19000006</v>
      </c>
      <c r="I54" s="191">
        <f t="shared" si="41"/>
        <v>614679128.74999976</v>
      </c>
      <c r="J54" s="191">
        <f t="shared" si="41"/>
        <v>469423447.39000016</v>
      </c>
      <c r="K54" s="191">
        <f t="shared" si="41"/>
        <v>325839217.66000015</v>
      </c>
      <c r="L54" s="191">
        <f t="shared" si="41"/>
        <v>149147226.92999998</v>
      </c>
      <c r="M54" s="191">
        <f t="shared" si="41"/>
        <v>481687479.84999985</v>
      </c>
      <c r="N54" s="191">
        <f t="shared" si="41"/>
        <v>325424884.83000004</v>
      </c>
      <c r="O54" s="191">
        <f t="shared" si="41"/>
        <v>170595521.76999998</v>
      </c>
      <c r="P54" s="191">
        <f t="shared" si="41"/>
        <v>65708614.670000024</v>
      </c>
      <c r="Q54" s="191">
        <f t="shared" si="41"/>
        <v>238413874.77000013</v>
      </c>
      <c r="R54" s="191">
        <f t="shared" si="41"/>
        <v>114000204.04000007</v>
      </c>
      <c r="S54" s="191">
        <f t="shared" si="41"/>
        <v>66033424.940000042</v>
      </c>
      <c r="T54" s="191">
        <f t="shared" si="41"/>
        <v>26200775.850000013</v>
      </c>
      <c r="U54" s="191">
        <f t="shared" si="41"/>
        <v>104209097.22000001</v>
      </c>
      <c r="V54" s="191">
        <f t="shared" si="41"/>
        <v>74085401.459999934</v>
      </c>
      <c r="W54" s="191">
        <f t="shared" si="41"/>
        <v>53287896.070000008</v>
      </c>
      <c r="X54" s="191">
        <f t="shared" si="41"/>
        <v>22051701.420000006</v>
      </c>
      <c r="Y54" s="191">
        <f t="shared" si="41"/>
        <v>113709799.70999996</v>
      </c>
      <c r="Z54" s="191">
        <f t="shared" si="41"/>
        <v>90535178.510000035</v>
      </c>
      <c r="AA54" s="191">
        <f t="shared" si="41"/>
        <v>66034172.980000041</v>
      </c>
      <c r="AB54" s="191">
        <f t="shared" si="41"/>
        <v>28907534.690000001</v>
      </c>
      <c r="AC54" s="191">
        <f t="shared" si="41"/>
        <v>175561109.75000006</v>
      </c>
    </row>
    <row r="55" spans="1:88" s="63" customFormat="1">
      <c r="A55" s="63" t="s">
        <v>670</v>
      </c>
      <c r="E55" s="63">
        <f>E54/E2</f>
        <v>0.27563009440758607</v>
      </c>
      <c r="F55" s="63">
        <f t="shared" ref="F55:AC55" si="42">F54/F2</f>
        <v>0.34729654046196828</v>
      </c>
      <c r="G55" s="63">
        <f t="shared" si="42"/>
        <v>0.45734045130049883</v>
      </c>
      <c r="H55" s="63">
        <f t="shared" si="42"/>
        <v>0.18625208954768613</v>
      </c>
      <c r="I55" s="63">
        <f t="shared" si="42"/>
        <v>0.17786356564051892</v>
      </c>
      <c r="J55" s="63">
        <f t="shared" si="42"/>
        <v>0.18467127398670752</v>
      </c>
      <c r="K55" s="63">
        <f t="shared" si="42"/>
        <v>0.19182659414670059</v>
      </c>
      <c r="L55" s="63">
        <f t="shared" si="42"/>
        <v>0.17859276060747203</v>
      </c>
      <c r="M55" s="63">
        <f t="shared" si="42"/>
        <v>0.15919198610083191</v>
      </c>
      <c r="N55" s="63">
        <f t="shared" si="42"/>
        <v>0.14837500973259138</v>
      </c>
      <c r="O55" s="63">
        <f t="shared" si="42"/>
        <v>0.13590865654821585</v>
      </c>
      <c r="P55" s="63">
        <f t="shared" si="42"/>
        <v>0.13221949311846437</v>
      </c>
      <c r="Q55" s="63">
        <f t="shared" si="42"/>
        <v>0.13924172939674531</v>
      </c>
      <c r="R55" s="63">
        <f t="shared" si="42"/>
        <v>0.10140815882315024</v>
      </c>
      <c r="S55" s="63">
        <f t="shared" si="42"/>
        <v>9.0429029474101558E-2</v>
      </c>
      <c r="T55" s="63">
        <f t="shared" si="42"/>
        <v>7.9909292554649236E-2</v>
      </c>
      <c r="U55" s="63">
        <f t="shared" si="42"/>
        <v>8.4900154601680808E-2</v>
      </c>
      <c r="V55" s="63">
        <f t="shared" si="42"/>
        <v>8.3784984899937465E-2</v>
      </c>
      <c r="W55" s="63">
        <f t="shared" si="42"/>
        <v>9.2203850552615388E-2</v>
      </c>
      <c r="X55" s="63">
        <f t="shared" si="42"/>
        <v>8.4361361176461661E-2</v>
      </c>
      <c r="Y55" s="63">
        <f t="shared" si="42"/>
        <v>0.12241343093924165</v>
      </c>
      <c r="Z55" s="63">
        <f t="shared" si="42"/>
        <v>0.13054596942678245</v>
      </c>
      <c r="AA55" s="63">
        <f t="shared" si="42"/>
        <v>0.14151588137500015</v>
      </c>
      <c r="AB55" s="63">
        <f t="shared" si="42"/>
        <v>0.12632216777407257</v>
      </c>
      <c r="AC55" s="63">
        <f t="shared" si="42"/>
        <v>0.17578498495576647</v>
      </c>
    </row>
    <row r="56" spans="1:88">
      <c r="A56" s="17" t="s">
        <v>671</v>
      </c>
      <c r="E56" s="191">
        <f>E23</f>
        <v>365902852.78474098</v>
      </c>
      <c r="F56" s="191">
        <f t="shared" ref="F56:AC56" si="43">F23</f>
        <v>306094756.60540807</v>
      </c>
      <c r="G56" s="191">
        <f t="shared" si="43"/>
        <v>217349305.85290074</v>
      </c>
      <c r="H56" s="191">
        <f t="shared" si="43"/>
        <v>128338490.35512638</v>
      </c>
      <c r="I56" s="191">
        <f t="shared" si="43"/>
        <v>524552620.09044313</v>
      </c>
      <c r="J56" s="191">
        <f t="shared" si="43"/>
        <v>406650594.29501313</v>
      </c>
      <c r="K56" s="191">
        <f t="shared" si="43"/>
        <v>284628529.1409471</v>
      </c>
      <c r="L56" s="191">
        <f t="shared" si="43"/>
        <v>126332738.53846429</v>
      </c>
      <c r="M56" s="191">
        <f t="shared" si="43"/>
        <v>420613039.12535894</v>
      </c>
      <c r="N56" s="191">
        <f t="shared" si="43"/>
        <v>283032127.32709539</v>
      </c>
      <c r="O56" s="191">
        <f t="shared" si="43"/>
        <v>147759056.46530759</v>
      </c>
      <c r="P56" s="191">
        <f t="shared" si="43"/>
        <v>56740009.403530419</v>
      </c>
      <c r="Q56" s="191">
        <f t="shared" si="43"/>
        <v>210379325.51565036</v>
      </c>
      <c r="R56" s="191">
        <f t="shared" si="43"/>
        <v>94084765.121348232</v>
      </c>
      <c r="S56" s="191">
        <f t="shared" si="43"/>
        <v>53906653.952093497</v>
      </c>
      <c r="T56" s="191">
        <f t="shared" si="43"/>
        <v>21614841.539610043</v>
      </c>
      <c r="U56" s="191">
        <f t="shared" si="43"/>
        <v>80105138.822039142</v>
      </c>
      <c r="V56" s="191">
        <f t="shared" si="43"/>
        <v>61857298.137732655</v>
      </c>
      <c r="W56" s="191">
        <f t="shared" si="43"/>
        <v>44812798.529327855</v>
      </c>
      <c r="X56" s="191">
        <f t="shared" si="43"/>
        <v>18625766.872303322</v>
      </c>
      <c r="Y56" s="191">
        <f t="shared" si="43"/>
        <v>80870471.536777064</v>
      </c>
      <c r="Z56" s="191">
        <f t="shared" si="43"/>
        <v>75185808.582051516</v>
      </c>
      <c r="AA56" s="191">
        <f t="shared" si="43"/>
        <v>55080729.980501175</v>
      </c>
      <c r="AB56" s="191">
        <f t="shared" si="43"/>
        <v>24418148.919701423</v>
      </c>
      <c r="AC56" s="191">
        <f t="shared" si="43"/>
        <v>143060463.79079911</v>
      </c>
    </row>
    <row r="57" spans="1:88" s="63" customFormat="1">
      <c r="A57" s="63" t="s">
        <v>672</v>
      </c>
      <c r="E57" s="63">
        <f>E56/E2</f>
        <v>0.10481854707692559</v>
      </c>
      <c r="F57" s="63">
        <f t="shared" ref="F57:AC57" si="44">F56/F2</f>
        <v>0.1243735130906112</v>
      </c>
      <c r="G57" s="63">
        <f t="shared" si="44"/>
        <v>0.13310358950437351</v>
      </c>
      <c r="H57" s="63">
        <f t="shared" si="44"/>
        <v>0.14949832760901718</v>
      </c>
      <c r="I57" s="63">
        <f t="shared" si="44"/>
        <v>0.15178455719668479</v>
      </c>
      <c r="J57" s="63">
        <f t="shared" si="44"/>
        <v>0.15997642157299607</v>
      </c>
      <c r="K57" s="63">
        <f t="shared" si="44"/>
        <v>0.16756522353016742</v>
      </c>
      <c r="L57" s="63">
        <f t="shared" si="44"/>
        <v>0.15127410006272193</v>
      </c>
      <c r="M57" s="63">
        <f t="shared" si="44"/>
        <v>0.13900760945483567</v>
      </c>
      <c r="N57" s="63">
        <f t="shared" si="44"/>
        <v>0.12904635325823868</v>
      </c>
      <c r="O57" s="63">
        <f t="shared" si="44"/>
        <v>0.11771548660055969</v>
      </c>
      <c r="P57" s="63">
        <f t="shared" si="44"/>
        <v>0.1141727811573674</v>
      </c>
      <c r="Q57" s="63">
        <f t="shared" si="44"/>
        <v>0.12286860881053902</v>
      </c>
      <c r="R57" s="63">
        <f t="shared" si="44"/>
        <v>8.3692506382854914E-2</v>
      </c>
      <c r="S57" s="63">
        <f t="shared" si="44"/>
        <v>7.3822104540441136E-2</v>
      </c>
      <c r="T57" s="63">
        <f t="shared" si="44"/>
        <v>6.5922730914515379E-2</v>
      </c>
      <c r="U57" s="63">
        <f t="shared" si="44"/>
        <v>6.5262427674836213E-2</v>
      </c>
      <c r="V57" s="63">
        <f t="shared" si="44"/>
        <v>6.9955925030913163E-2</v>
      </c>
      <c r="W57" s="63">
        <f t="shared" si="44"/>
        <v>7.7539420453283575E-2</v>
      </c>
      <c r="X57" s="63">
        <f t="shared" si="44"/>
        <v>7.1255048142355754E-2</v>
      </c>
      <c r="Y57" s="63">
        <f t="shared" si="44"/>
        <v>8.7060498811348849E-2</v>
      </c>
      <c r="Z57" s="63">
        <f t="shared" si="44"/>
        <v>0.10841315420167068</v>
      </c>
      <c r="AA57" s="63">
        <f t="shared" si="44"/>
        <v>0.11804188192573943</v>
      </c>
      <c r="AB57" s="63">
        <f t="shared" si="44"/>
        <v>0.10670413570873802</v>
      </c>
      <c r="AC57" s="63">
        <f t="shared" si="44"/>
        <v>0.14324289423233488</v>
      </c>
    </row>
    <row r="58" spans="1:88" ht="93" customHeight="1">
      <c r="A58" s="285" t="s">
        <v>673</v>
      </c>
      <c r="B58" s="291"/>
      <c r="C58" s="291"/>
      <c r="D58" s="291"/>
      <c r="E58" s="291"/>
      <c r="F58" s="291"/>
      <c r="G58" s="291"/>
      <c r="H58" s="291"/>
      <c r="I58" s="291"/>
      <c r="J58" s="291"/>
      <c r="K58" s="291"/>
      <c r="L58" s="291"/>
      <c r="M58" s="291"/>
      <c r="N58" s="291"/>
      <c r="O58" s="291"/>
      <c r="P58" s="291"/>
      <c r="Q58" s="291"/>
      <c r="R58" s="291"/>
      <c r="S58" s="291"/>
      <c r="T58" s="291"/>
      <c r="U58" s="291"/>
      <c r="V58" s="291"/>
      <c r="W58" s="291"/>
      <c r="X58" s="291"/>
      <c r="Y58" s="291"/>
      <c r="Z58" s="291"/>
      <c r="AA58" s="291"/>
      <c r="AB58" s="291"/>
      <c r="AC58" s="291"/>
    </row>
    <row r="60" spans="1:88" s="223" customFormat="1">
      <c r="A60" s="225" t="s">
        <v>675</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c r="A61" s="88" t="s">
        <v>676</v>
      </c>
      <c r="B61" s="88"/>
      <c r="C61" s="88"/>
      <c r="D61" s="88"/>
      <c r="E61" s="88">
        <f>股权价值增加表!E38</f>
        <v>939502438.4000001</v>
      </c>
      <c r="F61" s="88">
        <f>股权价值增加表!F38</f>
        <v>843707219.12999976</v>
      </c>
      <c r="G61" s="88">
        <f>股权价值增加表!G38</f>
        <v>738090316.80000007</v>
      </c>
      <c r="H61" s="88">
        <f>股权价值增加表!H38</f>
        <v>156153865.36000004</v>
      </c>
      <c r="I61" s="88">
        <f>股权价值增加表!I38</f>
        <v>593066388.25999975</v>
      </c>
      <c r="J61" s="88">
        <f>股权价值增加表!J38</f>
        <v>456705509.62000018</v>
      </c>
      <c r="K61" s="88">
        <f>股权价值增加表!K38</f>
        <v>317751552.77000016</v>
      </c>
      <c r="L61" s="88">
        <f>股权价值增加表!L38</f>
        <v>144715836.99999997</v>
      </c>
      <c r="M61" s="88">
        <f>股权价值增加表!M38</f>
        <v>462796278.44999987</v>
      </c>
      <c r="N61" s="88">
        <f>股权价值增加表!N38</f>
        <v>317445031.87000006</v>
      </c>
      <c r="O61" s="88">
        <f>股权价值增加表!O38</f>
        <v>168037593.52999997</v>
      </c>
      <c r="P61" s="88">
        <f>股权价值增加表!P38</f>
        <v>64119234.810000025</v>
      </c>
      <c r="Q61" s="88">
        <f>股权价值增加表!Q38</f>
        <v>235793191.65000013</v>
      </c>
      <c r="R61" s="88">
        <f>股权价值增加表!R38</f>
        <v>112283667.69000007</v>
      </c>
      <c r="S61" s="88">
        <f>股权价值增加表!S38</f>
        <v>65424046.180000044</v>
      </c>
      <c r="T61" s="88">
        <f>股权价值增加表!T38</f>
        <v>26037387.740000013</v>
      </c>
      <c r="U61" s="88">
        <f>股权价值增加表!U38</f>
        <v>98309783.050000012</v>
      </c>
      <c r="V61" s="88">
        <f>股权价值增加表!V38</f>
        <v>76419297.85999994</v>
      </c>
      <c r="W61" s="88">
        <f>股权价值增加表!W38</f>
        <v>54945125.530000009</v>
      </c>
      <c r="X61" s="88">
        <f>股权价值增加表!X38</f>
        <v>23001007.470000006</v>
      </c>
      <c r="Y61" s="88">
        <f>股权价值增加表!Y38</f>
        <v>110650848.12999997</v>
      </c>
      <c r="Z61" s="88">
        <f>股权价值增加表!Z38</f>
        <v>101539117.49000004</v>
      </c>
      <c r="AA61" s="88">
        <f>股权价值增加表!AA38</f>
        <v>74487579.060000047</v>
      </c>
      <c r="AB61" s="88">
        <f>股权价值增加表!AB38</f>
        <v>33259237.190000001</v>
      </c>
      <c r="AC61" s="88">
        <f>股权价值增加表!AC38</f>
        <v>162626223.83000007</v>
      </c>
    </row>
    <row r="62" spans="1:88" s="191" customFormat="1">
      <c r="A62" s="88" t="s">
        <v>677</v>
      </c>
      <c r="B62" s="88"/>
      <c r="C62" s="88"/>
      <c r="D62" s="88"/>
      <c r="E62" s="88">
        <f>股权价值增加表!E40</f>
        <v>176427839.81999999</v>
      </c>
      <c r="F62" s="88">
        <f>股权价值增加表!F40</f>
        <v>131343019.88</v>
      </c>
      <c r="G62" s="88">
        <f>股权价值增加表!G40</f>
        <v>120201647.28</v>
      </c>
      <c r="H62" s="88">
        <f>股权价值增加表!H40</f>
        <v>30931539.27</v>
      </c>
      <c r="I62" s="88">
        <f>股权价值增加表!I40</f>
        <v>86709524.189999998</v>
      </c>
      <c r="J62" s="88">
        <f>股权价值增加表!J40</f>
        <v>61143036.149999999</v>
      </c>
      <c r="K62" s="88">
        <f>股权价值增加表!K40</f>
        <v>40306410.609999999</v>
      </c>
      <c r="L62" s="88">
        <f>股权价值增加表!L40</f>
        <v>22159436.260000002</v>
      </c>
      <c r="M62" s="88">
        <f>股权价值增加表!M40</f>
        <v>55216863.780000001</v>
      </c>
      <c r="N62" s="88">
        <f>股权价值增加表!N40</f>
        <v>41165972.950000003</v>
      </c>
      <c r="O62" s="88">
        <f>股权价值增加表!O40</f>
        <v>22441579.620000001</v>
      </c>
      <c r="P62" s="88">
        <f>股权价值增加表!P40</f>
        <v>8749247.8800000008</v>
      </c>
      <c r="Q62" s="88">
        <f>股权价值增加表!Q40</f>
        <v>25981549.109999999</v>
      </c>
      <c r="R62" s="88">
        <f>股权价值增加表!R40</f>
        <v>19045800.07</v>
      </c>
      <c r="S62" s="88">
        <f>股权价值增加表!S40</f>
        <v>12006178.210000001</v>
      </c>
      <c r="T62" s="88">
        <f>股权价值增加表!T40</f>
        <v>4552085.1900000004</v>
      </c>
      <c r="U62" s="88">
        <f>股权价值增加表!U40</f>
        <v>17253605.879999999</v>
      </c>
      <c r="V62" s="88">
        <f>股权价值增加表!V40</f>
        <v>12613322.619999999</v>
      </c>
      <c r="W62" s="88">
        <f>股权价值增加表!W40</f>
        <v>8738669.2400000002</v>
      </c>
      <c r="X62" s="88">
        <f>股权价值增加表!X40</f>
        <v>3573417.97</v>
      </c>
      <c r="Y62" s="88">
        <f>股权价值增加表!Y40</f>
        <v>17365454.870000001</v>
      </c>
      <c r="Z62" s="88">
        <f>股权价值增加表!Z40</f>
        <v>15120611.5</v>
      </c>
      <c r="AA62" s="88">
        <f>股权价值增加表!AA40</f>
        <v>10850084.130000001</v>
      </c>
      <c r="AB62" s="88">
        <f>股权价值增加表!AB40</f>
        <v>4410996.29</v>
      </c>
      <c r="AC62" s="88">
        <f>股权价值增加表!AC40</f>
        <v>22492723.390000001</v>
      </c>
    </row>
    <row r="63" spans="1:88">
      <c r="A63" s="182" t="s">
        <v>678</v>
      </c>
      <c r="B63" s="64"/>
      <c r="C63" s="64"/>
      <c r="D63" s="64"/>
      <c r="E63" s="64">
        <f>股权价值增加表!E42</f>
        <v>763074598.58000016</v>
      </c>
      <c r="F63" s="64">
        <f>股权价值增加表!F42</f>
        <v>712364199.24999976</v>
      </c>
      <c r="G63" s="64">
        <f>股权价值增加表!G42</f>
        <v>617888669.5200001</v>
      </c>
      <c r="H63" s="64">
        <f>股权价值增加表!H42</f>
        <v>125222326.09000005</v>
      </c>
      <c r="I63" s="64">
        <f>股权价值增加表!I42</f>
        <v>506356864.06999975</v>
      </c>
      <c r="J63" s="64">
        <f>股权价值增加表!J42</f>
        <v>395562473.47000021</v>
      </c>
      <c r="K63" s="64">
        <f>股权价值增加表!K42</f>
        <v>277445142.16000015</v>
      </c>
      <c r="L63" s="64">
        <f>股权价值增加表!L42</f>
        <v>122556400.73999996</v>
      </c>
      <c r="M63" s="64">
        <f>股权价值增加表!M42</f>
        <v>407579414.66999984</v>
      </c>
      <c r="N63" s="64">
        <f>股权价值增加表!N42</f>
        <v>276279058.92000008</v>
      </c>
      <c r="O63" s="64">
        <f>股权价值增加表!O42</f>
        <v>145596013.90999997</v>
      </c>
      <c r="P63" s="64">
        <f>股权价值增加表!P42</f>
        <v>55369986.930000022</v>
      </c>
      <c r="Q63" s="64">
        <f>股权价值增加表!Q42</f>
        <v>209811642.54000014</v>
      </c>
      <c r="R63" s="64">
        <f>股权价值增加表!R42</f>
        <v>93237867.620000064</v>
      </c>
      <c r="S63" s="64">
        <f>股权价值增加表!S42</f>
        <v>53417867.970000044</v>
      </c>
      <c r="T63" s="64">
        <f>股权价值增加表!T42</f>
        <v>21485302.550000012</v>
      </c>
      <c r="U63" s="64">
        <f>股权价值增加表!U42</f>
        <v>81056177.170000017</v>
      </c>
      <c r="V63" s="64">
        <f>股权价值增加表!V42</f>
        <v>63805975.239999942</v>
      </c>
      <c r="W63" s="64">
        <f>股权价值增加表!W42</f>
        <v>46206456.290000007</v>
      </c>
      <c r="X63" s="64">
        <f>股权价值增加表!X42</f>
        <v>19427589.500000007</v>
      </c>
      <c r="Y63" s="64">
        <f>股权价值增加表!Y42</f>
        <v>93285393.259999961</v>
      </c>
      <c r="Z63" s="64">
        <f>股权价值增加表!Z42</f>
        <v>86418505.990000039</v>
      </c>
      <c r="AA63" s="64">
        <f>股权价值增加表!AA42</f>
        <v>63637494.930000044</v>
      </c>
      <c r="AB63" s="64">
        <f>股权价值增加表!AB42</f>
        <v>28848240.900000002</v>
      </c>
      <c r="AC63" s="64">
        <f>股权价值增加表!AC42</f>
        <v>140133500.44000006</v>
      </c>
    </row>
    <row r="64" spans="1:88" s="63" customFormat="1">
      <c r="A64" s="212" t="s">
        <v>679</v>
      </c>
      <c r="B64" s="212"/>
      <c r="C64" s="212"/>
      <c r="D64" s="212"/>
      <c r="E64" s="212">
        <f>1-E63/E61</f>
        <v>0.18778859171505891</v>
      </c>
      <c r="F64" s="212">
        <f t="shared" ref="F64:AC64" si="46">1-F63/F61</f>
        <v>0.15567369450202895</v>
      </c>
      <c r="G64" s="212">
        <f t="shared" si="46"/>
        <v>0.16285493054716627</v>
      </c>
      <c r="H64" s="212">
        <f t="shared" si="46"/>
        <v>0.19808372465638202</v>
      </c>
      <c r="I64" s="212">
        <f t="shared" si="46"/>
        <v>0.14620542641844447</v>
      </c>
      <c r="J64" s="212">
        <f t="shared" si="46"/>
        <v>0.13387847280597465</v>
      </c>
      <c r="K64" s="212">
        <f t="shared" si="46"/>
        <v>0.12684882342392589</v>
      </c>
      <c r="L64" s="212">
        <f t="shared" si="46"/>
        <v>0.15312378188435594</v>
      </c>
      <c r="M64" s="212">
        <f t="shared" si="46"/>
        <v>0.11931138246170148</v>
      </c>
      <c r="N64" s="212">
        <f t="shared" si="46"/>
        <v>0.12967905878854091</v>
      </c>
      <c r="O64" s="212">
        <f t="shared" si="46"/>
        <v>0.13355094624104746</v>
      </c>
      <c r="P64" s="212">
        <f t="shared" si="46"/>
        <v>0.13645278060360555</v>
      </c>
      <c r="Q64" s="212">
        <f t="shared" si="46"/>
        <v>0.1101878681406786</v>
      </c>
      <c r="R64" s="212">
        <f t="shared" si="46"/>
        <v>0.1696221762418989</v>
      </c>
      <c r="S64" s="212">
        <f t="shared" si="46"/>
        <v>0.18351323268768205</v>
      </c>
      <c r="T64" s="212">
        <f t="shared" si="46"/>
        <v>0.17482879755279168</v>
      </c>
      <c r="U64" s="212">
        <f t="shared" si="46"/>
        <v>0.17550243063017312</v>
      </c>
      <c r="V64" s="212">
        <f t="shared" si="46"/>
        <v>0.16505415481711949</v>
      </c>
      <c r="W64" s="212">
        <f t="shared" si="46"/>
        <v>0.15904357585330642</v>
      </c>
      <c r="X64" s="212">
        <f t="shared" si="46"/>
        <v>0.15535919349014493</v>
      </c>
      <c r="Y64" s="212">
        <f t="shared" si="46"/>
        <v>0.15693919353964569</v>
      </c>
      <c r="Z64" s="212">
        <f t="shared" si="46"/>
        <v>0.14891415125298024</v>
      </c>
      <c r="AA64" s="212">
        <f t="shared" si="46"/>
        <v>0.14566299867606403</v>
      </c>
      <c r="AB64" s="212">
        <f t="shared" si="46"/>
        <v>0.13262469805910782</v>
      </c>
      <c r="AC64" s="212">
        <f t="shared" si="46"/>
        <v>0.13830932589022416</v>
      </c>
    </row>
    <row r="65" spans="1:29" ht="42.6" customHeight="1">
      <c r="A65" s="287" t="s">
        <v>680</v>
      </c>
      <c r="B65" s="287"/>
      <c r="C65" s="287"/>
      <c r="D65" s="287"/>
      <c r="E65" s="287"/>
      <c r="F65" s="287"/>
      <c r="G65" s="287"/>
      <c r="H65" s="287"/>
      <c r="I65" s="287"/>
      <c r="J65" s="287"/>
      <c r="K65" s="287"/>
      <c r="L65" s="287"/>
      <c r="M65" s="287"/>
      <c r="N65" s="287"/>
      <c r="O65" s="287"/>
      <c r="P65" s="287"/>
      <c r="Q65" s="287"/>
      <c r="R65" s="287"/>
      <c r="S65" s="287"/>
      <c r="T65" s="287"/>
      <c r="U65" s="287"/>
      <c r="V65" s="287"/>
      <c r="W65" s="287"/>
      <c r="X65" s="287"/>
      <c r="Y65" s="287"/>
      <c r="Z65" s="287"/>
      <c r="AA65" s="287"/>
      <c r="AB65" s="287"/>
      <c r="AC65" s="287"/>
    </row>
    <row r="68" spans="1:29" ht="55.9" customHeight="1">
      <c r="A68" s="285" t="s">
        <v>732</v>
      </c>
      <c r="B68" s="284"/>
      <c r="C68" s="284"/>
      <c r="D68" s="284"/>
      <c r="E68" s="284"/>
      <c r="F68" s="284"/>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row>
    <row r="69" spans="1:29">
      <c r="A69" s="292" t="s">
        <v>700</v>
      </c>
      <c r="B69" s="292"/>
      <c r="C69" s="292"/>
      <c r="D69" s="292"/>
      <c r="E69" s="292"/>
      <c r="F69" s="255"/>
      <c r="G69" s="255"/>
      <c r="H69" s="255"/>
      <c r="I69" s="255" t="s">
        <v>704</v>
      </c>
      <c r="J69" s="255"/>
      <c r="K69" s="255"/>
      <c r="L69" s="255"/>
      <c r="M69" s="255" t="s">
        <v>705</v>
      </c>
    </row>
    <row r="70" spans="1:29" ht="54">
      <c r="A70" s="293" t="s">
        <v>701</v>
      </c>
      <c r="B70" s="65"/>
      <c r="C70" s="65"/>
      <c r="D70" s="65"/>
      <c r="E70" s="65" t="s">
        <v>702</v>
      </c>
      <c r="F70" s="65"/>
      <c r="G70" s="65"/>
      <c r="H70" s="65"/>
      <c r="I70" s="256" t="s">
        <v>706</v>
      </c>
      <c r="J70" s="257"/>
      <c r="K70" s="257"/>
      <c r="L70" s="257"/>
      <c r="M70" s="256" t="s">
        <v>707</v>
      </c>
    </row>
    <row r="71" spans="1:29" ht="54.6" customHeight="1">
      <c r="A71" s="293"/>
      <c r="B71" s="65"/>
      <c r="C71" s="65"/>
      <c r="D71" s="65"/>
      <c r="E71" s="65" t="s">
        <v>703</v>
      </c>
      <c r="F71" s="65"/>
      <c r="G71" s="65"/>
      <c r="H71" s="65"/>
      <c r="I71" s="256" t="s">
        <v>708</v>
      </c>
      <c r="J71" s="257"/>
      <c r="K71" s="257"/>
      <c r="L71" s="257"/>
      <c r="M71" s="256" t="s">
        <v>709</v>
      </c>
    </row>
    <row r="72" spans="1:29" ht="54">
      <c r="A72" s="293" t="s">
        <v>717</v>
      </c>
      <c r="B72" s="65"/>
      <c r="C72" s="65"/>
      <c r="D72" s="65"/>
      <c r="E72" s="65" t="s">
        <v>710</v>
      </c>
      <c r="F72" s="65"/>
      <c r="G72" s="65"/>
      <c r="H72" s="65"/>
      <c r="I72" s="256" t="s">
        <v>718</v>
      </c>
      <c r="J72" s="257"/>
      <c r="K72" s="257"/>
      <c r="L72" s="257"/>
      <c r="M72" s="256" t="s">
        <v>719</v>
      </c>
    </row>
    <row r="73" spans="1:29" ht="40.5">
      <c r="A73" s="293"/>
      <c r="B73" s="65"/>
      <c r="C73" s="65"/>
      <c r="D73" s="65"/>
      <c r="E73" s="65" t="s">
        <v>711</v>
      </c>
      <c r="F73" s="65"/>
      <c r="G73" s="65"/>
      <c r="H73" s="65"/>
      <c r="I73" s="256" t="s">
        <v>720</v>
      </c>
      <c r="J73" s="257"/>
      <c r="K73" s="257"/>
      <c r="L73" s="257"/>
      <c r="M73" s="256" t="s">
        <v>721</v>
      </c>
    </row>
    <row r="74" spans="1:29" ht="54">
      <c r="A74" s="293"/>
      <c r="B74" s="65"/>
      <c r="C74" s="65"/>
      <c r="D74" s="65"/>
      <c r="E74" s="65" t="s">
        <v>712</v>
      </c>
      <c r="F74" s="65"/>
      <c r="G74" s="65"/>
      <c r="H74" s="65"/>
      <c r="I74" s="256" t="s">
        <v>722</v>
      </c>
      <c r="J74" s="257"/>
      <c r="K74" s="257"/>
      <c r="L74" s="257"/>
      <c r="M74" s="256" t="s">
        <v>723</v>
      </c>
    </row>
    <row r="75" spans="1:29" ht="67.5">
      <c r="A75" s="293"/>
      <c r="B75" s="65"/>
      <c r="C75" s="65"/>
      <c r="D75" s="65"/>
      <c r="E75" s="65" t="s">
        <v>713</v>
      </c>
      <c r="F75" s="65"/>
      <c r="G75" s="65"/>
      <c r="H75" s="65"/>
      <c r="I75" s="256" t="s">
        <v>724</v>
      </c>
      <c r="J75" s="257"/>
      <c r="K75" s="257"/>
      <c r="L75" s="257"/>
      <c r="M75" s="256" t="s">
        <v>725</v>
      </c>
    </row>
    <row r="76" spans="1:29">
      <c r="A76" s="293"/>
      <c r="B76" s="65"/>
      <c r="C76" s="65"/>
      <c r="D76" s="65"/>
      <c r="E76" s="65" t="s">
        <v>714</v>
      </c>
      <c r="F76" s="65"/>
      <c r="G76" s="65"/>
      <c r="H76" s="65"/>
      <c r="I76" s="256" t="s">
        <v>726</v>
      </c>
      <c r="J76" s="257"/>
      <c r="K76" s="257"/>
      <c r="L76" s="257"/>
      <c r="M76" s="256" t="s">
        <v>727</v>
      </c>
    </row>
    <row r="77" spans="1:29" ht="40.5">
      <c r="A77" s="293"/>
      <c r="B77" s="65"/>
      <c r="C77" s="65"/>
      <c r="D77" s="65"/>
      <c r="E77" s="65" t="s">
        <v>715</v>
      </c>
      <c r="F77" s="65"/>
      <c r="G77" s="65"/>
      <c r="H77" s="65"/>
      <c r="I77" s="256" t="s">
        <v>728</v>
      </c>
      <c r="J77" s="257"/>
      <c r="K77" s="257"/>
      <c r="L77" s="257"/>
      <c r="M77" s="256" t="s">
        <v>729</v>
      </c>
    </row>
    <row r="78" spans="1:29" ht="54">
      <c r="A78" s="293"/>
      <c r="B78" s="65"/>
      <c r="C78" s="65"/>
      <c r="D78" s="65"/>
      <c r="E78" s="65" t="s">
        <v>716</v>
      </c>
      <c r="F78" s="65"/>
      <c r="G78" s="65"/>
      <c r="H78" s="65"/>
      <c r="I78" s="256" t="s">
        <v>730</v>
      </c>
      <c r="J78" s="257"/>
      <c r="K78" s="257"/>
      <c r="L78" s="257"/>
      <c r="M78" s="256" t="s">
        <v>731</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79" workbookViewId="0">
      <selection activeCell="A77" sqref="A77:AG77"/>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20.5" bestFit="1" customWidth="1"/>
    <col min="26" max="28" width="20.5" hidden="1" customWidth="1"/>
    <col min="29" max="29" width="20.5" bestFit="1" customWidth="1"/>
    <col min="30" max="30" width="20.5" hidden="1" customWidth="1"/>
    <col min="31" max="32" width="19.375" hidden="1" customWidth="1"/>
    <col min="33" max="33" width="19.375" bestFit="1" customWidth="1"/>
    <col min="34" max="36" width="19.375" hidden="1" customWidth="1"/>
    <col min="37" max="38" width="20.5" bestFit="1" customWidth="1"/>
    <col min="39" max="39" width="20.5" hidden="1" customWidth="1"/>
    <col min="40" max="45" width="19.375" bestFit="1" customWidth="1"/>
    <col min="46" max="51" width="20.5" bestFit="1" customWidth="1"/>
    <col min="52" max="64" width="19.375" bestFit="1" customWidth="1"/>
    <col min="65" max="65" width="20.5" bestFit="1" customWidth="1"/>
    <col min="66" max="75" width="19.375" bestFit="1" customWidth="1"/>
    <col min="76" max="81" width="17.25" bestFit="1" customWidth="1"/>
    <col min="82" max="82" width="9.625" bestFit="1" customWidth="1"/>
    <col min="83" max="84" width="19.375" bestFit="1" customWidth="1"/>
    <col min="85" max="87" width="17.25" bestFit="1" customWidth="1"/>
    <col min="88" max="89" width="16.125" bestFit="1" customWidth="1"/>
  </cols>
  <sheetData>
    <row r="1" spans="1:89" s="26" customFormat="1"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423</v>
      </c>
      <c r="E2" s="26">
        <f>股权价值增加表!E42</f>
        <v>763074598.58000016</v>
      </c>
      <c r="F2" s="26">
        <f>股权价值增加表!F42</f>
        <v>712364199.24999976</v>
      </c>
      <c r="G2" s="26">
        <f>股权价值增加表!G42</f>
        <v>617888669.5200001</v>
      </c>
      <c r="H2" s="26">
        <f>股权价值增加表!H42</f>
        <v>125222326.09000005</v>
      </c>
      <c r="I2" s="26">
        <f>股权价值增加表!I42</f>
        <v>506356864.06999975</v>
      </c>
      <c r="J2" s="26">
        <f>股权价值增加表!J42</f>
        <v>395562473.47000021</v>
      </c>
      <c r="K2" s="26">
        <f>股权价值增加表!K42</f>
        <v>277445142.16000015</v>
      </c>
      <c r="L2" s="26">
        <f>股权价值增加表!L42</f>
        <v>122556400.73999996</v>
      </c>
      <c r="M2" s="26">
        <f>股权价值增加表!M42</f>
        <v>407579414.66999984</v>
      </c>
      <c r="N2" s="26">
        <f>股权价值增加表!N42</f>
        <v>276279058.92000008</v>
      </c>
      <c r="O2" s="26">
        <f>股权价值增加表!O42</f>
        <v>145596013.90999997</v>
      </c>
      <c r="P2" s="26">
        <f>股权价值增加表!P42</f>
        <v>55369986.930000022</v>
      </c>
      <c r="Q2" s="26">
        <f>股权价值增加表!Q42</f>
        <v>209811642.54000014</v>
      </c>
      <c r="R2" s="26">
        <f>股权价值增加表!R42</f>
        <v>93237867.620000064</v>
      </c>
      <c r="S2" s="26">
        <f>股权价值增加表!S42</f>
        <v>53417867.970000044</v>
      </c>
      <c r="T2" s="26">
        <f>股权价值增加表!T42</f>
        <v>21485302.550000012</v>
      </c>
      <c r="U2" s="26">
        <f>股权价值增加表!U42</f>
        <v>81056177.170000017</v>
      </c>
      <c r="V2" s="26">
        <f>股权价值增加表!V42</f>
        <v>63805975.239999942</v>
      </c>
      <c r="W2" s="26">
        <f>股权价值增加表!W42</f>
        <v>46206456.290000007</v>
      </c>
      <c r="X2" s="26">
        <f>股权价值增加表!X42</f>
        <v>19427589.500000007</v>
      </c>
      <c r="Y2" s="26">
        <f>股权价值增加表!Y42</f>
        <v>93285393.259999961</v>
      </c>
      <c r="Z2" s="26">
        <f>股权价值增加表!Z42</f>
        <v>86418505.990000039</v>
      </c>
      <c r="AA2" s="26">
        <f>股权价值增加表!AA42</f>
        <v>63637494.930000044</v>
      </c>
      <c r="AB2" s="26">
        <f>股权价值增加表!AB42</f>
        <v>28848240.900000002</v>
      </c>
      <c r="AC2" s="26">
        <f>股权价值增加表!AC42</f>
        <v>140133500.44000006</v>
      </c>
      <c r="AD2" s="26">
        <f>股权价值增加表!AD42</f>
        <v>122593746.51999997</v>
      </c>
      <c r="AE2" s="26">
        <f>股权价值增加表!AE42</f>
        <v>89788580.339999989</v>
      </c>
      <c r="AF2" s="26">
        <f>股权价值增加表!AF42</f>
        <v>40811842.500000015</v>
      </c>
      <c r="AG2" s="26">
        <f>股权价值增加表!AG42</f>
        <v>155737904.29000005</v>
      </c>
      <c r="AH2" s="26">
        <f>股权价值增加表!AH42</f>
        <v>121288481.95</v>
      </c>
      <c r="AI2" s="26">
        <f>股权价值增加表!AI42</f>
        <v>80009932.309999958</v>
      </c>
      <c r="AJ2" s="26">
        <f>股权价值增加表!AJ42</f>
        <v>39728737.599999994</v>
      </c>
      <c r="AK2" s="26">
        <f>股权价值增加表!AK42</f>
        <v>101965075.51999995</v>
      </c>
      <c r="AL2" s="26">
        <f>股权价值增加表!AL42</f>
        <v>77056544.74000001</v>
      </c>
      <c r="AM2" s="26">
        <f>股权价值增加表!AM42</f>
        <v>0</v>
      </c>
      <c r="AN2" s="26">
        <f>股权价值增加表!AN42</f>
        <v>-28361024</v>
      </c>
      <c r="AO2" s="26">
        <f>股权价值增加表!AO42</f>
        <v>-183315164</v>
      </c>
      <c r="AP2" s="26">
        <f>股权价值增加表!AP42</f>
        <v>-82463154</v>
      </c>
      <c r="AQ2" s="26">
        <f>股权价值增加表!AQ42</f>
        <v>-18500653</v>
      </c>
      <c r="AR2" s="26">
        <f>股权价值增加表!AR42</f>
        <v>-23384871</v>
      </c>
      <c r="AS2" s="26">
        <f>股权价值增加表!AS42</f>
        <v>-278200364</v>
      </c>
      <c r="AT2" s="26">
        <f>股权价值增加表!AT42</f>
        <v>-70951630</v>
      </c>
      <c r="AU2" s="26">
        <f>股权价值增加表!AU42</f>
        <v>41854179</v>
      </c>
      <c r="AV2" s="26">
        <f>股权价值增加表!AV42</f>
        <v>105243196</v>
      </c>
      <c r="AW2" s="26">
        <f>股权价值增加表!AW42</f>
        <v>-480460746</v>
      </c>
      <c r="AX2" s="26">
        <f>股权价值增加表!AX42</f>
        <v>-411816347</v>
      </c>
      <c r="AY2" s="26">
        <f>股权价值增加表!AY42</f>
        <v>-262479904</v>
      </c>
      <c r="AZ2" s="26">
        <f>股权价值增加表!AZ42</f>
        <v>-78383092</v>
      </c>
      <c r="BA2" s="26">
        <f>股权价值增加表!BA42</f>
        <v>-390198861</v>
      </c>
      <c r="BB2" s="26">
        <f>股权价值增加表!BB42</f>
        <v>-217656976</v>
      </c>
      <c r="BC2" s="26">
        <f>股权价值增加表!BC42</f>
        <v>-126458674</v>
      </c>
      <c r="BD2" s="26">
        <f>股权价值增加表!BD42</f>
        <v>-19157380</v>
      </c>
      <c r="BE2" s="26">
        <f>股权价值增加表!BE42</f>
        <v>259100491</v>
      </c>
      <c r="BF2" s="26">
        <f>股权价值增加表!BF42</f>
        <v>113662430.94</v>
      </c>
      <c r="BG2" s="26">
        <f>股权价值增加表!BG42</f>
        <v>97729841.890000001</v>
      </c>
      <c r="BH2" s="26">
        <f>股权价值增加表!BH42</f>
        <v>43481545.140000008</v>
      </c>
      <c r="BI2" s="26">
        <f>股权价值增加表!BI42</f>
        <v>-228035763</v>
      </c>
      <c r="BJ2" s="26">
        <f>股权价值增加表!BJ42</f>
        <v>-194157356.66</v>
      </c>
      <c r="BK2" s="26">
        <f>股权价值增加表!BK42</f>
        <v>-159735713.11999997</v>
      </c>
      <c r="BL2" s="26">
        <f>股权价值增加表!BL42</f>
        <v>-146319620.34</v>
      </c>
      <c r="BM2" s="26">
        <f>股权价值增加表!BM42</f>
        <v>-47348848</v>
      </c>
      <c r="BN2" s="26">
        <f>股权价值增加表!BN42</f>
        <v>-59961944.369999997</v>
      </c>
      <c r="BO2" s="26">
        <f>股权价值增加表!BO42</f>
        <v>-41743210.640000001</v>
      </c>
      <c r="BP2" s="26">
        <f>股权价值增加表!BP42</f>
        <v>-27646390.399999999</v>
      </c>
      <c r="BQ2" s="26">
        <f>股权价值增加表!BQ42</f>
        <v>-56971352</v>
      </c>
      <c r="BR2" s="26">
        <f>股权价值增加表!BR42</f>
        <v>-5646453.7799999993</v>
      </c>
      <c r="BS2" s="26">
        <f>股权价值增加表!BS42</f>
        <v>15416072</v>
      </c>
      <c r="BT2" s="26">
        <f>股权价值增加表!BT42</f>
        <v>11983694</v>
      </c>
      <c r="BU2" s="26">
        <f>股权价值增加表!BU42</f>
        <v>29336553</v>
      </c>
      <c r="BV2" s="26">
        <f>股权价值增加表!BV42</f>
        <v>4743327.5900000017</v>
      </c>
      <c r="BW2" s="26">
        <f>股权价值增加表!BW42</f>
        <v>39385000</v>
      </c>
      <c r="BX2" s="26">
        <f>股权价值增加表!BX42</f>
        <v>19267211.82</v>
      </c>
      <c r="BY2" s="26">
        <f>股权价值增加表!BY42</f>
        <v>56745000</v>
      </c>
      <c r="BZ2" s="26">
        <f>股权价值增加表!BZ42</f>
        <v>23221000</v>
      </c>
      <c r="CA2" s="26">
        <f>股权价值增加表!CA42</f>
        <v>87851000</v>
      </c>
      <c r="CB2" s="26">
        <f>股权价值增加表!CB42</f>
        <v>94389000</v>
      </c>
      <c r="CC2" s="26">
        <f>股权价值增加表!CC42</f>
        <v>88932000</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428</v>
      </c>
      <c r="E3" s="26">
        <f>资产资本表!E107</f>
        <v>5097149218.7000008</v>
      </c>
      <c r="F3" s="26">
        <f>资产资本表!F107</f>
        <v>5119387192.1700001</v>
      </c>
      <c r="G3" s="26">
        <f>资产资本表!G107</f>
        <v>5022308549.75</v>
      </c>
      <c r="H3" s="26">
        <f>资产资本表!H107</f>
        <v>4526638939.6399994</v>
      </c>
      <c r="I3" s="26">
        <f>资产资本表!I107</f>
        <v>4399416613.54</v>
      </c>
      <c r="J3" s="26">
        <f>资产资本表!J107</f>
        <v>4286165511.6600003</v>
      </c>
      <c r="K3" s="26">
        <f>资产资本表!K107</f>
        <v>4270757384.3499999</v>
      </c>
      <c r="L3" s="26">
        <f>资产资本表!L107</f>
        <v>4115868642.9300003</v>
      </c>
      <c r="M3" s="26">
        <f>资产资本表!M107</f>
        <v>3993312242.1900001</v>
      </c>
      <c r="N3" s="26">
        <f>资产资本表!N107</f>
        <v>3859156726.71</v>
      </c>
      <c r="O3" s="26">
        <f>资产资本表!O107</f>
        <v>3728473681.7000003</v>
      </c>
      <c r="P3" s="26">
        <f>资产资本表!P107</f>
        <v>3691562256.7200003</v>
      </c>
      <c r="Q3" s="26">
        <f>资产资本表!Q107</f>
        <v>3636192269.79</v>
      </c>
      <c r="R3" s="26">
        <f>资产资本表!R107</f>
        <v>3518332392.6500001</v>
      </c>
      <c r="S3" s="26">
        <f>资产资本表!S107</f>
        <v>1699682018.71</v>
      </c>
      <c r="T3" s="26">
        <f>资产资本表!T107</f>
        <v>1667749453.29</v>
      </c>
      <c r="U3" s="26">
        <f>资产资本表!U107</f>
        <v>1646264150.74</v>
      </c>
      <c r="V3" s="26">
        <f>资产资本表!V107</f>
        <v>1627272674.0600002</v>
      </c>
      <c r="W3" s="26">
        <f>资产资本表!W107</f>
        <v>1609673155.1100001</v>
      </c>
      <c r="X3" s="26">
        <f>资产资本表!X107</f>
        <v>1609144288.3200002</v>
      </c>
      <c r="Y3" s="26">
        <f>资产资本表!Y107</f>
        <v>1589716698.8200002</v>
      </c>
      <c r="Z3" s="26">
        <f>资产资本表!Z107</f>
        <v>1577089938.22</v>
      </c>
      <c r="AA3" s="26">
        <f>资产资本表!AA107</f>
        <v>1554308927.1600001</v>
      </c>
      <c r="AB3" s="26">
        <f>资产资本表!AB107</f>
        <v>1572019673.1300001</v>
      </c>
      <c r="AC3" s="26">
        <f>资产资本表!AC107</f>
        <v>1543171432.23</v>
      </c>
      <c r="AD3" s="26">
        <f>资产资本表!AD107</f>
        <v>1524317785.3099999</v>
      </c>
      <c r="AE3" s="26">
        <f>资产资本表!AE107</f>
        <v>499747618.13</v>
      </c>
      <c r="AF3" s="26">
        <f>资产资本表!AF107</f>
        <v>450770880.29000002</v>
      </c>
      <c r="AG3" s="26">
        <f>资产资本表!AG107</f>
        <v>409959037.79000002</v>
      </c>
      <c r="AH3" s="26">
        <f>资产资本表!AH107</f>
        <v>270673471.32999998</v>
      </c>
      <c r="AI3" s="26">
        <f>资产资本表!AI107</f>
        <v>198708395.81</v>
      </c>
      <c r="AJ3" s="26">
        <f>资产资本表!AJ107</f>
        <v>0</v>
      </c>
      <c r="AK3" s="26">
        <f>资产资本表!AK107</f>
        <v>21936151954</v>
      </c>
      <c r="AL3" s="26">
        <f>资产资本表!AL107</f>
        <v>17635170530</v>
      </c>
      <c r="AM3" s="26">
        <f>资产资本表!AM107</f>
        <v>17668415779</v>
      </c>
      <c r="AN3" s="26">
        <f>资产资本表!AN107</f>
        <v>6251855568</v>
      </c>
      <c r="AO3" s="26">
        <f>资产资本表!AO107</f>
        <v>6718801623</v>
      </c>
      <c r="AP3" s="26">
        <f>资产资本表!AP107</f>
        <v>7803008510</v>
      </c>
      <c r="AQ3" s="26">
        <f>资产资本表!AQ107</f>
        <v>6123342937</v>
      </c>
      <c r="AR3" s="26">
        <f>资产资本表!AR107</f>
        <v>5871972171</v>
      </c>
      <c r="AS3" s="26">
        <f>资产资本表!AS107</f>
        <v>5521339174</v>
      </c>
      <c r="AT3" s="26">
        <f>资产资本表!AT107</f>
        <v>4815248345</v>
      </c>
      <c r="AU3" s="26">
        <f>资产资本表!AU107</f>
        <v>4286708476</v>
      </c>
      <c r="AV3" s="26">
        <f>资产资本表!AV107</f>
        <v>4149673945</v>
      </c>
      <c r="AW3" s="26">
        <f>资产资本表!AW107</f>
        <v>4297451541</v>
      </c>
      <c r="AX3" s="26">
        <f>资产资本表!AX107</f>
        <v>4233717635</v>
      </c>
      <c r="AY3" s="26">
        <f>资产资本表!AY107</f>
        <v>1834761744</v>
      </c>
      <c r="AZ3" s="26">
        <f>资产资本表!AZ107</f>
        <v>3068898270</v>
      </c>
      <c r="BA3" s="26">
        <f>资产资本表!BA107</f>
        <v>3611521594</v>
      </c>
      <c r="BB3" s="26">
        <f>资产资本表!BB107</f>
        <v>4138880834</v>
      </c>
      <c r="BC3" s="26">
        <f>资产资本表!BC107</f>
        <v>4528295925</v>
      </c>
      <c r="BD3" s="26">
        <f>资产资本表!BD107</f>
        <v>5088280391</v>
      </c>
      <c r="BE3" s="26">
        <f>资产资本表!BE107</f>
        <v>5481194703</v>
      </c>
      <c r="BF3" s="26">
        <f>资产资本表!BF107</f>
        <v>5775750031.3199997</v>
      </c>
      <c r="BG3" s="26">
        <f>资产资本表!BG107</f>
        <v>5748834264.4500008</v>
      </c>
      <c r="BH3" s="26">
        <f>资产资本表!BH107</f>
        <v>5538049404.8299999</v>
      </c>
      <c r="BI3" s="26">
        <f>资产资本表!BI107</f>
        <v>3080180848</v>
      </c>
      <c r="BJ3" s="26">
        <f>资产资本表!BJ107</f>
        <v>2992428916.1300001</v>
      </c>
      <c r="BK3" s="26">
        <f>资产资本表!BK107</f>
        <v>2821404851.2199998</v>
      </c>
      <c r="BL3" s="26">
        <f>资产资本表!BL107</f>
        <v>2578590694.2200003</v>
      </c>
      <c r="BM3" s="26">
        <f>资产资本表!BM107</f>
        <v>2640890514</v>
      </c>
      <c r="BN3" s="26">
        <f>资产资本表!BN107</f>
        <v>2627029033.3499999</v>
      </c>
      <c r="BO3" s="26">
        <f>资产资本表!BO107</f>
        <v>2546625195.1500001</v>
      </c>
      <c r="BP3" s="26">
        <f>资产资本表!BP107</f>
        <v>2469173821.48</v>
      </c>
      <c r="BQ3" s="26">
        <f>资产资本表!BQ107</f>
        <v>2335783347</v>
      </c>
      <c r="BR3" s="26">
        <f>资产资本表!BR107</f>
        <v>2400207583.4700003</v>
      </c>
      <c r="BS3" s="26">
        <f>资产资本表!BS107</f>
        <v>2227180861</v>
      </c>
      <c r="BT3" s="26">
        <f>资产资本表!BT107</f>
        <v>1333758140</v>
      </c>
      <c r="BU3" s="26">
        <f>资产资本表!BU107</f>
        <v>1254162142</v>
      </c>
      <c r="BV3" s="26">
        <f>资产资本表!BV107</f>
        <v>1135754992.1800001</v>
      </c>
      <c r="BW3" s="26">
        <f>资产资本表!BW107</f>
        <v>1092432000</v>
      </c>
      <c r="BX3" s="26">
        <f>资产资本表!BX107</f>
        <v>990567298.47000003</v>
      </c>
      <c r="BY3" s="26">
        <f>资产资本表!BY107</f>
        <v>958009000</v>
      </c>
      <c r="BZ3" s="26">
        <f>资产资本表!BZ107</f>
        <v>993949000</v>
      </c>
      <c r="CA3" s="26">
        <f>资产资本表!CA107</f>
        <v>574953000</v>
      </c>
      <c r="CB3" s="26">
        <f>资产资本表!CB107</f>
        <v>466652000</v>
      </c>
      <c r="CC3" s="26">
        <f>资产资本表!CC107</f>
        <v>424120000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4" t="s">
        <v>429</v>
      </c>
      <c r="E4" s="59">
        <f>E2/E3</f>
        <v>0.14970615256475031</v>
      </c>
      <c r="F4" s="59">
        <f t="shared" ref="F4:BQ4" si="0">F2/F3</f>
        <v>0.1391502874288443</v>
      </c>
      <c r="G4" s="59">
        <f t="shared" si="0"/>
        <v>0.12302881501590684</v>
      </c>
      <c r="H4" s="59">
        <f t="shared" si="0"/>
        <v>2.7663422632059738E-2</v>
      </c>
      <c r="I4" s="59">
        <f t="shared" si="0"/>
        <v>0.11509636584805244</v>
      </c>
      <c r="J4" s="59">
        <f t="shared" si="0"/>
        <v>9.2288193816575645E-2</v>
      </c>
      <c r="K4" s="59">
        <f t="shared" si="0"/>
        <v>6.496392025842665E-2</v>
      </c>
      <c r="L4" s="59">
        <f t="shared" si="0"/>
        <v>2.9776557847763247E-2</v>
      </c>
      <c r="M4" s="59">
        <f t="shared" si="0"/>
        <v>0.10206550100537001</v>
      </c>
      <c r="N4" s="59">
        <f t="shared" si="0"/>
        <v>7.159052572491216E-2</v>
      </c>
      <c r="O4" s="59">
        <f t="shared" si="0"/>
        <v>3.9049763077210552E-2</v>
      </c>
      <c r="P4" s="59">
        <f t="shared" si="0"/>
        <v>1.499906627044046E-2</v>
      </c>
      <c r="Q4" s="59">
        <f t="shared" si="0"/>
        <v>5.7700920901005419E-2</v>
      </c>
      <c r="R4" s="59">
        <f t="shared" si="0"/>
        <v>2.650058528147578E-2</v>
      </c>
      <c r="S4" s="59">
        <f t="shared" si="0"/>
        <v>3.1428153844059822E-2</v>
      </c>
      <c r="T4" s="59">
        <f t="shared" si="0"/>
        <v>1.2882811928143979E-2</v>
      </c>
      <c r="U4" s="59">
        <f t="shared" si="0"/>
        <v>4.9236434586493946E-2</v>
      </c>
      <c r="V4" s="59">
        <f t="shared" si="0"/>
        <v>3.9210377128011252E-2</v>
      </c>
      <c r="W4" s="59">
        <f t="shared" si="0"/>
        <v>2.8705489771830357E-2</v>
      </c>
      <c r="X4" s="59">
        <f t="shared" si="0"/>
        <v>1.2073242679985555E-2</v>
      </c>
      <c r="Y4" s="59">
        <f t="shared" si="0"/>
        <v>5.8680514162833514E-2</v>
      </c>
      <c r="Z4" s="59">
        <f t="shared" si="0"/>
        <v>5.4796181178821825E-2</v>
      </c>
      <c r="AA4" s="59">
        <f t="shared" si="0"/>
        <v>4.0942629755255353E-2</v>
      </c>
      <c r="AB4" s="59">
        <f t="shared" si="0"/>
        <v>1.8351068624072087E-2</v>
      </c>
      <c r="AC4" s="59">
        <f t="shared" si="0"/>
        <v>9.0808770505488495E-2</v>
      </c>
      <c r="AD4" s="59">
        <f t="shared" si="0"/>
        <v>8.0425320560743918E-2</v>
      </c>
      <c r="AE4" s="59">
        <f t="shared" si="0"/>
        <v>0.17966785049617418</v>
      </c>
      <c r="AF4" s="59">
        <f t="shared" si="0"/>
        <v>9.0537885840682578E-2</v>
      </c>
      <c r="AG4" s="59">
        <f t="shared" si="0"/>
        <v>0.3798865006844323</v>
      </c>
      <c r="AH4" s="59">
        <f t="shared" si="0"/>
        <v>0.44809888961052774</v>
      </c>
      <c r="AI4" s="59">
        <f t="shared" si="0"/>
        <v>0.40264998357947318</v>
      </c>
      <c r="AJ4" s="59" t="e">
        <f t="shared" si="0"/>
        <v>#DIV/0!</v>
      </c>
      <c r="AK4" s="59">
        <f t="shared" si="0"/>
        <v>4.6482662836134702E-3</v>
      </c>
      <c r="AL4" s="59">
        <f t="shared" si="0"/>
        <v>4.3694811234694653E-3</v>
      </c>
      <c r="AM4" s="59">
        <f t="shared" si="0"/>
        <v>0</v>
      </c>
      <c r="AN4" s="59">
        <f t="shared" si="0"/>
        <v>-4.5364170191591353E-3</v>
      </c>
      <c r="AO4" s="59">
        <f t="shared" si="0"/>
        <v>-2.7283907798746451E-2</v>
      </c>
      <c r="AP4" s="59">
        <f t="shared" si="0"/>
        <v>-1.0568123037969107E-2</v>
      </c>
      <c r="AQ4" s="59">
        <f t="shared" si="0"/>
        <v>-3.021332169428354E-3</v>
      </c>
      <c r="AR4" s="59">
        <f t="shared" si="0"/>
        <v>-3.9824560333393995E-3</v>
      </c>
      <c r="AS4" s="59">
        <f t="shared" si="0"/>
        <v>-5.0386392726975766E-2</v>
      </c>
      <c r="AT4" s="59">
        <f t="shared" si="0"/>
        <v>-1.4734781036511628E-2</v>
      </c>
      <c r="AU4" s="59">
        <f t="shared" si="0"/>
        <v>9.7637101366535757E-3</v>
      </c>
      <c r="AV4" s="59">
        <f t="shared" si="0"/>
        <v>2.5361798877429634E-2</v>
      </c>
      <c r="AW4" s="59">
        <f t="shared" si="0"/>
        <v>-0.11180131792438983</v>
      </c>
      <c r="AX4" s="59">
        <f t="shared" si="0"/>
        <v>-9.7270621827853662E-2</v>
      </c>
      <c r="AY4" s="59">
        <f t="shared" si="0"/>
        <v>-0.14305939441911539</v>
      </c>
      <c r="AZ4" s="59">
        <f t="shared" si="0"/>
        <v>-2.5541117724961277E-2</v>
      </c>
      <c r="BA4" s="59">
        <f t="shared" si="0"/>
        <v>-0.10804278774028563</v>
      </c>
      <c r="BB4" s="59">
        <f t="shared" si="0"/>
        <v>-5.2588365002441143E-2</v>
      </c>
      <c r="BC4" s="59">
        <f t="shared" si="0"/>
        <v>-2.7926327275088588E-2</v>
      </c>
      <c r="BD4" s="59">
        <f t="shared" si="0"/>
        <v>-3.7650008505594559E-3</v>
      </c>
      <c r="BE4" s="59">
        <f t="shared" si="0"/>
        <v>4.7270805917218661E-2</v>
      </c>
      <c r="BF4" s="59">
        <f t="shared" si="0"/>
        <v>1.967925036984736E-2</v>
      </c>
      <c r="BG4" s="59">
        <f t="shared" si="0"/>
        <v>1.6999940752223087E-2</v>
      </c>
      <c r="BH4" s="59">
        <f t="shared" si="0"/>
        <v>7.8514187869248072E-3</v>
      </c>
      <c r="BI4" s="59">
        <f t="shared" si="0"/>
        <v>-7.4033238388605163E-2</v>
      </c>
      <c r="BJ4" s="59">
        <f t="shared" si="0"/>
        <v>-6.4882863420226755E-2</v>
      </c>
      <c r="BK4" s="59">
        <f t="shared" si="0"/>
        <v>-5.6615665437354329E-2</v>
      </c>
      <c r="BL4" s="59">
        <f t="shared" si="0"/>
        <v>-5.6744027141639994E-2</v>
      </c>
      <c r="BM4" s="59">
        <f t="shared" si="0"/>
        <v>-1.7929121918910419E-2</v>
      </c>
      <c r="BN4" s="59">
        <f t="shared" si="0"/>
        <v>-2.282500254423768E-2</v>
      </c>
      <c r="BO4" s="59">
        <f t="shared" si="0"/>
        <v>-1.6391580009299821E-2</v>
      </c>
      <c r="BP4" s="59">
        <f t="shared" si="0"/>
        <v>-1.1196615709877001E-2</v>
      </c>
      <c r="BQ4" s="59">
        <f t="shared" si="0"/>
        <v>-2.4390683353904399E-2</v>
      </c>
      <c r="BR4" s="59">
        <f t="shared" ref="BR4:CJ4" si="1">BR2/BR3</f>
        <v>-2.3524856011982406E-3</v>
      </c>
      <c r="BS4" s="59">
        <f t="shared" si="1"/>
        <v>6.9217872108860582E-3</v>
      </c>
      <c r="BT4" s="59">
        <f t="shared" si="1"/>
        <v>8.9849078634301714E-3</v>
      </c>
      <c r="BU4" s="59">
        <f t="shared" si="1"/>
        <v>2.3391355884189974E-2</v>
      </c>
      <c r="BV4" s="59">
        <f t="shared" si="1"/>
        <v>4.1763651691246592E-3</v>
      </c>
      <c r="BW4" s="59">
        <f t="shared" si="1"/>
        <v>3.6052587254858881E-2</v>
      </c>
      <c r="BX4" s="59">
        <f t="shared" si="1"/>
        <v>1.9450684319742381E-2</v>
      </c>
      <c r="BY4" s="59">
        <f t="shared" si="1"/>
        <v>5.9232220156595607E-2</v>
      </c>
      <c r="BZ4" s="59">
        <f t="shared" si="1"/>
        <v>2.3362365674697596E-2</v>
      </c>
      <c r="CA4" s="59">
        <f t="shared" si="1"/>
        <v>0.1527968373067016</v>
      </c>
      <c r="CB4" s="59">
        <f t="shared" si="1"/>
        <v>0.20226849986713868</v>
      </c>
      <c r="CC4" s="59">
        <f t="shared" si="1"/>
        <v>0.20968593794209187</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425</v>
      </c>
      <c r="E5" s="26">
        <f>股权价值增加表!E47</f>
        <v>355302661.08400017</v>
      </c>
      <c r="F5" s="26">
        <f>股权价值增加表!F47</f>
        <v>302813223.87639976</v>
      </c>
      <c r="G5" s="26">
        <f>股权价值增加表!G47</f>
        <v>216103985.54000008</v>
      </c>
      <c r="H5" s="26">
        <f>股权价值增加表!H47</f>
        <v>-236908789.0812</v>
      </c>
      <c r="I5" s="26">
        <f>股权价值增加表!I47</f>
        <v>154403534.98679978</v>
      </c>
      <c r="J5" s="26">
        <f>股权价值增加表!J47</f>
        <v>52669232.537200212</v>
      </c>
      <c r="K5" s="26">
        <f>股权价值增加表!K47</f>
        <v>-64215448.58799988</v>
      </c>
      <c r="L5" s="26">
        <f>股权价值增加表!L47</f>
        <v>-206713090.69440007</v>
      </c>
      <c r="M5" s="26">
        <f>股权价值增加表!M47</f>
        <v>88114435.294799805</v>
      </c>
      <c r="N5" s="26">
        <f>股权价值增加表!N47</f>
        <v>-32453479.216799915</v>
      </c>
      <c r="O5" s="26">
        <f>股权价值增加表!O47</f>
        <v>-152681880.62600005</v>
      </c>
      <c r="P5" s="26">
        <f>股权价值增加表!P47</f>
        <v>-239954993.60759997</v>
      </c>
      <c r="Q5" s="26">
        <f>股权价值增加表!Q47</f>
        <v>-81083739.043199837</v>
      </c>
      <c r="R5" s="26">
        <f>股权价值增加表!R47</f>
        <v>-188228723.79199994</v>
      </c>
      <c r="S5" s="26">
        <f>股权价值增加表!S47</f>
        <v>-82556693.526799962</v>
      </c>
      <c r="T5" s="26">
        <f>股权价值增加表!T47</f>
        <v>-111934653.71319999</v>
      </c>
      <c r="U5" s="26">
        <f>股权价值增加表!U47</f>
        <v>-50644954.889199987</v>
      </c>
      <c r="V5" s="26">
        <f>股权价值增加表!V47</f>
        <v>-66375838.684800051</v>
      </c>
      <c r="W5" s="26">
        <f>股权价值增加表!W47</f>
        <v>-82567396.118799984</v>
      </c>
      <c r="X5" s="26">
        <f>股权价值增加表!X47</f>
        <v>-109303953.56559998</v>
      </c>
      <c r="Y5" s="26">
        <f>股权价值增加表!Y47</f>
        <v>-33891942.645600036</v>
      </c>
      <c r="Z5" s="26">
        <f>股权价值增加表!Z47</f>
        <v>-39748689.067599967</v>
      </c>
      <c r="AA5" s="26">
        <f>股权价值增加表!AA47</f>
        <v>-60707219.24279996</v>
      </c>
      <c r="AB5" s="26">
        <f>股权价值增加表!AB47</f>
        <v>-96913332.95040001</v>
      </c>
      <c r="AC5" s="26">
        <f>股权价值增加表!AC47</f>
        <v>16679785.861600056</v>
      </c>
      <c r="AD5" s="26">
        <f>股权价值增加表!AD47</f>
        <v>648323.69519996643</v>
      </c>
      <c r="AE5" s="26">
        <f>股权价值增加表!AE47</f>
        <v>49808770.889599986</v>
      </c>
      <c r="AF5" s="26">
        <f>股权价值增加表!AF47</f>
        <v>4750172.0768000111</v>
      </c>
      <c r="AG5" s="26">
        <f>股权价值增加表!AG47</f>
        <v>122941181.26680005</v>
      </c>
      <c r="AH5" s="26">
        <f>股权价值增加表!AH47</f>
        <v>99634604.243600011</v>
      </c>
      <c r="AI5" s="26">
        <f>股权价值增加表!AI47</f>
        <v>64113260.645199955</v>
      </c>
      <c r="AJ5" s="26">
        <f>股权价值增加表!AJ47</f>
        <v>39728737.599999994</v>
      </c>
      <c r="AK5" s="26">
        <f>股权价值增加表!AK47</f>
        <v>101965075.51999995</v>
      </c>
      <c r="AL5" s="26">
        <f>股权价值增加表!AL47</f>
        <v>77056544.74000001</v>
      </c>
      <c r="AM5" s="26">
        <f>股权价值增加表!AM47</f>
        <v>0</v>
      </c>
      <c r="AN5" s="26">
        <f>股权价值增加表!AN47</f>
        <v>-528509469.44</v>
      </c>
      <c r="AO5" s="26">
        <f>股权价值增加表!AO47</f>
        <v>-720819293.84000003</v>
      </c>
      <c r="AP5" s="26">
        <f>股权价值增加表!AP47</f>
        <v>-706703834.80000007</v>
      </c>
      <c r="AQ5" s="26">
        <f>股权价值增加表!AQ47</f>
        <v>-508368087.96000004</v>
      </c>
      <c r="AR5" s="26">
        <f>股权价值增加表!AR47</f>
        <v>-493142644.68000001</v>
      </c>
      <c r="AS5" s="26">
        <f>股权价值增加表!AS47</f>
        <v>-719907497.92000008</v>
      </c>
      <c r="AT5" s="26">
        <f>股权价值增加表!AT47</f>
        <v>-456171497.60000002</v>
      </c>
      <c r="AU5" s="26">
        <f>股权价值增加表!AU47</f>
        <v>-301082499.07999998</v>
      </c>
      <c r="AV5" s="26">
        <f>股权价值增加表!AV47</f>
        <v>-226730719.60000002</v>
      </c>
      <c r="AW5" s="26">
        <f>股权价值增加表!AW47</f>
        <v>-824256869.27999997</v>
      </c>
      <c r="AX5" s="26">
        <f>股权价值增加表!AX47</f>
        <v>-750513757.79999995</v>
      </c>
      <c r="AY5" s="26">
        <f>股权价值增加表!AY47</f>
        <v>-409260843.51999998</v>
      </c>
      <c r="AZ5" s="26">
        <f>股权价值增加表!AZ47</f>
        <v>-323894953.60000002</v>
      </c>
      <c r="BA5" s="26">
        <f>股权价值增加表!BA47</f>
        <v>-679120588.51999998</v>
      </c>
      <c r="BB5" s="26">
        <f>股权价值增加表!BB47</f>
        <v>-548767442.72000003</v>
      </c>
      <c r="BC5" s="26">
        <f>股权价值增加表!BC47</f>
        <v>-488722348</v>
      </c>
      <c r="BD5" s="26">
        <f>股权价值增加表!BD47</f>
        <v>-426219811.28000003</v>
      </c>
      <c r="BE5" s="26">
        <f>股权价值增加表!BE47</f>
        <v>-179395085.24000001</v>
      </c>
      <c r="BF5" s="26">
        <f>股权价值增加表!BF47</f>
        <v>-348397571.56559998</v>
      </c>
      <c r="BG5" s="26">
        <f>股权价值增加表!BG47</f>
        <v>-362176899.26600003</v>
      </c>
      <c r="BH5" s="26">
        <f>股权价值增加表!BH47</f>
        <v>-399562407.2464</v>
      </c>
      <c r="BI5" s="26">
        <f>股权价值增加表!BI47</f>
        <v>-474450230.84000003</v>
      </c>
      <c r="BJ5" s="26">
        <f>股权价值增加表!BJ47</f>
        <v>-433551669.95039999</v>
      </c>
      <c r="BK5" s="26">
        <f>股权价值增加表!BK47</f>
        <v>-385448101.21759999</v>
      </c>
      <c r="BL5" s="26">
        <f>股权价值增加表!BL47</f>
        <v>-352606875.87759995</v>
      </c>
      <c r="BM5" s="26">
        <f>股权价值增加表!BM47</f>
        <v>-258620089.12</v>
      </c>
      <c r="BN5" s="26">
        <f>股权价值增加表!BN47</f>
        <v>-270124267.03799999</v>
      </c>
      <c r="BO5" s="26">
        <f>股权价值增加表!BO47</f>
        <v>-245473226.25200003</v>
      </c>
      <c r="BP5" s="26">
        <f>股权价值增加表!BP47</f>
        <v>-225180296.11840001</v>
      </c>
      <c r="BQ5" s="26">
        <f>股权价值增加表!BQ47</f>
        <v>-243834019.75999999</v>
      </c>
      <c r="BR5" s="26">
        <f>股权价值增加表!BR47</f>
        <v>-197663060.4576</v>
      </c>
      <c r="BS5" s="26">
        <f>股权价值增加表!BS47</f>
        <v>-162758396.88</v>
      </c>
      <c r="BT5" s="26">
        <f>股权价值增加表!BT47</f>
        <v>-94716957.200000003</v>
      </c>
      <c r="BU5" s="26">
        <f>股权价值增加表!BU47</f>
        <v>-70996418.359999999</v>
      </c>
      <c r="BV5" s="26">
        <f>股权价值增加表!BV47</f>
        <v>-86117071.784400001</v>
      </c>
      <c r="BW5" s="26">
        <f>股权价值增加表!BW47</f>
        <v>-48009560</v>
      </c>
      <c r="BX5" s="26">
        <f>股权价值增加表!BX47</f>
        <v>-59978172.057599999</v>
      </c>
      <c r="BY5" s="26">
        <f>股权价值增加表!BY47</f>
        <v>-19895720</v>
      </c>
      <c r="BZ5" s="26">
        <f>股权价值增加表!BZ47</f>
        <v>-56294920</v>
      </c>
      <c r="CA5" s="26">
        <f>股权价值增加表!CA47</f>
        <v>41854760</v>
      </c>
      <c r="CB5" s="26">
        <f>股权价值增加表!CB47</f>
        <v>57056840</v>
      </c>
      <c r="CC5" s="26">
        <f>股权价值增加表!CC47</f>
        <v>55002400</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c r="A6" s="156" t="s">
        <v>436</v>
      </c>
      <c r="E6" s="156">
        <f>股权价值增加表!E31/股权价值增加表!E4</f>
        <v>0.27563009440758607</v>
      </c>
      <c r="F6" s="156">
        <f>股权价值增加表!F31/股权价值增加表!F4</f>
        <v>0.34729654046196828</v>
      </c>
      <c r="G6" s="156">
        <f>股权价值增加表!G31/股权价值增加表!G4</f>
        <v>0.45734045130049883</v>
      </c>
      <c r="H6" s="156">
        <f>股权价值增加表!H31/股权价值增加表!H4</f>
        <v>0.18625208954768613</v>
      </c>
      <c r="I6" s="156">
        <f>股权价值增加表!I31/股权价值增加表!I4</f>
        <v>0.17786356564051892</v>
      </c>
      <c r="J6" s="156">
        <f>股权价值增加表!J31/股权价值增加表!J4</f>
        <v>0.18467127398670752</v>
      </c>
      <c r="K6" s="156">
        <f>股权价值增加表!K31/股权价值增加表!K4</f>
        <v>0.19182659414670059</v>
      </c>
      <c r="L6" s="156">
        <f>股权价值增加表!L31/股权价值增加表!L4</f>
        <v>0.17859276060747203</v>
      </c>
      <c r="M6" s="156">
        <f>股权价值增加表!M31/股权价值增加表!M4</f>
        <v>0.15919198610083191</v>
      </c>
      <c r="N6" s="156">
        <f>股权价值增加表!N31/股权价值增加表!N4</f>
        <v>0.14837500973259138</v>
      </c>
      <c r="O6" s="156">
        <f>股权价值增加表!O31/股权价值增加表!O4</f>
        <v>0.13590865654821585</v>
      </c>
      <c r="P6" s="156">
        <f>股权价值增加表!P31/股权价值增加表!P4</f>
        <v>0.13221949311846437</v>
      </c>
      <c r="Q6" s="156">
        <f>股权价值增加表!Q31/股权价值增加表!Q4</f>
        <v>0.13924172939674531</v>
      </c>
      <c r="R6" s="156">
        <f>股权价值增加表!R31/股权价值增加表!R4</f>
        <v>0.10140815882315024</v>
      </c>
      <c r="S6" s="156">
        <f>股权价值增加表!S31/股权价值增加表!S4</f>
        <v>9.0429029474101558E-2</v>
      </c>
      <c r="T6" s="156">
        <f>股权价值增加表!T31/股权价值增加表!T4</f>
        <v>7.9909292554649236E-2</v>
      </c>
      <c r="U6" s="156">
        <f>股权价值增加表!U31/股权价值增加表!U4</f>
        <v>8.4900154601680808E-2</v>
      </c>
      <c r="V6" s="156">
        <f>股权价值增加表!V31/股权价值增加表!V4</f>
        <v>8.3784984899937465E-2</v>
      </c>
      <c r="W6" s="156">
        <f>股权价值增加表!W31/股权价值增加表!W4</f>
        <v>9.2203850552615388E-2</v>
      </c>
      <c r="X6" s="156">
        <f>股权价值增加表!X31/股权价值增加表!X4</f>
        <v>8.4361361176461661E-2</v>
      </c>
      <c r="Y6" s="156">
        <f>股权价值增加表!Y31/股权价值增加表!Y4</f>
        <v>0.12241343093924165</v>
      </c>
      <c r="Z6" s="156">
        <f>股权价值增加表!Z31/股权价值增加表!Z4</f>
        <v>0.13054596942678245</v>
      </c>
      <c r="AA6" s="156">
        <f>股权价值增加表!AA31/股权价值增加表!AA4</f>
        <v>0.14151588137500015</v>
      </c>
      <c r="AB6" s="156">
        <f>股权价值增加表!AB31/股权价值增加表!AB4</f>
        <v>0.12632216777407257</v>
      </c>
      <c r="AC6" s="156">
        <f>股权价值增加表!AC31/股权价值增加表!AC4</f>
        <v>0.17578498495576647</v>
      </c>
      <c r="AD6" s="156">
        <f>股权价值增加表!AD31/股权价值增加表!AD4</f>
        <v>0.20127910038742219</v>
      </c>
      <c r="AE6" s="156">
        <f>股权价值增加表!AE31/股权价值增加表!AE4</f>
        <v>0.21768983962108077</v>
      </c>
      <c r="AF6" s="156">
        <f>股权价值增加表!AF31/股权价值增加表!AF4</f>
        <v>0.22129434619373325</v>
      </c>
      <c r="AG6" s="156">
        <f>股权价值增加表!AG31/股权价值增加表!AG4</f>
        <v>0.21260999330426</v>
      </c>
      <c r="AH6" s="156">
        <f>股权价值增加表!AH31/股权价值增加表!AH4</f>
        <v>0.22320284448413072</v>
      </c>
      <c r="AI6" s="156">
        <f>股权价值增加表!AI31/股权价值增加表!AI4</f>
        <v>0.22589996563870804</v>
      </c>
      <c r="AJ6" s="156">
        <f>股权价值增加表!AJ31/股权价值增加表!AJ4</f>
        <v>0.24185387397637739</v>
      </c>
      <c r="AK6" s="156">
        <f>股权价值增加表!AK31/股权价值增加表!AK4</f>
        <v>0.21523364896237251</v>
      </c>
      <c r="AL6" s="156">
        <f>股权价值增加表!AL31/股权价值增加表!AL4</f>
        <v>0.22242718333410197</v>
      </c>
      <c r="AM6" s="156" t="e">
        <f>股权价值增加表!AM31/股权价值增加表!AM4</f>
        <v>#DIV/0!</v>
      </c>
      <c r="AN6" s="156" t="e">
        <f>股权价值增加表!AN31/股权价值增加表!AN4</f>
        <v>#DIV/0!</v>
      </c>
      <c r="AO6" s="156" t="e">
        <f>股权价值增加表!AO31/股权价值增加表!AO4</f>
        <v>#DIV/0!</v>
      </c>
      <c r="AP6" s="156" t="e">
        <f>股权价值增加表!AP31/股权价值增加表!AP4</f>
        <v>#DIV/0!</v>
      </c>
      <c r="AQ6" s="156" t="e">
        <f>股权价值增加表!AQ31/股权价值增加表!AQ4</f>
        <v>#DIV/0!</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c r="A7" s="241" t="s">
        <v>430</v>
      </c>
      <c r="E7" s="61">
        <f>股权价值增加表!E4/资产资本表!E70</f>
        <v>0.64310542573394835</v>
      </c>
      <c r="F7" s="61">
        <f>股权价值增加表!F4/资产资本表!F70</f>
        <v>0.45144932759169998</v>
      </c>
      <c r="G7" s="61">
        <f>股权价值增加表!G4/资产资本表!G70</f>
        <v>0.30177086547431359</v>
      </c>
      <c r="H7" s="61">
        <f>股权价值增加表!H4/资产资本表!H70</f>
        <v>0.17501450052796971</v>
      </c>
      <c r="I7" s="61">
        <f>股权价值增加表!I4/资产资本表!I70</f>
        <v>0.72589829765665859</v>
      </c>
      <c r="J7" s="61">
        <f>股权价值增加表!J4/资产资本表!J70</f>
        <v>0.54167271380386539</v>
      </c>
      <c r="K7" s="61">
        <f>股权价值增加表!K4/资产资本表!K70</f>
        <v>0.36046433047226967</v>
      </c>
      <c r="L7" s="61">
        <f>股权价值增加表!L4/资产资本表!L70</f>
        <v>0.18526767747812989</v>
      </c>
      <c r="M7" s="61">
        <f>股权价值增加表!M4/资产资本表!M70</f>
        <v>0.68535791657065703</v>
      </c>
      <c r="N7" s="61">
        <f>股权价值增加表!N4/资产资本表!N70</f>
        <v>0.51632611158675923</v>
      </c>
      <c r="O7" s="61">
        <f>股权价值增加表!O4/资产资本表!O70</f>
        <v>0.32358920748891934</v>
      </c>
      <c r="P7" s="61">
        <f>股权价值增加表!P4/资产资本表!P70</f>
        <v>0.13013711865246896</v>
      </c>
      <c r="Q7" s="61">
        <f>股权价值增加表!Q4/资产资本表!Q70</f>
        <v>0.45923894377996682</v>
      </c>
      <c r="R7" s="61">
        <f>股权价值增加表!R4/资产资本表!R70</f>
        <v>0.31323512490216676</v>
      </c>
      <c r="S7" s="61">
        <f>股权价值增加表!S4/资产资本表!S70</f>
        <v>0.42139801508144942</v>
      </c>
      <c r="T7" s="61">
        <f>股权价值增加表!T4/资产资本表!T70</f>
        <v>0.19421387260693992</v>
      </c>
      <c r="U7" s="61">
        <f>股权价值增加表!U4/资产资本表!U70</f>
        <v>0.7419729860694636</v>
      </c>
      <c r="V7" s="61">
        <f>股权价值增加表!V4/资产资本表!V70</f>
        <v>0.54171858169421072</v>
      </c>
      <c r="W7" s="61">
        <f>股权价值增加表!W4/资产资本表!W70</f>
        <v>0.33996049141120538</v>
      </c>
      <c r="X7" s="61">
        <f>股权价值增加表!X4/资产资本表!X70</f>
        <v>0.15250034009169927</v>
      </c>
      <c r="Y7" s="61">
        <f>股权价值增加表!Y4/资产资本表!Y70</f>
        <v>0.55131563719786436</v>
      </c>
      <c r="Z7" s="61">
        <f>股权价值增加表!Z4/资产资本表!Z70</f>
        <v>0.41721510247465549</v>
      </c>
      <c r="AA7" s="61">
        <f>股权价值增加表!AA4/资产资本表!AA70</f>
        <v>0.289932297413387</v>
      </c>
      <c r="AB7" s="61">
        <f>股权价值增加表!AB4/资产资本表!AB70</f>
        <v>0.14557004485259292</v>
      </c>
      <c r="AC7" s="61">
        <f>股权价值增加表!AC4/资产资本表!AC70</f>
        <v>0.6448190227092756</v>
      </c>
      <c r="AD7" s="61">
        <f>股权价值增加表!AD4/资产资本表!AD70</f>
        <v>0.48551883522044165</v>
      </c>
      <c r="AE7" s="61">
        <f>股权价值增加表!AE4/资产资本表!AE70</f>
        <v>0.56556841709553007</v>
      </c>
      <c r="AF7" s="61">
        <f>股权价值增加表!AF4/资产资本表!AF70</f>
        <v>0.28552794370132606</v>
      </c>
      <c r="AG7" s="61">
        <f>股权价值增加表!AG4/资产资本表!AG70</f>
        <v>1.246048569587668</v>
      </c>
      <c r="AH7" s="61">
        <f>股权价值增加表!AH4/资产资本表!AH70</f>
        <v>1.4146004235512684</v>
      </c>
      <c r="AI7" s="61">
        <f>股权价值增加表!AI4/资产资本表!AI70</f>
        <v>1.3392655106571247</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437</v>
      </c>
      <c r="E8" s="63">
        <f>股权价值增加表!E31/资产资本表!E70</f>
        <v>0.17725920920907901</v>
      </c>
      <c r="F8" s="63">
        <f>股权价值增加表!F31/资产资本表!F70</f>
        <v>0.15678678966647921</v>
      </c>
      <c r="G8" s="63">
        <f>股权价值增加表!G31/资产资本表!G70</f>
        <v>0.1380120238053647</v>
      </c>
      <c r="H8" s="63">
        <f>股权价值增加表!H31/资产资本表!H70</f>
        <v>3.2596816424478973E-2</v>
      </c>
      <c r="I8" s="63">
        <f>股权价值增加表!I31/资产资本表!I70</f>
        <v>0.12911085951359605</v>
      </c>
      <c r="J8" s="63">
        <f>股权价值增加表!J31/资产资本表!J70</f>
        <v>0.10003139014199704</v>
      </c>
      <c r="K8" s="63">
        <f>股权价值增加表!K31/资产资本表!K70</f>
        <v>6.914664482586623E-2</v>
      </c>
      <c r="L8" s="63">
        <f>股权价值增加表!L31/资产资本表!L70</f>
        <v>3.3087465972153993E-2</v>
      </c>
      <c r="M8" s="63">
        <f>股权价值增加表!M31/资产资本表!M70</f>
        <v>0.10910348792881115</v>
      </c>
      <c r="N8" s="63">
        <f>股权价值增加表!N31/资产资本表!N70</f>
        <v>7.6609891831876456E-2</v>
      </c>
      <c r="O8" s="63">
        <f>股权价值增加表!O31/资产资本表!O70</f>
        <v>4.3978574463320895E-2</v>
      </c>
      <c r="P8" s="63">
        <f>股权价值增加表!P31/资产资本表!P70</f>
        <v>1.7206663864126902E-2</v>
      </c>
      <c r="Q8" s="63">
        <f>股权价值增加表!Q31/资产资本表!Q70</f>
        <v>6.394522473825727E-2</v>
      </c>
      <c r="R8" s="63">
        <f>股权价值增加表!R31/资产资本表!R70</f>
        <v>3.1764597295068225E-2</v>
      </c>
      <c r="S8" s="63">
        <f>股权价值增加表!S31/资产资本表!S70</f>
        <v>3.8106613526128284E-2</v>
      </c>
      <c r="T8" s="63">
        <f>股权价值增加表!T31/资产资本表!T70</f>
        <v>1.551949316431934E-2</v>
      </c>
      <c r="U8" s="63">
        <f>股权价值增加表!U31/资产资本表!U70</f>
        <v>6.2993621227568228E-2</v>
      </c>
      <c r="V8" s="63">
        <f>股权价值增加表!V31/资产资本表!V70</f>
        <v>4.5387883187264985E-2</v>
      </c>
      <c r="W8" s="63">
        <f>股权价值增加表!W31/资产资本表!W70</f>
        <v>3.1345666343872466E-2</v>
      </c>
      <c r="X8" s="63">
        <f>股权价值增加表!X31/资产资本表!X70</f>
        <v>1.2865136270009077E-2</v>
      </c>
      <c r="Y8" s="63">
        <f>股权价值增加表!Y31/资产资本表!Y70</f>
        <v>6.7488438679844776E-2</v>
      </c>
      <c r="Z8" s="63">
        <f>股权价值增加表!Z31/资产资本表!Z70</f>
        <v>5.4465750012048286E-2</v>
      </c>
      <c r="AA8" s="63">
        <f>股权价值增加表!AA31/资产资本表!AA70</f>
        <v>4.1030024607534132E-2</v>
      </c>
      <c r="AB8" s="63">
        <f>股权价值增加表!AB31/资产资本表!AB70</f>
        <v>1.8388723628748514E-2</v>
      </c>
      <c r="AC8" s="63">
        <f>股权价值增加表!AC31/资产资本表!AC70</f>
        <v>0.11334950220614205</v>
      </c>
      <c r="AD8" s="63">
        <f>股权价值增加表!AD31/资产资本表!AD70</f>
        <v>9.7724794374319565E-2</v>
      </c>
      <c r="AE8" s="63">
        <f>股权价值增加表!AE31/资产资本表!AE70</f>
        <v>0.12311849801227447</v>
      </c>
      <c r="AF8" s="63">
        <f>股权价值增加表!AF31/资产资本表!AF70</f>
        <v>6.3185719621426037E-2</v>
      </c>
      <c r="AG8" s="63">
        <f>股权价值增加表!AG31/资产资本表!AG70</f>
        <v>0.26492237803681684</v>
      </c>
      <c r="AH8" s="63">
        <f>股权价值增加表!AH31/资产资本表!AH70</f>
        <v>0.3157428383450992</v>
      </c>
      <c r="AI8" s="63">
        <f>股权价值增加表!AI31/资产资本表!AI70</f>
        <v>0.30254003283855124</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c r="A9" s="156" t="s">
        <v>431</v>
      </c>
      <c r="E9" s="156">
        <f>股权价值增加表!E38/股权价值增加表!E31</f>
        <v>0.9764356286360204</v>
      </c>
      <c r="F9" s="156">
        <f>股权价值增加表!F38/股权价值增加表!F31</f>
        <v>0.98710492660355564</v>
      </c>
      <c r="G9" s="156">
        <f>股权价值增加表!G38/股权价值增加表!G31</f>
        <v>0.98832868820020059</v>
      </c>
      <c r="H9" s="156">
        <f>股权价值增加表!H38/股权价值增加表!H31</f>
        <v>0.9766320969629626</v>
      </c>
      <c r="I9" s="156">
        <f>股权价值增加表!I38/股权价值增加表!I31</f>
        <v>0.96483898756420883</v>
      </c>
      <c r="J9" s="156">
        <f>股权价值增加表!J38/股权价值增加表!J31</f>
        <v>0.97290732314137296</v>
      </c>
      <c r="K9" s="156">
        <f>股权价值增加表!K38/股权价值增加表!K31</f>
        <v>0.97517897032750944</v>
      </c>
      <c r="L9" s="156">
        <f>股权价值增加表!L38/股权价值增加表!L31</f>
        <v>0.97028848593960237</v>
      </c>
      <c r="M9" s="156">
        <f>股权价值增加表!M38/股权价值增加表!M31</f>
        <v>0.9607812073382459</v>
      </c>
      <c r="N9" s="156">
        <f>股权价值增加表!N38/股权价值增加表!N31</f>
        <v>0.97547866394984328</v>
      </c>
      <c r="O9" s="156">
        <f>股权价值增加表!O38/股权价值增加表!O31</f>
        <v>0.98500588870410877</v>
      </c>
      <c r="P9" s="156">
        <f>股权价值增加表!P38/股权价值增加表!P31</f>
        <v>0.97581169732489204</v>
      </c>
      <c r="Q9" s="156">
        <f>股权价值增加表!Q38/股权价值增加表!Q31</f>
        <v>0.98900784141640996</v>
      </c>
      <c r="R9" s="156">
        <f>股权价值增加表!R38/股权价值增加表!R31</f>
        <v>0.98494269054643357</v>
      </c>
      <c r="S9" s="156">
        <f>股权价值增加表!S38/股权价值增加表!S31</f>
        <v>0.9907716620703273</v>
      </c>
      <c r="T9" s="156">
        <f>股权价值增加表!T38/股权价值增加表!T31</f>
        <v>0.99376399725964604</v>
      </c>
      <c r="U9" s="156">
        <f>股权价值增加表!U38/股权价值增加表!U31</f>
        <v>0.94338964325210761</v>
      </c>
      <c r="V9" s="156">
        <f>股权价值增加表!V38/股权价值增加表!V31</f>
        <v>1.0315027840034061</v>
      </c>
      <c r="W9" s="156">
        <f>股权价值增加表!W38/股权价值增加表!W31</f>
        <v>1.0310995475937543</v>
      </c>
      <c r="X9" s="156">
        <f>股权价值增加表!X38/股权价值增加表!X31</f>
        <v>1.043049106820348</v>
      </c>
      <c r="Y9" s="156">
        <f>股权价值增加表!Y38/股权价值增加表!Y31</f>
        <v>0.97309861078111648</v>
      </c>
      <c r="Z9" s="156">
        <f>股权价值增加表!Z38/股权价值增加表!Z31</f>
        <v>1.1215432405513461</v>
      </c>
      <c r="AA9" s="156">
        <f>股权价值增加表!AA38/股权价值增加表!AA31</f>
        <v>1.1280156273413209</v>
      </c>
      <c r="AB9" s="156">
        <f>股权价值增加表!AB38/股权价值增加表!AB31</f>
        <v>1.1505386933429984</v>
      </c>
      <c r="AC9" s="156">
        <f>股权价值增加表!AC38/股权价值增加表!AC31</f>
        <v>0.92632260106797382</v>
      </c>
      <c r="AD9" s="156">
        <f>股权价值增加表!AD38/股权价值增加表!AD31</f>
        <v>0.93810246865227798</v>
      </c>
      <c r="AE9" s="156">
        <f>股权价值增加表!AE38/股权价值增加表!AE31</f>
        <v>0.91417419796436095</v>
      </c>
      <c r="AF9" s="156">
        <f>股权价值增加表!AF38/股权价值增加表!AF31</f>
        <v>0.92422364397141399</v>
      </c>
      <c r="AG9" s="156">
        <f>股权价值增加表!AG38/股权价值增加表!AG31</f>
        <v>0.92633437787733608</v>
      </c>
      <c r="AH9" s="156">
        <f>股权价值增加表!AH38/股权价值增加表!AH31</f>
        <v>0.93677873716155535</v>
      </c>
      <c r="AI9" s="156">
        <f>股权价值增加表!AI38/股权价值增加表!AI31</f>
        <v>0.94451213642331411</v>
      </c>
      <c r="AJ9" s="156">
        <f>股权价值增加表!AJ38/股权价值增加表!AJ31</f>
        <v>0.95199372619860723</v>
      </c>
      <c r="AK9" s="156">
        <f>股权价值增加表!AK38/股权价值增加表!AK31</f>
        <v>0.93064233972621224</v>
      </c>
      <c r="AL9" s="156">
        <f>股权价值增加表!AL38/股权价值增加表!AL31</f>
        <v>0.89742006301626265</v>
      </c>
      <c r="AM9" s="156" t="e">
        <f>股权价值增加表!AM38/股权价值增加表!AM31</f>
        <v>#DIV/0!</v>
      </c>
      <c r="AN9" s="156" t="e">
        <f>股权价值增加表!AN38/股权价值增加表!AN31</f>
        <v>#DIV/0!</v>
      </c>
      <c r="AO9" s="156">
        <f>股权价值增加表!AO38/股权价值增加表!AO31</f>
        <v>-1.5393057456041832</v>
      </c>
      <c r="AP9" s="156">
        <f>股权价值增加表!AP38/股权价值增加表!AP31</f>
        <v>-0.74144137468159066</v>
      </c>
      <c r="AQ9" s="156">
        <f>股权价值增加表!AQ38/股权价值增加表!AQ31</f>
        <v>0.75082655553992772</v>
      </c>
      <c r="AR9" s="156">
        <f>股权价值增加表!AR38/股权价值增加表!AR31</f>
        <v>0.22369583465872028</v>
      </c>
      <c r="AS9" s="156">
        <f>股权价值增加表!AS38/股权价值增加表!AS31</f>
        <v>7.4901448694870538</v>
      </c>
      <c r="AT9" s="156">
        <f>股权价值增加表!AT38/股权价值增加表!AT31</f>
        <v>-0.29513665594353555</v>
      </c>
      <c r="AU9" s="156">
        <f>股权价值增加表!AU38/股权价值增加表!AU31</f>
        <v>0.23469688554304866</v>
      </c>
      <c r="AV9" s="156">
        <f>股权价值增加表!AV38/股权价值增加表!AV31</f>
        <v>0.4977975643255107</v>
      </c>
      <c r="AW9" s="156">
        <f>股权价值增加表!AW38/股权价值增加表!AW31</f>
        <v>-2.9721433132142723</v>
      </c>
      <c r="AX9" s="156">
        <f>股权价值增加表!AX38/股权价值增加表!AX31</f>
        <v>-2.9437423470500317</v>
      </c>
      <c r="AY9" s="156">
        <f>股权价值增加表!AY38/股权价值增加表!AY31</f>
        <v>-2.9587482823629894</v>
      </c>
      <c r="AZ9" s="156">
        <f>股权价值增加表!AZ38/股权价值增加表!AZ31</f>
        <v>-1.980927154031807</v>
      </c>
      <c r="BA9" s="156">
        <f>股权价值增加表!BA38/股权价值增加表!BA31</f>
        <v>-3.0755955858659672</v>
      </c>
      <c r="BB9" s="156">
        <f>股权价值增加表!BB38/股权价值增加表!BB31</f>
        <v>-2.0490844037342533</v>
      </c>
      <c r="BC9" s="156">
        <f>股权价值增加表!BC38/股权价值增加表!BC31</f>
        <v>-1.5709166267908574</v>
      </c>
      <c r="BD9" s="156">
        <f>股权价值增加表!BD38/股权价值增加表!BD31</f>
        <v>-0.49051178281634933</v>
      </c>
      <c r="BE9" s="156">
        <f>股权价值增加表!BE38/股权价值增加表!BE31</f>
        <v>0.95142113659905114</v>
      </c>
      <c r="BF9" s="156">
        <f>股权价值增加表!BF38/股权价值增加表!BF31</f>
        <v>0.69541951150762193</v>
      </c>
      <c r="BG9" s="156">
        <f>股权价值增加表!BG38/股权价值增加表!BG31</f>
        <v>0.78013543654547812</v>
      </c>
      <c r="BH9" s="156">
        <f>股权价值增加表!BH38/股权价值增加表!BH31</f>
        <v>0.72798248009934496</v>
      </c>
      <c r="BI9" s="156">
        <f>股权价值增加表!BI38/股权价值增加表!BI31</f>
        <v>-3.9310389463711308</v>
      </c>
      <c r="BJ9" s="156">
        <f>股权价值增加表!BJ38/股权价值增加表!BJ31</f>
        <v>-37.197342166267127</v>
      </c>
      <c r="BK9" s="156">
        <f>股权价值增加表!BK38/股权价值增加表!BK31</f>
        <v>-24.597757287570346</v>
      </c>
      <c r="BL9" s="156">
        <f>股权价值增加表!BL38/股权价值增加表!BL31</f>
        <v>-8.7159634078474664</v>
      </c>
      <c r="BM9" s="156">
        <f>股权价值增加表!BM38/股权价值增加表!BM31</f>
        <v>-2.4949835718363466E-3</v>
      </c>
      <c r="BN9" s="156">
        <f>股权价值增加表!BN38/股权价值增加表!BN31</f>
        <v>-0.4936651116601834</v>
      </c>
      <c r="BO9" s="156">
        <f>股权价值增加表!BO38/股权价值增加表!BO31</f>
        <v>-0.78785222938088839</v>
      </c>
      <c r="BP9" s="156">
        <f>股权价值增加表!BP38/股权价值增加表!BP31</f>
        <v>-4.559740235112927</v>
      </c>
      <c r="BQ9" s="156">
        <f>股权价值增加表!BQ38/股权价值增加表!BQ31</f>
        <v>2.2858490027738774</v>
      </c>
      <c r="BR9" s="156">
        <f>股权价值增加表!BR38/股权价值增加表!BR31</f>
        <v>0.16904462893680994</v>
      </c>
      <c r="BS9" s="156">
        <f>股权价值增加表!BS38/股权价值增加表!BS31</f>
        <v>0.55266134248994092</v>
      </c>
      <c r="BT9" s="156">
        <f>股权价值增加表!BT38/股权价值增加表!BT31</f>
        <v>0.68057174442971158</v>
      </c>
      <c r="BU9" s="156">
        <f>股权价值增加表!BU38/股权价值增加表!BU31</f>
        <v>0.74554994053997181</v>
      </c>
      <c r="BV9" s="156">
        <f>股权价值增加表!BV38/股权价值增加表!BV31</f>
        <v>0.60284989678451029</v>
      </c>
      <c r="BW9" s="156">
        <f>股权价值增加表!BW38/股权价值增加表!BW31</f>
        <v>1.102780780190626</v>
      </c>
      <c r="BX9" s="156">
        <f>股权价值增加表!BX38/股权价值增加表!BX31</f>
        <v>1.1759055945282804</v>
      </c>
      <c r="BY9" s="156">
        <f>股权价值增加表!BY38/股权价值增加表!BY31</f>
        <v>1.1533035772463673</v>
      </c>
      <c r="BZ9" s="156">
        <f>股权价值增加表!BZ38/股权价值增加表!BZ31</f>
        <v>1</v>
      </c>
      <c r="CA9" s="156">
        <f>股权价值增加表!CA38/股权价值增加表!CA31</f>
        <v>0.85556497973800771</v>
      </c>
      <c r="CB9" s="156">
        <f>股权价值增加表!CB38/股权价值增加表!CB31</f>
        <v>0.89657153621550345</v>
      </c>
      <c r="CC9" s="156">
        <f>股权价值增加表!CC38/股权价值增加表!CC31</f>
        <v>0.89308584501343669</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c r="A10" s="241" t="s">
        <v>432</v>
      </c>
      <c r="E10" s="61">
        <f>资产资本表!E70/资产资本表!E107</f>
        <v>1.0649228324895694</v>
      </c>
      <c r="F10" s="61">
        <f>资产资本表!F70/资产资本表!F107</f>
        <v>1.0648808091226263</v>
      </c>
      <c r="G10" s="61">
        <f>资产资本表!G70/资产资本表!G107</f>
        <v>1.0774268423351561</v>
      </c>
      <c r="H10" s="61">
        <f>资产资本表!H70/资产资本表!H107</f>
        <v>1.0836042608470333</v>
      </c>
      <c r="I10" s="61">
        <f>资产资本表!I70/资产资本表!I107</f>
        <v>1.0821578251824535</v>
      </c>
      <c r="J10" s="61">
        <f>资产资本表!J70/资产资本表!J107</f>
        <v>1.0948623884597792</v>
      </c>
      <c r="K10" s="61">
        <f>资产资本表!K70/资产资本表!K107</f>
        <v>1.1033856767368677</v>
      </c>
      <c r="L10" s="61">
        <f>资产资本表!L70/资产资本表!L107</f>
        <v>1.0951917646504596</v>
      </c>
      <c r="M10" s="61">
        <f>资产资本表!M70/资产资本表!M107</f>
        <v>1.1055883502585215</v>
      </c>
      <c r="N10" s="61">
        <f>资产资本表!N70/资产资本表!N107</f>
        <v>1.1007114757117782</v>
      </c>
      <c r="O10" s="61">
        <f>资产资本表!O70/资产资本表!O107</f>
        <v>1.0403881495339775</v>
      </c>
      <c r="P10" s="61">
        <f>资产资本表!P70/资产资本表!P107</f>
        <v>1.0344641376041812</v>
      </c>
      <c r="Q10" s="61">
        <f>资产资本表!Q70/资产资本表!Q107</f>
        <v>1.0253604662977089</v>
      </c>
      <c r="R10" s="61">
        <f>资产资本表!R70/资产资本表!R107</f>
        <v>1.0200592725427065</v>
      </c>
      <c r="S10" s="61">
        <f>资产资本表!S70/资产资本表!S107</f>
        <v>1.019520089548974</v>
      </c>
      <c r="T10" s="61">
        <f>资产资本表!T70/资产资本表!T107</f>
        <v>1.0122920142228553</v>
      </c>
      <c r="U10" s="61">
        <f>资产资本表!U70/资产资本表!U107</f>
        <v>1.0048692064371301</v>
      </c>
      <c r="V10" s="61">
        <f>资产资本表!V70/资产资本表!V107</f>
        <v>1.0030726257988005</v>
      </c>
      <c r="W10" s="61">
        <f>资产资本表!W70/资产资本表!W107</f>
        <v>1.0561202403253267</v>
      </c>
      <c r="X10" s="61">
        <f>资产资本表!X70/资产资本表!X107</f>
        <v>1.0652038433728912</v>
      </c>
      <c r="Y10" s="61">
        <f>资产资本表!Y70/资产资本表!Y107</f>
        <v>1.0598606723642241</v>
      </c>
      <c r="Z10" s="61">
        <f>资产资本表!Z70/资产资本表!Z107</f>
        <v>1.0539922387280627</v>
      </c>
      <c r="AA10" s="61">
        <f>资产资本表!AA70/资产资本表!AA107</f>
        <v>1.0354511725482276</v>
      </c>
      <c r="AB10" s="61">
        <f>资产资本表!AB70/资产资本表!AB107</f>
        <v>1.0000034379340745</v>
      </c>
      <c r="AC10" s="61">
        <f>资产资本表!AC70/资产资本表!AC107</f>
        <v>1.0036782786289644</v>
      </c>
      <c r="AD10" s="61">
        <f>资产资本表!AD70/资产资本表!AD107</f>
        <v>1.0079822946220665</v>
      </c>
      <c r="AE10" s="61">
        <f>资产资本表!AE70/资产资本表!AE107</f>
        <v>1.8493477294164609</v>
      </c>
      <c r="AF10" s="61">
        <f>资产资本表!AF70/资产资本表!AF107</f>
        <v>1.8154218258586881</v>
      </c>
      <c r="AG10" s="61">
        <f>资产资本表!AG70/资产资本表!AG107</f>
        <v>1.7774775645104093</v>
      </c>
      <c r="AH10" s="61">
        <f>资产资本表!AH70/资产资本表!AH107</f>
        <v>1.7314811464792987</v>
      </c>
      <c r="AI10" s="61">
        <f>资产资本表!AI70/资产资本表!AI107</f>
        <v>1.6127604955173838</v>
      </c>
      <c r="AJ10" s="61" t="e">
        <f>资产资本表!AJ70/资产资本表!AJ107</f>
        <v>#DIV/0!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438</v>
      </c>
      <c r="E11" s="28">
        <f>E9*E10</f>
        <v>1.0398285953908042</v>
      </c>
      <c r="F11" s="28">
        <f t="shared" ref="F11:BQ11" si="2">F9*F10</f>
        <v>1.0511490929305249</v>
      </c>
      <c r="G11" s="28">
        <f t="shared" si="2"/>
        <v>1.0648518577167891</v>
      </c>
      <c r="H11" s="28">
        <f t="shared" si="2"/>
        <v>1.0582827015490393</v>
      </c>
      <c r="I11" s="28">
        <f t="shared" si="2"/>
        <v>1.0441080604337245</v>
      </c>
      <c r="J11" s="28">
        <f t="shared" si="2"/>
        <v>1.0651996355645739</v>
      </c>
      <c r="K11" s="28">
        <f t="shared" si="2"/>
        <v>1.0759985081143808</v>
      </c>
      <c r="L11" s="28">
        <f t="shared" si="2"/>
        <v>1.0626519591362158</v>
      </c>
      <c r="M11" s="28">
        <f t="shared" si="2"/>
        <v>1.0622285099804818</v>
      </c>
      <c r="N11" s="28">
        <f t="shared" si="2"/>
        <v>1.0737205597215858</v>
      </c>
      <c r="O11" s="28">
        <f t="shared" si="2"/>
        <v>1.0247884538289387</v>
      </c>
      <c r="P11" s="28">
        <f t="shared" si="2"/>
        <v>1.0094422059372667</v>
      </c>
      <c r="Q11" s="28">
        <f t="shared" si="2"/>
        <v>1.0140895414468207</v>
      </c>
      <c r="R11" s="28">
        <f t="shared" si="2"/>
        <v>1.004699924415051</v>
      </c>
      <c r="S11" s="28">
        <f t="shared" si="2"/>
        <v>1.0101116136365258</v>
      </c>
      <c r="T11" s="28">
        <f t="shared" si="2"/>
        <v>1.0059793584481231</v>
      </c>
      <c r="U11" s="28">
        <f t="shared" si="2"/>
        <v>0.9479832021757526</v>
      </c>
      <c r="V11" s="28">
        <f t="shared" si="2"/>
        <v>1.0346722060690696</v>
      </c>
      <c r="W11" s="28">
        <f t="shared" si="2"/>
        <v>1.0889651020040514</v>
      </c>
      <c r="X11" s="28">
        <f t="shared" si="2"/>
        <v>1.111059917411696</v>
      </c>
      <c r="Y11" s="28">
        <f t="shared" si="2"/>
        <v>1.0313489478991664</v>
      </c>
      <c r="Z11" s="28">
        <f t="shared" si="2"/>
        <v>1.1820978709390395</v>
      </c>
      <c r="AA11" s="28">
        <f t="shared" si="2"/>
        <v>1.1680051039832953</v>
      </c>
      <c r="AB11" s="28">
        <f t="shared" si="2"/>
        <v>1.1505426488191763</v>
      </c>
      <c r="AC11" s="28">
        <f t="shared" si="2"/>
        <v>0.92972987369500892</v>
      </c>
      <c r="AD11" s="28">
        <f t="shared" si="2"/>
        <v>0.94559067894274829</v>
      </c>
      <c r="AE11" s="28">
        <f t="shared" si="2"/>
        <v>1.6906259772965051</v>
      </c>
      <c r="AF11" s="28">
        <f t="shared" si="2"/>
        <v>1.6778557752403545</v>
      </c>
      <c r="AG11" s="28">
        <f t="shared" si="2"/>
        <v>1.6465385739116725</v>
      </c>
      <c r="AH11" s="28">
        <f t="shared" si="2"/>
        <v>1.6220147218179195</v>
      </c>
      <c r="AI11" s="28">
        <f t="shared" si="2"/>
        <v>1.5232718611602469</v>
      </c>
      <c r="AJ11" s="28" t="e">
        <f t="shared" si="2"/>
        <v>#DIV/0!</v>
      </c>
      <c r="AK11" s="28">
        <f t="shared" si="2"/>
        <v>0</v>
      </c>
      <c r="AL11" s="28">
        <f t="shared" si="2"/>
        <v>0</v>
      </c>
      <c r="AM11" s="28" t="e">
        <f t="shared" si="2"/>
        <v>#DIV/0!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c r="A12" s="156" t="s">
        <v>433</v>
      </c>
      <c r="E12" s="156">
        <f>E2/股权价值增加表!E38</f>
        <v>0.81221140828494109</v>
      </c>
      <c r="F12" s="156">
        <f>F2/股权价值增加表!F38</f>
        <v>0.84432630549797105</v>
      </c>
      <c r="G12" s="156">
        <f>G2/股权价值增加表!G38</f>
        <v>0.83714506945283373</v>
      </c>
      <c r="H12" s="156">
        <f>H2/股权价值增加表!H38</f>
        <v>0.80191627534361798</v>
      </c>
      <c r="I12" s="156">
        <f>I2/股权价值增加表!I38</f>
        <v>0.85379457358155553</v>
      </c>
      <c r="J12" s="156">
        <f>J2/股权价值增加表!J38</f>
        <v>0.86612152719402535</v>
      </c>
      <c r="K12" s="156">
        <f>K2/股权价值增加表!K38</f>
        <v>0.87315117657607411</v>
      </c>
      <c r="L12" s="156">
        <f>L2/股权价值增加表!L38</f>
        <v>0.84687621811564406</v>
      </c>
      <c r="M12" s="156">
        <f>M2/股权价值增加表!M38</f>
        <v>0.88068861753829852</v>
      </c>
      <c r="N12" s="156">
        <f>N2/股权价值增加表!N38</f>
        <v>0.87032094121145909</v>
      </c>
      <c r="O12" s="156">
        <f>O2/股权价值增加表!O38</f>
        <v>0.86644905375895254</v>
      </c>
      <c r="P12" s="156">
        <f>P2/股权价值增加表!P38</f>
        <v>0.86354721939639445</v>
      </c>
      <c r="Q12" s="156">
        <f>Q2/股权价值增加表!Q38</f>
        <v>0.8898121318593214</v>
      </c>
      <c r="R12" s="156">
        <f>R2/股权价值增加表!R38</f>
        <v>0.8303778237581011</v>
      </c>
      <c r="S12" s="156">
        <f>S2/股权价值增加表!S38</f>
        <v>0.81648676731231795</v>
      </c>
      <c r="T12" s="156">
        <f>T2/股权价值增加表!T38</f>
        <v>0.82517120244720832</v>
      </c>
      <c r="U12" s="156">
        <f>U2/股权价值增加表!U38</f>
        <v>0.82449756936982688</v>
      </c>
      <c r="V12" s="156">
        <f>V2/股权价值增加表!V38</f>
        <v>0.83494584518288051</v>
      </c>
      <c r="W12" s="156">
        <f>W2/股权价值增加表!W38</f>
        <v>0.84095642414669358</v>
      </c>
      <c r="X12" s="156">
        <f>X2/股权价值增加表!X38</f>
        <v>0.84464080650985507</v>
      </c>
      <c r="Y12" s="156">
        <f>Y2/股权价值增加表!Y38</f>
        <v>0.84306080646035431</v>
      </c>
      <c r="Z12" s="156">
        <f>Z2/股权价值增加表!Z38</f>
        <v>0.85108584874701976</v>
      </c>
      <c r="AA12" s="156">
        <f>AA2/股权价值增加表!AA38</f>
        <v>0.85433700132393597</v>
      </c>
      <c r="AB12" s="156">
        <f>AB2/股权价值增加表!AB38</f>
        <v>0.86737530194089218</v>
      </c>
      <c r="AC12" s="156">
        <f>AC2/股权价值增加表!AC38</f>
        <v>0.86169067410977584</v>
      </c>
      <c r="AD12" s="156">
        <f>AD2/股权价值增加表!AD38</f>
        <v>0.87033180156943379</v>
      </c>
      <c r="AE12" s="156">
        <f>AE2/股权价值增加表!AE38</f>
        <v>0.86317633577705433</v>
      </c>
      <c r="AF12" s="156">
        <f>AF2/股权价值增加表!AF38</f>
        <v>0.85399786683977086</v>
      </c>
      <c r="AG12" s="156">
        <f>AG2/股权价值增加表!AG38</f>
        <v>0.87089000611954359</v>
      </c>
      <c r="AH12" s="156">
        <f>AH2/股权价值增加表!AH38</f>
        <v>0.8749546979303422</v>
      </c>
      <c r="AI12" s="156">
        <f>AI2/股权价值增加表!AI38</f>
        <v>0.87371022126811859</v>
      </c>
      <c r="AJ12" s="156">
        <f>AJ2/股权价值增加表!AJ38</f>
        <v>0.87487366438275815</v>
      </c>
      <c r="AK12" s="156">
        <f>AK2/股权价值增加表!AK38</f>
        <v>0.89540291296034169</v>
      </c>
      <c r="AL12" s="156">
        <f>AL2/股权价值增加表!AL38</f>
        <v>0.91731117867709433</v>
      </c>
      <c r="AM12" s="156" t="e">
        <f>AM2/股权价值增加表!AM38</f>
        <v>#DIV/0!</v>
      </c>
      <c r="AN12" s="156">
        <f>AN2/股权价值增加表!AN38</f>
        <v>1.0790826393743191</v>
      </c>
      <c r="AO12" s="156">
        <f>AO2/股权价值增加表!AO38</f>
        <v>1.5817299128548403</v>
      </c>
      <c r="AP12" s="156">
        <f>AP2/股权价值增加表!AP38</f>
        <v>3.8639420560183635</v>
      </c>
      <c r="AQ12" s="156">
        <f>AQ2/股权价值增加表!AQ38</f>
        <v>-0.48403270407203913</v>
      </c>
      <c r="AR12" s="156">
        <f>AR2/股权价值增加表!AR38</f>
        <v>-2.3859520368449756</v>
      </c>
      <c r="AS12" s="156">
        <f>AS2/股权价值增加表!AS38</f>
        <v>0.83166965937808912</v>
      </c>
      <c r="AT12" s="156">
        <f>AT2/股权价值增加表!AT38</f>
        <v>1.2004325992375846</v>
      </c>
      <c r="AU12" s="156">
        <f>AU2/股权价值增加表!AU38</f>
        <v>0.80472629223206338</v>
      </c>
      <c r="AV12" s="156">
        <f>AV2/股权价值增加表!AV38</f>
        <v>0.97039286117187795</v>
      </c>
      <c r="AW12" s="156">
        <f>AW2/股权价值增加表!AW38</f>
        <v>1.0285443454452723</v>
      </c>
      <c r="AX12" s="156">
        <f>AX2/股权价值增加表!AX38</f>
        <v>1.0133166420772433</v>
      </c>
      <c r="AY12" s="156">
        <f>AY2/股权价值增加表!AY38</f>
        <v>1.0140973726855493</v>
      </c>
      <c r="AZ12" s="156">
        <f>AZ2/股权价值增加表!AZ38</f>
        <v>1.0159267914549177</v>
      </c>
      <c r="BA12" s="156">
        <f>BA2/股权价值增加表!BA38</f>
        <v>1.1197492177996555</v>
      </c>
      <c r="BB12" s="156">
        <f>BB2/股权价值增加表!BB38</f>
        <v>1.1810325149019523</v>
      </c>
      <c r="BC12" s="156">
        <f>BC2/股权价值增加表!BC38</f>
        <v>1.2122355477930937</v>
      </c>
      <c r="BD12" s="156">
        <f>BD2/股权价值增加表!BD38</f>
        <v>1.1929136716764686</v>
      </c>
      <c r="BE12" s="156">
        <f>BE2/股权价值增加表!BE38</f>
        <v>0.95182979987057781</v>
      </c>
      <c r="BF12" s="156">
        <f>BF2/股权价值增加表!BF38</f>
        <v>0.79126923293372819</v>
      </c>
      <c r="BG12" s="156">
        <f>BG2/股权价值增加表!BG38</f>
        <v>0.75840285883670888</v>
      </c>
      <c r="BH12" s="156">
        <f>BH2/股权价值增加表!BH38</f>
        <v>0.7645229602378748</v>
      </c>
      <c r="BI12" s="156">
        <f>BI2/股权价值增加表!BI38</f>
        <v>1.090310055582796</v>
      </c>
      <c r="BJ12" s="156">
        <f>BJ2/股权价值增加表!BJ38</f>
        <v>1.1148566563561519</v>
      </c>
      <c r="BK12" s="156">
        <f>BK2/股权价值增加表!BK38</f>
        <v>1.0760954279676702</v>
      </c>
      <c r="BL12" s="156">
        <f>BL2/股权价值增加表!BL38</f>
        <v>1.0790243002106319</v>
      </c>
      <c r="BM12" s="156">
        <f>BM2/股权价值增加表!BM38</f>
        <v>290.27003433055421</v>
      </c>
      <c r="BN12" s="156">
        <f>BN2/股权价值增加表!BN38</f>
        <v>3.1035757007279332</v>
      </c>
      <c r="BO12" s="156">
        <f>BO2/股权价值增加表!BO38</f>
        <v>2.9752236713944265</v>
      </c>
      <c r="BP12" s="156">
        <f>BP2/股权价值增加表!BP38</f>
        <v>2.1591699355144409</v>
      </c>
      <c r="BQ12" s="156">
        <f>BQ2/股权价值增加表!BQ38</f>
        <v>1.5610615119813902</v>
      </c>
      <c r="BR12" s="156">
        <f>BR2/股权价值增加表!BR38</f>
        <v>-3.1914039034278066</v>
      </c>
      <c r="BS12" s="156">
        <f>BS2/股权价值增加表!BS38</f>
        <v>0.48086820386146345</v>
      </c>
      <c r="BT12" s="156">
        <f>BT2/股权价值增加表!BT38</f>
        <v>0.56315505336481519</v>
      </c>
      <c r="BU12" s="156">
        <f>BU2/股权价值增加表!BU38</f>
        <v>0.75290352324797316</v>
      </c>
      <c r="BV12" s="156">
        <f>BV2/股权价值增加表!BV38</f>
        <v>0.49317915968520132</v>
      </c>
      <c r="BW12" s="156">
        <f>BW2/股权价值增加表!BW38</f>
        <v>0.87732780896373519</v>
      </c>
      <c r="BX12" s="156">
        <f>BX2/股权价值增加表!BX38</f>
        <v>0.83629505516987857</v>
      </c>
      <c r="BY12" s="156">
        <f>BY2/股权价值增加表!BY38</f>
        <v>0.80149437138942636</v>
      </c>
      <c r="BZ12" s="156">
        <f>BZ2/股权价值增加表!BZ38</f>
        <v>0.74747312174080993</v>
      </c>
      <c r="CA12" s="156">
        <f>CA2/股权价值增加表!CA38</f>
        <v>0.96769254494183998</v>
      </c>
      <c r="CB12" s="156">
        <f>CB2/股权价值增加表!CB38</f>
        <v>0.99159566756663065</v>
      </c>
      <c r="CC12" s="156">
        <f>CC2/股权价值增加表!CC38</f>
        <v>0.99479848317057618</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c r="A13" s="17" t="s">
        <v>434</v>
      </c>
      <c r="E13" s="63">
        <f>1-E2/股权价值增加表!E38</f>
        <v>0.18778859171505891</v>
      </c>
      <c r="F13" s="63">
        <f>1-F2/股权价值增加表!F38</f>
        <v>0.15567369450202895</v>
      </c>
      <c r="G13" s="63">
        <f>1-G2/股权价值增加表!G38</f>
        <v>0.16285493054716627</v>
      </c>
      <c r="H13" s="63">
        <f>1-H2/股权价值增加表!H38</f>
        <v>0.19808372465638202</v>
      </c>
      <c r="I13" s="63">
        <f>1-I2/股权价值增加表!I38</f>
        <v>0.14620542641844447</v>
      </c>
      <c r="J13" s="63">
        <f>1-J2/股权价值增加表!J38</f>
        <v>0.13387847280597465</v>
      </c>
      <c r="K13" s="63">
        <f>1-K2/股权价值增加表!K38</f>
        <v>0.12684882342392589</v>
      </c>
      <c r="L13" s="63">
        <f>1-L2/股权价值增加表!L38</f>
        <v>0.15312378188435594</v>
      </c>
      <c r="M13" s="63">
        <f>1-M2/股权价值增加表!M38</f>
        <v>0.11931138246170148</v>
      </c>
      <c r="N13" s="63">
        <f>1-N2/股权价值增加表!N38</f>
        <v>0.12967905878854091</v>
      </c>
      <c r="O13" s="63">
        <f>1-O2/股权价值增加表!O38</f>
        <v>0.13355094624104746</v>
      </c>
      <c r="P13" s="63">
        <f>1-P2/股权价值增加表!P38</f>
        <v>0.13645278060360555</v>
      </c>
      <c r="Q13" s="63">
        <f>1-Q2/股权价值增加表!Q38</f>
        <v>0.1101878681406786</v>
      </c>
      <c r="R13" s="63">
        <f>1-R2/股权价值增加表!R38</f>
        <v>0.1696221762418989</v>
      </c>
      <c r="S13" s="63">
        <f>1-S2/股权价值增加表!S38</f>
        <v>0.18351323268768205</v>
      </c>
      <c r="T13" s="63">
        <f>1-T2/股权价值增加表!T38</f>
        <v>0.17482879755279168</v>
      </c>
      <c r="U13" s="63">
        <f>1-U2/股权价值增加表!U38</f>
        <v>0.17550243063017312</v>
      </c>
      <c r="V13" s="63">
        <f>1-V2/股权价值增加表!V38</f>
        <v>0.16505415481711949</v>
      </c>
      <c r="W13" s="63">
        <f>1-W2/股权价值增加表!W38</f>
        <v>0.15904357585330642</v>
      </c>
      <c r="X13" s="63">
        <f>1-X2/股权价值增加表!X38</f>
        <v>0.15535919349014493</v>
      </c>
      <c r="Y13" s="63">
        <f>1-Y2/股权价值增加表!Y38</f>
        <v>0.15693919353964569</v>
      </c>
      <c r="Z13" s="63">
        <f>1-Z2/股权价值增加表!Z38</f>
        <v>0.14891415125298024</v>
      </c>
      <c r="AA13" s="63">
        <f>1-AA2/股权价值增加表!AA38</f>
        <v>0.14566299867606403</v>
      </c>
      <c r="AB13" s="63">
        <f>1-AB2/股权价值增加表!AB38</f>
        <v>0.13262469805910782</v>
      </c>
      <c r="AC13" s="63">
        <f>1-AC2/股权价值增加表!AC38</f>
        <v>0.13830932589022416</v>
      </c>
      <c r="AD13" s="63">
        <f>1-AD2/股权价值增加表!AD38</f>
        <v>0.12966819843056621</v>
      </c>
      <c r="AE13" s="63">
        <f>1-AE2/股权价值增加表!AE38</f>
        <v>0.13682366422294567</v>
      </c>
      <c r="AF13" s="63">
        <f>1-AF2/股权价值增加表!AF38</f>
        <v>0.14600213316022914</v>
      </c>
      <c r="AG13" s="63">
        <f>1-AG2/股权价值增加表!AG38</f>
        <v>0.12910999388045641</v>
      </c>
      <c r="AH13" s="63">
        <f>1-AH2/股权价值增加表!AH38</f>
        <v>0.1250453020696578</v>
      </c>
      <c r="AI13" s="63">
        <f>1-AI2/股权价值增加表!AI38</f>
        <v>0.12628977873188141</v>
      </c>
      <c r="AJ13" s="63">
        <f>1-AJ2/股权价值增加表!AJ38</f>
        <v>0.12512633561724185</v>
      </c>
      <c r="AK13" s="63">
        <f>1-AK2/股权价值增加表!AK38</f>
        <v>0.10459708703965831</v>
      </c>
      <c r="AL13" s="63">
        <f>1-AL2/股权价值增加表!AL38</f>
        <v>8.268882132290567E-2</v>
      </c>
      <c r="AM13" s="63" t="e">
        <f>1-AM2/股权价值增加表!AM38</f>
        <v>#DIV/0!</v>
      </c>
      <c r="AN13" s="63">
        <f>1-AN2/股权价值增加表!AN38</f>
        <v>-7.9082639374319141E-2</v>
      </c>
      <c r="AO13" s="63">
        <f>1-AO2/股权价值增加表!AO38</f>
        <v>-0.58172991285484033</v>
      </c>
      <c r="AP13" s="63">
        <f>1-AP2/股权价值增加表!AP38</f>
        <v>-2.8639420560183635</v>
      </c>
      <c r="AQ13" s="63">
        <f>1-AQ2/股权价值增加表!AQ38</f>
        <v>1.4840327040720391</v>
      </c>
      <c r="AR13" s="63">
        <f>1-AR2/股权价值增加表!AR38</f>
        <v>3.3859520368449756</v>
      </c>
      <c r="AS13" s="63">
        <f>1-AS2/股权价值增加表!AS38</f>
        <v>0.16833034062191088</v>
      </c>
      <c r="AT13" s="63">
        <f>1-AT2/股权价值增加表!AT38</f>
        <v>-0.20043259923758461</v>
      </c>
      <c r="AU13" s="63">
        <f>1-AU2/股权价值增加表!AU38</f>
        <v>0.19527370776793662</v>
      </c>
      <c r="AV13" s="63">
        <f>1-AV2/股权价值增加表!AV38</f>
        <v>2.9607138828122048E-2</v>
      </c>
      <c r="AW13" s="63">
        <f>1-AW2/股权价值增加表!AW38</f>
        <v>-2.854434544527229E-2</v>
      </c>
      <c r="AX13" s="63">
        <f>1-AX2/股权价值增加表!AX38</f>
        <v>-1.3316642077243257E-2</v>
      </c>
      <c r="AY13" s="63">
        <f>1-AY2/股权价值增加表!AY38</f>
        <v>-1.4097372685549336E-2</v>
      </c>
      <c r="AZ13" s="63">
        <f>1-AZ2/股权价值增加表!AZ38</f>
        <v>-1.592679145491771E-2</v>
      </c>
      <c r="BA13" s="63">
        <f>1-BA2/股权价值增加表!BA38</f>
        <v>-0.11974921779965553</v>
      </c>
      <c r="BB13" s="63">
        <f>1-BB2/股权价值增加表!BB38</f>
        <v>-0.18103251490195227</v>
      </c>
      <c r="BC13" s="63">
        <f>1-BC2/股权价值增加表!BC38</f>
        <v>-0.21223554779309373</v>
      </c>
      <c r="BD13" s="63">
        <f>1-BD2/股权价值增加表!BD38</f>
        <v>-0.19291367167646856</v>
      </c>
      <c r="BE13" s="63">
        <f>1-BE2/股权价值增加表!BE38</f>
        <v>4.8170200129422192E-2</v>
      </c>
      <c r="BF13" s="63">
        <f>1-BF2/股权价值增加表!BF38</f>
        <v>0.20873076706627181</v>
      </c>
      <c r="BG13" s="63">
        <f>1-BG2/股权价值增加表!BG38</f>
        <v>0.24159714116329112</v>
      </c>
      <c r="BH13" s="63">
        <f>1-BH2/股权价值增加表!BH38</f>
        <v>0.2354770397621252</v>
      </c>
      <c r="BI13" s="63">
        <f>1-BI2/股权价值增加表!BI38</f>
        <v>-9.0310055582796034E-2</v>
      </c>
      <c r="BJ13" s="63">
        <f>1-BJ2/股权价值增加表!BJ38</f>
        <v>-0.11485665635615194</v>
      </c>
      <c r="BK13" s="63">
        <f>1-BK2/股权价值增加表!BK38</f>
        <v>-7.6095427967670215E-2</v>
      </c>
      <c r="BL13" s="63">
        <f>1-BL2/股权价值增加表!BL38</f>
        <v>-7.9024300210631893E-2</v>
      </c>
      <c r="BM13" s="63">
        <f>1-BM2/股权价值增加表!BM38</f>
        <v>-289.27003433055421</v>
      </c>
      <c r="BN13" s="63">
        <f>1-BN2/股权价值增加表!BN38</f>
        <v>-2.1035757007279332</v>
      </c>
      <c r="BO13" s="63">
        <f>1-BO2/股权价值增加表!BO38</f>
        <v>-1.9752236713944265</v>
      </c>
      <c r="BP13" s="63">
        <f>1-BP2/股权价值增加表!BP38</f>
        <v>-1.1591699355144409</v>
      </c>
      <c r="BQ13" s="63">
        <f>1-BQ2/股权价值增加表!BQ38</f>
        <v>-0.5610615119813902</v>
      </c>
      <c r="BR13" s="63">
        <f>1-BR2/股权价值增加表!BR38</f>
        <v>4.1914039034278066</v>
      </c>
      <c r="BS13" s="63">
        <f>1-BS2/股权价值增加表!BS38</f>
        <v>0.51913179613853655</v>
      </c>
      <c r="BT13" s="63">
        <f>1-BT2/股权价值增加表!BT38</f>
        <v>0.43684494663518481</v>
      </c>
      <c r="BU13" s="63">
        <f>1-BU2/股权价值增加表!BU38</f>
        <v>0.24709647675202684</v>
      </c>
      <c r="BV13" s="63">
        <f>1-BV2/股权价值增加表!BV38</f>
        <v>0.50682084031479868</v>
      </c>
      <c r="BW13" s="63">
        <f>1-BW2/股权价值增加表!BW38</f>
        <v>0.12267219103626481</v>
      </c>
      <c r="BX13" s="63">
        <f>1-BX2/股权价值增加表!BX38</f>
        <v>0.16370494483012143</v>
      </c>
      <c r="BY13" s="63">
        <f>1-BY2/股权价值增加表!BY38</f>
        <v>0.19850562861057364</v>
      </c>
      <c r="BZ13" s="63">
        <f>1-BZ2/股权价值增加表!BZ38</f>
        <v>0.25252687825919007</v>
      </c>
      <c r="CA13" s="63">
        <f>1-CA2/股权价值增加表!CA38</f>
        <v>3.2307455058160017E-2</v>
      </c>
      <c r="CB13" s="63">
        <f>1-CB2/股权价值增加表!CB38</f>
        <v>8.4043324333693548E-3</v>
      </c>
      <c r="CC13" s="63">
        <f>1-CC2/股权价值增加表!CC38</f>
        <v>5.2015168294238245E-3</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4" t="s">
        <v>435</v>
      </c>
      <c r="E14" s="59">
        <f>E6*E7*E9*E10*E12</f>
        <v>0.14970615256475031</v>
      </c>
      <c r="F14" s="59">
        <f t="shared" ref="F14:BQ14" si="4">F6*F7*F9*F10*F12</f>
        <v>0.13915028742884433</v>
      </c>
      <c r="G14" s="59">
        <f t="shared" si="4"/>
        <v>0.12302881501590686</v>
      </c>
      <c r="H14" s="59">
        <f t="shared" si="4"/>
        <v>2.7663422632059734E-2</v>
      </c>
      <c r="I14" s="59">
        <f t="shared" si="4"/>
        <v>0.11509636584805241</v>
      </c>
      <c r="J14" s="59">
        <f t="shared" si="4"/>
        <v>9.2288193816575659E-2</v>
      </c>
      <c r="K14" s="59">
        <f t="shared" si="4"/>
        <v>6.4963920258426622E-2</v>
      </c>
      <c r="L14" s="59">
        <f t="shared" si="4"/>
        <v>2.9776557847763247E-2</v>
      </c>
      <c r="M14" s="59">
        <f t="shared" si="4"/>
        <v>0.10206550100537001</v>
      </c>
      <c r="N14" s="59">
        <f t="shared" si="4"/>
        <v>7.159052572491216E-2</v>
      </c>
      <c r="O14" s="59">
        <f t="shared" si="4"/>
        <v>3.9049763077210545E-2</v>
      </c>
      <c r="P14" s="59">
        <f t="shared" si="4"/>
        <v>1.4999066270440464E-2</v>
      </c>
      <c r="Q14" s="59">
        <f t="shared" si="4"/>
        <v>5.7700920901005405E-2</v>
      </c>
      <c r="R14" s="59">
        <f t="shared" si="4"/>
        <v>2.6500585281475787E-2</v>
      </c>
      <c r="S14" s="59">
        <f t="shared" si="4"/>
        <v>3.1428153844059822E-2</v>
      </c>
      <c r="T14" s="59">
        <f t="shared" si="4"/>
        <v>1.2882811928143979E-2</v>
      </c>
      <c r="U14" s="59">
        <f t="shared" si="4"/>
        <v>4.9236434586493932E-2</v>
      </c>
      <c r="V14" s="59">
        <f t="shared" si="4"/>
        <v>3.9210377128011252E-2</v>
      </c>
      <c r="W14" s="59">
        <f t="shared" si="4"/>
        <v>2.870548977183035E-2</v>
      </c>
      <c r="X14" s="59">
        <f t="shared" si="4"/>
        <v>1.2073242679985555E-2</v>
      </c>
      <c r="Y14" s="59">
        <f t="shared" si="4"/>
        <v>5.8680514162833521E-2</v>
      </c>
      <c r="Z14" s="59">
        <f t="shared" si="4"/>
        <v>5.4796181178821818E-2</v>
      </c>
      <c r="AA14" s="59">
        <f t="shared" si="4"/>
        <v>4.0942629755255353E-2</v>
      </c>
      <c r="AB14" s="59">
        <f t="shared" si="4"/>
        <v>1.8351068624072084E-2</v>
      </c>
      <c r="AC14" s="59">
        <f t="shared" si="4"/>
        <v>9.0808770505488495E-2</v>
      </c>
      <c r="AD14" s="59">
        <f t="shared" si="4"/>
        <v>8.0425320560743904E-2</v>
      </c>
      <c r="AE14" s="59">
        <f t="shared" si="4"/>
        <v>0.17966785049617418</v>
      </c>
      <c r="AF14" s="59">
        <f t="shared" si="4"/>
        <v>9.0537885840682564E-2</v>
      </c>
      <c r="AG14" s="59">
        <f t="shared" si="4"/>
        <v>0.3798865006844323</v>
      </c>
      <c r="AH14" s="59">
        <f t="shared" si="4"/>
        <v>0.44809888961052768</v>
      </c>
      <c r="AI14" s="59">
        <f t="shared" si="4"/>
        <v>0.40264998357947318</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85" t="s">
        <v>695</v>
      </c>
      <c r="B15" s="284"/>
      <c r="C15" s="284"/>
      <c r="D15" s="284"/>
      <c r="E15" s="284"/>
      <c r="F15" s="284"/>
      <c r="G15" s="284"/>
      <c r="H15" s="284"/>
      <c r="I15" s="284"/>
      <c r="J15" s="284"/>
      <c r="K15" s="284"/>
      <c r="L15" s="284"/>
      <c r="M15" s="284"/>
      <c r="N15" s="284"/>
      <c r="O15" s="284"/>
      <c r="P15" s="284"/>
      <c r="Q15" s="284"/>
      <c r="R15" s="284"/>
      <c r="S15" s="284"/>
      <c r="T15" s="284"/>
      <c r="U15" s="284"/>
      <c r="V15" s="284"/>
      <c r="W15" s="284"/>
      <c r="X15" s="284"/>
      <c r="Y15" s="284"/>
      <c r="Z15" s="284"/>
      <c r="AA15" s="284"/>
      <c r="AB15" s="284"/>
      <c r="AC15" s="284"/>
      <c r="AD15" s="284"/>
      <c r="AE15" s="284"/>
      <c r="AF15" s="284"/>
      <c r="AG15" s="284"/>
    </row>
    <row r="17" spans="1:89" ht="15" thickBot="1"/>
    <row r="18" spans="1:89" s="248" customFormat="1">
      <c r="A18" s="247" t="s">
        <v>439</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39813</v>
      </c>
      <c r="AM18" s="1">
        <v>25569</v>
      </c>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c r="A19" s="157" t="s">
        <v>445</v>
      </c>
      <c r="B19" s="75">
        <v>43373</v>
      </c>
      <c r="C19" s="75">
        <v>43281</v>
      </c>
      <c r="D19" s="75">
        <v>43190</v>
      </c>
      <c r="E19" s="75">
        <f>股权价值增加表!E4</f>
        <v>3490821643.5799999</v>
      </c>
      <c r="F19" s="75">
        <f>股权价值增加表!F4</f>
        <v>2461092792.1799998</v>
      </c>
      <c r="G19" s="75">
        <f>股权价值增加表!G4</f>
        <v>1632933466.8</v>
      </c>
      <c r="H19" s="75">
        <f>股权价值增加表!H4</f>
        <v>858461043.73000002</v>
      </c>
      <c r="I19" s="75">
        <f>股权价值增加表!I4</f>
        <v>3455902430.25</v>
      </c>
      <c r="J19" s="75">
        <f>股权价值增加表!J4</f>
        <v>2541940807.8800001</v>
      </c>
      <c r="K19" s="75">
        <f>股权价值增加表!K4</f>
        <v>1698613370.6300001</v>
      </c>
      <c r="L19" s="75">
        <f>股权价值增加表!L4</f>
        <v>835124707.30999994</v>
      </c>
      <c r="M19" s="75">
        <f>股权价值增加表!M4</f>
        <v>3025827440.4899998</v>
      </c>
      <c r="N19" s="75">
        <f>股权价值增加表!N4</f>
        <v>2193259400.0599999</v>
      </c>
      <c r="O19" s="75">
        <f>股权价值增加表!O4</f>
        <v>1255221897.5799999</v>
      </c>
      <c r="P19" s="75">
        <f>股权价值增加表!P4</f>
        <v>496966166.79000002</v>
      </c>
      <c r="Q19" s="75">
        <f>股权价值增加表!Q4</f>
        <v>1712230060.6500001</v>
      </c>
      <c r="R19" s="75">
        <f>股权价值增加表!R4</f>
        <v>1124171914.4000001</v>
      </c>
      <c r="S19" s="75">
        <f>股权价值增加表!S4</f>
        <v>730223749.21000004</v>
      </c>
      <c r="T19" s="75">
        <f>股权价值增加表!T4</f>
        <v>327881464.25</v>
      </c>
      <c r="U19" s="75">
        <f>股权价值增加表!U4</f>
        <v>1227431183.24</v>
      </c>
      <c r="V19" s="75">
        <f>股权价值增加表!V4</f>
        <v>884232437.92999995</v>
      </c>
      <c r="W19" s="75">
        <f>股权价值增加表!W4</f>
        <v>577935690.87</v>
      </c>
      <c r="X19" s="75">
        <f>股权价值增加表!X4</f>
        <v>261395751.71000001</v>
      </c>
      <c r="Y19" s="75">
        <f>股权价值增加表!Y4</f>
        <v>928899703.54999995</v>
      </c>
      <c r="Z19" s="75">
        <f>股权价值增加表!Z4</f>
        <v>693511863.35000002</v>
      </c>
      <c r="AA19" s="75">
        <f>股权价值增加表!AA4</f>
        <v>466620229.04000002</v>
      </c>
      <c r="AB19" s="75">
        <f>股权价值增加表!AB4</f>
        <v>228839761.06</v>
      </c>
      <c r="AC19" s="75">
        <f>股权价值增加表!AC4</f>
        <v>998726425.88999999</v>
      </c>
      <c r="AD19" s="75">
        <f>股权价值增加表!AD4</f>
        <v>745992572.11000001</v>
      </c>
      <c r="AE19" s="75">
        <f>股权价值增加表!AE4</f>
        <v>522702359.55000001</v>
      </c>
      <c r="AF19" s="75">
        <f>股权价值增加表!AF4</f>
        <v>233658736.02000001</v>
      </c>
      <c r="AG19" s="75">
        <f>股权价值增加表!AG4</f>
        <v>907986860.39999998</v>
      </c>
      <c r="AH19" s="75">
        <f>股权价值增加表!AH4</f>
        <v>662975139.73000002</v>
      </c>
      <c r="AI19" s="75">
        <f>股权价值增加表!AI4</f>
        <v>429193147.08999997</v>
      </c>
      <c r="AJ19" s="75">
        <f>股权价值增加表!AJ4</f>
        <v>197229687.81</v>
      </c>
      <c r="AK19" s="75">
        <f>股权价值增加表!AK4</f>
        <v>568512432.92999995</v>
      </c>
      <c r="AL19" s="75">
        <f>股权价值增加表!AL4</f>
        <v>420832438.18000001</v>
      </c>
      <c r="AM19" s="75">
        <f>股权价值增加表!AM4</f>
        <v>0</v>
      </c>
      <c r="AN19" s="75">
        <f>股权价值增加表!AN4</f>
        <v>0</v>
      </c>
      <c r="AO19" s="75">
        <f>股权价值增加表!AO4</f>
        <v>0</v>
      </c>
      <c r="AP19" s="75">
        <f>股权价值增加表!AP4</f>
        <v>0</v>
      </c>
      <c r="AQ19" s="75">
        <f>股权价值增加表!AQ4</f>
        <v>0</v>
      </c>
      <c r="AR19" s="75">
        <f>股权价值增加表!AR4</f>
        <v>0</v>
      </c>
      <c r="AS19" s="75">
        <f>股权价值增加表!AS4</f>
        <v>0</v>
      </c>
      <c r="AT19" s="75">
        <f>股权价值增加表!AT4</f>
        <v>0</v>
      </c>
      <c r="AU19" s="75">
        <f>股权价值增加表!AU4</f>
        <v>0</v>
      </c>
      <c r="AV19" s="75">
        <f>股权价值增加表!AV4</f>
        <v>0</v>
      </c>
      <c r="AW19" s="75">
        <f>股权价值增加表!AW4</f>
        <v>0</v>
      </c>
      <c r="AX19" s="75">
        <f>股权价值增加表!AX4</f>
        <v>0</v>
      </c>
      <c r="AY19" s="75">
        <f>股权价值增加表!AY4</f>
        <v>0</v>
      </c>
      <c r="AZ19" s="75">
        <f>股权价值增加表!AZ4</f>
        <v>0</v>
      </c>
      <c r="BA19" s="75">
        <f>股权价值增加表!BA4</f>
        <v>0</v>
      </c>
      <c r="BB19" s="75">
        <f>股权价值增加表!BB4</f>
        <v>0</v>
      </c>
      <c r="BC19" s="75">
        <f>股权价值增加表!BC4</f>
        <v>0</v>
      </c>
      <c r="BD19" s="75">
        <f>股权价值增加表!BD4</f>
        <v>0</v>
      </c>
      <c r="BE19" s="75">
        <f>股权价值增加表!BE4</f>
        <v>0</v>
      </c>
      <c r="BF19" s="75">
        <f>股权价值增加表!BF4</f>
        <v>0</v>
      </c>
      <c r="BG19" s="75">
        <f>股权价值增加表!BG4</f>
        <v>0</v>
      </c>
      <c r="BH19" s="75">
        <f>股权价值增加表!BH4</f>
        <v>0</v>
      </c>
      <c r="BI19" s="75">
        <f>股权价值增加表!BI4</f>
        <v>0</v>
      </c>
      <c r="BJ19" s="75">
        <f>股权价值增加表!BJ4</f>
        <v>0</v>
      </c>
      <c r="BK19" s="75">
        <f>股权价值增加表!BK4</f>
        <v>0</v>
      </c>
      <c r="BL19" s="75">
        <f>股权价值增加表!BL4</f>
        <v>0</v>
      </c>
      <c r="BM19" s="75">
        <f>股权价值增加表!BM4</f>
        <v>0</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c r="A20" s="157" t="s">
        <v>446</v>
      </c>
      <c r="E20" s="75">
        <f>股权价值增加表!E15</f>
        <v>450501986.37</v>
      </c>
      <c r="F20" s="75">
        <f>股权价值增加表!F15</f>
        <v>362531351.4599998</v>
      </c>
      <c r="G20" s="75">
        <f>股权价值增加表!G15</f>
        <v>259631590.49000001</v>
      </c>
      <c r="H20" s="75">
        <f>股权价值增加表!H15</f>
        <v>160039762.63000005</v>
      </c>
      <c r="I20" s="75">
        <f>股权价值增加表!I15</f>
        <v>614378020.56999981</v>
      </c>
      <c r="J20" s="75">
        <f>股权价值增加表!J15</f>
        <v>469507547.76000017</v>
      </c>
      <c r="K20" s="75">
        <f>股权价值增加表!K15</f>
        <v>325978520.99000013</v>
      </c>
      <c r="L20" s="75">
        <f>股权价值增加表!L15</f>
        <v>149174974.84999996</v>
      </c>
      <c r="M20" s="75">
        <f>股权价值增加表!M15</f>
        <v>477595634.53999984</v>
      </c>
      <c r="N20" s="75">
        <f>股权价值增加表!N15</f>
        <v>325204317.08000004</v>
      </c>
      <c r="O20" s="75">
        <f>股权价值增加表!O15</f>
        <v>170534038.69999999</v>
      </c>
      <c r="P20" s="75">
        <f>股权价值增加表!P15</f>
        <v>65705740.380000025</v>
      </c>
      <c r="Q20" s="75">
        <f>股权价值增加表!Q15</f>
        <v>236431172.36000013</v>
      </c>
      <c r="R20" s="75">
        <f>股权价值增加表!R15</f>
        <v>113303561.86000006</v>
      </c>
      <c r="S20" s="75">
        <f>股权价值增加表!S15</f>
        <v>66022691.500000045</v>
      </c>
      <c r="T20" s="75">
        <f>股权价值增加表!T15</f>
        <v>26194372.120000012</v>
      </c>
      <c r="U20" s="75">
        <f>股权价值增加表!U15</f>
        <v>97156306.820000008</v>
      </c>
      <c r="V20" s="75">
        <f>股权价值增加表!V15</f>
        <v>74085401.459999934</v>
      </c>
      <c r="W20" s="75">
        <f>股权价值增加表!W15</f>
        <v>53287896.070000008</v>
      </c>
      <c r="X20" s="75">
        <f>股权价值增加表!X15</f>
        <v>22051701.420000006</v>
      </c>
      <c r="Y20" s="75">
        <f>股权价值增加表!Y15</f>
        <v>95924838.299999967</v>
      </c>
      <c r="Z20" s="75">
        <f>股权价值增加表!Z15</f>
        <v>88341039.50000003</v>
      </c>
      <c r="AA20" s="75">
        <f>股权价值增加表!AA15</f>
        <v>64471900.31000004</v>
      </c>
      <c r="AB20" s="75">
        <f>股权价值增加表!AB15</f>
        <v>28151768.75</v>
      </c>
      <c r="AC20" s="75">
        <f>股权价值增加表!AC15</f>
        <v>166022991.88000005</v>
      </c>
      <c r="AD20" s="75">
        <f>股权价值增加表!AD15</f>
        <v>148493343.85999998</v>
      </c>
      <c r="AE20" s="75">
        <f>股权价值增加表!AE15</f>
        <v>112472064.75999999</v>
      </c>
      <c r="AF20" s="75">
        <f>股权价值增加表!AF15</f>
        <v>50963783.340000011</v>
      </c>
      <c r="AG20" s="75">
        <f>股权价值增加表!AG15</f>
        <v>191599727.91000006</v>
      </c>
      <c r="AH20" s="75">
        <f>股权价值增加表!AH15</f>
        <v>145979545.25000003</v>
      </c>
      <c r="AI20" s="75">
        <f>股权价值增加表!AI15</f>
        <v>95654725.339999959</v>
      </c>
      <c r="AJ20" s="75">
        <f>股权价值增加表!AJ15</f>
        <v>47121329.459999993</v>
      </c>
      <c r="AK20" s="75">
        <f>股权价值增加表!AK15</f>
        <v>121838735.91999996</v>
      </c>
      <c r="AL20" s="75">
        <f>股权价值增加表!AL15</f>
        <v>93604573.879999995</v>
      </c>
      <c r="AM20" s="75">
        <f>股权价值增加表!AM15</f>
        <v>0</v>
      </c>
      <c r="AN20" s="75">
        <f>股权价值增加表!AN15</f>
        <v>0</v>
      </c>
      <c r="AO20" s="75">
        <f>股权价值增加表!AO15</f>
        <v>0</v>
      </c>
      <c r="AP20" s="75">
        <f>股权价值增加表!AP15</f>
        <v>0</v>
      </c>
      <c r="AQ20" s="75">
        <f>股权价值增加表!AQ15</f>
        <v>0</v>
      </c>
      <c r="AR20" s="75">
        <f>股权价值增加表!AR15</f>
        <v>0</v>
      </c>
      <c r="AS20" s="75">
        <f>股权价值增加表!AS15</f>
        <v>0</v>
      </c>
      <c r="AT20" s="75">
        <f>股权价值增加表!AT15</f>
        <v>0</v>
      </c>
      <c r="AU20" s="75">
        <f>股权价值增加表!AU15</f>
        <v>0</v>
      </c>
      <c r="AV20" s="75">
        <f>股权价值增加表!AV15</f>
        <v>0</v>
      </c>
      <c r="AW20" s="75">
        <f>股权价值增加表!AW15</f>
        <v>0</v>
      </c>
      <c r="AX20" s="75">
        <f>股权价值增加表!AX15</f>
        <v>0</v>
      </c>
      <c r="AY20" s="75">
        <f>股权价值增加表!AY15</f>
        <v>0</v>
      </c>
      <c r="AZ20" s="75">
        <f>股权价值增加表!AZ15</f>
        <v>0</v>
      </c>
      <c r="BA20" s="75">
        <f>股权价值增加表!BA15</f>
        <v>0</v>
      </c>
      <c r="BB20" s="75">
        <f>股权价值增加表!BB15</f>
        <v>0</v>
      </c>
      <c r="BC20" s="75">
        <f>股权价值增加表!BC15</f>
        <v>0</v>
      </c>
      <c r="BD20" s="75">
        <f>股权价值增加表!BD15</f>
        <v>0</v>
      </c>
      <c r="BE20" s="75">
        <f>股权价值增加表!BE15</f>
        <v>0</v>
      </c>
      <c r="BF20" s="75">
        <f>股权价值增加表!BF15</f>
        <v>0</v>
      </c>
      <c r="BG20" s="75">
        <f>股权价值增加表!BG15</f>
        <v>0</v>
      </c>
      <c r="BH20" s="75">
        <f>股权价值增加表!BH15</f>
        <v>0</v>
      </c>
      <c r="BI20" s="75">
        <f>股权价值增加表!BI15</f>
        <v>0</v>
      </c>
      <c r="BJ20" s="75">
        <f>股权价值增加表!BJ15</f>
        <v>0</v>
      </c>
      <c r="BK20" s="75">
        <f>股权价值增加表!BK15</f>
        <v>0</v>
      </c>
      <c r="BL20" s="75">
        <f>股权价值增加表!BL15</f>
        <v>0</v>
      </c>
      <c r="BM20" s="75">
        <f>股权价值增加表!BM15</f>
        <v>0</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c r="A21" s="232" t="s">
        <v>447</v>
      </c>
      <c r="E21" s="242">
        <f>E20/E19</f>
        <v>0.12905328096567811</v>
      </c>
      <c r="F21" s="242">
        <f t="shared" ref="F21:BQ21" si="6">F20/F19</f>
        <v>0.14730503157456118</v>
      </c>
      <c r="G21" s="242">
        <f t="shared" si="6"/>
        <v>0.15899704168522588</v>
      </c>
      <c r="H21" s="242">
        <f t="shared" si="6"/>
        <v>0.18642635422876006</v>
      </c>
      <c r="I21" s="242">
        <f t="shared" si="6"/>
        <v>0.17777643697121268</v>
      </c>
      <c r="J21" s="242">
        <f t="shared" si="6"/>
        <v>0.18470435908835084</v>
      </c>
      <c r="K21" s="242">
        <f t="shared" si="6"/>
        <v>0.19190860417464964</v>
      </c>
      <c r="L21" s="242">
        <f t="shared" si="6"/>
        <v>0.17862598668707083</v>
      </c>
      <c r="M21" s="242">
        <f t="shared" si="6"/>
        <v>0.15783967986709066</v>
      </c>
      <c r="N21" s="242">
        <f t="shared" si="6"/>
        <v>0.14827444353873673</v>
      </c>
      <c r="O21" s="242">
        <f t="shared" si="6"/>
        <v>0.13585967471471014</v>
      </c>
      <c r="P21" s="242">
        <f t="shared" si="6"/>
        <v>0.1322137094450635</v>
      </c>
      <c r="Q21" s="242">
        <f t="shared" si="6"/>
        <v>0.13808376443890119</v>
      </c>
      <c r="R21" s="242">
        <f t="shared" si="6"/>
        <v>0.10078846518814974</v>
      </c>
      <c r="S21" s="242">
        <f t="shared" si="6"/>
        <v>9.0414330636914175E-2</v>
      </c>
      <c r="T21" s="242">
        <f t="shared" si="6"/>
        <v>7.9889761929413522E-2</v>
      </c>
      <c r="U21" s="242">
        <f t="shared" si="6"/>
        <v>7.9154178374009093E-2</v>
      </c>
      <c r="V21" s="242">
        <f t="shared" si="6"/>
        <v>8.3784984899937465E-2</v>
      </c>
      <c r="W21" s="242">
        <f t="shared" si="6"/>
        <v>9.2203850552615388E-2</v>
      </c>
      <c r="X21" s="242">
        <f t="shared" si="6"/>
        <v>8.4361361176461661E-2</v>
      </c>
      <c r="Y21" s="242">
        <f t="shared" si="6"/>
        <v>0.10326716429491961</v>
      </c>
      <c r="Z21" s="242">
        <f t="shared" si="6"/>
        <v>0.12738216052032592</v>
      </c>
      <c r="AA21" s="242">
        <f t="shared" si="6"/>
        <v>0.13816782106219685</v>
      </c>
      <c r="AB21" s="242">
        <f t="shared" si="6"/>
        <v>0.12301956888785086</v>
      </c>
      <c r="AC21" s="242">
        <f t="shared" si="6"/>
        <v>0.16623470409531937</v>
      </c>
      <c r="AD21" s="242">
        <f t="shared" si="6"/>
        <v>0.19905472173803893</v>
      </c>
      <c r="AE21" s="242">
        <f t="shared" si="6"/>
        <v>0.21517420517639979</v>
      </c>
      <c r="AF21" s="242">
        <f t="shared" si="6"/>
        <v>0.21811203898508535</v>
      </c>
      <c r="AG21" s="242">
        <f t="shared" si="6"/>
        <v>0.21101596979673656</v>
      </c>
      <c r="AH21" s="242">
        <f t="shared" si="6"/>
        <v>0.22018856590829475</v>
      </c>
      <c r="AI21" s="242">
        <f t="shared" si="6"/>
        <v>0.22287104532901961</v>
      </c>
      <c r="AJ21" s="242">
        <f t="shared" si="6"/>
        <v>0.23891600693194848</v>
      </c>
      <c r="AK21" s="242">
        <f t="shared" si="6"/>
        <v>0.21431147124094957</v>
      </c>
      <c r="AL21" s="242">
        <f t="shared" si="6"/>
        <v>0.22242718333410197</v>
      </c>
      <c r="AM21" s="242" t="e">
        <f t="shared" si="6"/>
        <v>#DIV/0!</v>
      </c>
      <c r="AN21" s="242" t="e">
        <f t="shared" si="6"/>
        <v>#DIV/0!</v>
      </c>
      <c r="AO21" s="242" t="e">
        <f t="shared" si="6"/>
        <v>#DIV/0!</v>
      </c>
      <c r="AP21" s="242" t="e">
        <f t="shared" si="6"/>
        <v>#DIV/0!</v>
      </c>
      <c r="AQ21" s="242" t="e">
        <f t="shared" si="6"/>
        <v>#DIV/0!</v>
      </c>
      <c r="AR21" s="242" t="e">
        <f t="shared" si="6"/>
        <v>#DIV/0!</v>
      </c>
      <c r="AS21" s="242" t="e">
        <f t="shared" si="6"/>
        <v>#DIV/0!</v>
      </c>
      <c r="AT21" s="242" t="e">
        <f t="shared" si="6"/>
        <v>#DIV/0!</v>
      </c>
      <c r="AU21" s="242" t="e">
        <f t="shared" si="6"/>
        <v>#DIV/0!</v>
      </c>
      <c r="AV21" s="242" t="e">
        <f t="shared" si="6"/>
        <v>#DIV/0!</v>
      </c>
      <c r="AW21" s="242" t="e">
        <f t="shared" si="6"/>
        <v>#DIV/0!</v>
      </c>
      <c r="AX21" s="242" t="e">
        <f t="shared" si="6"/>
        <v>#DIV/0!</v>
      </c>
      <c r="AY21" s="242" t="e">
        <f t="shared" si="6"/>
        <v>#DIV/0!</v>
      </c>
      <c r="AZ21" s="242" t="e">
        <f t="shared" si="6"/>
        <v>#DIV/0!</v>
      </c>
      <c r="BA21" s="242" t="e">
        <f t="shared" si="6"/>
        <v>#DIV/0!</v>
      </c>
      <c r="BB21" s="242" t="e">
        <f t="shared" si="6"/>
        <v>#DIV/0!</v>
      </c>
      <c r="BC21" s="242" t="e">
        <f t="shared" si="6"/>
        <v>#DIV/0!</v>
      </c>
      <c r="BD21" s="242" t="e">
        <f t="shared" si="6"/>
        <v>#DIV/0!</v>
      </c>
      <c r="BE21" s="242" t="e">
        <f t="shared" si="6"/>
        <v>#DIV/0!</v>
      </c>
      <c r="BF21" s="242" t="e">
        <f t="shared" si="6"/>
        <v>#DIV/0!</v>
      </c>
      <c r="BG21" s="242" t="e">
        <f t="shared" si="6"/>
        <v>#DIV/0!</v>
      </c>
      <c r="BH21" s="242" t="e">
        <f t="shared" si="6"/>
        <v>#DIV/0!</v>
      </c>
      <c r="BI21" s="242" t="e">
        <f t="shared" si="6"/>
        <v>#DIV/0!</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c r="A22" s="26" t="s">
        <v>682</v>
      </c>
      <c r="E22" s="26">
        <f>资产资本表!E69</f>
        <v>4288885574.6700001</v>
      </c>
      <c r="F22" s="191">
        <f>资产资本表!F69</f>
        <v>4133850890.9700003</v>
      </c>
      <c r="G22" s="191">
        <f>资产资本表!G69</f>
        <v>4204726504.5999994</v>
      </c>
      <c r="H22" s="191">
        <f>资产资本表!H69</f>
        <v>4011200602.9800005</v>
      </c>
      <c r="I22" s="191">
        <f>资产资本表!I69</f>
        <v>3903271230.7000008</v>
      </c>
      <c r="J22" s="191">
        <f>资产资本表!J69</f>
        <v>4038375223.6399994</v>
      </c>
      <c r="K22" s="191">
        <f>资产资本表!K69</f>
        <v>4136557736.5900002</v>
      </c>
      <c r="L22" s="191">
        <f>资产资本表!L69</f>
        <v>3915920634.8599997</v>
      </c>
      <c r="M22" s="191">
        <f>资产资本表!M69</f>
        <v>3868877944.8699999</v>
      </c>
      <c r="N22" s="191">
        <f>资产资本表!N69</f>
        <v>3844105626.7199998</v>
      </c>
      <c r="O22" s="191">
        <f>资产资本表!O69</f>
        <v>3686604867.52</v>
      </c>
      <c r="P22" s="191">
        <f>资产资本表!P69</f>
        <v>3531510031.4499998</v>
      </c>
      <c r="Q22" s="191">
        <f>资产资本表!Q69</f>
        <v>3432254846.2999992</v>
      </c>
      <c r="R22" s="191">
        <f>资产资本表!R69</f>
        <v>3353525782.6599989</v>
      </c>
      <c r="S22" s="191">
        <f>资产资本表!S69</f>
        <v>1656595175.01</v>
      </c>
      <c r="T22" s="191">
        <f>资产资本表!T69</f>
        <v>1606639908.0299997</v>
      </c>
      <c r="U22" s="191">
        <f>资产资本表!U69</f>
        <v>1537260348.8999999</v>
      </c>
      <c r="V22" s="191">
        <f>资产资本表!V69</f>
        <v>1343865673.8399999</v>
      </c>
      <c r="W22" s="191">
        <f>资产资本表!W69</f>
        <v>1304622597.0800004</v>
      </c>
      <c r="X22" s="191">
        <f>资产资本表!X69</f>
        <v>1298837675.0900002</v>
      </c>
      <c r="Y22" s="191">
        <f>资产资本表!Y69</f>
        <v>1238319577.5300002</v>
      </c>
      <c r="Z22" s="191">
        <f>资产资本表!Z69</f>
        <v>1205984109.0999999</v>
      </c>
      <c r="AA22" s="191">
        <f>资产资本表!AA69</f>
        <v>1151005328.1799998</v>
      </c>
      <c r="AB22" s="191">
        <f>资产资本表!AB69</f>
        <v>1084724095.29</v>
      </c>
      <c r="AC22" s="191">
        <f>资产资本表!AC69</f>
        <v>994693783.85000002</v>
      </c>
      <c r="AD22" s="191">
        <f>资产资本表!AD69</f>
        <v>942538343.2900002</v>
      </c>
      <c r="AE22" s="191">
        <f>资产资本表!AE69</f>
        <v>853086906.63999999</v>
      </c>
      <c r="AF22" s="191">
        <f>资产资本表!AF69</f>
        <v>737783989.40999997</v>
      </c>
      <c r="AG22" s="191">
        <f>资产资本表!AG69</f>
        <v>639823500.2700001</v>
      </c>
      <c r="AH22" s="191">
        <f>资产资本表!AH69</f>
        <v>407705447.90999997</v>
      </c>
      <c r="AI22" s="191">
        <f>资产资本表!AI69</f>
        <v>303389804.08000004</v>
      </c>
      <c r="AJ22" s="191">
        <f>资产资本表!AJ69</f>
        <v>0</v>
      </c>
      <c r="AK22" s="191">
        <f>资产资本表!AK69</f>
        <v>0</v>
      </c>
      <c r="AL22" s="191">
        <f>资产资本表!AL69</f>
        <v>0</v>
      </c>
      <c r="AM22" s="191">
        <f>资产资本表!AM69</f>
        <v>0</v>
      </c>
      <c r="AN22" s="191">
        <f>资产资本表!AN69</f>
        <v>0</v>
      </c>
      <c r="AO22" s="191">
        <f>资产资本表!AO69</f>
        <v>0</v>
      </c>
      <c r="AP22" s="191">
        <f>资产资本表!AP69</f>
        <v>0</v>
      </c>
      <c r="AQ22" s="191">
        <f>资产资本表!AQ69</f>
        <v>0</v>
      </c>
      <c r="AR22" s="191">
        <f>资产资本表!AR69</f>
        <v>0</v>
      </c>
      <c r="AS22" s="191">
        <f>资产资本表!AS69</f>
        <v>0</v>
      </c>
      <c r="AT22" s="191">
        <f>资产资本表!AT69</f>
        <v>0</v>
      </c>
      <c r="AU22" s="191">
        <f>资产资本表!AU69</f>
        <v>0</v>
      </c>
      <c r="AV22" s="191">
        <f>资产资本表!AV69</f>
        <v>0</v>
      </c>
      <c r="AW22" s="191">
        <f>资产资本表!AW69</f>
        <v>0</v>
      </c>
      <c r="AX22" s="191">
        <f>资产资本表!AX69</f>
        <v>0</v>
      </c>
      <c r="AY22" s="191">
        <f>资产资本表!AY69</f>
        <v>0</v>
      </c>
      <c r="AZ22" s="191">
        <f>资产资本表!AZ69</f>
        <v>0</v>
      </c>
      <c r="BA22" s="191">
        <f>资产资本表!BA69</f>
        <v>0</v>
      </c>
      <c r="BB22" s="191">
        <f>资产资本表!BB69</f>
        <v>0</v>
      </c>
      <c r="BC22" s="191">
        <f>资产资本表!BC69</f>
        <v>0</v>
      </c>
      <c r="BD22" s="191">
        <f>资产资本表!BD69</f>
        <v>0</v>
      </c>
      <c r="BE22" s="191">
        <f>资产资本表!BE69</f>
        <v>0</v>
      </c>
      <c r="BF22" s="191">
        <f>资产资本表!BF69</f>
        <v>0</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c r="A23" s="243" t="s">
        <v>683</v>
      </c>
      <c r="E23" s="244">
        <f>E19/E22</f>
        <v>0.81392277383119371</v>
      </c>
      <c r="F23" s="244">
        <f t="shared" ref="F23:BQ23" si="8">F19/F22</f>
        <v>0.59535112830412451</v>
      </c>
      <c r="G23" s="244">
        <f t="shared" si="8"/>
        <v>0.38835664222478194</v>
      </c>
      <c r="H23" s="244">
        <f t="shared" si="8"/>
        <v>0.21401598391569654</v>
      </c>
      <c r="I23" s="244">
        <f t="shared" si="8"/>
        <v>0.88538618660897639</v>
      </c>
      <c r="J23" s="244">
        <f t="shared" si="8"/>
        <v>0.62944641523152367</v>
      </c>
      <c r="K23" s="244">
        <f t="shared" si="8"/>
        <v>0.41063451275075485</v>
      </c>
      <c r="L23" s="244">
        <f t="shared" si="8"/>
        <v>0.21326395123425604</v>
      </c>
      <c r="M23" s="244">
        <f t="shared" si="8"/>
        <v>0.78209431354694037</v>
      </c>
      <c r="N23" s="244">
        <f t="shared" si="8"/>
        <v>0.57055128371470065</v>
      </c>
      <c r="O23" s="244">
        <f t="shared" si="8"/>
        <v>0.34048180987304855</v>
      </c>
      <c r="P23" s="244">
        <f t="shared" si="8"/>
        <v>0.14072341926378476</v>
      </c>
      <c r="Q23" s="244">
        <f t="shared" si="8"/>
        <v>0.49886448918436199</v>
      </c>
      <c r="R23" s="244">
        <f t="shared" si="8"/>
        <v>0.33522089503910507</v>
      </c>
      <c r="S23" s="244">
        <f t="shared" si="8"/>
        <v>0.44079794522255089</v>
      </c>
      <c r="T23" s="244">
        <f t="shared" si="8"/>
        <v>0.20407899904094606</v>
      </c>
      <c r="U23" s="244">
        <f t="shared" si="8"/>
        <v>0.79845368035303788</v>
      </c>
      <c r="V23" s="244">
        <f t="shared" si="8"/>
        <v>0.65797680165709505</v>
      </c>
      <c r="W23" s="244">
        <f t="shared" si="8"/>
        <v>0.44299071023569014</v>
      </c>
      <c r="X23" s="244">
        <f t="shared" si="8"/>
        <v>0.20125359521303318</v>
      </c>
      <c r="Y23" s="244">
        <f t="shared" si="8"/>
        <v>0.7501292238331716</v>
      </c>
      <c r="Z23" s="244">
        <f t="shared" si="8"/>
        <v>0.57505887359291419</v>
      </c>
      <c r="AA23" s="244">
        <f t="shared" si="8"/>
        <v>0.40540231883881223</v>
      </c>
      <c r="AB23" s="244">
        <f t="shared" si="8"/>
        <v>0.21096586869753262</v>
      </c>
      <c r="AC23" s="244">
        <f t="shared" si="8"/>
        <v>1.0040541542588026</v>
      </c>
      <c r="AD23" s="244">
        <f t="shared" si="8"/>
        <v>0.79147185620699256</v>
      </c>
      <c r="AE23" s="244">
        <f t="shared" si="8"/>
        <v>0.61271876930890323</v>
      </c>
      <c r="AF23" s="244">
        <f t="shared" si="8"/>
        <v>0.31670345165236652</v>
      </c>
      <c r="AG23" s="244">
        <f t="shared" si="8"/>
        <v>1.419120835694277</v>
      </c>
      <c r="AH23" s="244">
        <f t="shared" si="8"/>
        <v>1.6261130262756514</v>
      </c>
      <c r="AI23" s="244">
        <f t="shared" si="8"/>
        <v>1.4146590996737227</v>
      </c>
      <c r="AJ23" s="244" t="e">
        <f t="shared" si="8"/>
        <v>#DIV/0!</v>
      </c>
      <c r="AK23" s="244" t="e">
        <f t="shared" si="8"/>
        <v>#DIV/0!</v>
      </c>
      <c r="AL23" s="244" t="e">
        <f t="shared" si="8"/>
        <v>#DIV/0!</v>
      </c>
      <c r="AM23" s="244" t="e">
        <f t="shared" si="8"/>
        <v>#DIV/0!</v>
      </c>
      <c r="AN23" s="244" t="e">
        <f t="shared" si="8"/>
        <v>#DIV/0!</v>
      </c>
      <c r="AO23" s="244" t="e">
        <f t="shared" si="8"/>
        <v>#DIV/0!</v>
      </c>
      <c r="AP23" s="244" t="e">
        <f t="shared" si="8"/>
        <v>#DIV/0!</v>
      </c>
      <c r="AQ23" s="244" t="e">
        <f t="shared" si="8"/>
        <v>#DIV/0!</v>
      </c>
      <c r="AR23" s="244" t="e">
        <f t="shared" si="8"/>
        <v>#DIV/0!</v>
      </c>
      <c r="AS23" s="244" t="e">
        <f t="shared" si="8"/>
        <v>#DIV/0!</v>
      </c>
      <c r="AT23" s="244" t="e">
        <f t="shared" si="8"/>
        <v>#DIV/0!</v>
      </c>
      <c r="AU23" s="244" t="e">
        <f t="shared" si="8"/>
        <v>#DIV/0!</v>
      </c>
      <c r="AV23" s="244" t="e">
        <f t="shared" si="8"/>
        <v>#DIV/0!</v>
      </c>
      <c r="AW23" s="244" t="e">
        <f t="shared" si="8"/>
        <v>#DIV/0!</v>
      </c>
      <c r="AX23" s="244" t="e">
        <f t="shared" si="8"/>
        <v>#DIV/0!</v>
      </c>
      <c r="AY23" s="244" t="e">
        <f t="shared" si="8"/>
        <v>#DIV/0!</v>
      </c>
      <c r="AZ23" s="244" t="e">
        <f t="shared" si="8"/>
        <v>#DIV/0!</v>
      </c>
      <c r="BA23" s="244" t="e">
        <f t="shared" si="8"/>
        <v>#DIV/0!</v>
      </c>
      <c r="BB23" s="244" t="e">
        <f t="shared" si="8"/>
        <v>#DIV/0!</v>
      </c>
      <c r="BC23" s="244" t="e">
        <f t="shared" si="8"/>
        <v>#DIV/0!</v>
      </c>
      <c r="BD23" s="244" t="e">
        <f t="shared" si="8"/>
        <v>#DIV/0!</v>
      </c>
      <c r="BE23" s="244" t="e">
        <f t="shared" si="8"/>
        <v>#DIV/0!</v>
      </c>
      <c r="BF23" s="244" t="e">
        <f t="shared" si="8"/>
        <v>#DIV/0!</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4.25" thickBot="1">
      <c r="A24" s="158" t="s">
        <v>690</v>
      </c>
      <c r="E24" s="159">
        <f>E21*E23</f>
        <v>0.10503940441560113</v>
      </c>
      <c r="F24" s="159">
        <f t="shared" ref="F24:BQ24" si="10">F21*F23</f>
        <v>8.7698216752789687E-2</v>
      </c>
      <c r="G24" s="159">
        <f t="shared" si="10"/>
        <v>6.174755723254801E-2</v>
      </c>
      <c r="H24" s="159">
        <f t="shared" si="10"/>
        <v>3.9898219628084257E-2</v>
      </c>
      <c r="I24" s="159">
        <f t="shared" si="10"/>
        <v>0.15740080159887304</v>
      </c>
      <c r="J24" s="159">
        <f t="shared" si="10"/>
        <v>0.11626149670579854</v>
      </c>
      <c r="K24" s="159">
        <f t="shared" si="10"/>
        <v>7.8804296167934731E-2</v>
      </c>
      <c r="L24" s="159">
        <f t="shared" si="10"/>
        <v>3.8094483714002342E-2</v>
      </c>
      <c r="M24" s="159">
        <f t="shared" si="10"/>
        <v>0.12344551607612109</v>
      </c>
      <c r="N24" s="159">
        <f t="shared" si="10"/>
        <v>8.4598174103109144E-2</v>
      </c>
      <c r="O24" s="159">
        <f t="shared" si="10"/>
        <v>4.625774793562816E-2</v>
      </c>
      <c r="P24" s="159">
        <f t="shared" si="10"/>
        <v>1.8605565266657891E-2</v>
      </c>
      <c r="Q24" s="159">
        <f t="shared" si="10"/>
        <v>6.8885086611466209E-2</v>
      </c>
      <c r="R24" s="159">
        <f t="shared" si="10"/>
        <v>3.378639950998924E-2</v>
      </c>
      <c r="S24" s="159">
        <f t="shared" si="10"/>
        <v>3.98544511634241E-2</v>
      </c>
      <c r="T24" s="159">
        <f t="shared" si="10"/>
        <v>1.630382264817419E-2</v>
      </c>
      <c r="U24" s="159">
        <f t="shared" si="10"/>
        <v>6.3200945038048406E-2</v>
      </c>
      <c r="V24" s="159">
        <f t="shared" si="10"/>
        <v>5.5128576391348855E-2</v>
      </c>
      <c r="W24" s="159">
        <f t="shared" si="10"/>
        <v>4.084544924276852E-2</v>
      </c>
      <c r="X24" s="159">
        <f t="shared" si="10"/>
        <v>1.6978027233828109E-2</v>
      </c>
      <c r="Y24" s="159">
        <f t="shared" si="10"/>
        <v>7.7463717800000664E-2</v>
      </c>
      <c r="Z24" s="159">
        <f t="shared" si="10"/>
        <v>7.3252241744650406E-2</v>
      </c>
      <c r="AA24" s="159">
        <f t="shared" si="10"/>
        <v>5.6013555047520681E-2</v>
      </c>
      <c r="AB24" s="159">
        <f t="shared" si="10"/>
        <v>2.5952930217221414E-2</v>
      </c>
      <c r="AC24" s="159">
        <f t="shared" si="10"/>
        <v>0.16690864522888821</v>
      </c>
      <c r="AD24" s="159">
        <f t="shared" si="10"/>
        <v>0.15754621010077205</v>
      </c>
      <c r="AE24" s="159">
        <f t="shared" si="10"/>
        <v>0.13184127418270511</v>
      </c>
      <c r="AF24" s="159">
        <f t="shared" si="10"/>
        <v>6.9076835593512062E-2</v>
      </c>
      <c r="AG24" s="159">
        <f t="shared" si="10"/>
        <v>0.29945715940278311</v>
      </c>
      <c r="AH24" s="159">
        <f t="shared" si="10"/>
        <v>0.35805149526043289</v>
      </c>
      <c r="AI24" s="159">
        <f t="shared" si="10"/>
        <v>0.31528655232849234</v>
      </c>
      <c r="AJ24" s="159" t="e">
        <f t="shared" si="10"/>
        <v>#DIV/0!</v>
      </c>
      <c r="AK24" s="159" t="e">
        <f t="shared" si="10"/>
        <v>#DIV/0!</v>
      </c>
      <c r="AL24" s="159" t="e">
        <f t="shared" si="10"/>
        <v>#DIV/0!</v>
      </c>
      <c r="AM24" s="159" t="e">
        <f t="shared" si="10"/>
        <v>#DIV/0!</v>
      </c>
      <c r="AN24" s="159" t="e">
        <f t="shared" si="10"/>
        <v>#DIV/0!</v>
      </c>
      <c r="AO24" s="159" t="e">
        <f t="shared" si="10"/>
        <v>#DIV/0!</v>
      </c>
      <c r="AP24" s="159" t="e">
        <f t="shared" si="10"/>
        <v>#DIV/0!</v>
      </c>
      <c r="AQ24" s="159" t="e">
        <f t="shared" si="10"/>
        <v>#DIV/0!</v>
      </c>
      <c r="AR24" s="159" t="e">
        <f t="shared" si="10"/>
        <v>#DIV/0!</v>
      </c>
      <c r="AS24" s="159" t="e">
        <f t="shared" si="10"/>
        <v>#DIV/0!</v>
      </c>
      <c r="AT24" s="159" t="e">
        <f t="shared" si="10"/>
        <v>#DIV/0!</v>
      </c>
      <c r="AU24" s="159" t="e">
        <f t="shared" si="10"/>
        <v>#DIV/0!</v>
      </c>
      <c r="AV24" s="159" t="e">
        <f t="shared" si="10"/>
        <v>#DIV/0!</v>
      </c>
      <c r="AW24" s="159" t="e">
        <f t="shared" si="10"/>
        <v>#DIV/0!</v>
      </c>
      <c r="AX24" s="159" t="e">
        <f t="shared" si="10"/>
        <v>#DIV/0!</v>
      </c>
      <c r="AY24" s="159" t="e">
        <f t="shared" si="10"/>
        <v>#DIV/0!</v>
      </c>
      <c r="AZ24" s="159" t="e">
        <f t="shared" si="10"/>
        <v>#DIV/0!</v>
      </c>
      <c r="BA24" s="159" t="e">
        <f t="shared" si="10"/>
        <v>#DIV/0!</v>
      </c>
      <c r="BB24" s="159" t="e">
        <f t="shared" si="10"/>
        <v>#DIV/0!</v>
      </c>
      <c r="BC24" s="159" t="e">
        <f t="shared" si="10"/>
        <v>#DIV/0!</v>
      </c>
      <c r="BD24" s="159" t="e">
        <f t="shared" si="10"/>
        <v>#DIV/0!</v>
      </c>
      <c r="BE24" s="159" t="e">
        <f t="shared" si="10"/>
        <v>#DIV/0!</v>
      </c>
      <c r="BF24" s="159" t="e">
        <f t="shared" si="10"/>
        <v>#DIV/0!</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c r="A25" s="245" t="s">
        <v>440</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39813</v>
      </c>
      <c r="AM25" s="1">
        <v>25569</v>
      </c>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c r="A26" s="145" t="s">
        <v>441</v>
      </c>
      <c r="E26" s="75">
        <f>利润表!E14</f>
        <v>-1541608.46</v>
      </c>
      <c r="F26" s="75">
        <f>利润表!F14</f>
        <v>0</v>
      </c>
      <c r="G26" s="75">
        <f>利润表!G14</f>
        <v>0</v>
      </c>
      <c r="H26" s="75">
        <f>利润表!H14</f>
        <v>0</v>
      </c>
      <c r="I26" s="75">
        <f>利润表!I14</f>
        <v>-567184.34</v>
      </c>
      <c r="J26" s="75">
        <f>利润表!J14</f>
        <v>0</v>
      </c>
      <c r="K26" s="75">
        <f>利润表!K14</f>
        <v>0</v>
      </c>
      <c r="L26" s="75">
        <f>利润表!L14</f>
        <v>0</v>
      </c>
      <c r="M26" s="75">
        <f>利润表!M14</f>
        <v>0</v>
      </c>
      <c r="N26" s="75">
        <f>利润表!N14</f>
        <v>0</v>
      </c>
      <c r="O26" s="75">
        <f>利润表!O14</f>
        <v>0</v>
      </c>
      <c r="P26" s="75">
        <f>利润表!P14</f>
        <v>0</v>
      </c>
      <c r="Q26" s="75">
        <f>利润表!Q14</f>
        <v>0</v>
      </c>
      <c r="R26" s="75">
        <f>利润表!R14</f>
        <v>0</v>
      </c>
      <c r="S26" s="75">
        <f>利润表!S14</f>
        <v>0</v>
      </c>
      <c r="T26" s="75">
        <f>利润表!T14</f>
        <v>0</v>
      </c>
      <c r="U26" s="75">
        <f>利润表!U14</f>
        <v>0</v>
      </c>
      <c r="V26" s="75">
        <f>利润表!V14</f>
        <v>0</v>
      </c>
      <c r="W26" s="75">
        <f>利润表!W14</f>
        <v>0</v>
      </c>
      <c r="X26" s="75">
        <f>利润表!X14</f>
        <v>0</v>
      </c>
      <c r="Y26" s="75">
        <f>利润表!Y14</f>
        <v>2271772.0499999998</v>
      </c>
      <c r="Z26" s="75">
        <f>利润表!Z14</f>
        <v>2194139.0099999998</v>
      </c>
      <c r="AA26" s="75">
        <f>利润表!AA14</f>
        <v>1562272.67</v>
      </c>
      <c r="AB26" s="75">
        <f>利润表!AB14</f>
        <v>755765.94</v>
      </c>
      <c r="AC26" s="75">
        <f>利润表!AC14</f>
        <v>2586005.37</v>
      </c>
      <c r="AD26" s="75">
        <f>利润表!AD14</f>
        <v>1659369.95</v>
      </c>
      <c r="AE26" s="75">
        <f>利润表!AE14</f>
        <v>1314928.06</v>
      </c>
      <c r="AF26" s="75">
        <f>利润表!AF14</f>
        <v>743573.88</v>
      </c>
      <c r="AG26" s="75">
        <f>利润表!AG14</f>
        <v>2771806.61</v>
      </c>
      <c r="AH26" s="75">
        <f>利润表!AH14</f>
        <v>1998391.76</v>
      </c>
      <c r="AI26" s="75">
        <f>利润表!AI14</f>
        <v>1299991.8400000001</v>
      </c>
      <c r="AJ26" s="75">
        <f>利润表!AJ14</f>
        <v>579434.6</v>
      </c>
      <c r="AK26" s="75">
        <f>利润表!AK14</f>
        <v>524269.5</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c r="A27" s="145" t="s">
        <v>442</v>
      </c>
      <c r="E27" s="75">
        <f>资产资本表!E19</f>
        <v>127485626.63</v>
      </c>
      <c r="F27" s="75">
        <f>资产资本表!F19</f>
        <v>77180105.909999996</v>
      </c>
      <c r="G27" s="75">
        <f>资产资本表!G19</f>
        <v>71112323.189999998</v>
      </c>
      <c r="H27" s="75">
        <f>资产资本表!H19</f>
        <v>41882391.369999997</v>
      </c>
      <c r="I27" s="75">
        <f>资产资本表!I19</f>
        <v>59432815.659999996</v>
      </c>
      <c r="J27" s="75">
        <f>资产资本表!J19</f>
        <v>17688723.84</v>
      </c>
      <c r="K27" s="75">
        <f>资产资本表!K19</f>
        <v>17688723.84</v>
      </c>
      <c r="L27" s="75">
        <f>资产资本表!L19</f>
        <v>154000000</v>
      </c>
      <c r="M27" s="75">
        <f>资产资本表!M19</f>
        <v>0</v>
      </c>
      <c r="N27" s="75">
        <f>资产资本表!N19</f>
        <v>0</v>
      </c>
      <c r="O27" s="75">
        <f>资产资本表!O19</f>
        <v>0</v>
      </c>
      <c r="P27" s="75">
        <f>资产资本表!P19</f>
        <v>0</v>
      </c>
      <c r="Q27" s="75">
        <f>资产资本表!Q19</f>
        <v>0</v>
      </c>
      <c r="R27" s="75">
        <f>资产资本表!R19</f>
        <v>6800000</v>
      </c>
      <c r="S27" s="75">
        <f>资产资本表!S19</f>
        <v>0</v>
      </c>
      <c r="T27" s="75">
        <f>资产资本表!T19</f>
        <v>0</v>
      </c>
      <c r="U27" s="75">
        <f>资产资本表!U19</f>
        <v>0</v>
      </c>
      <c r="V27" s="75">
        <f>资产资本表!V19</f>
        <v>0</v>
      </c>
      <c r="W27" s="75">
        <f>资产资本表!W19</f>
        <v>0</v>
      </c>
      <c r="X27" s="75">
        <f>资产资本表!X19</f>
        <v>0</v>
      </c>
      <c r="Y27" s="75">
        <f>资产资本表!Y19</f>
        <v>0</v>
      </c>
      <c r="Z27" s="75">
        <f>资产资本表!Z19</f>
        <v>10793820.49</v>
      </c>
      <c r="AA27" s="75">
        <f>资产资本表!AA19</f>
        <v>10161954.15</v>
      </c>
      <c r="AB27" s="75">
        <f>资产资本表!AB19</f>
        <v>11637847.42</v>
      </c>
      <c r="AC27" s="75">
        <f>资产资本表!AC19</f>
        <v>10882081.48</v>
      </c>
      <c r="AD27" s="75">
        <f>资产资本表!AD19</f>
        <v>9955446.0600000005</v>
      </c>
      <c r="AE27" s="75">
        <f>资产资本表!AE19</f>
        <v>9611004.1699999999</v>
      </c>
      <c r="AF27" s="75">
        <f>资产资本表!AF19</f>
        <v>9039649.9900000002</v>
      </c>
      <c r="AG27" s="75">
        <f>资产资本表!AG19</f>
        <v>8296076.1100000003</v>
      </c>
      <c r="AH27" s="75">
        <f>资产资本表!AH19</f>
        <v>5524269.5</v>
      </c>
      <c r="AI27" s="75">
        <f>资产资本表!AI19</f>
        <v>0</v>
      </c>
      <c r="AJ27" s="75">
        <f>资产资本表!AJ19</f>
        <v>0</v>
      </c>
      <c r="AK27" s="75">
        <f>资产资本表!AK19</f>
        <v>0</v>
      </c>
      <c r="AL27" s="75">
        <f>资产资本表!AL19</f>
        <v>0</v>
      </c>
      <c r="AM27" s="75">
        <f>资产资本表!AM19</f>
        <v>0</v>
      </c>
      <c r="AN27" s="75">
        <f>资产资本表!AN19</f>
        <v>0</v>
      </c>
      <c r="AO27" s="75">
        <f>资产资本表!AO19</f>
        <v>0</v>
      </c>
      <c r="AP27" s="75">
        <f>资产资本表!AP19</f>
        <v>0</v>
      </c>
      <c r="AQ27" s="75">
        <f>资产资本表!AQ19</f>
        <v>0</v>
      </c>
      <c r="AR27" s="75">
        <f>资产资本表!AR19</f>
        <v>0</v>
      </c>
      <c r="AS27" s="75">
        <f>资产资本表!AS19</f>
        <v>0</v>
      </c>
      <c r="AT27" s="75">
        <f>资产资本表!AT19</f>
        <v>0</v>
      </c>
      <c r="AU27" s="75">
        <f>资产资本表!AU19</f>
        <v>0</v>
      </c>
      <c r="AV27" s="75">
        <f>资产资本表!AV19</f>
        <v>0</v>
      </c>
      <c r="AW27" s="75">
        <f>资产资本表!AW19</f>
        <v>0</v>
      </c>
      <c r="AX27" s="75">
        <f>资产资本表!AX19</f>
        <v>0</v>
      </c>
      <c r="AY27" s="75">
        <f>资产资本表!AY19</f>
        <v>0</v>
      </c>
      <c r="AZ27" s="75">
        <f>资产资本表!AZ19</f>
        <v>0</v>
      </c>
      <c r="BA27" s="75">
        <f>资产资本表!BA19</f>
        <v>0</v>
      </c>
      <c r="BB27" s="75">
        <f>资产资本表!BB19</f>
        <v>0</v>
      </c>
      <c r="BC27" s="75">
        <f>资产资本表!BC19</f>
        <v>0</v>
      </c>
      <c r="BD27" s="75">
        <f>资产资本表!BD19</f>
        <v>0</v>
      </c>
      <c r="BE27" s="75">
        <f>资产资本表!BE19</f>
        <v>0</v>
      </c>
      <c r="BF27" s="75">
        <f>资产资本表!BF19</f>
        <v>0</v>
      </c>
      <c r="BG27" s="75">
        <f>资产资本表!BG19</f>
        <v>0</v>
      </c>
      <c r="BH27" s="75">
        <f>资产资本表!BH19</f>
        <v>0</v>
      </c>
      <c r="BI27" s="75">
        <f>资产资本表!BI19</f>
        <v>0</v>
      </c>
      <c r="BJ27" s="75">
        <f>资产资本表!BJ19</f>
        <v>0</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c r="A28" s="143" t="s">
        <v>443</v>
      </c>
      <c r="E28" s="109">
        <f>E26/E27</f>
        <v>-1.2092409950450271E-2</v>
      </c>
      <c r="F28" s="109">
        <f t="shared" ref="F28:BQ28" si="12">F26/F27</f>
        <v>0</v>
      </c>
      <c r="G28" s="109">
        <f t="shared" si="12"/>
        <v>0</v>
      </c>
      <c r="H28" s="109">
        <f t="shared" si="12"/>
        <v>0</v>
      </c>
      <c r="I28" s="109">
        <f t="shared" si="12"/>
        <v>-9.5432857033850987E-3</v>
      </c>
      <c r="J28" s="109">
        <f t="shared" si="12"/>
        <v>0</v>
      </c>
      <c r="K28" s="109">
        <f t="shared" si="12"/>
        <v>0</v>
      </c>
      <c r="L28" s="109">
        <f t="shared" si="12"/>
        <v>0</v>
      </c>
      <c r="M28" s="109" t="e">
        <f t="shared" si="12"/>
        <v>#DIV/0!</v>
      </c>
      <c r="N28" s="109" t="e">
        <f t="shared" si="12"/>
        <v>#DIV/0!</v>
      </c>
      <c r="O28" s="109" t="e">
        <f t="shared" si="12"/>
        <v>#DIV/0!</v>
      </c>
      <c r="P28" s="109" t="e">
        <f t="shared" si="12"/>
        <v>#DIV/0!</v>
      </c>
      <c r="Q28" s="109" t="e">
        <f t="shared" si="12"/>
        <v>#DIV/0!</v>
      </c>
      <c r="R28" s="109">
        <f t="shared" si="12"/>
        <v>0</v>
      </c>
      <c r="S28" s="109" t="e">
        <f t="shared" si="12"/>
        <v>#DIV/0!</v>
      </c>
      <c r="T28" s="109" t="e">
        <f t="shared" si="12"/>
        <v>#DIV/0!</v>
      </c>
      <c r="U28" s="109" t="e">
        <f t="shared" si="12"/>
        <v>#DIV/0!</v>
      </c>
      <c r="V28" s="109" t="e">
        <f t="shared" si="12"/>
        <v>#DIV/0!</v>
      </c>
      <c r="W28" s="109" t="e">
        <f t="shared" si="12"/>
        <v>#DIV/0!</v>
      </c>
      <c r="X28" s="109" t="e">
        <f t="shared" si="12"/>
        <v>#DIV/0!</v>
      </c>
      <c r="Y28" s="109" t="e">
        <f t="shared" si="12"/>
        <v>#DIV/0!</v>
      </c>
      <c r="Z28" s="109">
        <f t="shared" si="12"/>
        <v>0.20327733002719223</v>
      </c>
      <c r="AA28" s="109">
        <f t="shared" si="12"/>
        <v>0.15373742559151379</v>
      </c>
      <c r="AB28" s="109">
        <f t="shared" si="12"/>
        <v>6.4940354751617801E-2</v>
      </c>
      <c r="AC28" s="109">
        <f t="shared" si="12"/>
        <v>0.23763885381236827</v>
      </c>
      <c r="AD28" s="109">
        <f t="shared" si="12"/>
        <v>0.16667961837161516</v>
      </c>
      <c r="AE28" s="109">
        <f t="shared" si="12"/>
        <v>0.13681484647613051</v>
      </c>
      <c r="AF28" s="109">
        <f t="shared" si="12"/>
        <v>8.2256932604975783E-2</v>
      </c>
      <c r="AG28" s="109">
        <f t="shared" si="12"/>
        <v>0.33411055699680647</v>
      </c>
      <c r="AH28" s="109">
        <f t="shared" si="12"/>
        <v>0.36174769532876699</v>
      </c>
      <c r="AI28" s="109" t="e">
        <f t="shared" si="12"/>
        <v>#DIV/0!</v>
      </c>
      <c r="AJ28" s="109" t="e">
        <f t="shared" si="12"/>
        <v>#DIV/0!</v>
      </c>
      <c r="AK28" s="109" t="e">
        <f t="shared" si="12"/>
        <v>#DIV/0!</v>
      </c>
      <c r="AL28" s="109" t="e">
        <f t="shared" si="12"/>
        <v>#DIV/0!</v>
      </c>
      <c r="AM28" s="109" t="e">
        <f t="shared" si="12"/>
        <v>#DIV/0!</v>
      </c>
      <c r="AN28" s="109" t="e">
        <f t="shared" si="12"/>
        <v>#DIV/0!</v>
      </c>
      <c r="AO28" s="109" t="e">
        <f t="shared" si="12"/>
        <v>#DIV/0!</v>
      </c>
      <c r="AP28" s="109" t="e">
        <f t="shared" si="12"/>
        <v>#DIV/0!</v>
      </c>
      <c r="AQ28" s="109" t="e">
        <f t="shared" si="12"/>
        <v>#DIV/0!</v>
      </c>
      <c r="AR28" s="109" t="e">
        <f t="shared" si="12"/>
        <v>#DIV/0!</v>
      </c>
      <c r="AS28" s="109" t="e">
        <f t="shared" si="12"/>
        <v>#DIV/0!</v>
      </c>
      <c r="AT28" s="109" t="e">
        <f t="shared" si="12"/>
        <v>#DIV/0!</v>
      </c>
      <c r="AU28" s="109" t="e">
        <f t="shared" si="12"/>
        <v>#DIV/0!</v>
      </c>
      <c r="AV28" s="109" t="e">
        <f t="shared" si="12"/>
        <v>#DIV/0!</v>
      </c>
      <c r="AW28" s="109" t="e">
        <f t="shared" si="12"/>
        <v>#DIV/0!</v>
      </c>
      <c r="AX28" s="109" t="e">
        <f t="shared" si="12"/>
        <v>#DIV/0!</v>
      </c>
      <c r="AY28" s="109" t="e">
        <f t="shared" si="12"/>
        <v>#DIV/0!</v>
      </c>
      <c r="AZ28" s="109" t="e">
        <f t="shared" si="12"/>
        <v>#DIV/0!</v>
      </c>
      <c r="BA28" s="109" t="e">
        <f t="shared" si="12"/>
        <v>#DIV/0!</v>
      </c>
      <c r="BB28" s="109" t="e">
        <f t="shared" si="12"/>
        <v>#DIV/0!</v>
      </c>
      <c r="BC28" s="109" t="e">
        <f t="shared" si="12"/>
        <v>#DIV/0!</v>
      </c>
      <c r="BD28" s="109" t="e">
        <f t="shared" si="12"/>
        <v>#DIV/0!</v>
      </c>
      <c r="BE28" s="109" t="e">
        <f t="shared" si="12"/>
        <v>#DIV/0!</v>
      </c>
      <c r="BF28" s="109" t="e">
        <f t="shared" si="12"/>
        <v>#DIV/0!</v>
      </c>
      <c r="BG28" s="109" t="e">
        <f t="shared" si="12"/>
        <v>#DIV/0!</v>
      </c>
      <c r="BH28" s="109" t="e">
        <f t="shared" si="12"/>
        <v>#DIV/0!</v>
      </c>
      <c r="BI28" s="109" t="e">
        <f t="shared" si="12"/>
        <v>#DIV/0!</v>
      </c>
      <c r="BJ28" s="109" t="e">
        <f t="shared" si="12"/>
        <v>#DIV/0!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c r="A29" s="296" t="s">
        <v>692</v>
      </c>
      <c r="B29" s="287"/>
      <c r="C29" s="287"/>
      <c r="D29" s="287"/>
      <c r="E29" s="287"/>
      <c r="F29" s="287"/>
      <c r="G29" s="287"/>
      <c r="H29" s="287"/>
      <c r="I29" s="287"/>
      <c r="J29" s="287"/>
      <c r="K29" s="287"/>
      <c r="L29" s="287"/>
      <c r="M29" s="287"/>
      <c r="N29" s="287"/>
      <c r="O29" s="287"/>
      <c r="P29" s="287"/>
      <c r="Q29" s="287"/>
      <c r="R29" s="287"/>
      <c r="S29" s="287"/>
      <c r="T29" s="287"/>
      <c r="U29" s="287"/>
    </row>
    <row r="30" spans="1:89" s="26" customFormat="1">
      <c r="A30" s="17"/>
    </row>
    <row r="31" spans="1:89" s="115" customFormat="1">
      <c r="A31" s="117" t="s">
        <v>444</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39813</v>
      </c>
      <c r="AM31" s="1">
        <v>25569</v>
      </c>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c r="A32" s="145" t="s">
        <v>448</v>
      </c>
      <c r="E32" s="75">
        <f>股权价值增加表!E29</f>
        <v>416087382.25789797</v>
      </c>
      <c r="F32" s="75">
        <f>股权价值增加表!F29</f>
        <v>415252934.30371666</v>
      </c>
      <c r="G32" s="75">
        <f>股权价值增加表!G29</f>
        <v>407809430.18126714</v>
      </c>
      <c r="H32" s="75">
        <f>股权价值增加表!H29</f>
        <v>-126103.12692117406</v>
      </c>
      <c r="I32" s="75">
        <f>股权价值增加表!I29</f>
        <v>810521.66807323287</v>
      </c>
      <c r="J32" s="75">
        <f>股权价值增加表!J29</f>
        <v>-44156.34735128282</v>
      </c>
      <c r="K32" s="75">
        <f>股权价值增加表!K29</f>
        <v>-100929.65183946989</v>
      </c>
      <c r="L32" s="75">
        <f>股权价值增加表!L29</f>
        <v>-28258.970622039036</v>
      </c>
      <c r="M32" s="75">
        <f>股权价值增加表!M29</f>
        <v>3637091.0662532607</v>
      </c>
      <c r="N32" s="75">
        <f>股权价值增加表!N29</f>
        <v>209408.40014663441</v>
      </c>
      <c r="O32" s="75">
        <f>股权价值增加表!O29</f>
        <v>50489.618191710964</v>
      </c>
      <c r="P32" s="75">
        <f>股权价值增加表!P29</f>
        <v>2185.5213929305983</v>
      </c>
      <c r="Q32" s="75">
        <f>股权价值增加表!Q29</f>
        <v>1761577.2882311752</v>
      </c>
      <c r="R32" s="75">
        <f>股权价值增加表!R29</f>
        <v>578476.21736649936</v>
      </c>
      <c r="S32" s="75">
        <f>股权价值增加表!S29</f>
        <v>8763.7117277407269</v>
      </c>
      <c r="T32" s="75">
        <f>股权价值增加表!T29</f>
        <v>5284.1735842472617</v>
      </c>
      <c r="U32" s="75">
        <f>股权价值增加表!U29</f>
        <v>5815008.5420748489</v>
      </c>
      <c r="V32" s="75">
        <f>股权价值增加表!V29</f>
        <v>0</v>
      </c>
      <c r="W32" s="75">
        <f>股权价值增加表!W29</f>
        <v>0</v>
      </c>
      <c r="X32" s="75">
        <f>股权价值增加表!X29</f>
        <v>0</v>
      </c>
      <c r="Y32" s="75">
        <f>股权价值增加表!Y29</f>
        <v>13078561.932613788</v>
      </c>
      <c r="Z32" s="75">
        <f>股权价值增加表!Z29</f>
        <v>0</v>
      </c>
      <c r="AA32" s="75">
        <f>股权价值增加表!AA29</f>
        <v>0</v>
      </c>
      <c r="AB32" s="75">
        <f>股权价值增加表!AB29</f>
        <v>0</v>
      </c>
      <c r="AC32" s="75">
        <f>股权价值增加表!AC29</f>
        <v>5990570.5066120001</v>
      </c>
      <c r="AD32" s="75">
        <f>股权价值增加表!AD29</f>
        <v>0</v>
      </c>
      <c r="AE32" s="75">
        <f>股权价值增加表!AE29</f>
        <v>0</v>
      </c>
      <c r="AF32" s="75">
        <f>股权价值增加表!AF29</f>
        <v>0</v>
      </c>
      <c r="AG32" s="75">
        <f>股权价值增加表!AG29</f>
        <v>-1153453.9350519553</v>
      </c>
      <c r="AH32" s="75">
        <f>股权价值增加表!AH29</f>
        <v>0</v>
      </c>
      <c r="AI32" s="75">
        <f>股权价值增加表!AI29</f>
        <v>0</v>
      </c>
      <c r="AJ32" s="75">
        <f>股权价值增加表!AJ29</f>
        <v>0</v>
      </c>
      <c r="AK32" s="75">
        <f>股权价值增加表!AK29</f>
        <v>0</v>
      </c>
      <c r="AL32" s="75">
        <f>股权价值增加表!AL29</f>
        <v>0</v>
      </c>
      <c r="AM32" s="75" t="e">
        <f>股权价值增加表!AM29</f>
        <v>#DIV/0!</v>
      </c>
      <c r="AN32" s="75">
        <f>股权价值增加表!AN29</f>
        <v>0</v>
      </c>
      <c r="AO32" s="75">
        <f>股权价值增加表!AO29</f>
        <v>119089508.06134236</v>
      </c>
      <c r="AP32" s="75">
        <f>股权价值增加表!AP29</f>
        <v>111220059.75915967</v>
      </c>
      <c r="AQ32" s="75">
        <f>股权价值增加表!AQ29</f>
        <v>-24640381.807881013</v>
      </c>
      <c r="AR32" s="75">
        <f>股权价值增加表!AR29</f>
        <v>-104538696.64438292</v>
      </c>
      <c r="AS32" s="75">
        <f>股权价值增加表!AS29</f>
        <v>-37142187.347179033</v>
      </c>
      <c r="AT32" s="75">
        <f>股权价值增加表!AT29</f>
        <v>240402635.76603717</v>
      </c>
      <c r="AU32" s="75">
        <f>股权价值增加表!AU29</f>
        <v>178332911.84566233</v>
      </c>
      <c r="AV32" s="75">
        <f>股权价值增加表!AV29</f>
        <v>211417659.59140229</v>
      </c>
      <c r="AW32" s="75">
        <f>股权价值增加表!AW29</f>
        <v>161654636.18926167</v>
      </c>
      <c r="AX32" s="75">
        <f>股权价值增加表!AX29</f>
        <v>139895513.41430658</v>
      </c>
      <c r="AY32" s="75">
        <f>股权价值增加表!AY29</f>
        <v>88713158.048839405</v>
      </c>
      <c r="AZ32" s="75">
        <f>股权价值增加表!AZ29</f>
        <v>39568891.6881501</v>
      </c>
      <c r="BA32" s="75">
        <f>股权价值增加表!BA29</f>
        <v>126869365.65820806</v>
      </c>
      <c r="BB32" s="75">
        <f>股权价值增加表!BB29</f>
        <v>106221576.62385294</v>
      </c>
      <c r="BC32" s="75">
        <f>股权价值增加表!BC29</f>
        <v>80499927.140204594</v>
      </c>
      <c r="BD32" s="75">
        <f>股权价值增加表!BD29</f>
        <v>39055901.756334856</v>
      </c>
      <c r="BE32" s="75">
        <f>股权价值增加表!BE29</f>
        <v>272329971.48474157</v>
      </c>
      <c r="BF32" s="75">
        <f>股权价值增加表!BF29</f>
        <v>163444408.81963122</v>
      </c>
      <c r="BG32" s="75">
        <f>股权价值增加表!BG29</f>
        <v>125272917.12674665</v>
      </c>
      <c r="BH32" s="75">
        <f>股权价值增加表!BH29</f>
        <v>59728834.592374042</v>
      </c>
      <c r="BI32" s="75">
        <f>股权价值增加表!BI29</f>
        <v>58009031.737146027</v>
      </c>
      <c r="BJ32" s="75">
        <f>股权价值增加表!BJ29</f>
        <v>5219656.7107440811</v>
      </c>
      <c r="BK32" s="75">
        <f>股权价值增加表!BK29</f>
        <v>6493913.7032918483</v>
      </c>
      <c r="BL32" s="75">
        <f>股权价值增加表!BL29</f>
        <v>16787544.129460238</v>
      </c>
      <c r="BM32" s="75">
        <f>股权价值增加表!BM29</f>
        <v>18977619145.26376</v>
      </c>
      <c r="BN32" s="75">
        <f>股权价值增加表!BN29</f>
        <v>121462795.23045386</v>
      </c>
      <c r="BO32" s="75">
        <f>股权价值增加表!BO29</f>
        <v>52983553.36609599</v>
      </c>
      <c r="BP32" s="75">
        <f>股权价值增加表!BP29</f>
        <v>6063150.3056040443</v>
      </c>
      <c r="BQ32" s="75">
        <f>股权价值增加表!BQ29</f>
        <v>-24923497.541117225</v>
      </c>
      <c r="BR32" s="75">
        <f>股权价值增加表!BR29</f>
        <v>-33402148.388344735</v>
      </c>
      <c r="BS32" s="75">
        <f>股权价值增加表!BS29</f>
        <v>27894247.009470526</v>
      </c>
      <c r="BT32" s="75">
        <f>股权价值增加表!BT29</f>
        <v>17608274.363552656</v>
      </c>
      <c r="BU32" s="75">
        <f>股权价值增加表!BU29</f>
        <v>39348877.123848625</v>
      </c>
      <c r="BV32" s="75">
        <f>股权价值增加表!BV29</f>
        <v>7868173.5126770902</v>
      </c>
      <c r="BW32" s="75">
        <f>股权价值增加表!BW29</f>
        <v>35714260.447295733</v>
      </c>
      <c r="BX32" s="75">
        <f>股权价值增加表!BX29</f>
        <v>16384998.855056154</v>
      </c>
      <c r="BY32" s="75">
        <f>股权价值增加表!BY29</f>
        <v>49202136.470854104</v>
      </c>
      <c r="BZ32" s="75">
        <f>股权价值增加表!BZ29</f>
        <v>23221000</v>
      </c>
      <c r="CA32" s="75">
        <f>股权价值增加表!CA29</f>
        <v>102681855.94377863</v>
      </c>
      <c r="CB32" s="75">
        <f>股权价值增加表!CB29</f>
        <v>105277712.02554917</v>
      </c>
      <c r="CC32" s="75">
        <f>股权价值增加表!CC29</f>
        <v>99578333.366891503</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c r="A33" s="146" t="s">
        <v>449</v>
      </c>
    </row>
    <row r="34" spans="1:89" s="75" customFormat="1">
      <c r="A34" s="145" t="s">
        <v>450</v>
      </c>
      <c r="E34" s="75">
        <f>资产资本表!E4</f>
        <v>481128456.18000001</v>
      </c>
      <c r="F34" s="75">
        <f>资产资本表!F4</f>
        <v>751423458.69000006</v>
      </c>
      <c r="G34" s="75">
        <f>资产资本表!G4</f>
        <v>708006214.20000005</v>
      </c>
      <c r="H34" s="75">
        <f>资产资本表!H4</f>
        <v>577252247.96000004</v>
      </c>
      <c r="I34" s="75">
        <f>资产资本表!I4</f>
        <v>567009068.22000003</v>
      </c>
      <c r="J34" s="75">
        <f>资产资本表!J4</f>
        <v>429597461.94999999</v>
      </c>
      <c r="K34" s="75">
        <f>资产资本表!K4</f>
        <v>380946066.27999997</v>
      </c>
      <c r="L34" s="75">
        <f>资产资本表!L4</f>
        <v>406594807.25999999</v>
      </c>
      <c r="M34" s="75">
        <f>资产资本表!M4</f>
        <v>532931549.04000002</v>
      </c>
      <c r="N34" s="75">
        <f>资产资本表!N4</f>
        <v>392312468.94</v>
      </c>
      <c r="O34" s="75">
        <f>资产资本表!O4</f>
        <v>182554966.77000001</v>
      </c>
      <c r="P34" s="75">
        <f>资产资本表!P4</f>
        <v>277378734.86000001</v>
      </c>
      <c r="Q34" s="75">
        <f>资产资本表!Q4</f>
        <v>289352955</v>
      </c>
      <c r="R34" s="75">
        <f>资产资本表!R4</f>
        <v>228581798.34999999</v>
      </c>
      <c r="S34" s="75">
        <f>资产资本表!S4</f>
        <v>76264788.909999996</v>
      </c>
      <c r="T34" s="75">
        <f>资产资本表!T4</f>
        <v>81609545.260000005</v>
      </c>
      <c r="U34" s="75">
        <f>资产资本表!U4</f>
        <v>117019801.84</v>
      </c>
      <c r="V34" s="75">
        <f>资产资本表!V4</f>
        <v>288407000.22000003</v>
      </c>
      <c r="W34" s="75">
        <f>资产资本表!W4</f>
        <v>395385802.33999997</v>
      </c>
      <c r="X34" s="75">
        <f>资产资本表!X4</f>
        <v>415229005.37</v>
      </c>
      <c r="Y34" s="75">
        <f>资产资本表!Y4</f>
        <v>446558631.75</v>
      </c>
      <c r="Z34" s="75">
        <f>资产资本表!Z4</f>
        <v>445462625.06999999</v>
      </c>
      <c r="AA34" s="75">
        <f>资产资本表!AA4</f>
        <v>448243718.80000001</v>
      </c>
      <c r="AB34" s="75">
        <f>资产资本表!AB4</f>
        <v>475663134.92000002</v>
      </c>
      <c r="AC34" s="75">
        <f>资产资本表!AC4</f>
        <v>543271781.39999998</v>
      </c>
      <c r="AD34" s="75">
        <f>资产资本表!AD4</f>
        <v>583991549.62</v>
      </c>
      <c r="AE34" s="75">
        <f>资产资本表!AE4</f>
        <v>61509212.060000002</v>
      </c>
      <c r="AF34" s="75">
        <f>资产资本表!AF4</f>
        <v>71515655.140000001</v>
      </c>
      <c r="AG34" s="75">
        <f>资产资本表!AG4</f>
        <v>80573415.659999996</v>
      </c>
      <c r="AH34" s="75">
        <f>资产资本表!AH4</f>
        <v>55436295.049999997</v>
      </c>
      <c r="AI34" s="75">
        <f>资产资本表!AI4</f>
        <v>17079246.809999999</v>
      </c>
      <c r="AJ34" s="75">
        <f>资产资本表!AJ4</f>
        <v>0</v>
      </c>
      <c r="AK34" s="75">
        <f>资产资本表!AK4</f>
        <v>0</v>
      </c>
      <c r="AL34" s="75">
        <f>资产资本表!AL4</f>
        <v>0</v>
      </c>
      <c r="AM34" s="75">
        <f>资产资本表!AM4</f>
        <v>0</v>
      </c>
      <c r="AN34" s="75">
        <f>资产资本表!AN4</f>
        <v>0</v>
      </c>
      <c r="AO34" s="75">
        <f>资产资本表!AO4</f>
        <v>0</v>
      </c>
      <c r="AP34" s="75">
        <f>资产资本表!AP4</f>
        <v>0</v>
      </c>
      <c r="AQ34" s="75">
        <f>资产资本表!AQ4</f>
        <v>0</v>
      </c>
      <c r="AR34" s="75">
        <f>资产资本表!AR4</f>
        <v>0</v>
      </c>
      <c r="AS34" s="75">
        <f>资产资本表!AS4</f>
        <v>0</v>
      </c>
      <c r="AT34" s="75">
        <f>资产资本表!AT4</f>
        <v>0</v>
      </c>
      <c r="AU34" s="75">
        <f>资产资本表!AU4</f>
        <v>0</v>
      </c>
      <c r="AV34" s="75">
        <f>资产资本表!AV4</f>
        <v>0</v>
      </c>
      <c r="AW34" s="75">
        <f>资产资本表!AW4</f>
        <v>0</v>
      </c>
      <c r="AX34" s="75">
        <f>资产资本表!AX4</f>
        <v>0</v>
      </c>
      <c r="AY34" s="75">
        <f>资产资本表!AY4</f>
        <v>0</v>
      </c>
      <c r="AZ34" s="75">
        <f>资产资本表!AZ4</f>
        <v>0</v>
      </c>
      <c r="BA34" s="75">
        <f>资产资本表!BA4</f>
        <v>0</v>
      </c>
      <c r="BB34" s="75">
        <f>资产资本表!BB4</f>
        <v>0</v>
      </c>
      <c r="BC34" s="75">
        <f>资产资本表!BC4</f>
        <v>0</v>
      </c>
      <c r="BD34" s="75">
        <f>资产资本表!BD4</f>
        <v>0</v>
      </c>
      <c r="BE34" s="75">
        <f>资产资本表!BE4</f>
        <v>0</v>
      </c>
      <c r="BF34" s="75">
        <f>资产资本表!BF4</f>
        <v>0</v>
      </c>
      <c r="BG34" s="75">
        <f>资产资本表!BG4</f>
        <v>0</v>
      </c>
      <c r="BH34" s="75">
        <f>资产资本表!BH4</f>
        <v>0</v>
      </c>
      <c r="BI34" s="75">
        <f>资产资本表!BI4</f>
        <v>0</v>
      </c>
      <c r="BJ34" s="75">
        <f>资产资本表!BJ4</f>
        <v>0</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c r="A35" s="145" t="s">
        <v>451</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c r="A36" s="145" t="s">
        <v>452</v>
      </c>
      <c r="E36" s="75">
        <f>资产资本表!E13</f>
        <v>0</v>
      </c>
      <c r="F36" s="75">
        <f>资产资本表!F13</f>
        <v>0</v>
      </c>
      <c r="G36" s="75">
        <f>资产资本表!G13</f>
        <v>0</v>
      </c>
      <c r="H36" s="75">
        <f>资产资本表!H13</f>
        <v>0</v>
      </c>
      <c r="I36" s="75">
        <f>资产资本表!I13</f>
        <v>0</v>
      </c>
      <c r="J36" s="75">
        <f>资产资本表!J13</f>
        <v>0</v>
      </c>
      <c r="K36" s="75">
        <f>资产资本表!K13</f>
        <v>0</v>
      </c>
      <c r="L36" s="75">
        <f>资产资本表!L13</f>
        <v>0</v>
      </c>
      <c r="M36" s="75">
        <f>资产资本表!M13</f>
        <v>0</v>
      </c>
      <c r="N36" s="75">
        <f>资产资本表!N13</f>
        <v>0</v>
      </c>
      <c r="O36" s="75">
        <f>资产资本表!O13</f>
        <v>0</v>
      </c>
      <c r="P36" s="75">
        <f>资产资本表!P13</f>
        <v>0</v>
      </c>
      <c r="Q36" s="75">
        <f>资产资本表!Q13</f>
        <v>0</v>
      </c>
      <c r="R36" s="75">
        <f>资产资本表!R13</f>
        <v>0</v>
      </c>
      <c r="S36" s="75">
        <f>资产资本表!S13</f>
        <v>0</v>
      </c>
      <c r="T36" s="75">
        <f>资产资本表!T13</f>
        <v>0</v>
      </c>
      <c r="U36" s="75">
        <f>资产资本表!U13</f>
        <v>0</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c r="A37" s="145" t="s">
        <v>453</v>
      </c>
      <c r="E37" s="75">
        <f>资产资本表!E11</f>
        <v>88751671.209999993</v>
      </c>
      <c r="F37" s="75">
        <f>资产资本表!F11</f>
        <v>73757719.840000004</v>
      </c>
      <c r="G37" s="75">
        <f>资产资本表!G11</f>
        <v>94000000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c r="A38" s="145" t="s">
        <v>454</v>
      </c>
      <c r="E38" s="75">
        <f>资产资本表!E8</f>
        <v>431548293.67000002</v>
      </c>
      <c r="F38" s="75">
        <f>资产资本表!F8</f>
        <v>415325000</v>
      </c>
      <c r="G38" s="75">
        <f>资产资本表!G8</f>
        <v>333325000</v>
      </c>
      <c r="H38" s="75">
        <f>资产资本表!H8</f>
        <v>274750000</v>
      </c>
      <c r="I38" s="75">
        <f>资产资本表!I8</f>
        <v>231150000</v>
      </c>
      <c r="J38" s="75">
        <f>资产资本表!J8</f>
        <v>207100000</v>
      </c>
      <c r="K38" s="75">
        <f>资产资本表!K8</f>
        <v>177100000</v>
      </c>
      <c r="L38" s="75">
        <f>资产资本表!L8</f>
        <v>31150000</v>
      </c>
      <c r="M38" s="75">
        <f>资产资本表!M8</f>
        <v>13150000</v>
      </c>
      <c r="N38" s="75">
        <f>资产资本表!N8</f>
        <v>11400000</v>
      </c>
      <c r="O38" s="75">
        <f>资产资本表!O8</f>
        <v>9900000</v>
      </c>
      <c r="P38" s="75">
        <f>资产资本表!P8</f>
        <v>9900000</v>
      </c>
      <c r="Q38" s="75">
        <f>资产资本表!Q8</f>
        <v>6800000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c r="A39" s="145" t="s">
        <v>455</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c r="A40" s="145" t="s">
        <v>456</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c r="A41" s="145" t="s">
        <v>457</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c r="A42" s="145" t="s">
        <v>458</v>
      </c>
      <c r="E42" s="75">
        <f>资产资本表!E6</f>
        <v>10270961.24</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c r="A43" s="146" t="s">
        <v>459</v>
      </c>
      <c r="E43" s="75">
        <f>SUM(E34:E42)</f>
        <v>1011699382.3</v>
      </c>
      <c r="F43" s="75">
        <f t="shared" ref="F43:BQ43" si="14">SUM(F34:F42)</f>
        <v>1240506178.5300002</v>
      </c>
      <c r="G43" s="75">
        <f t="shared" si="14"/>
        <v>1135331214.2</v>
      </c>
      <c r="H43" s="75">
        <f t="shared" si="14"/>
        <v>852002247.96000004</v>
      </c>
      <c r="I43" s="75">
        <f t="shared" si="14"/>
        <v>798159068.22000003</v>
      </c>
      <c r="J43" s="75">
        <f t="shared" si="14"/>
        <v>636697461.95000005</v>
      </c>
      <c r="K43" s="75">
        <f t="shared" si="14"/>
        <v>558046066.27999997</v>
      </c>
      <c r="L43" s="75">
        <f t="shared" si="14"/>
        <v>437744807.25999999</v>
      </c>
      <c r="M43" s="75">
        <f t="shared" si="14"/>
        <v>546081549.03999996</v>
      </c>
      <c r="N43" s="75">
        <f t="shared" si="14"/>
        <v>403712468.94</v>
      </c>
      <c r="O43" s="75">
        <f t="shared" si="14"/>
        <v>192454966.77000001</v>
      </c>
      <c r="P43" s="75">
        <f t="shared" si="14"/>
        <v>287278734.86000001</v>
      </c>
      <c r="Q43" s="75">
        <f t="shared" si="14"/>
        <v>296152955</v>
      </c>
      <c r="R43" s="75">
        <f t="shared" si="14"/>
        <v>228581798.34999999</v>
      </c>
      <c r="S43" s="75">
        <f t="shared" si="14"/>
        <v>76264788.909999996</v>
      </c>
      <c r="T43" s="75">
        <f t="shared" si="14"/>
        <v>81609545.260000005</v>
      </c>
      <c r="U43" s="75">
        <f t="shared" si="14"/>
        <v>117019801.84</v>
      </c>
      <c r="V43" s="75">
        <f t="shared" si="14"/>
        <v>288407000.22000003</v>
      </c>
      <c r="W43" s="75">
        <f t="shared" si="14"/>
        <v>395385802.33999997</v>
      </c>
      <c r="X43" s="75">
        <f t="shared" si="14"/>
        <v>415229005.37</v>
      </c>
      <c r="Y43" s="75">
        <f t="shared" si="14"/>
        <v>446558631.75</v>
      </c>
      <c r="Z43" s="75">
        <f t="shared" si="14"/>
        <v>445462625.06999999</v>
      </c>
      <c r="AA43" s="75">
        <f t="shared" si="14"/>
        <v>448243718.80000001</v>
      </c>
      <c r="AB43" s="75">
        <f t="shared" si="14"/>
        <v>475663134.92000002</v>
      </c>
      <c r="AC43" s="75">
        <f t="shared" si="14"/>
        <v>543271781.39999998</v>
      </c>
      <c r="AD43" s="75">
        <f t="shared" si="14"/>
        <v>583991549.62</v>
      </c>
      <c r="AE43" s="75">
        <f t="shared" si="14"/>
        <v>61509212.060000002</v>
      </c>
      <c r="AF43" s="75">
        <f t="shared" si="14"/>
        <v>71515655.140000001</v>
      </c>
      <c r="AG43" s="75">
        <f t="shared" si="14"/>
        <v>80573415.659999996</v>
      </c>
      <c r="AH43" s="75">
        <f t="shared" si="14"/>
        <v>55436295.049999997</v>
      </c>
      <c r="AI43" s="75">
        <f t="shared" si="14"/>
        <v>17079246.809999999</v>
      </c>
      <c r="AJ43" s="75">
        <f t="shared" si="14"/>
        <v>0</v>
      </c>
      <c r="AK43" s="75">
        <f t="shared" si="14"/>
        <v>0</v>
      </c>
      <c r="AL43" s="75">
        <f t="shared" si="14"/>
        <v>0</v>
      </c>
      <c r="AM43" s="75">
        <f t="shared" si="14"/>
        <v>0</v>
      </c>
      <c r="AN43" s="75">
        <f t="shared" si="14"/>
        <v>0</v>
      </c>
      <c r="AO43" s="75">
        <f t="shared" si="14"/>
        <v>0</v>
      </c>
      <c r="AP43" s="75">
        <f t="shared" si="14"/>
        <v>0</v>
      </c>
      <c r="AQ43" s="75">
        <f t="shared" si="14"/>
        <v>0</v>
      </c>
      <c r="AR43" s="75">
        <f t="shared" si="14"/>
        <v>0</v>
      </c>
      <c r="AS43" s="75">
        <f t="shared" si="14"/>
        <v>0</v>
      </c>
      <c r="AT43" s="75">
        <f t="shared" si="14"/>
        <v>0</v>
      </c>
      <c r="AU43" s="75">
        <f t="shared" si="14"/>
        <v>0</v>
      </c>
      <c r="AV43" s="75">
        <f t="shared" si="14"/>
        <v>0</v>
      </c>
      <c r="AW43" s="75">
        <f t="shared" si="14"/>
        <v>0</v>
      </c>
      <c r="AX43" s="75">
        <f t="shared" si="14"/>
        <v>0</v>
      </c>
      <c r="AY43" s="75">
        <f t="shared" si="14"/>
        <v>0</v>
      </c>
      <c r="AZ43" s="75">
        <f t="shared" si="14"/>
        <v>0</v>
      </c>
      <c r="BA43" s="75">
        <f t="shared" si="14"/>
        <v>0</v>
      </c>
      <c r="BB43" s="75">
        <f t="shared" si="14"/>
        <v>0</v>
      </c>
      <c r="BC43" s="75">
        <f t="shared" si="14"/>
        <v>0</v>
      </c>
      <c r="BD43" s="75">
        <f t="shared" si="14"/>
        <v>0</v>
      </c>
      <c r="BE43" s="75">
        <f t="shared" si="14"/>
        <v>0</v>
      </c>
      <c r="BF43" s="75">
        <f t="shared" si="14"/>
        <v>0</v>
      </c>
      <c r="BG43" s="75">
        <f t="shared" si="14"/>
        <v>0</v>
      </c>
      <c r="BH43" s="75">
        <f t="shared" si="14"/>
        <v>0</v>
      </c>
      <c r="BI43" s="75">
        <f t="shared" si="14"/>
        <v>0</v>
      </c>
      <c r="BJ43" s="75">
        <f t="shared" si="14"/>
        <v>0</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c r="A44" s="143" t="s">
        <v>460</v>
      </c>
      <c r="E44" s="109">
        <f>E32/E43</f>
        <v>0.41127571049016937</v>
      </c>
      <c r="F44" s="109">
        <f t="shared" ref="F44:BQ44" si="16">F32/F43</f>
        <v>0.33474475298123174</v>
      </c>
      <c r="G44" s="109">
        <f t="shared" si="16"/>
        <v>0.35919864184182237</v>
      </c>
      <c r="H44" s="109">
        <f t="shared" si="16"/>
        <v>-1.4800797441921111E-4</v>
      </c>
      <c r="I44" s="109">
        <f t="shared" si="16"/>
        <v>1.0154888923091523E-3</v>
      </c>
      <c r="J44" s="109">
        <f t="shared" si="16"/>
        <v>-6.9352164866569584E-5</v>
      </c>
      <c r="K44" s="109">
        <f t="shared" si="16"/>
        <v>-1.808625809555091E-4</v>
      </c>
      <c r="L44" s="109">
        <f t="shared" si="16"/>
        <v>-6.4555810036724269E-5</v>
      </c>
      <c r="M44" s="109">
        <f t="shared" si="16"/>
        <v>6.660344178716881E-3</v>
      </c>
      <c r="N44" s="109">
        <f t="shared" si="16"/>
        <v>5.1870679321959913E-4</v>
      </c>
      <c r="O44" s="109">
        <f t="shared" si="16"/>
        <v>2.6234510357973944E-4</v>
      </c>
      <c r="P44" s="109">
        <f t="shared" si="16"/>
        <v>7.6076685383471624E-6</v>
      </c>
      <c r="Q44" s="109">
        <f t="shared" si="16"/>
        <v>5.9482009498476058E-3</v>
      </c>
      <c r="R44" s="109">
        <f t="shared" si="16"/>
        <v>2.5307186378888658E-3</v>
      </c>
      <c r="S44" s="109">
        <f t="shared" si="16"/>
        <v>1.1491163685095588E-4</v>
      </c>
      <c r="T44" s="109">
        <f t="shared" si="16"/>
        <v>6.4749455071859589E-5</v>
      </c>
      <c r="U44" s="109">
        <f t="shared" si="16"/>
        <v>4.9692517425603329E-2</v>
      </c>
      <c r="V44" s="109">
        <f t="shared" si="16"/>
        <v>0</v>
      </c>
      <c r="W44" s="109">
        <f t="shared" si="16"/>
        <v>0</v>
      </c>
      <c r="X44" s="109">
        <f t="shared" si="16"/>
        <v>0</v>
      </c>
      <c r="Y44" s="109">
        <f t="shared" si="16"/>
        <v>2.9287446267382083E-2</v>
      </c>
      <c r="Z44" s="109">
        <f t="shared" si="16"/>
        <v>0</v>
      </c>
      <c r="AA44" s="109">
        <f t="shared" si="16"/>
        <v>0</v>
      </c>
      <c r="AB44" s="109">
        <f t="shared" si="16"/>
        <v>0</v>
      </c>
      <c r="AC44" s="109">
        <f t="shared" si="16"/>
        <v>1.1026839073390533E-2</v>
      </c>
      <c r="AD44" s="109">
        <f t="shared" si="16"/>
        <v>0</v>
      </c>
      <c r="AE44" s="109">
        <f t="shared" si="16"/>
        <v>0</v>
      </c>
      <c r="AF44" s="109">
        <f t="shared" si="16"/>
        <v>0</v>
      </c>
      <c r="AG44" s="109">
        <f t="shared" si="16"/>
        <v>-1.4315564576773651E-2</v>
      </c>
      <c r="AH44" s="109">
        <f t="shared" si="16"/>
        <v>0</v>
      </c>
      <c r="AI44" s="109">
        <f t="shared" si="16"/>
        <v>0</v>
      </c>
      <c r="AJ44" s="109" t="e">
        <f t="shared" si="16"/>
        <v>#DIV/0!</v>
      </c>
      <c r="AK44" s="109" t="e">
        <f t="shared" si="16"/>
        <v>#DIV/0!</v>
      </c>
      <c r="AL44" s="109" t="e">
        <f t="shared" si="16"/>
        <v>#DIV/0!</v>
      </c>
      <c r="AM44" s="109" t="e">
        <f t="shared" si="16"/>
        <v>#DIV/0!</v>
      </c>
      <c r="AN44" s="109" t="e">
        <f t="shared" si="16"/>
        <v>#DIV/0!</v>
      </c>
      <c r="AO44" s="109" t="e">
        <f t="shared" si="16"/>
        <v>#DIV/0!</v>
      </c>
      <c r="AP44" s="109" t="e">
        <f t="shared" si="16"/>
        <v>#DIV/0!</v>
      </c>
      <c r="AQ44" s="109" t="e">
        <f t="shared" si="16"/>
        <v>#DIV/0!</v>
      </c>
      <c r="AR44" s="109" t="e">
        <f t="shared" si="16"/>
        <v>#DIV/0!</v>
      </c>
      <c r="AS44" s="109" t="e">
        <f t="shared" si="16"/>
        <v>#DIV/0!</v>
      </c>
      <c r="AT44" s="109" t="e">
        <f t="shared" si="16"/>
        <v>#DIV/0!</v>
      </c>
      <c r="AU44" s="109" t="e">
        <f t="shared" si="16"/>
        <v>#DIV/0!</v>
      </c>
      <c r="AV44" s="109" t="e">
        <f t="shared" si="16"/>
        <v>#DIV/0!</v>
      </c>
      <c r="AW44" s="109" t="e">
        <f t="shared" si="16"/>
        <v>#DIV/0!</v>
      </c>
      <c r="AX44" s="109" t="e">
        <f t="shared" si="16"/>
        <v>#DIV/0!</v>
      </c>
      <c r="AY44" s="109" t="e">
        <f t="shared" si="16"/>
        <v>#DIV/0!</v>
      </c>
      <c r="AZ44" s="109" t="e">
        <f t="shared" si="16"/>
        <v>#DIV/0!</v>
      </c>
      <c r="BA44" s="109" t="e">
        <f t="shared" si="16"/>
        <v>#DIV/0!</v>
      </c>
      <c r="BB44" s="109" t="e">
        <f t="shared" si="16"/>
        <v>#DIV/0!</v>
      </c>
      <c r="BC44" s="109" t="e">
        <f t="shared" si="16"/>
        <v>#DIV/0!</v>
      </c>
      <c r="BD44" s="109" t="e">
        <f t="shared" si="16"/>
        <v>#DIV/0!</v>
      </c>
      <c r="BE44" s="109" t="e">
        <f t="shared" si="16"/>
        <v>#DIV/0!</v>
      </c>
      <c r="BF44" s="109" t="e">
        <f t="shared" si="16"/>
        <v>#DIV/0!</v>
      </c>
      <c r="BG44" s="109" t="e">
        <f t="shared" si="16"/>
        <v>#DIV/0!</v>
      </c>
      <c r="BH44" s="109" t="e">
        <f t="shared" si="16"/>
        <v>#DIV/0!</v>
      </c>
      <c r="BI44" s="109" t="e">
        <f t="shared" si="16"/>
        <v>#DIV/0!</v>
      </c>
      <c r="BJ44" s="109" t="e">
        <f t="shared" si="16"/>
        <v>#DIV/0!</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c r="A45" s="285" t="s">
        <v>693</v>
      </c>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c r="AA45" s="284"/>
      <c r="AB45" s="284"/>
      <c r="AC45" s="284"/>
      <c r="AD45" s="284"/>
      <c r="AE45" s="284"/>
      <c r="AF45" s="284"/>
      <c r="AG45" s="284"/>
    </row>
    <row r="46" spans="1:89" s="57" customFormat="1">
      <c r="A46" s="57" t="s">
        <v>694</v>
      </c>
      <c r="E46" s="57">
        <f>E43/资产资本表!E70</f>
        <v>0.18638287154125796</v>
      </c>
      <c r="F46" s="57">
        <f>F43/资产资本表!F70</f>
        <v>0.22755163151514307</v>
      </c>
      <c r="G46" s="57">
        <f>G43/资产资本表!G70</f>
        <v>0.20981251843685791</v>
      </c>
      <c r="H46" s="57">
        <f>H43/资产资本表!H70</f>
        <v>0.17369774547664296</v>
      </c>
      <c r="I46" s="57">
        <f>I43/资产资本表!I70</f>
        <v>0.16765007709960444</v>
      </c>
      <c r="J46" s="57">
        <f>J43/资产资本表!J70</f>
        <v>0.13567650396002889</v>
      </c>
      <c r="K46" s="57">
        <f>K43/资产资本表!K70</f>
        <v>0.11842347713281993</v>
      </c>
      <c r="L46" s="57">
        <f>L43/资产资本表!L70</f>
        <v>9.7111201547851397E-2</v>
      </c>
      <c r="M46" s="57">
        <f>M43/资产资本表!M70</f>
        <v>0.12368891487980024</v>
      </c>
      <c r="N46" s="57">
        <f>N43/资产资本表!N70</f>
        <v>9.5039961657603339E-2</v>
      </c>
      <c r="O46" s="57">
        <f>O43/资产资本表!O70</f>
        <v>4.9613817520612134E-2</v>
      </c>
      <c r="P46" s="57">
        <f>P43/资产资本表!P70</f>
        <v>7.5227710261018252E-2</v>
      </c>
      <c r="Q46" s="57">
        <f>Q43/资产资本表!Q70</f>
        <v>7.9431481421302449E-2</v>
      </c>
      <c r="R46" s="57">
        <f>R43/资产资本表!R70</f>
        <v>6.3691191035259803E-2</v>
      </c>
      <c r="S46" s="57">
        <f>S43/资产资本表!S70</f>
        <v>4.4010935965926021E-2</v>
      </c>
      <c r="T46" s="57">
        <f>T43/资产资本表!T70</f>
        <v>4.8339743336485178E-2</v>
      </c>
      <c r="U46" s="57">
        <f>U43/资产资本表!U70</f>
        <v>7.0737596523572019E-2</v>
      </c>
      <c r="V46" s="57">
        <f>V43/资产资本表!V70</f>
        <v>0.17669045423803903</v>
      </c>
      <c r="W46" s="57">
        <f>W43/资产资本表!W70</f>
        <v>0.23257873459619116</v>
      </c>
      <c r="X46" s="57">
        <f>X43/资产资本表!X70</f>
        <v>0.2422478717447363</v>
      </c>
      <c r="Y46" s="57">
        <f>Y43/资产资本表!Y70</f>
        <v>0.2650391163530022</v>
      </c>
      <c r="Z46" s="57">
        <f>Z43/资产资本表!Z70</f>
        <v>0.26798926534500078</v>
      </c>
      <c r="AA46" s="57">
        <f>AA43/资产资本表!AA70</f>
        <v>0.2785141387037115</v>
      </c>
      <c r="AB46" s="57">
        <f>AB43/资产资本表!AB70</f>
        <v>0.30257986446190432</v>
      </c>
      <c r="AC46" s="57">
        <f>AC43/资产资本表!AC70</f>
        <v>0.35075869634239426</v>
      </c>
      <c r="AD46" s="57">
        <f>AD43/资产资本表!AD70</f>
        <v>0.3800827348027187</v>
      </c>
      <c r="AE46" s="57">
        <f>AE43/资产资本表!AE70</f>
        <v>6.6553492759276162E-2</v>
      </c>
      <c r="AF46" s="57">
        <f>AF43/资产资本表!AF70</f>
        <v>8.7391202667592732E-2</v>
      </c>
      <c r="AG46" s="57">
        <f>AG43/资产资本表!AG70</f>
        <v>0.11057251344552121</v>
      </c>
      <c r="AH46" s="57">
        <f>AH43/资产资本表!AH70</f>
        <v>0.11828528968639776</v>
      </c>
      <c r="AI46" s="57">
        <f>AI43/资产资本表!AI70</f>
        <v>5.3294528013135327E-2</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c r="A48" s="117" t="s">
        <v>461</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39813</v>
      </c>
      <c r="AM48" s="1">
        <v>25569</v>
      </c>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c r="A49" s="145" t="s">
        <v>462</v>
      </c>
      <c r="E49" s="75">
        <f>利润表!E4</f>
        <v>3490821643.5799999</v>
      </c>
      <c r="F49" s="75">
        <f>利润表!F4</f>
        <v>2461092792.1799998</v>
      </c>
      <c r="G49" s="75">
        <f>利润表!G4</f>
        <v>1632933466.8</v>
      </c>
      <c r="H49" s="75">
        <f>利润表!H4</f>
        <v>858461043.73000002</v>
      </c>
      <c r="I49" s="75">
        <f>利润表!I4</f>
        <v>3455902430.25</v>
      </c>
      <c r="J49" s="75">
        <f>利润表!J4</f>
        <v>2541940807.8800001</v>
      </c>
      <c r="K49" s="75">
        <f>利润表!K4</f>
        <v>1698613370.6300001</v>
      </c>
      <c r="L49" s="75">
        <f>利润表!L4</f>
        <v>835124707.30999994</v>
      </c>
      <c r="M49" s="75">
        <f>利润表!M4</f>
        <v>3025827440.4899998</v>
      </c>
      <c r="N49" s="75">
        <f>利润表!N4</f>
        <v>2193259400.0599999</v>
      </c>
      <c r="O49" s="75">
        <f>利润表!O4</f>
        <v>1255221897.5799999</v>
      </c>
      <c r="P49" s="75">
        <f>利润表!P4</f>
        <v>496966166.79000002</v>
      </c>
      <c r="Q49" s="75">
        <f>利润表!Q4</f>
        <v>1712230060.6500001</v>
      </c>
      <c r="R49" s="75">
        <f>利润表!R4</f>
        <v>1124171914.4000001</v>
      </c>
      <c r="S49" s="75">
        <f>利润表!S4</f>
        <v>730223749.21000004</v>
      </c>
      <c r="T49" s="75">
        <f>利润表!T4</f>
        <v>327881464.25</v>
      </c>
      <c r="U49" s="75">
        <f>利润表!U4</f>
        <v>1227431183.24</v>
      </c>
      <c r="V49" s="75">
        <f>利润表!V4</f>
        <v>884232437.92999995</v>
      </c>
      <c r="W49" s="75">
        <f>利润表!W4</f>
        <v>577935690.87</v>
      </c>
      <c r="X49" s="75">
        <f>利润表!X4</f>
        <v>261395751.71000001</v>
      </c>
      <c r="Y49" s="75">
        <f>利润表!Y4</f>
        <v>928899703.54999995</v>
      </c>
      <c r="Z49" s="75">
        <f>利润表!Z4</f>
        <v>693511863.35000002</v>
      </c>
      <c r="AA49" s="75">
        <f>利润表!AA4</f>
        <v>466620229.04000002</v>
      </c>
      <c r="AB49" s="75">
        <f>利润表!AB4</f>
        <v>228839761.06</v>
      </c>
      <c r="AC49" s="75">
        <f>利润表!AC4</f>
        <v>998726425.88999999</v>
      </c>
      <c r="AD49" s="75">
        <f>利润表!AD4</f>
        <v>745992572.11000001</v>
      </c>
      <c r="AE49" s="75">
        <f>利润表!AE4</f>
        <v>522702359.55000001</v>
      </c>
      <c r="AF49" s="75">
        <f>利润表!AF4</f>
        <v>233658736.02000001</v>
      </c>
      <c r="AG49" s="75">
        <f>利润表!AG4</f>
        <v>907986860.39999998</v>
      </c>
      <c r="AH49" s="75">
        <f>利润表!AH4</f>
        <v>662975139.73000002</v>
      </c>
      <c r="AI49" s="75">
        <f>利润表!AI4</f>
        <v>429193147.08999997</v>
      </c>
      <c r="AJ49" s="75">
        <f>利润表!AJ4</f>
        <v>197229687.81</v>
      </c>
      <c r="AK49" s="75">
        <f>利润表!AK4</f>
        <v>568512432.92999995</v>
      </c>
      <c r="AL49" s="75">
        <f>利润表!AL4</f>
        <v>420832438.18000001</v>
      </c>
      <c r="AM49" s="75">
        <f>利润表!AM4</f>
        <v>0</v>
      </c>
      <c r="AN49" s="75">
        <f>利润表!AN4</f>
        <v>0</v>
      </c>
      <c r="AO49" s="75">
        <f>利润表!AO4</f>
        <v>0</v>
      </c>
      <c r="AP49" s="75">
        <f>利润表!AP4</f>
        <v>0</v>
      </c>
      <c r="AQ49" s="75">
        <f>利润表!AQ4</f>
        <v>0</v>
      </c>
      <c r="AR49" s="75">
        <f>利润表!AR4</f>
        <v>0</v>
      </c>
      <c r="AS49" s="75">
        <f>利润表!AS4</f>
        <v>0</v>
      </c>
      <c r="AT49" s="75">
        <f>利润表!AT4</f>
        <v>0</v>
      </c>
      <c r="AU49" s="75">
        <f>利润表!AU4</f>
        <v>0</v>
      </c>
      <c r="AV49" s="75">
        <f>利润表!AV4</f>
        <v>0</v>
      </c>
      <c r="AW49" s="75">
        <f>利润表!AW4</f>
        <v>0</v>
      </c>
      <c r="AX49" s="75">
        <f>利润表!AX4</f>
        <v>0</v>
      </c>
      <c r="AY49" s="75">
        <f>利润表!AY4</f>
        <v>0</v>
      </c>
      <c r="AZ49" s="75">
        <f>利润表!AZ4</f>
        <v>0</v>
      </c>
      <c r="BA49" s="75">
        <f>利润表!BA4</f>
        <v>0</v>
      </c>
      <c r="BB49" s="75">
        <f>利润表!BB4</f>
        <v>0</v>
      </c>
      <c r="BC49" s="75">
        <f>利润表!BC4</f>
        <v>0</v>
      </c>
      <c r="BD49" s="75">
        <f>利润表!BD4</f>
        <v>0</v>
      </c>
      <c r="BE49" s="75">
        <f>利润表!BE4</f>
        <v>0</v>
      </c>
      <c r="BF49" s="75">
        <f>利润表!BF4</f>
        <v>0</v>
      </c>
      <c r="BG49" s="75">
        <f>利润表!BG4</f>
        <v>0</v>
      </c>
      <c r="BH49" s="75">
        <f>利润表!BH4</f>
        <v>0</v>
      </c>
      <c r="BI49" s="75">
        <f>利润表!BI4</f>
        <v>0</v>
      </c>
      <c r="BJ49" s="75">
        <f>利润表!BJ4</f>
        <v>0</v>
      </c>
      <c r="BK49" s="75">
        <f>利润表!BK4</f>
        <v>0</v>
      </c>
      <c r="BL49" s="75">
        <f>利润表!BL4</f>
        <v>0</v>
      </c>
      <c r="BM49" s="75">
        <f>利润表!BM4</f>
        <v>0</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c r="A50" s="145" t="s">
        <v>463</v>
      </c>
      <c r="E50" s="75">
        <f>资产资本表!E50</f>
        <v>753478576.5</v>
      </c>
      <c r="F50" s="75">
        <f>资产资本表!F50</f>
        <v>776848423.7900002</v>
      </c>
      <c r="G50" s="75">
        <f>资产资本表!G50</f>
        <v>868834564.08999991</v>
      </c>
      <c r="H50" s="75">
        <f>资产资本表!H50</f>
        <v>708019481.70000029</v>
      </c>
      <c r="I50" s="75">
        <f>资产资本表!I50</f>
        <v>625615826.89999998</v>
      </c>
      <c r="J50" s="75">
        <f>资产资本表!J50</f>
        <v>782541143.79000008</v>
      </c>
      <c r="K50" s="75">
        <f>资产资本表!K50</f>
        <v>906066641.3599999</v>
      </c>
      <c r="L50" s="75">
        <f>资产资本表!L50</f>
        <v>730691183.17999995</v>
      </c>
      <c r="M50" s="75">
        <f>资产资本表!M50</f>
        <v>685346614.57000029</v>
      </c>
      <c r="N50" s="75">
        <f>资产资本表!N50</f>
        <v>676908490.71000016</v>
      </c>
      <c r="O50" s="75">
        <f>资产资本表!O50</f>
        <v>541890177.11999977</v>
      </c>
      <c r="P50" s="75">
        <f>资产资本表!P50</f>
        <v>682843554.52999997</v>
      </c>
      <c r="Q50" s="75">
        <f>资产资本表!Q50</f>
        <v>617797115.86999977</v>
      </c>
      <c r="R50" s="75">
        <f>资产资本表!R50</f>
        <v>596558300.24999976</v>
      </c>
      <c r="S50" s="75">
        <f>资产资本表!S50</f>
        <v>566163996.30999994</v>
      </c>
      <c r="T50" s="75">
        <f>资产资本表!T50</f>
        <v>541349362.28999996</v>
      </c>
      <c r="U50" s="75">
        <f>资产资本表!U50</f>
        <v>508164202.77999991</v>
      </c>
      <c r="V50" s="75">
        <f>资产资本表!V50</f>
        <v>427004200.01999998</v>
      </c>
      <c r="W50" s="75">
        <f>资产资本表!W50</f>
        <v>404732556.43000019</v>
      </c>
      <c r="X50" s="75">
        <f>资产资本表!X50</f>
        <v>442213430.02999997</v>
      </c>
      <c r="Y50" s="75">
        <f>资产资本表!Y50</f>
        <v>466873477.21000004</v>
      </c>
      <c r="Z50" s="75">
        <f>资产资本表!Z50</f>
        <v>513757794.84000003</v>
      </c>
      <c r="AA50" s="75">
        <f>资产资本表!AA50</f>
        <v>483626138.01999998</v>
      </c>
      <c r="AB50" s="75">
        <f>资产资本表!AB50</f>
        <v>460672776.98000008</v>
      </c>
      <c r="AC50" s="75">
        <f>资产资本表!AC50</f>
        <v>395398457.08999991</v>
      </c>
      <c r="AD50" s="75">
        <f>资产资本表!AD50</f>
        <v>391012622.64000005</v>
      </c>
      <c r="AE50" s="75">
        <f>资产资本表!AE50</f>
        <v>354570528.44999993</v>
      </c>
      <c r="AF50" s="75">
        <f>资产资本表!AF50</f>
        <v>313336827</v>
      </c>
      <c r="AG50" s="75">
        <f>资产资本表!AG50</f>
        <v>254683377.04999998</v>
      </c>
      <c r="AH50" s="75">
        <f>资产资本表!AH50</f>
        <v>146402485.94</v>
      </c>
      <c r="AI50" s="75">
        <f>资产资本表!AI50</f>
        <v>162101013.55000001</v>
      </c>
      <c r="AJ50" s="75">
        <f>资产资本表!AJ50</f>
        <v>0</v>
      </c>
      <c r="AK50" s="75">
        <f>资产资本表!AK50</f>
        <v>0</v>
      </c>
      <c r="AL50" s="75">
        <f>资产资本表!AL50</f>
        <v>0</v>
      </c>
      <c r="AM50" s="75">
        <f>资产资本表!AM50</f>
        <v>0</v>
      </c>
      <c r="AN50" s="75">
        <f>资产资本表!AN50</f>
        <v>0</v>
      </c>
      <c r="AO50" s="75">
        <f>资产资本表!AO50</f>
        <v>0</v>
      </c>
      <c r="AP50" s="75">
        <f>资产资本表!AP50</f>
        <v>0</v>
      </c>
      <c r="AQ50" s="75">
        <f>资产资本表!AQ50</f>
        <v>0</v>
      </c>
      <c r="AR50" s="75">
        <f>资产资本表!AR50</f>
        <v>0</v>
      </c>
      <c r="AS50" s="75">
        <f>资产资本表!AS50</f>
        <v>0</v>
      </c>
      <c r="AT50" s="75">
        <f>资产资本表!AT50</f>
        <v>0</v>
      </c>
      <c r="AU50" s="75">
        <f>资产资本表!AU50</f>
        <v>0</v>
      </c>
      <c r="AV50" s="75">
        <f>资产资本表!AV50</f>
        <v>0</v>
      </c>
      <c r="AW50" s="75">
        <f>资产资本表!AW50</f>
        <v>0</v>
      </c>
      <c r="AX50" s="75">
        <f>资产资本表!AX50</f>
        <v>0</v>
      </c>
      <c r="AY50" s="75">
        <f>资产资本表!AY50</f>
        <v>0</v>
      </c>
      <c r="AZ50" s="75">
        <f>资产资本表!AZ50</f>
        <v>0</v>
      </c>
      <c r="BA50" s="75">
        <f>资产资本表!BA50</f>
        <v>0</v>
      </c>
      <c r="BB50" s="75">
        <f>资产资本表!BB50</f>
        <v>0</v>
      </c>
      <c r="BC50" s="75">
        <f>资产资本表!BC50</f>
        <v>0</v>
      </c>
      <c r="BD50" s="75">
        <f>资产资本表!BD50</f>
        <v>0</v>
      </c>
      <c r="BE50" s="75">
        <f>资产资本表!BE50</f>
        <v>0</v>
      </c>
      <c r="BF50" s="75">
        <f>资产资本表!BF50</f>
        <v>0</v>
      </c>
      <c r="BG50" s="75">
        <f>资产资本表!BG50</f>
        <v>0</v>
      </c>
      <c r="BH50" s="75">
        <f>资产资本表!BH50</f>
        <v>0</v>
      </c>
      <c r="BI50" s="75">
        <f>资产资本表!BI50</f>
        <v>0</v>
      </c>
      <c r="BJ50" s="75">
        <f>资产资本表!BJ50</f>
        <v>0</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c r="A51" s="141" t="s">
        <v>464</v>
      </c>
      <c r="E51" s="44">
        <f>E49/E50</f>
        <v>4.6329408060880679</v>
      </c>
      <c r="F51" s="44">
        <f t="shared" ref="F51:BQ51" si="18">F49/F50</f>
        <v>3.1680476098195562</v>
      </c>
      <c r="G51" s="44">
        <f t="shared" si="18"/>
        <v>1.8794526993873708</v>
      </c>
      <c r="H51" s="44">
        <f t="shared" si="18"/>
        <v>1.2124822351904496</v>
      </c>
      <c r="I51" s="44">
        <f t="shared" si="18"/>
        <v>5.5240009629781959</v>
      </c>
      <c r="J51" s="44">
        <f t="shared" si="18"/>
        <v>3.2483158592388928</v>
      </c>
      <c r="K51" s="44">
        <f t="shared" si="18"/>
        <v>1.8747112994695323</v>
      </c>
      <c r="L51" s="44">
        <f t="shared" si="18"/>
        <v>1.1429242976157188</v>
      </c>
      <c r="M51" s="44">
        <f t="shared" si="18"/>
        <v>4.4150323006825714</v>
      </c>
      <c r="N51" s="44">
        <f t="shared" si="18"/>
        <v>3.2401121128788324</v>
      </c>
      <c r="O51" s="44">
        <f t="shared" si="18"/>
        <v>2.3163769165390042</v>
      </c>
      <c r="P51" s="44">
        <f t="shared" si="18"/>
        <v>0.72778920368086508</v>
      </c>
      <c r="Q51" s="44">
        <f t="shared" si="18"/>
        <v>2.7715086663018624</v>
      </c>
      <c r="R51" s="44">
        <f t="shared" si="18"/>
        <v>1.8844292568369148</v>
      </c>
      <c r="S51" s="44">
        <f t="shared" si="18"/>
        <v>1.2897742597008413</v>
      </c>
      <c r="T51" s="44">
        <f t="shared" si="18"/>
        <v>0.60567442596220222</v>
      </c>
      <c r="U51" s="44">
        <f t="shared" si="18"/>
        <v>2.4154223704171329</v>
      </c>
      <c r="V51" s="44">
        <f t="shared" si="18"/>
        <v>2.0707815939248007</v>
      </c>
      <c r="W51" s="44">
        <f t="shared" si="18"/>
        <v>1.4279446555220616</v>
      </c>
      <c r="X51" s="44">
        <f t="shared" si="18"/>
        <v>0.59110767326145386</v>
      </c>
      <c r="Y51" s="44">
        <f t="shared" si="18"/>
        <v>1.9896176349554768</v>
      </c>
      <c r="Z51" s="44">
        <f t="shared" si="18"/>
        <v>1.3498809561925595</v>
      </c>
      <c r="AA51" s="44">
        <f t="shared" si="18"/>
        <v>0.96483666277918023</v>
      </c>
      <c r="AB51" s="44">
        <f t="shared" si="18"/>
        <v>0.49675121364928188</v>
      </c>
      <c r="AC51" s="44">
        <f t="shared" si="18"/>
        <v>2.5258733512525358</v>
      </c>
      <c r="AD51" s="44">
        <f t="shared" si="18"/>
        <v>1.9078478005985631</v>
      </c>
      <c r="AE51" s="44">
        <f t="shared" si="18"/>
        <v>1.4741844502276769</v>
      </c>
      <c r="AF51" s="44">
        <f t="shared" si="18"/>
        <v>0.74571105559832584</v>
      </c>
      <c r="AG51" s="44">
        <f t="shared" si="18"/>
        <v>3.5651594969299549</v>
      </c>
      <c r="AH51" s="44">
        <f t="shared" si="18"/>
        <v>4.5284418189572717</v>
      </c>
      <c r="AI51" s="44">
        <f t="shared" si="18"/>
        <v>2.6476894726979325</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c r="A52" s="145" t="s">
        <v>465</v>
      </c>
      <c r="E52" s="75">
        <f>资产资本表!E68</f>
        <v>3535406998.1700001</v>
      </c>
      <c r="F52" s="75">
        <f>资产资本表!F68</f>
        <v>3357002467.1800003</v>
      </c>
      <c r="G52" s="75">
        <f>资产资本表!G68</f>
        <v>3335891940.5099998</v>
      </c>
      <c r="H52" s="75">
        <f>资产资本表!H68</f>
        <v>3303181121.2800002</v>
      </c>
      <c r="I52" s="75">
        <f>资产资本表!I68</f>
        <v>3277655403.8000007</v>
      </c>
      <c r="J52" s="75">
        <f>资产资本表!J68</f>
        <v>3255834079.8499994</v>
      </c>
      <c r="K52" s="75">
        <f>资产资本表!K68</f>
        <v>3230491095.23</v>
      </c>
      <c r="L52" s="75">
        <f>资产资本表!L68</f>
        <v>3185229451.6799998</v>
      </c>
      <c r="M52" s="75">
        <f>资产资本表!M68</f>
        <v>3183531330.2999997</v>
      </c>
      <c r="N52" s="75">
        <f>资产资本表!N68</f>
        <v>3167197136.0099998</v>
      </c>
      <c r="O52" s="75">
        <f>资产资本表!O68</f>
        <v>3144714690.4000001</v>
      </c>
      <c r="P52" s="75">
        <f>资产资本表!P68</f>
        <v>2848666476.9200001</v>
      </c>
      <c r="Q52" s="75">
        <f>资产资本表!Q68</f>
        <v>2814457730.4299994</v>
      </c>
      <c r="R52" s="75">
        <f>资产资本表!R68</f>
        <v>2756967482.4099994</v>
      </c>
      <c r="S52" s="75">
        <f>资产资本表!S68</f>
        <v>1090431178.7</v>
      </c>
      <c r="T52" s="75">
        <f>资产资本表!T68</f>
        <v>1065290545.7399999</v>
      </c>
      <c r="U52" s="75">
        <f>资产资本表!U68</f>
        <v>1029096146.12</v>
      </c>
      <c r="V52" s="75">
        <f>资产资本表!V68</f>
        <v>916861473.81999993</v>
      </c>
      <c r="W52" s="75">
        <f>资产资本表!W68</f>
        <v>899890040.6500001</v>
      </c>
      <c r="X52" s="75">
        <f>资产资本表!X68</f>
        <v>856624245.06000006</v>
      </c>
      <c r="Y52" s="75">
        <f>资产资本表!Y68</f>
        <v>771446100.32000005</v>
      </c>
      <c r="Z52" s="75">
        <f>资产资本表!Z68</f>
        <v>692226314.25999999</v>
      </c>
      <c r="AA52" s="75">
        <f>资产资本表!AA68</f>
        <v>667379190.15999997</v>
      </c>
      <c r="AB52" s="75">
        <f>资产资本表!AB68</f>
        <v>624051318.30999994</v>
      </c>
      <c r="AC52" s="75">
        <f>资产资本表!AC68</f>
        <v>599295326.76000011</v>
      </c>
      <c r="AD52" s="75">
        <f>资产资本表!AD68</f>
        <v>551525720.6500001</v>
      </c>
      <c r="AE52" s="75">
        <f>资产资本表!AE68</f>
        <v>498516378.19000006</v>
      </c>
      <c r="AF52" s="75">
        <f>资产资本表!AF68</f>
        <v>424447162.40999997</v>
      </c>
      <c r="AG52" s="75">
        <f>资产资本表!AG68</f>
        <v>385140123.22000009</v>
      </c>
      <c r="AH52" s="75">
        <f>资产资本表!AH68</f>
        <v>261302961.97</v>
      </c>
      <c r="AI52" s="75">
        <f>资产资本表!AI68</f>
        <v>141288790.53</v>
      </c>
      <c r="AJ52" s="75">
        <f>资产资本表!AJ68</f>
        <v>0</v>
      </c>
      <c r="AK52" s="75">
        <f>资产资本表!AK68</f>
        <v>0</v>
      </c>
      <c r="AL52" s="75">
        <f>资产资本表!AL68</f>
        <v>0</v>
      </c>
      <c r="AM52" s="75">
        <f>资产资本表!AM68</f>
        <v>0</v>
      </c>
      <c r="AN52" s="75">
        <f>资产资本表!AN68</f>
        <v>0</v>
      </c>
      <c r="AO52" s="75">
        <f>资产资本表!AO68</f>
        <v>0</v>
      </c>
      <c r="AP52" s="75">
        <f>资产资本表!AP68</f>
        <v>0</v>
      </c>
      <c r="AQ52" s="75">
        <f>资产资本表!AQ68</f>
        <v>0</v>
      </c>
      <c r="AR52" s="75">
        <f>资产资本表!AR68</f>
        <v>0</v>
      </c>
      <c r="AS52" s="75">
        <f>资产资本表!AS68</f>
        <v>0</v>
      </c>
      <c r="AT52" s="75">
        <f>资产资本表!AT68</f>
        <v>0</v>
      </c>
      <c r="AU52" s="75">
        <f>资产资本表!AU68</f>
        <v>0</v>
      </c>
      <c r="AV52" s="75">
        <f>资产资本表!AV68</f>
        <v>0</v>
      </c>
      <c r="AW52" s="75">
        <f>资产资本表!AW68</f>
        <v>0</v>
      </c>
      <c r="AX52" s="75">
        <f>资产资本表!AX68</f>
        <v>0</v>
      </c>
      <c r="AY52" s="75">
        <f>资产资本表!AY68</f>
        <v>0</v>
      </c>
      <c r="AZ52" s="75">
        <f>资产资本表!AZ68</f>
        <v>0</v>
      </c>
      <c r="BA52" s="75">
        <f>资产资本表!BA68</f>
        <v>0</v>
      </c>
      <c r="BB52" s="75">
        <f>资产资本表!BB68</f>
        <v>0</v>
      </c>
      <c r="BC52" s="75">
        <f>资产资本表!BC68</f>
        <v>0</v>
      </c>
      <c r="BD52" s="75">
        <f>资产资本表!BD68</f>
        <v>0</v>
      </c>
      <c r="BE52" s="75">
        <f>资产资本表!BE68</f>
        <v>0</v>
      </c>
      <c r="BF52" s="75">
        <f>资产资本表!BF68</f>
        <v>0</v>
      </c>
      <c r="BG52" s="75">
        <f>资产资本表!BG68</f>
        <v>0</v>
      </c>
      <c r="BH52" s="75">
        <f>资产资本表!BH68</f>
        <v>0</v>
      </c>
      <c r="BI52" s="75">
        <f>资产资本表!BI68</f>
        <v>0</v>
      </c>
      <c r="BJ52" s="75">
        <f>资产资本表!BJ68</f>
        <v>0</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c r="A53" s="141" t="s">
        <v>466</v>
      </c>
      <c r="E53" s="44">
        <f>E49/E52</f>
        <v>0.98738890469666474</v>
      </c>
      <c r="F53" s="44">
        <f t="shared" ref="F53:BQ53" si="20">F49/F52</f>
        <v>0.73312212792247489</v>
      </c>
      <c r="G53" s="44">
        <f t="shared" si="20"/>
        <v>0.489504305271457</v>
      </c>
      <c r="H53" s="44">
        <f t="shared" si="20"/>
        <v>0.25988918324809929</v>
      </c>
      <c r="I53" s="44">
        <f t="shared" si="20"/>
        <v>1.0543824790865282</v>
      </c>
      <c r="J53" s="44">
        <f t="shared" si="20"/>
        <v>0.78073413618089249</v>
      </c>
      <c r="K53" s="44">
        <f t="shared" si="20"/>
        <v>0.52580654784595982</v>
      </c>
      <c r="L53" s="44">
        <f t="shared" si="20"/>
        <v>0.26218667131484874</v>
      </c>
      <c r="M53" s="44">
        <f t="shared" si="20"/>
        <v>0.95046259218214169</v>
      </c>
      <c r="N53" s="44">
        <f t="shared" si="20"/>
        <v>0.69249222763034068</v>
      </c>
      <c r="O53" s="44">
        <f t="shared" si="20"/>
        <v>0.39915287113704384</v>
      </c>
      <c r="P53" s="44">
        <f t="shared" si="20"/>
        <v>0.17445572193741812</v>
      </c>
      <c r="Q53" s="44">
        <f t="shared" si="20"/>
        <v>0.60836943548212452</v>
      </c>
      <c r="R53" s="44">
        <f t="shared" si="20"/>
        <v>0.40775668250439673</v>
      </c>
      <c r="S53" s="44">
        <f t="shared" si="20"/>
        <v>0.66966514116054965</v>
      </c>
      <c r="T53" s="44">
        <f t="shared" si="20"/>
        <v>0.30778595150512522</v>
      </c>
      <c r="U53" s="44">
        <f t="shared" si="20"/>
        <v>1.1927274121740543</v>
      </c>
      <c r="V53" s="44">
        <f t="shared" si="20"/>
        <v>0.96441225111787632</v>
      </c>
      <c r="W53" s="44">
        <f t="shared" si="20"/>
        <v>0.64222923331005077</v>
      </c>
      <c r="X53" s="44">
        <f t="shared" si="20"/>
        <v>0.30514633833611748</v>
      </c>
      <c r="Y53" s="44">
        <f t="shared" si="20"/>
        <v>1.2041018849725047</v>
      </c>
      <c r="Z53" s="44">
        <f t="shared" si="20"/>
        <v>1.0018571225385651</v>
      </c>
      <c r="AA53" s="44">
        <f t="shared" si="20"/>
        <v>0.69918306701791344</v>
      </c>
      <c r="AB53" s="44">
        <f t="shared" si="20"/>
        <v>0.36670022856409212</v>
      </c>
      <c r="AC53" s="44">
        <f t="shared" si="20"/>
        <v>1.6665012745710266</v>
      </c>
      <c r="AD53" s="44">
        <f t="shared" si="20"/>
        <v>1.3525979735465667</v>
      </c>
      <c r="AE53" s="44">
        <f t="shared" si="20"/>
        <v>1.0485159212778801</v>
      </c>
      <c r="AF53" s="44">
        <f t="shared" si="20"/>
        <v>0.55050135025827895</v>
      </c>
      <c r="AG53" s="44">
        <f t="shared" si="20"/>
        <v>2.3575493843868842</v>
      </c>
      <c r="AH53" s="44">
        <f t="shared" si="20"/>
        <v>2.5371895317670212</v>
      </c>
      <c r="AI53" s="44">
        <f t="shared" si="20"/>
        <v>3.037701331294707</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c r="A54" s="145" t="s">
        <v>467</v>
      </c>
      <c r="E54" s="75">
        <f>资产资本表!E17</f>
        <v>1011699382.3000001</v>
      </c>
      <c r="F54" s="75">
        <f>资产资本表!F17</f>
        <v>1240506178.53</v>
      </c>
      <c r="G54" s="75">
        <f>资产资本表!G17</f>
        <v>1135331214.2</v>
      </c>
      <c r="H54" s="75">
        <f>资产资本表!H17</f>
        <v>852002247.96000004</v>
      </c>
      <c r="I54" s="75">
        <f>资产资本表!I17</f>
        <v>798159068.22000003</v>
      </c>
      <c r="J54" s="75">
        <f>资产资本表!J17</f>
        <v>636697461.95000005</v>
      </c>
      <c r="K54" s="75">
        <f>资产资本表!K17</f>
        <v>558046066.27999997</v>
      </c>
      <c r="L54" s="75">
        <f>资产资本表!L17</f>
        <v>437744807.25999999</v>
      </c>
      <c r="M54" s="75">
        <f>资产资本表!M17</f>
        <v>546081549.03999996</v>
      </c>
      <c r="N54" s="75">
        <f>资产资本表!N17</f>
        <v>403712468.94</v>
      </c>
      <c r="O54" s="75">
        <f>资产资本表!O17</f>
        <v>192454966.77000001</v>
      </c>
      <c r="P54" s="75">
        <f>资产资本表!P17</f>
        <v>287278734.86000001</v>
      </c>
      <c r="Q54" s="75">
        <f>资产资本表!Q17</f>
        <v>296152955</v>
      </c>
      <c r="R54" s="75">
        <f>资产资本表!R17</f>
        <v>228581798.34999999</v>
      </c>
      <c r="S54" s="75">
        <f>资产资本表!S17</f>
        <v>76264788.909999996</v>
      </c>
      <c r="T54" s="75">
        <f>资产资本表!T17</f>
        <v>81609545.260000005</v>
      </c>
      <c r="U54" s="75">
        <f>资产资本表!U17</f>
        <v>117019801.84</v>
      </c>
      <c r="V54" s="75">
        <f>资产资本表!V17</f>
        <v>288407000.22000003</v>
      </c>
      <c r="W54" s="75">
        <f>资产资本表!W17</f>
        <v>395385802.33999997</v>
      </c>
      <c r="X54" s="75">
        <f>资产资本表!X17</f>
        <v>415229005.37</v>
      </c>
      <c r="Y54" s="75">
        <f>资产资本表!Y17</f>
        <v>446558631.75</v>
      </c>
      <c r="Z54" s="75">
        <f>资产资本表!Z17</f>
        <v>445462625.06999999</v>
      </c>
      <c r="AA54" s="75">
        <f>资产资本表!AA17</f>
        <v>448243718.80000001</v>
      </c>
      <c r="AB54" s="75">
        <f>资产资本表!AB17</f>
        <v>475663134.92000002</v>
      </c>
      <c r="AC54" s="75">
        <f>资产资本表!AC17</f>
        <v>543271781.39999998</v>
      </c>
      <c r="AD54" s="75">
        <f>资产资本表!AD17</f>
        <v>583991549.62</v>
      </c>
      <c r="AE54" s="75">
        <f>资产资本表!AE17</f>
        <v>61509212.060000002</v>
      </c>
      <c r="AF54" s="75">
        <f>资产资本表!AF17</f>
        <v>71515655.140000001</v>
      </c>
      <c r="AG54" s="75">
        <f>资产资本表!AG17</f>
        <v>80573415.659999996</v>
      </c>
      <c r="AH54" s="75">
        <f>资产资本表!AH17</f>
        <v>55436295.049999997</v>
      </c>
      <c r="AI54" s="75">
        <f>资产资本表!AI17</f>
        <v>17079246.809999999</v>
      </c>
      <c r="AJ54" s="75">
        <f>资产资本表!AJ17</f>
        <v>0</v>
      </c>
      <c r="AK54" s="75">
        <f>资产资本表!AK17</f>
        <v>0</v>
      </c>
      <c r="AL54" s="75">
        <f>资产资本表!AL17</f>
        <v>0</v>
      </c>
      <c r="AM54" s="75">
        <f>资产资本表!AM17</f>
        <v>0</v>
      </c>
      <c r="AN54" s="75">
        <f>资产资本表!AN17</f>
        <v>0</v>
      </c>
      <c r="AO54" s="75">
        <f>资产资本表!AO17</f>
        <v>0</v>
      </c>
      <c r="AP54" s="75">
        <f>资产资本表!AP17</f>
        <v>0</v>
      </c>
      <c r="AQ54" s="75">
        <f>资产资本表!AQ17</f>
        <v>0</v>
      </c>
      <c r="AR54" s="75">
        <f>资产资本表!AR17</f>
        <v>0</v>
      </c>
      <c r="AS54" s="75">
        <f>资产资本表!AS17</f>
        <v>0</v>
      </c>
      <c r="AT54" s="75">
        <f>资产资本表!AT17</f>
        <v>0</v>
      </c>
      <c r="AU54" s="75">
        <f>资产资本表!AU17</f>
        <v>0</v>
      </c>
      <c r="AV54" s="75">
        <f>资产资本表!AV17</f>
        <v>0</v>
      </c>
      <c r="AW54" s="75">
        <f>资产资本表!AW17</f>
        <v>0</v>
      </c>
      <c r="AX54" s="75">
        <f>资产资本表!AX17</f>
        <v>0</v>
      </c>
      <c r="AY54" s="75">
        <f>资产资本表!AY17</f>
        <v>0</v>
      </c>
      <c r="AZ54" s="75">
        <f>资产资本表!AZ17</f>
        <v>0</v>
      </c>
      <c r="BA54" s="75">
        <f>资产资本表!BA17</f>
        <v>0</v>
      </c>
      <c r="BB54" s="75">
        <f>资产资本表!BB17</f>
        <v>0</v>
      </c>
      <c r="BC54" s="75">
        <f>资产资本表!BC17</f>
        <v>0</v>
      </c>
      <c r="BD54" s="75">
        <f>资产资本表!BD17</f>
        <v>0</v>
      </c>
      <c r="BE54" s="75">
        <f>资产资本表!BE17</f>
        <v>0</v>
      </c>
      <c r="BF54" s="75">
        <f>资产资本表!BF17</f>
        <v>0</v>
      </c>
      <c r="BG54" s="75">
        <f>资产资本表!BG17</f>
        <v>0</v>
      </c>
      <c r="BH54" s="75">
        <f>资产资本表!BH17</f>
        <v>0</v>
      </c>
      <c r="BI54" s="75">
        <f>资产资本表!BI17</f>
        <v>0</v>
      </c>
      <c r="BJ54" s="75">
        <f>资产资本表!BJ17</f>
        <v>0</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c r="A55" s="141" t="s">
        <v>468</v>
      </c>
      <c r="E55" s="44">
        <f>E49/E54</f>
        <v>3.4504534693339011</v>
      </c>
      <c r="F55" s="44">
        <f t="shared" ref="F55:BQ55" si="22">F49/F54</f>
        <v>1.9839423896271078</v>
      </c>
      <c r="G55" s="44">
        <f t="shared" si="22"/>
        <v>1.4382881809081858</v>
      </c>
      <c r="H55" s="44">
        <f t="shared" si="22"/>
        <v>1.0075807262075478</v>
      </c>
      <c r="I55" s="44">
        <f t="shared" si="22"/>
        <v>4.3298417168361167</v>
      </c>
      <c r="J55" s="44">
        <f t="shared" si="22"/>
        <v>3.9923840753108251</v>
      </c>
      <c r="K55" s="44">
        <f t="shared" si="22"/>
        <v>3.0438586942349661</v>
      </c>
      <c r="L55" s="44">
        <f t="shared" si="22"/>
        <v>1.9077889525117195</v>
      </c>
      <c r="M55" s="44">
        <f t="shared" si="22"/>
        <v>5.5409809135821231</v>
      </c>
      <c r="N55" s="44">
        <f t="shared" si="22"/>
        <v>5.4327264298243998</v>
      </c>
      <c r="O55" s="44">
        <f t="shared" si="22"/>
        <v>6.5221590206092026</v>
      </c>
      <c r="P55" s="44">
        <f t="shared" si="22"/>
        <v>1.7299093405997743</v>
      </c>
      <c r="Q55" s="44">
        <f t="shared" si="22"/>
        <v>5.7815734462281494</v>
      </c>
      <c r="R55" s="44">
        <f t="shared" si="22"/>
        <v>4.9180290054359004</v>
      </c>
      <c r="S55" s="44">
        <f t="shared" si="22"/>
        <v>9.5748478379942323</v>
      </c>
      <c r="T55" s="44">
        <f t="shared" si="22"/>
        <v>4.017685225489271</v>
      </c>
      <c r="U55" s="44">
        <f t="shared" si="22"/>
        <v>10.489089572363611</v>
      </c>
      <c r="V55" s="44">
        <f t="shared" si="22"/>
        <v>3.0659187788628492</v>
      </c>
      <c r="W55" s="44">
        <f t="shared" si="22"/>
        <v>1.4617006666643579</v>
      </c>
      <c r="X55" s="44">
        <f t="shared" si="22"/>
        <v>0.62952189834878447</v>
      </c>
      <c r="Y55" s="44">
        <f t="shared" si="22"/>
        <v>2.0801293212265848</v>
      </c>
      <c r="Z55" s="44">
        <f t="shared" si="22"/>
        <v>1.5568351289651328</v>
      </c>
      <c r="AA55" s="44">
        <f t="shared" si="22"/>
        <v>1.0409966932480303</v>
      </c>
      <c r="AB55" s="44">
        <f t="shared" si="22"/>
        <v>0.48109627225680984</v>
      </c>
      <c r="AC55" s="44">
        <f t="shared" si="22"/>
        <v>1.8383550555788173</v>
      </c>
      <c r="AD55" s="44">
        <f t="shared" si="22"/>
        <v>1.2774030250872863</v>
      </c>
      <c r="AE55" s="44">
        <f t="shared" si="22"/>
        <v>8.4979524536929993</v>
      </c>
      <c r="AF55" s="44">
        <f t="shared" si="22"/>
        <v>3.2672389781312434</v>
      </c>
      <c r="AG55" s="44">
        <f t="shared" si="22"/>
        <v>11.26906254330189</v>
      </c>
      <c r="AH55" s="44">
        <f t="shared" si="22"/>
        <v>11.959225253636427</v>
      </c>
      <c r="AI55" s="44">
        <f t="shared" si="22"/>
        <v>25.129512551964815</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c r="A56" s="145" t="s">
        <v>442</v>
      </c>
      <c r="E56" s="75">
        <f>资产资本表!E19</f>
        <v>127485626.63</v>
      </c>
      <c r="F56" s="75">
        <f>资产资本表!F19</f>
        <v>77180105.909999996</v>
      </c>
      <c r="G56" s="75">
        <f>资产资本表!G19</f>
        <v>71112323.189999998</v>
      </c>
      <c r="H56" s="75">
        <f>资产资本表!H19</f>
        <v>41882391.369999997</v>
      </c>
      <c r="I56" s="75">
        <f>资产资本表!I19</f>
        <v>59432815.659999996</v>
      </c>
      <c r="J56" s="75">
        <f>资产资本表!J19</f>
        <v>17688723.84</v>
      </c>
      <c r="K56" s="75">
        <f>资产资本表!K19</f>
        <v>17688723.84</v>
      </c>
      <c r="L56" s="75">
        <f>资产资本表!L19</f>
        <v>154000000</v>
      </c>
      <c r="M56" s="75">
        <f>资产资本表!M19</f>
        <v>0</v>
      </c>
      <c r="N56" s="75">
        <f>资产资本表!N19</f>
        <v>0</v>
      </c>
      <c r="O56" s="75">
        <f>资产资本表!O19</f>
        <v>0</v>
      </c>
      <c r="P56" s="75">
        <f>资产资本表!P19</f>
        <v>0</v>
      </c>
      <c r="Q56" s="75">
        <f>资产资本表!Q19</f>
        <v>0</v>
      </c>
      <c r="R56" s="75">
        <f>资产资本表!R19</f>
        <v>6800000</v>
      </c>
      <c r="S56" s="75">
        <f>资产资本表!S19</f>
        <v>0</v>
      </c>
      <c r="T56" s="75">
        <f>资产资本表!T19</f>
        <v>0</v>
      </c>
      <c r="U56" s="75">
        <f>资产资本表!U19</f>
        <v>0</v>
      </c>
      <c r="V56" s="75">
        <f>资产资本表!V19</f>
        <v>0</v>
      </c>
      <c r="W56" s="75">
        <f>资产资本表!W19</f>
        <v>0</v>
      </c>
      <c r="X56" s="75">
        <f>资产资本表!X19</f>
        <v>0</v>
      </c>
      <c r="Y56" s="75">
        <f>资产资本表!Y19</f>
        <v>0</v>
      </c>
      <c r="Z56" s="75">
        <f>资产资本表!Z19</f>
        <v>10793820.49</v>
      </c>
      <c r="AA56" s="75">
        <f>资产资本表!AA19</f>
        <v>10161954.15</v>
      </c>
      <c r="AB56" s="75">
        <f>资产资本表!AB19</f>
        <v>11637847.42</v>
      </c>
      <c r="AC56" s="75">
        <f>资产资本表!AC19</f>
        <v>10882081.48</v>
      </c>
      <c r="AD56" s="75">
        <f>资产资本表!AD19</f>
        <v>9955446.0600000005</v>
      </c>
      <c r="AE56" s="75">
        <f>资产资本表!AE19</f>
        <v>9611004.1699999999</v>
      </c>
      <c r="AF56" s="75">
        <f>资产资本表!AF19</f>
        <v>9039649.9900000002</v>
      </c>
      <c r="AG56" s="75">
        <f>资产资本表!AG19</f>
        <v>8296076.1100000003</v>
      </c>
      <c r="AH56" s="75">
        <f>资产资本表!AH19</f>
        <v>5524269.5</v>
      </c>
      <c r="AI56" s="75">
        <f>资产资本表!AI19</f>
        <v>0</v>
      </c>
      <c r="AJ56" s="75">
        <f>资产资本表!AJ19</f>
        <v>0</v>
      </c>
      <c r="AK56" s="75">
        <f>资产资本表!AK19</f>
        <v>0</v>
      </c>
      <c r="AL56" s="75">
        <f>资产资本表!AL19</f>
        <v>0</v>
      </c>
      <c r="AM56" s="75">
        <f>资产资本表!AM19</f>
        <v>0</v>
      </c>
      <c r="AN56" s="75">
        <f>资产资本表!AN19</f>
        <v>0</v>
      </c>
      <c r="AO56" s="75">
        <f>资产资本表!AO19</f>
        <v>0</v>
      </c>
      <c r="AP56" s="75">
        <f>资产资本表!AP19</f>
        <v>0</v>
      </c>
      <c r="AQ56" s="75">
        <f>资产资本表!AQ19</f>
        <v>0</v>
      </c>
      <c r="AR56" s="75">
        <f>资产资本表!AR19</f>
        <v>0</v>
      </c>
      <c r="AS56" s="75">
        <f>资产资本表!AS19</f>
        <v>0</v>
      </c>
      <c r="AT56" s="75">
        <f>资产资本表!AT19</f>
        <v>0</v>
      </c>
      <c r="AU56" s="75">
        <f>资产资本表!AU19</f>
        <v>0</v>
      </c>
      <c r="AV56" s="75">
        <f>资产资本表!AV19</f>
        <v>0</v>
      </c>
      <c r="AW56" s="75">
        <f>资产资本表!AW19</f>
        <v>0</v>
      </c>
      <c r="AX56" s="75">
        <f>资产资本表!AX19</f>
        <v>0</v>
      </c>
      <c r="AY56" s="75">
        <f>资产资本表!AY19</f>
        <v>0</v>
      </c>
      <c r="AZ56" s="75">
        <f>资产资本表!AZ19</f>
        <v>0</v>
      </c>
      <c r="BA56" s="75">
        <f>资产资本表!BA19</f>
        <v>0</v>
      </c>
      <c r="BB56" s="75">
        <f>资产资本表!BB19</f>
        <v>0</v>
      </c>
      <c r="BC56" s="75">
        <f>资产资本表!BC19</f>
        <v>0</v>
      </c>
      <c r="BD56" s="75">
        <f>资产资本表!BD19</f>
        <v>0</v>
      </c>
      <c r="BE56" s="75">
        <f>资产资本表!BE19</f>
        <v>0</v>
      </c>
      <c r="BF56" s="75">
        <f>资产资本表!BF19</f>
        <v>0</v>
      </c>
      <c r="BG56" s="75">
        <f>资产资本表!BG19</f>
        <v>0</v>
      </c>
      <c r="BH56" s="75">
        <f>资产资本表!BH19</f>
        <v>0</v>
      </c>
      <c r="BI56" s="75">
        <f>资产资本表!BI19</f>
        <v>0</v>
      </c>
      <c r="BJ56" s="75">
        <f>资产资本表!BJ19</f>
        <v>0</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c r="A57" s="143" t="s">
        <v>469</v>
      </c>
      <c r="E57" s="116">
        <f>E49/E56</f>
        <v>27.382080128227866</v>
      </c>
      <c r="F57" s="116">
        <f t="shared" ref="F57:BQ57" si="24">F49/F56</f>
        <v>31.887657618012199</v>
      </c>
      <c r="G57" s="116">
        <f t="shared" si="24"/>
        <v>22.962735480277875</v>
      </c>
      <c r="H57" s="116">
        <f t="shared" si="24"/>
        <v>20.49694431595681</v>
      </c>
      <c r="I57" s="116">
        <f t="shared" si="24"/>
        <v>58.148051575081645</v>
      </c>
      <c r="J57" s="116">
        <f t="shared" si="24"/>
        <v>143.70402471499042</v>
      </c>
      <c r="K57" s="116">
        <f t="shared" si="24"/>
        <v>96.028033791159018</v>
      </c>
      <c r="L57" s="116">
        <f t="shared" si="24"/>
        <v>5.4228877098051944</v>
      </c>
      <c r="M57" s="116" t="e">
        <f t="shared" si="24"/>
        <v>#DIV/0!</v>
      </c>
      <c r="N57" s="116" t="e">
        <f t="shared" si="24"/>
        <v>#DIV/0!</v>
      </c>
      <c r="O57" s="116" t="e">
        <f t="shared" si="24"/>
        <v>#DIV/0!</v>
      </c>
      <c r="P57" s="116" t="e">
        <f t="shared" si="24"/>
        <v>#DIV/0!</v>
      </c>
      <c r="Q57" s="116" t="e">
        <f t="shared" si="24"/>
        <v>#DIV/0!</v>
      </c>
      <c r="R57" s="116">
        <f t="shared" si="24"/>
        <v>165.3193991764706</v>
      </c>
      <c r="S57" s="116" t="e">
        <f t="shared" si="24"/>
        <v>#DIV/0!</v>
      </c>
      <c r="T57" s="116" t="e">
        <f t="shared" si="24"/>
        <v>#DIV/0!</v>
      </c>
      <c r="U57" s="116" t="e">
        <f t="shared" si="24"/>
        <v>#DIV/0!</v>
      </c>
      <c r="V57" s="116" t="e">
        <f t="shared" si="24"/>
        <v>#DIV/0!</v>
      </c>
      <c r="W57" s="116" t="e">
        <f t="shared" si="24"/>
        <v>#DIV/0!</v>
      </c>
      <c r="X57" s="116" t="e">
        <f t="shared" si="24"/>
        <v>#DIV/0!</v>
      </c>
      <c r="Y57" s="116" t="e">
        <f t="shared" si="24"/>
        <v>#DIV/0!</v>
      </c>
      <c r="Z57" s="116">
        <f t="shared" si="24"/>
        <v>64.250824255647785</v>
      </c>
      <c r="AA57" s="116">
        <f t="shared" si="24"/>
        <v>45.918356071307407</v>
      </c>
      <c r="AB57" s="116">
        <f t="shared" si="24"/>
        <v>19.663409632500578</v>
      </c>
      <c r="AC57" s="116">
        <f t="shared" si="24"/>
        <v>91.777150145911236</v>
      </c>
      <c r="AD57" s="116">
        <f t="shared" si="24"/>
        <v>74.933113756431723</v>
      </c>
      <c r="AE57" s="116">
        <f t="shared" si="24"/>
        <v>54.385821741871119</v>
      </c>
      <c r="AF57" s="116">
        <f t="shared" si="24"/>
        <v>25.848206100732003</v>
      </c>
      <c r="AG57" s="116">
        <f t="shared" si="24"/>
        <v>109.44774955783282</v>
      </c>
      <c r="AH57" s="116">
        <f t="shared" si="24"/>
        <v>120.01136797000943</v>
      </c>
      <c r="AI57" s="116" t="e">
        <f t="shared" si="24"/>
        <v>#DIV/0!</v>
      </c>
      <c r="AJ57" s="116" t="e">
        <f t="shared" si="24"/>
        <v>#DIV/0!</v>
      </c>
      <c r="AK57" s="116" t="e">
        <f t="shared" si="24"/>
        <v>#DIV/0!</v>
      </c>
      <c r="AL57" s="116" t="e">
        <f t="shared" si="24"/>
        <v>#DIV/0!</v>
      </c>
      <c r="AM57" s="116" t="e">
        <f t="shared" si="24"/>
        <v>#DIV/0!</v>
      </c>
      <c r="AN57" s="116" t="e">
        <f t="shared" si="24"/>
        <v>#DIV/0!</v>
      </c>
      <c r="AO57" s="116" t="e">
        <f t="shared" si="24"/>
        <v>#DIV/0!</v>
      </c>
      <c r="AP57" s="116" t="e">
        <f t="shared" si="24"/>
        <v>#DIV/0!</v>
      </c>
      <c r="AQ57" s="116" t="e">
        <f t="shared" si="24"/>
        <v>#DIV/0!</v>
      </c>
      <c r="AR57" s="116" t="e">
        <f t="shared" si="24"/>
        <v>#DIV/0!</v>
      </c>
      <c r="AS57" s="116" t="e">
        <f t="shared" si="24"/>
        <v>#DIV/0!</v>
      </c>
      <c r="AT57" s="116" t="e">
        <f t="shared" si="24"/>
        <v>#DIV/0!</v>
      </c>
      <c r="AU57" s="116" t="e">
        <f t="shared" si="24"/>
        <v>#DIV/0!</v>
      </c>
      <c r="AV57" s="116" t="e">
        <f t="shared" si="24"/>
        <v>#DIV/0!</v>
      </c>
      <c r="AW57" s="116" t="e">
        <f t="shared" si="24"/>
        <v>#DIV/0!</v>
      </c>
      <c r="AX57" s="116" t="e">
        <f t="shared" si="24"/>
        <v>#DIV/0!</v>
      </c>
      <c r="AY57" s="116" t="e">
        <f t="shared" si="24"/>
        <v>#DIV/0!</v>
      </c>
      <c r="AZ57" s="116" t="e">
        <f t="shared" si="24"/>
        <v>#DIV/0!</v>
      </c>
      <c r="BA57" s="116" t="e">
        <f t="shared" si="24"/>
        <v>#DIV/0!</v>
      </c>
      <c r="BB57" s="116" t="e">
        <f t="shared" si="24"/>
        <v>#DIV/0!</v>
      </c>
      <c r="BC57" s="116" t="e">
        <f t="shared" si="24"/>
        <v>#DIV/0!</v>
      </c>
      <c r="BD57" s="116" t="e">
        <f t="shared" si="24"/>
        <v>#DIV/0!</v>
      </c>
      <c r="BE57" s="116" t="e">
        <f t="shared" si="24"/>
        <v>#DIV/0!</v>
      </c>
      <c r="BF57" s="116" t="e">
        <f t="shared" si="24"/>
        <v>#DIV/0!</v>
      </c>
      <c r="BG57" s="116" t="e">
        <f t="shared" si="24"/>
        <v>#DIV/0!</v>
      </c>
      <c r="BH57" s="116" t="e">
        <f t="shared" si="24"/>
        <v>#DIV/0!</v>
      </c>
      <c r="BI57" s="116" t="e">
        <f t="shared" si="24"/>
        <v>#DIV/0!</v>
      </c>
      <c r="BJ57" s="116" t="e">
        <f t="shared" si="24"/>
        <v>#DIV/0!</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5" customHeight="1">
      <c r="A58" s="285" t="s">
        <v>691</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c r="AD58" s="284"/>
      <c r="AE58" s="284"/>
      <c r="AF58" s="284"/>
      <c r="AG58" s="284"/>
    </row>
    <row r="61" spans="1:89" s="118" customFormat="1">
      <c r="A61" s="117" t="s">
        <v>470</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39813</v>
      </c>
      <c r="AM61" s="1">
        <v>25569</v>
      </c>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c r="A62" s="145" t="s">
        <v>471</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c r="A63" s="145" t="s">
        <v>462</v>
      </c>
      <c r="E63" s="75">
        <f>E49</f>
        <v>3490821643.5799999</v>
      </c>
      <c r="F63" s="75">
        <f t="shared" ref="F63:BQ63" si="26">F49</f>
        <v>2461092792.1799998</v>
      </c>
      <c r="G63" s="75">
        <f t="shared" si="26"/>
        <v>1632933466.8</v>
      </c>
      <c r="H63" s="75">
        <f t="shared" si="26"/>
        <v>858461043.73000002</v>
      </c>
      <c r="I63" s="75">
        <f t="shared" si="26"/>
        <v>3455902430.25</v>
      </c>
      <c r="J63" s="75">
        <f t="shared" si="26"/>
        <v>2541940807.8800001</v>
      </c>
      <c r="K63" s="75">
        <f t="shared" si="26"/>
        <v>1698613370.6300001</v>
      </c>
      <c r="L63" s="75">
        <f t="shared" si="26"/>
        <v>835124707.30999994</v>
      </c>
      <c r="M63" s="75">
        <f t="shared" si="26"/>
        <v>3025827440.4899998</v>
      </c>
      <c r="N63" s="75">
        <f t="shared" si="26"/>
        <v>2193259400.0599999</v>
      </c>
      <c r="O63" s="75">
        <f t="shared" si="26"/>
        <v>1255221897.5799999</v>
      </c>
      <c r="P63" s="75">
        <f t="shared" si="26"/>
        <v>496966166.79000002</v>
      </c>
      <c r="Q63" s="75">
        <f t="shared" si="26"/>
        <v>1712230060.6500001</v>
      </c>
      <c r="R63" s="75">
        <f t="shared" si="26"/>
        <v>1124171914.4000001</v>
      </c>
      <c r="S63" s="75">
        <f t="shared" si="26"/>
        <v>730223749.21000004</v>
      </c>
      <c r="T63" s="75">
        <f t="shared" si="26"/>
        <v>327881464.25</v>
      </c>
      <c r="U63" s="75">
        <f t="shared" si="26"/>
        <v>1227431183.24</v>
      </c>
      <c r="V63" s="75">
        <f t="shared" si="26"/>
        <v>884232437.92999995</v>
      </c>
      <c r="W63" s="75">
        <f t="shared" si="26"/>
        <v>577935690.87</v>
      </c>
      <c r="X63" s="75">
        <f t="shared" si="26"/>
        <v>261395751.71000001</v>
      </c>
      <c r="Y63" s="75">
        <f t="shared" si="26"/>
        <v>928899703.54999995</v>
      </c>
      <c r="Z63" s="75">
        <f t="shared" si="26"/>
        <v>693511863.35000002</v>
      </c>
      <c r="AA63" s="75">
        <f t="shared" si="26"/>
        <v>466620229.04000002</v>
      </c>
      <c r="AB63" s="75">
        <f t="shared" si="26"/>
        <v>228839761.06</v>
      </c>
      <c r="AC63" s="75">
        <f t="shared" si="26"/>
        <v>998726425.88999999</v>
      </c>
      <c r="AD63" s="75">
        <f t="shared" si="26"/>
        <v>745992572.11000001</v>
      </c>
      <c r="AE63" s="75">
        <f t="shared" si="26"/>
        <v>522702359.55000001</v>
      </c>
      <c r="AF63" s="75">
        <f t="shared" si="26"/>
        <v>233658736.02000001</v>
      </c>
      <c r="AG63" s="75">
        <f t="shared" si="26"/>
        <v>907986860.39999998</v>
      </c>
      <c r="AH63" s="75">
        <f t="shared" si="26"/>
        <v>662975139.73000002</v>
      </c>
      <c r="AI63" s="75">
        <f t="shared" si="26"/>
        <v>429193147.08999997</v>
      </c>
      <c r="AJ63" s="75">
        <f t="shared" si="26"/>
        <v>197229687.81</v>
      </c>
      <c r="AK63" s="75">
        <f t="shared" si="26"/>
        <v>568512432.92999995</v>
      </c>
      <c r="AL63" s="75">
        <f t="shared" si="26"/>
        <v>420832438.18000001</v>
      </c>
      <c r="AM63" s="75">
        <f t="shared" si="26"/>
        <v>0</v>
      </c>
      <c r="AN63" s="75">
        <f t="shared" si="26"/>
        <v>0</v>
      </c>
      <c r="AO63" s="75">
        <f t="shared" si="26"/>
        <v>0</v>
      </c>
      <c r="AP63" s="75">
        <f t="shared" si="26"/>
        <v>0</v>
      </c>
      <c r="AQ63" s="75">
        <f t="shared" si="26"/>
        <v>0</v>
      </c>
      <c r="AR63" s="75">
        <f t="shared" si="26"/>
        <v>0</v>
      </c>
      <c r="AS63" s="75">
        <f t="shared" si="26"/>
        <v>0</v>
      </c>
      <c r="AT63" s="75">
        <f t="shared" si="26"/>
        <v>0</v>
      </c>
      <c r="AU63" s="75">
        <f t="shared" si="26"/>
        <v>0</v>
      </c>
      <c r="AV63" s="75">
        <f t="shared" si="26"/>
        <v>0</v>
      </c>
      <c r="AW63" s="75">
        <f t="shared" si="26"/>
        <v>0</v>
      </c>
      <c r="AX63" s="75">
        <f t="shared" si="26"/>
        <v>0</v>
      </c>
      <c r="AY63" s="75">
        <f t="shared" si="26"/>
        <v>0</v>
      </c>
      <c r="AZ63" s="75">
        <f t="shared" si="26"/>
        <v>0</v>
      </c>
      <c r="BA63" s="75">
        <f t="shared" si="26"/>
        <v>0</v>
      </c>
      <c r="BB63" s="75">
        <f t="shared" si="26"/>
        <v>0</v>
      </c>
      <c r="BC63" s="75">
        <f t="shared" si="26"/>
        <v>0</v>
      </c>
      <c r="BD63" s="75">
        <f t="shared" si="26"/>
        <v>0</v>
      </c>
      <c r="BE63" s="75">
        <f t="shared" si="26"/>
        <v>0</v>
      </c>
      <c r="BF63" s="75">
        <f t="shared" si="26"/>
        <v>0</v>
      </c>
      <c r="BG63" s="75">
        <f t="shared" si="26"/>
        <v>0</v>
      </c>
      <c r="BH63" s="75">
        <f t="shared" si="26"/>
        <v>0</v>
      </c>
      <c r="BI63" s="75">
        <f t="shared" si="26"/>
        <v>0</v>
      </c>
      <c r="BJ63" s="75">
        <f t="shared" si="26"/>
        <v>0</v>
      </c>
      <c r="BK63" s="75">
        <f t="shared" si="26"/>
        <v>0</v>
      </c>
      <c r="BL63" s="75">
        <f t="shared" si="26"/>
        <v>0</v>
      </c>
      <c r="BM63" s="75">
        <f t="shared" si="26"/>
        <v>0</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c r="A64" s="145" t="s">
        <v>472</v>
      </c>
      <c r="E64" s="75">
        <f>资产资本表!E22+资产资本表!E23-资产资本表!E37</f>
        <v>1078759265.52</v>
      </c>
      <c r="F64" s="75">
        <f>资产资本表!F22+资产资本表!F23-资产资本表!F37</f>
        <v>968391148.06000006</v>
      </c>
      <c r="G64" s="75">
        <f>资产资本表!G22+资产资本表!G23-资产资本表!G37</f>
        <v>853453569.64999998</v>
      </c>
      <c r="H64" s="75">
        <f>资产资本表!H22+资产资本表!H23-资产资本表!H37</f>
        <v>874188014.07000005</v>
      </c>
      <c r="I64" s="75">
        <f>资产资本表!I22+资产资本表!I23-资产资本表!I37</f>
        <v>805472210.27999997</v>
      </c>
      <c r="J64" s="75">
        <f>资产资本表!J22+资产资本表!J23-资产资本表!J37</f>
        <v>918764003.13000011</v>
      </c>
      <c r="K64" s="75">
        <f>资产资本表!K22+资产资本表!K23-资产资本表!K37</f>
        <v>888937499.58000004</v>
      </c>
      <c r="L64" s="75">
        <f>资产资本表!L22+资产资本表!L23-资产资本表!L37</f>
        <v>829490702.40999997</v>
      </c>
      <c r="M64" s="75">
        <f>资产资本表!M22+资产资本表!M23-资产资本表!M37</f>
        <v>791224490.70000005</v>
      </c>
      <c r="N64" s="75">
        <f>资产资本表!N22+资产资本表!N23-资产资本表!N37</f>
        <v>740878601.14999998</v>
      </c>
      <c r="O64" s="75">
        <f>资产资本表!O22+资产资本表!O23-资产资本表!O37</f>
        <v>611624105.13999999</v>
      </c>
      <c r="P64" s="75">
        <f>资产资本表!P22+资产资本表!P23-资产资本表!P37</f>
        <v>574935687.90999997</v>
      </c>
      <c r="Q64" s="75">
        <f>资产资本表!Q22+资产资本表!Q23-资产资本表!Q37</f>
        <v>532729454.86999995</v>
      </c>
      <c r="R64" s="75">
        <f>资产资本表!R22+资产资本表!R23-资产资本表!R37</f>
        <v>455066430.20999998</v>
      </c>
      <c r="S64" s="75">
        <f>资产资本表!S22+资产资本表!S23-资产资本表!S37</f>
        <v>467352041.97999996</v>
      </c>
      <c r="T64" s="75">
        <f>资产资本表!T22+资产资本表!T23-资产资本表!T37</f>
        <v>480179588.12</v>
      </c>
      <c r="U64" s="75">
        <f>资产资本表!U22+资产资本表!U23-资产资本表!U37</f>
        <v>444700111.02999997</v>
      </c>
      <c r="V64" s="75">
        <f>资产资本表!V22+资产资本表!V23-资产资本表!V37</f>
        <v>372231893.61000001</v>
      </c>
      <c r="W64" s="75">
        <f>资产资本表!W22+资产资本表!W23-资产资本表!W37</f>
        <v>347565007.66000003</v>
      </c>
      <c r="X64" s="75">
        <f>资产资本表!X22+资产资本表!X23-资产资本表!X37</f>
        <v>294072741.97999996</v>
      </c>
      <c r="Y64" s="75">
        <f>资产资本表!Y22+资产资本表!Y23-资产资本表!Y37</f>
        <v>295933729.19999999</v>
      </c>
      <c r="Z64" s="75">
        <f>资产资本表!Z22+资产资本表!Z23-资产资本表!Z37</f>
        <v>269109609.57999998</v>
      </c>
      <c r="AA64" s="75">
        <f>资产资本表!AA22+资产资本表!AA23-资产资本表!AA37</f>
        <v>253655836.30000001</v>
      </c>
      <c r="AB64" s="75">
        <f>资产资本表!AB22+资产资本表!AB23-资产资本表!AB37</f>
        <v>261673856.81</v>
      </c>
      <c r="AC64" s="75">
        <f>资产资本表!AC22+资产资本表!AC23-资产资本表!AC37</f>
        <v>275000896.45999998</v>
      </c>
      <c r="AD64" s="75">
        <f>资产资本表!AD22+资产资本表!AD23-资产资本表!AD37</f>
        <v>254938315.85000002</v>
      </c>
      <c r="AE64" s="75">
        <f>资产资本表!AE22+资产资本表!AE23-资产资本表!AE37</f>
        <v>263889870.72999999</v>
      </c>
      <c r="AF64" s="75">
        <f>资产资本表!AF22+资产资本表!AF23-资产资本表!AF37</f>
        <v>225562306.19999999</v>
      </c>
      <c r="AG64" s="75">
        <f>资产资本表!AG22+资产资本表!AG23-资产资本表!AG37</f>
        <v>202417372.25</v>
      </c>
      <c r="AH64" s="75">
        <f>资产资本表!AH22+资产资本表!AH23-资产资本表!AH37</f>
        <v>173647672.42999998</v>
      </c>
      <c r="AI64" s="75">
        <f>资产资本表!AI22+资产资本表!AI23-资产资本表!AI37</f>
        <v>109487621.31999999</v>
      </c>
      <c r="AJ64" s="75">
        <f>资产资本表!AJ22+资产资本表!AJ23-资产资本表!AJ37</f>
        <v>0</v>
      </c>
      <c r="AK64" s="75">
        <f>资产资本表!AK22+资产资本表!AK23-资产资本表!AK37</f>
        <v>0</v>
      </c>
      <c r="AL64" s="75">
        <f>资产资本表!AL22+资产资本表!AL23-资产资本表!AL37</f>
        <v>0</v>
      </c>
      <c r="AM64" s="75">
        <f>资产资本表!AM22+资产资本表!AM23-资产资本表!AM37</f>
        <v>0</v>
      </c>
      <c r="AN64" s="75">
        <f>资产资本表!AN22+资产资本表!AN23-资产资本表!AN37</f>
        <v>0</v>
      </c>
      <c r="AO64" s="75">
        <f>资产资本表!AO22+资产资本表!AO23-资产资本表!AO37</f>
        <v>0</v>
      </c>
      <c r="AP64" s="75">
        <f>资产资本表!AP22+资产资本表!AP23-资产资本表!AP37</f>
        <v>0</v>
      </c>
      <c r="AQ64" s="75">
        <f>资产资本表!AQ22+资产资本表!AQ23-资产资本表!AQ37</f>
        <v>0</v>
      </c>
      <c r="AR64" s="75">
        <f>资产资本表!AR22+资产资本表!AR23-资产资本表!AR37</f>
        <v>0</v>
      </c>
      <c r="AS64" s="75">
        <f>资产资本表!AS22+资产资本表!AS23-资产资本表!AS37</f>
        <v>0</v>
      </c>
      <c r="AT64" s="75">
        <f>资产资本表!AT22+资产资本表!AT23-资产资本表!AT37</f>
        <v>0</v>
      </c>
      <c r="AU64" s="75">
        <f>资产资本表!AU22+资产资本表!AU23-资产资本表!AU37</f>
        <v>0</v>
      </c>
      <c r="AV64" s="75">
        <f>资产资本表!AV22+资产资本表!AV23-资产资本表!AV37</f>
        <v>0</v>
      </c>
      <c r="AW64" s="75">
        <f>资产资本表!AW22+资产资本表!AW23-资产资本表!AW37</f>
        <v>0</v>
      </c>
      <c r="AX64" s="75">
        <f>资产资本表!AX22+资产资本表!AX23-资产资本表!AX37</f>
        <v>0</v>
      </c>
      <c r="AY64" s="75">
        <f>资产资本表!AY22+资产资本表!AY23-资产资本表!AY37</f>
        <v>0</v>
      </c>
      <c r="AZ64" s="75">
        <f>资产资本表!AZ22+资产资本表!AZ23-资产资本表!AZ37</f>
        <v>0</v>
      </c>
      <c r="BA64" s="75">
        <f>资产资本表!BA22+资产资本表!BA23-资产资本表!BA37</f>
        <v>0</v>
      </c>
      <c r="BB64" s="75">
        <f>资产资本表!BB22+资产资本表!BB23-资产资本表!BB37</f>
        <v>0</v>
      </c>
      <c r="BC64" s="75">
        <f>资产资本表!BC22+资产资本表!BC23-资产资本表!BC37</f>
        <v>0</v>
      </c>
      <c r="BD64" s="75">
        <f>资产资本表!BD22+资产资本表!BD23-资产资本表!BD37</f>
        <v>0</v>
      </c>
      <c r="BE64" s="75">
        <f>资产资本表!BE22+资产资本表!BE23-资产资本表!BE37</f>
        <v>0</v>
      </c>
      <c r="BF64" s="75">
        <f>资产资本表!BF22+资产资本表!BF23-资产资本表!BF37</f>
        <v>0</v>
      </c>
      <c r="BG64" s="75">
        <f>资产资本表!BG22+资产资本表!BG23-资产资本表!BG37</f>
        <v>0</v>
      </c>
      <c r="BH64" s="75">
        <f>资产资本表!BH22+资产资本表!BH23-资产资本表!BH37</f>
        <v>0</v>
      </c>
      <c r="BI64" s="75">
        <f>资产资本表!BI22+资产资本表!BI23-资产资本表!BI37</f>
        <v>0</v>
      </c>
      <c r="BJ64" s="75">
        <f>资产资本表!BJ22+资产资本表!BJ23-资产资本表!BJ37</f>
        <v>0</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c r="A65" s="152" t="s">
        <v>689</v>
      </c>
      <c r="E65" s="153">
        <f>E63/(E64+I64)*2</f>
        <v>3.7053002122235328</v>
      </c>
      <c r="F65" s="153">
        <f t="shared" ref="F65:BQ65" si="28">F63/(F64+J64)*2</f>
        <v>2.6082569741317632</v>
      </c>
      <c r="G65" s="153">
        <f t="shared" si="28"/>
        <v>1.8743593165013503</v>
      </c>
      <c r="H65" s="153">
        <f t="shared" si="28"/>
        <v>1.0077733969743792</v>
      </c>
      <c r="I65" s="153">
        <f t="shared" si="28"/>
        <v>4.3288151445780283</v>
      </c>
      <c r="J65" s="153">
        <f t="shared" si="28"/>
        <v>3.0632387977082161</v>
      </c>
      <c r="K65" s="153">
        <f t="shared" si="28"/>
        <v>2.2639701899435924</v>
      </c>
      <c r="L65" s="153">
        <f t="shared" si="28"/>
        <v>1.1892751561293518</v>
      </c>
      <c r="M65" s="153">
        <f t="shared" si="28"/>
        <v>4.5708953103913217</v>
      </c>
      <c r="N65" s="153">
        <f t="shared" si="28"/>
        <v>3.6678264344070701</v>
      </c>
      <c r="O65" s="153">
        <f t="shared" si="28"/>
        <v>2.3266907260747787</v>
      </c>
      <c r="P65" s="153">
        <f t="shared" si="28"/>
        <v>0.94201302564757827</v>
      </c>
      <c r="Q65" s="153">
        <f t="shared" si="28"/>
        <v>3.5035364600893959</v>
      </c>
      <c r="R65" s="153">
        <f t="shared" si="28"/>
        <v>2.7176941667407335</v>
      </c>
      <c r="S65" s="153">
        <f t="shared" si="28"/>
        <v>1.7921425242792153</v>
      </c>
      <c r="T65" s="153">
        <f t="shared" si="28"/>
        <v>0.8469628091597784</v>
      </c>
      <c r="U65" s="153">
        <f t="shared" si="28"/>
        <v>3.3145425352393501</v>
      </c>
      <c r="V65" s="153">
        <f t="shared" si="28"/>
        <v>2.7574464884367305</v>
      </c>
      <c r="W65" s="153">
        <f t="shared" si="28"/>
        <v>1.9225404331073086</v>
      </c>
      <c r="X65" s="153">
        <f t="shared" si="28"/>
        <v>0.94070121986935873</v>
      </c>
      <c r="Y65" s="153">
        <f t="shared" si="28"/>
        <v>3.2539617035004409</v>
      </c>
      <c r="Z65" s="153">
        <f t="shared" si="28"/>
        <v>2.6467497711433503</v>
      </c>
      <c r="AA65" s="153">
        <f t="shared" si="28"/>
        <v>1.803203940064571</v>
      </c>
      <c r="AB65" s="153">
        <f t="shared" si="28"/>
        <v>0.93933816261213487</v>
      </c>
      <c r="AC65" s="153">
        <f t="shared" si="28"/>
        <v>4.183863464582501</v>
      </c>
      <c r="AD65" s="153">
        <f t="shared" si="28"/>
        <v>3.48118040491158</v>
      </c>
      <c r="AE65" s="153">
        <f t="shared" si="28"/>
        <v>2.799860038055018</v>
      </c>
      <c r="AF65" s="153">
        <f t="shared" si="28"/>
        <v>2.0717888547638905</v>
      </c>
      <c r="AG65" s="153">
        <f t="shared" si="28"/>
        <v>8.9714321484083985</v>
      </c>
      <c r="AH65" s="153">
        <f t="shared" si="28"/>
        <v>7.6358655483534381</v>
      </c>
      <c r="AI65" s="153">
        <f t="shared" si="28"/>
        <v>7.8400305334170177</v>
      </c>
      <c r="AJ65" s="153" t="e">
        <f t="shared" si="28"/>
        <v>#DIV/0!</v>
      </c>
      <c r="AK65" s="153" t="e">
        <f t="shared" si="28"/>
        <v>#DIV/0!</v>
      </c>
      <c r="AL65" s="153" t="e">
        <f t="shared" si="28"/>
        <v>#DIV/0!</v>
      </c>
      <c r="AM65" s="153" t="e">
        <f t="shared" si="28"/>
        <v>#DIV/0!</v>
      </c>
      <c r="AN65" s="153" t="e">
        <f t="shared" si="28"/>
        <v>#DIV/0!</v>
      </c>
      <c r="AO65" s="153" t="e">
        <f t="shared" si="28"/>
        <v>#DIV/0!</v>
      </c>
      <c r="AP65" s="153" t="e">
        <f t="shared" si="28"/>
        <v>#DIV/0!</v>
      </c>
      <c r="AQ65" s="153" t="e">
        <f t="shared" si="28"/>
        <v>#DIV/0!</v>
      </c>
      <c r="AR65" s="153" t="e">
        <f t="shared" si="28"/>
        <v>#DIV/0!</v>
      </c>
      <c r="AS65" s="153" t="e">
        <f t="shared" si="28"/>
        <v>#DIV/0!</v>
      </c>
      <c r="AT65" s="153" t="e">
        <f t="shared" si="28"/>
        <v>#DIV/0!</v>
      </c>
      <c r="AU65" s="153" t="e">
        <f t="shared" si="28"/>
        <v>#DIV/0!</v>
      </c>
      <c r="AV65" s="153" t="e">
        <f t="shared" si="28"/>
        <v>#DIV/0!</v>
      </c>
      <c r="AW65" s="153" t="e">
        <f t="shared" si="28"/>
        <v>#DIV/0!</v>
      </c>
      <c r="AX65" s="153" t="e">
        <f t="shared" si="28"/>
        <v>#DIV/0!</v>
      </c>
      <c r="AY65" s="153" t="e">
        <f t="shared" si="28"/>
        <v>#DIV/0!</v>
      </c>
      <c r="AZ65" s="153" t="e">
        <f t="shared" si="28"/>
        <v>#DIV/0!</v>
      </c>
      <c r="BA65" s="153" t="e">
        <f t="shared" si="28"/>
        <v>#DIV/0!</v>
      </c>
      <c r="BB65" s="153" t="e">
        <f t="shared" si="28"/>
        <v>#DIV/0!</v>
      </c>
      <c r="BC65" s="153" t="e">
        <f t="shared" si="28"/>
        <v>#DIV/0!</v>
      </c>
      <c r="BD65" s="153" t="e">
        <f t="shared" si="28"/>
        <v>#DIV/0!</v>
      </c>
      <c r="BE65" s="153" t="e">
        <f t="shared" si="28"/>
        <v>#DIV/0!</v>
      </c>
      <c r="BF65" s="153" t="e">
        <f t="shared" si="28"/>
        <v>#DIV/0!</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c r="A66" s="146" t="s">
        <v>473</v>
      </c>
      <c r="E66" s="82">
        <f>E62/E65</f>
        <v>98.507537606774719</v>
      </c>
      <c r="F66" s="82">
        <f t="shared" ref="F66:BQ66" si="30">F62/F65</f>
        <v>139.94019899879737</v>
      </c>
      <c r="G66" s="82">
        <f t="shared" si="30"/>
        <v>194.73320658778664</v>
      </c>
      <c r="H66" s="82">
        <f t="shared" si="30"/>
        <v>362.18459536224441</v>
      </c>
      <c r="I66" s="82">
        <f t="shared" si="30"/>
        <v>84.318684861647071</v>
      </c>
      <c r="J66" s="82">
        <f t="shared" si="30"/>
        <v>119.15492852632885</v>
      </c>
      <c r="K66" s="82">
        <f t="shared" si="30"/>
        <v>161.22120406942906</v>
      </c>
      <c r="L66" s="82">
        <f t="shared" si="30"/>
        <v>306.90963156746602</v>
      </c>
      <c r="M66" s="82">
        <f t="shared" si="30"/>
        <v>79.853064928050557</v>
      </c>
      <c r="N66" s="82">
        <f t="shared" si="30"/>
        <v>99.513978244994249</v>
      </c>
      <c r="O66" s="82">
        <f t="shared" si="30"/>
        <v>156.87516862878022</v>
      </c>
      <c r="P66" s="82">
        <f t="shared" si="30"/>
        <v>387.46810294802884</v>
      </c>
      <c r="Q66" s="82">
        <f t="shared" si="30"/>
        <v>104.18044857186578</v>
      </c>
      <c r="R66" s="82">
        <f t="shared" si="30"/>
        <v>134.30503125292273</v>
      </c>
      <c r="S66" s="82">
        <f t="shared" si="30"/>
        <v>203.66683734978051</v>
      </c>
      <c r="T66" s="82">
        <f t="shared" si="30"/>
        <v>430.95162627281695</v>
      </c>
      <c r="U66" s="82">
        <f t="shared" si="30"/>
        <v>110.12077718702216</v>
      </c>
      <c r="V66" s="82">
        <f t="shared" si="30"/>
        <v>132.36884252536419</v>
      </c>
      <c r="W66" s="82">
        <f t="shared" si="30"/>
        <v>189.85296418971447</v>
      </c>
      <c r="X66" s="82">
        <f t="shared" si="30"/>
        <v>388.00842636378201</v>
      </c>
      <c r="Y66" s="82">
        <f t="shared" si="30"/>
        <v>112.1709575153734</v>
      </c>
      <c r="Z66" s="82">
        <f t="shared" si="30"/>
        <v>137.90498972720277</v>
      </c>
      <c r="AA66" s="82">
        <f t="shared" si="30"/>
        <v>202.41748140087233</v>
      </c>
      <c r="AB66" s="82">
        <f t="shared" si="30"/>
        <v>388.57145863742932</v>
      </c>
      <c r="AC66" s="82">
        <f t="shared" si="30"/>
        <v>87.239940569241924</v>
      </c>
      <c r="AD66" s="82">
        <f t="shared" si="30"/>
        <v>104.84949285737198</v>
      </c>
      <c r="AE66" s="82">
        <f t="shared" si="30"/>
        <v>130.36365926832363</v>
      </c>
      <c r="AF66" s="82">
        <f t="shared" si="30"/>
        <v>176.17625423590613</v>
      </c>
      <c r="AG66" s="82">
        <f t="shared" si="30"/>
        <v>40.684697154484283</v>
      </c>
      <c r="AH66" s="82">
        <f t="shared" si="30"/>
        <v>47.800736889442334</v>
      </c>
      <c r="AI66" s="82">
        <f t="shared" si="30"/>
        <v>46.555941133677898</v>
      </c>
      <c r="AJ66" s="82" t="e">
        <f t="shared" si="30"/>
        <v>#DIV/0!</v>
      </c>
      <c r="AK66" s="82" t="e">
        <f t="shared" si="30"/>
        <v>#DIV/0!</v>
      </c>
      <c r="AL66" s="82" t="e">
        <f t="shared" si="30"/>
        <v>#DIV/0!</v>
      </c>
      <c r="AM66" s="82" t="e">
        <f t="shared" si="30"/>
        <v>#DIV/0!</v>
      </c>
      <c r="AN66" s="82" t="e">
        <f t="shared" si="30"/>
        <v>#DIV/0!</v>
      </c>
      <c r="AO66" s="82" t="e">
        <f t="shared" si="30"/>
        <v>#DIV/0!</v>
      </c>
      <c r="AP66" s="82" t="e">
        <f t="shared" si="30"/>
        <v>#DIV/0!</v>
      </c>
      <c r="AQ66" s="82" t="e">
        <f t="shared" si="30"/>
        <v>#DIV/0!</v>
      </c>
      <c r="AR66" s="82" t="e">
        <f t="shared" si="30"/>
        <v>#DIV/0!</v>
      </c>
      <c r="AS66" s="82" t="e">
        <f t="shared" si="30"/>
        <v>#DIV/0!</v>
      </c>
      <c r="AT66" s="82" t="e">
        <f t="shared" si="30"/>
        <v>#DIV/0!</v>
      </c>
      <c r="AU66" s="82" t="e">
        <f t="shared" si="30"/>
        <v>#DIV/0!</v>
      </c>
      <c r="AV66" s="82" t="e">
        <f t="shared" si="30"/>
        <v>#DIV/0!</v>
      </c>
      <c r="AW66" s="82" t="e">
        <f t="shared" si="30"/>
        <v>#DIV/0!</v>
      </c>
      <c r="AX66" s="82" t="e">
        <f t="shared" si="30"/>
        <v>#DIV/0!</v>
      </c>
      <c r="AY66" s="82" t="e">
        <f t="shared" si="30"/>
        <v>#DIV/0!</v>
      </c>
      <c r="AZ66" s="82" t="e">
        <f t="shared" si="30"/>
        <v>#DIV/0!</v>
      </c>
      <c r="BA66" s="82" t="e">
        <f t="shared" si="30"/>
        <v>#DIV/0!</v>
      </c>
      <c r="BB66" s="82" t="e">
        <f t="shared" si="30"/>
        <v>#DIV/0!</v>
      </c>
      <c r="BC66" s="82" t="e">
        <f t="shared" si="30"/>
        <v>#DIV/0!</v>
      </c>
      <c r="BD66" s="82" t="e">
        <f t="shared" si="30"/>
        <v>#DIV/0!</v>
      </c>
      <c r="BE66" s="82" t="e">
        <f t="shared" si="30"/>
        <v>#DIV/0!</v>
      </c>
      <c r="BF66" s="82" t="e">
        <f t="shared" si="30"/>
        <v>#DIV/0!</v>
      </c>
      <c r="BG66" s="82" t="e">
        <f t="shared" si="30"/>
        <v>#DIV/0!</v>
      </c>
      <c r="BH66" s="82" t="e">
        <f t="shared" si="30"/>
        <v>#DIV/0!</v>
      </c>
      <c r="BI66" s="82" t="e">
        <f t="shared" si="30"/>
        <v>#DIV/0!</v>
      </c>
      <c r="BJ66" s="82" t="e">
        <f t="shared" si="30"/>
        <v>#DIV/0!</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c r="A67" s="145" t="s">
        <v>474</v>
      </c>
      <c r="E67" s="75">
        <f>股权价值增加表!E5</f>
        <v>2458183794.1599998</v>
      </c>
      <c r="F67" s="75">
        <f>股权价值增加表!F5</f>
        <v>1715152035.3900001</v>
      </c>
      <c r="G67" s="75">
        <f>股权价值增加表!G5</f>
        <v>1121382805.5699999</v>
      </c>
      <c r="H67" s="75">
        <f>股权价值增加表!H5</f>
        <v>586000060.14999998</v>
      </c>
      <c r="I67" s="75">
        <f>股权价值增加表!I5</f>
        <v>2287928997.77</v>
      </c>
      <c r="J67" s="75">
        <f>股权价值增加表!J5</f>
        <v>1691508316.01</v>
      </c>
      <c r="K67" s="75">
        <f>股权价值增加表!K5</f>
        <v>1106353465.25</v>
      </c>
      <c r="L67" s="75">
        <f>股权价值增加表!L5</f>
        <v>557933943.28999996</v>
      </c>
      <c r="M67" s="75">
        <f>股权价值增加表!M5</f>
        <v>2087752452.5999999</v>
      </c>
      <c r="N67" s="75">
        <f>股权价值增加表!N5</f>
        <v>1550136618.78</v>
      </c>
      <c r="O67" s="75">
        <f>股权价值增加表!O5</f>
        <v>900812949.77999997</v>
      </c>
      <c r="P67" s="75">
        <f>股权价值增加表!P5</f>
        <v>352753458.19999999</v>
      </c>
      <c r="Q67" s="75">
        <f>股权价值增加表!Q5</f>
        <v>1200997442.29</v>
      </c>
      <c r="R67" s="75">
        <f>股权价值增加表!R5</f>
        <v>834680907.57000005</v>
      </c>
      <c r="S67" s="75">
        <f>股权价值增加表!S5</f>
        <v>550912426.27999997</v>
      </c>
      <c r="T67" s="75">
        <f>股权价值增加表!T5</f>
        <v>249544225.88999999</v>
      </c>
      <c r="U67" s="75">
        <f>股权价值增加表!U5</f>
        <v>945671165.38</v>
      </c>
      <c r="V67" s="75">
        <f>股权价值增加表!V5</f>
        <v>683302485.5</v>
      </c>
      <c r="W67" s="75">
        <f>股权价值增加表!W5</f>
        <v>445375619.62</v>
      </c>
      <c r="X67" s="75">
        <f>股权价值增加表!X5</f>
        <v>201367084.09</v>
      </c>
      <c r="Y67" s="75">
        <f>股权价值增加表!Y5</f>
        <v>695912228.38999999</v>
      </c>
      <c r="Z67" s="75">
        <f>股权价值增加表!Z5</f>
        <v>516678454.25999999</v>
      </c>
      <c r="AA67" s="75">
        <f>股权价值增加表!AA5</f>
        <v>344398762.08999997</v>
      </c>
      <c r="AB67" s="75">
        <f>股权价值增加表!AB5</f>
        <v>171175796.47</v>
      </c>
      <c r="AC67" s="75">
        <f>股权价值增加表!AC5</f>
        <v>710767849.80999994</v>
      </c>
      <c r="AD67" s="75">
        <f>股权价值增加表!AD5</f>
        <v>521149633.97000003</v>
      </c>
      <c r="AE67" s="75">
        <f>股权价值增加表!AE5</f>
        <v>358446580.54000002</v>
      </c>
      <c r="AF67" s="75">
        <f>股权价值增加表!AF5</f>
        <v>157996905.28</v>
      </c>
      <c r="AG67" s="75">
        <f>股权价值增加表!AG5</f>
        <v>620456706.17999995</v>
      </c>
      <c r="AH67" s="75">
        <f>股权价值增加表!AH5</f>
        <v>446637078.19</v>
      </c>
      <c r="AI67" s="75">
        <f>股权价值增加表!AI5</f>
        <v>284996651.92000002</v>
      </c>
      <c r="AJ67" s="75">
        <f>股权价值增加表!AJ5</f>
        <v>129272827.68000001</v>
      </c>
      <c r="AK67" s="75">
        <f>股权价值增加表!AK5</f>
        <v>378402105.88</v>
      </c>
      <c r="AL67" s="75">
        <f>股权价值增加表!AL5</f>
        <v>271643761.92000002</v>
      </c>
      <c r="AM67" s="75">
        <f>股权价值增加表!AM5</f>
        <v>0</v>
      </c>
      <c r="AN67" s="75">
        <f>股权价值增加表!AN5</f>
        <v>0</v>
      </c>
      <c r="AO67" s="75">
        <f>股权价值增加表!AO5</f>
        <v>0</v>
      </c>
      <c r="AP67" s="75">
        <f>股权价值增加表!AP5</f>
        <v>0</v>
      </c>
      <c r="AQ67" s="75">
        <f>股权价值增加表!AQ5</f>
        <v>0</v>
      </c>
      <c r="AR67" s="75">
        <f>股权价值增加表!AR5</f>
        <v>0</v>
      </c>
      <c r="AS67" s="75">
        <f>股权价值增加表!AS5</f>
        <v>0</v>
      </c>
      <c r="AT67" s="75">
        <f>股权价值增加表!AT5</f>
        <v>0</v>
      </c>
      <c r="AU67" s="75">
        <f>股权价值增加表!AU5</f>
        <v>0</v>
      </c>
      <c r="AV67" s="75">
        <f>股权价值增加表!AV5</f>
        <v>0</v>
      </c>
      <c r="AW67" s="75">
        <f>股权价值增加表!AW5</f>
        <v>0</v>
      </c>
      <c r="AX67" s="75">
        <f>股权价值增加表!AX5</f>
        <v>0</v>
      </c>
      <c r="AY67" s="75">
        <f>股权价值增加表!AY5</f>
        <v>0</v>
      </c>
      <c r="AZ67" s="75">
        <f>股权价值增加表!AZ5</f>
        <v>0</v>
      </c>
      <c r="BA67" s="75">
        <f>股权价值增加表!BA5</f>
        <v>0</v>
      </c>
      <c r="BB67" s="75">
        <f>股权价值增加表!BB5</f>
        <v>0</v>
      </c>
      <c r="BC67" s="75">
        <f>股权价值增加表!BC5</f>
        <v>0</v>
      </c>
      <c r="BD67" s="75">
        <f>股权价值增加表!BD5</f>
        <v>0</v>
      </c>
      <c r="BE67" s="75">
        <f>股权价值增加表!BE5</f>
        <v>0</v>
      </c>
      <c r="BF67" s="75">
        <f>股权价值增加表!BF5</f>
        <v>0</v>
      </c>
      <c r="BG67" s="75">
        <f>股权价值增加表!BG5</f>
        <v>0</v>
      </c>
      <c r="BH67" s="75">
        <f>股权价值增加表!BH5</f>
        <v>0</v>
      </c>
      <c r="BI67" s="75">
        <f>股权价值增加表!BI5</f>
        <v>0</v>
      </c>
      <c r="BJ67" s="75">
        <f>股权价值增加表!BJ5</f>
        <v>0</v>
      </c>
      <c r="BK67" s="75">
        <f>股权价值增加表!BK5</f>
        <v>0</v>
      </c>
      <c r="BL67" s="75">
        <f>股权价值增加表!BL5</f>
        <v>0</v>
      </c>
      <c r="BM67" s="75">
        <f>股权价值增加表!BM5</f>
        <v>0</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c r="A68" s="145" t="s">
        <v>475</v>
      </c>
      <c r="E68" s="75">
        <f>资产资本表!E26</f>
        <v>473892789.31</v>
      </c>
      <c r="F68" s="75">
        <f>资产资本表!F26</f>
        <v>456552265.89999998</v>
      </c>
      <c r="G68" s="75">
        <f>资产资本表!G26</f>
        <v>412339042.38</v>
      </c>
      <c r="H68" s="75">
        <f>资产资本表!H26</f>
        <v>421811947.35000002</v>
      </c>
      <c r="I68" s="75">
        <f>资产资本表!I26</f>
        <v>413438054.49000001</v>
      </c>
      <c r="J68" s="75">
        <f>资产资本表!J26</f>
        <v>373528309.89999998</v>
      </c>
      <c r="K68" s="75">
        <f>资产资本表!K26</f>
        <v>383396267.25999999</v>
      </c>
      <c r="L68" s="75">
        <f>资产资本表!L26</f>
        <v>414385138.33999997</v>
      </c>
      <c r="M68" s="75">
        <f>资产资本表!M26</f>
        <v>387825595.67000002</v>
      </c>
      <c r="N68" s="75">
        <f>资产资本表!N26</f>
        <v>400065338.60000002</v>
      </c>
      <c r="O68" s="75">
        <f>资产资本表!O26</f>
        <v>422988514.31</v>
      </c>
      <c r="P68" s="75">
        <f>资产资本表!P26</f>
        <v>426209760.06999999</v>
      </c>
      <c r="Q68" s="75">
        <f>资产资本表!Q26</f>
        <v>430416835</v>
      </c>
      <c r="R68" s="75">
        <f>资产资本表!R26</f>
        <v>463533794.06999999</v>
      </c>
      <c r="S68" s="75">
        <f>资产资本表!S26</f>
        <v>411570866.14999998</v>
      </c>
      <c r="T68" s="75">
        <f>资产资本表!T26</f>
        <v>431272318.49000001</v>
      </c>
      <c r="U68" s="75">
        <f>资产资本表!U26</f>
        <v>412096972.68000001</v>
      </c>
      <c r="V68" s="75">
        <f>资产资本表!V26</f>
        <v>388557724.57999998</v>
      </c>
      <c r="W68" s="75">
        <f>资产资本表!W26</f>
        <v>347228318</v>
      </c>
      <c r="X68" s="75">
        <f>资产资本表!X26</f>
        <v>334163204.47000003</v>
      </c>
      <c r="Y68" s="75">
        <f>资产资本表!Y26</f>
        <v>330013181.5</v>
      </c>
      <c r="Z68" s="75">
        <f>资产资本表!Z26</f>
        <v>312122382.77999997</v>
      </c>
      <c r="AA68" s="75">
        <f>资产资本表!AA26</f>
        <v>312611359.94</v>
      </c>
      <c r="AB68" s="75">
        <f>资产资本表!AB26</f>
        <v>274100015.80000001</v>
      </c>
      <c r="AC68" s="75">
        <f>资产资本表!AC26</f>
        <v>241106061.11000001</v>
      </c>
      <c r="AD68" s="75">
        <f>资产资本表!AD26</f>
        <v>242359974.72999999</v>
      </c>
      <c r="AE68" s="75">
        <f>资产资本表!AE26</f>
        <v>221608475.88999999</v>
      </c>
      <c r="AF68" s="75">
        <f>资产资本表!AF26</f>
        <v>193280057.78</v>
      </c>
      <c r="AG68" s="75">
        <f>资产资本表!AG26</f>
        <v>179425331.99000001</v>
      </c>
      <c r="AH68" s="75">
        <f>资产资本表!AH26</f>
        <v>146823501.56</v>
      </c>
      <c r="AI68" s="75">
        <f>资产资本表!AI26</f>
        <v>104262137.18000001</v>
      </c>
      <c r="AJ68" s="75">
        <f>资产资本表!AJ26</f>
        <v>0</v>
      </c>
      <c r="AK68" s="75">
        <f>资产资本表!AK26</f>
        <v>0</v>
      </c>
      <c r="AL68" s="75">
        <f>资产资本表!AL26</f>
        <v>0</v>
      </c>
      <c r="AM68" s="75">
        <f>资产资本表!AM26</f>
        <v>0</v>
      </c>
      <c r="AN68" s="75">
        <f>资产资本表!AN26</f>
        <v>0</v>
      </c>
      <c r="AO68" s="75">
        <f>资产资本表!AO26</f>
        <v>0</v>
      </c>
      <c r="AP68" s="75">
        <f>资产资本表!AP26</f>
        <v>0</v>
      </c>
      <c r="AQ68" s="75">
        <f>资产资本表!AQ26</f>
        <v>0</v>
      </c>
      <c r="AR68" s="75">
        <f>资产资本表!AR26</f>
        <v>0</v>
      </c>
      <c r="AS68" s="75">
        <f>资产资本表!AS26</f>
        <v>0</v>
      </c>
      <c r="AT68" s="75">
        <f>资产资本表!AT26</f>
        <v>0</v>
      </c>
      <c r="AU68" s="75">
        <f>资产资本表!AU26</f>
        <v>0</v>
      </c>
      <c r="AV68" s="75">
        <f>资产资本表!AV26</f>
        <v>0</v>
      </c>
      <c r="AW68" s="75">
        <f>资产资本表!AW26</f>
        <v>0</v>
      </c>
      <c r="AX68" s="75">
        <f>资产资本表!AX26</f>
        <v>0</v>
      </c>
      <c r="AY68" s="75">
        <f>资产资本表!AY26</f>
        <v>0</v>
      </c>
      <c r="AZ68" s="75">
        <f>资产资本表!AZ26</f>
        <v>0</v>
      </c>
      <c r="BA68" s="75">
        <f>资产资本表!BA26</f>
        <v>0</v>
      </c>
      <c r="BB68" s="75">
        <f>资产资本表!BB26</f>
        <v>0</v>
      </c>
      <c r="BC68" s="75">
        <f>资产资本表!BC26</f>
        <v>0</v>
      </c>
      <c r="BD68" s="75">
        <f>资产资本表!BD26</f>
        <v>0</v>
      </c>
      <c r="BE68" s="75">
        <f>资产资本表!BE26</f>
        <v>0</v>
      </c>
      <c r="BF68" s="75">
        <f>资产资本表!BF26</f>
        <v>0</v>
      </c>
      <c r="BG68" s="75">
        <f>资产资本表!BG26</f>
        <v>0</v>
      </c>
      <c r="BH68" s="75">
        <f>资产资本表!BH26</f>
        <v>0</v>
      </c>
      <c r="BI68" s="75">
        <f>资产资本表!BI26</f>
        <v>0</v>
      </c>
      <c r="BJ68" s="75">
        <f>资产资本表!BJ26</f>
        <v>0</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c r="A69" s="152" t="s">
        <v>476</v>
      </c>
      <c r="E69" s="153">
        <f>E67/(E68+I68)*2</f>
        <v>5.5406251486374849</v>
      </c>
      <c r="F69" s="153">
        <f t="shared" ref="F69:BQ69" si="32">F67/(F68+J68)*2</f>
        <v>4.1324952911637576</v>
      </c>
      <c r="G69" s="153">
        <f t="shared" si="32"/>
        <v>2.8184819549539073</v>
      </c>
      <c r="H69" s="153">
        <f t="shared" si="32"/>
        <v>1.4015835983605553</v>
      </c>
      <c r="I69" s="153">
        <f t="shared" si="32"/>
        <v>5.7108019247176269</v>
      </c>
      <c r="J69" s="153">
        <f t="shared" si="32"/>
        <v>4.3731184176339575</v>
      </c>
      <c r="K69" s="153">
        <f t="shared" si="32"/>
        <v>2.7439839901144283</v>
      </c>
      <c r="L69" s="153">
        <f t="shared" si="32"/>
        <v>1.3274740171403414</v>
      </c>
      <c r="M69" s="153">
        <f t="shared" si="32"/>
        <v>5.1030168427967961</v>
      </c>
      <c r="N69" s="153">
        <f t="shared" si="32"/>
        <v>3.5899448254132063</v>
      </c>
      <c r="O69" s="153">
        <f t="shared" si="32"/>
        <v>2.1587749676565418</v>
      </c>
      <c r="P69" s="153">
        <f t="shared" si="32"/>
        <v>0.82276578606142159</v>
      </c>
      <c r="Q69" s="153">
        <f t="shared" si="32"/>
        <v>2.8509857793242426</v>
      </c>
      <c r="R69" s="153">
        <f t="shared" si="32"/>
        <v>1.9591344105675781</v>
      </c>
      <c r="S69" s="153">
        <f t="shared" si="32"/>
        <v>1.4520638339829717</v>
      </c>
      <c r="T69" s="153">
        <f t="shared" si="32"/>
        <v>0.65203199591519512</v>
      </c>
      <c r="U69" s="153">
        <f t="shared" si="32"/>
        <v>2.5486005279766752</v>
      </c>
      <c r="V69" s="153">
        <f t="shared" si="32"/>
        <v>1.9503978443872918</v>
      </c>
      <c r="W69" s="153">
        <f t="shared" si="32"/>
        <v>1.3499510093435105</v>
      </c>
      <c r="X69" s="153">
        <f t="shared" si="32"/>
        <v>0.66210508010205127</v>
      </c>
      <c r="Y69" s="153">
        <f t="shared" si="32"/>
        <v>2.4370120159485409</v>
      </c>
      <c r="Z69" s="153">
        <f t="shared" si="32"/>
        <v>1.8636425388906328</v>
      </c>
      <c r="AA69" s="153">
        <f t="shared" si="32"/>
        <v>1.289352206680678</v>
      </c>
      <c r="AB69" s="153">
        <f t="shared" si="32"/>
        <v>0.73249077633473547</v>
      </c>
      <c r="AC69" s="153">
        <f t="shared" si="32"/>
        <v>3.3803319394087818</v>
      </c>
      <c r="AD69" s="153">
        <f t="shared" si="32"/>
        <v>2.6781693762438441</v>
      </c>
      <c r="AE69" s="153">
        <f t="shared" si="32"/>
        <v>2.1999319126269445</v>
      </c>
      <c r="AF69" s="153">
        <f t="shared" si="32"/>
        <v>1.634901262910829</v>
      </c>
      <c r="AG69" s="153">
        <f t="shared" si="32"/>
        <v>6.9160435630636607</v>
      </c>
      <c r="AH69" s="153">
        <f t="shared" si="32"/>
        <v>6.0839998153494523</v>
      </c>
      <c r="AI69" s="153">
        <f t="shared" si="32"/>
        <v>5.4669251873856517</v>
      </c>
      <c r="AJ69" s="153" t="e">
        <f t="shared" si="32"/>
        <v>#DIV/0!</v>
      </c>
      <c r="AK69" s="153" t="e">
        <f t="shared" si="32"/>
        <v>#DIV/0!</v>
      </c>
      <c r="AL69" s="153" t="e">
        <f t="shared" si="32"/>
        <v>#DIV/0!</v>
      </c>
      <c r="AM69" s="153" t="e">
        <f t="shared" si="32"/>
        <v>#DIV/0!</v>
      </c>
      <c r="AN69" s="153" t="e">
        <f t="shared" si="32"/>
        <v>#DIV/0!</v>
      </c>
      <c r="AO69" s="153" t="e">
        <f t="shared" si="32"/>
        <v>#DIV/0!</v>
      </c>
      <c r="AP69" s="153" t="e">
        <f t="shared" si="32"/>
        <v>#DIV/0!</v>
      </c>
      <c r="AQ69" s="153" t="e">
        <f t="shared" si="32"/>
        <v>#DIV/0!</v>
      </c>
      <c r="AR69" s="153" t="e">
        <f t="shared" si="32"/>
        <v>#DIV/0!</v>
      </c>
      <c r="AS69" s="153" t="e">
        <f t="shared" si="32"/>
        <v>#DIV/0!</v>
      </c>
      <c r="AT69" s="153" t="e">
        <f t="shared" si="32"/>
        <v>#DIV/0!</v>
      </c>
      <c r="AU69" s="153" t="e">
        <f t="shared" si="32"/>
        <v>#DIV/0!</v>
      </c>
      <c r="AV69" s="153" t="e">
        <f t="shared" si="32"/>
        <v>#DIV/0!</v>
      </c>
      <c r="AW69" s="153" t="e">
        <f t="shared" si="32"/>
        <v>#DIV/0!</v>
      </c>
      <c r="AX69" s="153" t="e">
        <f t="shared" si="32"/>
        <v>#DIV/0!</v>
      </c>
      <c r="AY69" s="153" t="e">
        <f t="shared" si="32"/>
        <v>#DIV/0!</v>
      </c>
      <c r="AZ69" s="153" t="e">
        <f t="shared" si="32"/>
        <v>#DIV/0!</v>
      </c>
      <c r="BA69" s="153" t="e">
        <f t="shared" si="32"/>
        <v>#DIV/0!</v>
      </c>
      <c r="BB69" s="153" t="e">
        <f t="shared" si="32"/>
        <v>#DIV/0!</v>
      </c>
      <c r="BC69" s="153" t="e">
        <f t="shared" si="32"/>
        <v>#DIV/0!</v>
      </c>
      <c r="BD69" s="153" t="e">
        <f t="shared" si="32"/>
        <v>#DIV/0!</v>
      </c>
      <c r="BE69" s="153" t="e">
        <f t="shared" si="32"/>
        <v>#DIV/0!</v>
      </c>
      <c r="BF69" s="153" t="e">
        <f t="shared" si="32"/>
        <v>#DIV/0!</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c r="A70" s="146" t="s">
        <v>477</v>
      </c>
      <c r="E70" s="82">
        <f>E62/E69</f>
        <v>65.877042789974425</v>
      </c>
      <c r="F70" s="82">
        <f t="shared" ref="F70:BQ70" si="34">F62/F69</f>
        <v>88.324359565625031</v>
      </c>
      <c r="G70" s="82">
        <f t="shared" si="34"/>
        <v>129.50233701459661</v>
      </c>
      <c r="H70" s="82">
        <f t="shared" si="34"/>
        <v>260.41971411975976</v>
      </c>
      <c r="I70" s="82">
        <f t="shared" si="34"/>
        <v>63.913965991395784</v>
      </c>
      <c r="J70" s="82">
        <f t="shared" si="34"/>
        <v>83.464467490336219</v>
      </c>
      <c r="K70" s="82">
        <f t="shared" si="34"/>
        <v>133.01826880731142</v>
      </c>
      <c r="L70" s="82">
        <f t="shared" si="34"/>
        <v>274.95830071784519</v>
      </c>
      <c r="M70" s="82">
        <f t="shared" si="34"/>
        <v>71.526316930585608</v>
      </c>
      <c r="N70" s="82">
        <f t="shared" si="34"/>
        <v>101.6728717990779</v>
      </c>
      <c r="O70" s="82">
        <f t="shared" si="34"/>
        <v>169.07737280103157</v>
      </c>
      <c r="P70" s="82">
        <f t="shared" si="34"/>
        <v>443.62564193056005</v>
      </c>
      <c r="Q70" s="82">
        <f t="shared" si="34"/>
        <v>128.02589288485137</v>
      </c>
      <c r="R70" s="82">
        <f t="shared" si="34"/>
        <v>186.30676794363299</v>
      </c>
      <c r="S70" s="82">
        <f t="shared" si="34"/>
        <v>251.36635969977635</v>
      </c>
      <c r="T70" s="82">
        <f t="shared" si="34"/>
        <v>559.78848014610742</v>
      </c>
      <c r="U70" s="82">
        <f t="shared" si="34"/>
        <v>143.21585356092356</v>
      </c>
      <c r="V70" s="82">
        <f t="shared" si="34"/>
        <v>187.1413060932002</v>
      </c>
      <c r="W70" s="82">
        <f t="shared" si="34"/>
        <v>270.38018229824632</v>
      </c>
      <c r="X70" s="82">
        <f t="shared" si="34"/>
        <v>551.27201250856126</v>
      </c>
      <c r="Y70" s="82">
        <f t="shared" si="34"/>
        <v>149.77357420124727</v>
      </c>
      <c r="Z70" s="82">
        <f t="shared" si="34"/>
        <v>195.8530095676357</v>
      </c>
      <c r="AA70" s="82">
        <f t="shared" si="34"/>
        <v>283.08789336907398</v>
      </c>
      <c r="AB70" s="82">
        <f t="shared" si="34"/>
        <v>498.29978996650379</v>
      </c>
      <c r="AC70" s="82">
        <f t="shared" si="34"/>
        <v>107.97756153611301</v>
      </c>
      <c r="AD70" s="82">
        <f t="shared" si="34"/>
        <v>136.28712330058664</v>
      </c>
      <c r="AE70" s="82">
        <f t="shared" si="34"/>
        <v>165.91422575626558</v>
      </c>
      <c r="AF70" s="82">
        <f t="shared" si="34"/>
        <v>223.25507251131646</v>
      </c>
      <c r="AG70" s="82">
        <f t="shared" si="34"/>
        <v>52.775838768475417</v>
      </c>
      <c r="AH70" s="82">
        <f t="shared" si="34"/>
        <v>59.993427198852594</v>
      </c>
      <c r="AI70" s="82">
        <f t="shared" si="34"/>
        <v>66.765135334611614</v>
      </c>
      <c r="AJ70" s="82" t="e">
        <f t="shared" si="34"/>
        <v>#DIV/0!</v>
      </c>
      <c r="AK70" s="82" t="e">
        <f t="shared" si="34"/>
        <v>#DIV/0!</v>
      </c>
      <c r="AL70" s="82" t="e">
        <f t="shared" si="34"/>
        <v>#DIV/0!</v>
      </c>
      <c r="AM70" s="82" t="e">
        <f t="shared" si="34"/>
        <v>#DIV/0!</v>
      </c>
      <c r="AN70" s="82" t="e">
        <f t="shared" si="34"/>
        <v>#DIV/0!</v>
      </c>
      <c r="AO70" s="82" t="e">
        <f t="shared" si="34"/>
        <v>#DIV/0!</v>
      </c>
      <c r="AP70" s="82" t="e">
        <f t="shared" si="34"/>
        <v>#DIV/0!</v>
      </c>
      <c r="AQ70" s="82" t="e">
        <f t="shared" si="34"/>
        <v>#DIV/0!</v>
      </c>
      <c r="AR70" s="82" t="e">
        <f t="shared" si="34"/>
        <v>#DIV/0!</v>
      </c>
      <c r="AS70" s="82" t="e">
        <f t="shared" si="34"/>
        <v>#DIV/0!</v>
      </c>
      <c r="AT70" s="82" t="e">
        <f t="shared" si="34"/>
        <v>#DIV/0!</v>
      </c>
      <c r="AU70" s="82" t="e">
        <f t="shared" si="34"/>
        <v>#DIV/0!</v>
      </c>
      <c r="AV70" s="82" t="e">
        <f t="shared" si="34"/>
        <v>#DIV/0!</v>
      </c>
      <c r="AW70" s="82" t="e">
        <f t="shared" si="34"/>
        <v>#DIV/0!</v>
      </c>
      <c r="AX70" s="82" t="e">
        <f t="shared" si="34"/>
        <v>#DIV/0!</v>
      </c>
      <c r="AY70" s="82" t="e">
        <f t="shared" si="34"/>
        <v>#DIV/0!</v>
      </c>
      <c r="AZ70" s="82" t="e">
        <f t="shared" si="34"/>
        <v>#DIV/0!</v>
      </c>
      <c r="BA70" s="82" t="e">
        <f t="shared" si="34"/>
        <v>#DIV/0!</v>
      </c>
      <c r="BB70" s="82" t="e">
        <f t="shared" si="34"/>
        <v>#DIV/0!</v>
      </c>
      <c r="BC70" s="82" t="e">
        <f t="shared" si="34"/>
        <v>#DIV/0!</v>
      </c>
      <c r="BD70" s="82" t="e">
        <f t="shared" si="34"/>
        <v>#DIV/0!</v>
      </c>
      <c r="BE70" s="82" t="e">
        <f t="shared" si="34"/>
        <v>#DIV/0!</v>
      </c>
      <c r="BF70" s="82" t="e">
        <f t="shared" si="34"/>
        <v>#DIV/0!</v>
      </c>
      <c r="BG70" s="82" t="e">
        <f t="shared" si="34"/>
        <v>#DIV/0!</v>
      </c>
      <c r="BH70" s="82" t="e">
        <f t="shared" si="34"/>
        <v>#DIV/0!</v>
      </c>
      <c r="BI70" s="82" t="e">
        <f t="shared" si="34"/>
        <v>#DIV/0!</v>
      </c>
      <c r="BJ70" s="82" t="e">
        <f t="shared" si="34"/>
        <v>#DIV/0!</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c r="A71" s="145" t="s">
        <v>478</v>
      </c>
      <c r="E71" s="75">
        <f>资产资本表!E35+资产资本表!E36-资产资本表!E24</f>
        <v>589717378.67000008</v>
      </c>
      <c r="F71" s="75">
        <f>资产资本表!F35+资产资本表!F36-资产资本表!F24</f>
        <v>526646174.58999991</v>
      </c>
      <c r="G71" s="75">
        <f>资产资本表!G35+资产资本表!G36-资产资本表!G24</f>
        <v>519980864.83000004</v>
      </c>
      <c r="H71" s="75">
        <f>资产资本表!H35+资产资本表!H36-资产资本表!H24</f>
        <v>560852065.20000005</v>
      </c>
      <c r="I71" s="75">
        <f>资产资本表!I35+资产资本表!I36-资产资本表!I24</f>
        <v>530190918.72999996</v>
      </c>
      <c r="J71" s="75">
        <f>资产资本表!J35+资产资本表!J36-资产资本表!J24</f>
        <v>487739799.69999993</v>
      </c>
      <c r="K71" s="75">
        <f>资产资本表!K35+资产资本表!K36-资产资本表!K24</f>
        <v>442122767.00999999</v>
      </c>
      <c r="L71" s="75">
        <f>资产资本表!L35+资产资本表!L36-资产资本表!L24</f>
        <v>455330024.99000001</v>
      </c>
      <c r="M71" s="75">
        <f>资产资本表!M35+资产资本表!M36-资产资本表!M24</f>
        <v>463918247.56999993</v>
      </c>
      <c r="N71" s="75">
        <f>资产资本表!N35+资产资本表!N36-资产资本表!N24</f>
        <v>408344158.28999996</v>
      </c>
      <c r="O71" s="75">
        <f>资产资本表!O35+资产资本表!O36-资产资本表!O24</f>
        <v>302327681.81</v>
      </c>
      <c r="P71" s="75">
        <f>资产资本表!P35+资产资本表!P36-资产资本表!P24</f>
        <v>309564630.46000004</v>
      </c>
      <c r="Q71" s="75">
        <f>资产资本表!Q35+资产资本表!Q36-资产资本表!Q24</f>
        <v>304303452.89999998</v>
      </c>
      <c r="R71" s="75">
        <f>资产资本表!R35+资产资本表!R36-资产资本表!R24</f>
        <v>342330924.53000003</v>
      </c>
      <c r="S71" s="75">
        <f>资产资本表!S35+资产资本表!S36-资产资本表!S24</f>
        <v>325962819.63000005</v>
      </c>
      <c r="T71" s="75">
        <f>资产资本表!T35+资产资本表!T36-资产资本表!T24</f>
        <v>377153946.53000003</v>
      </c>
      <c r="U71" s="75">
        <f>资产资本表!U35+资产资本表!U36-资产资本表!U24</f>
        <v>349978543.34000003</v>
      </c>
      <c r="V71" s="75">
        <f>资产资本表!V35+资产资本表!V36-资产资本表!V24</f>
        <v>324993641.98000002</v>
      </c>
      <c r="W71" s="75">
        <f>资产资本表!W35+资产资本表!W36-资产资本表!W24</f>
        <v>301259499.42000002</v>
      </c>
      <c r="X71" s="75">
        <f>资产资本表!X35+资产资本表!X36-资产资本表!X24</f>
        <v>198868240.58000001</v>
      </c>
      <c r="Y71" s="75">
        <f>资产资本表!Y35+资产资本表!Y36-资产资本表!Y24</f>
        <v>159371587.45999998</v>
      </c>
      <c r="Z71" s="75">
        <f>资产资本表!Z35+资产资本表!Z36-资产资本表!Z24</f>
        <v>70759615.00999999</v>
      </c>
      <c r="AA71" s="75">
        <f>资产资本表!AA35+资产资本表!AA36-资产资本表!AA24</f>
        <v>98256774.979999989</v>
      </c>
      <c r="AB71" s="75">
        <f>资产资本表!AB35+资产资本表!AB36-资产资本表!AB24</f>
        <v>83250844.5</v>
      </c>
      <c r="AC71" s="75">
        <f>资产资本表!AC35+资产资本表!AC36-资产资本表!AC24</f>
        <v>116291061.42999999</v>
      </c>
      <c r="AD71" s="75">
        <f>资产资本表!AD35+资产资本表!AD36-资产资本表!AD24</f>
        <v>104635488.45</v>
      </c>
      <c r="AE71" s="75">
        <f>资产资本表!AE35+资产资本表!AE36-资产资本表!AE24</f>
        <v>127166783.23</v>
      </c>
      <c r="AF71" s="75">
        <f>资产资本表!AF35+资产资本表!AF36-资产资本表!AF24</f>
        <v>99771626.799999997</v>
      </c>
      <c r="AG71" s="75">
        <f>资产资本表!AG35+资产资本表!AG36-资产资本表!AG24</f>
        <v>100160161.76000001</v>
      </c>
      <c r="AH71" s="75">
        <f>资产资本表!AH35+资产资本表!AH36-资产资本表!AH24</f>
        <v>159606424.41</v>
      </c>
      <c r="AI71" s="75">
        <f>资产资本表!AI35+资产资本表!AI36-资产资本表!AI24</f>
        <v>49604332.479999997</v>
      </c>
      <c r="AJ71" s="75">
        <f>资产资本表!AJ35+资产资本表!AJ36-资产资本表!AJ24</f>
        <v>0</v>
      </c>
      <c r="AK71" s="75">
        <f>资产资本表!AK35+资产资本表!AK36-资产资本表!AK24</f>
        <v>0</v>
      </c>
      <c r="AL71" s="75">
        <f>资产资本表!AL35+资产资本表!AL36-资产资本表!AL24</f>
        <v>0</v>
      </c>
      <c r="AM71" s="75">
        <f>资产资本表!AM35+资产资本表!AM36-资产资本表!AM24</f>
        <v>0</v>
      </c>
      <c r="AN71" s="75">
        <f>资产资本表!AN35+资产资本表!AN36-资产资本表!AN24</f>
        <v>0</v>
      </c>
      <c r="AO71" s="75">
        <f>资产资本表!AO35+资产资本表!AO36-资产资本表!AO24</f>
        <v>0</v>
      </c>
      <c r="AP71" s="75">
        <f>资产资本表!AP35+资产资本表!AP36-资产资本表!AP24</f>
        <v>0</v>
      </c>
      <c r="AQ71" s="75">
        <f>资产资本表!AQ35+资产资本表!AQ36-资产资本表!AQ24</f>
        <v>0</v>
      </c>
      <c r="AR71" s="75">
        <f>资产资本表!AR35+资产资本表!AR36-资产资本表!AR24</f>
        <v>0</v>
      </c>
      <c r="AS71" s="75">
        <f>资产资本表!AS35+资产资本表!AS36-资产资本表!AS24</f>
        <v>0</v>
      </c>
      <c r="AT71" s="75">
        <f>资产资本表!AT35+资产资本表!AT36-资产资本表!AT24</f>
        <v>0</v>
      </c>
      <c r="AU71" s="75">
        <f>资产资本表!AU35+资产资本表!AU36-资产资本表!AU24</f>
        <v>0</v>
      </c>
      <c r="AV71" s="75">
        <f>资产资本表!AV35+资产资本表!AV36-资产资本表!AV24</f>
        <v>0</v>
      </c>
      <c r="AW71" s="75">
        <f>资产资本表!AW35+资产资本表!AW36-资产资本表!AW24</f>
        <v>0</v>
      </c>
      <c r="AX71" s="75">
        <f>资产资本表!AX35+资产资本表!AX36-资产资本表!AX24</f>
        <v>0</v>
      </c>
      <c r="AY71" s="75">
        <f>资产资本表!AY35+资产资本表!AY36-资产资本表!AY24</f>
        <v>0</v>
      </c>
      <c r="AZ71" s="75">
        <f>资产资本表!AZ35+资产资本表!AZ36-资产资本表!AZ24</f>
        <v>0</v>
      </c>
      <c r="BA71" s="75">
        <f>资产资本表!BA35+资产资本表!BA36-资产资本表!BA24</f>
        <v>0</v>
      </c>
      <c r="BB71" s="75">
        <f>资产资本表!BB35+资产资本表!BB36-资产资本表!BB24</f>
        <v>0</v>
      </c>
      <c r="BC71" s="75">
        <f>资产资本表!BC35+资产资本表!BC36-资产资本表!BC24</f>
        <v>0</v>
      </c>
      <c r="BD71" s="75">
        <f>资产资本表!BD35+资产资本表!BD36-资产资本表!BD24</f>
        <v>0</v>
      </c>
      <c r="BE71" s="75">
        <f>资产资本表!BE35+资产资本表!BE36-资产资本表!BE24</f>
        <v>0</v>
      </c>
      <c r="BF71" s="75">
        <f>资产资本表!BF35+资产资本表!BF36-资产资本表!BF24</f>
        <v>0</v>
      </c>
      <c r="BG71" s="75">
        <f>资产资本表!BG35+资产资本表!BG36-资产资本表!BG24</f>
        <v>0</v>
      </c>
      <c r="BH71" s="75">
        <f>资产资本表!BH35+资产资本表!BH36-资产资本表!BH24</f>
        <v>0</v>
      </c>
      <c r="BI71" s="75">
        <f>资产资本表!BI35+资产资本表!BI36-资产资本表!BI24</f>
        <v>0</v>
      </c>
      <c r="BJ71" s="75">
        <f>资产资本表!BJ35+资产资本表!BJ36-资产资本表!BJ24</f>
        <v>0</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c r="A72" s="152" t="s">
        <v>479</v>
      </c>
      <c r="E72" s="153">
        <f>E67/(E71+I71)*2</f>
        <v>4.3899733574025035</v>
      </c>
      <c r="F72" s="153">
        <f t="shared" ref="F72:BQ72" si="36">F67/(F71+J71)*2</f>
        <v>3.3816556594061509</v>
      </c>
      <c r="G72" s="153">
        <f t="shared" si="36"/>
        <v>2.3311060647913413</v>
      </c>
      <c r="H72" s="153">
        <f t="shared" si="36"/>
        <v>1.1533367214539925</v>
      </c>
      <c r="I72" s="153">
        <f t="shared" si="36"/>
        <v>4.6029733460470963</v>
      </c>
      <c r="J72" s="153">
        <f t="shared" si="36"/>
        <v>3.7753344447862034</v>
      </c>
      <c r="K72" s="153">
        <f t="shared" si="36"/>
        <v>2.9722689186463351</v>
      </c>
      <c r="L72" s="153">
        <f t="shared" si="36"/>
        <v>1.45885172373641</v>
      </c>
      <c r="M72" s="153">
        <f t="shared" si="36"/>
        <v>5.4352863276908421</v>
      </c>
      <c r="N72" s="153">
        <f t="shared" si="36"/>
        <v>4.1299802118294053</v>
      </c>
      <c r="O72" s="153">
        <f t="shared" si="36"/>
        <v>2.8675045945001445</v>
      </c>
      <c r="P72" s="153">
        <f t="shared" si="36"/>
        <v>1.0273595910166757</v>
      </c>
      <c r="Q72" s="153">
        <f t="shared" si="36"/>
        <v>3.6711920828995481</v>
      </c>
      <c r="R72" s="153">
        <f t="shared" si="36"/>
        <v>2.5015740449516097</v>
      </c>
      <c r="S72" s="153">
        <f t="shared" si="36"/>
        <v>1.7566735415742853</v>
      </c>
      <c r="T72" s="153">
        <f t="shared" si="36"/>
        <v>0.86643963192461471</v>
      </c>
      <c r="U72" s="153">
        <f t="shared" si="36"/>
        <v>3.7132459901196122</v>
      </c>
      <c r="V72" s="153">
        <f t="shared" si="36"/>
        <v>3.4531742869131503</v>
      </c>
      <c r="W72" s="153">
        <f t="shared" si="36"/>
        <v>2.2295743535798254</v>
      </c>
      <c r="X72" s="153">
        <f t="shared" si="36"/>
        <v>1.4275325189921035</v>
      </c>
      <c r="Y72" s="153">
        <f t="shared" si="36"/>
        <v>5.0490135765015864</v>
      </c>
      <c r="Z72" s="153">
        <f t="shared" si="36"/>
        <v>5.8915949655097632</v>
      </c>
      <c r="AA72" s="153">
        <f t="shared" si="36"/>
        <v>3.0555702769021607</v>
      </c>
      <c r="AB72" s="153">
        <f t="shared" si="36"/>
        <v>1.8705440403481208</v>
      </c>
      <c r="AC72" s="153">
        <f t="shared" si="36"/>
        <v>6.567464386062543</v>
      </c>
      <c r="AD72" s="153">
        <f t="shared" si="36"/>
        <v>3.9444888082241079</v>
      </c>
      <c r="AE72" s="153">
        <f t="shared" si="36"/>
        <v>4.0554881276876227</v>
      </c>
      <c r="AF72" s="153">
        <f t="shared" si="36"/>
        <v>3.1671710755346729</v>
      </c>
      <c r="AG72" s="153">
        <f t="shared" si="36"/>
        <v>12.389291216735749</v>
      </c>
      <c r="AH72" s="153">
        <f t="shared" si="36"/>
        <v>5.5967305807524417</v>
      </c>
      <c r="AI72" s="153">
        <f t="shared" si="36"/>
        <v>11.49079677808014</v>
      </c>
      <c r="AJ72" s="153" t="e">
        <f t="shared" si="36"/>
        <v>#DIV/0!</v>
      </c>
      <c r="AK72" s="153" t="e">
        <f t="shared" si="36"/>
        <v>#DIV/0!</v>
      </c>
      <c r="AL72" s="153" t="e">
        <f t="shared" si="36"/>
        <v>#DIV/0!</v>
      </c>
      <c r="AM72" s="153" t="e">
        <f t="shared" si="36"/>
        <v>#DIV/0!</v>
      </c>
      <c r="AN72" s="153" t="e">
        <f t="shared" si="36"/>
        <v>#DIV/0!</v>
      </c>
      <c r="AO72" s="153" t="e">
        <f t="shared" si="36"/>
        <v>#DIV/0!</v>
      </c>
      <c r="AP72" s="153" t="e">
        <f t="shared" si="36"/>
        <v>#DIV/0!</v>
      </c>
      <c r="AQ72" s="153" t="e">
        <f t="shared" si="36"/>
        <v>#DIV/0!</v>
      </c>
      <c r="AR72" s="153" t="e">
        <f t="shared" si="36"/>
        <v>#DIV/0!</v>
      </c>
      <c r="AS72" s="153" t="e">
        <f t="shared" si="36"/>
        <v>#DIV/0!</v>
      </c>
      <c r="AT72" s="153" t="e">
        <f t="shared" si="36"/>
        <v>#DIV/0!</v>
      </c>
      <c r="AU72" s="153" t="e">
        <f t="shared" si="36"/>
        <v>#DIV/0!</v>
      </c>
      <c r="AV72" s="153" t="e">
        <f t="shared" si="36"/>
        <v>#DIV/0!</v>
      </c>
      <c r="AW72" s="153" t="e">
        <f t="shared" si="36"/>
        <v>#DIV/0!</v>
      </c>
      <c r="AX72" s="153" t="e">
        <f t="shared" si="36"/>
        <v>#DIV/0!</v>
      </c>
      <c r="AY72" s="153" t="e">
        <f t="shared" si="36"/>
        <v>#DIV/0!</v>
      </c>
      <c r="AZ72" s="153" t="e">
        <f t="shared" si="36"/>
        <v>#DIV/0!</v>
      </c>
      <c r="BA72" s="153" t="e">
        <f t="shared" si="36"/>
        <v>#DIV/0!</v>
      </c>
      <c r="BB72" s="153" t="e">
        <f t="shared" si="36"/>
        <v>#DIV/0!</v>
      </c>
      <c r="BC72" s="153" t="e">
        <f t="shared" si="36"/>
        <v>#DIV/0!</v>
      </c>
      <c r="BD72" s="153" t="e">
        <f t="shared" si="36"/>
        <v>#DIV/0!</v>
      </c>
      <c r="BE72" s="153" t="e">
        <f t="shared" si="36"/>
        <v>#DIV/0!</v>
      </c>
      <c r="BF72" s="153" t="e">
        <f t="shared" si="36"/>
        <v>#DIV/0!</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c r="A73" s="146" t="s">
        <v>480</v>
      </c>
      <c r="E73" s="82">
        <f>E62/E72</f>
        <v>83.144012567758793</v>
      </c>
      <c r="F73" s="82">
        <f t="shared" ref="F73:BQ73" si="38">F62/F72</f>
        <v>107.9352946491593</v>
      </c>
      <c r="G73" s="82">
        <f t="shared" si="38"/>
        <v>156.57803199644258</v>
      </c>
      <c r="H73" s="82">
        <f t="shared" si="38"/>
        <v>316.47305874372103</v>
      </c>
      <c r="I73" s="82">
        <f t="shared" si="38"/>
        <v>79.296570403444051</v>
      </c>
      <c r="J73" s="82">
        <f t="shared" si="38"/>
        <v>96.680176375915721</v>
      </c>
      <c r="K73" s="82">
        <f t="shared" si="38"/>
        <v>122.80180898511448</v>
      </c>
      <c r="L73" s="82">
        <f t="shared" si="38"/>
        <v>250.19677741145773</v>
      </c>
      <c r="M73" s="82">
        <f t="shared" si="38"/>
        <v>67.153775899616434</v>
      </c>
      <c r="N73" s="82">
        <f t="shared" si="38"/>
        <v>88.378147419336074</v>
      </c>
      <c r="O73" s="82">
        <f t="shared" si="38"/>
        <v>127.28837495154067</v>
      </c>
      <c r="P73" s="82">
        <f t="shared" si="38"/>
        <v>355.27969290557337</v>
      </c>
      <c r="Q73" s="82">
        <f t="shared" si="38"/>
        <v>99.422746551501319</v>
      </c>
      <c r="R73" s="82">
        <f t="shared" si="38"/>
        <v>145.90813361555345</v>
      </c>
      <c r="S73" s="82">
        <f t="shared" si="38"/>
        <v>207.77907298182248</v>
      </c>
      <c r="T73" s="82">
        <f t="shared" si="38"/>
        <v>421.26420185700499</v>
      </c>
      <c r="U73" s="82">
        <f t="shared" si="38"/>
        <v>98.296746558458551</v>
      </c>
      <c r="V73" s="82">
        <f t="shared" si="38"/>
        <v>105.69984879804012</v>
      </c>
      <c r="W73" s="82">
        <f t="shared" si="38"/>
        <v>163.70837752683718</v>
      </c>
      <c r="X73" s="82">
        <f t="shared" si="38"/>
        <v>255.68594420371241</v>
      </c>
      <c r="Y73" s="82">
        <f t="shared" si="38"/>
        <v>72.291348492056343</v>
      </c>
      <c r="Z73" s="82">
        <f t="shared" si="38"/>
        <v>61.952663436091932</v>
      </c>
      <c r="AA73" s="82">
        <f t="shared" si="38"/>
        <v>119.45396993783079</v>
      </c>
      <c r="AB73" s="82">
        <f t="shared" si="38"/>
        <v>195.1303963589497</v>
      </c>
      <c r="AC73" s="82">
        <f t="shared" si="38"/>
        <v>55.577004844457491</v>
      </c>
      <c r="AD73" s="82">
        <f t="shared" si="38"/>
        <v>92.534170521409266</v>
      </c>
      <c r="AE73" s="82">
        <f t="shared" si="38"/>
        <v>90.001496369345162</v>
      </c>
      <c r="AF73" s="82">
        <f t="shared" si="38"/>
        <v>115.24480089487484</v>
      </c>
      <c r="AG73" s="82">
        <f t="shared" si="38"/>
        <v>29.460926667616732</v>
      </c>
      <c r="AH73" s="82">
        <f t="shared" si="38"/>
        <v>65.216646528468104</v>
      </c>
      <c r="AI73" s="82">
        <f t="shared" si="38"/>
        <v>31.764550974939745</v>
      </c>
      <c r="AJ73" s="82" t="e">
        <f t="shared" si="38"/>
        <v>#DIV/0!</v>
      </c>
      <c r="AK73" s="82" t="e">
        <f t="shared" si="38"/>
        <v>#DIV/0!</v>
      </c>
      <c r="AL73" s="82" t="e">
        <f t="shared" si="38"/>
        <v>#DIV/0!</v>
      </c>
      <c r="AM73" s="82" t="e">
        <f t="shared" si="38"/>
        <v>#DIV/0!</v>
      </c>
      <c r="AN73" s="82" t="e">
        <f t="shared" si="38"/>
        <v>#DIV/0!</v>
      </c>
      <c r="AO73" s="82" t="e">
        <f t="shared" si="38"/>
        <v>#DIV/0!</v>
      </c>
      <c r="AP73" s="82" t="e">
        <f t="shared" si="38"/>
        <v>#DIV/0!</v>
      </c>
      <c r="AQ73" s="82" t="e">
        <f t="shared" si="38"/>
        <v>#DIV/0!</v>
      </c>
      <c r="AR73" s="82" t="e">
        <f t="shared" si="38"/>
        <v>#DIV/0!</v>
      </c>
      <c r="AS73" s="82" t="e">
        <f t="shared" si="38"/>
        <v>#DIV/0!</v>
      </c>
      <c r="AT73" s="82" t="e">
        <f t="shared" si="38"/>
        <v>#DIV/0!</v>
      </c>
      <c r="AU73" s="82" t="e">
        <f t="shared" si="38"/>
        <v>#DIV/0!</v>
      </c>
      <c r="AV73" s="82" t="e">
        <f t="shared" si="38"/>
        <v>#DIV/0!</v>
      </c>
      <c r="AW73" s="82" t="e">
        <f t="shared" si="38"/>
        <v>#DIV/0!</v>
      </c>
      <c r="AX73" s="82" t="e">
        <f t="shared" si="38"/>
        <v>#DIV/0!</v>
      </c>
      <c r="AY73" s="82" t="e">
        <f t="shared" si="38"/>
        <v>#DIV/0!</v>
      </c>
      <c r="AZ73" s="82" t="e">
        <f t="shared" si="38"/>
        <v>#DIV/0!</v>
      </c>
      <c r="BA73" s="82" t="e">
        <f t="shared" si="38"/>
        <v>#DIV/0!</v>
      </c>
      <c r="BB73" s="82" t="e">
        <f t="shared" si="38"/>
        <v>#DIV/0!</v>
      </c>
      <c r="BC73" s="82" t="e">
        <f t="shared" si="38"/>
        <v>#DIV/0!</v>
      </c>
      <c r="BD73" s="82" t="e">
        <f t="shared" si="38"/>
        <v>#DIV/0!</v>
      </c>
      <c r="BE73" s="82" t="e">
        <f t="shared" si="38"/>
        <v>#DIV/0!</v>
      </c>
      <c r="BF73" s="82" t="e">
        <f t="shared" si="38"/>
        <v>#DIV/0!</v>
      </c>
      <c r="BG73" s="82" t="e">
        <f t="shared" si="38"/>
        <v>#DIV/0!</v>
      </c>
      <c r="BH73" s="82" t="e">
        <f t="shared" si="38"/>
        <v>#DIV/0!</v>
      </c>
      <c r="BI73" s="82" t="e">
        <f t="shared" si="38"/>
        <v>#DIV/0!</v>
      </c>
      <c r="BJ73" s="82" t="e">
        <f t="shared" si="38"/>
        <v>#DIV/0!</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c r="A74" s="253" t="s">
        <v>481</v>
      </c>
      <c r="E74" s="254">
        <f>E66+E70</f>
        <v>164.38458039674913</v>
      </c>
      <c r="F74" s="254">
        <f t="shared" ref="F74:BQ74" si="40">F66+F70</f>
        <v>228.2645585644224</v>
      </c>
      <c r="G74" s="254">
        <f t="shared" si="40"/>
        <v>324.23554360238325</v>
      </c>
      <c r="H74" s="254">
        <f t="shared" si="40"/>
        <v>622.60430948200417</v>
      </c>
      <c r="I74" s="254">
        <f t="shared" si="40"/>
        <v>148.23265085304286</v>
      </c>
      <c r="J74" s="254">
        <f t="shared" si="40"/>
        <v>202.61939601666506</v>
      </c>
      <c r="K74" s="254">
        <f t="shared" si="40"/>
        <v>294.23947287674048</v>
      </c>
      <c r="L74" s="254">
        <f t="shared" si="40"/>
        <v>581.86793228531121</v>
      </c>
      <c r="M74" s="254">
        <f t="shared" si="40"/>
        <v>151.37938185863618</v>
      </c>
      <c r="N74" s="254">
        <f t="shared" si="40"/>
        <v>201.18685004407214</v>
      </c>
      <c r="O74" s="254">
        <f t="shared" si="40"/>
        <v>325.95254142981179</v>
      </c>
      <c r="P74" s="254">
        <f t="shared" si="40"/>
        <v>831.09374487858895</v>
      </c>
      <c r="Q74" s="254">
        <f t="shared" si="40"/>
        <v>232.20634145671715</v>
      </c>
      <c r="R74" s="254">
        <f t="shared" si="40"/>
        <v>320.61179919655569</v>
      </c>
      <c r="S74" s="254">
        <f t="shared" si="40"/>
        <v>455.03319704955686</v>
      </c>
      <c r="T74" s="254">
        <f t="shared" si="40"/>
        <v>990.74010641892437</v>
      </c>
      <c r="U74" s="254">
        <f t="shared" si="40"/>
        <v>253.33663074794572</v>
      </c>
      <c r="V74" s="254">
        <f t="shared" si="40"/>
        <v>319.51014861856436</v>
      </c>
      <c r="W74" s="254">
        <f t="shared" si="40"/>
        <v>460.23314648796077</v>
      </c>
      <c r="X74" s="254">
        <f t="shared" si="40"/>
        <v>939.28043887234321</v>
      </c>
      <c r="Y74" s="254">
        <f t="shared" si="40"/>
        <v>261.94453171662065</v>
      </c>
      <c r="Z74" s="254">
        <f t="shared" si="40"/>
        <v>333.75799929483844</v>
      </c>
      <c r="AA74" s="254">
        <f t="shared" si="40"/>
        <v>485.50537476994634</v>
      </c>
      <c r="AB74" s="254">
        <f t="shared" si="40"/>
        <v>886.87124860393305</v>
      </c>
      <c r="AC74" s="254">
        <f t="shared" si="40"/>
        <v>195.21750210535492</v>
      </c>
      <c r="AD74" s="254">
        <f t="shared" si="40"/>
        <v>241.13661615795863</v>
      </c>
      <c r="AE74" s="254">
        <f t="shared" si="40"/>
        <v>296.27788502458918</v>
      </c>
      <c r="AF74" s="254">
        <f t="shared" si="40"/>
        <v>399.43132674722256</v>
      </c>
      <c r="AG74" s="254">
        <f t="shared" si="40"/>
        <v>93.460535922959707</v>
      </c>
      <c r="AH74" s="254">
        <f t="shared" si="40"/>
        <v>107.79416408829493</v>
      </c>
      <c r="AI74" s="254">
        <f t="shared" si="40"/>
        <v>113.3210764682895</v>
      </c>
      <c r="AJ74" s="254" t="e">
        <f t="shared" si="40"/>
        <v>#DIV/0!</v>
      </c>
      <c r="AK74" s="254" t="e">
        <f t="shared" si="40"/>
        <v>#DIV/0!</v>
      </c>
      <c r="AL74" s="254" t="e">
        <f t="shared" si="40"/>
        <v>#DIV/0!</v>
      </c>
      <c r="AM74" s="254" t="e">
        <f t="shared" si="40"/>
        <v>#DIV/0!</v>
      </c>
      <c r="AN74" s="254" t="e">
        <f t="shared" si="40"/>
        <v>#DIV/0!</v>
      </c>
      <c r="AO74" s="254" t="e">
        <f t="shared" si="40"/>
        <v>#DIV/0!</v>
      </c>
      <c r="AP74" s="254" t="e">
        <f t="shared" si="40"/>
        <v>#DIV/0!</v>
      </c>
      <c r="AQ74" s="254" t="e">
        <f t="shared" si="40"/>
        <v>#DIV/0!</v>
      </c>
      <c r="AR74" s="254" t="e">
        <f t="shared" si="40"/>
        <v>#DIV/0!</v>
      </c>
      <c r="AS74" s="254" t="e">
        <f t="shared" si="40"/>
        <v>#DIV/0!</v>
      </c>
      <c r="AT74" s="254" t="e">
        <f t="shared" si="40"/>
        <v>#DIV/0!</v>
      </c>
      <c r="AU74" s="254" t="e">
        <f t="shared" si="40"/>
        <v>#DIV/0!</v>
      </c>
      <c r="AV74" s="254" t="e">
        <f t="shared" si="40"/>
        <v>#DIV/0!</v>
      </c>
      <c r="AW74" s="254" t="e">
        <f t="shared" si="40"/>
        <v>#DIV/0!</v>
      </c>
      <c r="AX74" s="254" t="e">
        <f t="shared" si="40"/>
        <v>#DIV/0!</v>
      </c>
      <c r="AY74" s="254" t="e">
        <f t="shared" si="40"/>
        <v>#DIV/0!</v>
      </c>
      <c r="AZ74" s="254" t="e">
        <f t="shared" si="40"/>
        <v>#DIV/0!</v>
      </c>
      <c r="BA74" s="254" t="e">
        <f t="shared" si="40"/>
        <v>#DIV/0!</v>
      </c>
      <c r="BB74" s="254" t="e">
        <f t="shared" si="40"/>
        <v>#DIV/0!</v>
      </c>
      <c r="BC74" s="254" t="e">
        <f t="shared" si="40"/>
        <v>#DIV/0!</v>
      </c>
      <c r="BD74" s="254" t="e">
        <f t="shared" si="40"/>
        <v>#DIV/0!</v>
      </c>
      <c r="BE74" s="254" t="e">
        <f t="shared" si="40"/>
        <v>#DIV/0!</v>
      </c>
      <c r="BF74" s="254" t="e">
        <f t="shared" si="40"/>
        <v>#DIV/0!</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c r="A75" s="253" t="s">
        <v>482</v>
      </c>
      <c r="E75" s="254">
        <f>E74-E73</f>
        <v>81.240567828990336</v>
      </c>
      <c r="F75" s="254">
        <f t="shared" ref="F75:BQ75" si="42">F74-F73</f>
        <v>120.3292639152631</v>
      </c>
      <c r="G75" s="254">
        <f t="shared" si="42"/>
        <v>167.65751160594067</v>
      </c>
      <c r="H75" s="254">
        <f t="shared" si="42"/>
        <v>306.13125073828314</v>
      </c>
      <c r="I75" s="254">
        <f t="shared" si="42"/>
        <v>68.936080449598805</v>
      </c>
      <c r="J75" s="254">
        <f t="shared" si="42"/>
        <v>105.93921964074934</v>
      </c>
      <c r="K75" s="254">
        <f t="shared" si="42"/>
        <v>171.43766389162602</v>
      </c>
      <c r="L75" s="254">
        <f t="shared" si="42"/>
        <v>331.67115487385348</v>
      </c>
      <c r="M75" s="254">
        <f t="shared" si="42"/>
        <v>84.225605959019745</v>
      </c>
      <c r="N75" s="254">
        <f t="shared" si="42"/>
        <v>112.80870262473607</v>
      </c>
      <c r="O75" s="254">
        <f t="shared" si="42"/>
        <v>198.66416647827111</v>
      </c>
      <c r="P75" s="254">
        <f t="shared" si="42"/>
        <v>475.81405197301558</v>
      </c>
      <c r="Q75" s="254">
        <f t="shared" si="42"/>
        <v>132.78359490521584</v>
      </c>
      <c r="R75" s="254">
        <f t="shared" si="42"/>
        <v>174.70366558100224</v>
      </c>
      <c r="S75" s="254">
        <f t="shared" si="42"/>
        <v>247.25412406773438</v>
      </c>
      <c r="T75" s="254">
        <f t="shared" si="42"/>
        <v>569.47590456191938</v>
      </c>
      <c r="U75" s="254">
        <f t="shared" si="42"/>
        <v>155.03988418948717</v>
      </c>
      <c r="V75" s="254">
        <f t="shared" si="42"/>
        <v>213.81029982052422</v>
      </c>
      <c r="W75" s="254">
        <f t="shared" si="42"/>
        <v>296.52476896112358</v>
      </c>
      <c r="X75" s="254">
        <f t="shared" si="42"/>
        <v>683.59449466863077</v>
      </c>
      <c r="Y75" s="254">
        <f t="shared" si="42"/>
        <v>189.65318322456432</v>
      </c>
      <c r="Z75" s="254">
        <f t="shared" si="42"/>
        <v>271.8053358587465</v>
      </c>
      <c r="AA75" s="254">
        <f t="shared" si="42"/>
        <v>366.05140483211557</v>
      </c>
      <c r="AB75" s="254">
        <f t="shared" si="42"/>
        <v>691.74085224498333</v>
      </c>
      <c r="AC75" s="254">
        <f t="shared" si="42"/>
        <v>139.64049726089743</v>
      </c>
      <c r="AD75" s="254">
        <f t="shared" si="42"/>
        <v>148.60244563654936</v>
      </c>
      <c r="AE75" s="254">
        <f t="shared" si="42"/>
        <v>206.27638865524403</v>
      </c>
      <c r="AF75" s="254">
        <f t="shared" si="42"/>
        <v>284.1865258523477</v>
      </c>
      <c r="AG75" s="254">
        <f t="shared" si="42"/>
        <v>63.999609255342975</v>
      </c>
      <c r="AH75" s="254">
        <f t="shared" si="42"/>
        <v>42.577517559826831</v>
      </c>
      <c r="AI75" s="254">
        <f t="shared" si="42"/>
        <v>81.556525493349767</v>
      </c>
      <c r="AJ75" s="254" t="e">
        <f t="shared" si="42"/>
        <v>#DIV/0!</v>
      </c>
      <c r="AK75" s="254" t="e">
        <f t="shared" si="42"/>
        <v>#DIV/0!</v>
      </c>
      <c r="AL75" s="254" t="e">
        <f t="shared" si="42"/>
        <v>#DIV/0!</v>
      </c>
      <c r="AM75" s="254" t="e">
        <f t="shared" si="42"/>
        <v>#DIV/0!</v>
      </c>
      <c r="AN75" s="254" t="e">
        <f t="shared" si="42"/>
        <v>#DIV/0!</v>
      </c>
      <c r="AO75" s="254" t="e">
        <f t="shared" si="42"/>
        <v>#DIV/0!</v>
      </c>
      <c r="AP75" s="254" t="e">
        <f t="shared" si="42"/>
        <v>#DIV/0!</v>
      </c>
      <c r="AQ75" s="254" t="e">
        <f t="shared" si="42"/>
        <v>#DIV/0!</v>
      </c>
      <c r="AR75" s="254" t="e">
        <f t="shared" si="42"/>
        <v>#DIV/0!</v>
      </c>
      <c r="AS75" s="254" t="e">
        <f t="shared" si="42"/>
        <v>#DIV/0!</v>
      </c>
      <c r="AT75" s="254" t="e">
        <f t="shared" si="42"/>
        <v>#DIV/0!</v>
      </c>
      <c r="AU75" s="254" t="e">
        <f t="shared" si="42"/>
        <v>#DIV/0!</v>
      </c>
      <c r="AV75" s="254" t="e">
        <f t="shared" si="42"/>
        <v>#DIV/0!</v>
      </c>
      <c r="AW75" s="254" t="e">
        <f t="shared" si="42"/>
        <v>#DIV/0!</v>
      </c>
      <c r="AX75" s="254" t="e">
        <f t="shared" si="42"/>
        <v>#DIV/0!</v>
      </c>
      <c r="AY75" s="254" t="e">
        <f t="shared" si="42"/>
        <v>#DIV/0!</v>
      </c>
      <c r="AZ75" s="254" t="e">
        <f t="shared" si="42"/>
        <v>#DIV/0!</v>
      </c>
      <c r="BA75" s="254" t="e">
        <f t="shared" si="42"/>
        <v>#DIV/0!</v>
      </c>
      <c r="BB75" s="254" t="e">
        <f t="shared" si="42"/>
        <v>#DIV/0!</v>
      </c>
      <c r="BC75" s="254" t="e">
        <f t="shared" si="42"/>
        <v>#DIV/0!</v>
      </c>
      <c r="BD75" s="254" t="e">
        <f t="shared" si="42"/>
        <v>#DIV/0!</v>
      </c>
      <c r="BE75" s="254" t="e">
        <f t="shared" si="42"/>
        <v>#DIV/0!</v>
      </c>
      <c r="BF75" s="254" t="e">
        <f t="shared" si="42"/>
        <v>#DIV/0!</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c r="A76" s="147" t="s">
        <v>483</v>
      </c>
      <c r="E76" s="119">
        <f>E71-E64-E68</f>
        <v>-962934676.15999985</v>
      </c>
      <c r="F76" s="119">
        <f t="shared" ref="F76:BQ76" si="44">F71-F64-F68</f>
        <v>-898297239.37000012</v>
      </c>
      <c r="G76" s="119">
        <f t="shared" si="44"/>
        <v>-745811747.19999993</v>
      </c>
      <c r="H76" s="119">
        <f t="shared" si="44"/>
        <v>-735147896.22000003</v>
      </c>
      <c r="I76" s="119">
        <f t="shared" si="44"/>
        <v>-688719346.03999996</v>
      </c>
      <c r="J76" s="119">
        <f t="shared" si="44"/>
        <v>-804552513.33000016</v>
      </c>
      <c r="K76" s="119">
        <f t="shared" si="44"/>
        <v>-830210999.83000004</v>
      </c>
      <c r="L76" s="119">
        <f t="shared" si="44"/>
        <v>-788545815.75999999</v>
      </c>
      <c r="M76" s="119">
        <f t="shared" si="44"/>
        <v>-715131838.80000019</v>
      </c>
      <c r="N76" s="119">
        <f t="shared" si="44"/>
        <v>-732599781.46000004</v>
      </c>
      <c r="O76" s="119">
        <f t="shared" si="44"/>
        <v>-732284937.63999999</v>
      </c>
      <c r="P76" s="119">
        <f t="shared" si="44"/>
        <v>-691580817.51999998</v>
      </c>
      <c r="Q76" s="119">
        <f t="shared" si="44"/>
        <v>-658842836.97000003</v>
      </c>
      <c r="R76" s="119">
        <f t="shared" si="44"/>
        <v>-576269299.75</v>
      </c>
      <c r="S76" s="119">
        <f t="shared" si="44"/>
        <v>-552960088.49999988</v>
      </c>
      <c r="T76" s="119">
        <f t="shared" si="44"/>
        <v>-534297960.07999998</v>
      </c>
      <c r="U76" s="119">
        <f t="shared" si="44"/>
        <v>-506818540.36999995</v>
      </c>
      <c r="V76" s="119">
        <f t="shared" si="44"/>
        <v>-435795976.20999998</v>
      </c>
      <c r="W76" s="119">
        <f t="shared" si="44"/>
        <v>-393533826.24000001</v>
      </c>
      <c r="X76" s="119">
        <f t="shared" si="44"/>
        <v>-429367705.87</v>
      </c>
      <c r="Y76" s="119">
        <f t="shared" si="44"/>
        <v>-466575323.24000001</v>
      </c>
      <c r="Z76" s="119">
        <f t="shared" si="44"/>
        <v>-510472377.34999996</v>
      </c>
      <c r="AA76" s="119">
        <f t="shared" si="44"/>
        <v>-468010421.25999999</v>
      </c>
      <c r="AB76" s="119">
        <f t="shared" si="44"/>
        <v>-452523028.11000001</v>
      </c>
      <c r="AC76" s="119">
        <f t="shared" si="44"/>
        <v>-399815896.13999999</v>
      </c>
      <c r="AD76" s="119">
        <f t="shared" si="44"/>
        <v>-392662802.13</v>
      </c>
      <c r="AE76" s="119">
        <f t="shared" si="44"/>
        <v>-358331563.38999999</v>
      </c>
      <c r="AF76" s="119">
        <f t="shared" si="44"/>
        <v>-319070737.18000001</v>
      </c>
      <c r="AG76" s="119">
        <f t="shared" si="44"/>
        <v>-281682542.48000002</v>
      </c>
      <c r="AH76" s="119">
        <f t="shared" si="44"/>
        <v>-160864749.57999998</v>
      </c>
      <c r="AI76" s="119">
        <f t="shared" si="44"/>
        <v>-164145426.02000001</v>
      </c>
      <c r="AJ76" s="119">
        <f t="shared" si="44"/>
        <v>0</v>
      </c>
      <c r="AK76" s="119">
        <f t="shared" si="44"/>
        <v>0</v>
      </c>
      <c r="AL76" s="119">
        <f t="shared" si="44"/>
        <v>0</v>
      </c>
      <c r="AM76" s="119">
        <f t="shared" si="44"/>
        <v>0</v>
      </c>
      <c r="AN76" s="119">
        <f t="shared" si="44"/>
        <v>0</v>
      </c>
      <c r="AO76" s="119">
        <f t="shared" si="44"/>
        <v>0</v>
      </c>
      <c r="AP76" s="119">
        <f t="shared" si="44"/>
        <v>0</v>
      </c>
      <c r="AQ76" s="119">
        <f t="shared" si="44"/>
        <v>0</v>
      </c>
      <c r="AR76" s="119">
        <f t="shared" si="44"/>
        <v>0</v>
      </c>
      <c r="AS76" s="119">
        <f t="shared" si="44"/>
        <v>0</v>
      </c>
      <c r="AT76" s="119">
        <f t="shared" si="44"/>
        <v>0</v>
      </c>
      <c r="AU76" s="119">
        <f t="shared" si="44"/>
        <v>0</v>
      </c>
      <c r="AV76" s="119">
        <f t="shared" si="44"/>
        <v>0</v>
      </c>
      <c r="AW76" s="119">
        <f t="shared" si="44"/>
        <v>0</v>
      </c>
      <c r="AX76" s="119">
        <f t="shared" si="44"/>
        <v>0</v>
      </c>
      <c r="AY76" s="119">
        <f t="shared" si="44"/>
        <v>0</v>
      </c>
      <c r="AZ76" s="119">
        <f t="shared" si="44"/>
        <v>0</v>
      </c>
      <c r="BA76" s="119">
        <f t="shared" si="44"/>
        <v>0</v>
      </c>
      <c r="BB76" s="119">
        <f t="shared" si="44"/>
        <v>0</v>
      </c>
      <c r="BC76" s="119">
        <f t="shared" si="44"/>
        <v>0</v>
      </c>
      <c r="BD76" s="119">
        <f t="shared" si="44"/>
        <v>0</v>
      </c>
      <c r="BE76" s="119">
        <f t="shared" si="44"/>
        <v>0</v>
      </c>
      <c r="BF76" s="119">
        <f t="shared" si="44"/>
        <v>0</v>
      </c>
      <c r="BG76" s="119">
        <f t="shared" si="44"/>
        <v>0</v>
      </c>
      <c r="BH76" s="119">
        <f t="shared" si="44"/>
        <v>0</v>
      </c>
      <c r="BI76" s="119">
        <f t="shared" si="44"/>
        <v>0</v>
      </c>
      <c r="BJ76" s="119">
        <f t="shared" si="44"/>
        <v>0</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14999999999998" customHeight="1">
      <c r="A77" s="285" t="s">
        <v>688</v>
      </c>
      <c r="B77" s="284"/>
      <c r="C77" s="284"/>
      <c r="D77" s="284"/>
      <c r="E77" s="284"/>
      <c r="F77" s="284"/>
      <c r="G77" s="284"/>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c r="A80" s="247" t="s">
        <v>576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39813</v>
      </c>
      <c r="AM80" s="1">
        <v>25569</v>
      </c>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c r="A81" s="69" t="s">
        <v>577</v>
      </c>
      <c r="E81" s="75">
        <f>股权价值增加表!E4</f>
        <v>3490821643.5799999</v>
      </c>
      <c r="F81" s="75">
        <f>股权价值增加表!F4</f>
        <v>2461092792.1799998</v>
      </c>
      <c r="G81" s="75">
        <f>股权价值增加表!G4</f>
        <v>1632933466.8</v>
      </c>
      <c r="H81" s="75">
        <f>股权价值增加表!H4</f>
        <v>858461043.73000002</v>
      </c>
      <c r="I81" s="75">
        <f>股权价值增加表!I4</f>
        <v>3455902430.25</v>
      </c>
      <c r="J81" s="75">
        <f>股权价值增加表!J4</f>
        <v>2541940807.8800001</v>
      </c>
      <c r="K81" s="75">
        <f>股权价值增加表!K4</f>
        <v>1698613370.6300001</v>
      </c>
      <c r="L81" s="75">
        <f>股权价值增加表!L4</f>
        <v>835124707.30999994</v>
      </c>
      <c r="M81" s="75">
        <f>股权价值增加表!M4</f>
        <v>3025827440.4899998</v>
      </c>
      <c r="N81" s="75">
        <f>股权价值增加表!N4</f>
        <v>2193259400.0599999</v>
      </c>
      <c r="O81" s="75">
        <f>股权价值增加表!O4</f>
        <v>1255221897.5799999</v>
      </c>
      <c r="P81" s="75">
        <f>股权价值增加表!P4</f>
        <v>496966166.79000002</v>
      </c>
      <c r="Q81" s="75">
        <f>股权价值增加表!Q4</f>
        <v>1712230060.6500001</v>
      </c>
      <c r="R81" s="75">
        <f>股权价值增加表!R4</f>
        <v>1124171914.4000001</v>
      </c>
      <c r="S81" s="75">
        <f>股权价值增加表!S4</f>
        <v>730223749.21000004</v>
      </c>
      <c r="T81" s="75">
        <f>股权价值增加表!T4</f>
        <v>327881464.25</v>
      </c>
      <c r="U81" s="75">
        <f>股权价值增加表!U4</f>
        <v>1227431183.24</v>
      </c>
      <c r="V81" s="75">
        <f>股权价值增加表!V4</f>
        <v>884232437.92999995</v>
      </c>
      <c r="W81" s="75">
        <f>股权价值增加表!W4</f>
        <v>577935690.87</v>
      </c>
      <c r="X81" s="75">
        <f>股权价值增加表!X4</f>
        <v>261395751.71000001</v>
      </c>
      <c r="Y81" s="75">
        <f>股权价值增加表!Y4</f>
        <v>928899703.54999995</v>
      </c>
      <c r="Z81" s="75">
        <f>股权价值增加表!Z4</f>
        <v>693511863.35000002</v>
      </c>
      <c r="AA81" s="75">
        <f>股权价值增加表!AA4</f>
        <v>466620229.04000002</v>
      </c>
      <c r="AB81" s="75">
        <f>股权价值增加表!AB4</f>
        <v>228839761.06</v>
      </c>
      <c r="AC81" s="75">
        <f>股权价值增加表!AC4</f>
        <v>998726425.88999999</v>
      </c>
      <c r="AD81" s="75">
        <f>股权价值增加表!AD4</f>
        <v>745992572.11000001</v>
      </c>
      <c r="AE81" s="75">
        <f>股权价值增加表!AE4</f>
        <v>522702359.55000001</v>
      </c>
      <c r="AF81" s="75">
        <f>股权价值增加表!AF4</f>
        <v>233658736.02000001</v>
      </c>
      <c r="AG81" s="75">
        <f>股权价值增加表!AG4</f>
        <v>907986860.39999998</v>
      </c>
      <c r="AH81" s="75">
        <f>股权价值增加表!AH4</f>
        <v>662975139.73000002</v>
      </c>
      <c r="AI81" s="75">
        <f>股权价值增加表!AI4</f>
        <v>429193147.08999997</v>
      </c>
      <c r="AJ81" s="75">
        <f>股权价值增加表!AJ4</f>
        <v>197229687.81</v>
      </c>
      <c r="AK81" s="75">
        <f>股权价值增加表!AK4</f>
        <v>568512432.92999995</v>
      </c>
      <c r="AL81" s="75">
        <f>股权价值增加表!AL4</f>
        <v>420832438.18000001</v>
      </c>
      <c r="AM81" s="75">
        <f>股权价值增加表!AM4</f>
        <v>0</v>
      </c>
      <c r="AN81" s="75">
        <f>股权价值增加表!AN4</f>
        <v>0</v>
      </c>
      <c r="AO81" s="75">
        <f>股权价值增加表!AO4</f>
        <v>0</v>
      </c>
      <c r="AP81" s="75">
        <f>股权价值增加表!AP4</f>
        <v>0</v>
      </c>
      <c r="AQ81" s="75">
        <f>股权价值增加表!AQ4</f>
        <v>0</v>
      </c>
      <c r="AR81" s="75">
        <f>股权价值增加表!AR4</f>
        <v>0</v>
      </c>
      <c r="AS81" s="75">
        <f>股权价值增加表!AS4</f>
        <v>0</v>
      </c>
      <c r="AT81" s="75">
        <f>股权价值增加表!AT4</f>
        <v>0</v>
      </c>
      <c r="AU81" s="75">
        <f>股权价值增加表!AU4</f>
        <v>0</v>
      </c>
      <c r="AV81" s="75">
        <f>股权价值增加表!AV4</f>
        <v>0</v>
      </c>
      <c r="AW81" s="75">
        <f>股权价值增加表!AW4</f>
        <v>0</v>
      </c>
      <c r="AX81" s="75">
        <f>股权价值增加表!AX4</f>
        <v>0</v>
      </c>
      <c r="AY81" s="75">
        <f>股权价值增加表!AY4</f>
        <v>0</v>
      </c>
      <c r="AZ81" s="75">
        <f>股权价值增加表!AZ4</f>
        <v>0</v>
      </c>
      <c r="BA81" s="75">
        <f>股权价值增加表!BA4</f>
        <v>0</v>
      </c>
      <c r="BB81" s="75">
        <f>股权价值增加表!BB4</f>
        <v>0</v>
      </c>
      <c r="BC81" s="75">
        <f>股权价值增加表!BC4</f>
        <v>0</v>
      </c>
      <c r="BD81" s="75">
        <f>股权价值增加表!BD4</f>
        <v>0</v>
      </c>
      <c r="BE81" s="75">
        <f>股权价值增加表!BE4</f>
        <v>0</v>
      </c>
      <c r="BF81" s="75">
        <f>股权价值增加表!BF4</f>
        <v>0</v>
      </c>
      <c r="BG81" s="75">
        <f>股权价值增加表!BG4</f>
        <v>0</v>
      </c>
      <c r="BH81" s="75">
        <f>股权价值增加表!BH4</f>
        <v>0</v>
      </c>
      <c r="BI81" s="75">
        <f>股权价值增加表!BI4</f>
        <v>0</v>
      </c>
      <c r="BJ81" s="75">
        <f>股权价值增加表!BJ4</f>
        <v>0</v>
      </c>
      <c r="BK81" s="75">
        <f>股权价值增加表!BK4</f>
        <v>0</v>
      </c>
      <c r="BL81" s="75">
        <f>股权价值增加表!BL4</f>
        <v>0</v>
      </c>
      <c r="BM81" s="75">
        <f>股权价值增加表!BM4</f>
        <v>0</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c r="A82" s="69" t="s">
        <v>578</v>
      </c>
      <c r="E82" s="75">
        <f>投资和筹资活动现金流表!E34</f>
        <v>1663220275.2699997</v>
      </c>
      <c r="F82" s="75">
        <f>投资和筹资活动现金流表!F34</f>
        <v>1571849054.2</v>
      </c>
      <c r="G82" s="75">
        <f>投资和筹资活动现金流表!G34</f>
        <v>1544670744.8099997</v>
      </c>
      <c r="H82" s="75">
        <f>投资和筹资活动现金流表!H34</f>
        <v>1485742547.47</v>
      </c>
      <c r="I82" s="75">
        <f>投资和筹资活动现金流表!I34</f>
        <v>1474754700.5699999</v>
      </c>
      <c r="J82" s="75">
        <f>投资和筹资活动现金流表!J34</f>
        <v>1421201537.6900001</v>
      </c>
      <c r="K82" s="75">
        <f>投资和筹资活动现金流表!K34</f>
        <v>1395858553.0700002</v>
      </c>
      <c r="L82" s="75">
        <f>投资和筹资活动现金流表!L34</f>
        <v>1543287033.8999999</v>
      </c>
      <c r="M82" s="75">
        <f>投资和筹资活动现金流表!M34</f>
        <v>1387588912.5200002</v>
      </c>
      <c r="N82" s="75">
        <f>投资和筹资活动现金流表!N34</f>
        <v>1371880035.2000003</v>
      </c>
      <c r="O82" s="75">
        <f>投资和筹资活动现金流表!O34</f>
        <v>1349397589.5900002</v>
      </c>
      <c r="P82" s="75">
        <f>投资和筹资活动现金流表!P34</f>
        <v>1345278086.23</v>
      </c>
      <c r="Q82" s="75">
        <f>投资和筹资活动现金流表!Q34</f>
        <v>1311069339.7399998</v>
      </c>
      <c r="R82" s="75">
        <f>投资和筹资活动现金流表!R34</f>
        <v>1268382275.0799999</v>
      </c>
      <c r="S82" s="75">
        <f>投资和筹资活动现金流表!S34</f>
        <v>1090431178.7</v>
      </c>
      <c r="T82" s="75">
        <f>投资和筹资活动现金流表!T34</f>
        <v>1065290545.74</v>
      </c>
      <c r="U82" s="75">
        <f>投资和筹资活动现金流表!U34</f>
        <v>1029096146.12</v>
      </c>
      <c r="V82" s="75">
        <f>投资和筹资活动现金流表!V34</f>
        <v>916861473.82000005</v>
      </c>
      <c r="W82" s="75">
        <f>投资和筹资活动现金流表!W34</f>
        <v>899890040.64999998</v>
      </c>
      <c r="X82" s="75">
        <f>投资和筹资活动现金流表!X34</f>
        <v>856624245.05999994</v>
      </c>
      <c r="Y82" s="75">
        <f>投资和筹资活动现金流表!AZ34</f>
        <v>14395067906</v>
      </c>
      <c r="Z82" s="75">
        <f>投资和筹资活动现金流表!BA34</f>
        <v>14607732167</v>
      </c>
      <c r="AA82" s="75">
        <f>投资和筹资活动现金流表!BB34</f>
        <v>14643176446</v>
      </c>
      <c r="AB82" s="75">
        <f>投资和筹资活动现金流表!BC34</f>
        <v>14905621582</v>
      </c>
      <c r="AC82" s="75">
        <f>投资和筹资活动现金流表!BD34</f>
        <v>13376945399</v>
      </c>
      <c r="AD82" s="75">
        <f>投资和筹资活动现金流表!BE34</f>
        <v>12576086418</v>
      </c>
      <c r="AE82" s="75">
        <f>投资和筹资活动现金流表!BF34</f>
        <v>8384459595.5600004</v>
      </c>
      <c r="AF82" s="75">
        <f>投资和筹资活动现金流表!BG34</f>
        <v>6735689343.8299999</v>
      </c>
      <c r="AG82" s="75">
        <f>投资和筹资活动现金流表!BH34</f>
        <v>6653641717.5200005</v>
      </c>
      <c r="AH82" s="75">
        <f>投资和筹资活动现金流表!BI34</f>
        <v>6418171245</v>
      </c>
      <c r="AI82" s="75">
        <f>投资和筹资活动现金流表!BJ34</f>
        <v>5442187708.7399998</v>
      </c>
      <c r="AJ82" s="75">
        <f>投资和筹资活动现金流表!BK34</f>
        <v>5370836546.21</v>
      </c>
      <c r="AK82" s="75">
        <f>投资和筹资活动现金流表!BL34</f>
        <v>5328764572.8900003</v>
      </c>
      <c r="AL82" s="75">
        <f>投资和筹资活动现金流表!BM34</f>
        <v>2398206104</v>
      </c>
      <c r="AM82" s="75">
        <f>投资和筹资活动现金流表!BN34</f>
        <v>2235497541.7199998</v>
      </c>
      <c r="AN82" s="75">
        <f>投资和筹资活动现金流表!BO34</f>
        <v>2150428180.9899998</v>
      </c>
      <c r="AO82" s="75">
        <f>投资和筹资活动现金流表!BP34</f>
        <v>2057084094.0699999</v>
      </c>
      <c r="AP82" s="75">
        <f>投资和筹资活动现金流表!BQ34</f>
        <v>8499445696</v>
      </c>
      <c r="AQ82" s="75">
        <f>投资和筹资活动现金流表!BR34</f>
        <v>8698074350</v>
      </c>
      <c r="AR82" s="75">
        <f>投资和筹资活动现金流表!BS34</f>
        <v>8403371922</v>
      </c>
      <c r="AS82" s="75">
        <f>投资和筹资活动现金流表!AS34</f>
        <v>8540278559</v>
      </c>
      <c r="AT82" s="75">
        <f>投资和筹资活动现金流表!AT34</f>
        <v>10053956715</v>
      </c>
      <c r="AU82" s="75">
        <f>投资和筹资活动现金流表!AU34</f>
        <v>10262195864</v>
      </c>
      <c r="AV82" s="75">
        <f>投资和筹资活动现金流表!AV34</f>
        <v>10569353455</v>
      </c>
      <c r="AW82" s="75">
        <f>投资和筹资活动现金流表!AW34</f>
        <v>11725754090</v>
      </c>
      <c r="AX82" s="75">
        <f>投资和筹资活动现金流表!AX34</f>
        <v>11785581265</v>
      </c>
      <c r="AY82" s="75">
        <f>投资和筹资活动现金流表!AY34</f>
        <v>14055686914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c r="A83" s="249" t="s">
        <v>579</v>
      </c>
      <c r="E83" s="153">
        <f>E81/E82</f>
        <v>2.0988330261987191</v>
      </c>
      <c r="F83" s="153">
        <f t="shared" ref="F83:BQ83" si="46">F81/F82</f>
        <v>1.5657310004443044</v>
      </c>
      <c r="G83" s="153">
        <f t="shared" si="46"/>
        <v>1.0571401525448434</v>
      </c>
      <c r="H83" s="153">
        <f t="shared" si="46"/>
        <v>0.57779932680250179</v>
      </c>
      <c r="I83" s="153">
        <f t="shared" si="46"/>
        <v>2.3433744126492879</v>
      </c>
      <c r="J83" s="153">
        <f t="shared" si="46"/>
        <v>1.788585742745278</v>
      </c>
      <c r="K83" s="153">
        <f t="shared" si="46"/>
        <v>1.2168950549424453</v>
      </c>
      <c r="L83" s="153">
        <f t="shared" si="46"/>
        <v>0.54113375474915926</v>
      </c>
      <c r="M83" s="153">
        <f t="shared" si="46"/>
        <v>2.1806367960917146</v>
      </c>
      <c r="N83" s="153">
        <f t="shared" si="46"/>
        <v>1.5987253577462073</v>
      </c>
      <c r="O83" s="153">
        <f t="shared" si="46"/>
        <v>0.93020908534554703</v>
      </c>
      <c r="P83" s="153">
        <f t="shared" si="46"/>
        <v>0.36941519517551596</v>
      </c>
      <c r="Q83" s="153">
        <f t="shared" si="46"/>
        <v>1.3059797897413687</v>
      </c>
      <c r="R83" s="153">
        <f t="shared" si="46"/>
        <v>0.88630370865841357</v>
      </c>
      <c r="S83" s="153">
        <f t="shared" si="46"/>
        <v>0.66966514116054965</v>
      </c>
      <c r="T83" s="153">
        <f t="shared" si="46"/>
        <v>0.30778595150512522</v>
      </c>
      <c r="U83" s="153">
        <f t="shared" si="46"/>
        <v>1.1927274121740543</v>
      </c>
      <c r="V83" s="153">
        <f t="shared" si="46"/>
        <v>0.96441225111787621</v>
      </c>
      <c r="W83" s="153">
        <f t="shared" si="46"/>
        <v>0.64222923331005088</v>
      </c>
      <c r="X83" s="153">
        <f t="shared" si="46"/>
        <v>0.30514633833611754</v>
      </c>
      <c r="Y83" s="153">
        <f t="shared" si="46"/>
        <v>6.4529025470093537E-2</v>
      </c>
      <c r="Z83" s="153">
        <f t="shared" si="46"/>
        <v>4.7475669420931545E-2</v>
      </c>
      <c r="AA83" s="153">
        <f t="shared" si="46"/>
        <v>3.1866052475756669E-2</v>
      </c>
      <c r="AB83" s="153">
        <f t="shared" si="46"/>
        <v>1.5352580890443808E-2</v>
      </c>
      <c r="AC83" s="153">
        <f t="shared" si="46"/>
        <v>7.4660275279635979E-2</v>
      </c>
      <c r="AD83" s="153">
        <f t="shared" si="46"/>
        <v>5.931834016680021E-2</v>
      </c>
      <c r="AE83" s="153">
        <f t="shared" si="46"/>
        <v>6.2341806719039786E-2</v>
      </c>
      <c r="AF83" s="153">
        <f t="shared" si="46"/>
        <v>3.4689654479691107E-2</v>
      </c>
      <c r="AG83" s="153">
        <f t="shared" si="46"/>
        <v>0.1364646458208201</v>
      </c>
      <c r="AH83" s="153">
        <f t="shared" si="46"/>
        <v>0.10329658004162524</v>
      </c>
      <c r="AI83" s="153">
        <f t="shared" si="46"/>
        <v>7.8864083721465153E-2</v>
      </c>
      <c r="AJ83" s="153">
        <f t="shared" si="46"/>
        <v>3.672234038646692E-2</v>
      </c>
      <c r="AK83" s="153">
        <f t="shared" si="46"/>
        <v>0.10668747420786749</v>
      </c>
      <c r="AL83" s="153">
        <f t="shared" si="46"/>
        <v>0.17547801145117925</v>
      </c>
      <c r="AM83" s="153">
        <f t="shared" si="46"/>
        <v>0</v>
      </c>
      <c r="AN83" s="153">
        <f t="shared" si="46"/>
        <v>0</v>
      </c>
      <c r="AO83" s="153">
        <f t="shared" si="46"/>
        <v>0</v>
      </c>
      <c r="AP83" s="153">
        <f t="shared" si="46"/>
        <v>0</v>
      </c>
      <c r="AQ83" s="153">
        <f t="shared" si="46"/>
        <v>0</v>
      </c>
      <c r="AR83" s="153">
        <f t="shared" si="46"/>
        <v>0</v>
      </c>
      <c r="AS83" s="153">
        <f t="shared" si="46"/>
        <v>0</v>
      </c>
      <c r="AT83" s="153">
        <f t="shared" si="46"/>
        <v>0</v>
      </c>
      <c r="AU83" s="153">
        <f t="shared" si="46"/>
        <v>0</v>
      </c>
      <c r="AV83" s="153">
        <f t="shared" si="46"/>
        <v>0</v>
      </c>
      <c r="AW83" s="153">
        <f t="shared" si="46"/>
        <v>0</v>
      </c>
      <c r="AX83" s="153">
        <f t="shared" si="46"/>
        <v>0</v>
      </c>
      <c r="AY83" s="153">
        <f t="shared" si="46"/>
        <v>0</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c r="A84" s="69" t="s">
        <v>580</v>
      </c>
      <c r="E84" s="75">
        <f>资产资本表!E52</f>
        <v>1182708039.3299999</v>
      </c>
      <c r="F84" s="75">
        <f>资产资本表!F52</f>
        <v>1107218642.0799999</v>
      </c>
      <c r="G84" s="75">
        <f>资产资本表!G52</f>
        <v>1090411190.54</v>
      </c>
      <c r="H84" s="75">
        <f>资产资本表!H52</f>
        <v>1089327958.29</v>
      </c>
      <c r="I84" s="75">
        <f>资产资本表!I52</f>
        <v>1090569352.6500001</v>
      </c>
      <c r="J84" s="75">
        <f>资产资本表!J52</f>
        <v>984029102.54999995</v>
      </c>
      <c r="K84" s="75">
        <f>资产资本表!K52</f>
        <v>995800535.25999999</v>
      </c>
      <c r="L84" s="75">
        <f>资产资本表!L52</f>
        <v>1014843247.4299999</v>
      </c>
      <c r="M84" s="75">
        <f>资产资本表!M52</f>
        <v>1027872495.48</v>
      </c>
      <c r="N84" s="75">
        <f>资产资本表!N52</f>
        <v>958387905.51999998</v>
      </c>
      <c r="O84" s="75">
        <f>资产资本表!O52</f>
        <v>963303445.16999996</v>
      </c>
      <c r="P84" s="75">
        <f>资产资本表!P52</f>
        <v>959009769.94000006</v>
      </c>
      <c r="Q84" s="75">
        <f>资产资本表!Q52</f>
        <v>967935984.21000004</v>
      </c>
      <c r="R84" s="75">
        <f>资产资本表!R52</f>
        <v>784632191.98000002</v>
      </c>
      <c r="S84" s="75">
        <f>资产资本表!S52</f>
        <v>745737695.25</v>
      </c>
      <c r="T84" s="75">
        <f>资产资本表!T52</f>
        <v>698402870.14999998</v>
      </c>
      <c r="U84" s="75">
        <f>资产资本表!U52</f>
        <v>702943783.85000002</v>
      </c>
      <c r="V84" s="75">
        <f>资产资本表!V52</f>
        <v>552908769.85000002</v>
      </c>
      <c r="W84" s="75">
        <f>资产资本表!W52</f>
        <v>558564258.23000002</v>
      </c>
      <c r="X84" s="75">
        <f>资产资本表!X52</f>
        <v>550741896.66999996</v>
      </c>
      <c r="Y84" s="75">
        <f>资产资本表!Y52</f>
        <v>541371753.25999999</v>
      </c>
      <c r="Z84" s="75">
        <f>资产资本表!Z52</f>
        <v>414705173.35000002</v>
      </c>
      <c r="AA84" s="75">
        <f>资产资本表!AA52</f>
        <v>409164544.69999999</v>
      </c>
      <c r="AB84" s="75">
        <f>资产资本表!AB52</f>
        <v>380984242.18000001</v>
      </c>
      <c r="AC84" s="75">
        <f>资产资本表!AC52</f>
        <v>384320634.94</v>
      </c>
      <c r="AD84" s="75">
        <f>资产资本表!AD52</f>
        <v>267607200.83000001</v>
      </c>
      <c r="AE84" s="75">
        <f>资产资本表!AE52</f>
        <v>252951427.02000001</v>
      </c>
      <c r="AF84" s="75">
        <f>资产资本表!AF52</f>
        <v>222714866.03999999</v>
      </c>
      <c r="AG84" s="75">
        <f>资产资本表!AG52</f>
        <v>223227731.28</v>
      </c>
      <c r="AH84" s="75">
        <f>资产资本表!AH52</f>
        <v>151324597.56</v>
      </c>
      <c r="AI84" s="75">
        <f>资产资本表!AI52</f>
        <v>72683726.890000001</v>
      </c>
      <c r="AJ84" s="75">
        <f>资产资本表!AJ52</f>
        <v>0</v>
      </c>
      <c r="AK84" s="75">
        <f>资产资本表!AK52</f>
        <v>0</v>
      </c>
      <c r="AL84" s="75">
        <f>资产资本表!AL52</f>
        <v>0</v>
      </c>
      <c r="AM84" s="75">
        <f>资产资本表!AM52</f>
        <v>0</v>
      </c>
      <c r="AN84" s="75">
        <f>资产资本表!AN52</f>
        <v>0</v>
      </c>
      <c r="AO84" s="75">
        <f>资产资本表!AO52</f>
        <v>0</v>
      </c>
      <c r="AP84" s="75">
        <f>资产资本表!AP52</f>
        <v>0</v>
      </c>
      <c r="AQ84" s="75">
        <f>资产资本表!AQ52</f>
        <v>0</v>
      </c>
      <c r="AR84" s="75">
        <f>资产资本表!AR52</f>
        <v>0</v>
      </c>
      <c r="AS84" s="75">
        <f>资产资本表!AS52</f>
        <v>0</v>
      </c>
      <c r="AT84" s="75">
        <f>资产资本表!AT52</f>
        <v>0</v>
      </c>
      <c r="AU84" s="75">
        <f>资产资本表!AU52</f>
        <v>0</v>
      </c>
      <c r="AV84" s="75">
        <f>资产资本表!AV52</f>
        <v>0</v>
      </c>
      <c r="AW84" s="75">
        <f>资产资本表!AW52</f>
        <v>0</v>
      </c>
      <c r="AX84" s="75">
        <f>资产资本表!AX52</f>
        <v>0</v>
      </c>
      <c r="AY84" s="75">
        <f>资产资本表!AY52</f>
        <v>0</v>
      </c>
      <c r="AZ84" s="75">
        <f>资产资本表!AZ52</f>
        <v>0</v>
      </c>
      <c r="BA84" s="75">
        <f>资产资本表!BA52</f>
        <v>0</v>
      </c>
      <c r="BB84" s="75">
        <f>资产资本表!BB52</f>
        <v>0</v>
      </c>
      <c r="BC84" s="75">
        <f>资产资本表!BC52</f>
        <v>0</v>
      </c>
      <c r="BD84" s="75">
        <f>资产资本表!BD52</f>
        <v>0</v>
      </c>
      <c r="BE84" s="75">
        <f>资产资本表!BE52</f>
        <v>0</v>
      </c>
      <c r="BF84" s="75">
        <f>资产资本表!BF52</f>
        <v>0</v>
      </c>
      <c r="BG84" s="75">
        <f>资产资本表!BG52</f>
        <v>0</v>
      </c>
      <c r="BH84" s="75">
        <f>资产资本表!BH52</f>
        <v>0</v>
      </c>
      <c r="BI84" s="75">
        <f>资产资本表!BI52</f>
        <v>0</v>
      </c>
      <c r="BJ84" s="75">
        <f>资产资本表!BJ52</f>
        <v>0</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c r="A85" s="249" t="s">
        <v>581</v>
      </c>
      <c r="E85" s="153">
        <f>E81/E84</f>
        <v>2.9515497717911332</v>
      </c>
      <c r="F85" s="153">
        <f t="shared" ref="F85:BQ85" si="48">F81/F84</f>
        <v>2.2227703713122438</v>
      </c>
      <c r="G85" s="153">
        <f t="shared" si="48"/>
        <v>1.4975391677623273</v>
      </c>
      <c r="H85" s="153">
        <f t="shared" si="48"/>
        <v>0.78806482216576068</v>
      </c>
      <c r="I85" s="153">
        <f t="shared" si="48"/>
        <v>3.1688974404538524</v>
      </c>
      <c r="J85" s="153">
        <f t="shared" si="48"/>
        <v>2.5831967787262067</v>
      </c>
      <c r="K85" s="153">
        <f t="shared" si="48"/>
        <v>1.7057767198191938</v>
      </c>
      <c r="L85" s="153">
        <f t="shared" si="48"/>
        <v>0.82291004982777272</v>
      </c>
      <c r="M85" s="153">
        <f t="shared" si="48"/>
        <v>2.9437770285671343</v>
      </c>
      <c r="N85" s="153">
        <f t="shared" si="48"/>
        <v>2.2884881867013815</v>
      </c>
      <c r="O85" s="153">
        <f t="shared" si="48"/>
        <v>1.3030389373916165</v>
      </c>
      <c r="P85" s="153">
        <f t="shared" si="48"/>
        <v>0.51820761619674893</v>
      </c>
      <c r="Q85" s="153">
        <f t="shared" si="48"/>
        <v>1.7689496914896394</v>
      </c>
      <c r="R85" s="153">
        <f t="shared" si="48"/>
        <v>1.4327374353111615</v>
      </c>
      <c r="S85" s="153">
        <f t="shared" si="48"/>
        <v>0.97919651086592974</v>
      </c>
      <c r="T85" s="153">
        <f t="shared" si="48"/>
        <v>0.46947324855577843</v>
      </c>
      <c r="U85" s="153">
        <f t="shared" si="48"/>
        <v>1.7461299344840917</v>
      </c>
      <c r="V85" s="153">
        <f t="shared" si="48"/>
        <v>1.5992374983849245</v>
      </c>
      <c r="W85" s="153">
        <f t="shared" si="48"/>
        <v>1.0346807593836829</v>
      </c>
      <c r="X85" s="153">
        <f t="shared" si="48"/>
        <v>0.47462478030180844</v>
      </c>
      <c r="Y85" s="153">
        <f t="shared" si="48"/>
        <v>1.7158259513105503</v>
      </c>
      <c r="Z85" s="153">
        <f t="shared" si="48"/>
        <v>1.6723009692591768</v>
      </c>
      <c r="AA85" s="153">
        <f t="shared" si="48"/>
        <v>1.1404219526941823</v>
      </c>
      <c r="AB85" s="153">
        <f t="shared" si="48"/>
        <v>0.60065413663980949</v>
      </c>
      <c r="AC85" s="153">
        <f t="shared" si="48"/>
        <v>2.5986802036948156</v>
      </c>
      <c r="AD85" s="153">
        <f t="shared" si="48"/>
        <v>2.7876401299974689</v>
      </c>
      <c r="AE85" s="153">
        <f t="shared" si="48"/>
        <v>2.066413958236621</v>
      </c>
      <c r="AF85" s="153">
        <f t="shared" si="48"/>
        <v>1.0491384799523642</v>
      </c>
      <c r="AG85" s="153">
        <f t="shared" si="48"/>
        <v>4.0675361219394821</v>
      </c>
      <c r="AH85" s="153">
        <f t="shared" si="48"/>
        <v>4.3811458970979995</v>
      </c>
      <c r="AI85" s="153">
        <f t="shared" si="48"/>
        <v>5.9049413872178507</v>
      </c>
      <c r="AJ85" s="153" t="e">
        <f t="shared" si="48"/>
        <v>#DIV/0!</v>
      </c>
      <c r="AK85" s="153" t="e">
        <f t="shared" si="48"/>
        <v>#DIV/0!</v>
      </c>
      <c r="AL85" s="153" t="e">
        <f t="shared" si="48"/>
        <v>#DIV/0!</v>
      </c>
      <c r="AM85" s="153" t="e">
        <f t="shared" si="48"/>
        <v>#DIV/0!</v>
      </c>
      <c r="AN85" s="153" t="e">
        <f t="shared" si="48"/>
        <v>#DIV/0!</v>
      </c>
      <c r="AO85" s="153" t="e">
        <f t="shared" si="48"/>
        <v>#DIV/0!</v>
      </c>
      <c r="AP85" s="153" t="e">
        <f t="shared" si="48"/>
        <v>#DIV/0!</v>
      </c>
      <c r="AQ85" s="153" t="e">
        <f t="shared" si="48"/>
        <v>#DIV/0!</v>
      </c>
      <c r="AR85" s="153" t="e">
        <f t="shared" si="48"/>
        <v>#DIV/0!</v>
      </c>
      <c r="AS85" s="153" t="e">
        <f t="shared" si="48"/>
        <v>#DIV/0!</v>
      </c>
      <c r="AT85" s="153" t="e">
        <f t="shared" si="48"/>
        <v>#DIV/0!</v>
      </c>
      <c r="AU85" s="153" t="e">
        <f t="shared" si="48"/>
        <v>#DIV/0!</v>
      </c>
      <c r="AV85" s="153" t="e">
        <f t="shared" si="48"/>
        <v>#DIV/0!</v>
      </c>
      <c r="AW85" s="153" t="e">
        <f t="shared" si="48"/>
        <v>#DIV/0!</v>
      </c>
      <c r="AX85" s="153" t="e">
        <f t="shared" si="48"/>
        <v>#DIV/0!</v>
      </c>
      <c r="AY85" s="153" t="e">
        <f t="shared" si="48"/>
        <v>#DIV/0!</v>
      </c>
      <c r="AZ85" s="153" t="e">
        <f t="shared" si="48"/>
        <v>#DIV/0!</v>
      </c>
      <c r="BA85" s="153" t="e">
        <f t="shared" si="48"/>
        <v>#DIV/0!</v>
      </c>
      <c r="BB85" s="153" t="e">
        <f t="shared" si="48"/>
        <v>#DIV/0!</v>
      </c>
      <c r="BC85" s="153" t="e">
        <f t="shared" si="48"/>
        <v>#DIV/0!</v>
      </c>
      <c r="BD85" s="153" t="e">
        <f t="shared" si="48"/>
        <v>#DIV/0!</v>
      </c>
      <c r="BE85" s="153" t="e">
        <f t="shared" si="48"/>
        <v>#DIV/0!</v>
      </c>
      <c r="BF85" s="153" t="e">
        <f t="shared" si="48"/>
        <v>#DIV/0!</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c r="A86" s="69" t="s">
        <v>582</v>
      </c>
      <c r="E86" s="75">
        <f>资产资本表!E53</f>
        <v>19179441.489999998</v>
      </c>
      <c r="F86" s="75">
        <f>资产资本表!F53</f>
        <v>47304443.359999999</v>
      </c>
      <c r="G86" s="75">
        <f>资产资本表!G53</f>
        <v>41590348.030000001</v>
      </c>
      <c r="H86" s="75">
        <f>资产资本表!H53</f>
        <v>36936450.329999998</v>
      </c>
      <c r="I86" s="75">
        <f>资产资本表!I53</f>
        <v>27574260.989999998</v>
      </c>
      <c r="J86" s="75">
        <f>资产资本表!J53</f>
        <v>104557626.44</v>
      </c>
      <c r="K86" s="75">
        <f>资产资本表!K53</f>
        <v>91211798.409999996</v>
      </c>
      <c r="L86" s="75">
        <f>资产资本表!L53</f>
        <v>74966572.469999999</v>
      </c>
      <c r="M86" s="75">
        <f>资产资本表!M53</f>
        <v>56748273.469999999</v>
      </c>
      <c r="N86" s="75">
        <f>资产资本表!N53</f>
        <v>76914879.159999996</v>
      </c>
      <c r="O86" s="75">
        <f>资产资本表!O53</f>
        <v>54416851.609999999</v>
      </c>
      <c r="P86" s="75">
        <f>资产资本表!P53</f>
        <v>44212865.700000003</v>
      </c>
      <c r="Q86" s="75">
        <f>资产资本表!Q53</f>
        <v>30553536.260000002</v>
      </c>
      <c r="R86" s="75">
        <f>资产资本表!R53</f>
        <v>190578945.38999999</v>
      </c>
      <c r="S86" s="75">
        <f>资产资本表!S53</f>
        <v>162708012.77000001</v>
      </c>
      <c r="T86" s="75">
        <f>资产资本表!T53</f>
        <v>166286384.69</v>
      </c>
      <c r="U86" s="75">
        <f>资产资本表!U53</f>
        <v>156318099.94999999</v>
      </c>
      <c r="V86" s="75">
        <f>资产资本表!V53</f>
        <v>144824464.87</v>
      </c>
      <c r="W86" s="75">
        <f>资产资本表!W53</f>
        <v>142778920.84</v>
      </c>
      <c r="X86" s="75">
        <f>资产资本表!X53</f>
        <v>132569226.72</v>
      </c>
      <c r="Y86" s="75">
        <f>资产资本表!Y53</f>
        <v>119719673.73</v>
      </c>
      <c r="Z86" s="75">
        <f>资产资本表!Z53</f>
        <v>222500138.38</v>
      </c>
      <c r="AA86" s="75">
        <f>资产资本表!AA53</f>
        <v>211402918.52000001</v>
      </c>
      <c r="AB86" s="75">
        <f>资产资本表!AB53</f>
        <v>198097024.22999999</v>
      </c>
      <c r="AC86" s="75">
        <f>资产资本表!AC53</f>
        <v>174864859.99000001</v>
      </c>
      <c r="AD86" s="75">
        <f>资产资本表!AD53</f>
        <v>244019648.66999999</v>
      </c>
      <c r="AE86" s="75">
        <f>资产资本表!AE53</f>
        <v>209396296.27000001</v>
      </c>
      <c r="AF86" s="75">
        <f>资产资本表!AF53</f>
        <v>171403204.28999999</v>
      </c>
      <c r="AG86" s="75">
        <f>资产资本表!AG53</f>
        <v>131844122.93000001</v>
      </c>
      <c r="AH86" s="75">
        <f>资产资本表!AH53</f>
        <v>79058532.760000005</v>
      </c>
      <c r="AI86" s="75">
        <f>资产资本表!AI53</f>
        <v>39460398.299999997</v>
      </c>
      <c r="AJ86" s="75">
        <f>资产资本表!AJ53</f>
        <v>0</v>
      </c>
      <c r="AK86" s="75">
        <f>资产资本表!AK53</f>
        <v>0</v>
      </c>
      <c r="AL86" s="75">
        <f>资产资本表!AL53</f>
        <v>0</v>
      </c>
      <c r="AM86" s="75">
        <f>资产资本表!AM53</f>
        <v>0</v>
      </c>
      <c r="AN86" s="75">
        <f>资产资本表!AN53</f>
        <v>0</v>
      </c>
      <c r="AO86" s="75">
        <f>资产资本表!AO53</f>
        <v>0</v>
      </c>
      <c r="AP86" s="75">
        <f>资产资本表!AP53</f>
        <v>0</v>
      </c>
      <c r="AQ86" s="75">
        <f>资产资本表!AQ53</f>
        <v>0</v>
      </c>
      <c r="AR86" s="75">
        <f>资产资本表!AR53</f>
        <v>0</v>
      </c>
      <c r="AS86" s="75">
        <f>资产资本表!AS53</f>
        <v>0</v>
      </c>
      <c r="AT86" s="75">
        <f>资产资本表!AT53</f>
        <v>0</v>
      </c>
      <c r="AU86" s="75">
        <f>资产资本表!AU53</f>
        <v>0</v>
      </c>
      <c r="AV86" s="75">
        <f>资产资本表!AV53</f>
        <v>0</v>
      </c>
      <c r="AW86" s="75">
        <f>资产资本表!AW53</f>
        <v>0</v>
      </c>
      <c r="AX86" s="75">
        <f>资产资本表!AX53</f>
        <v>0</v>
      </c>
      <c r="AY86" s="75">
        <f>资产资本表!AY53</f>
        <v>0</v>
      </c>
      <c r="AZ86" s="75">
        <f>资产资本表!AZ53</f>
        <v>0</v>
      </c>
      <c r="BA86" s="75">
        <f>资产资本表!BA53</f>
        <v>0</v>
      </c>
      <c r="BB86" s="75">
        <f>资产资本表!BB53</f>
        <v>0</v>
      </c>
      <c r="BC86" s="75">
        <f>资产资本表!BC53</f>
        <v>0</v>
      </c>
      <c r="BD86" s="75">
        <f>资产资本表!BD53</f>
        <v>0</v>
      </c>
      <c r="BE86" s="75">
        <f>资产资本表!BE53</f>
        <v>0</v>
      </c>
      <c r="BF86" s="75">
        <f>资产资本表!BF53</f>
        <v>0</v>
      </c>
      <c r="BG86" s="75">
        <f>资产资本表!BG53</f>
        <v>0</v>
      </c>
      <c r="BH86" s="75">
        <f>资产资本表!BH53</f>
        <v>0</v>
      </c>
      <c r="BI86" s="75">
        <f>资产资本表!BI53</f>
        <v>0</v>
      </c>
      <c r="BJ86" s="75">
        <f>资产资本表!BJ53</f>
        <v>0</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c r="A87" s="252" t="s">
        <v>583</v>
      </c>
      <c r="E87" s="54">
        <f>E81/E86</f>
        <v>182.00851392883808</v>
      </c>
      <c r="F87" s="54">
        <f t="shared" ref="F87:BQ87" si="50">F81/F86</f>
        <v>52.026672704938051</v>
      </c>
      <c r="G87" s="54">
        <f t="shared" si="50"/>
        <v>39.262317921026543</v>
      </c>
      <c r="H87" s="54">
        <f t="shared" si="50"/>
        <v>23.241568587676468</v>
      </c>
      <c r="I87" s="54">
        <f t="shared" si="50"/>
        <v>125.3307362073387</v>
      </c>
      <c r="J87" s="54">
        <f t="shared" si="50"/>
        <v>24.311385925910276</v>
      </c>
      <c r="K87" s="54">
        <f t="shared" si="50"/>
        <v>18.622737411608504</v>
      </c>
      <c r="L87" s="54">
        <f t="shared" si="50"/>
        <v>11.139961182621745</v>
      </c>
      <c r="M87" s="54">
        <f t="shared" si="50"/>
        <v>53.320167389578906</v>
      </c>
      <c r="N87" s="54">
        <f t="shared" si="50"/>
        <v>28.515411114376636</v>
      </c>
      <c r="O87" s="54">
        <f t="shared" si="50"/>
        <v>23.06678649062696</v>
      </c>
      <c r="P87" s="54">
        <f t="shared" si="50"/>
        <v>11.240306614868441</v>
      </c>
      <c r="Q87" s="54">
        <f t="shared" si="50"/>
        <v>56.040323649593809</v>
      </c>
      <c r="R87" s="54">
        <f t="shared" si="50"/>
        <v>5.898720407437974</v>
      </c>
      <c r="S87" s="54">
        <f t="shared" si="50"/>
        <v>4.4879396950304233</v>
      </c>
      <c r="T87" s="54">
        <f t="shared" si="50"/>
        <v>1.9717877976675855</v>
      </c>
      <c r="U87" s="54">
        <f t="shared" si="50"/>
        <v>7.8521372997279713</v>
      </c>
      <c r="V87" s="54">
        <f t="shared" si="50"/>
        <v>6.1055460396399246</v>
      </c>
      <c r="W87" s="54">
        <f t="shared" si="50"/>
        <v>4.0477662071535239</v>
      </c>
      <c r="X87" s="54">
        <f t="shared" si="50"/>
        <v>1.9717679447742049</v>
      </c>
      <c r="Y87" s="54">
        <f t="shared" si="50"/>
        <v>7.7589561899819248</v>
      </c>
      <c r="Z87" s="54">
        <f t="shared" si="50"/>
        <v>3.11690531250626</v>
      </c>
      <c r="AA87" s="54">
        <f t="shared" si="50"/>
        <v>2.2072553790020399</v>
      </c>
      <c r="AB87" s="54">
        <f t="shared" si="50"/>
        <v>1.1551903010633124</v>
      </c>
      <c r="AC87" s="54">
        <f t="shared" si="50"/>
        <v>5.7114186689487765</v>
      </c>
      <c r="AD87" s="54">
        <f t="shared" si="50"/>
        <v>3.0571004268547375</v>
      </c>
      <c r="AE87" s="54">
        <f t="shared" si="50"/>
        <v>2.4962349805653514</v>
      </c>
      <c r="AF87" s="54">
        <f t="shared" si="50"/>
        <v>1.3632110145658003</v>
      </c>
      <c r="AG87" s="54">
        <f t="shared" si="50"/>
        <v>6.8868208928969654</v>
      </c>
      <c r="AH87" s="54">
        <f t="shared" si="50"/>
        <v>8.3858771037733586</v>
      </c>
      <c r="AI87" s="54">
        <f t="shared" si="50"/>
        <v>10.876553850952893</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c r="A88" s="69" t="s">
        <v>584</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c r="A89" s="69" t="s">
        <v>585</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0</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c r="A90" s="69" t="s">
        <v>586</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c r="A91" s="69" t="s">
        <v>587</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c r="A92" s="69" t="s">
        <v>588</v>
      </c>
      <c r="E92" s="75">
        <f>资产资本表!E58</f>
        <v>166195436.41999999</v>
      </c>
      <c r="F92" s="75">
        <f>资产资本表!F58</f>
        <v>167596001.68000001</v>
      </c>
      <c r="G92" s="75">
        <f>资产资本表!G58</f>
        <v>171875528.19999999</v>
      </c>
      <c r="H92" s="75">
        <f>资产资本表!H58</f>
        <v>176677404.58000001</v>
      </c>
      <c r="I92" s="75">
        <f>资产资本表!I58</f>
        <v>174211692.41</v>
      </c>
      <c r="J92" s="75">
        <f>资产资本表!J58</f>
        <v>179208457.58000001</v>
      </c>
      <c r="K92" s="75">
        <f>资产资本表!K58</f>
        <v>183970485.49000001</v>
      </c>
      <c r="L92" s="75">
        <f>资产资本表!L58</f>
        <v>189266175.47</v>
      </c>
      <c r="M92" s="75">
        <f>资产资本表!M58</f>
        <v>194570402.09</v>
      </c>
      <c r="N92" s="75">
        <f>资产资本表!N58</f>
        <v>204342822.53999999</v>
      </c>
      <c r="O92" s="75">
        <f>资产资本表!O58</f>
        <v>204205252.71000001</v>
      </c>
      <c r="P92" s="75">
        <f>资产资本表!P58</f>
        <v>207262306.84</v>
      </c>
      <c r="Q92" s="75">
        <f>资产资本表!Q58</f>
        <v>212497945.91999999</v>
      </c>
      <c r="R92" s="75">
        <f>资产资本表!R58</f>
        <v>177231526.69999999</v>
      </c>
      <c r="S92" s="75">
        <f>资产资本表!S58</f>
        <v>74187220.359999999</v>
      </c>
      <c r="T92" s="75">
        <f>资产资本表!T58</f>
        <v>74113085.890000001</v>
      </c>
      <c r="U92" s="75">
        <f>资产资本表!U58</f>
        <v>74686847.709999993</v>
      </c>
      <c r="V92" s="75">
        <f>资产资本表!V58</f>
        <v>69718957.150000006</v>
      </c>
      <c r="W92" s="75">
        <f>资产资本表!W58</f>
        <v>69727779.969999999</v>
      </c>
      <c r="X92" s="75">
        <f>资产资本表!X58</f>
        <v>57511497.210000001</v>
      </c>
      <c r="Y92" s="75">
        <f>资产资本表!Y58</f>
        <v>33002843.690000001</v>
      </c>
      <c r="Z92" s="75">
        <f>资产资本表!Z58</f>
        <v>32433723.84</v>
      </c>
      <c r="AA92" s="75">
        <f>资产资本表!AA58</f>
        <v>32729963.129999999</v>
      </c>
      <c r="AB92" s="75">
        <f>资产资本表!AB58</f>
        <v>32895205.280000001</v>
      </c>
      <c r="AC92" s="75">
        <f>资产资本表!AC58</f>
        <v>32326785.460000001</v>
      </c>
      <c r="AD92" s="75">
        <f>资产资本表!AD58</f>
        <v>32138380.969999999</v>
      </c>
      <c r="AE92" s="75">
        <f>资产资本表!AE58</f>
        <v>32165947.300000001</v>
      </c>
      <c r="AF92" s="75">
        <f>资产资本表!AF58</f>
        <v>26812648.27</v>
      </c>
      <c r="AG92" s="75">
        <f>资产资本表!AG58</f>
        <v>26750206.739999998</v>
      </c>
      <c r="AH92" s="75">
        <f>资产资本表!AH58</f>
        <v>25889150.149999999</v>
      </c>
      <c r="AI92" s="75">
        <f>资产资本表!AI58</f>
        <v>26342922.739999998</v>
      </c>
      <c r="AJ92" s="75">
        <f>资产资本表!AJ58</f>
        <v>0</v>
      </c>
      <c r="AK92" s="75">
        <f>资产资本表!AK58</f>
        <v>0</v>
      </c>
      <c r="AL92" s="75">
        <f>资产资本表!AL58</f>
        <v>0</v>
      </c>
      <c r="AM92" s="75">
        <f>资产资本表!AM58</f>
        <v>0</v>
      </c>
      <c r="AN92" s="75">
        <f>资产资本表!AN58</f>
        <v>0</v>
      </c>
      <c r="AO92" s="75">
        <f>资产资本表!AO58</f>
        <v>0</v>
      </c>
      <c r="AP92" s="75">
        <f>资产资本表!AP58</f>
        <v>0</v>
      </c>
      <c r="AQ92" s="75">
        <f>资产资本表!AQ58</f>
        <v>0</v>
      </c>
      <c r="AR92" s="75">
        <f>资产资本表!AR58</f>
        <v>0</v>
      </c>
      <c r="AS92" s="75">
        <f>资产资本表!AS58</f>
        <v>0</v>
      </c>
      <c r="AT92" s="75">
        <f>资产资本表!AT58</f>
        <v>0</v>
      </c>
      <c r="AU92" s="75">
        <f>资产资本表!AU58</f>
        <v>0</v>
      </c>
      <c r="AV92" s="75">
        <f>资产资本表!AV58</f>
        <v>0</v>
      </c>
      <c r="AW92" s="75">
        <f>资产资本表!AW58</f>
        <v>0</v>
      </c>
      <c r="AX92" s="75">
        <f>资产资本表!AX58</f>
        <v>0</v>
      </c>
      <c r="AY92" s="75">
        <f>资产资本表!AY58</f>
        <v>0</v>
      </c>
      <c r="AZ92" s="75">
        <f>资产资本表!AZ58</f>
        <v>0</v>
      </c>
      <c r="BA92" s="75">
        <f>资产资本表!BA58</f>
        <v>0</v>
      </c>
      <c r="BB92" s="75">
        <f>资产资本表!BB58</f>
        <v>0</v>
      </c>
      <c r="BC92" s="75">
        <f>资产资本表!BC58</f>
        <v>0</v>
      </c>
      <c r="BD92" s="75">
        <f>资产资本表!BD58</f>
        <v>0</v>
      </c>
      <c r="BE92" s="75">
        <f>资产资本表!BE58</f>
        <v>0</v>
      </c>
      <c r="BF92" s="75">
        <f>资产资本表!BF58</f>
        <v>0</v>
      </c>
      <c r="BG92" s="75">
        <f>资产资本表!BG58</f>
        <v>0</v>
      </c>
      <c r="BH92" s="75">
        <f>资产资本表!BH58</f>
        <v>0</v>
      </c>
      <c r="BI92" s="75">
        <f>资产资本表!BI58</f>
        <v>0</v>
      </c>
      <c r="BJ92" s="75">
        <f>资产资本表!BJ58</f>
        <v>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c r="A93" s="249" t="s">
        <v>687</v>
      </c>
      <c r="E93" s="153">
        <f>E81/E92</f>
        <v>21.004317078588048</v>
      </c>
      <c r="F93" s="153">
        <f t="shared" ref="F93:BQ93" si="52">F81/F92</f>
        <v>14.68467485804999</v>
      </c>
      <c r="G93" s="153">
        <f t="shared" si="52"/>
        <v>9.5006746097086321</v>
      </c>
      <c r="H93" s="153">
        <f t="shared" si="52"/>
        <v>4.8589181269146762</v>
      </c>
      <c r="I93" s="153">
        <f t="shared" si="52"/>
        <v>19.83737361391724</v>
      </c>
      <c r="J93" s="153">
        <f t="shared" si="52"/>
        <v>14.184268098760118</v>
      </c>
      <c r="K93" s="153">
        <f t="shared" si="52"/>
        <v>9.23307543656143</v>
      </c>
      <c r="L93" s="153">
        <f t="shared" si="52"/>
        <v>4.4124350546850515</v>
      </c>
      <c r="M93" s="153">
        <f t="shared" si="52"/>
        <v>15.55132439460335</v>
      </c>
      <c r="N93" s="153">
        <f t="shared" si="52"/>
        <v>10.733234340201358</v>
      </c>
      <c r="O93" s="153">
        <f t="shared" si="52"/>
        <v>6.1468639073774973</v>
      </c>
      <c r="P93" s="153">
        <f t="shared" si="52"/>
        <v>2.3977643323908495</v>
      </c>
      <c r="Q93" s="153">
        <f t="shared" si="52"/>
        <v>8.0576311137360861</v>
      </c>
      <c r="R93" s="153">
        <f t="shared" si="52"/>
        <v>6.3429567827561923</v>
      </c>
      <c r="S93" s="153">
        <f t="shared" si="52"/>
        <v>9.8429857011291855</v>
      </c>
      <c r="T93" s="153">
        <f t="shared" si="52"/>
        <v>4.424069788925638</v>
      </c>
      <c r="U93" s="153">
        <f t="shared" si="52"/>
        <v>16.434368578601241</v>
      </c>
      <c r="V93" s="153">
        <f t="shared" si="52"/>
        <v>12.682812165815648</v>
      </c>
      <c r="W93" s="153">
        <f t="shared" si="52"/>
        <v>8.2884567832025304</v>
      </c>
      <c r="X93" s="153">
        <f t="shared" si="52"/>
        <v>4.5451042728991755</v>
      </c>
      <c r="Y93" s="153">
        <f t="shared" si="52"/>
        <v>28.146050451751236</v>
      </c>
      <c r="Z93" s="153">
        <f t="shared" si="52"/>
        <v>21.382431039099579</v>
      </c>
      <c r="AA93" s="153">
        <f t="shared" si="52"/>
        <v>14.256668337407932</v>
      </c>
      <c r="AB93" s="153">
        <f t="shared" si="52"/>
        <v>6.9566296702557011</v>
      </c>
      <c r="AC93" s="153">
        <f t="shared" si="52"/>
        <v>30.894702695564582</v>
      </c>
      <c r="AD93" s="153">
        <f t="shared" si="52"/>
        <v>23.211890256897409</v>
      </c>
      <c r="AE93" s="153">
        <f t="shared" si="52"/>
        <v>16.250177701124318</v>
      </c>
      <c r="AF93" s="153">
        <f t="shared" si="52"/>
        <v>8.7144967429955411</v>
      </c>
      <c r="AG93" s="153">
        <f t="shared" si="52"/>
        <v>33.943171700511499</v>
      </c>
      <c r="AH93" s="153">
        <f t="shared" si="52"/>
        <v>25.608223363407703</v>
      </c>
      <c r="AI93" s="153">
        <f t="shared" si="52"/>
        <v>16.29254093503825</v>
      </c>
      <c r="AJ93" s="153" t="e">
        <f t="shared" si="52"/>
        <v>#DIV/0!</v>
      </c>
      <c r="AK93" s="153" t="e">
        <f t="shared" si="52"/>
        <v>#DIV/0!</v>
      </c>
      <c r="AL93" s="153" t="e">
        <f t="shared" si="52"/>
        <v>#DIV/0!</v>
      </c>
      <c r="AM93" s="153" t="e">
        <f t="shared" si="52"/>
        <v>#DIV/0!</v>
      </c>
      <c r="AN93" s="153" t="e">
        <f t="shared" si="52"/>
        <v>#DIV/0!</v>
      </c>
      <c r="AO93" s="153" t="e">
        <f t="shared" si="52"/>
        <v>#DIV/0!</v>
      </c>
      <c r="AP93" s="153" t="e">
        <f t="shared" si="52"/>
        <v>#DIV/0!</v>
      </c>
      <c r="AQ93" s="153" t="e">
        <f t="shared" si="52"/>
        <v>#DIV/0!</v>
      </c>
      <c r="AR93" s="153" t="e">
        <f t="shared" si="52"/>
        <v>#DIV/0!</v>
      </c>
      <c r="AS93" s="153" t="e">
        <f t="shared" si="52"/>
        <v>#DIV/0!</v>
      </c>
      <c r="AT93" s="153" t="e">
        <f t="shared" si="52"/>
        <v>#DIV/0!</v>
      </c>
      <c r="AU93" s="153" t="e">
        <f t="shared" si="52"/>
        <v>#DIV/0!</v>
      </c>
      <c r="AV93" s="153" t="e">
        <f t="shared" si="52"/>
        <v>#DIV/0!</v>
      </c>
      <c r="AW93" s="153" t="e">
        <f t="shared" si="52"/>
        <v>#DIV/0!</v>
      </c>
      <c r="AX93" s="153" t="e">
        <f t="shared" si="52"/>
        <v>#DIV/0!</v>
      </c>
      <c r="AY93" s="153" t="e">
        <f t="shared" si="52"/>
        <v>#DIV/0!</v>
      </c>
      <c r="AZ93" s="153" t="e">
        <f t="shared" si="52"/>
        <v>#DIV/0!</v>
      </c>
      <c r="BA93" s="153" t="e">
        <f t="shared" si="52"/>
        <v>#DIV/0!</v>
      </c>
      <c r="BB93" s="153" t="e">
        <f t="shared" si="52"/>
        <v>#DIV/0!</v>
      </c>
      <c r="BC93" s="153" t="e">
        <f t="shared" si="52"/>
        <v>#DIV/0!</v>
      </c>
      <c r="BD93" s="153" t="e">
        <f t="shared" si="52"/>
        <v>#DIV/0!</v>
      </c>
      <c r="BE93" s="153" t="e">
        <f t="shared" si="52"/>
        <v>#DIV/0!</v>
      </c>
      <c r="BF93" s="153" t="e">
        <f t="shared" si="52"/>
        <v>#DIV/0!</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c r="A94" s="69" t="s">
        <v>589</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c r="A95" s="69" t="s">
        <v>590</v>
      </c>
      <c r="E95" s="75">
        <f>资产资本表!E60</f>
        <v>1999672349.53</v>
      </c>
      <c r="F95" s="75">
        <f>资产资本表!F60</f>
        <v>1862333518.8900001</v>
      </c>
      <c r="G95" s="75">
        <f>资产资本表!G60</f>
        <v>1862333518.8900001</v>
      </c>
      <c r="H95" s="75">
        <f>资产资本表!H60</f>
        <v>1859320965.1800001</v>
      </c>
      <c r="I95" s="75">
        <f>资产资本表!I60</f>
        <v>1862333518.8900001</v>
      </c>
      <c r="J95" s="75">
        <f>资产资本表!J60</f>
        <v>1852321266</v>
      </c>
      <c r="K95" s="75">
        <f>资产资本表!K60</f>
        <v>1852321266</v>
      </c>
      <c r="L95" s="75">
        <f>资产资本表!L60</f>
        <v>1795942417.78</v>
      </c>
      <c r="M95" s="75">
        <f>资产资本表!M60</f>
        <v>1795942417.78</v>
      </c>
      <c r="N95" s="75">
        <f>资产资本表!N60</f>
        <v>1795317100.8099999</v>
      </c>
      <c r="O95" s="75">
        <f>资产资本表!O60</f>
        <v>1795317100.8099999</v>
      </c>
      <c r="P95" s="75">
        <f>资产资本表!P60</f>
        <v>1503388390.6900001</v>
      </c>
      <c r="Q95" s="75">
        <f>资产资本表!Q60</f>
        <v>1503388390.6900001</v>
      </c>
      <c r="R95" s="75">
        <f>资产资本表!R60</f>
        <v>1495385207.3299999</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c r="A96" s="69" t="s">
        <v>591</v>
      </c>
      <c r="E96" s="75">
        <f>资产资本表!E61</f>
        <v>113315732.78</v>
      </c>
      <c r="F96" s="75">
        <f>资产资本表!F61</f>
        <v>91051394.370000005</v>
      </c>
      <c r="G96" s="75">
        <f>资产资本表!G61</f>
        <v>78889408.25</v>
      </c>
      <c r="H96" s="75">
        <f>资产资本表!H61</f>
        <v>86661275.769999996</v>
      </c>
      <c r="I96" s="75">
        <f>资产资本表!I61</f>
        <v>78353293.379999995</v>
      </c>
      <c r="J96" s="75">
        <f>资产资本表!J61</f>
        <v>94153659.040000007</v>
      </c>
      <c r="K96" s="75">
        <f>资产资本表!K61</f>
        <v>83796820.819999993</v>
      </c>
      <c r="L96" s="75">
        <f>资产资本表!L61</f>
        <v>92284259.650000006</v>
      </c>
      <c r="M96" s="75">
        <f>资产资本表!M61</f>
        <v>88933732.260000005</v>
      </c>
      <c r="N96" s="75">
        <f>资产资本表!N61</f>
        <v>84995226.519999996</v>
      </c>
      <c r="O96" s="75">
        <f>资产资本表!O61</f>
        <v>80380509.900000006</v>
      </c>
      <c r="P96" s="75">
        <f>资产资本表!P61</f>
        <v>74126010.769999996</v>
      </c>
      <c r="Q96" s="75">
        <f>资产资本表!Q61</f>
        <v>60397390.719999999</v>
      </c>
      <c r="R96" s="75">
        <f>资产资本表!R61</f>
        <v>58417878.079999998</v>
      </c>
      <c r="S96" s="75">
        <f>资产资本表!S61</f>
        <v>59334528.490000002</v>
      </c>
      <c r="T96" s="75">
        <f>资产资本表!T61</f>
        <v>63604456.810000002</v>
      </c>
      <c r="U96" s="75">
        <f>资产资本表!U61</f>
        <v>53002814.619999997</v>
      </c>
      <c r="V96" s="75">
        <f>资产资本表!V61</f>
        <v>45577694.039999999</v>
      </c>
      <c r="W96" s="75">
        <f>资产资本表!W61</f>
        <v>44687186.240000002</v>
      </c>
      <c r="X96" s="75">
        <f>资产资本表!X61</f>
        <v>45889973.5</v>
      </c>
      <c r="Y96" s="75">
        <f>资产资本表!Y61</f>
        <v>26430399.649999999</v>
      </c>
      <c r="Z96" s="75">
        <f>资产资本表!Z61</f>
        <v>18801031.300000001</v>
      </c>
      <c r="AA96" s="75">
        <f>资产资本表!AA61</f>
        <v>10338831.67</v>
      </c>
      <c r="AB96" s="75">
        <f>资产资本表!AB61</f>
        <v>8226167.8399999999</v>
      </c>
      <c r="AC96" s="75">
        <f>资产资本表!AC61</f>
        <v>4666258.1500000004</v>
      </c>
      <c r="AD96" s="75">
        <f>资产资本表!AD61</f>
        <v>5280073.8600000003</v>
      </c>
      <c r="AE96" s="75">
        <f>资产资本表!AE61</f>
        <v>1338550.55</v>
      </c>
      <c r="AF96" s="75">
        <f>资产资本表!AF61</f>
        <v>1359560.66</v>
      </c>
      <c r="AG96" s="75">
        <f>资产资本表!AG61</f>
        <v>1161179.1100000001</v>
      </c>
      <c r="AH96" s="75">
        <f>资产资本表!AH61</f>
        <v>1016294.78</v>
      </c>
      <c r="AI96" s="75">
        <f>资产资本表!AI61</f>
        <v>709239.06</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0</v>
      </c>
      <c r="BJ96" s="75">
        <f>资产资本表!BJ61</f>
        <v>0</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c r="A97" s="69" t="s">
        <v>592</v>
      </c>
      <c r="E97" s="75">
        <f>资产资本表!E62</f>
        <v>19130032.390000001</v>
      </c>
      <c r="F97" s="75">
        <f>资产资本表!F62</f>
        <v>15340040.210000001</v>
      </c>
      <c r="G97" s="75">
        <f>资产资本表!G62</f>
        <v>14040377.539999999</v>
      </c>
      <c r="H97" s="75">
        <f>资产资本表!H62</f>
        <v>15372341.539999999</v>
      </c>
      <c r="I97" s="75">
        <f>资产资本表!I62</f>
        <v>14604646.59</v>
      </c>
      <c r="J97" s="75">
        <f>资产资本表!J62</f>
        <v>14871978.41</v>
      </c>
      <c r="K97" s="75">
        <f>资产资本表!K62</f>
        <v>11137188.23</v>
      </c>
      <c r="L97" s="75">
        <f>资产资本表!L62</f>
        <v>10670148.17</v>
      </c>
      <c r="M97" s="75">
        <f>资产资本表!M62</f>
        <v>12991000.49</v>
      </c>
      <c r="N97" s="75">
        <f>资产资本表!N62</f>
        <v>8015704.8700000001</v>
      </c>
      <c r="O97" s="75">
        <f>资产资本表!O62</f>
        <v>6842864.4299999997</v>
      </c>
      <c r="P97" s="75">
        <f>资产资本表!P62</f>
        <v>6125520.0899999999</v>
      </c>
      <c r="Q97" s="75">
        <f>资产资本表!Q62</f>
        <v>6083440.9699999997</v>
      </c>
      <c r="R97" s="75">
        <f>资产资本表!R62</f>
        <v>4649420.0199999996</v>
      </c>
      <c r="S97" s="75">
        <f>资产资本表!S62</f>
        <v>4445811.88</v>
      </c>
      <c r="T97" s="75">
        <f>资产资本表!T62</f>
        <v>3920132.28</v>
      </c>
      <c r="U97" s="75">
        <f>资产资本表!U62</f>
        <v>3678601.37</v>
      </c>
      <c r="V97" s="75">
        <f>资产资本表!V62</f>
        <v>3781117.61</v>
      </c>
      <c r="W97" s="75">
        <f>资产资本表!W62</f>
        <v>3752297.07</v>
      </c>
      <c r="X97" s="75">
        <f>资产资本表!X62</f>
        <v>3548780.58</v>
      </c>
      <c r="Y97" s="75">
        <f>资产资本表!Y62</f>
        <v>3505320.92</v>
      </c>
      <c r="Z97" s="75">
        <f>资产资本表!Z62</f>
        <v>3786247.39</v>
      </c>
      <c r="AA97" s="75">
        <f>资产资本表!AA62</f>
        <v>3742932.14</v>
      </c>
      <c r="AB97" s="75">
        <f>资产资本表!AB62</f>
        <v>3848678.78</v>
      </c>
      <c r="AC97" s="75">
        <f>资产资本表!AC62</f>
        <v>3116788.22</v>
      </c>
      <c r="AD97" s="75">
        <f>资产资本表!AD62</f>
        <v>2480416.3199999998</v>
      </c>
      <c r="AE97" s="75">
        <f>资产资本表!AE62</f>
        <v>2664157.0499999998</v>
      </c>
      <c r="AF97" s="75">
        <f>资产资本表!AF62</f>
        <v>2156883.15</v>
      </c>
      <c r="AG97" s="75">
        <f>资产资本表!AG62</f>
        <v>2156883.16</v>
      </c>
      <c r="AH97" s="75">
        <f>资产资本表!AH62</f>
        <v>4014386.72</v>
      </c>
      <c r="AI97" s="75">
        <f>资产资本表!AI62</f>
        <v>2092503.54</v>
      </c>
      <c r="AJ97" s="75">
        <f>资产资本表!AJ62</f>
        <v>0</v>
      </c>
      <c r="AK97" s="75">
        <f>资产资本表!AK62</f>
        <v>0</v>
      </c>
      <c r="AL97" s="75">
        <f>资产资本表!AL62</f>
        <v>0</v>
      </c>
      <c r="AM97" s="75">
        <f>资产资本表!AM62</f>
        <v>0</v>
      </c>
      <c r="AN97" s="75">
        <f>资产资本表!AN62</f>
        <v>0</v>
      </c>
      <c r="AO97" s="75">
        <f>资产资本表!AO62</f>
        <v>0</v>
      </c>
      <c r="AP97" s="75">
        <f>资产资本表!AP62</f>
        <v>0</v>
      </c>
      <c r="AQ97" s="75">
        <f>资产资本表!AQ62</f>
        <v>0</v>
      </c>
      <c r="AR97" s="75">
        <f>资产资本表!AR62</f>
        <v>0</v>
      </c>
      <c r="AS97" s="75">
        <f>资产资本表!AS62</f>
        <v>0</v>
      </c>
      <c r="AT97" s="75">
        <f>资产资本表!AT62</f>
        <v>0</v>
      </c>
      <c r="AU97" s="75">
        <f>资产资本表!AU62</f>
        <v>0</v>
      </c>
      <c r="AV97" s="75">
        <f>资产资本表!AV62</f>
        <v>0</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c r="A98" s="69" t="s">
        <v>593</v>
      </c>
      <c r="E98" s="75">
        <f>资产资本表!E63</f>
        <v>0</v>
      </c>
      <c r="F98" s="75">
        <f>资产资本表!F63</f>
        <v>0</v>
      </c>
      <c r="G98" s="75">
        <f>资产资本表!G63</f>
        <v>0</v>
      </c>
      <c r="H98" s="75">
        <f>资产资本表!H63</f>
        <v>0</v>
      </c>
      <c r="I98" s="75">
        <f>资产资本表!I63</f>
        <v>0</v>
      </c>
      <c r="J98" s="75">
        <f>资产资本表!J63</f>
        <v>0</v>
      </c>
      <c r="K98" s="75">
        <f>资产资本表!K63</f>
        <v>0</v>
      </c>
      <c r="L98" s="75">
        <f>资产资本表!L63</f>
        <v>0</v>
      </c>
      <c r="M98" s="75">
        <f>资产资本表!M63</f>
        <v>0</v>
      </c>
      <c r="N98" s="75">
        <f>资产资本表!N63</f>
        <v>0</v>
      </c>
      <c r="O98" s="75">
        <f>资产资本表!O63</f>
        <v>0</v>
      </c>
      <c r="P98" s="75">
        <f>资产资本表!P63</f>
        <v>0</v>
      </c>
      <c r="Q98" s="75">
        <f>资产资本表!Q63</f>
        <v>0</v>
      </c>
      <c r="R98" s="75">
        <f>资产资本表!R63</f>
        <v>0</v>
      </c>
      <c r="S98" s="75">
        <f>资产资本表!S63</f>
        <v>0</v>
      </c>
      <c r="T98" s="75">
        <f>资产资本表!T63</f>
        <v>0</v>
      </c>
      <c r="U98" s="75">
        <f>资产资本表!U63</f>
        <v>0</v>
      </c>
      <c r="V98" s="75">
        <f>资产资本表!V63</f>
        <v>0</v>
      </c>
      <c r="W98" s="75">
        <f>资产资本表!W63</f>
        <v>0</v>
      </c>
      <c r="X98" s="75">
        <f>资产资本表!X63</f>
        <v>0</v>
      </c>
      <c r="Y98" s="75">
        <f>资产资本表!Y63</f>
        <v>0</v>
      </c>
      <c r="Z98" s="75">
        <f>资产资本表!Z63</f>
        <v>0</v>
      </c>
      <c r="AA98" s="75">
        <f>资产资本表!AA63</f>
        <v>0</v>
      </c>
      <c r="AB98" s="75">
        <f>资产资本表!AB63</f>
        <v>0</v>
      </c>
      <c r="AC98" s="75">
        <f>资产资本表!AC63</f>
        <v>0</v>
      </c>
      <c r="AD98" s="75">
        <f>资产资本表!AD63</f>
        <v>0</v>
      </c>
      <c r="AE98" s="75">
        <f>资产资本表!AE63</f>
        <v>0</v>
      </c>
      <c r="AF98" s="75">
        <f>资产资本表!AF63</f>
        <v>0</v>
      </c>
      <c r="AG98" s="75">
        <f>资产资本表!AG63</f>
        <v>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4.25" thickBot="1">
      <c r="A99" s="73" t="s">
        <v>594</v>
      </c>
      <c r="E99" s="92">
        <f>资产资本表!E64</f>
        <v>35205966.229999997</v>
      </c>
      <c r="F99" s="92">
        <f>资产资本表!F64</f>
        <v>66158426.590000004</v>
      </c>
      <c r="G99" s="92">
        <f>资产资本表!G64</f>
        <v>76751569.060000002</v>
      </c>
      <c r="H99" s="92">
        <f>资产资本表!H64</f>
        <v>38884725.590000004</v>
      </c>
      <c r="I99" s="92">
        <f>资产资本表!I64</f>
        <v>30008638.890000001</v>
      </c>
      <c r="J99" s="92">
        <f>资产资本表!J64</f>
        <v>26691989.829999998</v>
      </c>
      <c r="K99" s="92">
        <f>资产资本表!K64</f>
        <v>12253001.02</v>
      </c>
      <c r="L99" s="92">
        <f>资产资本表!L64</f>
        <v>7256630.71</v>
      </c>
      <c r="M99" s="92">
        <f>资产资本表!M64</f>
        <v>6473008.7300000004</v>
      </c>
      <c r="N99" s="92">
        <f>资产资本表!N64</f>
        <v>39223496.590000004</v>
      </c>
      <c r="O99" s="92">
        <f>资产资本表!O64</f>
        <v>40248665.770000003</v>
      </c>
      <c r="P99" s="92">
        <f>资产资本表!P64</f>
        <v>54541612.890000001</v>
      </c>
      <c r="Q99" s="92">
        <f>资产资本表!Q64</f>
        <v>33601041.659999996</v>
      </c>
      <c r="R99" s="92">
        <f>资产资本表!R64</f>
        <v>46072312.909999996</v>
      </c>
      <c r="S99" s="92">
        <f>资产资本表!S64</f>
        <v>44017909.950000003</v>
      </c>
      <c r="T99" s="92">
        <f>资产资本表!T64</f>
        <v>58963615.920000002</v>
      </c>
      <c r="U99" s="92">
        <f>资产资本表!U64</f>
        <v>38465998.619999997</v>
      </c>
      <c r="V99" s="92">
        <f>资产资本表!V64</f>
        <v>100050470.3</v>
      </c>
      <c r="W99" s="92">
        <f>资产资本表!W64</f>
        <v>80379598.299999997</v>
      </c>
      <c r="X99" s="92">
        <f>资产资本表!X64</f>
        <v>66362870.380000003</v>
      </c>
      <c r="Y99" s="92">
        <f>资产资本表!Y64</f>
        <v>47416109.07</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c r="A100" s="87" t="s">
        <v>684</v>
      </c>
      <c r="E100" s="195">
        <f>(E84+I84)/2</f>
        <v>1136638695.99</v>
      </c>
      <c r="F100" s="195">
        <f t="shared" ref="F100:BQ100" si="54">(F84+J84)/2</f>
        <v>1045623872.3149999</v>
      </c>
      <c r="G100" s="195">
        <f t="shared" si="54"/>
        <v>1043105862.9</v>
      </c>
      <c r="H100" s="195">
        <f t="shared" si="54"/>
        <v>1052085602.8599999</v>
      </c>
      <c r="I100" s="195">
        <f t="shared" si="54"/>
        <v>1059220924.0650001</v>
      </c>
      <c r="J100" s="195">
        <f t="shared" si="54"/>
        <v>971208504.03499997</v>
      </c>
      <c r="K100" s="195">
        <f t="shared" si="54"/>
        <v>979551990.21499991</v>
      </c>
      <c r="L100" s="195">
        <f t="shared" si="54"/>
        <v>986926508.68499994</v>
      </c>
      <c r="M100" s="195">
        <f t="shared" si="54"/>
        <v>997904239.84500003</v>
      </c>
      <c r="N100" s="195">
        <f t="shared" si="54"/>
        <v>871510048.75</v>
      </c>
      <c r="O100" s="195">
        <f t="shared" si="54"/>
        <v>854520570.21000004</v>
      </c>
      <c r="P100" s="195">
        <f t="shared" si="54"/>
        <v>828706320.04500008</v>
      </c>
      <c r="Q100" s="195">
        <f t="shared" si="54"/>
        <v>835439884.02999997</v>
      </c>
      <c r="R100" s="195">
        <f t="shared" si="54"/>
        <v>668770480.91499996</v>
      </c>
      <c r="S100" s="195">
        <f t="shared" si="54"/>
        <v>652150976.74000001</v>
      </c>
      <c r="T100" s="195">
        <f t="shared" si="54"/>
        <v>624572383.40999997</v>
      </c>
      <c r="U100" s="195">
        <f t="shared" si="54"/>
        <v>622157768.55500007</v>
      </c>
      <c r="V100" s="195">
        <f t="shared" si="54"/>
        <v>483806971.60000002</v>
      </c>
      <c r="W100" s="195">
        <f t="shared" si="54"/>
        <v>483864401.46500003</v>
      </c>
      <c r="X100" s="195">
        <f t="shared" si="54"/>
        <v>465863069.42499995</v>
      </c>
      <c r="Y100" s="195">
        <f t="shared" si="54"/>
        <v>462846194.10000002</v>
      </c>
      <c r="Z100" s="195">
        <f t="shared" si="54"/>
        <v>341156187.09000003</v>
      </c>
      <c r="AA100" s="195">
        <f t="shared" si="54"/>
        <v>331057985.86000001</v>
      </c>
      <c r="AB100" s="195">
        <f t="shared" si="54"/>
        <v>301849554.11000001</v>
      </c>
      <c r="AC100" s="195">
        <f t="shared" si="54"/>
        <v>303774183.11000001</v>
      </c>
      <c r="AD100" s="195">
        <f t="shared" si="54"/>
        <v>209465899.19499999</v>
      </c>
      <c r="AE100" s="195">
        <f t="shared" si="54"/>
        <v>162817576.95500001</v>
      </c>
      <c r="AF100" s="195">
        <f t="shared" si="54"/>
        <v>111357433.02</v>
      </c>
      <c r="AG100" s="195">
        <f t="shared" si="54"/>
        <v>111613865.64</v>
      </c>
      <c r="AH100" s="195">
        <f t="shared" si="54"/>
        <v>75662298.780000001</v>
      </c>
      <c r="AI100" s="195">
        <f t="shared" si="54"/>
        <v>36341863.445</v>
      </c>
      <c r="AJ100" s="195">
        <f t="shared" si="54"/>
        <v>0</v>
      </c>
      <c r="AK100" s="195">
        <f t="shared" si="54"/>
        <v>0</v>
      </c>
      <c r="AL100" s="195">
        <f t="shared" si="54"/>
        <v>0</v>
      </c>
      <c r="AM100" s="195">
        <f t="shared" si="54"/>
        <v>0</v>
      </c>
      <c r="AN100" s="195">
        <f t="shared" si="54"/>
        <v>0</v>
      </c>
      <c r="AO100" s="195">
        <f t="shared" si="54"/>
        <v>0</v>
      </c>
      <c r="AP100" s="195">
        <f t="shared" si="54"/>
        <v>0</v>
      </c>
      <c r="AQ100" s="195">
        <f t="shared" si="54"/>
        <v>0</v>
      </c>
      <c r="AR100" s="195">
        <f t="shared" si="54"/>
        <v>0</v>
      </c>
      <c r="AS100" s="195">
        <f t="shared" si="54"/>
        <v>0</v>
      </c>
      <c r="AT100" s="195">
        <f t="shared" si="54"/>
        <v>0</v>
      </c>
      <c r="AU100" s="195">
        <f t="shared" si="54"/>
        <v>0</v>
      </c>
      <c r="AV100" s="195">
        <f t="shared" si="54"/>
        <v>0</v>
      </c>
      <c r="AW100" s="195">
        <f t="shared" si="54"/>
        <v>0</v>
      </c>
      <c r="AX100" s="195">
        <f t="shared" si="54"/>
        <v>0</v>
      </c>
      <c r="AY100" s="195">
        <f t="shared" si="54"/>
        <v>0</v>
      </c>
      <c r="AZ100" s="195">
        <f t="shared" si="54"/>
        <v>0</v>
      </c>
      <c r="BA100" s="195">
        <f t="shared" si="54"/>
        <v>0</v>
      </c>
      <c r="BB100" s="195">
        <f t="shared" si="54"/>
        <v>0</v>
      </c>
      <c r="BC100" s="195">
        <f t="shared" si="54"/>
        <v>0</v>
      </c>
      <c r="BD100" s="195">
        <f t="shared" si="54"/>
        <v>0</v>
      </c>
      <c r="BE100" s="195">
        <f t="shared" si="54"/>
        <v>0</v>
      </c>
      <c r="BF100" s="195">
        <f t="shared" si="54"/>
        <v>0</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4.25" thickBot="1">
      <c r="A101" s="251" t="s">
        <v>685</v>
      </c>
      <c r="E101" s="250">
        <f>E100/E84</f>
        <v>0.96104757741724822</v>
      </c>
      <c r="F101" s="250">
        <f t="shared" ref="F101:BQ101" si="56">F100/F84</f>
        <v>0.94436982234214439</v>
      </c>
      <c r="G101" s="250">
        <f t="shared" si="56"/>
        <v>0.95661698261132744</v>
      </c>
      <c r="H101" s="250">
        <f t="shared" si="56"/>
        <v>0.96581162252691821</v>
      </c>
      <c r="I101" s="250">
        <f t="shared" si="56"/>
        <v>0.9712549884985987</v>
      </c>
      <c r="J101" s="250">
        <f t="shared" si="56"/>
        <v>0.98697132180158409</v>
      </c>
      <c r="K101" s="250">
        <f t="shared" si="56"/>
        <v>0.9836829320032876</v>
      </c>
      <c r="L101" s="250">
        <f t="shared" si="56"/>
        <v>0.97249157560470878</v>
      </c>
      <c r="M101" s="250">
        <f t="shared" si="56"/>
        <v>0.97084438413637553</v>
      </c>
      <c r="N101" s="250">
        <f t="shared" si="56"/>
        <v>0.90935000716347525</v>
      </c>
      <c r="O101" s="250">
        <f t="shared" si="56"/>
        <v>0.88707309674284163</v>
      </c>
      <c r="P101" s="250">
        <f t="shared" si="56"/>
        <v>0.86412708819102824</v>
      </c>
      <c r="Q101" s="250">
        <f t="shared" si="56"/>
        <v>0.86311481095711162</v>
      </c>
      <c r="R101" s="250">
        <f t="shared" si="56"/>
        <v>0.8523362764754453</v>
      </c>
      <c r="S101" s="250">
        <f t="shared" si="56"/>
        <v>0.87450450861461937</v>
      </c>
      <c r="T101" s="250">
        <f t="shared" si="56"/>
        <v>0.89428667908517756</v>
      </c>
      <c r="U101" s="250">
        <f t="shared" si="56"/>
        <v>0.88507471415062866</v>
      </c>
      <c r="V101" s="250">
        <f t="shared" si="56"/>
        <v>0.87502133802517401</v>
      </c>
      <c r="W101" s="250">
        <f t="shared" si="56"/>
        <v>0.86626452433295364</v>
      </c>
      <c r="X101" s="250">
        <f t="shared" si="56"/>
        <v>0.84588274878266856</v>
      </c>
      <c r="Y101" s="250">
        <f t="shared" si="56"/>
        <v>0.85495076407821524</v>
      </c>
      <c r="Z101" s="250">
        <f t="shared" si="56"/>
        <v>0.82264753133926638</v>
      </c>
      <c r="AA101" s="250">
        <f t="shared" si="56"/>
        <v>0.80910721651782458</v>
      </c>
      <c r="AB101" s="250">
        <f t="shared" si="56"/>
        <v>0.79228881589120426</v>
      </c>
      <c r="AC101" s="250">
        <f t="shared" si="56"/>
        <v>0.79041861272274683</v>
      </c>
      <c r="AD101" s="250">
        <f t="shared" si="56"/>
        <v>0.78273640823314461</v>
      </c>
      <c r="AE101" s="250">
        <f t="shared" si="56"/>
        <v>0.64367131220859486</v>
      </c>
      <c r="AF101" s="250">
        <f t="shared" si="56"/>
        <v>0.5</v>
      </c>
      <c r="AG101" s="250">
        <f t="shared" si="56"/>
        <v>0.5</v>
      </c>
      <c r="AH101" s="250">
        <f t="shared" si="56"/>
        <v>0.5</v>
      </c>
      <c r="AI101" s="250">
        <f t="shared" si="56"/>
        <v>0.5</v>
      </c>
      <c r="AJ101" s="250" t="e">
        <f t="shared" si="56"/>
        <v>#DIV/0!</v>
      </c>
      <c r="AK101" s="250" t="e">
        <f t="shared" si="56"/>
        <v>#DIV/0!</v>
      </c>
      <c r="AL101" s="250" t="e">
        <f t="shared" si="56"/>
        <v>#DIV/0!</v>
      </c>
      <c r="AM101" s="250" t="e">
        <f t="shared" si="56"/>
        <v>#DIV/0!</v>
      </c>
      <c r="AN101" s="250" t="e">
        <f t="shared" si="56"/>
        <v>#DIV/0!</v>
      </c>
      <c r="AO101" s="250" t="e">
        <f t="shared" si="56"/>
        <v>#DIV/0!</v>
      </c>
      <c r="AP101" s="250" t="e">
        <f t="shared" si="56"/>
        <v>#DIV/0!</v>
      </c>
      <c r="AQ101" s="250" t="e">
        <f t="shared" si="56"/>
        <v>#DIV/0!</v>
      </c>
      <c r="AR101" s="250" t="e">
        <f t="shared" si="56"/>
        <v>#DIV/0!</v>
      </c>
      <c r="AS101" s="250" t="e">
        <f t="shared" si="56"/>
        <v>#DIV/0!</v>
      </c>
      <c r="AT101" s="250" t="e">
        <f t="shared" si="56"/>
        <v>#DIV/0!</v>
      </c>
      <c r="AU101" s="250" t="e">
        <f t="shared" si="56"/>
        <v>#DIV/0!</v>
      </c>
      <c r="AV101" s="250" t="e">
        <f t="shared" si="56"/>
        <v>#DIV/0!</v>
      </c>
      <c r="AW101" s="250" t="e">
        <f t="shared" si="56"/>
        <v>#DIV/0!</v>
      </c>
      <c r="AX101" s="250" t="e">
        <f t="shared" si="56"/>
        <v>#DIV/0!</v>
      </c>
      <c r="AY101" s="250" t="e">
        <f t="shared" si="56"/>
        <v>#DIV/0!</v>
      </c>
      <c r="AZ101" s="250" t="e">
        <f t="shared" si="56"/>
        <v>#DIV/0!</v>
      </c>
      <c r="BA101" s="250" t="e">
        <f t="shared" si="56"/>
        <v>#DIV/0!</v>
      </c>
      <c r="BB101" s="250" t="e">
        <f t="shared" si="56"/>
        <v>#DIV/0!</v>
      </c>
      <c r="BC101" s="250" t="e">
        <f t="shared" si="56"/>
        <v>#DIV/0!</v>
      </c>
      <c r="BD101" s="250" t="e">
        <f t="shared" si="56"/>
        <v>#DIV/0!</v>
      </c>
      <c r="BE101" s="250" t="e">
        <f t="shared" si="56"/>
        <v>#DIV/0!</v>
      </c>
      <c r="BF101" s="250" t="e">
        <f t="shared" si="56"/>
        <v>#DIV/0!</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c r="A102" s="294" t="s">
        <v>686</v>
      </c>
      <c r="B102" s="295"/>
      <c r="C102" s="295"/>
      <c r="D102" s="295"/>
      <c r="E102" s="295"/>
      <c r="F102" s="295"/>
      <c r="G102" s="295"/>
      <c r="H102" s="295"/>
      <c r="I102" s="295"/>
      <c r="J102" s="295"/>
      <c r="K102" s="295"/>
      <c r="L102" s="295"/>
      <c r="M102" s="295"/>
      <c r="N102" s="295"/>
      <c r="O102" s="295"/>
      <c r="P102" s="295"/>
      <c r="Q102" s="295"/>
      <c r="R102" s="295"/>
      <c r="S102" s="295"/>
      <c r="T102" s="295"/>
      <c r="U102" s="295"/>
      <c r="V102" s="295"/>
      <c r="W102" s="295"/>
      <c r="X102" s="295"/>
      <c r="Y102" s="295"/>
      <c r="Z102" s="295"/>
      <c r="AA102" s="295"/>
      <c r="AB102" s="295"/>
      <c r="AC102" s="295"/>
      <c r="AD102" s="295"/>
      <c r="AE102" s="295"/>
      <c r="AF102" s="295"/>
      <c r="AG102" s="295"/>
      <c r="AH102" s="295"/>
      <c r="AI102" s="295"/>
      <c r="AJ102" s="295"/>
      <c r="AK102" s="295"/>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4"/>
  <sheetViews>
    <sheetView topLeftCell="A17" zoomScaleNormal="100" workbookViewId="0">
      <selection activeCell="M28" sqref="M28"/>
    </sheetView>
  </sheetViews>
  <sheetFormatPr defaultRowHeight="13.5"/>
  <cols>
    <col min="1" max="1" width="78.75" style="17" bestFit="1" customWidth="1"/>
    <col min="2" max="4" width="9.5" hidden="1" customWidth="1"/>
    <col min="5" max="5" width="19.5" bestFit="1" customWidth="1"/>
    <col min="6" max="8" width="19.5" hidden="1" customWidth="1"/>
    <col min="9" max="9" width="20.75" bestFit="1" customWidth="1"/>
    <col min="10" max="12" width="19.5" hidden="1" customWidth="1"/>
    <col min="13" max="13" width="20.75" bestFit="1" customWidth="1"/>
    <col min="14" max="15" width="19.5" hidden="1" customWidth="1"/>
    <col min="16" max="16" width="18.25" hidden="1" customWidth="1"/>
    <col min="17" max="17" width="19.5" bestFit="1" customWidth="1"/>
    <col min="18" max="18" width="19.375" hidden="1" customWidth="1"/>
    <col min="19" max="20" width="19.5" hidden="1" customWidth="1"/>
    <col min="21" max="21" width="19.5" bestFit="1" customWidth="1"/>
    <col min="22" max="24" width="18.25" hidden="1" customWidth="1"/>
    <col min="25" max="25" width="19.5" bestFit="1" customWidth="1"/>
    <col min="26" max="28" width="18.25" hidden="1" customWidth="1"/>
    <col min="29" max="29" width="19.5" bestFit="1" customWidth="1"/>
    <col min="30" max="30" width="19.5" hidden="1" customWidth="1"/>
    <col min="31" max="32" width="18.25" hidden="1" customWidth="1"/>
    <col min="33" max="33" width="19.5" bestFit="1" customWidth="1"/>
    <col min="34" max="34" width="19.5" hidden="1" customWidth="1"/>
    <col min="35" max="36" width="18.25" hidden="1" customWidth="1"/>
    <col min="37" max="37" width="19.5" bestFit="1" customWidth="1"/>
    <col min="38" max="38" width="18.25" bestFit="1" customWidth="1"/>
    <col min="39" max="39" width="9.625" hidden="1" customWidth="1"/>
    <col min="40" max="40" width="19.5" hidden="1" customWidth="1"/>
    <col min="41" max="41" width="20.75" bestFit="1" customWidth="1"/>
    <col min="42" max="44" width="19.5" hidden="1" customWidth="1"/>
    <col min="45" max="45" width="20.75" bestFit="1" customWidth="1"/>
    <col min="46" max="46" width="19.5" hidden="1" customWidth="1"/>
    <col min="47" max="47" width="18.25" hidden="1" customWidth="1"/>
    <col min="48" max="48" width="19.5" hidden="1" customWidth="1"/>
    <col min="49" max="49" width="20.75" bestFit="1" customWidth="1"/>
    <col min="50" max="51" width="20.75" hidden="1" customWidth="1"/>
    <col min="52" max="52" width="19.5" hidden="1" customWidth="1"/>
    <col min="53" max="53" width="20.75" bestFit="1" customWidth="1"/>
    <col min="54" max="55" width="20.75" hidden="1" customWidth="1"/>
    <col min="56" max="56" width="19.5" hidden="1" customWidth="1"/>
    <col min="57" max="57" width="19.5" bestFit="1" customWidth="1"/>
    <col min="58" max="58" width="19.5" hidden="1" customWidth="1"/>
    <col min="59" max="60" width="18.25" hidden="1" customWidth="1"/>
    <col min="61" max="61" width="20.75" bestFit="1" customWidth="1"/>
    <col min="62" max="64" width="20.75" hidden="1" customWidth="1"/>
    <col min="65" max="65" width="19.5" bestFit="1" customWidth="1"/>
    <col min="66" max="66" width="19.5" hidden="1" customWidth="1"/>
    <col min="67" max="67" width="19.5" bestFit="1" customWidth="1"/>
    <col min="68" max="68" width="19.5" hidden="1" customWidth="1"/>
    <col min="69" max="69" width="19.5" bestFit="1" customWidth="1"/>
    <col min="70" max="70" width="18.25" hidden="1" customWidth="1"/>
    <col min="71" max="72" width="18.25" bestFit="1" customWidth="1"/>
    <col min="73" max="73" width="18.25" hidden="1" customWidth="1"/>
    <col min="74" max="74" width="17" hidden="1" customWidth="1"/>
    <col min="75" max="81" width="18.25" bestFit="1" customWidth="1"/>
    <col min="82" max="82" width="9.625" bestFit="1" customWidth="1"/>
    <col min="83" max="84" width="19.5" bestFit="1" customWidth="1"/>
    <col min="85" max="86" width="18.25" bestFit="1" customWidth="1"/>
    <col min="87" max="87" width="19.5" bestFit="1" customWidth="1"/>
    <col min="88" max="88" width="18.25" bestFit="1" customWidth="1"/>
    <col min="89" max="90" width="9.625" bestFit="1" customWidth="1"/>
  </cols>
  <sheetData>
    <row r="1" spans="1:90" ht="14.45">
      <c r="A1" s="17">
        <v>2602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25569</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c r="A2" s="17" t="s">
        <v>484</v>
      </c>
      <c r="E2" s="26">
        <f>现金流量表!E4</f>
        <v>2612573380.46</v>
      </c>
      <c r="F2" s="26">
        <f>现金流量表!F4</f>
        <v>2391756722.96</v>
      </c>
      <c r="G2" s="26">
        <f>现金流量表!G4</f>
        <v>1633635312.45</v>
      </c>
      <c r="H2" s="26">
        <f>现金流量表!H4</f>
        <v>811800062.25</v>
      </c>
      <c r="I2" s="26">
        <f>现金流量表!I4</f>
        <v>3064632392.3899999</v>
      </c>
      <c r="J2" s="26">
        <f>现金流量表!J4</f>
        <v>2713179330.4299998</v>
      </c>
      <c r="K2" s="26">
        <f>现金流量表!K4</f>
        <v>1777939028.1199999</v>
      </c>
      <c r="L2" s="26">
        <f>现金流量表!L4</f>
        <v>838294726.34000003</v>
      </c>
      <c r="M2" s="26">
        <f>现金流量表!M4</f>
        <v>2774404537.3400002</v>
      </c>
      <c r="N2" s="26">
        <f>现金流量表!N4</f>
        <v>2081138986.8699999</v>
      </c>
      <c r="O2" s="26">
        <f>现金流量表!O4</f>
        <v>1221386942.3399999</v>
      </c>
      <c r="P2" s="26">
        <f>现金流量表!P4</f>
        <v>496318528.75</v>
      </c>
      <c r="Q2" s="26">
        <f>现金流量表!Q4</f>
        <v>1857987383.02</v>
      </c>
      <c r="R2" s="26">
        <f>现金流量表!R4</f>
        <v>1142501774.45</v>
      </c>
      <c r="S2" s="26">
        <f>现金流量表!S4</f>
        <v>656093640.77999997</v>
      </c>
      <c r="T2" s="26">
        <f>现金流量表!T4</f>
        <v>313954804.20999998</v>
      </c>
      <c r="U2" s="26">
        <f>现金流量表!U4</f>
        <v>1255713514.53</v>
      </c>
      <c r="V2" s="26">
        <f>现金流量表!V4</f>
        <v>901216585.20000005</v>
      </c>
      <c r="W2" s="26">
        <f>现金流量表!W4</f>
        <v>555656101.07000005</v>
      </c>
      <c r="X2" s="26">
        <f>现金流量表!X4</f>
        <v>255267714.25</v>
      </c>
      <c r="Y2" s="26">
        <f>现金流量表!Y4</f>
        <v>1042337581.55</v>
      </c>
      <c r="Z2" s="26">
        <f>现金流量表!Z4</f>
        <v>779349828.88999999</v>
      </c>
      <c r="AA2" s="26">
        <f>现金流量表!AA4</f>
        <v>546012578.55999994</v>
      </c>
      <c r="AB2" s="26">
        <f>现金流量表!AB4</f>
        <v>218292493.38</v>
      </c>
      <c r="AC2" s="26">
        <f>现金流量表!AC4</f>
        <v>1058841638.36</v>
      </c>
      <c r="AD2" s="26">
        <f>现金流量表!AD4</f>
        <v>794201377.08000004</v>
      </c>
      <c r="AE2" s="26">
        <f>现金流量表!AE4</f>
        <v>514127806.33999997</v>
      </c>
      <c r="AF2" s="26">
        <f>现金流量表!AF4</f>
        <v>183250411.25</v>
      </c>
      <c r="AG2" s="26">
        <f>现金流量表!AG4</f>
        <v>978900148.91999996</v>
      </c>
      <c r="AH2" s="26">
        <f>现金流量表!AH4</f>
        <v>711378872.88999999</v>
      </c>
      <c r="AI2" s="26">
        <f>现金流量表!AI4</f>
        <v>466170456.39999998</v>
      </c>
      <c r="AJ2" s="26">
        <f>现金流量表!AJ4</f>
        <v>152547814.18000001</v>
      </c>
      <c r="AK2" s="26">
        <f>现金流量表!AK4</f>
        <v>606410675.09000003</v>
      </c>
      <c r="AL2" s="26">
        <f>现金流量表!AL4</f>
        <v>452204577.25</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485</v>
      </c>
      <c r="E3" s="26">
        <f>利润表!E3</f>
        <v>3490821643.5799999</v>
      </c>
      <c r="F3" s="26">
        <f>利润表!F3</f>
        <v>2461092792.1799998</v>
      </c>
      <c r="G3" s="26">
        <f>利润表!G3</f>
        <v>1632933466.8</v>
      </c>
      <c r="H3" s="26">
        <f>利润表!H3</f>
        <v>858461043.73000002</v>
      </c>
      <c r="I3" s="26">
        <f>利润表!I3</f>
        <v>3455902430.25</v>
      </c>
      <c r="J3" s="26">
        <f>利润表!J3</f>
        <v>2541940807.8800001</v>
      </c>
      <c r="K3" s="26">
        <f>利润表!K3</f>
        <v>1698613370.6300001</v>
      </c>
      <c r="L3" s="26">
        <f>利润表!L3</f>
        <v>835124707.30999994</v>
      </c>
      <c r="M3" s="26">
        <f>利润表!M3</f>
        <v>3025827440.4899998</v>
      </c>
      <c r="N3" s="26">
        <f>利润表!N3</f>
        <v>2193259400.0599999</v>
      </c>
      <c r="O3" s="26">
        <f>利润表!O3</f>
        <v>1255221897.5799999</v>
      </c>
      <c r="P3" s="26">
        <f>利润表!P3</f>
        <v>496966166.79000002</v>
      </c>
      <c r="Q3" s="26">
        <f>利润表!Q3</f>
        <v>1712230060.6500001</v>
      </c>
      <c r="R3" s="26">
        <f>利润表!R3</f>
        <v>1124171914.4000001</v>
      </c>
      <c r="S3" s="26">
        <f>利润表!S3</f>
        <v>730223749.21000004</v>
      </c>
      <c r="T3" s="26">
        <f>利润表!T3</f>
        <v>327881464.25</v>
      </c>
      <c r="U3" s="26">
        <f>利润表!U3</f>
        <v>1227431183.24</v>
      </c>
      <c r="V3" s="26">
        <f>利润表!V3</f>
        <v>884232437.92999995</v>
      </c>
      <c r="W3" s="26">
        <f>利润表!W3</f>
        <v>577935690.87</v>
      </c>
      <c r="X3" s="26">
        <f>利润表!X3</f>
        <v>261395751.71000001</v>
      </c>
      <c r="Y3" s="26">
        <f>利润表!Y3</f>
        <v>928899703.54999995</v>
      </c>
      <c r="Z3" s="26">
        <f>利润表!Z3</f>
        <v>693511863.35000002</v>
      </c>
      <c r="AA3" s="26">
        <f>利润表!AA3</f>
        <v>466620229.04000002</v>
      </c>
      <c r="AB3" s="26">
        <f>利润表!AB3</f>
        <v>228839761.06</v>
      </c>
      <c r="AC3" s="26">
        <f>利润表!AC3</f>
        <v>998726425.88999999</v>
      </c>
      <c r="AD3" s="26">
        <f>利润表!AD3</f>
        <v>745992572.11000001</v>
      </c>
      <c r="AE3" s="26">
        <f>利润表!AE3</f>
        <v>522702359.55000001</v>
      </c>
      <c r="AF3" s="26">
        <f>利润表!AF3</f>
        <v>233658736.02000001</v>
      </c>
      <c r="AG3" s="26">
        <f>利润表!AG3</f>
        <v>907986860.39999998</v>
      </c>
      <c r="AH3" s="26">
        <f>利润表!AH3</f>
        <v>662975139.73000002</v>
      </c>
      <c r="AI3" s="26">
        <f>利润表!AI3</f>
        <v>429193147.08999997</v>
      </c>
      <c r="AJ3" s="26">
        <f>利润表!AJ3</f>
        <v>197229687.81</v>
      </c>
      <c r="AK3" s="26">
        <f>利润表!AK3</f>
        <v>568512432.92999995</v>
      </c>
      <c r="AL3" s="26">
        <f>利润表!AL3</f>
        <v>420832438.18000001</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508</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486</v>
      </c>
      <c r="E5" s="28">
        <f>(E2/(1+E4))/E3</f>
        <v>0.63966851625162091</v>
      </c>
      <c r="F5" s="28">
        <f t="shared" ref="F5:BQ5" si="2">(F2/(1+F4))/F3</f>
        <v>0.83062147101721939</v>
      </c>
      <c r="G5" s="28">
        <f t="shared" si="2"/>
        <v>0.85506821080514162</v>
      </c>
      <c r="H5" s="28">
        <f t="shared" si="2"/>
        <v>0.80824425536717537</v>
      </c>
      <c r="I5" s="28">
        <f t="shared" si="2"/>
        <v>0.75793341333718578</v>
      </c>
      <c r="J5" s="28">
        <f t="shared" si="2"/>
        <v>0.91227800642975754</v>
      </c>
      <c r="K5" s="28">
        <f t="shared" si="2"/>
        <v>0.89461559246796873</v>
      </c>
      <c r="L5" s="28">
        <f t="shared" si="2"/>
        <v>0.85794518210566384</v>
      </c>
      <c r="M5" s="28">
        <f t="shared" si="2"/>
        <v>0.78368181133502568</v>
      </c>
      <c r="N5" s="28">
        <f t="shared" si="2"/>
        <v>0.81100816017494304</v>
      </c>
      <c r="O5" s="28">
        <f t="shared" si="2"/>
        <v>0.83166208743735581</v>
      </c>
      <c r="P5" s="28">
        <f t="shared" si="2"/>
        <v>0.85358702276758613</v>
      </c>
      <c r="Q5" s="28">
        <f t="shared" si="2"/>
        <v>0.92745913109815969</v>
      </c>
      <c r="R5" s="28">
        <f t="shared" si="2"/>
        <v>0.86863693231549932</v>
      </c>
      <c r="S5" s="28">
        <f t="shared" si="2"/>
        <v>0.76793420666628487</v>
      </c>
      <c r="T5" s="28">
        <f t="shared" si="2"/>
        <v>0.81839771000634265</v>
      </c>
      <c r="U5" s="28">
        <f t="shared" si="2"/>
        <v>0.87439477567709023</v>
      </c>
      <c r="V5" s="28">
        <f t="shared" si="2"/>
        <v>0.87111776564569332</v>
      </c>
      <c r="W5" s="28">
        <f t="shared" si="2"/>
        <v>0.82175188694325041</v>
      </c>
      <c r="X5" s="28">
        <f t="shared" si="2"/>
        <v>0.83466365508901241</v>
      </c>
      <c r="Y5" s="28">
        <f t="shared" si="2"/>
        <v>0.95907751766189797</v>
      </c>
      <c r="Z5" s="28">
        <f t="shared" si="2"/>
        <v>0.96048964706329254</v>
      </c>
      <c r="AA5" s="28">
        <f t="shared" si="2"/>
        <v>1.0001225590514307</v>
      </c>
      <c r="AB5" s="28">
        <f t="shared" si="2"/>
        <v>0.81530753135923884</v>
      </c>
      <c r="AC5" s="28">
        <f t="shared" si="2"/>
        <v>0.90614689852896868</v>
      </c>
      <c r="AD5" s="28">
        <f t="shared" si="2"/>
        <v>0.90993479181020465</v>
      </c>
      <c r="AE5" s="28">
        <f t="shared" si="2"/>
        <v>0.84068010690171668</v>
      </c>
      <c r="AF5" s="28">
        <f t="shared" si="2"/>
        <v>0.67031212180421917</v>
      </c>
      <c r="AG5" s="28">
        <f t="shared" si="2"/>
        <v>0.92145253465467214</v>
      </c>
      <c r="AH5" s="28">
        <f t="shared" si="2"/>
        <v>0.9171024586575468</v>
      </c>
      <c r="AI5" s="28">
        <f t="shared" si="2"/>
        <v>0.92833795279079134</v>
      </c>
      <c r="AJ5" s="28">
        <f t="shared" si="2"/>
        <v>0.66107059545719404</v>
      </c>
      <c r="AK5" s="28">
        <f t="shared" si="2"/>
        <v>0.91167702283647822</v>
      </c>
      <c r="AL5" s="28">
        <f t="shared" si="2"/>
        <v>0.91841693655254453</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487</v>
      </c>
      <c r="E6" s="26">
        <f>现金流量表!E8</f>
        <v>1567843681.29</v>
      </c>
      <c r="F6" s="26">
        <f>现金流量表!F8</f>
        <v>1594228909.51</v>
      </c>
      <c r="G6" s="26">
        <f>现金流量表!G8</f>
        <v>1007753415.09</v>
      </c>
      <c r="H6" s="26">
        <f>现金流量表!H8</f>
        <v>538384068.33000004</v>
      </c>
      <c r="I6" s="26">
        <f>现金流量表!I8</f>
        <v>1480604224.3299999</v>
      </c>
      <c r="J6" s="26">
        <f>现金流量表!J8</f>
        <v>1739445098.78</v>
      </c>
      <c r="K6" s="26">
        <f>现金流量表!K8</f>
        <v>1126148538.1700001</v>
      </c>
      <c r="L6" s="26">
        <f>现金流量表!L8</f>
        <v>529305126.49000001</v>
      </c>
      <c r="M6" s="26">
        <f>现金流量表!M8</f>
        <v>1607281120.1600001</v>
      </c>
      <c r="N6" s="26">
        <f>现金流量表!N8</f>
        <v>1380383840.79</v>
      </c>
      <c r="O6" s="26">
        <f>现金流量表!O8</f>
        <v>849268825.75999999</v>
      </c>
      <c r="P6" s="26">
        <f>现金流量表!P8</f>
        <v>321745679.99000001</v>
      </c>
      <c r="Q6" s="26">
        <f>现金流量表!Q8</f>
        <v>1220580445.95</v>
      </c>
      <c r="R6" s="26">
        <f>现金流量表!R8</f>
        <v>828728306.95000005</v>
      </c>
      <c r="S6" s="26">
        <f>现金流量表!S8</f>
        <v>480911979.72000003</v>
      </c>
      <c r="T6" s="26">
        <f>现金流量表!T8</f>
        <v>259546982.18000001</v>
      </c>
      <c r="U6" s="26">
        <f>现金流量表!U8</f>
        <v>900771071.72000003</v>
      </c>
      <c r="V6" s="26">
        <f>现金流量表!V8</f>
        <v>633140169.87</v>
      </c>
      <c r="W6" s="26">
        <f>现金流量表!W8</f>
        <v>340774417.10000002</v>
      </c>
      <c r="X6" s="26">
        <f>现金流量表!X8</f>
        <v>160606057.84999999</v>
      </c>
      <c r="Y6" s="26">
        <f>现金流量表!Y8</f>
        <v>764050759.46000004</v>
      </c>
      <c r="Z6" s="26">
        <f>现金流量表!Z8</f>
        <v>639667001.99000001</v>
      </c>
      <c r="AA6" s="26">
        <f>现金流量表!AA8</f>
        <v>432209153.45999998</v>
      </c>
      <c r="AB6" s="26">
        <f>现金流量表!AB8</f>
        <v>158890536.72999999</v>
      </c>
      <c r="AC6" s="26">
        <f>现金流量表!AC8</f>
        <v>806933537.40999997</v>
      </c>
      <c r="AD6" s="26">
        <f>现金流量表!AD8</f>
        <v>654580339.54999995</v>
      </c>
      <c r="AE6" s="26">
        <f>现金流量表!AE8</f>
        <v>399402674.06</v>
      </c>
      <c r="AF6" s="26">
        <f>现金流量表!AF8</f>
        <v>107622422.76000001</v>
      </c>
      <c r="AG6" s="26">
        <f>现金流量表!AG8</f>
        <v>727294541.28999996</v>
      </c>
      <c r="AH6" s="26">
        <f>现金流量表!AH8</f>
        <v>534761713.62</v>
      </c>
      <c r="AI6" s="26">
        <f>现金流量表!AI8</f>
        <v>362247751.12</v>
      </c>
      <c r="AJ6" s="26">
        <f>现金流量表!AJ8</f>
        <v>121761512.56999999</v>
      </c>
      <c r="AK6" s="26">
        <f>现金流量表!AK8</f>
        <v>384985299.20999998</v>
      </c>
      <c r="AL6" s="26">
        <f>现金流量表!AL8</f>
        <v>334619504.69999999</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488</v>
      </c>
      <c r="E7" s="26">
        <f>现金流量表!E9</f>
        <v>381114209.02999997</v>
      </c>
      <c r="F7" s="26">
        <f>现金流量表!F9</f>
        <v>270339392.36000001</v>
      </c>
      <c r="G7" s="26">
        <f>现金流量表!G9</f>
        <v>187353377.96000001</v>
      </c>
      <c r="H7" s="26">
        <f>现金流量表!H9</f>
        <v>102189110.22</v>
      </c>
      <c r="I7" s="26">
        <f>现金流量表!I9</f>
        <v>347088777.39999998</v>
      </c>
      <c r="J7" s="26">
        <f>现金流量表!J9</f>
        <v>247444561.05000001</v>
      </c>
      <c r="K7" s="26">
        <f>现金流量表!K9</f>
        <v>168436589.05000001</v>
      </c>
      <c r="L7" s="26">
        <f>现金流量表!L9</f>
        <v>89480240.609999999</v>
      </c>
      <c r="M7" s="26">
        <f>现金流量表!M9</f>
        <v>289730013.63</v>
      </c>
      <c r="N7" s="26">
        <f>现金流量表!N9</f>
        <v>220214002.66</v>
      </c>
      <c r="O7" s="26">
        <f>现金流量表!O9</f>
        <v>148908682.13</v>
      </c>
      <c r="P7" s="26">
        <f>现金流量表!P9</f>
        <v>77753776.120000005</v>
      </c>
      <c r="Q7" s="26">
        <f>现金流量表!Q9</f>
        <v>194451496.97</v>
      </c>
      <c r="R7" s="26">
        <f>现金流量表!R9</f>
        <v>133066444.55</v>
      </c>
      <c r="S7" s="26">
        <f>现金流量表!S9</f>
        <v>84511831.75</v>
      </c>
      <c r="T7" s="26">
        <f>现金流量表!T9</f>
        <v>45088410.009999998</v>
      </c>
      <c r="U7" s="26">
        <f>现金流量表!U9</f>
        <v>118941334.88</v>
      </c>
      <c r="V7" s="26">
        <f>现金流量表!V9</f>
        <v>83852668.019999996</v>
      </c>
      <c r="W7" s="26">
        <f>现金流量表!W9</f>
        <v>57976087.420000002</v>
      </c>
      <c r="X7" s="26">
        <f>现金流量表!X9</f>
        <v>32843042.120000001</v>
      </c>
      <c r="Y7" s="26">
        <f>现金流量表!Y9</f>
        <v>97303116.670000002</v>
      </c>
      <c r="Z7" s="26">
        <f>现金流量表!Z9</f>
        <v>71586037.25</v>
      </c>
      <c r="AA7" s="26">
        <f>现金流量表!AA9</f>
        <v>52306498.210000001</v>
      </c>
      <c r="AB7" s="26">
        <f>现金流量表!AB9</f>
        <v>30843299.399999999</v>
      </c>
      <c r="AC7" s="26">
        <f>现金流量表!AC9</f>
        <v>76724809.709999993</v>
      </c>
      <c r="AD7" s="26">
        <f>现金流量表!AD9</f>
        <v>58016089</v>
      </c>
      <c r="AE7" s="26">
        <f>现金流量表!AE9</f>
        <v>42655972.100000001</v>
      </c>
      <c r="AF7" s="26">
        <f>现金流量表!AF9</f>
        <v>26902051.280000001</v>
      </c>
      <c r="AG7" s="26">
        <f>现金流量表!AG9</f>
        <v>58997562.710000001</v>
      </c>
      <c r="AH7" s="26">
        <f>现金流量表!AH9</f>
        <v>45575729.75</v>
      </c>
      <c r="AI7" s="26">
        <f>现金流量表!AI9</f>
        <v>30428526.48</v>
      </c>
      <c r="AJ7" s="26">
        <f>现金流量表!AJ9</f>
        <v>17454924.510000002</v>
      </c>
      <c r="AK7" s="26">
        <f>现金流量表!AK9</f>
        <v>37643177.340000004</v>
      </c>
      <c r="AL7" s="26">
        <f>现金流量表!AL9</f>
        <v>27618208.02</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4" t="s">
        <v>489</v>
      </c>
      <c r="E8" s="58">
        <f>利润表!E6</f>
        <v>2458183794.1599998</v>
      </c>
      <c r="F8" s="58">
        <f>利润表!F6</f>
        <v>1715152035.3900001</v>
      </c>
      <c r="G8" s="58">
        <f>利润表!G6</f>
        <v>1121382805.5699999</v>
      </c>
      <c r="H8" s="58">
        <f>利润表!H6</f>
        <v>586000060.14999998</v>
      </c>
      <c r="I8" s="58">
        <f>利润表!I6</f>
        <v>2287928997.77</v>
      </c>
      <c r="J8" s="58">
        <f>利润表!J6</f>
        <v>1691508316.01</v>
      </c>
      <c r="K8" s="58">
        <f>利润表!K6</f>
        <v>1106353465.25</v>
      </c>
      <c r="L8" s="58">
        <f>利润表!L6</f>
        <v>557933943.28999996</v>
      </c>
      <c r="M8" s="58">
        <f>利润表!M6</f>
        <v>2087752452.5999999</v>
      </c>
      <c r="N8" s="58">
        <f>利润表!N6</f>
        <v>1550136618.78</v>
      </c>
      <c r="O8" s="58">
        <f>利润表!O6</f>
        <v>900812949.77999997</v>
      </c>
      <c r="P8" s="58">
        <f>利润表!P6</f>
        <v>352753458.19999999</v>
      </c>
      <c r="Q8" s="58">
        <f>利润表!Q6</f>
        <v>1200997442.29</v>
      </c>
      <c r="R8" s="58">
        <f>利润表!R6</f>
        <v>834680907.57000005</v>
      </c>
      <c r="S8" s="58">
        <f>利润表!S6</f>
        <v>550912426.27999997</v>
      </c>
      <c r="T8" s="58">
        <f>利润表!T6</f>
        <v>249544225.88999999</v>
      </c>
      <c r="U8" s="58">
        <f>利润表!U6</f>
        <v>945671165.38</v>
      </c>
      <c r="V8" s="58">
        <f>利润表!V6</f>
        <v>683302485.5</v>
      </c>
      <c r="W8" s="58">
        <f>利润表!W6</f>
        <v>445375619.62</v>
      </c>
      <c r="X8" s="58">
        <f>利润表!X6</f>
        <v>201367084.09</v>
      </c>
      <c r="Y8" s="58">
        <f>利润表!Y6</f>
        <v>695912228.38999999</v>
      </c>
      <c r="Z8" s="58">
        <f>利润表!Z6</f>
        <v>516678454.25999999</v>
      </c>
      <c r="AA8" s="58">
        <f>利润表!AA6</f>
        <v>344398762.08999997</v>
      </c>
      <c r="AB8" s="58">
        <f>利润表!AB6</f>
        <v>171175796.47</v>
      </c>
      <c r="AC8" s="58">
        <f>利润表!AC6</f>
        <v>710767849.80999994</v>
      </c>
      <c r="AD8" s="58">
        <f>利润表!AD6</f>
        <v>521149633.97000003</v>
      </c>
      <c r="AE8" s="58">
        <f>利润表!AE6</f>
        <v>358446580.54000002</v>
      </c>
      <c r="AF8" s="58">
        <f>利润表!AF6</f>
        <v>157996905.28</v>
      </c>
      <c r="AG8" s="58">
        <f>利润表!AG6</f>
        <v>620456706.17999995</v>
      </c>
      <c r="AH8" s="58">
        <f>利润表!AH6</f>
        <v>446637078.19</v>
      </c>
      <c r="AI8" s="58">
        <f>利润表!AI6</f>
        <v>284996651.92000002</v>
      </c>
      <c r="AJ8" s="58">
        <f>利润表!AJ6</f>
        <v>129272827.68000001</v>
      </c>
      <c r="AK8" s="58">
        <f>利润表!AK6</f>
        <v>378402105.88</v>
      </c>
      <c r="AL8" s="58">
        <f>利润表!AL6</f>
        <v>271643761.92000002</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4" t="s">
        <v>490</v>
      </c>
      <c r="E9" s="58">
        <f>利润表!E7</f>
        <v>26491723.469999999</v>
      </c>
      <c r="F9" s="58">
        <f>利润表!F7</f>
        <v>19505629.629999999</v>
      </c>
      <c r="G9" s="58">
        <f>利润表!G7</f>
        <v>10339226.560000001</v>
      </c>
      <c r="H9" s="58">
        <f>利润表!H7</f>
        <v>2927605.87</v>
      </c>
      <c r="I9" s="58">
        <f>利润表!I7</f>
        <v>28155411.559999999</v>
      </c>
      <c r="J9" s="58">
        <f>利润表!J7</f>
        <v>17364303.859999999</v>
      </c>
      <c r="K9" s="58">
        <f>利润表!K7</f>
        <v>12810231.35</v>
      </c>
      <c r="L9" s="58">
        <f>利润表!L7</f>
        <v>6605592.3499999996</v>
      </c>
      <c r="M9" s="58">
        <f>利润表!M7</f>
        <v>25171144.469999999</v>
      </c>
      <c r="N9" s="58">
        <f>利润表!N7</f>
        <v>17555280.129999999</v>
      </c>
      <c r="O9" s="58">
        <f>利润表!O7</f>
        <v>11195529.09</v>
      </c>
      <c r="P9" s="58">
        <f>利润表!P7</f>
        <v>5067938.87</v>
      </c>
      <c r="Q9" s="58">
        <f>利润表!Q7</f>
        <v>12147477.26</v>
      </c>
      <c r="R9" s="58">
        <f>利润表!R7</f>
        <v>6163022.5899999999</v>
      </c>
      <c r="S9" s="58">
        <f>利润表!S7</f>
        <v>3816687.57</v>
      </c>
      <c r="T9" s="58">
        <f>利润表!T7</f>
        <v>1628021.42</v>
      </c>
      <c r="U9" s="58">
        <f>利润表!U7</f>
        <v>5358586.7699999996</v>
      </c>
      <c r="V9" s="58">
        <f>利润表!V7</f>
        <v>3953784.91</v>
      </c>
      <c r="W9" s="58">
        <f>利润表!W7</f>
        <v>2721717.67</v>
      </c>
      <c r="X9" s="58">
        <f>利润表!X7</f>
        <v>1229719.07</v>
      </c>
      <c r="Y9" s="58">
        <f>利润表!Y7</f>
        <v>4327173.2</v>
      </c>
      <c r="Z9" s="58">
        <f>利润表!Z7</f>
        <v>3124414.8</v>
      </c>
      <c r="AA9" s="58">
        <f>利润表!AA7</f>
        <v>1565322.62</v>
      </c>
      <c r="AB9" s="58">
        <f>利润表!AB7</f>
        <v>1308407.5900000001</v>
      </c>
      <c r="AC9" s="58">
        <f>利润表!AC7</f>
        <v>4334479.09</v>
      </c>
      <c r="AD9" s="58">
        <f>利润表!AD7</f>
        <v>3170969.89</v>
      </c>
      <c r="AE9" s="58">
        <f>利润表!AE7</f>
        <v>1990701.02</v>
      </c>
      <c r="AF9" s="58">
        <f>利润表!AF7</f>
        <v>1087762.31</v>
      </c>
      <c r="AG9" s="58">
        <f>利润表!AG7</f>
        <v>1635543.5</v>
      </c>
      <c r="AH9" s="58">
        <f>利润表!AH7</f>
        <v>698953.48</v>
      </c>
      <c r="AI9" s="58">
        <f>利润表!AI7</f>
        <v>469584.02</v>
      </c>
      <c r="AJ9" s="58">
        <f>利润表!AJ7</f>
        <v>239475.21</v>
      </c>
      <c r="AK9" s="58">
        <f>利润表!AK7</f>
        <v>636407.39</v>
      </c>
      <c r="AL9" s="58">
        <f>利润表!AL7</f>
        <v>507834.55</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4" t="s">
        <v>491</v>
      </c>
      <c r="E10" s="58">
        <f>利润表!E8</f>
        <v>186154765.38</v>
      </c>
      <c r="F10" s="58">
        <f>利润表!F8</f>
        <v>134160734.63</v>
      </c>
      <c r="G10" s="58">
        <f>利润表!G8</f>
        <v>82595871.680000007</v>
      </c>
      <c r="H10" s="58">
        <f>利润表!H8</f>
        <v>24399908.16</v>
      </c>
      <c r="I10" s="58">
        <f>利润表!I8</f>
        <v>175331698.86000001</v>
      </c>
      <c r="J10" s="58">
        <f>利润表!J8</f>
        <v>115764881.70999999</v>
      </c>
      <c r="K10" s="58">
        <f>利润表!K8</f>
        <v>87076714.459999993</v>
      </c>
      <c r="L10" s="58">
        <f>利润表!L8</f>
        <v>44581341.640000001</v>
      </c>
      <c r="M10" s="58">
        <f>利润表!M8</f>
        <v>146528814.59</v>
      </c>
      <c r="N10" s="58">
        <f>利润表!N8</f>
        <v>107560680.92</v>
      </c>
      <c r="O10" s="58">
        <f>利润表!O8</f>
        <v>64804052.850000001</v>
      </c>
      <c r="P10" s="58">
        <f>利润表!P8</f>
        <v>21775503.600000001</v>
      </c>
      <c r="Q10" s="58">
        <f>利润表!Q8</f>
        <v>86844822.980000004</v>
      </c>
      <c r="R10" s="58">
        <f>利润表!R8</f>
        <v>57067597.759999998</v>
      </c>
      <c r="S10" s="58">
        <f>利润表!S8</f>
        <v>38815863.170000002</v>
      </c>
      <c r="T10" s="58">
        <f>利润表!T8</f>
        <v>19138358.969999999</v>
      </c>
      <c r="U10" s="58">
        <f>利润表!U8</f>
        <v>74404812.109999999</v>
      </c>
      <c r="V10" s="58">
        <f>利润表!V8</f>
        <v>55457467.060000002</v>
      </c>
      <c r="W10" s="58">
        <f>利润表!W8</f>
        <v>34924665.530000001</v>
      </c>
      <c r="X10" s="58">
        <f>利润表!X8</f>
        <v>15471865.109999999</v>
      </c>
      <c r="Y10" s="58">
        <f>利润表!Y8</f>
        <v>58763297.210000001</v>
      </c>
      <c r="Z10" s="58">
        <f>利润表!Z8</f>
        <v>40976591.039999999</v>
      </c>
      <c r="AA10" s="58">
        <f>利润表!AA8</f>
        <v>27109521.780000001</v>
      </c>
      <c r="AB10" s="58">
        <f>利润表!AB8</f>
        <v>13538614.73</v>
      </c>
      <c r="AC10" s="58">
        <f>利润表!AC8</f>
        <v>60205935.82</v>
      </c>
      <c r="AD10" s="58">
        <f>利润表!AD8</f>
        <v>43071985.909999996</v>
      </c>
      <c r="AE10" s="58">
        <f>利润表!AE8</f>
        <v>28135458.109999999</v>
      </c>
      <c r="AF10" s="58">
        <f>利润表!AF8</f>
        <v>14556538.220000001</v>
      </c>
      <c r="AG10" s="58">
        <f>利润表!AG8</f>
        <v>48193789.229999997</v>
      </c>
      <c r="AH10" s="58">
        <f>利润表!AH8</f>
        <v>35872503.759999998</v>
      </c>
      <c r="AI10" s="58">
        <f>利润表!AI8</f>
        <v>24551520.23</v>
      </c>
      <c r="AJ10" s="58">
        <f>利润表!AJ8</f>
        <v>11137358.08</v>
      </c>
      <c r="AK10" s="58">
        <f>利润表!AK8</f>
        <v>30394487.989999998</v>
      </c>
      <c r="AL10" s="58">
        <f>利润表!AL8</f>
        <v>21106113.699999999</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4" t="s">
        <v>492</v>
      </c>
      <c r="E11" s="58">
        <f>利润表!E9</f>
        <v>358108184.72000003</v>
      </c>
      <c r="F11" s="58">
        <f>利润表!F9</f>
        <v>240796843.28999999</v>
      </c>
      <c r="G11" s="58">
        <f>利润表!G9</f>
        <v>158532005.06</v>
      </c>
      <c r="H11" s="58">
        <f>利润表!H9</f>
        <v>79614239.409999996</v>
      </c>
      <c r="I11" s="58">
        <f>利润表!I9</f>
        <v>354748154.99000001</v>
      </c>
      <c r="J11" s="58">
        <f>利润表!J9</f>
        <v>243743247.87</v>
      </c>
      <c r="K11" s="58">
        <f>利润表!K9</f>
        <v>162436852.12</v>
      </c>
      <c r="L11" s="58">
        <f>利润表!L9</f>
        <v>72638320.290000007</v>
      </c>
      <c r="M11" s="58">
        <f>利润表!M9</f>
        <v>268045559.68000001</v>
      </c>
      <c r="N11" s="58">
        <f>利润表!N9</f>
        <v>182604840.47999999</v>
      </c>
      <c r="O11" s="58">
        <f>利润表!O9</f>
        <v>105345227.56999999</v>
      </c>
      <c r="P11" s="58">
        <f>利润表!P9</f>
        <v>50556841.380000003</v>
      </c>
      <c r="Q11" s="58">
        <f>利润表!Q9</f>
        <v>163239878.59999999</v>
      </c>
      <c r="R11" s="58">
        <f>利润表!R9</f>
        <v>102863299.79000001</v>
      </c>
      <c r="S11" s="58">
        <f>利润表!S9</f>
        <v>59089703.75</v>
      </c>
      <c r="T11" s="58">
        <f>利润表!T9</f>
        <v>29956919.370000001</v>
      </c>
      <c r="U11" s="58">
        <f>利润表!U9</f>
        <v>98026160.409999996</v>
      </c>
      <c r="V11" s="58">
        <f>利润表!V9</f>
        <v>67588826.120000005</v>
      </c>
      <c r="W11" s="58">
        <f>利润表!W9</f>
        <v>40532940.640000001</v>
      </c>
      <c r="X11" s="58">
        <f>利润表!X9</f>
        <v>19732849.23</v>
      </c>
      <c r="Y11" s="58">
        <f>利润表!Y9</f>
        <v>68380359.689999998</v>
      </c>
      <c r="Z11" s="58">
        <f>利润表!Z9</f>
        <v>41525510.280000001</v>
      </c>
      <c r="AA11" s="58">
        <f>利润表!AA9</f>
        <v>26229191.829999998</v>
      </c>
      <c r="AB11" s="58">
        <f>利润表!AB9</f>
        <v>12392261.060000001</v>
      </c>
      <c r="AC11" s="58">
        <f>利润表!AC9</f>
        <v>52821694.600000001</v>
      </c>
      <c r="AD11" s="58">
        <f>利润表!AD9</f>
        <v>26954448.370000001</v>
      </c>
      <c r="AE11" s="58">
        <f>利润表!AE9</f>
        <v>17506046.760000002</v>
      </c>
      <c r="AF11" s="58">
        <f>利润表!AF9</f>
        <v>8697271.3900000006</v>
      </c>
      <c r="AG11" s="58">
        <f>利润表!AG9</f>
        <v>46402393.850000001</v>
      </c>
      <c r="AH11" s="58">
        <f>利润表!AH9</f>
        <v>35570841.57</v>
      </c>
      <c r="AI11" s="58">
        <f>利润表!AI9</f>
        <v>22117006.210000001</v>
      </c>
      <c r="AJ11" s="58">
        <f>利润表!AJ9</f>
        <v>9743382.7100000009</v>
      </c>
      <c r="AK11" s="58">
        <f>利润表!AK9</f>
        <v>29117232.809999999</v>
      </c>
      <c r="AL11" s="58">
        <f>利润表!AL9</f>
        <v>29264056.899999999</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4" t="s">
        <v>493</v>
      </c>
      <c r="E12" s="58">
        <f>SUM(E8:E11)</f>
        <v>3028938467.7299995</v>
      </c>
      <c r="F12" s="58">
        <f t="shared" ref="F12:BQ12" si="4">SUM(F8:F11)</f>
        <v>2109615242.9400001</v>
      </c>
      <c r="G12" s="58">
        <f t="shared" si="4"/>
        <v>1372849908.8699999</v>
      </c>
      <c r="H12" s="58">
        <f t="shared" si="4"/>
        <v>692941813.58999991</v>
      </c>
      <c r="I12" s="58">
        <f t="shared" si="4"/>
        <v>2846164263.1800003</v>
      </c>
      <c r="J12" s="58">
        <f t="shared" si="4"/>
        <v>2068380749.4499998</v>
      </c>
      <c r="K12" s="58">
        <f t="shared" si="4"/>
        <v>1368677263.1799998</v>
      </c>
      <c r="L12" s="58">
        <f t="shared" si="4"/>
        <v>681759197.56999993</v>
      </c>
      <c r="M12" s="58">
        <f t="shared" si="4"/>
        <v>2527497971.3399997</v>
      </c>
      <c r="N12" s="58">
        <f t="shared" si="4"/>
        <v>1857857420.3100002</v>
      </c>
      <c r="O12" s="58">
        <f t="shared" si="4"/>
        <v>1082157759.29</v>
      </c>
      <c r="P12" s="58">
        <f t="shared" si="4"/>
        <v>430153742.05000001</v>
      </c>
      <c r="Q12" s="58">
        <f t="shared" si="4"/>
        <v>1463229621.1299999</v>
      </c>
      <c r="R12" s="58">
        <f t="shared" si="4"/>
        <v>1000774827.71</v>
      </c>
      <c r="S12" s="58">
        <f t="shared" si="4"/>
        <v>652634680.76999998</v>
      </c>
      <c r="T12" s="58">
        <f t="shared" si="4"/>
        <v>300267525.64999998</v>
      </c>
      <c r="U12" s="58">
        <f t="shared" si="4"/>
        <v>1123460724.6700001</v>
      </c>
      <c r="V12" s="58">
        <f t="shared" si="4"/>
        <v>810302563.59000003</v>
      </c>
      <c r="W12" s="58">
        <f t="shared" si="4"/>
        <v>523554943.46000004</v>
      </c>
      <c r="X12" s="58">
        <f t="shared" si="4"/>
        <v>237801517.49999997</v>
      </c>
      <c r="Y12" s="58">
        <f t="shared" si="4"/>
        <v>827383058.49000001</v>
      </c>
      <c r="Z12" s="58">
        <f t="shared" si="4"/>
        <v>602304970.38</v>
      </c>
      <c r="AA12" s="58">
        <f t="shared" si="4"/>
        <v>399302798.31999999</v>
      </c>
      <c r="AB12" s="58">
        <f t="shared" si="4"/>
        <v>198415079.84999999</v>
      </c>
      <c r="AC12" s="58">
        <f t="shared" si="4"/>
        <v>828129959.32000005</v>
      </c>
      <c r="AD12" s="58">
        <f t="shared" si="4"/>
        <v>594347038.13999999</v>
      </c>
      <c r="AE12" s="58">
        <f t="shared" si="4"/>
        <v>406078786.43000001</v>
      </c>
      <c r="AF12" s="58">
        <f t="shared" si="4"/>
        <v>182338477.19999999</v>
      </c>
      <c r="AG12" s="58">
        <f t="shared" si="4"/>
        <v>716688432.75999999</v>
      </c>
      <c r="AH12" s="58">
        <f t="shared" si="4"/>
        <v>518779377</v>
      </c>
      <c r="AI12" s="58">
        <f t="shared" si="4"/>
        <v>332134762.38</v>
      </c>
      <c r="AJ12" s="58">
        <f t="shared" si="4"/>
        <v>150393043.68000001</v>
      </c>
      <c r="AK12" s="58">
        <f t="shared" si="4"/>
        <v>438550234.06999999</v>
      </c>
      <c r="AL12" s="58">
        <f t="shared" si="4"/>
        <v>322521767.06999999</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494</v>
      </c>
      <c r="E13" s="28">
        <f>(E6/(1+E4)+E7)/E12</f>
        <v>0.56823588917466294</v>
      </c>
      <c r="F13" s="28">
        <f t="shared" ref="F13:BQ13" si="6">(F6/(1+F4)+F7)/F12</f>
        <v>0.77404076851062598</v>
      </c>
      <c r="G13" s="28">
        <f t="shared" si="6"/>
        <v>0.76387161946079263</v>
      </c>
      <c r="H13" s="28">
        <f t="shared" si="6"/>
        <v>0.81153485408185189</v>
      </c>
      <c r="I13" s="28">
        <f t="shared" si="6"/>
        <v>0.56657393048946569</v>
      </c>
      <c r="J13" s="28">
        <f t="shared" si="6"/>
        <v>0.83840935676064665</v>
      </c>
      <c r="K13" s="28">
        <f t="shared" si="6"/>
        <v>0.8263136515589804</v>
      </c>
      <c r="L13" s="28">
        <f t="shared" si="6"/>
        <v>0.79482284441481188</v>
      </c>
      <c r="M13" s="28">
        <f t="shared" si="6"/>
        <v>0.65815070066836778</v>
      </c>
      <c r="N13" s="28">
        <f t="shared" si="6"/>
        <v>0.75357195654166742</v>
      </c>
      <c r="O13" s="28">
        <f t="shared" si="6"/>
        <v>0.80836593913238963</v>
      </c>
      <c r="P13" s="28">
        <f t="shared" si="6"/>
        <v>0.82005582962651036</v>
      </c>
      <c r="Q13" s="28">
        <f t="shared" si="6"/>
        <v>0.84585674693955237</v>
      </c>
      <c r="R13" s="28">
        <f t="shared" si="6"/>
        <v>0.84072981605685315</v>
      </c>
      <c r="S13" s="28">
        <f t="shared" si="6"/>
        <v>0.75930336902706519</v>
      </c>
      <c r="T13" s="28">
        <f t="shared" si="6"/>
        <v>0.88895206678262895</v>
      </c>
      <c r="U13" s="28">
        <f t="shared" si="6"/>
        <v>0.79115461738101256</v>
      </c>
      <c r="V13" s="28">
        <f t="shared" si="6"/>
        <v>0.77131449465532265</v>
      </c>
      <c r="W13" s="28">
        <f t="shared" si="6"/>
        <v>0.6670479905462634</v>
      </c>
      <c r="X13" s="28">
        <f t="shared" si="6"/>
        <v>0.71535782791852853</v>
      </c>
      <c r="Y13" s="28">
        <f t="shared" si="6"/>
        <v>0.90688097383174537</v>
      </c>
      <c r="Z13" s="28">
        <f t="shared" si="6"/>
        <v>1.0265729173456575</v>
      </c>
      <c r="AA13" s="28">
        <f t="shared" si="6"/>
        <v>1.0561309183308878</v>
      </c>
      <c r="AB13" s="28">
        <f t="shared" si="6"/>
        <v>0.83989169105993511</v>
      </c>
      <c r="AC13" s="28">
        <f t="shared" si="6"/>
        <v>0.92547260873212767</v>
      </c>
      <c r="AD13" s="28">
        <f t="shared" si="6"/>
        <v>1.0389325176351094</v>
      </c>
      <c r="AE13" s="28">
        <f t="shared" si="6"/>
        <v>0.9456927862817267</v>
      </c>
      <c r="AF13" s="28">
        <f t="shared" si="6"/>
        <v>0.65201283801194732</v>
      </c>
      <c r="AG13" s="28">
        <f t="shared" si="6"/>
        <v>0.94966905793183043</v>
      </c>
      <c r="AH13" s="28">
        <f t="shared" si="6"/>
        <v>0.96888397212117339</v>
      </c>
      <c r="AI13" s="28">
        <f t="shared" si="6"/>
        <v>1.0238072839442196</v>
      </c>
      <c r="AJ13" s="28">
        <f t="shared" si="6"/>
        <v>0.80804663832605705</v>
      </c>
      <c r="AK13" s="28">
        <f t="shared" si="6"/>
        <v>0.8361423917596662</v>
      </c>
      <c r="AL13" s="28">
        <f t="shared" si="6"/>
        <v>0.97239261565436974</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74" customFormat="1">
      <c r="A14" s="273" t="s">
        <v>495</v>
      </c>
      <c r="E14" s="274">
        <f>现金流量表!E13</f>
        <v>198883096.36000001</v>
      </c>
      <c r="F14" s="274">
        <f>现金流量表!F13</f>
        <v>85614462.769999996</v>
      </c>
      <c r="G14" s="274">
        <f>现金流量表!G13</f>
        <v>44438358.880000003</v>
      </c>
      <c r="H14" s="274">
        <f>现金流量表!H13</f>
        <v>-11031873.58</v>
      </c>
      <c r="I14" s="274">
        <f>现金流量表!I13</f>
        <v>713769227.51999998</v>
      </c>
      <c r="J14" s="274">
        <f>现金流量表!J13</f>
        <v>374381936.62</v>
      </c>
      <c r="K14" s="274">
        <f>现金流量表!K13</f>
        <v>227732115.94999999</v>
      </c>
      <c r="L14" s="274">
        <f>现金流量表!L13</f>
        <v>112823879.39</v>
      </c>
      <c r="M14" s="274">
        <f>现金流量表!M13</f>
        <v>476859520.26999998</v>
      </c>
      <c r="N14" s="274">
        <f>现金流量表!N13</f>
        <v>231577969.28</v>
      </c>
      <c r="O14" s="274">
        <f>现金流量表!O13</f>
        <v>78091725.540000007</v>
      </c>
      <c r="P14" s="274">
        <f>现金流量表!P13</f>
        <v>-6597362.5</v>
      </c>
      <c r="Q14" s="274">
        <f>现金流量表!Q13</f>
        <v>245450357.61000001</v>
      </c>
      <c r="R14" s="274">
        <f>现金流量表!R13</f>
        <v>98364249.260000005</v>
      </c>
      <c r="S14" s="274">
        <f>现金流量表!S13</f>
        <v>32368925.59</v>
      </c>
      <c r="T14" s="274">
        <f>现金流量表!T13</f>
        <v>-18100879.100000001</v>
      </c>
      <c r="U14" s="274">
        <f>现金流量表!U13</f>
        <v>70701834.230000004</v>
      </c>
      <c r="V14" s="274">
        <f>现金流量表!V13</f>
        <v>78038137.340000004</v>
      </c>
      <c r="W14" s="274">
        <f>现金流量表!W13</f>
        <v>99471671.659999996</v>
      </c>
      <c r="X14" s="274">
        <f>现金流量表!X13</f>
        <v>31757211.050000001</v>
      </c>
      <c r="Y14" s="274">
        <f>现金流量表!Y13</f>
        <v>83007647.939999998</v>
      </c>
      <c r="Z14" s="274">
        <f>现金流量表!Z13</f>
        <v>-373997.43</v>
      </c>
      <c r="AA14" s="274">
        <f>现金流量表!AA13</f>
        <v>14656309.34</v>
      </c>
      <c r="AB14" s="274">
        <f>现金流量表!AB13</f>
        <v>1463782.77</v>
      </c>
      <c r="AC14" s="274">
        <f>现金流量表!AC13</f>
        <v>51143961.969999999</v>
      </c>
      <c r="AD14" s="274">
        <f>现金流量表!AD13</f>
        <v>4307201.72</v>
      </c>
      <c r="AE14" s="274">
        <f>现金流量表!AE13</f>
        <v>10692150.619999999</v>
      </c>
      <c r="AF14" s="274">
        <f>现金流量表!AF13</f>
        <v>21082533.890000001</v>
      </c>
      <c r="AG14" s="274">
        <f>现金流量表!AG13</f>
        <v>96173109.579999998</v>
      </c>
      <c r="AH14" s="274">
        <f>现金流量表!AH13</f>
        <v>68665094.870000005</v>
      </c>
      <c r="AI14" s="274">
        <f>现金流量表!AI13</f>
        <v>39395158.75</v>
      </c>
      <c r="AJ14" s="274">
        <f>现金流量表!AJ13</f>
        <v>-3257766.91</v>
      </c>
      <c r="AK14" s="274">
        <f>现金流量表!AK13</f>
        <v>125630713.22</v>
      </c>
      <c r="AL14" s="274">
        <f>现金流量表!AL13</f>
        <v>14103428.619999999</v>
      </c>
      <c r="AM14" s="274">
        <f>现金流量表!AM13</f>
        <v>0</v>
      </c>
      <c r="AN14" s="274">
        <f>现金流量表!AN13</f>
        <v>0</v>
      </c>
      <c r="AO14" s="274">
        <f>现金流量表!AO13</f>
        <v>0</v>
      </c>
      <c r="AP14" s="274">
        <f>现金流量表!AP13</f>
        <v>0</v>
      </c>
      <c r="AQ14" s="274">
        <f>现金流量表!AQ13</f>
        <v>0</v>
      </c>
      <c r="AR14" s="274">
        <f>现金流量表!AR13</f>
        <v>0</v>
      </c>
      <c r="AS14" s="274">
        <f>现金流量表!AS13</f>
        <v>0</v>
      </c>
      <c r="AT14" s="274">
        <f>现金流量表!AT13</f>
        <v>0</v>
      </c>
      <c r="AU14" s="274">
        <f>现金流量表!AU13</f>
        <v>0</v>
      </c>
      <c r="AV14" s="274">
        <f>现金流量表!AV13</f>
        <v>0</v>
      </c>
      <c r="AW14" s="274">
        <f>现金流量表!AW13</f>
        <v>0</v>
      </c>
      <c r="AX14" s="274">
        <f>现金流量表!AX13</f>
        <v>0</v>
      </c>
      <c r="AY14" s="274">
        <f>现金流量表!AY13</f>
        <v>0</v>
      </c>
      <c r="AZ14" s="274">
        <f>现金流量表!AZ13</f>
        <v>0</v>
      </c>
      <c r="BA14" s="274">
        <f>现金流量表!BA13</f>
        <v>0</v>
      </c>
      <c r="BB14" s="274">
        <f>现金流量表!BB13</f>
        <v>0</v>
      </c>
      <c r="BC14" s="274">
        <f>现金流量表!BC13</f>
        <v>0</v>
      </c>
      <c r="BD14" s="274">
        <f>现金流量表!BD13</f>
        <v>0</v>
      </c>
      <c r="BE14" s="274">
        <f>现金流量表!BE13</f>
        <v>0</v>
      </c>
      <c r="BF14" s="274">
        <f>现金流量表!BF13</f>
        <v>0</v>
      </c>
      <c r="BG14" s="274">
        <f>现金流量表!BG13</f>
        <v>0</v>
      </c>
      <c r="BH14" s="274">
        <f>现金流量表!BH13</f>
        <v>0</v>
      </c>
      <c r="BI14" s="274">
        <f>现金流量表!BI13</f>
        <v>0</v>
      </c>
      <c r="BJ14" s="274">
        <f>现金流量表!BJ13</f>
        <v>0</v>
      </c>
      <c r="BK14" s="274">
        <f>现金流量表!BK13</f>
        <v>0</v>
      </c>
      <c r="BL14" s="274">
        <f>现金流量表!BL13</f>
        <v>0</v>
      </c>
      <c r="BM14" s="274">
        <f>现金流量表!BM13</f>
        <v>0</v>
      </c>
      <c r="BN14" s="274">
        <f>现金流量表!BN13</f>
        <v>0</v>
      </c>
      <c r="BO14" s="274">
        <f>现金流量表!BO13</f>
        <v>0</v>
      </c>
      <c r="BP14" s="274">
        <f>现金流量表!BP13</f>
        <v>0</v>
      </c>
      <c r="BQ14" s="274">
        <f>现金流量表!BQ13</f>
        <v>0</v>
      </c>
      <c r="BR14" s="274">
        <f>现金流量表!BR13</f>
        <v>0</v>
      </c>
      <c r="BS14" s="274">
        <f>现金流量表!BS13</f>
        <v>0</v>
      </c>
      <c r="BT14" s="274">
        <f>现金流量表!BT13</f>
        <v>0</v>
      </c>
      <c r="BU14" s="274">
        <f>现金流量表!BU13</f>
        <v>0</v>
      </c>
      <c r="BV14" s="274">
        <f>现金流量表!BV13</f>
        <v>0</v>
      </c>
      <c r="BW14" s="274">
        <f>现金流量表!BW13</f>
        <v>0</v>
      </c>
      <c r="BX14" s="274">
        <f>现金流量表!BX13</f>
        <v>0</v>
      </c>
      <c r="BY14" s="274">
        <f>现金流量表!BY13</f>
        <v>0</v>
      </c>
      <c r="BZ14" s="274">
        <f>现金流量表!BZ13</f>
        <v>0</v>
      </c>
      <c r="CA14" s="274">
        <f>现金流量表!CA13</f>
        <v>0</v>
      </c>
      <c r="CB14" s="274">
        <f>现金流量表!CB13</f>
        <v>0</v>
      </c>
      <c r="CC14" s="274">
        <f>现金流量表!CC13</f>
        <v>0</v>
      </c>
      <c r="CD14" s="274">
        <f>现金流量表!CD13</f>
        <v>0</v>
      </c>
      <c r="CE14" s="274">
        <f>现金流量表!CE13</f>
        <v>0</v>
      </c>
      <c r="CF14" s="274">
        <f>现金流量表!CF13</f>
        <v>0</v>
      </c>
      <c r="CG14" s="274">
        <f>现金流量表!CG13</f>
        <v>0</v>
      </c>
      <c r="CH14" s="274">
        <f>现金流量表!CH13</f>
        <v>0</v>
      </c>
      <c r="CI14" s="274">
        <f>现金流量表!CI13</f>
        <v>0</v>
      </c>
      <c r="CJ14" s="274">
        <f>现金流量表!CJ13</f>
        <v>0</v>
      </c>
      <c r="CK14" s="274">
        <f>现金流量表!CK13</f>
        <v>0</v>
      </c>
    </row>
    <row r="15" spans="1:90" s="26" customFormat="1">
      <c r="A15" s="17" t="s">
        <v>496</v>
      </c>
      <c r="E15" s="26">
        <f>股权价值增加表!E17</f>
        <v>365902852.78474098</v>
      </c>
      <c r="F15" s="26">
        <f>股权价值增加表!F17</f>
        <v>306094756.60540807</v>
      </c>
      <c r="G15" s="26">
        <f>股权价值增加表!G17</f>
        <v>217349305.85290074</v>
      </c>
      <c r="H15" s="26">
        <f>股权价值增加表!H17</f>
        <v>128338490.35512638</v>
      </c>
      <c r="I15" s="26">
        <f>股权价值增加表!I17</f>
        <v>524552620.09044313</v>
      </c>
      <c r="J15" s="26">
        <f>股权价值增加表!J17</f>
        <v>406650594.29501313</v>
      </c>
      <c r="K15" s="26">
        <f>股权价值增加表!K17</f>
        <v>284628529.1409471</v>
      </c>
      <c r="L15" s="26">
        <f>股权价值增加表!L17</f>
        <v>126332738.53846429</v>
      </c>
      <c r="M15" s="26">
        <f>股权价值增加表!M17</f>
        <v>420613039.12535894</v>
      </c>
      <c r="N15" s="26">
        <f>股权价值增加表!N17</f>
        <v>283032127.32709539</v>
      </c>
      <c r="O15" s="26">
        <f>股权价值增加表!O17</f>
        <v>147759056.46530759</v>
      </c>
      <c r="P15" s="26">
        <f>股权价值增加表!P17</f>
        <v>56740009.403530419</v>
      </c>
      <c r="Q15" s="26">
        <f>股权价值增加表!Q17</f>
        <v>210379325.51565036</v>
      </c>
      <c r="R15" s="26">
        <f>股权价值增加表!R17</f>
        <v>94084765.121348232</v>
      </c>
      <c r="S15" s="26">
        <f>股权价值增加表!S17</f>
        <v>53906653.952093497</v>
      </c>
      <c r="T15" s="26">
        <f>股权价值增加表!T17</f>
        <v>21614841.539610043</v>
      </c>
      <c r="U15" s="26">
        <f>股权价值增加表!U17</f>
        <v>80105138.822039142</v>
      </c>
      <c r="V15" s="26">
        <f>股权价值增加表!V17</f>
        <v>61857298.137732655</v>
      </c>
      <c r="W15" s="26">
        <f>股权价值增加表!W17</f>
        <v>44812798.529327855</v>
      </c>
      <c r="X15" s="26">
        <f>股权价值增加表!X17</f>
        <v>18625766.872303322</v>
      </c>
      <c r="Y15" s="26">
        <f>股权价值增加表!Y17</f>
        <v>80870471.536777064</v>
      </c>
      <c r="Z15" s="26">
        <f>股权价值增加表!Z17</f>
        <v>75185808.582051516</v>
      </c>
      <c r="AA15" s="26">
        <f>股权价值增加表!AA17</f>
        <v>55080729.980501175</v>
      </c>
      <c r="AB15" s="26">
        <f>股权价值增加表!AB17</f>
        <v>24418148.919701423</v>
      </c>
      <c r="AC15" s="26">
        <f>股权价值增加表!AC17</f>
        <v>143060463.79079911</v>
      </c>
      <c r="AD15" s="26">
        <f>股权价值增加表!AD17</f>
        <v>129238479.4827432</v>
      </c>
      <c r="AE15" s="26">
        <f>股权价值增加表!AE17</f>
        <v>97083224.736816362</v>
      </c>
      <c r="AF15" s="26">
        <f>股权价值增加表!AF17</f>
        <v>43522962.258444265</v>
      </c>
      <c r="AG15" s="26">
        <f>股权价值增加表!AG17</f>
        <v>166862288.21204284</v>
      </c>
      <c r="AH15" s="26">
        <f>股权价值增加表!AH17</f>
        <v>127725488.9182225</v>
      </c>
      <c r="AI15" s="26">
        <f>股权价值增加表!AI17</f>
        <v>83574511.242152482</v>
      </c>
      <c r="AJ15" s="26">
        <f>股权价值增加表!AJ17</f>
        <v>41225210.175257415</v>
      </c>
      <c r="AK15" s="26">
        <f>股权价值增加表!AK17</f>
        <v>109094759.05417378</v>
      </c>
      <c r="AL15" s="26">
        <f>股权价值增加表!AL17</f>
        <v>85864521.995429948</v>
      </c>
      <c r="AM15" s="26" t="e">
        <f>股权价值增加表!AM17</f>
        <v>#DIV/0!</v>
      </c>
      <c r="AN15" s="26">
        <f>股权价值增加表!AN17</f>
        <v>0</v>
      </c>
      <c r="AO15" s="26">
        <f>股权价值增加表!AO17</f>
        <v>0</v>
      </c>
      <c r="AP15" s="26">
        <f>股权价值增加表!AP17</f>
        <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497</v>
      </c>
      <c r="E16" s="28">
        <f>E14/E15</f>
        <v>0.54354070990805325</v>
      </c>
      <c r="F16" s="28">
        <f t="shared" ref="F16:BQ16" si="8">F14/F15</f>
        <v>0.27969921379727208</v>
      </c>
      <c r="G16" s="28">
        <f t="shared" si="8"/>
        <v>0.20445595032208347</v>
      </c>
      <c r="H16" s="28">
        <f t="shared" si="8"/>
        <v>-8.5959197038032953E-2</v>
      </c>
      <c r="I16" s="28">
        <f t="shared" si="8"/>
        <v>1.3607199739025844</v>
      </c>
      <c r="J16" s="28">
        <f t="shared" si="8"/>
        <v>0.9206477056034913</v>
      </c>
      <c r="K16" s="28">
        <f t="shared" si="8"/>
        <v>0.80010291532381073</v>
      </c>
      <c r="L16" s="28">
        <f t="shared" si="8"/>
        <v>0.89306921305793374</v>
      </c>
      <c r="M16" s="28">
        <f t="shared" si="8"/>
        <v>1.1337250059142303</v>
      </c>
      <c r="N16" s="28">
        <f t="shared" si="8"/>
        <v>0.81820382536421143</v>
      </c>
      <c r="O16" s="28">
        <f t="shared" si="8"/>
        <v>0.52850720225284598</v>
      </c>
      <c r="P16" s="28">
        <f t="shared" si="8"/>
        <v>-0.11627355316563458</v>
      </c>
      <c r="Q16" s="28">
        <f t="shared" si="8"/>
        <v>1.1667037956718835</v>
      </c>
      <c r="R16" s="28">
        <f t="shared" si="8"/>
        <v>1.0454854102375895</v>
      </c>
      <c r="S16" s="28">
        <f t="shared" si="8"/>
        <v>0.60046252580926396</v>
      </c>
      <c r="T16" s="28">
        <f t="shared" si="8"/>
        <v>-0.83742825811743438</v>
      </c>
      <c r="U16" s="28">
        <f t="shared" si="8"/>
        <v>0.88261296677945422</v>
      </c>
      <c r="V16" s="28">
        <f t="shared" si="8"/>
        <v>1.2615833489241444</v>
      </c>
      <c r="W16" s="28">
        <f t="shared" si="8"/>
        <v>2.2197156822263735</v>
      </c>
      <c r="X16" s="28">
        <f t="shared" si="8"/>
        <v>1.7050149541613371</v>
      </c>
      <c r="Y16" s="28">
        <f t="shared" si="8"/>
        <v>1.0264271539736358</v>
      </c>
      <c r="Z16" s="28">
        <f t="shared" si="8"/>
        <v>-4.9743088097782499E-3</v>
      </c>
      <c r="AA16" s="28">
        <f t="shared" si="8"/>
        <v>0.26608778324449223</v>
      </c>
      <c r="AB16" s="28">
        <f t="shared" si="8"/>
        <v>5.9946508427547861E-2</v>
      </c>
      <c r="AC16" s="28">
        <f t="shared" si="8"/>
        <v>0.35749892468396505</v>
      </c>
      <c r="AD16" s="28">
        <f t="shared" si="8"/>
        <v>3.3327548708704254E-2</v>
      </c>
      <c r="AE16" s="28">
        <f t="shared" si="8"/>
        <v>0.11013386348656454</v>
      </c>
      <c r="AF16" s="28">
        <f t="shared" si="8"/>
        <v>0.48440025209703175</v>
      </c>
      <c r="AG16" s="28">
        <f t="shared" si="8"/>
        <v>0.57636216433629706</v>
      </c>
      <c r="AH16" s="28">
        <f t="shared" si="8"/>
        <v>0.53759899806657629</v>
      </c>
      <c r="AI16" s="28">
        <f t="shared" si="8"/>
        <v>0.47137767441863615</v>
      </c>
      <c r="AJ16" s="28">
        <f t="shared" si="8"/>
        <v>-7.9023658003210123E-2</v>
      </c>
      <c r="AK16" s="28">
        <f t="shared" si="8"/>
        <v>1.1515742305972267</v>
      </c>
      <c r="AL16" s="28">
        <f t="shared" si="8"/>
        <v>0.16425210660056594</v>
      </c>
      <c r="AM16" s="28" t="e">
        <f t="shared" si="8"/>
        <v>#DIV/0!</v>
      </c>
      <c r="AN16" s="28" t="e">
        <f t="shared" si="8"/>
        <v>#DIV/0!</v>
      </c>
      <c r="AO16" s="28" t="e">
        <f t="shared" si="8"/>
        <v>#DIV/0!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74" customFormat="1">
      <c r="A17" s="273" t="s">
        <v>498</v>
      </c>
      <c r="E17" s="274">
        <f>股权价值增加表!E42</f>
        <v>763074598.58000016</v>
      </c>
      <c r="F17" s="274">
        <f>股权价值增加表!F42</f>
        <v>712364199.24999976</v>
      </c>
      <c r="G17" s="274">
        <f>股权价值增加表!G42</f>
        <v>617888669.5200001</v>
      </c>
      <c r="H17" s="274">
        <f>股权价值增加表!H42</f>
        <v>125222326.09000005</v>
      </c>
      <c r="I17" s="274">
        <f>股权价值增加表!I42</f>
        <v>506356864.06999975</v>
      </c>
      <c r="J17" s="274">
        <f>股权价值增加表!J42</f>
        <v>395562473.47000021</v>
      </c>
      <c r="K17" s="274">
        <f>股权价值增加表!K42</f>
        <v>277445142.16000015</v>
      </c>
      <c r="L17" s="274">
        <f>股权价值增加表!L42</f>
        <v>122556400.73999996</v>
      </c>
      <c r="M17" s="274">
        <f>股权价值增加表!M42</f>
        <v>407579414.66999984</v>
      </c>
      <c r="N17" s="274">
        <f>股权价值增加表!N42</f>
        <v>276279058.92000008</v>
      </c>
      <c r="O17" s="274">
        <f>股权价值增加表!O42</f>
        <v>145596013.90999997</v>
      </c>
      <c r="P17" s="274">
        <f>股权价值增加表!P42</f>
        <v>55369986.930000022</v>
      </c>
      <c r="Q17" s="274">
        <f>股权价值增加表!Q42</f>
        <v>209811642.54000014</v>
      </c>
      <c r="R17" s="274">
        <f>股权价值增加表!R42</f>
        <v>93237867.620000064</v>
      </c>
      <c r="S17" s="274">
        <f>股权价值增加表!S42</f>
        <v>53417867.970000044</v>
      </c>
      <c r="T17" s="274">
        <f>股权价值增加表!T42</f>
        <v>21485302.550000012</v>
      </c>
      <c r="U17" s="274">
        <f>股权价值增加表!U42</f>
        <v>81056177.170000017</v>
      </c>
      <c r="V17" s="274">
        <f>股权价值增加表!V42</f>
        <v>63805975.239999942</v>
      </c>
      <c r="W17" s="274">
        <f>股权价值增加表!W42</f>
        <v>46206456.290000007</v>
      </c>
      <c r="X17" s="274">
        <f>股权价值增加表!X42</f>
        <v>19427589.500000007</v>
      </c>
      <c r="Y17" s="274">
        <f>股权价值增加表!Y42</f>
        <v>93285393.259999961</v>
      </c>
      <c r="Z17" s="274">
        <f>股权价值增加表!Z42</f>
        <v>86418505.990000039</v>
      </c>
      <c r="AA17" s="274">
        <f>股权价值增加表!AA42</f>
        <v>63637494.930000044</v>
      </c>
      <c r="AB17" s="274">
        <f>股权价值增加表!AB42</f>
        <v>28848240.900000002</v>
      </c>
      <c r="AC17" s="274">
        <f>股权价值增加表!AC42</f>
        <v>140133500.44000006</v>
      </c>
      <c r="AD17" s="274">
        <f>股权价值增加表!AD42</f>
        <v>122593746.51999997</v>
      </c>
      <c r="AE17" s="274">
        <f>股权价值增加表!AE42</f>
        <v>89788580.339999989</v>
      </c>
      <c r="AF17" s="274">
        <f>股权价值增加表!AF42</f>
        <v>40811842.500000015</v>
      </c>
      <c r="AG17" s="274">
        <f>股权价值增加表!AG42</f>
        <v>155737904.29000005</v>
      </c>
      <c r="AH17" s="274">
        <f>股权价值增加表!AH42</f>
        <v>121288481.95</v>
      </c>
      <c r="AI17" s="274">
        <f>股权价值增加表!AI42</f>
        <v>80009932.309999958</v>
      </c>
      <c r="AJ17" s="274">
        <f>股权价值增加表!AJ42</f>
        <v>39728737.599999994</v>
      </c>
      <c r="AK17" s="274">
        <f>股权价值增加表!AK42</f>
        <v>101965075.51999995</v>
      </c>
      <c r="AL17" s="274">
        <f>股权价值增加表!AL42</f>
        <v>77056544.74000001</v>
      </c>
      <c r="AM17" s="274">
        <f>股权价值增加表!AM42</f>
        <v>0</v>
      </c>
      <c r="AN17" s="274">
        <f>股权价值增加表!AN42</f>
        <v>-28361024</v>
      </c>
      <c r="AO17" s="274">
        <f>股权价值增加表!AO42</f>
        <v>-183315164</v>
      </c>
      <c r="AP17" s="274">
        <f>股权价值增加表!AP42</f>
        <v>-82463154</v>
      </c>
      <c r="AQ17" s="274">
        <f>股权价值增加表!AQ42</f>
        <v>-18500653</v>
      </c>
      <c r="AR17" s="274">
        <f>股权价值增加表!AR42</f>
        <v>-23384871</v>
      </c>
      <c r="AS17" s="274">
        <f>股权价值增加表!AS42</f>
        <v>-278200364</v>
      </c>
      <c r="AT17" s="274">
        <f>股权价值增加表!AT42</f>
        <v>-70951630</v>
      </c>
      <c r="AU17" s="274">
        <f>股权价值增加表!AU42</f>
        <v>41854179</v>
      </c>
      <c r="AV17" s="274">
        <f>股权价值增加表!AV42</f>
        <v>105243196</v>
      </c>
      <c r="AW17" s="274">
        <f>股权价值增加表!AW42</f>
        <v>-480460746</v>
      </c>
      <c r="AX17" s="274">
        <f>股权价值增加表!AX42</f>
        <v>-411816347</v>
      </c>
      <c r="AY17" s="274">
        <f>股权价值增加表!AY42</f>
        <v>-262479904</v>
      </c>
      <c r="AZ17" s="274">
        <f>股权价值增加表!AZ42</f>
        <v>-78383092</v>
      </c>
      <c r="BA17" s="274">
        <f>股权价值增加表!BA42</f>
        <v>-390198861</v>
      </c>
      <c r="BB17" s="274">
        <f>股权价值增加表!BB42</f>
        <v>-217656976</v>
      </c>
      <c r="BC17" s="274">
        <f>股权价值增加表!BC42</f>
        <v>-126458674</v>
      </c>
      <c r="BD17" s="274">
        <f>股权价值增加表!BD42</f>
        <v>-19157380</v>
      </c>
      <c r="BE17" s="274">
        <f>股权价值增加表!BE42</f>
        <v>259100491</v>
      </c>
      <c r="BF17" s="274">
        <f>股权价值增加表!BF42</f>
        <v>113662430.94</v>
      </c>
      <c r="BG17" s="274">
        <f>股权价值增加表!BG42</f>
        <v>97729841.890000001</v>
      </c>
      <c r="BH17" s="274">
        <f>股权价值增加表!BH42</f>
        <v>43481545.140000008</v>
      </c>
      <c r="BI17" s="274">
        <f>股权价值增加表!BI42</f>
        <v>-228035763</v>
      </c>
      <c r="BJ17" s="274">
        <f>股权价值增加表!BJ42</f>
        <v>-194157356.66</v>
      </c>
      <c r="BK17" s="274">
        <f>股权价值增加表!BK42</f>
        <v>-159735713.11999997</v>
      </c>
      <c r="BL17" s="274">
        <f>股权价值增加表!BL42</f>
        <v>-146319620.34</v>
      </c>
      <c r="BM17" s="274">
        <f>股权价值增加表!BM42</f>
        <v>-47348848</v>
      </c>
      <c r="BN17" s="274">
        <f>股权价值增加表!BN42</f>
        <v>-59961944.369999997</v>
      </c>
      <c r="BO17" s="274">
        <f>股权价值增加表!BO42</f>
        <v>-41743210.640000001</v>
      </c>
      <c r="BP17" s="274">
        <f>股权价值增加表!BP42</f>
        <v>-27646390.399999999</v>
      </c>
      <c r="BQ17" s="274">
        <f>股权价值增加表!BQ42</f>
        <v>-56971352</v>
      </c>
      <c r="BR17" s="274">
        <f>股权价值增加表!BR42</f>
        <v>-5646453.7799999993</v>
      </c>
      <c r="BS17" s="274">
        <f>股权价值增加表!BS42</f>
        <v>15416072</v>
      </c>
      <c r="BT17" s="274">
        <f>股权价值增加表!BT42</f>
        <v>11983694</v>
      </c>
      <c r="BU17" s="274">
        <f>股权价值增加表!BU42</f>
        <v>29336553</v>
      </c>
      <c r="BV17" s="274">
        <f>股权价值增加表!BV42</f>
        <v>4743327.5900000017</v>
      </c>
      <c r="BW17" s="274">
        <f>股权价值增加表!BW42</f>
        <v>39385000</v>
      </c>
      <c r="BX17" s="274">
        <f>股权价值增加表!BX42</f>
        <v>19267211.82</v>
      </c>
      <c r="BY17" s="274">
        <f>股权价值增加表!BY42</f>
        <v>56745000</v>
      </c>
      <c r="BZ17" s="274">
        <f>股权价值增加表!BZ42</f>
        <v>23221000</v>
      </c>
      <c r="CA17" s="274">
        <f>股权价值增加表!CA42</f>
        <v>87851000</v>
      </c>
      <c r="CB17" s="274">
        <f>股权价值增加表!CB42</f>
        <v>94389000</v>
      </c>
      <c r="CC17" s="274">
        <f>股权价值增加表!CC42</f>
        <v>88932000</v>
      </c>
      <c r="CD17" s="274">
        <f>股权价值增加表!CD42</f>
        <v>0</v>
      </c>
      <c r="CE17" s="274">
        <f>股权价值增加表!CE42</f>
        <v>-20081000</v>
      </c>
      <c r="CF17" s="274">
        <f>股权价值增加表!CF42</f>
        <v>-14354563.84</v>
      </c>
      <c r="CG17" s="274">
        <f>股权价值增加表!CG42</f>
        <v>-4330000</v>
      </c>
      <c r="CH17" s="274">
        <f>股权价值增加表!CH42</f>
        <v>-4220000</v>
      </c>
      <c r="CI17" s="274">
        <f>股权价值增加表!CI42</f>
        <v>-12510000</v>
      </c>
      <c r="CJ17" s="274">
        <f>股权价值增加表!CJ42</f>
        <v>-3630000</v>
      </c>
      <c r="CK17" s="274">
        <f>股权价值增加表!CK42</f>
        <v>0</v>
      </c>
      <c r="CL17" s="274">
        <f>股权价值增加表!CL42</f>
        <v>0</v>
      </c>
    </row>
    <row r="18" spans="1:90" s="28" customFormat="1">
      <c r="A18" s="20" t="s">
        <v>499</v>
      </c>
      <c r="E18" s="28">
        <f>E14/E17</f>
        <v>0.26063388393493914</v>
      </c>
      <c r="F18" s="28">
        <f t="shared" ref="F18:BQ18" si="10">F14/F17</f>
        <v>0.120183556192377</v>
      </c>
      <c r="G18" s="28">
        <f t="shared" si="10"/>
        <v>7.1919685652306012E-2</v>
      </c>
      <c r="H18" s="28">
        <f t="shared" si="10"/>
        <v>-8.8098296242086649E-2</v>
      </c>
      <c r="I18" s="28">
        <f t="shared" si="10"/>
        <v>1.4096169681257191</v>
      </c>
      <c r="J18" s="28">
        <f t="shared" si="10"/>
        <v>0.94645463543546537</v>
      </c>
      <c r="K18" s="28">
        <f t="shared" si="10"/>
        <v>0.82081853795323945</v>
      </c>
      <c r="L18" s="28">
        <f t="shared" si="10"/>
        <v>0.9205874088074173</v>
      </c>
      <c r="M18" s="28">
        <f t="shared" si="10"/>
        <v>1.1699794030473629</v>
      </c>
      <c r="N18" s="28">
        <f t="shared" si="10"/>
        <v>0.83820312037133504</v>
      </c>
      <c r="O18" s="28">
        <f t="shared" si="10"/>
        <v>0.53635895271330936</v>
      </c>
      <c r="P18" s="28">
        <f t="shared" si="10"/>
        <v>-0.11915051575396854</v>
      </c>
      <c r="Q18" s="28">
        <f t="shared" si="10"/>
        <v>1.1698605217449047</v>
      </c>
      <c r="R18" s="28">
        <f t="shared" si="10"/>
        <v>1.0549817554911596</v>
      </c>
      <c r="S18" s="28">
        <f t="shared" si="10"/>
        <v>0.60595689832058963</v>
      </c>
      <c r="T18" s="28">
        <f t="shared" si="10"/>
        <v>-0.84247727291138341</v>
      </c>
      <c r="U18" s="28">
        <f t="shared" si="10"/>
        <v>0.87225720109790361</v>
      </c>
      <c r="V18" s="28">
        <f t="shared" si="10"/>
        <v>1.2230537507884987</v>
      </c>
      <c r="W18" s="28">
        <f t="shared" si="10"/>
        <v>2.1527656446038179</v>
      </c>
      <c r="X18" s="28">
        <f t="shared" si="10"/>
        <v>1.6346449491327779</v>
      </c>
      <c r="Y18" s="28">
        <f t="shared" si="10"/>
        <v>0.8898247093051922</v>
      </c>
      <c r="Z18" s="28">
        <f t="shared" si="10"/>
        <v>-4.3277469995058387E-3</v>
      </c>
      <c r="AA18" s="28">
        <f t="shared" si="10"/>
        <v>0.23030933816803512</v>
      </c>
      <c r="AB18" s="28">
        <f t="shared" si="10"/>
        <v>5.0740798202361097E-2</v>
      </c>
      <c r="AC18" s="28">
        <f t="shared" si="10"/>
        <v>0.36496599178222866</v>
      </c>
      <c r="AD18" s="28">
        <f t="shared" si="10"/>
        <v>3.5133943143644132E-2</v>
      </c>
      <c r="AE18" s="28">
        <f t="shared" si="10"/>
        <v>0.11908140856568086</v>
      </c>
      <c r="AF18" s="28">
        <f t="shared" si="10"/>
        <v>0.51657883100965096</v>
      </c>
      <c r="AG18" s="28">
        <f t="shared" si="10"/>
        <v>0.61753180780521966</v>
      </c>
      <c r="AH18" s="28">
        <f t="shared" si="10"/>
        <v>0.56613038407312677</v>
      </c>
      <c r="AI18" s="28">
        <f t="shared" si="10"/>
        <v>0.49237835369442295</v>
      </c>
      <c r="AJ18" s="28">
        <f t="shared" si="10"/>
        <v>-8.2000262449819214E-2</v>
      </c>
      <c r="AK18" s="28">
        <f t="shared" si="10"/>
        <v>1.232095524661855</v>
      </c>
      <c r="AL18" s="28">
        <f t="shared" si="10"/>
        <v>0.1830270052671972</v>
      </c>
      <c r="AM18" s="28" t="e">
        <f t="shared" si="10"/>
        <v>#DIV/0!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500</v>
      </c>
      <c r="E19" s="26">
        <f>现金流量表!E48</f>
        <v>12366028.390000001</v>
      </c>
      <c r="F19" s="26">
        <f>现金流量表!F48</f>
        <v>0</v>
      </c>
      <c r="G19" s="26">
        <f>现金流量表!G48</f>
        <v>4272596.29</v>
      </c>
      <c r="H19" s="26">
        <f>现金流量表!H48</f>
        <v>0</v>
      </c>
      <c r="I19" s="26">
        <f>现金流量表!I48</f>
        <v>-687475.79</v>
      </c>
      <c r="J19" s="26">
        <f>现金流量表!J48</f>
        <v>0</v>
      </c>
      <c r="K19" s="26">
        <f>现金流量表!K48</f>
        <v>2723234.18</v>
      </c>
      <c r="L19" s="26">
        <f>现金流量表!L48</f>
        <v>0</v>
      </c>
      <c r="M19" s="26">
        <f>现金流量表!M48</f>
        <v>31368183.050000001</v>
      </c>
      <c r="N19" s="26">
        <f>现金流量表!N48</f>
        <v>0</v>
      </c>
      <c r="O19" s="26">
        <f>现金流量表!O48</f>
        <v>5076743.57</v>
      </c>
      <c r="P19" s="26">
        <f>现金流量表!P48</f>
        <v>0</v>
      </c>
      <c r="Q19" s="26">
        <f>现金流量表!Q48</f>
        <v>10472153.449999999</v>
      </c>
      <c r="R19" s="26">
        <f>现金流量表!R48</f>
        <v>0</v>
      </c>
      <c r="S19" s="26">
        <f>现金流量表!S48</f>
        <v>8498308.2599999998</v>
      </c>
      <c r="T19" s="26">
        <f>现金流量表!T48</f>
        <v>0</v>
      </c>
      <c r="U19" s="26">
        <f>现金流量表!U48</f>
        <v>8194603.2800000003</v>
      </c>
      <c r="V19" s="26">
        <f>现金流量表!V48</f>
        <v>0</v>
      </c>
      <c r="W19" s="26">
        <f>现金流量表!W48</f>
        <v>3495793.07</v>
      </c>
      <c r="X19" s="26">
        <f>现金流量表!X48</f>
        <v>0</v>
      </c>
      <c r="Y19" s="26">
        <f>现金流量表!Y48</f>
        <v>1963377.78</v>
      </c>
      <c r="Z19" s="26">
        <f>现金流量表!Z48</f>
        <v>0</v>
      </c>
      <c r="AA19" s="26">
        <f>现金流量表!AA48</f>
        <v>825859.68</v>
      </c>
      <c r="AB19" s="26">
        <f>现金流量表!AB48</f>
        <v>0</v>
      </c>
      <c r="AC19" s="26">
        <f>现金流量表!AC48</f>
        <v>3684165.41</v>
      </c>
      <c r="AD19" s="26">
        <f>现金流量表!AD48</f>
        <v>0</v>
      </c>
      <c r="AE19" s="26">
        <f>现金流量表!AE48</f>
        <v>3381825.99</v>
      </c>
      <c r="AF19" s="26">
        <f>现金流量表!AF48</f>
        <v>0</v>
      </c>
      <c r="AG19" s="26">
        <f>现金流量表!AG48</f>
        <v>-878286.96</v>
      </c>
      <c r="AH19" s="26">
        <f>现金流量表!AH48</f>
        <v>0</v>
      </c>
      <c r="AI19" s="26">
        <f>现金流量表!AI48</f>
        <v>1969124.73</v>
      </c>
      <c r="AJ19" s="26">
        <f>现金流量表!AJ48</f>
        <v>0</v>
      </c>
      <c r="AK19" s="26">
        <f>现金流量表!AK48</f>
        <v>7361011.8899999997</v>
      </c>
      <c r="AL19" s="26">
        <f>现金流量表!AL48</f>
        <v>3313259.1</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501</v>
      </c>
      <c r="E20" s="26">
        <f>现金流量表!E49</f>
        <v>109994965.51000001</v>
      </c>
      <c r="F20" s="26">
        <f>现金流量表!F49</f>
        <v>0</v>
      </c>
      <c r="G20" s="26">
        <f>现金流量表!G49</f>
        <v>53432441.380000003</v>
      </c>
      <c r="H20" s="26">
        <f>现金流量表!H49</f>
        <v>0</v>
      </c>
      <c r="I20" s="26">
        <f>现金流量表!I49</f>
        <v>106645983.19</v>
      </c>
      <c r="J20" s="26">
        <f>现金流量表!J49</f>
        <v>0</v>
      </c>
      <c r="K20" s="26">
        <f>现金流量表!K49</f>
        <v>47412321.909999996</v>
      </c>
      <c r="L20" s="26">
        <f>现金流量表!L49</f>
        <v>0</v>
      </c>
      <c r="M20" s="26">
        <f>现金流量表!M49</f>
        <v>92721882.939999998</v>
      </c>
      <c r="N20" s="26">
        <f>现金流量表!N49</f>
        <v>0</v>
      </c>
      <c r="O20" s="26">
        <f>现金流量表!O49</f>
        <v>42575856.520000003</v>
      </c>
      <c r="P20" s="26">
        <f>现金流量表!P49</f>
        <v>0</v>
      </c>
      <c r="Q20" s="26">
        <f>现金流量表!Q49</f>
        <v>74715090.269999996</v>
      </c>
      <c r="R20" s="26">
        <f>现金流量表!R49</f>
        <v>0</v>
      </c>
      <c r="S20" s="26">
        <f>现金流量表!S49</f>
        <v>32189892.350000001</v>
      </c>
      <c r="T20" s="26">
        <f>现金流量表!T49</f>
        <v>0</v>
      </c>
      <c r="U20" s="26">
        <f>现金流量表!U49</f>
        <v>51456315.950000003</v>
      </c>
      <c r="V20" s="26">
        <f>现金流量表!V49</f>
        <v>0</v>
      </c>
      <c r="W20" s="26">
        <f>现金流量表!W49</f>
        <v>24367426.66</v>
      </c>
      <c r="X20" s="26">
        <f>现金流量表!X49</f>
        <v>0</v>
      </c>
      <c r="Y20" s="26">
        <f>现金流量表!Y49</f>
        <v>37135784.759999998</v>
      </c>
      <c r="Z20" s="26">
        <f>现金流量表!Z49</f>
        <v>0</v>
      </c>
      <c r="AA20" s="26">
        <f>现金流量表!AA49</f>
        <v>17205304.879999999</v>
      </c>
      <c r="AB20" s="26">
        <f>现金流量表!AB49</f>
        <v>0</v>
      </c>
      <c r="AC20" s="26">
        <f>现金流量表!AC49</f>
        <v>25284395.940000001</v>
      </c>
      <c r="AD20" s="26">
        <f>现金流量表!AD49</f>
        <v>0</v>
      </c>
      <c r="AE20" s="26">
        <f>现金流量表!AE49</f>
        <v>11748483.060000001</v>
      </c>
      <c r="AF20" s="26">
        <f>现金流量表!AF49</f>
        <v>0</v>
      </c>
      <c r="AG20" s="26">
        <f>现金流量表!AG49</f>
        <v>18779188.219999999</v>
      </c>
      <c r="AH20" s="26">
        <f>现金流量表!AH49</f>
        <v>0</v>
      </c>
      <c r="AI20" s="26">
        <f>现金流量表!AI49</f>
        <v>9080858.7699999996</v>
      </c>
      <c r="AJ20" s="26">
        <f>现金流量表!AJ49</f>
        <v>0</v>
      </c>
      <c r="AK20" s="26">
        <f>现金流量表!AK49</f>
        <v>12795527.029999999</v>
      </c>
      <c r="AL20" s="26">
        <f>现金流量表!AL49</f>
        <v>8872828.1500000004</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502</v>
      </c>
      <c r="E21" s="26">
        <f>现金流量表!E50</f>
        <v>18649474.84</v>
      </c>
      <c r="F21" s="26">
        <f>现金流量表!F50</f>
        <v>0</v>
      </c>
      <c r="G21" s="26">
        <f>现金流量表!G50</f>
        <v>10669528.640000001</v>
      </c>
      <c r="H21" s="26">
        <f>现金流量表!H50</f>
        <v>0</v>
      </c>
      <c r="I21" s="26">
        <f>现金流量表!I50</f>
        <v>21509722.449999999</v>
      </c>
      <c r="J21" s="26">
        <f>现金流量表!J50</f>
        <v>0</v>
      </c>
      <c r="K21" s="26">
        <f>现金流量表!K50</f>
        <v>10796240.109999999</v>
      </c>
      <c r="L21" s="26">
        <f>现金流量表!L50</f>
        <v>0</v>
      </c>
      <c r="M21" s="26">
        <f>现金流量表!M50</f>
        <v>21742638.440000001</v>
      </c>
      <c r="N21" s="26">
        <f>现金流量表!N50</f>
        <v>0</v>
      </c>
      <c r="O21" s="26">
        <f>现金流量表!O50</f>
        <v>10980237.82</v>
      </c>
      <c r="P21" s="26">
        <f>现金流量表!P50</f>
        <v>0</v>
      </c>
      <c r="Q21" s="26">
        <f>现金流量表!Q50</f>
        <v>8689122.6899999995</v>
      </c>
      <c r="R21" s="26">
        <f>现金流量表!R50</f>
        <v>0</v>
      </c>
      <c r="S21" s="26">
        <f>现金流量表!S50</f>
        <v>1158504.94</v>
      </c>
      <c r="T21" s="26">
        <f>现金流量表!T50</f>
        <v>0</v>
      </c>
      <c r="U21" s="26">
        <f>现金流量表!U50</f>
        <v>2184092.7200000002</v>
      </c>
      <c r="V21" s="26">
        <f>现金流量表!V50</f>
        <v>0</v>
      </c>
      <c r="W21" s="26">
        <f>现金流量表!W50</f>
        <v>684524.39</v>
      </c>
      <c r="X21" s="26">
        <f>现金流量表!X50</f>
        <v>0</v>
      </c>
      <c r="Y21" s="26">
        <f>现金流量表!Y50</f>
        <v>1191341.78</v>
      </c>
      <c r="Z21" s="26">
        <f>现金流量表!Z50</f>
        <v>0</v>
      </c>
      <c r="AA21" s="26">
        <f>现金流量表!AA50</f>
        <v>574026.6</v>
      </c>
      <c r="AB21" s="26">
        <f>现金流量表!AB50</f>
        <v>0</v>
      </c>
      <c r="AC21" s="26">
        <f>现金流量表!AC50</f>
        <v>946152.45</v>
      </c>
      <c r="AD21" s="26">
        <f>现金流量表!AD50</f>
        <v>0</v>
      </c>
      <c r="AE21" s="26">
        <f>现金流量表!AE50</f>
        <v>418101.76000000001</v>
      </c>
      <c r="AF21" s="26">
        <f>现金流量表!AF50</f>
        <v>0</v>
      </c>
      <c r="AG21" s="26">
        <f>现金流量表!AG50</f>
        <v>617575.89</v>
      </c>
      <c r="AH21" s="26">
        <f>现金流量表!AH50</f>
        <v>0</v>
      </c>
      <c r="AI21" s="26">
        <f>现金流量表!AI50</f>
        <v>292441.8</v>
      </c>
      <c r="AJ21" s="26">
        <f>现金流量表!AJ50</f>
        <v>0</v>
      </c>
      <c r="AK21" s="26">
        <f>现金流量表!AK50</f>
        <v>581168.32999999996</v>
      </c>
      <c r="AL21" s="26">
        <f>现金流量表!AL50</f>
        <v>567610.62</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503</v>
      </c>
      <c r="E22" s="26">
        <f>现金流量表!E51</f>
        <v>51974577.509999998</v>
      </c>
      <c r="F22" s="26">
        <f>现金流量表!F51</f>
        <v>0</v>
      </c>
      <c r="G22" s="26">
        <f>现金流量表!G51</f>
        <v>18026429.719999999</v>
      </c>
      <c r="H22" s="26">
        <f>现金流量表!H51</f>
        <v>0</v>
      </c>
      <c r="I22" s="26">
        <f>现金流量表!I51</f>
        <v>37748685.200000003</v>
      </c>
      <c r="J22" s="26">
        <f>现金流量表!J51</f>
        <v>0</v>
      </c>
      <c r="K22" s="26">
        <f>现金流量表!K51</f>
        <v>17558513.129999999</v>
      </c>
      <c r="L22" s="26">
        <f>现金流量表!L51</f>
        <v>0</v>
      </c>
      <c r="M22" s="26">
        <f>现金流量表!M51</f>
        <v>33007110.949999999</v>
      </c>
      <c r="N22" s="26">
        <f>现金流量表!N51</f>
        <v>0</v>
      </c>
      <c r="O22" s="26">
        <f>现金流量表!O51</f>
        <v>15865106.83</v>
      </c>
      <c r="P22" s="26">
        <f>现金流量表!P51</f>
        <v>0</v>
      </c>
      <c r="Q22" s="26">
        <f>现金流量表!Q51</f>
        <v>24732441.32</v>
      </c>
      <c r="R22" s="26">
        <f>现金流量表!R51</f>
        <v>0</v>
      </c>
      <c r="S22" s="26">
        <f>现金流量表!S51</f>
        <v>13369529.140000001</v>
      </c>
      <c r="T22" s="26">
        <f>现金流量表!T51</f>
        <v>0</v>
      </c>
      <c r="U22" s="26">
        <f>现金流量表!U51</f>
        <v>14335013.439999999</v>
      </c>
      <c r="V22" s="26">
        <f>现金流量表!V51</f>
        <v>0</v>
      </c>
      <c r="W22" s="26">
        <f>现金流量表!W51</f>
        <v>4831684.04</v>
      </c>
      <c r="X22" s="26">
        <f>现金流量表!X51</f>
        <v>0</v>
      </c>
      <c r="Y22" s="26">
        <f>现金流量表!Y51</f>
        <v>2831387.09</v>
      </c>
      <c r="Z22" s="26">
        <f>现金流量表!Z51</f>
        <v>0</v>
      </c>
      <c r="AA22" s="26">
        <f>现金流量表!AA51</f>
        <v>1146135.42</v>
      </c>
      <c r="AB22" s="26">
        <f>现金流量表!AB51</f>
        <v>0</v>
      </c>
      <c r="AC22" s="26">
        <f>现金流量表!AC51</f>
        <v>512885.5</v>
      </c>
      <c r="AD22" s="26">
        <f>现金流量表!AD51</f>
        <v>0</v>
      </c>
      <c r="AE22" s="26">
        <f>现金流量表!AE51</f>
        <v>147535.45000000001</v>
      </c>
      <c r="AF22" s="26">
        <f>现金流量表!AF51</f>
        <v>0</v>
      </c>
      <c r="AG22" s="26">
        <f>现金流量表!AG51</f>
        <v>159141.51999999999</v>
      </c>
      <c r="AH22" s="26">
        <f>现金流量表!AH51</f>
        <v>0</v>
      </c>
      <c r="AI22" s="26">
        <f>现金流量表!AI51</f>
        <v>73236.899999999994</v>
      </c>
      <c r="AJ22" s="26">
        <f>现金流量表!AJ51</f>
        <v>0</v>
      </c>
      <c r="AK22" s="26">
        <f>现金流量表!AK51</f>
        <v>133744.28</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504</v>
      </c>
      <c r="E23" s="26">
        <f>现金流量表!E54</f>
        <v>-1512.16</v>
      </c>
      <c r="F23" s="26">
        <f>现金流量表!F54</f>
        <v>0</v>
      </c>
      <c r="G23" s="26">
        <f>现金流量表!G54</f>
        <v>-144633.59</v>
      </c>
      <c r="H23" s="26">
        <f>现金流量表!H54</f>
        <v>0</v>
      </c>
      <c r="I23" s="26">
        <f>现金流量表!I54</f>
        <v>1468291.13</v>
      </c>
      <c r="J23" s="26">
        <f>现金流量表!J54</f>
        <v>0</v>
      </c>
      <c r="K23" s="26">
        <f>现金流量表!K54</f>
        <v>404986.06</v>
      </c>
      <c r="L23" s="26">
        <f>现金流量表!L54</f>
        <v>0</v>
      </c>
      <c r="M23" s="26">
        <f>现金流量表!M54</f>
        <v>552915.82999999996</v>
      </c>
      <c r="N23" s="26">
        <f>现金流量表!N54</f>
        <v>0</v>
      </c>
      <c r="O23" s="26">
        <f>现金流量表!O54</f>
        <v>-39721.660000000003</v>
      </c>
      <c r="P23" s="26">
        <f>现金流量表!P54</f>
        <v>0</v>
      </c>
      <c r="Q23" s="26">
        <f>现金流量表!Q54</f>
        <v>355071.35</v>
      </c>
      <c r="R23" s="26">
        <f>现金流量表!R54</f>
        <v>0</v>
      </c>
      <c r="S23" s="26">
        <f>现金流量表!S54</f>
        <v>-139463.70000000001</v>
      </c>
      <c r="T23" s="26">
        <f>现金流量表!T54</f>
        <v>0</v>
      </c>
      <c r="U23" s="26">
        <f>现金流量表!U54</f>
        <v>264753.34999999998</v>
      </c>
      <c r="V23" s="26">
        <f>现金流量表!V54</f>
        <v>0</v>
      </c>
      <c r="W23" s="26">
        <f>现金流量表!W54</f>
        <v>-4097.92</v>
      </c>
      <c r="X23" s="26">
        <f>现金流量表!X54</f>
        <v>0</v>
      </c>
      <c r="Y23" s="26">
        <f>现金流量表!Y54</f>
        <v>26443.27</v>
      </c>
      <c r="Z23" s="26">
        <f>现金流量表!Z54</f>
        <v>0</v>
      </c>
      <c r="AA23" s="26">
        <f>现金流量表!AA54</f>
        <v>100729.55</v>
      </c>
      <c r="AB23" s="26">
        <f>现金流量表!AB54</f>
        <v>0</v>
      </c>
      <c r="AC23" s="26">
        <f>现金流量表!AC54</f>
        <v>303809.68</v>
      </c>
      <c r="AD23" s="26">
        <f>现金流量表!AD54</f>
        <v>0</v>
      </c>
      <c r="AE23" s="26">
        <f>现金流量表!AE54</f>
        <v>-20015.3</v>
      </c>
      <c r="AF23" s="26">
        <f>现金流量表!AF54</f>
        <v>0</v>
      </c>
      <c r="AG23" s="26">
        <f>现金流量表!AG54</f>
        <v>-36850.15</v>
      </c>
      <c r="AH23" s="26">
        <f>现金流量表!AH54</f>
        <v>0</v>
      </c>
      <c r="AI23" s="26">
        <f>现金流量表!AI54</f>
        <v>-20449.64</v>
      </c>
      <c r="AJ23" s="26">
        <f>现金流量表!AJ54</f>
        <v>0</v>
      </c>
      <c r="AK23" s="26">
        <f>现金流量表!AK54</f>
        <v>-58483.56</v>
      </c>
      <c r="AL23" s="26">
        <f>现金流量表!AL54</f>
        <v>-5313.38</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505</v>
      </c>
      <c r="E24" s="26">
        <f>现金流量表!E55</f>
        <v>224678.11</v>
      </c>
      <c r="F24" s="26">
        <f>现金流量表!F55</f>
        <v>0</v>
      </c>
      <c r="G24" s="26">
        <f>现金流量表!G55</f>
        <v>0</v>
      </c>
      <c r="H24" s="26">
        <f>现金流量表!H55</f>
        <v>0</v>
      </c>
      <c r="I24" s="26">
        <f>现金流量表!I55</f>
        <v>19914.96</v>
      </c>
      <c r="J24" s="26">
        <f>现金流量表!J55</f>
        <v>0</v>
      </c>
      <c r="K24" s="26">
        <f>现金流量表!K55</f>
        <v>235403.61</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506</v>
      </c>
      <c r="E25" s="28">
        <f>SUM(E19:E24)</f>
        <v>193208212.20000002</v>
      </c>
      <c r="F25" s="28">
        <f t="shared" ref="F25:BQ25" si="12">SUM(F19:F24)</f>
        <v>0</v>
      </c>
      <c r="G25" s="28">
        <f t="shared" si="12"/>
        <v>86256362.439999998</v>
      </c>
      <c r="H25" s="28">
        <f t="shared" si="12"/>
        <v>0</v>
      </c>
      <c r="I25" s="28">
        <f t="shared" si="12"/>
        <v>166705121.14000002</v>
      </c>
      <c r="J25" s="28">
        <f t="shared" si="12"/>
        <v>0</v>
      </c>
      <c r="K25" s="28">
        <f t="shared" si="12"/>
        <v>79130699</v>
      </c>
      <c r="L25" s="28">
        <f t="shared" si="12"/>
        <v>0</v>
      </c>
      <c r="M25" s="28">
        <f t="shared" si="12"/>
        <v>179392731.21000001</v>
      </c>
      <c r="N25" s="28">
        <f t="shared" si="12"/>
        <v>0</v>
      </c>
      <c r="O25" s="28">
        <f t="shared" si="12"/>
        <v>74458223.080000013</v>
      </c>
      <c r="P25" s="28">
        <f t="shared" si="12"/>
        <v>0</v>
      </c>
      <c r="Q25" s="28">
        <f t="shared" si="12"/>
        <v>118963879.07999998</v>
      </c>
      <c r="R25" s="28">
        <f t="shared" si="12"/>
        <v>0</v>
      </c>
      <c r="S25" s="28">
        <f t="shared" si="12"/>
        <v>55076770.989999995</v>
      </c>
      <c r="T25" s="28">
        <f t="shared" si="12"/>
        <v>0</v>
      </c>
      <c r="U25" s="28">
        <f t="shared" si="12"/>
        <v>76434778.739999995</v>
      </c>
      <c r="V25" s="28">
        <f t="shared" si="12"/>
        <v>0</v>
      </c>
      <c r="W25" s="28">
        <f t="shared" si="12"/>
        <v>33375330.239999998</v>
      </c>
      <c r="X25" s="28">
        <f t="shared" si="12"/>
        <v>0</v>
      </c>
      <c r="Y25" s="28">
        <f t="shared" si="12"/>
        <v>43148334.68</v>
      </c>
      <c r="Z25" s="28">
        <f t="shared" si="12"/>
        <v>0</v>
      </c>
      <c r="AA25" s="28">
        <f t="shared" si="12"/>
        <v>19852056.129999999</v>
      </c>
      <c r="AB25" s="28">
        <f t="shared" si="12"/>
        <v>0</v>
      </c>
      <c r="AC25" s="28">
        <f t="shared" si="12"/>
        <v>30731408.98</v>
      </c>
      <c r="AD25" s="28">
        <f t="shared" si="12"/>
        <v>0</v>
      </c>
      <c r="AE25" s="28">
        <f t="shared" si="12"/>
        <v>15675930.959999999</v>
      </c>
      <c r="AF25" s="28">
        <f t="shared" si="12"/>
        <v>0</v>
      </c>
      <c r="AG25" s="28">
        <f t="shared" si="12"/>
        <v>18640768.52</v>
      </c>
      <c r="AH25" s="28">
        <f t="shared" si="12"/>
        <v>0</v>
      </c>
      <c r="AI25" s="28">
        <f t="shared" si="12"/>
        <v>11395212.560000001</v>
      </c>
      <c r="AJ25" s="28">
        <f t="shared" si="12"/>
        <v>0</v>
      </c>
      <c r="AK25" s="28">
        <f t="shared" si="12"/>
        <v>20812967.969999999</v>
      </c>
      <c r="AL25" s="28">
        <f t="shared" si="12"/>
        <v>12748384.489999998</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507</v>
      </c>
      <c r="E26" s="28">
        <f>E14-E25</f>
        <v>5674884.1599999964</v>
      </c>
      <c r="F26" s="28">
        <f t="shared" ref="F26:BQ26" si="14">F14-F25</f>
        <v>85614462.769999996</v>
      </c>
      <c r="G26" s="28">
        <f t="shared" si="14"/>
        <v>-41818003.559999995</v>
      </c>
      <c r="H26" s="28">
        <f t="shared" si="14"/>
        <v>-11031873.58</v>
      </c>
      <c r="I26" s="28">
        <f t="shared" si="14"/>
        <v>547064106.38</v>
      </c>
      <c r="J26" s="28">
        <f t="shared" si="14"/>
        <v>374381936.62</v>
      </c>
      <c r="K26" s="28">
        <f t="shared" si="14"/>
        <v>148601416.94999999</v>
      </c>
      <c r="L26" s="28">
        <f t="shared" si="14"/>
        <v>112823879.39</v>
      </c>
      <c r="M26" s="28">
        <f t="shared" si="14"/>
        <v>297466789.05999994</v>
      </c>
      <c r="N26" s="28">
        <f t="shared" si="14"/>
        <v>231577969.28</v>
      </c>
      <c r="O26" s="28">
        <f t="shared" si="14"/>
        <v>3633502.4599999934</v>
      </c>
      <c r="P26" s="28">
        <f t="shared" si="14"/>
        <v>-6597362.5</v>
      </c>
      <c r="Q26" s="28">
        <f t="shared" si="14"/>
        <v>126486478.53000003</v>
      </c>
      <c r="R26" s="28">
        <f t="shared" si="14"/>
        <v>98364249.260000005</v>
      </c>
      <c r="S26" s="28">
        <f t="shared" si="14"/>
        <v>-22707845.399999995</v>
      </c>
      <c r="T26" s="28">
        <f t="shared" si="14"/>
        <v>-18100879.100000001</v>
      </c>
      <c r="U26" s="28">
        <f t="shared" si="14"/>
        <v>-5732944.5099999905</v>
      </c>
      <c r="V26" s="28">
        <f t="shared" si="14"/>
        <v>78038137.340000004</v>
      </c>
      <c r="W26" s="28">
        <f t="shared" si="14"/>
        <v>66096341.420000002</v>
      </c>
      <c r="X26" s="28">
        <f t="shared" si="14"/>
        <v>31757211.050000001</v>
      </c>
      <c r="Y26" s="28">
        <f t="shared" si="14"/>
        <v>39859313.259999998</v>
      </c>
      <c r="Z26" s="28">
        <f t="shared" si="14"/>
        <v>-373997.43</v>
      </c>
      <c r="AA26" s="28">
        <f t="shared" si="14"/>
        <v>-5195746.7899999991</v>
      </c>
      <c r="AB26" s="28">
        <f t="shared" si="14"/>
        <v>1463782.77</v>
      </c>
      <c r="AC26" s="28">
        <f t="shared" si="14"/>
        <v>20412552.989999998</v>
      </c>
      <c r="AD26" s="28">
        <f t="shared" si="14"/>
        <v>4307201.72</v>
      </c>
      <c r="AE26" s="28">
        <f t="shared" si="14"/>
        <v>-4983780.34</v>
      </c>
      <c r="AF26" s="28">
        <f t="shared" si="14"/>
        <v>21082533.890000001</v>
      </c>
      <c r="AG26" s="28">
        <f t="shared" si="14"/>
        <v>77532341.060000002</v>
      </c>
      <c r="AH26" s="28">
        <f t="shared" si="14"/>
        <v>68665094.870000005</v>
      </c>
      <c r="AI26" s="28">
        <f t="shared" si="14"/>
        <v>27999946.189999998</v>
      </c>
      <c r="AJ26" s="28">
        <f t="shared" si="14"/>
        <v>-3257766.91</v>
      </c>
      <c r="AK26" s="28">
        <f t="shared" si="14"/>
        <v>104817745.25</v>
      </c>
      <c r="AL26" s="28">
        <f t="shared" si="14"/>
        <v>1355044.1300000008</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106.9" customHeight="1">
      <c r="A27" s="280" t="s">
        <v>756</v>
      </c>
      <c r="E27" s="26">
        <f>E14-E25</f>
        <v>5674884.1599999964</v>
      </c>
      <c r="F27" s="191">
        <f t="shared" ref="F27:BQ27" si="16">F14-F25</f>
        <v>85614462.769999996</v>
      </c>
      <c r="G27" s="191">
        <f t="shared" si="16"/>
        <v>-41818003.559999995</v>
      </c>
      <c r="H27" s="191">
        <f t="shared" si="16"/>
        <v>-11031873.58</v>
      </c>
      <c r="I27" s="191">
        <f t="shared" si="16"/>
        <v>547064106.38</v>
      </c>
      <c r="J27" s="191">
        <f t="shared" si="16"/>
        <v>374381936.62</v>
      </c>
      <c r="K27" s="191">
        <f t="shared" si="16"/>
        <v>148601416.94999999</v>
      </c>
      <c r="L27" s="191">
        <f t="shared" si="16"/>
        <v>112823879.39</v>
      </c>
      <c r="M27" s="191">
        <f t="shared" si="16"/>
        <v>297466789.05999994</v>
      </c>
      <c r="N27" s="191">
        <f t="shared" si="16"/>
        <v>231577969.28</v>
      </c>
      <c r="O27" s="191">
        <f t="shared" si="16"/>
        <v>3633502.4599999934</v>
      </c>
      <c r="P27" s="191">
        <f t="shared" si="16"/>
        <v>-6597362.5</v>
      </c>
      <c r="Q27" s="191">
        <f t="shared" si="16"/>
        <v>126486478.53000003</v>
      </c>
      <c r="R27" s="191">
        <f t="shared" si="16"/>
        <v>98364249.260000005</v>
      </c>
      <c r="S27" s="191">
        <f t="shared" si="16"/>
        <v>-22707845.399999995</v>
      </c>
      <c r="T27" s="191">
        <f t="shared" si="16"/>
        <v>-18100879.100000001</v>
      </c>
      <c r="U27" s="191">
        <f t="shared" si="16"/>
        <v>-5732944.5099999905</v>
      </c>
      <c r="V27" s="191">
        <f t="shared" si="16"/>
        <v>78038137.340000004</v>
      </c>
      <c r="W27" s="191">
        <f t="shared" si="16"/>
        <v>66096341.420000002</v>
      </c>
      <c r="X27" s="191">
        <f t="shared" si="16"/>
        <v>31757211.050000001</v>
      </c>
      <c r="Y27" s="191">
        <f t="shared" si="16"/>
        <v>39859313.259999998</v>
      </c>
      <c r="Z27" s="191">
        <f t="shared" si="16"/>
        <v>-373997.43</v>
      </c>
      <c r="AA27" s="191">
        <f t="shared" si="16"/>
        <v>-5195746.7899999991</v>
      </c>
      <c r="AB27" s="191">
        <f t="shared" si="16"/>
        <v>1463782.77</v>
      </c>
      <c r="AC27" s="191">
        <f t="shared" si="16"/>
        <v>20412552.989999998</v>
      </c>
      <c r="AD27" s="191">
        <f t="shared" si="16"/>
        <v>4307201.72</v>
      </c>
      <c r="AE27" s="191">
        <f t="shared" si="16"/>
        <v>-4983780.34</v>
      </c>
      <c r="AF27" s="191">
        <f t="shared" si="16"/>
        <v>21082533.890000001</v>
      </c>
      <c r="AG27" s="191">
        <f t="shared" si="16"/>
        <v>77532341.060000002</v>
      </c>
      <c r="AH27" s="191">
        <f t="shared" si="16"/>
        <v>68665094.870000005</v>
      </c>
      <c r="AI27" s="191">
        <f t="shared" si="16"/>
        <v>27999946.189999998</v>
      </c>
      <c r="AJ27" s="191">
        <f t="shared" si="16"/>
        <v>-3257766.91</v>
      </c>
      <c r="AK27" s="191">
        <f t="shared" si="16"/>
        <v>104817745.25</v>
      </c>
      <c r="AL27" s="191">
        <f t="shared" si="16"/>
        <v>1355044.1300000008</v>
      </c>
      <c r="AM27" s="191">
        <f t="shared" si="16"/>
        <v>0</v>
      </c>
      <c r="AN27" s="191">
        <f t="shared" si="16"/>
        <v>0</v>
      </c>
      <c r="AO27" s="191">
        <f t="shared" si="16"/>
        <v>0</v>
      </c>
      <c r="AP27" s="191">
        <f t="shared" si="16"/>
        <v>0</v>
      </c>
      <c r="AQ27" s="191">
        <f t="shared" si="16"/>
        <v>0</v>
      </c>
      <c r="AR27" s="191">
        <f t="shared" si="16"/>
        <v>0</v>
      </c>
      <c r="AS27" s="191">
        <f t="shared" si="16"/>
        <v>0</v>
      </c>
      <c r="AT27" s="191">
        <f t="shared" si="16"/>
        <v>0</v>
      </c>
      <c r="AU27" s="191">
        <f t="shared" si="16"/>
        <v>0</v>
      </c>
      <c r="AV27" s="191">
        <f t="shared" si="16"/>
        <v>0</v>
      </c>
      <c r="AW27" s="191">
        <f t="shared" si="16"/>
        <v>0</v>
      </c>
      <c r="AX27" s="191">
        <f t="shared" si="16"/>
        <v>0</v>
      </c>
      <c r="AY27" s="191">
        <f t="shared" si="16"/>
        <v>0</v>
      </c>
      <c r="AZ27" s="191">
        <f t="shared" si="16"/>
        <v>0</v>
      </c>
      <c r="BA27" s="191">
        <f t="shared" si="16"/>
        <v>0</v>
      </c>
      <c r="BB27" s="191">
        <f t="shared" si="16"/>
        <v>0</v>
      </c>
      <c r="BC27" s="191">
        <f t="shared" si="16"/>
        <v>0</v>
      </c>
      <c r="BD27" s="191">
        <f t="shared" si="16"/>
        <v>0</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BR14-BR25</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c r="A28" s="17" t="s">
        <v>754</v>
      </c>
      <c r="E28" s="63">
        <f>POWER(E27/$Q$27,1/3)-1</f>
        <v>-0.64466528960116176</v>
      </c>
      <c r="F28" s="63">
        <f t="shared" ref="F28:M28" si="18">POWER(F27/$Q$27,1/3)-1</f>
        <v>-0.12198686819814786</v>
      </c>
      <c r="G28" s="63">
        <f t="shared" si="18"/>
        <v>-1.6914695572093834</v>
      </c>
      <c r="H28" s="63">
        <f t="shared" si="18"/>
        <v>-1.443474233305156</v>
      </c>
      <c r="I28" s="63">
        <f>POWER(I27/$Q$27,1/2)-1</f>
        <v>1.0796826069333858</v>
      </c>
      <c r="J28" s="63">
        <f t="shared" si="18"/>
        <v>0.4357878093382157</v>
      </c>
      <c r="K28" s="63">
        <f t="shared" si="18"/>
        <v>5.51793488622776E-2</v>
      </c>
      <c r="L28" s="63">
        <f t="shared" si="18"/>
        <v>-3.738570003601227E-2</v>
      </c>
      <c r="M28" s="63">
        <f>POWER(M27/$Q$27,1/1)-1</f>
        <v>1.3517674973412026</v>
      </c>
      <c r="N28" s="63">
        <f t="shared" ref="F28:BQ28" si="19">(N27-R27)/R27</f>
        <v>1.3542900090446945</v>
      </c>
      <c r="O28" s="63">
        <f t="shared" si="19"/>
        <v>-1.1600108859293183</v>
      </c>
      <c r="P28" s="63">
        <f t="shared" si="19"/>
        <v>-0.63552253658221503</v>
      </c>
      <c r="Q28" s="63">
        <v>0</v>
      </c>
      <c r="R28" s="63">
        <f t="shared" si="19"/>
        <v>0.2604638272110763</v>
      </c>
      <c r="S28" s="63">
        <f t="shared" si="19"/>
        <v>-1.3435567674722895</v>
      </c>
      <c r="T28" s="63">
        <f t="shared" si="19"/>
        <v>-1.5699769753553345</v>
      </c>
      <c r="U28" s="63">
        <v>0</v>
      </c>
      <c r="V28" s="63">
        <f t="shared" si="19"/>
        <v>-209.65955506699609</v>
      </c>
      <c r="W28" s="63">
        <f t="shared" si="19"/>
        <v>-13.721239908613795</v>
      </c>
      <c r="X28" s="63">
        <f t="shared" si="19"/>
        <v>20.695303224535156</v>
      </c>
      <c r="Y28" s="63">
        <v>0</v>
      </c>
      <c r="Z28" s="63">
        <f t="shared" si="19"/>
        <v>-1.0868307208049683</v>
      </c>
      <c r="AA28" s="63">
        <f t="shared" si="19"/>
        <v>4.2531258510482277E-2</v>
      </c>
      <c r="AB28" s="63">
        <f t="shared" si="19"/>
        <v>-0.93056893551612829</v>
      </c>
      <c r="AC28" s="63">
        <f t="shared" si="19"/>
        <v>-0.73672208641032366</v>
      </c>
      <c r="AD28" s="63">
        <f t="shared" si="19"/>
        <v>-0.93727232550752904</v>
      </c>
      <c r="AE28" s="63">
        <f t="shared" si="19"/>
        <v>-1.1779924970634381</v>
      </c>
      <c r="AF28" s="63">
        <f t="shared" si="19"/>
        <v>-7.4714678712234814</v>
      </c>
      <c r="AG28" s="63">
        <f t="shared" si="19"/>
        <v>-0.26031283276435485</v>
      </c>
      <c r="AH28" s="63">
        <f t="shared" si="19"/>
        <v>49.67369641311975</v>
      </c>
      <c r="AI28" s="63" t="e">
        <f t="shared" si="19"/>
        <v>#DIV/0!</v>
      </c>
      <c r="AJ28" s="63" t="e">
        <f t="shared" si="19"/>
        <v>#DIV/0!</v>
      </c>
      <c r="AK28" s="63" t="e">
        <f t="shared" si="19"/>
        <v>#DIV/0!</v>
      </c>
      <c r="AL28" s="63" t="e">
        <f t="shared" si="19"/>
        <v>#DIV/0!</v>
      </c>
      <c r="AM28" s="63" t="e">
        <f t="shared" si="19"/>
        <v>#DIV/0!</v>
      </c>
      <c r="AN28" s="63" t="e">
        <f t="shared" si="19"/>
        <v>#DIV/0!</v>
      </c>
      <c r="AO28" s="63" t="e">
        <f t="shared" si="19"/>
        <v>#DIV/0!</v>
      </c>
      <c r="AP28" s="63" t="e">
        <f t="shared" si="19"/>
        <v>#DIV/0!</v>
      </c>
      <c r="AQ28" s="63" t="e">
        <f t="shared" si="19"/>
        <v>#DIV/0!</v>
      </c>
      <c r="AR28" s="63" t="e">
        <f t="shared" si="19"/>
        <v>#DIV/0!</v>
      </c>
      <c r="AS28" s="63" t="e">
        <f t="shared" si="19"/>
        <v>#DIV/0!</v>
      </c>
      <c r="AT28" s="63" t="e">
        <f t="shared" si="19"/>
        <v>#DIV/0!</v>
      </c>
      <c r="AU28" s="63" t="e">
        <f t="shared" si="19"/>
        <v>#DIV/0!</v>
      </c>
      <c r="AV28" s="63" t="e">
        <f t="shared" si="19"/>
        <v>#DIV/0!</v>
      </c>
      <c r="AW28" s="63" t="e">
        <f t="shared" si="19"/>
        <v>#DIV/0!</v>
      </c>
      <c r="AX28" s="63" t="e">
        <f t="shared" si="19"/>
        <v>#DIV/0!</v>
      </c>
      <c r="AY28" s="63" t="e">
        <f t="shared" si="19"/>
        <v>#DIV/0!</v>
      </c>
      <c r="AZ28" s="63" t="e">
        <f t="shared" si="19"/>
        <v>#DIV/0!</v>
      </c>
      <c r="BA28" s="63" t="e">
        <f t="shared" si="19"/>
        <v>#DIV/0!</v>
      </c>
      <c r="BB28" s="63" t="e">
        <f t="shared" si="19"/>
        <v>#DIV/0!</v>
      </c>
      <c r="BC28" s="63" t="e">
        <f t="shared" si="19"/>
        <v>#DIV/0!</v>
      </c>
      <c r="BD28" s="63" t="e">
        <f t="shared" si="19"/>
        <v>#DIV/0!</v>
      </c>
      <c r="BE28" s="63" t="e">
        <f t="shared" si="19"/>
        <v>#DIV/0!</v>
      </c>
      <c r="BF28" s="63" t="e">
        <f t="shared" si="19"/>
        <v>#DIV/0!</v>
      </c>
      <c r="BG28" s="63" t="e">
        <f t="shared" si="19"/>
        <v>#DIV/0!</v>
      </c>
      <c r="BH28" s="63" t="e">
        <f t="shared" si="19"/>
        <v>#DIV/0!</v>
      </c>
      <c r="BI28" s="63" t="e">
        <f t="shared" si="19"/>
        <v>#DIV/0!</v>
      </c>
      <c r="BJ28" s="63" t="e">
        <f t="shared" si="19"/>
        <v>#DIV/0!</v>
      </c>
      <c r="BK28" s="63" t="e">
        <f t="shared" si="19"/>
        <v>#DIV/0!</v>
      </c>
      <c r="BL28" s="63" t="e">
        <f t="shared" si="19"/>
        <v>#DIV/0!</v>
      </c>
      <c r="BM28" s="63" t="e">
        <f t="shared" si="19"/>
        <v>#DIV/0!</v>
      </c>
      <c r="BN28" s="63" t="e">
        <f t="shared" si="19"/>
        <v>#DIV/0!</v>
      </c>
      <c r="BO28" s="63" t="e">
        <f t="shared" si="19"/>
        <v>#DIV/0!</v>
      </c>
      <c r="BP28" s="63" t="e">
        <f t="shared" si="19"/>
        <v>#DIV/0!</v>
      </c>
      <c r="BQ28" s="63" t="e">
        <f t="shared" si="19"/>
        <v>#DIV/0!</v>
      </c>
      <c r="BR28" s="63" t="e">
        <f t="shared" ref="BR28:CK28" si="20">(BR27-BV27)/BV27</f>
        <v>#DIV/0!</v>
      </c>
      <c r="BS28" s="63" t="e">
        <f t="shared" si="20"/>
        <v>#DIV/0!</v>
      </c>
      <c r="BT28" s="63" t="e">
        <f t="shared" si="20"/>
        <v>#DIV/0!</v>
      </c>
      <c r="BU28" s="63" t="e">
        <f t="shared" si="20"/>
        <v>#DIV/0!</v>
      </c>
      <c r="BV28" s="63" t="e">
        <f t="shared" si="20"/>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15" customHeight="1">
      <c r="A29" s="285" t="s">
        <v>734</v>
      </c>
      <c r="B29" s="284"/>
      <c r="C29" s="284"/>
      <c r="D29" s="284"/>
      <c r="E29" s="284"/>
      <c r="F29" s="284"/>
      <c r="G29" s="284"/>
      <c r="H29" s="284"/>
      <c r="I29" s="284"/>
      <c r="J29" s="284"/>
      <c r="K29" s="284"/>
      <c r="L29" s="284"/>
      <c r="M29" s="284"/>
      <c r="N29" s="284"/>
      <c r="O29" s="284"/>
      <c r="P29" s="284"/>
      <c r="Q29" s="284"/>
      <c r="R29" s="284"/>
      <c r="S29" s="284"/>
      <c r="T29" s="284"/>
      <c r="U29" s="284"/>
      <c r="V29" s="284"/>
      <c r="W29" s="284"/>
      <c r="X29" s="284"/>
      <c r="Y29" s="284"/>
      <c r="Z29" s="284"/>
      <c r="AA29" s="284"/>
      <c r="AB29" s="284"/>
      <c r="AC29" s="284"/>
    </row>
    <row r="30" spans="1:90">
      <c r="A30" s="110" t="s">
        <v>565</v>
      </c>
      <c r="B30" s="95"/>
      <c r="C30" s="95"/>
      <c r="D30" s="95"/>
      <c r="E30" s="95" t="s">
        <v>564</v>
      </c>
      <c r="F30" s="95"/>
      <c r="G30" s="95"/>
      <c r="H30" s="95"/>
      <c r="I30" s="95" t="s">
        <v>598</v>
      </c>
      <c r="M30" s="95" t="s">
        <v>566</v>
      </c>
      <c r="Q30" s="113" t="s">
        <v>604</v>
      </c>
      <c r="R30" s="113"/>
      <c r="S30" s="113"/>
      <c r="T30" s="113"/>
      <c r="U30" s="113" t="s">
        <v>601</v>
      </c>
      <c r="V30" s="113"/>
      <c r="W30" s="113"/>
      <c r="X30" s="113"/>
      <c r="Y30" s="113" t="s">
        <v>602</v>
      </c>
      <c r="Z30" s="113"/>
      <c r="AA30" s="113"/>
      <c r="AB30" s="113"/>
      <c r="AC30" s="113" t="s">
        <v>603</v>
      </c>
    </row>
    <row r="31" spans="1:90" s="63" customFormat="1">
      <c r="A31" s="110" t="s">
        <v>567</v>
      </c>
      <c r="B31" s="111"/>
      <c r="C31" s="111"/>
      <c r="D31" s="111"/>
      <c r="E31" s="111">
        <f>POWER(E27/U27,1/5)-1</f>
        <v>-1.9979662460849583</v>
      </c>
      <c r="F31" s="111"/>
      <c r="G31" s="111"/>
      <c r="H31" s="111"/>
      <c r="I31" s="111">
        <f>POWER(E27/Y27,1/6)-1</f>
        <v>-0.27738906136695529</v>
      </c>
      <c r="M31" s="111">
        <f>POWER(E27/AC27,1/7)-1</f>
        <v>-0.16712475569764151</v>
      </c>
      <c r="Q31" s="114" t="s">
        <v>600</v>
      </c>
      <c r="R31" s="114"/>
      <c r="S31" s="114"/>
      <c r="T31" s="114"/>
      <c r="U31" s="114">
        <f>POWER(E14/U14,1/5)-1</f>
        <v>0.22979702573921656</v>
      </c>
      <c r="V31" s="114"/>
      <c r="W31" s="114"/>
      <c r="X31" s="114"/>
      <c r="Y31" s="114">
        <f>POWER(E14/Y14,1/6)-1</f>
        <v>0.15676896244790584</v>
      </c>
      <c r="Z31" s="114"/>
      <c r="AA31" s="114"/>
      <c r="AB31" s="114"/>
      <c r="AC31" s="114">
        <f>POWER(E14/AC14,1/7)-1</f>
        <v>0.2141089021217959</v>
      </c>
    </row>
    <row r="32" spans="1:90" s="66" customFormat="1" ht="13.9" customHeight="1">
      <c r="A32" s="46" t="s">
        <v>509</v>
      </c>
      <c r="E32" s="66">
        <v>0.17</v>
      </c>
    </row>
    <row r="33" spans="1:75" s="277" customFormat="1">
      <c r="A33" s="276"/>
      <c r="E33" s="278">
        <f>E1</f>
        <v>43100</v>
      </c>
      <c r="F33" s="278">
        <f t="shared" ref="F33:BQ33" si="21">F1</f>
        <v>43008</v>
      </c>
      <c r="G33" s="278">
        <f t="shared" si="21"/>
        <v>42916</v>
      </c>
      <c r="H33" s="278">
        <f t="shared" si="21"/>
        <v>42825</v>
      </c>
      <c r="I33" s="278">
        <f t="shared" si="21"/>
        <v>42735</v>
      </c>
      <c r="J33" s="278">
        <f t="shared" si="21"/>
        <v>42643</v>
      </c>
      <c r="K33" s="278">
        <f t="shared" si="21"/>
        <v>42551</v>
      </c>
      <c r="L33" s="278">
        <f t="shared" si="21"/>
        <v>42460</v>
      </c>
      <c r="M33" s="278">
        <f t="shared" si="21"/>
        <v>42369</v>
      </c>
      <c r="N33" s="278">
        <f t="shared" si="21"/>
        <v>42277</v>
      </c>
      <c r="O33" s="278">
        <f t="shared" si="21"/>
        <v>42185</v>
      </c>
      <c r="P33" s="278">
        <f t="shared" si="21"/>
        <v>42094</v>
      </c>
      <c r="Q33" s="278">
        <f t="shared" si="21"/>
        <v>42004</v>
      </c>
      <c r="R33" s="278">
        <f t="shared" si="21"/>
        <v>41912</v>
      </c>
      <c r="S33" s="278">
        <f t="shared" si="21"/>
        <v>41820</v>
      </c>
      <c r="T33" s="278">
        <f t="shared" si="21"/>
        <v>41729</v>
      </c>
      <c r="U33" s="278">
        <f t="shared" si="21"/>
        <v>41639</v>
      </c>
      <c r="V33" s="278">
        <f t="shared" si="21"/>
        <v>41547</v>
      </c>
      <c r="W33" s="278">
        <f t="shared" si="21"/>
        <v>41455</v>
      </c>
      <c r="X33" s="278">
        <f t="shared" si="21"/>
        <v>41364</v>
      </c>
      <c r="Y33" s="278">
        <f t="shared" si="21"/>
        <v>41274</v>
      </c>
      <c r="Z33" s="278">
        <f t="shared" si="21"/>
        <v>41182</v>
      </c>
      <c r="AA33" s="278">
        <f t="shared" si="21"/>
        <v>41090</v>
      </c>
      <c r="AB33" s="278">
        <f t="shared" si="21"/>
        <v>40999</v>
      </c>
      <c r="AC33" s="278">
        <f t="shared" si="21"/>
        <v>40908</v>
      </c>
      <c r="AD33" s="278">
        <f t="shared" si="21"/>
        <v>40816</v>
      </c>
      <c r="AE33" s="278">
        <f t="shared" si="21"/>
        <v>40724</v>
      </c>
      <c r="AF33" s="278">
        <f t="shared" si="21"/>
        <v>40633</v>
      </c>
      <c r="AG33" s="278">
        <f t="shared" si="21"/>
        <v>40543</v>
      </c>
      <c r="AH33" s="278">
        <f t="shared" si="21"/>
        <v>40451</v>
      </c>
      <c r="AI33" s="278">
        <f t="shared" si="21"/>
        <v>40359</v>
      </c>
      <c r="AJ33" s="278">
        <f t="shared" si="21"/>
        <v>40268</v>
      </c>
      <c r="AK33" s="278">
        <f t="shared" si="21"/>
        <v>40178</v>
      </c>
      <c r="AL33" s="278">
        <f t="shared" si="21"/>
        <v>39813</v>
      </c>
      <c r="AM33" s="278">
        <f t="shared" si="21"/>
        <v>25569</v>
      </c>
      <c r="AN33" s="278">
        <f t="shared" si="21"/>
        <v>39903</v>
      </c>
      <c r="AO33" s="278">
        <f t="shared" si="21"/>
        <v>39813</v>
      </c>
      <c r="AP33" s="278">
        <f t="shared" si="21"/>
        <v>39721</v>
      </c>
      <c r="AQ33" s="278">
        <f t="shared" si="21"/>
        <v>39629</v>
      </c>
      <c r="AR33" s="278">
        <f t="shared" si="21"/>
        <v>39538</v>
      </c>
      <c r="AS33" s="278">
        <f t="shared" si="21"/>
        <v>39447</v>
      </c>
      <c r="AT33" s="278">
        <f t="shared" si="21"/>
        <v>39355</v>
      </c>
      <c r="AU33" s="278">
        <f t="shared" si="21"/>
        <v>39263</v>
      </c>
      <c r="AV33" s="278">
        <f t="shared" si="21"/>
        <v>39172</v>
      </c>
      <c r="AW33" s="278">
        <f t="shared" si="21"/>
        <v>39082</v>
      </c>
      <c r="AX33" s="278">
        <f t="shared" si="21"/>
        <v>38990</v>
      </c>
      <c r="AY33" s="278">
        <f t="shared" si="21"/>
        <v>38898</v>
      </c>
      <c r="AZ33" s="278">
        <f t="shared" si="21"/>
        <v>38807</v>
      </c>
      <c r="BA33" s="278">
        <f t="shared" si="21"/>
        <v>38717</v>
      </c>
      <c r="BB33" s="278">
        <f t="shared" si="21"/>
        <v>38625</v>
      </c>
      <c r="BC33" s="278">
        <f t="shared" si="21"/>
        <v>38533</v>
      </c>
      <c r="BD33" s="278">
        <f t="shared" si="21"/>
        <v>38442</v>
      </c>
      <c r="BE33" s="278">
        <f t="shared" si="21"/>
        <v>38352</v>
      </c>
      <c r="BF33" s="278">
        <f>BF1</f>
        <v>38260</v>
      </c>
      <c r="BG33" s="278">
        <f t="shared" si="21"/>
        <v>38168</v>
      </c>
      <c r="BH33" s="278">
        <f t="shared" si="21"/>
        <v>38077</v>
      </c>
      <c r="BI33" s="278">
        <f t="shared" si="21"/>
        <v>37986</v>
      </c>
      <c r="BJ33" s="278">
        <f t="shared" si="21"/>
        <v>37894</v>
      </c>
      <c r="BK33" s="278">
        <f t="shared" si="21"/>
        <v>37802</v>
      </c>
      <c r="BL33" s="278">
        <f t="shared" si="21"/>
        <v>37711</v>
      </c>
      <c r="BM33" s="278">
        <f t="shared" si="21"/>
        <v>37621</v>
      </c>
      <c r="BN33" s="278">
        <f t="shared" si="21"/>
        <v>37437</v>
      </c>
      <c r="BO33" s="278">
        <f t="shared" si="21"/>
        <v>37256</v>
      </c>
      <c r="BP33" s="278">
        <f t="shared" si="21"/>
        <v>37072</v>
      </c>
      <c r="BQ33" s="278">
        <f t="shared" si="21"/>
        <v>36891</v>
      </c>
      <c r="BR33" s="278">
        <f t="shared" ref="BR33:BW33" si="22">BR1</f>
        <v>36707</v>
      </c>
      <c r="BS33" s="278">
        <f t="shared" si="22"/>
        <v>36525</v>
      </c>
      <c r="BT33" s="278">
        <f t="shared" si="22"/>
        <v>36160</v>
      </c>
      <c r="BU33" s="278">
        <f t="shared" si="22"/>
        <v>25569</v>
      </c>
      <c r="BV33" s="278">
        <f t="shared" si="22"/>
        <v>25569</v>
      </c>
      <c r="BW33" s="278">
        <f t="shared" si="22"/>
        <v>0</v>
      </c>
    </row>
    <row r="34" spans="1:75" s="64" customFormat="1">
      <c r="A34" s="182" t="s">
        <v>749</v>
      </c>
      <c r="E34" s="88">
        <f>E14</f>
        <v>198883096.36000001</v>
      </c>
      <c r="F34" s="88">
        <f t="shared" ref="F34:BQ34" si="23">F14</f>
        <v>85614462.769999996</v>
      </c>
      <c r="G34" s="88">
        <f t="shared" si="23"/>
        <v>44438358.880000003</v>
      </c>
      <c r="H34" s="88">
        <f t="shared" si="23"/>
        <v>-11031873.58</v>
      </c>
      <c r="I34" s="88">
        <f t="shared" si="23"/>
        <v>713769227.51999998</v>
      </c>
      <c r="J34" s="88">
        <f t="shared" si="23"/>
        <v>374381936.62</v>
      </c>
      <c r="K34" s="88">
        <f t="shared" si="23"/>
        <v>227732115.94999999</v>
      </c>
      <c r="L34" s="88">
        <f t="shared" si="23"/>
        <v>112823879.39</v>
      </c>
      <c r="M34" s="88">
        <f t="shared" si="23"/>
        <v>476859520.26999998</v>
      </c>
      <c r="N34" s="88">
        <f t="shared" si="23"/>
        <v>231577969.28</v>
      </c>
      <c r="O34" s="88">
        <f t="shared" si="23"/>
        <v>78091725.540000007</v>
      </c>
      <c r="P34" s="88">
        <f t="shared" si="23"/>
        <v>-6597362.5</v>
      </c>
      <c r="Q34" s="88">
        <f t="shared" si="23"/>
        <v>245450357.61000001</v>
      </c>
      <c r="R34" s="88">
        <f t="shared" si="23"/>
        <v>98364249.260000005</v>
      </c>
      <c r="S34" s="88">
        <f t="shared" si="23"/>
        <v>32368925.59</v>
      </c>
      <c r="T34" s="88">
        <f t="shared" si="23"/>
        <v>-18100879.100000001</v>
      </c>
      <c r="U34" s="88">
        <f t="shared" si="23"/>
        <v>70701834.230000004</v>
      </c>
      <c r="V34" s="88">
        <f t="shared" si="23"/>
        <v>78038137.340000004</v>
      </c>
      <c r="W34" s="88">
        <f t="shared" si="23"/>
        <v>99471671.659999996</v>
      </c>
      <c r="X34" s="88">
        <f t="shared" si="23"/>
        <v>31757211.050000001</v>
      </c>
      <c r="Y34" s="88">
        <f t="shared" si="23"/>
        <v>83007647.939999998</v>
      </c>
      <c r="Z34" s="88">
        <f t="shared" si="23"/>
        <v>-373997.43</v>
      </c>
      <c r="AA34" s="88">
        <f t="shared" si="23"/>
        <v>14656309.34</v>
      </c>
      <c r="AB34" s="88">
        <f t="shared" si="23"/>
        <v>1463782.77</v>
      </c>
      <c r="AC34" s="88">
        <f t="shared" si="23"/>
        <v>51143961.969999999</v>
      </c>
      <c r="AD34" s="88">
        <f t="shared" si="23"/>
        <v>4307201.72</v>
      </c>
      <c r="AE34" s="88">
        <f t="shared" si="23"/>
        <v>10692150.619999999</v>
      </c>
      <c r="AF34" s="88">
        <f t="shared" si="23"/>
        <v>21082533.890000001</v>
      </c>
      <c r="AG34" s="88">
        <f t="shared" si="23"/>
        <v>96173109.579999998</v>
      </c>
      <c r="AH34" s="88">
        <f t="shared" si="23"/>
        <v>68665094.870000005</v>
      </c>
      <c r="AI34" s="88">
        <f t="shared" si="23"/>
        <v>39395158.75</v>
      </c>
      <c r="AJ34" s="88">
        <f t="shared" si="23"/>
        <v>-3257766.91</v>
      </c>
      <c r="AK34" s="88">
        <f t="shared" si="23"/>
        <v>125630713.22</v>
      </c>
      <c r="AL34" s="88">
        <f t="shared" si="23"/>
        <v>14103428.619999999</v>
      </c>
      <c r="AM34" s="88">
        <f t="shared" si="23"/>
        <v>0</v>
      </c>
      <c r="AN34" s="88">
        <f t="shared" si="23"/>
        <v>0</v>
      </c>
      <c r="AO34" s="88">
        <f t="shared" si="23"/>
        <v>0</v>
      </c>
      <c r="AP34" s="88">
        <f t="shared" si="23"/>
        <v>0</v>
      </c>
      <c r="AQ34" s="88">
        <f t="shared" si="23"/>
        <v>0</v>
      </c>
      <c r="AR34" s="88">
        <f t="shared" si="23"/>
        <v>0</v>
      </c>
      <c r="AS34" s="88">
        <f t="shared" si="23"/>
        <v>0</v>
      </c>
      <c r="AT34" s="88">
        <f t="shared" si="23"/>
        <v>0</v>
      </c>
      <c r="AU34" s="88">
        <f t="shared" si="23"/>
        <v>0</v>
      </c>
      <c r="AV34" s="88">
        <f t="shared" si="23"/>
        <v>0</v>
      </c>
      <c r="AW34" s="88">
        <f t="shared" si="23"/>
        <v>0</v>
      </c>
      <c r="AX34" s="88">
        <f t="shared" si="23"/>
        <v>0</v>
      </c>
      <c r="AY34" s="88">
        <f t="shared" si="23"/>
        <v>0</v>
      </c>
      <c r="AZ34" s="88">
        <f t="shared" si="23"/>
        <v>0</v>
      </c>
      <c r="BA34" s="88">
        <f t="shared" si="23"/>
        <v>0</v>
      </c>
      <c r="BB34" s="88">
        <f t="shared" si="23"/>
        <v>0</v>
      </c>
      <c r="BC34" s="88">
        <f t="shared" si="23"/>
        <v>0</v>
      </c>
      <c r="BD34" s="88">
        <f t="shared" si="23"/>
        <v>0</v>
      </c>
      <c r="BE34" s="88">
        <f t="shared" si="23"/>
        <v>0</v>
      </c>
      <c r="BF34" s="88">
        <f t="shared" si="23"/>
        <v>0</v>
      </c>
      <c r="BG34" s="88">
        <f t="shared" si="23"/>
        <v>0</v>
      </c>
      <c r="BH34" s="88">
        <f t="shared" si="23"/>
        <v>0</v>
      </c>
      <c r="BI34" s="88">
        <f t="shared" si="23"/>
        <v>0</v>
      </c>
      <c r="BJ34" s="88">
        <f t="shared" si="23"/>
        <v>0</v>
      </c>
      <c r="BK34" s="88">
        <f t="shared" si="23"/>
        <v>0</v>
      </c>
      <c r="BL34" s="88">
        <f t="shared" si="23"/>
        <v>0</v>
      </c>
      <c r="BM34" s="88">
        <f t="shared" si="23"/>
        <v>0</v>
      </c>
      <c r="BN34" s="88">
        <f t="shared" si="23"/>
        <v>0</v>
      </c>
      <c r="BO34" s="88">
        <f t="shared" si="23"/>
        <v>0</v>
      </c>
      <c r="BP34" s="88">
        <f t="shared" si="23"/>
        <v>0</v>
      </c>
      <c r="BQ34" s="88">
        <f t="shared" si="23"/>
        <v>0</v>
      </c>
      <c r="BR34" s="88">
        <f t="shared" ref="BR34:BW34" si="24">BR14</f>
        <v>0</v>
      </c>
      <c r="BS34" s="88">
        <f t="shared" si="24"/>
        <v>0</v>
      </c>
      <c r="BT34" s="88">
        <f t="shared" si="24"/>
        <v>0</v>
      </c>
      <c r="BU34" s="88">
        <f t="shared" si="24"/>
        <v>0</v>
      </c>
      <c r="BV34" s="88">
        <f t="shared" si="24"/>
        <v>0</v>
      </c>
      <c r="BW34" s="88">
        <f t="shared" si="24"/>
        <v>0</v>
      </c>
    </row>
    <row r="35" spans="1:75" s="212" customFormat="1">
      <c r="A35" s="212" t="s">
        <v>750</v>
      </c>
      <c r="E35" s="212">
        <f>(E34-I34)/I34</f>
        <v>-0.72136218725620638</v>
      </c>
      <c r="F35" s="212">
        <f t="shared" ref="F35:BQ35" si="25">(F34-J34)/J34</f>
        <v>-0.77131785912817907</v>
      </c>
      <c r="G35" s="212">
        <f t="shared" si="25"/>
        <v>-0.80486564798020532</v>
      </c>
      <c r="H35" s="212">
        <f t="shared" si="25"/>
        <v>-1.0977795980748539</v>
      </c>
      <c r="I35" s="212">
        <f t="shared" si="25"/>
        <v>0.49681236754141067</v>
      </c>
      <c r="J35" s="212">
        <f t="shared" si="25"/>
        <v>0.61665609981809755</v>
      </c>
      <c r="K35" s="212">
        <f t="shared" si="25"/>
        <v>1.9162131375026594</v>
      </c>
      <c r="L35" s="212">
        <f t="shared" si="25"/>
        <v>-18.101361247013486</v>
      </c>
      <c r="M35" s="212">
        <f t="shared" si="25"/>
        <v>0.94279415566258684</v>
      </c>
      <c r="N35" s="212">
        <f t="shared" si="25"/>
        <v>1.3542900090446945</v>
      </c>
      <c r="O35" s="212">
        <f t="shared" si="25"/>
        <v>1.4125522894749873</v>
      </c>
      <c r="P35" s="212">
        <f t="shared" si="25"/>
        <v>-0.63552253658221503</v>
      </c>
      <c r="Q35" s="212">
        <f t="shared" si="25"/>
        <v>2.4716264476466892</v>
      </c>
      <c r="R35" s="212">
        <f t="shared" si="25"/>
        <v>0.2604638272110763</v>
      </c>
      <c r="S35" s="212">
        <f t="shared" si="25"/>
        <v>-0.67459151887344482</v>
      </c>
      <c r="T35" s="212">
        <f t="shared" si="25"/>
        <v>-1.5699769753553345</v>
      </c>
      <c r="U35" s="212">
        <f t="shared" si="25"/>
        <v>-0.14824915553437851</v>
      </c>
      <c r="V35" s="212">
        <f t="shared" si="25"/>
        <v>-209.65955506699609</v>
      </c>
      <c r="W35" s="212">
        <f t="shared" si="25"/>
        <v>5.7869522505588709</v>
      </c>
      <c r="X35" s="212">
        <f t="shared" si="25"/>
        <v>20.695303224535156</v>
      </c>
      <c r="Y35" s="212">
        <f t="shared" si="25"/>
        <v>0.62301950694962949</v>
      </c>
      <c r="Z35" s="212">
        <f t="shared" si="25"/>
        <v>-1.0868307208049683</v>
      </c>
      <c r="AA35" s="212">
        <f t="shared" si="25"/>
        <v>0.3707541037239897</v>
      </c>
      <c r="AB35" s="212">
        <f t="shared" si="25"/>
        <v>-0.93056893551612829</v>
      </c>
      <c r="AC35" s="212">
        <f t="shared" si="25"/>
        <v>-0.46820933425827571</v>
      </c>
      <c r="AD35" s="212">
        <f t="shared" si="25"/>
        <v>-0.93727232550752904</v>
      </c>
      <c r="AE35" s="212">
        <f t="shared" si="25"/>
        <v>-0.72859226972908198</v>
      </c>
      <c r="AF35" s="212">
        <f t="shared" si="25"/>
        <v>-7.4714678712234814</v>
      </c>
      <c r="AG35" s="212">
        <f t="shared" si="25"/>
        <v>-0.23447772351984425</v>
      </c>
      <c r="AH35" s="212">
        <f t="shared" si="25"/>
        <v>3.8686809938277271</v>
      </c>
      <c r="AI35" s="212" t="e">
        <f t="shared" si="25"/>
        <v>#DIV/0!</v>
      </c>
      <c r="AJ35" s="212" t="e">
        <f t="shared" si="25"/>
        <v>#DIV/0!</v>
      </c>
      <c r="AK35" s="212" t="e">
        <f t="shared" si="25"/>
        <v>#DIV/0!</v>
      </c>
      <c r="AL35" s="212" t="e">
        <f t="shared" si="25"/>
        <v>#DIV/0!</v>
      </c>
      <c r="AM35" s="212" t="e">
        <f t="shared" si="25"/>
        <v>#DIV/0!</v>
      </c>
      <c r="AN35" s="212" t="e">
        <f t="shared" si="25"/>
        <v>#DIV/0!</v>
      </c>
      <c r="AO35" s="212" t="e">
        <f t="shared" si="25"/>
        <v>#DIV/0!</v>
      </c>
      <c r="AP35" s="212" t="e">
        <f t="shared" si="25"/>
        <v>#DIV/0!</v>
      </c>
      <c r="AQ35" s="212" t="e">
        <f t="shared" si="25"/>
        <v>#DIV/0!</v>
      </c>
      <c r="AR35" s="212" t="e">
        <f t="shared" si="25"/>
        <v>#DIV/0!</v>
      </c>
      <c r="AS35" s="212" t="e">
        <f t="shared" si="25"/>
        <v>#DIV/0!</v>
      </c>
      <c r="AT35" s="212" t="e">
        <f t="shared" si="25"/>
        <v>#DIV/0!</v>
      </c>
      <c r="AU35" s="212" t="e">
        <f t="shared" si="25"/>
        <v>#DIV/0!</v>
      </c>
      <c r="AV35" s="212" t="e">
        <f t="shared" si="25"/>
        <v>#DIV/0!</v>
      </c>
      <c r="AW35" s="212" t="e">
        <f t="shared" si="25"/>
        <v>#DIV/0!</v>
      </c>
      <c r="AX35" s="212" t="e">
        <f t="shared" si="25"/>
        <v>#DIV/0!</v>
      </c>
      <c r="AY35" s="212" t="e">
        <f t="shared" si="25"/>
        <v>#DIV/0!</v>
      </c>
      <c r="AZ35" s="212" t="e">
        <f t="shared" si="25"/>
        <v>#DIV/0!</v>
      </c>
      <c r="BA35" s="212" t="e">
        <f t="shared" si="25"/>
        <v>#DIV/0!</v>
      </c>
      <c r="BB35" s="212" t="e">
        <f t="shared" si="25"/>
        <v>#DIV/0!</v>
      </c>
      <c r="BC35" s="212" t="e">
        <f t="shared" si="25"/>
        <v>#DIV/0!</v>
      </c>
      <c r="BD35" s="212" t="e">
        <f t="shared" si="25"/>
        <v>#DIV/0!</v>
      </c>
      <c r="BE35" s="212" t="e">
        <f t="shared" si="25"/>
        <v>#DIV/0!</v>
      </c>
      <c r="BF35" s="212" t="e">
        <f t="shared" si="25"/>
        <v>#DIV/0!</v>
      </c>
      <c r="BG35" s="212" t="e">
        <f t="shared" si="25"/>
        <v>#DIV/0!</v>
      </c>
      <c r="BH35" s="212" t="e">
        <f t="shared" si="25"/>
        <v>#DIV/0!</v>
      </c>
      <c r="BI35" s="212" t="e">
        <f t="shared" si="25"/>
        <v>#DIV/0!</v>
      </c>
      <c r="BJ35" s="212" t="e">
        <f t="shared" si="25"/>
        <v>#DIV/0!</v>
      </c>
      <c r="BK35" s="212" t="e">
        <f t="shared" si="25"/>
        <v>#DIV/0!</v>
      </c>
      <c r="BL35" s="212" t="e">
        <f t="shared" si="25"/>
        <v>#DIV/0!</v>
      </c>
      <c r="BM35" s="212" t="e">
        <f t="shared" si="25"/>
        <v>#DIV/0!</v>
      </c>
      <c r="BN35" s="212" t="e">
        <f t="shared" si="25"/>
        <v>#DIV/0!</v>
      </c>
      <c r="BO35" s="212" t="e">
        <f t="shared" si="25"/>
        <v>#DIV/0!</v>
      </c>
      <c r="BP35" s="212" t="e">
        <f t="shared" si="25"/>
        <v>#DIV/0!</v>
      </c>
      <c r="BQ35" s="212" t="e">
        <f t="shared" si="25"/>
        <v>#DIV/0!</v>
      </c>
      <c r="BR35" s="212" t="e">
        <f t="shared" ref="BR35:BW35" si="26">(BR34-BV34)/BV34</f>
        <v>#DIV/0!</v>
      </c>
      <c r="BS35" s="212" t="e">
        <f t="shared" si="26"/>
        <v>#DIV/0!</v>
      </c>
      <c r="BT35" s="212" t="e">
        <f t="shared" si="26"/>
        <v>#DIV/0!</v>
      </c>
      <c r="BU35" s="212" t="e">
        <f t="shared" si="26"/>
        <v>#DIV/0!</v>
      </c>
      <c r="BV35" s="212" t="e">
        <f t="shared" si="26"/>
        <v>#DIV/0!</v>
      </c>
      <c r="BW35" s="212" t="e">
        <f t="shared" si="26"/>
        <v>#DIV/0!</v>
      </c>
    </row>
    <row r="36" spans="1:75" s="203" customFormat="1" ht="27">
      <c r="A36" s="279" t="s">
        <v>751</v>
      </c>
      <c r="E36" s="203">
        <f>POWER(E34/$Y$34,1/5)-1</f>
        <v>0.19095664775891152</v>
      </c>
      <c r="F36" s="203">
        <f t="shared" ref="F36:Y36" si="27">POWER(F34/$Y$34,1/5)-1</f>
        <v>6.2034580511114434E-3</v>
      </c>
      <c r="G36" s="203">
        <f t="shared" si="27"/>
        <v>-0.11747304121421021</v>
      </c>
      <c r="H36" s="203">
        <f t="shared" si="27"/>
        <v>-1.6678919879036509</v>
      </c>
      <c r="I36" s="203">
        <f>POWER(I34/$Y$34,1/4)-1</f>
        <v>0.7124185671306249</v>
      </c>
      <c r="J36" s="203">
        <f t="shared" si="27"/>
        <v>0.35157252780229142</v>
      </c>
      <c r="K36" s="203">
        <f t="shared" si="27"/>
        <v>0.22366132696388275</v>
      </c>
      <c r="L36" s="203">
        <f t="shared" si="27"/>
        <v>6.330188578499385E-2</v>
      </c>
      <c r="M36" s="203">
        <f>POWER(M34/$Y$34,1/3)-1</f>
        <v>0.79098019409629239</v>
      </c>
      <c r="N36" s="203">
        <f t="shared" si="27"/>
        <v>0.2277666336879054</v>
      </c>
      <c r="O36" s="203">
        <f t="shared" si="27"/>
        <v>-1.2135492338564369E-2</v>
      </c>
      <c r="P36" s="203">
        <f t="shared" si="27"/>
        <v>-1.6026295838031581</v>
      </c>
      <c r="Q36" s="203">
        <f>POWER(Q34/$Y$34,1/2)-1</f>
        <v>0.71958156493149628</v>
      </c>
      <c r="R36" s="203">
        <f t="shared" si="27"/>
        <v>3.4531776001425207E-2</v>
      </c>
      <c r="S36" s="203">
        <f t="shared" si="27"/>
        <v>-0.17167258524581741</v>
      </c>
      <c r="T36" s="203">
        <f t="shared" si="27"/>
        <v>-1.7374223766918551</v>
      </c>
      <c r="U36" s="203">
        <f>POWER(U34/$Y$34,1/1)-1</f>
        <v>-0.14824915553437856</v>
      </c>
      <c r="V36" s="203">
        <f t="shared" si="27"/>
        <v>-1.2271108288316013E-2</v>
      </c>
      <c r="W36" s="203">
        <f t="shared" si="27"/>
        <v>3.6850787068480884E-2</v>
      </c>
      <c r="X36" s="203">
        <f t="shared" si="27"/>
        <v>-0.17482730364142574</v>
      </c>
      <c r="Y36" s="203">
        <f t="shared" si="27"/>
        <v>0</v>
      </c>
    </row>
    <row r="37" spans="1:75">
      <c r="A37" s="17" t="s">
        <v>752</v>
      </c>
      <c r="E37" s="191">
        <f>E27</f>
        <v>5674884.1599999964</v>
      </c>
      <c r="F37" s="191">
        <f t="shared" ref="F37:BQ37" si="28">F27</f>
        <v>85614462.769999996</v>
      </c>
      <c r="G37" s="191">
        <f t="shared" si="28"/>
        <v>-41818003.559999995</v>
      </c>
      <c r="H37" s="191">
        <f t="shared" si="28"/>
        <v>-11031873.58</v>
      </c>
      <c r="I37" s="191">
        <f t="shared" si="28"/>
        <v>547064106.38</v>
      </c>
      <c r="J37" s="191">
        <f t="shared" si="28"/>
        <v>374381936.62</v>
      </c>
      <c r="K37" s="191">
        <f t="shared" si="28"/>
        <v>148601416.94999999</v>
      </c>
      <c r="L37" s="191">
        <f t="shared" si="28"/>
        <v>112823879.39</v>
      </c>
      <c r="M37" s="191">
        <f t="shared" si="28"/>
        <v>297466789.05999994</v>
      </c>
      <c r="N37" s="191">
        <f t="shared" si="28"/>
        <v>231577969.28</v>
      </c>
      <c r="O37" s="191">
        <f t="shared" si="28"/>
        <v>3633502.4599999934</v>
      </c>
      <c r="P37" s="191">
        <f t="shared" si="28"/>
        <v>-6597362.5</v>
      </c>
      <c r="Q37" s="191">
        <f t="shared" si="28"/>
        <v>126486478.53000003</v>
      </c>
      <c r="R37" s="191">
        <f t="shared" si="28"/>
        <v>98364249.260000005</v>
      </c>
      <c r="S37" s="191">
        <f t="shared" si="28"/>
        <v>-22707845.399999995</v>
      </c>
      <c r="T37" s="191">
        <f t="shared" si="28"/>
        <v>-18100879.100000001</v>
      </c>
      <c r="U37" s="191">
        <f t="shared" si="28"/>
        <v>-5732944.5099999905</v>
      </c>
      <c r="V37" s="191">
        <f t="shared" si="28"/>
        <v>78038137.340000004</v>
      </c>
      <c r="W37" s="191">
        <f t="shared" si="28"/>
        <v>66096341.420000002</v>
      </c>
      <c r="X37" s="191">
        <f t="shared" si="28"/>
        <v>31757211.050000001</v>
      </c>
      <c r="Y37" s="191">
        <f t="shared" si="28"/>
        <v>39859313.259999998</v>
      </c>
      <c r="Z37" s="191">
        <f t="shared" si="28"/>
        <v>-373997.43</v>
      </c>
      <c r="AA37" s="191">
        <f t="shared" si="28"/>
        <v>-5195746.7899999991</v>
      </c>
      <c r="AB37" s="191">
        <f t="shared" si="28"/>
        <v>1463782.77</v>
      </c>
      <c r="AC37" s="191">
        <f t="shared" si="28"/>
        <v>20412552.989999998</v>
      </c>
      <c r="AD37" s="191">
        <f t="shared" si="28"/>
        <v>4307201.72</v>
      </c>
      <c r="AE37" s="191">
        <f t="shared" si="28"/>
        <v>-4983780.34</v>
      </c>
      <c r="AF37" s="191">
        <f t="shared" si="28"/>
        <v>21082533.890000001</v>
      </c>
      <c r="AG37" s="191">
        <f t="shared" si="28"/>
        <v>77532341.060000002</v>
      </c>
      <c r="AH37" s="191">
        <f t="shared" si="28"/>
        <v>68665094.870000005</v>
      </c>
      <c r="AI37" s="191">
        <f t="shared" si="28"/>
        <v>27999946.189999998</v>
      </c>
      <c r="AJ37" s="191">
        <f t="shared" si="28"/>
        <v>-3257766.91</v>
      </c>
      <c r="AK37" s="191">
        <f t="shared" si="28"/>
        <v>104817745.25</v>
      </c>
      <c r="AL37" s="191">
        <f t="shared" si="28"/>
        <v>1355044.1300000008</v>
      </c>
      <c r="AM37" s="191">
        <f t="shared" si="28"/>
        <v>0</v>
      </c>
      <c r="AN37" s="191">
        <f t="shared" si="28"/>
        <v>0</v>
      </c>
      <c r="AO37" s="191">
        <f t="shared" si="28"/>
        <v>0</v>
      </c>
      <c r="AP37" s="191">
        <f t="shared" si="28"/>
        <v>0</v>
      </c>
      <c r="AQ37" s="191">
        <f t="shared" si="28"/>
        <v>0</v>
      </c>
      <c r="AR37" s="191">
        <f t="shared" si="28"/>
        <v>0</v>
      </c>
      <c r="AS37" s="191">
        <f t="shared" si="28"/>
        <v>0</v>
      </c>
      <c r="AT37" s="191">
        <f t="shared" si="28"/>
        <v>0</v>
      </c>
      <c r="AU37" s="191">
        <f t="shared" si="28"/>
        <v>0</v>
      </c>
      <c r="AV37" s="191">
        <f t="shared" si="28"/>
        <v>0</v>
      </c>
      <c r="AW37" s="191">
        <f t="shared" si="28"/>
        <v>0</v>
      </c>
      <c r="AX37" s="191">
        <f t="shared" si="28"/>
        <v>0</v>
      </c>
      <c r="AY37" s="191">
        <f t="shared" si="28"/>
        <v>0</v>
      </c>
      <c r="AZ37" s="191">
        <f t="shared" si="28"/>
        <v>0</v>
      </c>
      <c r="BA37" s="191">
        <f t="shared" si="28"/>
        <v>0</v>
      </c>
      <c r="BB37" s="191">
        <f t="shared" si="28"/>
        <v>0</v>
      </c>
      <c r="BC37" s="191">
        <f t="shared" si="28"/>
        <v>0</v>
      </c>
      <c r="BD37" s="191">
        <f t="shared" si="28"/>
        <v>0</v>
      </c>
      <c r="BE37" s="191">
        <f t="shared" si="28"/>
        <v>0</v>
      </c>
      <c r="BF37" s="191">
        <f t="shared" si="28"/>
        <v>0</v>
      </c>
      <c r="BG37" s="191">
        <f t="shared" si="28"/>
        <v>0</v>
      </c>
      <c r="BH37" s="191">
        <f t="shared" si="28"/>
        <v>0</v>
      </c>
      <c r="BI37" s="191">
        <f t="shared" si="28"/>
        <v>0</v>
      </c>
      <c r="BJ37" s="191">
        <f t="shared" si="28"/>
        <v>0</v>
      </c>
      <c r="BK37" s="191">
        <f t="shared" si="28"/>
        <v>0</v>
      </c>
      <c r="BL37" s="191">
        <f t="shared" si="28"/>
        <v>0</v>
      </c>
      <c r="BM37" s="191">
        <f t="shared" si="28"/>
        <v>0</v>
      </c>
      <c r="BN37" s="191">
        <f t="shared" si="28"/>
        <v>0</v>
      </c>
      <c r="BO37" s="191">
        <f t="shared" si="28"/>
        <v>0</v>
      </c>
      <c r="BP37" s="191">
        <f t="shared" si="28"/>
        <v>0</v>
      </c>
      <c r="BQ37" s="191">
        <f t="shared" si="28"/>
        <v>0</v>
      </c>
      <c r="BR37" s="191">
        <f t="shared" ref="BR37:BW37" si="29">BR27</f>
        <v>0</v>
      </c>
      <c r="BS37" s="191">
        <f t="shared" si="29"/>
        <v>0</v>
      </c>
      <c r="BT37" s="191">
        <f t="shared" si="29"/>
        <v>0</v>
      </c>
      <c r="BU37" s="191">
        <f t="shared" si="29"/>
        <v>0</v>
      </c>
      <c r="BV37" s="191">
        <f t="shared" si="29"/>
        <v>0</v>
      </c>
      <c r="BW37" s="191">
        <f t="shared" si="29"/>
        <v>0</v>
      </c>
    </row>
    <row r="38" spans="1:75" s="63" customFormat="1" ht="27">
      <c r="A38" s="279" t="s">
        <v>753</v>
      </c>
      <c r="E38" s="63" t="e">
        <f>POWER(E37/$U$37,1/4)-1</f>
        <v>#NUM!</v>
      </c>
      <c r="F38" s="63" t="e">
        <f t="shared" ref="F38:Y38" si="30">POWER(F37/$U$37,1/4)-1</f>
        <v>#NUM!</v>
      </c>
      <c r="G38" s="63">
        <f t="shared" si="30"/>
        <v>0.64341175573086806</v>
      </c>
      <c r="H38" s="63">
        <f t="shared" si="30"/>
        <v>0.17779005943728921</v>
      </c>
      <c r="I38" s="63" t="e">
        <f t="shared" si="30"/>
        <v>#NUM!</v>
      </c>
      <c r="J38" s="63" t="e">
        <f t="shared" si="30"/>
        <v>#NUM!</v>
      </c>
      <c r="K38" s="63" t="e">
        <f t="shared" si="30"/>
        <v>#NUM!</v>
      </c>
      <c r="L38" s="63" t="e">
        <f t="shared" si="30"/>
        <v>#NUM!</v>
      </c>
      <c r="M38" s="63" t="e">
        <f t="shared" si="30"/>
        <v>#NUM!</v>
      </c>
      <c r="N38" s="63" t="e">
        <f t="shared" si="30"/>
        <v>#NUM!</v>
      </c>
      <c r="O38" s="63" t="e">
        <f t="shared" si="30"/>
        <v>#NUM!</v>
      </c>
      <c r="P38" s="63">
        <f t="shared" si="30"/>
        <v>3.5733807527141837E-2</v>
      </c>
      <c r="Q38" s="63" t="e">
        <f t="shared" si="30"/>
        <v>#NUM!</v>
      </c>
      <c r="R38" s="63" t="e">
        <f t="shared" si="30"/>
        <v>#NUM!</v>
      </c>
      <c r="S38" s="63">
        <f t="shared" si="30"/>
        <v>0.4107483391303739</v>
      </c>
      <c r="T38" s="63">
        <f t="shared" si="30"/>
        <v>0.33300102192435843</v>
      </c>
      <c r="U38" s="63">
        <f t="shared" si="30"/>
        <v>0</v>
      </c>
      <c r="V38" s="63" t="e">
        <f t="shared" si="30"/>
        <v>#NUM!</v>
      </c>
      <c r="W38" s="63" t="e">
        <f t="shared" si="30"/>
        <v>#NUM!</v>
      </c>
      <c r="X38" s="63" t="e">
        <f t="shared" si="30"/>
        <v>#NUM!</v>
      </c>
      <c r="Y38" s="63" t="e">
        <f t="shared" si="30"/>
        <v>#NUM!</v>
      </c>
    </row>
    <row r="39" spans="1:75" ht="40.5">
      <c r="A39" s="280" t="s">
        <v>510</v>
      </c>
    </row>
    <row r="41" spans="1:75" ht="111" customHeight="1">
      <c r="A41" s="285" t="s">
        <v>733</v>
      </c>
      <c r="B41" s="284"/>
      <c r="C41" s="284"/>
      <c r="D41" s="284"/>
      <c r="E41" s="284"/>
      <c r="F41" s="284"/>
      <c r="G41" s="284"/>
      <c r="H41" s="284"/>
      <c r="I41" s="284"/>
      <c r="J41" s="284"/>
      <c r="K41" s="284"/>
      <c r="L41" s="284"/>
      <c r="M41" s="284"/>
    </row>
    <row r="44" spans="1:75">
      <c r="A44"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workbookViewId="0">
      <selection activeCell="D18" sqref="D18"/>
    </sheetView>
  </sheetViews>
  <sheetFormatPr defaultRowHeight="13.5"/>
  <cols>
    <col min="1" max="1" width="42.5" style="17" bestFit="1" customWidth="1"/>
    <col min="2" max="2" width="23.25" style="26" bestFit="1" customWidth="1"/>
    <col min="3" max="3" width="37.125" bestFit="1" customWidth="1"/>
    <col min="4" max="4" width="22" bestFit="1" customWidth="1"/>
    <col min="5" max="5" width="17.25" bestFit="1" customWidth="1"/>
    <col min="6" max="6" width="16.125" bestFit="1" customWidth="1"/>
    <col min="7" max="11" width="17.25" bestFit="1" customWidth="1"/>
    <col min="12" max="12" width="38.25" bestFit="1" customWidth="1"/>
    <col min="13" max="18" width="17.25" bestFit="1" customWidth="1"/>
    <col min="19" max="19" width="21.625" bestFit="1" customWidth="1"/>
    <col min="20" max="74" width="9.5" bestFit="1" customWidth="1"/>
  </cols>
  <sheetData>
    <row r="1" spans="1:10" ht="16.149999999999999" customHeight="1">
      <c r="A1" s="67" t="s">
        <v>511</v>
      </c>
      <c r="B1" s="68">
        <f>自由现金流分析表!E1</f>
        <v>43100</v>
      </c>
      <c r="C1" s="189" t="s">
        <v>748</v>
      </c>
      <c r="D1" s="272">
        <v>0.08</v>
      </c>
      <c r="E1" s="260" t="s">
        <v>747</v>
      </c>
      <c r="F1" s="63">
        <f>平均资本成本表!E13</f>
        <v>7.7217112076577332E-2</v>
      </c>
    </row>
    <row r="2" spans="1:10">
      <c r="A2" s="69" t="s">
        <v>512</v>
      </c>
      <c r="B2" s="70">
        <f>自由现金流分析表!Q27</f>
        <v>126486478.53000003</v>
      </c>
      <c r="C2" t="s">
        <v>545</v>
      </c>
      <c r="D2" s="63"/>
      <c r="E2" s="63"/>
      <c r="F2" s="56"/>
    </row>
    <row r="3" spans="1:10" s="63" customFormat="1">
      <c r="A3" s="71" t="s">
        <v>513</v>
      </c>
      <c r="B3" s="97">
        <v>0</v>
      </c>
      <c r="D3" s="188"/>
      <c r="E3" s="188"/>
      <c r="F3" s="258"/>
    </row>
    <row r="4" spans="1:10" s="63" customFormat="1">
      <c r="A4" s="71" t="s">
        <v>514</v>
      </c>
      <c r="B4" s="97">
        <v>0.08</v>
      </c>
      <c r="D4" s="188"/>
      <c r="E4" s="188"/>
      <c r="F4" s="259"/>
    </row>
    <row r="5" spans="1:10">
      <c r="A5" s="69" t="s">
        <v>515</v>
      </c>
      <c r="B5" s="70">
        <f>B2*(1+B3)/(B4-B3)</f>
        <v>1581080981.6250002</v>
      </c>
      <c r="D5" s="63"/>
      <c r="E5" s="63"/>
    </row>
    <row r="6" spans="1:10">
      <c r="A6" s="69" t="s">
        <v>516</v>
      </c>
      <c r="B6" s="70">
        <f>资产资本表!E17</f>
        <v>1011699382.3000001</v>
      </c>
      <c r="D6" s="188"/>
      <c r="E6" s="188"/>
      <c r="F6" s="188"/>
      <c r="G6" s="188"/>
    </row>
    <row r="7" spans="1:10">
      <c r="A7" s="69" t="s">
        <v>517</v>
      </c>
      <c r="B7" s="70">
        <f>资产资本表!E19</f>
        <v>127485626.63</v>
      </c>
      <c r="D7" s="188"/>
      <c r="E7" s="188"/>
      <c r="F7" s="188"/>
      <c r="G7" s="188"/>
    </row>
    <row r="8" spans="1:10">
      <c r="A8" s="69" t="s">
        <v>518</v>
      </c>
      <c r="B8" s="195">
        <f>资产资本表!E89</f>
        <v>321762420</v>
      </c>
      <c r="C8" s="270" t="s">
        <v>745</v>
      </c>
      <c r="D8" s="271">
        <f>B2/B4</f>
        <v>1581080981.6250002</v>
      </c>
      <c r="E8" s="63"/>
      <c r="F8" s="188"/>
      <c r="G8" s="188"/>
    </row>
    <row r="9" spans="1:10">
      <c r="A9" s="69" t="s">
        <v>519</v>
      </c>
      <c r="B9" s="195">
        <f>B5+B6+B7-B8</f>
        <v>2398503570.5550003</v>
      </c>
      <c r="C9" s="270" t="s">
        <v>746</v>
      </c>
      <c r="D9" s="271">
        <f>(D8+资产资本结构分析表!$E$2+资产资本结构分析表!$E$3)/B55</f>
        <v>2.6485123870252174</v>
      </c>
      <c r="E9" s="188"/>
      <c r="F9" s="188"/>
      <c r="G9" s="188"/>
    </row>
    <row r="10" spans="1:10">
      <c r="A10" s="69" t="s">
        <v>520</v>
      </c>
      <c r="B10" s="72">
        <f>资产资本表!E103/资产资本表!E107</f>
        <v>9.3359701939698669E-3</v>
      </c>
      <c r="D10" s="188"/>
      <c r="E10" s="188"/>
      <c r="F10" s="188"/>
      <c r="G10" s="188"/>
    </row>
    <row r="11" spans="1:10">
      <c r="A11" s="69" t="s">
        <v>546</v>
      </c>
      <c r="B11" s="195">
        <f>B9*(1-B10)</f>
        <v>2376111212.7101684</v>
      </c>
      <c r="C11" s="267" t="s">
        <v>742</v>
      </c>
      <c r="D11" s="268">
        <f>资产资本结构分析表!E2</f>
        <v>1011699382.3000001</v>
      </c>
      <c r="E11" s="63"/>
      <c r="F11" s="188"/>
      <c r="G11" s="188"/>
    </row>
    <row r="12" spans="1:10">
      <c r="A12" s="69" t="s">
        <v>521</v>
      </c>
      <c r="B12" s="266">
        <f>B55</f>
        <v>1027092040</v>
      </c>
      <c r="C12" s="267" t="s">
        <v>743</v>
      </c>
      <c r="D12" s="269">
        <f>D11/B55</f>
        <v>0.98501336092527803</v>
      </c>
      <c r="E12" s="188"/>
      <c r="F12" s="188"/>
      <c r="G12" s="188"/>
    </row>
    <row r="13" spans="1:10" ht="14.25" thickBot="1">
      <c r="A13" s="73" t="s">
        <v>522</v>
      </c>
      <c r="B13" s="74">
        <f>B11/B12</f>
        <v>2.3134355249313083</v>
      </c>
      <c r="D13" s="188"/>
      <c r="E13" s="188"/>
    </row>
    <row r="14" spans="1:10" s="16" customFormat="1" ht="53.25" customHeight="1">
      <c r="A14" s="285" t="s">
        <v>735</v>
      </c>
      <c r="B14" s="284"/>
      <c r="C14" s="284"/>
      <c r="D14" s="284"/>
      <c r="E14" s="284"/>
      <c r="F14" s="284"/>
      <c r="G14" s="284"/>
      <c r="H14" s="284"/>
      <c r="I14" s="284"/>
    </row>
    <row r="16" spans="1:10" ht="14.45">
      <c r="A16" s="87"/>
      <c r="B16" s="75"/>
      <c r="C16" s="76"/>
      <c r="D16" s="76"/>
      <c r="E16" s="76"/>
      <c r="F16" s="76"/>
      <c r="G16" s="76"/>
      <c r="H16" s="76"/>
      <c r="I16" s="77"/>
      <c r="J16" s="76"/>
    </row>
    <row r="17" spans="1:10" s="63" customFormat="1">
      <c r="A17" s="89"/>
      <c r="B17" s="89"/>
      <c r="C17" s="89" t="s">
        <v>538</v>
      </c>
      <c r="D17" s="89">
        <v>0.3</v>
      </c>
      <c r="E17" s="89"/>
      <c r="F17" s="89"/>
      <c r="G17" s="89"/>
      <c r="H17" s="89" t="s">
        <v>539</v>
      </c>
      <c r="I17" s="89">
        <v>0.02</v>
      </c>
      <c r="J17" s="77"/>
    </row>
    <row r="18" spans="1:10" s="2" customFormat="1">
      <c r="A18" s="306" t="s">
        <v>523</v>
      </c>
      <c r="B18" s="306"/>
      <c r="C18" s="65" t="s">
        <v>537</v>
      </c>
      <c r="D18" s="96">
        <v>1</v>
      </c>
      <c r="E18" s="96">
        <v>2</v>
      </c>
      <c r="F18" s="96">
        <v>3</v>
      </c>
      <c r="G18" s="96">
        <v>4</v>
      </c>
      <c r="H18" s="96">
        <v>5</v>
      </c>
      <c r="I18" s="95">
        <v>6</v>
      </c>
      <c r="J18" s="79"/>
    </row>
    <row r="19" spans="1:10" s="26" customFormat="1">
      <c r="A19" s="98" t="s">
        <v>524</v>
      </c>
      <c r="B19" s="93"/>
      <c r="C19" s="88">
        <f>B2</f>
        <v>126486478.53000003</v>
      </c>
      <c r="D19" s="88">
        <f>C19*(1+$D$17)</f>
        <v>164432422.08900005</v>
      </c>
      <c r="E19" s="88">
        <f>D19*(1+$D$17)</f>
        <v>213762148.71570006</v>
      </c>
      <c r="F19" s="88">
        <f>E19*(1+$D$17)</f>
        <v>277890793.33041006</v>
      </c>
      <c r="G19" s="88">
        <f>F19*(1+$D$17)</f>
        <v>361258031.3295331</v>
      </c>
      <c r="H19" s="88">
        <f>G19*(1+$D$17)</f>
        <v>469635440.72839302</v>
      </c>
      <c r="I19" s="88">
        <f>H19*(1+I17)</f>
        <v>479028149.54296088</v>
      </c>
      <c r="J19" s="75"/>
    </row>
    <row r="20" spans="1:10" s="26" customFormat="1">
      <c r="A20" s="98" t="s">
        <v>525</v>
      </c>
      <c r="B20" s="94">
        <f>B4</f>
        <v>0.08</v>
      </c>
      <c r="C20" s="88"/>
      <c r="D20" s="88">
        <f t="shared" ref="D20:I20" si="0">(1+$B$20)^D18</f>
        <v>1.08</v>
      </c>
      <c r="E20" s="88">
        <f t="shared" si="0"/>
        <v>1.1664000000000001</v>
      </c>
      <c r="F20" s="88">
        <f t="shared" si="0"/>
        <v>1.2597120000000002</v>
      </c>
      <c r="G20" s="88">
        <f t="shared" si="0"/>
        <v>1.3604889600000003</v>
      </c>
      <c r="H20" s="88">
        <f t="shared" si="0"/>
        <v>1.4693280768000003</v>
      </c>
      <c r="I20" s="88">
        <f t="shared" si="0"/>
        <v>1.5868743229440005</v>
      </c>
      <c r="J20" s="75"/>
    </row>
    <row r="21" spans="1:10" s="26" customFormat="1">
      <c r="A21" s="307" t="s">
        <v>526</v>
      </c>
      <c r="B21" s="307"/>
      <c r="C21" s="88"/>
      <c r="D21" s="88">
        <f>D19/D20</f>
        <v>152252242.67500004</v>
      </c>
      <c r="E21" s="88">
        <f>E19/E20</f>
        <v>183266588.40509263</v>
      </c>
      <c r="F21" s="88">
        <f>F19/F20</f>
        <v>220598671.22835222</v>
      </c>
      <c r="G21" s="88">
        <f>G19/G20</f>
        <v>265535437.5896832</v>
      </c>
      <c r="H21" s="88">
        <f>H19/H20</f>
        <v>319625989.69128531</v>
      </c>
      <c r="I21" s="88">
        <f>I19/((B20-I17)*I20)</f>
        <v>5031149837.7331953</v>
      </c>
      <c r="J21" s="75"/>
    </row>
    <row r="22" spans="1:10" s="26" customFormat="1">
      <c r="A22" s="307" t="s">
        <v>544</v>
      </c>
      <c r="B22" s="307"/>
      <c r="C22" s="88"/>
      <c r="D22" s="303">
        <f>SUM(D21:H21)</f>
        <v>1141278929.5894134</v>
      </c>
      <c r="E22" s="304"/>
      <c r="F22" s="304"/>
      <c r="G22" s="304"/>
      <c r="H22" s="305"/>
      <c r="I22" s="88">
        <f>I21</f>
        <v>5031149837.7331953</v>
      </c>
      <c r="J22" s="75"/>
    </row>
    <row r="23" spans="1:10">
      <c r="A23" s="91" t="s">
        <v>527</v>
      </c>
      <c r="B23" s="75">
        <f>D22+I22</f>
        <v>6172428767.3226089</v>
      </c>
      <c r="C23" s="76"/>
      <c r="D23" s="76"/>
      <c r="E23" s="76"/>
      <c r="F23" s="76"/>
      <c r="G23" s="76"/>
      <c r="H23" s="76"/>
      <c r="I23" s="78"/>
      <c r="J23" s="76"/>
    </row>
    <row r="24" spans="1:10">
      <c r="A24" s="91" t="s">
        <v>528</v>
      </c>
      <c r="B24" s="75">
        <f>B23</f>
        <v>6172428767.3226089</v>
      </c>
      <c r="C24" s="76"/>
      <c r="D24" s="76"/>
      <c r="E24" s="76"/>
      <c r="F24" s="76"/>
      <c r="G24" s="76"/>
      <c r="H24" s="76"/>
      <c r="I24" s="78"/>
      <c r="J24" s="76"/>
    </row>
    <row r="25" spans="1:10">
      <c r="A25" s="69" t="s">
        <v>529</v>
      </c>
      <c r="B25" s="70">
        <f>资产资本表!E17</f>
        <v>1011699382.3000001</v>
      </c>
      <c r="C25" s="76"/>
      <c r="D25" s="76"/>
      <c r="E25" s="76"/>
      <c r="F25" s="76"/>
      <c r="G25" s="76"/>
      <c r="H25" s="76"/>
      <c r="I25" s="78"/>
      <c r="J25" s="76"/>
    </row>
    <row r="26" spans="1:10">
      <c r="A26" s="69" t="s">
        <v>530</v>
      </c>
      <c r="B26" s="70">
        <f>资产资本表!E19</f>
        <v>127485626.63</v>
      </c>
      <c r="C26" s="76"/>
      <c r="D26" s="76"/>
      <c r="E26" s="76"/>
      <c r="F26" s="76"/>
      <c r="G26" s="76"/>
      <c r="H26" s="76"/>
      <c r="I26" s="78"/>
      <c r="J26" s="76"/>
    </row>
    <row r="27" spans="1:10">
      <c r="A27" s="69" t="s">
        <v>531</v>
      </c>
      <c r="B27" s="70">
        <f>资产资本表!E89</f>
        <v>321762420</v>
      </c>
      <c r="C27" s="76"/>
      <c r="D27" s="76"/>
      <c r="E27" s="76"/>
      <c r="F27" s="76"/>
      <c r="G27" s="76"/>
      <c r="H27" s="76"/>
      <c r="I27" s="78"/>
      <c r="J27" s="76"/>
    </row>
    <row r="28" spans="1:10" s="2" customFormat="1">
      <c r="A28" s="81" t="s">
        <v>532</v>
      </c>
      <c r="B28" s="82">
        <f>B24+B25+B26-B27</f>
        <v>6989851356.2526093</v>
      </c>
      <c r="C28" s="79"/>
      <c r="D28" s="79"/>
      <c r="E28" s="79"/>
      <c r="F28" s="79"/>
      <c r="G28" s="79"/>
      <c r="H28" s="79"/>
      <c r="I28" s="80"/>
      <c r="J28" s="79"/>
    </row>
    <row r="29" spans="1:10">
      <c r="A29" s="69" t="s">
        <v>533</v>
      </c>
      <c r="B29" s="77">
        <f>资产资本表!E103/资产资本表!E107</f>
        <v>9.3359701939698669E-3</v>
      </c>
      <c r="C29" s="308" t="s">
        <v>540</v>
      </c>
      <c r="D29" s="308"/>
      <c r="E29" s="308"/>
      <c r="F29" s="76"/>
      <c r="G29" s="76"/>
      <c r="H29" s="76"/>
      <c r="I29" s="78"/>
      <c r="J29" s="76"/>
    </row>
    <row r="30" spans="1:10" s="2" customFormat="1">
      <c r="A30" s="81" t="s">
        <v>534</v>
      </c>
      <c r="B30" s="82">
        <f>B28*(1-B29)</f>
        <v>6924594312.3303547</v>
      </c>
      <c r="C30" s="90">
        <v>0.4</v>
      </c>
      <c r="D30" s="90">
        <v>0.3</v>
      </c>
      <c r="E30" s="90">
        <v>0.2</v>
      </c>
      <c r="F30" s="79"/>
      <c r="G30" s="79"/>
      <c r="H30" s="79"/>
      <c r="I30" s="80"/>
      <c r="J30" s="79"/>
    </row>
    <row r="31" spans="1:10">
      <c r="A31" s="69" t="s">
        <v>744</v>
      </c>
      <c r="B31" s="100">
        <f>B55</f>
        <v>1027092040</v>
      </c>
      <c r="C31" s="213">
        <f>$B$32*(1-C30)</f>
        <v>4.0451648202805783</v>
      </c>
      <c r="D31" s="213">
        <f>$B$32*(1-D30)</f>
        <v>4.7193589569940082</v>
      </c>
      <c r="E31" s="213">
        <f>$B$32*(1-E30)</f>
        <v>5.393553093707439</v>
      </c>
      <c r="F31" s="76"/>
      <c r="G31" s="76"/>
      <c r="H31" s="76"/>
      <c r="I31" s="78"/>
      <c r="J31" s="76"/>
    </row>
    <row r="32" spans="1:10" s="2" customFormat="1" ht="14.25" thickBot="1">
      <c r="A32" s="83" t="s">
        <v>535</v>
      </c>
      <c r="B32" s="84">
        <f>B30/B31</f>
        <v>6.7419413671342978</v>
      </c>
      <c r="C32" s="85"/>
      <c r="D32" s="85"/>
      <c r="E32" s="85"/>
      <c r="F32" s="85"/>
      <c r="G32" s="85"/>
      <c r="H32" s="85"/>
      <c r="I32" s="86"/>
      <c r="J32" s="79"/>
    </row>
    <row r="33" spans="1:19" ht="63" customHeight="1">
      <c r="A33" s="309" t="s">
        <v>736</v>
      </c>
      <c r="B33" s="310"/>
      <c r="C33" s="310"/>
      <c r="D33" s="310"/>
      <c r="E33" s="310"/>
      <c r="F33" s="310"/>
      <c r="G33" s="310"/>
      <c r="H33" s="310"/>
      <c r="I33" s="310"/>
    </row>
    <row r="37" spans="1:19" s="63" customFormat="1">
      <c r="A37" s="202"/>
      <c r="B37" s="202"/>
      <c r="C37" s="212" t="s">
        <v>538</v>
      </c>
      <c r="D37" s="212">
        <v>0.34379999999999999</v>
      </c>
      <c r="E37" s="212"/>
      <c r="F37" s="212"/>
      <c r="G37" s="212"/>
      <c r="H37" s="212" t="s">
        <v>633</v>
      </c>
      <c r="I37" s="212">
        <v>0.05</v>
      </c>
      <c r="J37" s="212"/>
      <c r="K37" s="212"/>
      <c r="L37" s="212"/>
      <c r="M37" s="212"/>
      <c r="N37" s="212"/>
      <c r="O37" s="212"/>
      <c r="P37" s="212"/>
      <c r="Q37" s="212"/>
      <c r="R37" s="212" t="s">
        <v>543</v>
      </c>
      <c r="S37" s="212">
        <v>0</v>
      </c>
    </row>
    <row r="38" spans="1:19" s="24" customFormat="1">
      <c r="A38" s="317" t="s">
        <v>541</v>
      </c>
      <c r="B38" s="318"/>
      <c r="C38" s="214" t="s">
        <v>537</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c r="A39" s="98" t="s">
        <v>524</v>
      </c>
      <c r="B39" s="93"/>
      <c r="C39" s="88">
        <f>B2</f>
        <v>126486478.53000003</v>
      </c>
      <c r="D39" s="88">
        <f>$C$39*(1+$D$37)^D38</f>
        <v>169972529.84861404</v>
      </c>
      <c r="E39" s="88">
        <f>$C$39*(1+$D$37)^E38</f>
        <v>228409085.61056751</v>
      </c>
      <c r="F39" s="88">
        <f>$C$39*(1+$D$37)^F38</f>
        <v>306936129.24348062</v>
      </c>
      <c r="G39" s="88">
        <f>$C$39*(1+$D$37)^G38</f>
        <v>412460770.47738922</v>
      </c>
      <c r="H39" s="88">
        <f>$C$39*(1+$D$37)^H38</f>
        <v>554264783.36751556</v>
      </c>
      <c r="I39" s="88">
        <f>H39*(1+$I$37)</f>
        <v>581978022.53589141</v>
      </c>
      <c r="J39" s="88">
        <f t="shared" ref="J39:N39" si="1">I39*(1+$I$37)</f>
        <v>611076923.66268599</v>
      </c>
      <c r="K39" s="88">
        <f t="shared" si="1"/>
        <v>641630769.84582031</v>
      </c>
      <c r="L39" s="88">
        <f t="shared" si="1"/>
        <v>673712308.3381114</v>
      </c>
      <c r="M39" s="88">
        <f t="shared" si="1"/>
        <v>707397923.75501704</v>
      </c>
      <c r="N39" s="88">
        <f t="shared" si="1"/>
        <v>742767819.94276798</v>
      </c>
      <c r="O39" s="88">
        <f t="shared" ref="O39" si="2">N39*(1+$I$37)</f>
        <v>779906210.93990636</v>
      </c>
      <c r="P39" s="88">
        <f t="shared" ref="P39" si="3">O39*(1+$I$37)</f>
        <v>818901521.48690176</v>
      </c>
      <c r="Q39" s="88">
        <f t="shared" ref="Q39" si="4">P39*(1+$I$37)</f>
        <v>859846597.56124687</v>
      </c>
      <c r="R39" s="88">
        <f t="shared" ref="R39" si="5">Q39*(1+$I$37)</f>
        <v>902838927.43930924</v>
      </c>
      <c r="S39" s="88">
        <f>R39*(1+S37)</f>
        <v>902838927.43930924</v>
      </c>
    </row>
    <row r="40" spans="1:19" s="23" customFormat="1">
      <c r="A40" s="208" t="s">
        <v>525</v>
      </c>
      <c r="B40" s="207">
        <f>B4</f>
        <v>0.08</v>
      </c>
      <c r="C40" s="213"/>
      <c r="D40" s="213">
        <f>(1+$B$40)^D38</f>
        <v>1.08</v>
      </c>
      <c r="E40" s="213">
        <f t="shared" ref="E40:R40" si="6">(1+$B$40)^E38</f>
        <v>1.1664000000000001</v>
      </c>
      <c r="F40" s="213">
        <f t="shared" si="6"/>
        <v>1.2597120000000002</v>
      </c>
      <c r="G40" s="213">
        <f t="shared" si="6"/>
        <v>1.3604889600000003</v>
      </c>
      <c r="H40" s="213">
        <f t="shared" si="6"/>
        <v>1.4693280768000003</v>
      </c>
      <c r="I40" s="213">
        <f t="shared" si="6"/>
        <v>1.5868743229440005</v>
      </c>
      <c r="J40" s="213">
        <f t="shared" si="6"/>
        <v>1.7138242687795207</v>
      </c>
      <c r="K40" s="213">
        <f t="shared" si="6"/>
        <v>1.8509302102818823</v>
      </c>
      <c r="L40" s="213">
        <f t="shared" si="6"/>
        <v>1.9990046271044331</v>
      </c>
      <c r="M40" s="213">
        <f t="shared" si="6"/>
        <v>2.1589249972727877</v>
      </c>
      <c r="N40" s="213">
        <f t="shared" si="6"/>
        <v>2.3316389970546108</v>
      </c>
      <c r="O40" s="213">
        <f t="shared" si="6"/>
        <v>2.5181701168189798</v>
      </c>
      <c r="P40" s="213">
        <f t="shared" si="6"/>
        <v>2.7196237261644982</v>
      </c>
      <c r="Q40" s="213">
        <f t="shared" si="6"/>
        <v>2.9371936242576586</v>
      </c>
      <c r="R40" s="213">
        <f t="shared" si="6"/>
        <v>3.1721691141982715</v>
      </c>
      <c r="S40" s="181">
        <f>(1+$B$40)^S38</f>
        <v>3.4259426433341331</v>
      </c>
    </row>
    <row r="41" spans="1:19" s="191" customFormat="1">
      <c r="A41" s="319" t="s">
        <v>526</v>
      </c>
      <c r="B41" s="320"/>
      <c r="C41" s="88"/>
      <c r="D41" s="88">
        <f t="shared" ref="D41:R41" si="7">D39/D40</f>
        <v>157381972.08205003</v>
      </c>
      <c r="E41" s="88">
        <f t="shared" si="7"/>
        <v>195823976.00357294</v>
      </c>
      <c r="F41" s="88">
        <f t="shared" si="7"/>
        <v>243655795.32740864</v>
      </c>
      <c r="G41" s="88">
        <f t="shared" si="7"/>
        <v>303170979.40830708</v>
      </c>
      <c r="H41" s="88">
        <f t="shared" si="7"/>
        <v>377223298.26748425</v>
      </c>
      <c r="I41" s="88">
        <f t="shared" si="7"/>
        <v>366744873.31560969</v>
      </c>
      <c r="J41" s="88">
        <f t="shared" si="7"/>
        <v>356557515.72350943</v>
      </c>
      <c r="K41" s="88">
        <f t="shared" si="7"/>
        <v>346653140.28674531</v>
      </c>
      <c r="L41" s="88">
        <f t="shared" si="7"/>
        <v>337023886.38989127</v>
      </c>
      <c r="M41" s="88">
        <f t="shared" si="7"/>
        <v>327662111.76794988</v>
      </c>
      <c r="N41" s="88">
        <f t="shared" si="7"/>
        <v>318560386.44106239</v>
      </c>
      <c r="O41" s="88">
        <f t="shared" si="7"/>
        <v>309711486.81769955</v>
      </c>
      <c r="P41" s="88">
        <f t="shared" si="7"/>
        <v>301108389.96165234</v>
      </c>
      <c r="Q41" s="88">
        <f t="shared" si="7"/>
        <v>292744268.01827306</v>
      </c>
      <c r="R41" s="88">
        <f t="shared" si="7"/>
        <v>284612482.79554325</v>
      </c>
      <c r="S41" s="88">
        <f>S39/((B40-S37)*S40)</f>
        <v>3294125958.2817507</v>
      </c>
    </row>
    <row r="42" spans="1:19" s="23" customFormat="1">
      <c r="A42" s="321" t="s">
        <v>544</v>
      </c>
      <c r="B42" s="322"/>
      <c r="C42" s="213"/>
      <c r="D42" s="314">
        <f>SUM(D41:H41)</f>
        <v>1277256021.0888228</v>
      </c>
      <c r="E42" s="315"/>
      <c r="F42" s="315"/>
      <c r="G42" s="315"/>
      <c r="H42" s="316"/>
      <c r="I42" s="314">
        <f>SUM(I41:R41)</f>
        <v>3241378541.5179358</v>
      </c>
      <c r="J42" s="315"/>
      <c r="K42" s="315"/>
      <c r="L42" s="315"/>
      <c r="M42" s="315"/>
      <c r="N42" s="315"/>
      <c r="O42" s="315"/>
      <c r="P42" s="315"/>
      <c r="Q42" s="315"/>
      <c r="R42" s="316"/>
      <c r="S42" s="213">
        <f>S41</f>
        <v>3294125958.2817507</v>
      </c>
    </row>
    <row r="43" spans="1:19">
      <c r="A43" s="204" t="s">
        <v>542</v>
      </c>
      <c r="B43" s="195">
        <f>D42+I42+S42</f>
        <v>7812760520.8885088</v>
      </c>
      <c r="C43" s="196"/>
      <c r="D43" s="196"/>
      <c r="E43" s="196"/>
      <c r="F43" s="196"/>
      <c r="G43" s="196"/>
      <c r="H43" s="196"/>
      <c r="I43" s="196"/>
      <c r="J43" s="196"/>
      <c r="K43" s="196"/>
      <c r="L43" s="196"/>
      <c r="M43" s="196"/>
      <c r="N43" s="196"/>
      <c r="O43" s="196"/>
      <c r="P43" s="196"/>
      <c r="Q43" s="196"/>
      <c r="R43" s="196"/>
      <c r="S43" s="198"/>
    </row>
    <row r="44" spans="1:19">
      <c r="A44" s="204" t="s">
        <v>528</v>
      </c>
      <c r="B44" s="195">
        <f>B43</f>
        <v>7812760520.8885088</v>
      </c>
      <c r="C44" s="196"/>
      <c r="D44" s="196"/>
      <c r="E44" s="196"/>
      <c r="F44" s="196"/>
      <c r="G44" s="196"/>
      <c r="H44" s="196"/>
      <c r="I44" s="196"/>
      <c r="J44" s="196"/>
      <c r="K44" s="196"/>
      <c r="L44" s="196"/>
      <c r="M44" s="196"/>
      <c r="N44" s="196"/>
      <c r="O44" s="196"/>
      <c r="P44" s="196"/>
      <c r="Q44" s="196"/>
      <c r="R44" s="196"/>
      <c r="S44" s="198"/>
    </row>
    <row r="45" spans="1:19">
      <c r="A45" s="194" t="s">
        <v>529</v>
      </c>
      <c r="B45" s="195">
        <f>资产资本表!E17</f>
        <v>1011699382.3000001</v>
      </c>
      <c r="C45" s="196"/>
      <c r="D45" s="196"/>
      <c r="E45" s="196"/>
      <c r="F45" s="196"/>
      <c r="G45" s="196"/>
      <c r="H45" s="196"/>
      <c r="I45" s="196"/>
      <c r="J45" s="196"/>
      <c r="K45" s="196"/>
      <c r="L45" s="196"/>
      <c r="M45" s="196"/>
      <c r="N45" s="196"/>
      <c r="O45" s="196"/>
      <c r="P45" s="196"/>
      <c r="Q45" s="196"/>
      <c r="R45" s="196"/>
      <c r="S45" s="198"/>
    </row>
    <row r="46" spans="1:19">
      <c r="A46" s="194" t="s">
        <v>530</v>
      </c>
      <c r="B46" s="195">
        <f>资产资本表!E19</f>
        <v>127485626.63</v>
      </c>
      <c r="C46" s="196"/>
      <c r="D46" s="196"/>
      <c r="E46" s="196"/>
      <c r="F46" s="196"/>
      <c r="G46" s="196"/>
      <c r="H46" s="196"/>
      <c r="I46" s="196"/>
      <c r="J46" s="196"/>
      <c r="K46" s="196"/>
      <c r="L46" s="196"/>
      <c r="M46" s="196"/>
      <c r="N46" s="196"/>
      <c r="O46" s="196"/>
      <c r="P46" s="196"/>
      <c r="Q46" s="196"/>
      <c r="R46" s="196"/>
      <c r="S46" s="198"/>
    </row>
    <row r="47" spans="1:19">
      <c r="A47" s="194" t="s">
        <v>531</v>
      </c>
      <c r="B47" s="195">
        <f>资产资本表!E89</f>
        <v>321762420</v>
      </c>
      <c r="C47" s="196"/>
      <c r="D47" s="196"/>
      <c r="E47" s="196"/>
      <c r="F47" s="196"/>
      <c r="G47" s="196"/>
      <c r="H47" s="196"/>
      <c r="I47" s="196"/>
      <c r="J47" s="196"/>
      <c r="K47" s="196"/>
      <c r="L47" s="196"/>
      <c r="M47" s="196"/>
      <c r="N47" s="196"/>
      <c r="O47" s="196"/>
      <c r="P47" s="196"/>
      <c r="Q47" s="196"/>
      <c r="R47" s="196"/>
      <c r="S47" s="198"/>
    </row>
    <row r="48" spans="1:19">
      <c r="A48" s="199" t="s">
        <v>532</v>
      </c>
      <c r="B48" s="195">
        <f>B44+B45+B46-B47</f>
        <v>8630183109.8185081</v>
      </c>
      <c r="C48" s="196"/>
      <c r="D48" s="196"/>
      <c r="E48" s="196"/>
      <c r="F48" s="196"/>
      <c r="G48" s="196"/>
      <c r="H48" s="196"/>
      <c r="I48" s="196"/>
      <c r="J48" s="196"/>
      <c r="K48" s="196"/>
      <c r="L48" s="196"/>
      <c r="M48" s="196"/>
      <c r="N48" s="196"/>
      <c r="O48" s="196"/>
      <c r="P48" s="196"/>
      <c r="Q48" s="196"/>
      <c r="R48" s="196"/>
      <c r="S48" s="198"/>
    </row>
    <row r="49" spans="1:74">
      <c r="A49" s="194" t="s">
        <v>533</v>
      </c>
      <c r="B49" s="197">
        <f>资产资本表!E103/资产资本表!E107</f>
        <v>9.3359701939698669E-3</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c r="A50" s="199" t="s">
        <v>534</v>
      </c>
      <c r="B50" s="195">
        <f>B48*(1-B49)</f>
        <v>8549611977.5367403</v>
      </c>
      <c r="C50" s="311" t="s">
        <v>540</v>
      </c>
      <c r="D50" s="312"/>
      <c r="E50" s="313"/>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c r="A51" s="194" t="s">
        <v>536</v>
      </c>
      <c r="B51" s="209">
        <f>B55</f>
        <v>1027092040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4.25" thickBot="1">
      <c r="A52" s="200" t="s">
        <v>535</v>
      </c>
      <c r="B52" s="205">
        <f>B50/B51</f>
        <v>8.3240952559000849</v>
      </c>
      <c r="C52" s="206">
        <f>$B$52*(1-C51)</f>
        <v>4.9944571535400506</v>
      </c>
      <c r="D52" s="206">
        <f>$B$52*(1-D51)</f>
        <v>5.8268666791300587</v>
      </c>
      <c r="E52" s="206">
        <f>$B$52*(1-E51)</f>
        <v>6.6592762047200686</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c r="A54" s="193">
        <v>2602</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c r="A55" s="210" t="s">
        <v>547</v>
      </c>
      <c r="B55" s="99">
        <v>1027092040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4.25" thickBot="1">
      <c r="A56" s="73"/>
      <c r="B56" s="92"/>
    </row>
    <row r="57" spans="1:74" ht="52.9" customHeight="1">
      <c r="A57" s="301" t="s">
        <v>737</v>
      </c>
      <c r="B57" s="302"/>
      <c r="C57" s="302"/>
      <c r="D57" s="302"/>
      <c r="E57" s="302"/>
      <c r="F57" s="302"/>
      <c r="G57" s="302"/>
      <c r="H57" s="302"/>
      <c r="I57" s="302"/>
    </row>
    <row r="60" spans="1:74" s="154" customFormat="1" ht="51" customHeight="1">
      <c r="A60" s="299" t="s">
        <v>605</v>
      </c>
      <c r="B60" s="300"/>
      <c r="C60" s="300"/>
      <c r="D60" s="300"/>
      <c r="E60" s="300"/>
      <c r="F60" s="300"/>
      <c r="G60" s="300"/>
      <c r="H60" s="300"/>
      <c r="I60" s="300"/>
    </row>
    <row r="63" spans="1:74" s="4" customFormat="1">
      <c r="A63" s="176" t="s">
        <v>607</v>
      </c>
      <c r="B63" s="175" t="s">
        <v>608</v>
      </c>
      <c r="C63" s="95" t="s">
        <v>609</v>
      </c>
      <c r="D63" s="95" t="s">
        <v>610</v>
      </c>
      <c r="E63" s="95" t="s">
        <v>625</v>
      </c>
      <c r="F63" s="95" t="s">
        <v>611</v>
      </c>
      <c r="G63" s="95" t="s">
        <v>612</v>
      </c>
      <c r="H63" s="95" t="s">
        <v>621</v>
      </c>
      <c r="I63" s="95" t="s">
        <v>614</v>
      </c>
      <c r="J63" s="95" t="s">
        <v>620</v>
      </c>
      <c r="K63" s="95" t="s">
        <v>616</v>
      </c>
      <c r="L63" s="95" t="s">
        <v>622</v>
      </c>
    </row>
    <row r="64" spans="1:74" s="26" customFormat="1">
      <c r="A64" s="177">
        <f>股权价值增加表!M1</f>
        <v>42369</v>
      </c>
      <c r="B64" s="165">
        <v>42366</v>
      </c>
      <c r="C64" s="164">
        <v>17.39</v>
      </c>
      <c r="D64" s="164">
        <v>3.4</v>
      </c>
      <c r="E64" s="166">
        <f>股权价值增加表!M42/100000000</f>
        <v>4.0757941466999981</v>
      </c>
      <c r="F64" s="166">
        <v>0</v>
      </c>
      <c r="G64" s="164">
        <v>16.47</v>
      </c>
      <c r="H64" s="166">
        <f>G64*D64</f>
        <v>55.997999999999998</v>
      </c>
      <c r="I64" s="166">
        <f>C64*D64</f>
        <v>59.125999999999998</v>
      </c>
      <c r="J64" s="166">
        <f>H64/E64</f>
        <v>13.739162966642773</v>
      </c>
      <c r="K64" s="166">
        <f>I64/E64</f>
        <v>14.506620764415169</v>
      </c>
      <c r="L64" s="261">
        <v>0</v>
      </c>
    </row>
    <row r="65" spans="1:12" s="26" customFormat="1">
      <c r="A65" s="177">
        <f>股权价值增加表!I1</f>
        <v>42735</v>
      </c>
      <c r="B65" s="165">
        <v>42543</v>
      </c>
      <c r="C65" s="164">
        <v>23.13</v>
      </c>
      <c r="D65" s="164">
        <v>3.64</v>
      </c>
      <c r="E65" s="166">
        <f>股权价值增加表!I42/100000000</f>
        <v>5.0635686406999971</v>
      </c>
      <c r="F65" s="166">
        <f>(E65-E64)/E64*100</f>
        <v>24.235141875351072</v>
      </c>
      <c r="G65" s="164">
        <v>23.11</v>
      </c>
      <c r="H65" s="166">
        <f t="shared" ref="H65:H66" si="8">G65*D65</f>
        <v>84.120400000000004</v>
      </c>
      <c r="I65" s="166">
        <f t="shared" ref="I65:I66" si="9">C65*D65</f>
        <v>84.193200000000004</v>
      </c>
      <c r="J65" s="166">
        <f t="shared" ref="J65:J66" si="10">H65/E65</f>
        <v>16.612868506186782</v>
      </c>
      <c r="K65" s="166">
        <f t="shared" ref="K65:K66" si="11">I65/E65</f>
        <v>16.627245718221562</v>
      </c>
      <c r="L65" s="261">
        <f>K65/F65</f>
        <v>0.68607998268550263</v>
      </c>
    </row>
    <row r="66" spans="1:12" s="26" customFormat="1">
      <c r="A66" s="177">
        <f>股权价值增加表!E1</f>
        <v>43100</v>
      </c>
      <c r="B66" s="165">
        <v>42872</v>
      </c>
      <c r="C66" s="164">
        <v>16.399999999999999</v>
      </c>
      <c r="D66" s="164">
        <v>9.09</v>
      </c>
      <c r="E66" s="166">
        <f>股权价值增加表!E42/100000000</f>
        <v>7.6307459858000017</v>
      </c>
      <c r="F66" s="166">
        <f t="shared" ref="F66" si="12">(E66-E65)/E65*100</f>
        <v>50.698973930471155</v>
      </c>
      <c r="G66" s="164">
        <v>15.76</v>
      </c>
      <c r="H66" s="166">
        <f t="shared" si="8"/>
        <v>143.25839999999999</v>
      </c>
      <c r="I66" s="166">
        <f t="shared" si="9"/>
        <v>149.07599999999999</v>
      </c>
      <c r="J66" s="166">
        <f t="shared" si="10"/>
        <v>18.77383944722947</v>
      </c>
      <c r="K66" s="166">
        <f t="shared" si="11"/>
        <v>19.536228866406301</v>
      </c>
      <c r="L66" s="261">
        <f t="shared" ref="L66" si="13">K66/F66</f>
        <v>0.38533775640505841</v>
      </c>
    </row>
    <row r="67" spans="1:12" s="26" customFormat="1">
      <c r="A67" s="160"/>
      <c r="B67" s="161"/>
      <c r="C67" s="82"/>
      <c r="D67" s="82"/>
      <c r="E67" s="82"/>
      <c r="F67" s="163"/>
      <c r="G67" s="82"/>
      <c r="H67" s="163"/>
      <c r="I67" s="163"/>
      <c r="J67" s="163"/>
      <c r="K67" s="163"/>
      <c r="L67" s="262"/>
    </row>
    <row r="68" spans="1:12" s="155" customFormat="1" ht="14.25" thickBot="1">
      <c r="A68" s="162" t="s">
        <v>619</v>
      </c>
      <c r="B68" s="44" t="s">
        <v>608</v>
      </c>
      <c r="C68" s="44" t="s">
        <v>609</v>
      </c>
      <c r="D68" s="44" t="s">
        <v>610</v>
      </c>
      <c r="E68" s="44" t="s">
        <v>618</v>
      </c>
      <c r="F68" s="44" t="s">
        <v>611</v>
      </c>
      <c r="G68" s="44" t="s">
        <v>612</v>
      </c>
      <c r="H68" s="44" t="s">
        <v>613</v>
      </c>
      <c r="I68" s="44" t="s">
        <v>614</v>
      </c>
      <c r="J68" s="44" t="s">
        <v>615</v>
      </c>
      <c r="K68" s="44" t="s">
        <v>616</v>
      </c>
      <c r="L68" s="263" t="s">
        <v>617</v>
      </c>
    </row>
    <row r="69" spans="1:12" s="26" customFormat="1" ht="14.25" thickBot="1">
      <c r="A69" s="167" t="s">
        <v>624</v>
      </c>
      <c r="B69" s="168">
        <v>43305</v>
      </c>
      <c r="C69" s="169">
        <v>11.65</v>
      </c>
      <c r="D69" s="169">
        <v>9.09</v>
      </c>
      <c r="E69" s="169">
        <v>4.33</v>
      </c>
      <c r="F69" s="170">
        <f>(E69-E66)/E66*100</f>
        <v>-43.255875532252489</v>
      </c>
      <c r="G69" s="169">
        <v>10.119999999999999</v>
      </c>
      <c r="H69" s="170">
        <f>G69*D69</f>
        <v>91.990799999999993</v>
      </c>
      <c r="I69" s="170">
        <f>C69*D69</f>
        <v>105.8985</v>
      </c>
      <c r="J69" s="170">
        <f>H69/E69</f>
        <v>21.244988452655885</v>
      </c>
      <c r="K69" s="170">
        <f>I69/E69</f>
        <v>24.456928406466513</v>
      </c>
      <c r="L69" s="264">
        <f>K69/F69</f>
        <v>-0.56540130341902139</v>
      </c>
    </row>
    <row r="70" spans="1:12" s="26" customFormat="1" ht="14.25" thickBot="1">
      <c r="A70" s="171" t="s">
        <v>623</v>
      </c>
      <c r="B70" s="172">
        <v>43305</v>
      </c>
      <c r="C70" s="173">
        <v>11.65</v>
      </c>
      <c r="D70" s="173">
        <v>9.09</v>
      </c>
      <c r="E70" s="173">
        <v>3.86</v>
      </c>
      <c r="F70" s="174">
        <f>(E70-E66)/E66*100</f>
        <v>-49.415168488335937</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-0.55519075212829183</v>
      </c>
    </row>
    <row r="71" spans="1:12" s="87" customFormat="1" ht="138" customHeight="1">
      <c r="A71" s="297" t="s">
        <v>626</v>
      </c>
      <c r="B71" s="298"/>
      <c r="C71" s="298"/>
      <c r="D71" s="298"/>
      <c r="E71" s="298"/>
      <c r="F71" s="298"/>
      <c r="G71" s="298"/>
      <c r="H71" s="298"/>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2019-02-20T11:45:06Z</dcterms:modified>
</cp:coreProperties>
</file>