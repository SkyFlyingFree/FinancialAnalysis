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70C0C150-7D57-4F22-BA34-01B3B106C0FB}"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C13" i="12" s="1"/>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CK18" i="12"/>
  <c r="X13" i="12"/>
  <c r="BL13" i="12"/>
  <c r="Y26" i="12"/>
  <c r="Y27" i="12" s="1"/>
  <c r="CC26" i="12"/>
  <c r="CC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BQ32" i="9"/>
  <c r="AJ74" i="11"/>
  <c r="CD32" i="9"/>
  <c r="BR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R5" i="11"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R50" i="10"/>
  <c r="BY49" i="10"/>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<sst xmlns="http://schemas.openxmlformats.org/spreadsheetml/2006/main" count="943" uniqueCount="753">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</sst>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0.10614094921163802</c:v>
                </c:pt>
                <c:pt idx="1">
                  <c:v>0.11764338577755784</c:v>
                </c:pt>
                <c:pt idx="2">
                  <c:v>0.11299457797689581</c:v>
                </c:pt>
                <c:pt idx="3">
                  <c:v>0.12727269051497661</c:v>
                </c:pt>
                <c:pt idx="4">
                  <c:v>0.13059952087177312</c:v>
                </c:pt>
                <c:pt idx="5">
                  <c:v>0.13203042451428837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9.168540095985557E-2</c:v>
                </c:pt>
                <c:pt idx="1">
                  <c:v>0.10085173397547847</c:v>
                </c:pt>
                <c:pt idx="2">
                  <c:v>9.5912694810054114E-2</c:v>
                </c:pt>
                <c:pt idx="3">
                  <c:v>0.10359212418136296</c:v>
                </c:pt>
                <c:pt idx="4">
                  <c:v>0.10671818135874289</c:v>
                </c:pt>
                <c:pt idx="5">
                  <c:v>0.10414191536121406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0.10498143681294937</c:v>
                </c:pt>
                <c:pt idx="1">
                  <c:v>0.11726316138796074</c:v>
                </c:pt>
                <c:pt idx="2">
                  <c:v>0.11250005457880828</c:v>
                </c:pt>
                <c:pt idx="3">
                  <c:v>0.12721715332667535</c:v>
                </c:pt>
                <c:pt idx="4">
                  <c:v>0.13031062129163232</c:v>
                </c:pt>
                <c:pt idx="5">
                  <c:v>0.13212347229395704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9.0115501203895804E-2</c:v>
                </c:pt>
                <c:pt idx="1">
                  <c:v>0.10076305850400182</c:v>
                </c:pt>
                <c:pt idx="2">
                  <c:v>9.5553724184180483E-2</c:v>
                </c:pt>
                <c:pt idx="3">
                  <c:v>0.10349094835593417</c:v>
                </c:pt>
                <c:pt idx="4">
                  <c:v>0.10668987568734391</c:v>
                </c:pt>
                <c:pt idx="5">
                  <c:v>0.1042425045267161</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817651575.12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854057298.99000001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790567093.88999999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756446934.96000004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695850131.19000006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652472708.80999994</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366536919.5287993</c:v>
                </c:pt>
                <c:pt idx="1">
                  <c:v>455950741.5599997</c:v>
                </c:pt>
                <c:pt idx="2">
                  <c:v>405930832.56240034</c:v>
                </c:pt>
                <c:pt idx="3">
                  <c:v>357776467.85640001</c:v>
                </c:pt>
                <c:pt idx="4">
                  <c:v>321492517.18599981</c:v>
                </c:pt>
                <c:pt idx="5">
                  <c:v>278760490.2184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3582217691.6399999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3513891765.25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3358587193.2199998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3216542064.1700001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3087051456.0500002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2954860930.27</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1,338,318,718.93 </c:v>
                </c:pt>
                <c:pt idx="5">
                  <c:v>1,300,042,067.03 </c:v>
                </c:pt>
                <c:pt idx="6">
                  <c:v>1,307,997,355.97 </c:v>
                </c:pt>
                <c:pt idx="7">
                  <c:v>1,278,818,870.02 </c:v>
                </c:pt>
                <c:pt idx="8">
                  <c:v>1,319,805,146.82 </c:v>
                </c:pt>
                <c:pt idx="9">
                  <c:v>1,365,625,233.18 </c:v>
                </c:pt>
                <c:pt idx="10">
                  <c:v>1,374,633,144.51 </c:v>
                </c:pt>
                <c:pt idx="11">
                  <c:v>1,396,946,838.30 </c:v>
                </c:pt>
                <c:pt idx="12">
                  <c:v>1,434,360,282.02 </c:v>
                </c:pt>
                <c:pt idx="13">
                  <c:v>1,415,735,568.94 </c:v>
                </c:pt>
                <c:pt idx="14">
                  <c:v>1,434,013,045.69 </c:v>
                </c:pt>
                <c:pt idx="15">
                  <c:v>1,332,062,520.39 </c:v>
                </c:pt>
                <c:pt idx="16">
                  <c:v>1,318,392,716.87 </c:v>
                </c:pt>
                <c:pt idx="17">
                  <c:v>1,350,553,948.38 </c:v>
                </c:pt>
                <c:pt idx="18">
                  <c:v>1,205,230,453.29 </c:v>
                </c:pt>
                <c:pt idx="19">
                  <c:v>1,102,747,674.49 </c:v>
                </c:pt>
                <c:pt idx="20">
                  <c:v>1,100,794,431.57 </c:v>
                </c:pt>
              </c:strCache>
            </c:strRef>
          </c:tx>
          <c:invertIfNegative val="0"/>
          <c:cat>
            <c:numRef>
              <c:f>投资和筹资活动现金流表!$E$12</c:f>
              <c:numCache>
                <c:formatCode>#,##0.00_ </c:formatCode>
                <c:ptCount val="1"/>
                <c:pt idx="0">
                  <c:v>1338318718.9300001</c:v>
                </c:pt>
              </c:numCache>
            </c:numRef>
          </c:cat>
          <c:val>
            <c:numRef>
              <c:f>投资和筹资活动现金流表!$E$12:$U$12</c:f>
              <c:numCache>
                <c:formatCode>#,##0.00_ </c:formatCode>
                <c:ptCount val="5"/>
                <c:pt idx="0">
                  <c:v>1338318718.9300001</c:v>
                </c:pt>
                <c:pt idx="1">
                  <c:v>1319805146.8200002</c:v>
                </c:pt>
                <c:pt idx="2">
                  <c:v>1434360282.02</c:v>
                </c:pt>
                <c:pt idx="3">
                  <c:v>1318392716.8699999</c:v>
                </c:pt>
                <c:pt idx="4">
                  <c:v>1100794431.5699999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-3.121698413768147E-2</c:v>
                </c:pt>
                <c:pt idx="1">
                  <c:v>-1.0016120797718712E-2</c:v>
                </c:pt>
                <c:pt idx="2">
                  <c:v>-9.8365862097980677E-2</c:v>
                </c:pt>
                <c:pt idx="3">
                  <c:v>5.1465807032890762E-2</c:v>
                </c:pt>
                <c:pt idx="4">
                  <c:v>0.1571815295460979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1.6769654766063029</c:v>
                </c:pt>
                <c:pt idx="1">
                  <c:v>58.349351560348723</c:v>
                </c:pt>
                <c:pt idx="2">
                  <c:v>-14.920347455867745</c:v>
                </c:pt>
                <c:pt idx="3">
                  <c:v>4.2369882129916094</c:v>
                </c:pt>
                <c:pt idx="4">
                  <c:v>2.1917752693461585</c:v>
                </c:pt>
                <c:pt idx="5">
                  <c:v>1.5216997245600403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34242090.869999997</c:v>
                </c:pt>
                <c:pt idx="1">
                  <c:v>17253604.059999999</c:v>
                </c:pt>
                <c:pt idx="2">
                  <c:v>-57722933.649999991</c:v>
                </c:pt>
                <c:pt idx="3">
                  <c:v>140527628.81999999</c:v>
                </c:pt>
                <c:pt idx="4">
                  <c:v>233445159.52000001</c:v>
                </c:pt>
                <c:pt idx="5">
                  <c:v>198729516.5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-5080330.91</c:v>
                </c:pt>
                <c:pt idx="1">
                  <c:v>0</c:v>
                </c:pt>
                <c:pt idx="2">
                  <c:v>0</c:v>
                </c:pt>
                <c:pt idx="3">
                  <c:v>0</c:v>
                </c:pt>
                <c:pt idx="4">
                  <c:v>-121465749.28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48903264.689999998</c:v>
                </c:pt>
                <c:pt idx="1">
                  <c:v>1006736608.98</c:v>
                </c:pt>
                <c:pt idx="2">
                  <c:v>861246226.23000002</c:v>
                </c:pt>
                <c:pt idx="3">
                  <c:v>595413906.90999997</c:v>
                </c:pt>
                <c:pt idx="4">
                  <c:v>245433702.03999999</c:v>
                </c:pt>
                <c:pt idx="5">
                  <c:v>302406650.51999998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-782659501.05999994</c:v>
                </c:pt>
                <c:pt idx="1">
                  <c:v>-811387405.54999995</c:v>
                </c:pt>
                <c:pt idx="2">
                  <c:v>-233461476.46000001</c:v>
                </c:pt>
                <c:pt idx="3">
                  <c:v>-457441077.56</c:v>
                </c:pt>
                <c:pt idx="4">
                  <c:v>-441900399.99000001</c:v>
                </c:pt>
                <c:pt idx="5">
                  <c:v>-145113500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800000</c:v>
                </c:pt>
                <c:pt idx="1">
                  <c:v>-536508100</c:v>
                </c:pt>
                <c:pt idx="2">
                  <c:v>-454185000</c:v>
                </c:pt>
                <c:pt idx="3">
                  <c:v>-349822300</c:v>
                </c:pt>
                <c:pt idx="4">
                  <c:v>-373379999.99000001</c:v>
                </c:pt>
                <c:pt idx="5">
                  <c:v>-631588500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128386602.38</c:v>
                </c:pt>
                <c:pt idx="1">
                  <c:v>338317952.24000001</c:v>
                </c:pt>
                <c:pt idx="2">
                  <c:v>213571320.31</c:v>
                </c:pt>
                <c:pt idx="3">
                  <c:v>10680000</c:v>
                </c:pt>
                <c:pt idx="4">
                  <c:v>-100000000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5274285.7</c:v>
                </c:pt>
                <c:pt idx="1">
                  <c:v>16894201.420000002</c:v>
                </c:pt>
                <c:pt idx="2">
                  <c:v>30203637.140000001</c:v>
                </c:pt>
                <c:pt idx="3">
                  <c:v>44909842.859999999</c:v>
                </c:pt>
                <c:pt idx="4">
                  <c:v>17251428.57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0.18220200748881729</c:v>
                </c:pt>
                <c:pt idx="1">
                  <c:v>0.21019521136825725</c:v>
                </c:pt>
                <c:pt idx="2">
                  <c:v>0.20027342134515225</c:v>
                </c:pt>
                <c:pt idx="3">
                  <c:v>0.18859693490011717</c:v>
                </c:pt>
                <c:pt idx="4">
                  <c:v>0.18311893355715028</c:v>
                </c:pt>
                <c:pt idx="5">
                  <c:v>0.1743396311355094</c:v>
                </c:pt>
                <c:pt idx="6">
                  <c:v>0.21376280932238978</c:v>
                </c:pt>
                <c:pt idx="7">
                  <c:v>0.22283168128296058</c:v>
                </c:pt>
                <c:pt idx="8">
                  <c:v>0.25276599501973679</c:v>
                </c:pt>
                <c:pt idx="9">
                  <c:v>0.26471161245097607</c:v>
                </c:pt>
                <c:pt idx="10">
                  <c:v>0.78590322676915891</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-2.8575466386624435E-3</c:v>
                </c:pt>
                <c:pt idx="1">
                  <c:v>-0.14372295169231694</c:v>
                </c:pt>
                <c:pt idx="2">
                  <c:v>0.12244611828608667</c:v>
                </c:pt>
                <c:pt idx="3">
                  <c:v>0.42902565850261737</c:v>
                </c:pt>
                <c:pt idx="4">
                  <c:v>-0.28660495273454295</c:v>
                </c:pt>
                <c:pt idx="5">
                  <c:v>-2.6001281436170694E-2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0.41309624565429837</c:v>
                </c:pt>
                <c:pt idx="1">
                  <c:v>0.65490693128216382</c:v>
                </c:pt>
                <c:pt idx="2">
                  <c:v>0.19169475249615339</c:v>
                </c:pt>
                <c:pt idx="3">
                  <c:v>6.3921498734895554E-2</c:v>
                </c:pt>
                <c:pt idx="4">
                  <c:v>1.2840942088739089</c:v>
                </c:pt>
                <c:pt idx="5">
                  <c:v>-1.6080431626335236E-2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1.9828670824215296E-2</c:v>
                </c:pt>
                <c:pt idx="1">
                  <c:v>0.56055724354419567</c:v>
                </c:pt>
                <c:pt idx="2">
                  <c:v>6.9493257269419503E-2</c:v>
                </c:pt>
                <c:pt idx="3">
                  <c:v>-0.18233037112538844</c:v>
                </c:pt>
                <c:pt idx="4">
                  <c:v>0.99465327751979127</c:v>
                </c:pt>
                <c:pt idx="5">
                  <c:v>4.0568416458358501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-9.1289518037164272E-2</c:v>
                </c:pt>
                <c:pt idx="1">
                  <c:v>-2.7449083117027422E-2</c:v>
                </c:pt>
                <c:pt idx="2">
                  <c:v>0.36551904036509264</c:v>
                </c:pt>
                <c:pt idx="3">
                  <c:v>6.6621714694066955E-2</c:v>
                </c:pt>
                <c:pt idx="4">
                  <c:v>0.28938853266796438</c:v>
                </c:pt>
                <c:pt idx="5">
                  <c:v>0.23694459448496741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-0.14439858184837137</c:v>
                </c:pt>
                <c:pt idx="1">
                  <c:v>-0.17586606160174589</c:v>
                </c:pt>
                <c:pt idx="2">
                  <c:v>0.46808526109678777</c:v>
                </c:pt>
                <c:pt idx="3">
                  <c:v>0.19240939438882895</c:v>
                </c:pt>
                <c:pt idx="4">
                  <c:v>9.3952147335443992E-2</c:v>
                </c:pt>
                <c:pt idx="5">
                  <c:v>2.2837037047852841E-2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-3.9857618515361758E-2</c:v>
                </c:pt>
                <c:pt idx="1">
                  <c:v>-4.262479551236039E-2</c:v>
                </c:pt>
                <c:pt idx="2">
                  <c:v>-0.11208778739799727</c:v>
                </c:pt>
                <c:pt idx="3">
                  <c:v>-0.14166447322214812</c:v>
                </c:pt>
                <c:pt idx="4">
                  <c:v>0.15805486349675577</c:v>
                </c:pt>
                <c:pt idx="5">
                  <c:v>0.12175413746337173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c:v>
                </c:pt>
                <c:pt idx="1">
                  <c:v>-3.8433111603843315E-2</c:v>
                </c:pt>
                <c:pt idx="2">
                  <c:v>-0.26838500360490269</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-0.3621285428771201</c:v>
                </c:pt>
                <c:pt idx="1">
                  <c:v>-0.61058375266478437</c:v>
                </c:pt>
                <c:pt idx="2">
                  <c:v>-0.34964619544545888</c:v>
                </c:pt>
                <c:pt idx="3">
                  <c:v>0.89252517422097755</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0.40669377089500997</c:v>
                </c:pt>
                <c:pt idx="1">
                  <c:v>0.41440965067899155</c:v>
                </c:pt>
                <c:pt idx="2">
                  <c:v>0.5042456795300263</c:v>
                </c:pt>
                <c:pt idx="3">
                  <c:v>0.46677809563849454</c:v>
                </c:pt>
                <c:pt idx="4">
                  <c:v>0.34317633475716941</c:v>
                </c:pt>
                <c:pt idx="5">
                  <c:v>0.50537561668716124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7.3512165129785839E-2</c:v>
                </c:pt>
                <c:pt idx="1">
                  <c:v>5.2857548659630486E-2</c:v>
                </c:pt>
                <c:pt idx="2">
                  <c:v>3.3278218723231098E-2</c:v>
                </c:pt>
                <c:pt idx="3">
                  <c:v>2.9015417856084771E-2</c:v>
                </c:pt>
                <c:pt idx="4">
                  <c:v>2.8652738413728607E-2</c:v>
                </c:pt>
                <c:pt idx="5">
                  <c:v>1.3178900069737529E-2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0.23992119300241341</c:v>
                </c:pt>
                <c:pt idx="1">
                  <c:v>0.25389404735441018</c:v>
                </c:pt>
                <c:pt idx="2">
                  <c:v>0.27631023486053535</c:v>
                </c:pt>
                <c:pt idx="3">
                  <c:v>0.32334096266969709</c:v>
                </c:pt>
                <c:pt idx="4">
                  <c:v>0.39577697875328144</c:v>
                </c:pt>
                <c:pt idx="5">
                  <c:v>0.35904463094412298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0.5105674891379387</c:v>
                </c:pt>
                <c:pt idx="2">
                  <c:v>0.2969970125922391</c:v>
                </c:pt>
                <c:pt idx="3">
                  <c:v>0.27301542867166467</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1</c:v>
                </c:pt>
                <c:pt idx="1">
                  <c:v>0.48943251086206113</c:v>
                </c:pt>
                <c:pt idx="2">
                  <c:v>0.7030029874077609</c:v>
                </c:pt>
                <c:pt idx="3">
                  <c:v>0.72698457132833527</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2.4531375244817801</c:v>
                </c:pt>
                <c:pt idx="1">
                  <c:v>2.4774369361647772</c:v>
                </c:pt>
                <c:pt idx="2">
                  <c:v>3.6943639615460868</c:v>
                </c:pt>
                <c:pt idx="3">
                  <c:v>3.5600163738019677</c:v>
                </c:pt>
                <c:pt idx="4">
                  <c:v>2.4767008246066946</c:v>
                </c:pt>
                <c:pt idx="5">
                  <c:v>5.1288570070796791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1459010640.3200002</c:v>
                </c:pt>
                <c:pt idx="1">
                  <c:v>1463191779.0700002</c:v>
                </c:pt>
                <c:pt idx="2">
                  <c:v>1708783135.04</c:v>
                </c:pt>
                <c:pt idx="3">
                  <c:v>1522374310.1800001</c:v>
                </c:pt>
                <c:pt idx="4">
                  <c:v>1065323285.92</c:v>
                </c:pt>
                <c:pt idx="5">
                  <c:v>1493314664.8600001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860715355.08999979</c:v>
                </c:pt>
                <c:pt idx="1">
                  <c:v>896445539.41999984</c:v>
                </c:pt>
                <c:pt idx="2">
                  <c:v>936357590.23000014</c:v>
                </c:pt>
                <c:pt idx="3">
                  <c:v>1054560999.3199998</c:v>
                </c:pt>
                <c:pt idx="4">
                  <c:v>1228611616.8100002</c:v>
                </c:pt>
                <c:pt idx="5">
                  <c:v>1060926952.2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8625630</c:v>
                </c:pt>
                <c:pt idx="2">
                  <c:v>8970390</c:v>
                </c:pt>
                <c:pt idx="3">
                  <c:v>12261080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5274285.7</c:v>
                </c:pt>
                <c:pt idx="1">
                  <c:v>8268571.4199999999</c:v>
                </c:pt>
                <c:pt idx="2">
                  <c:v>21233247.140000001</c:v>
                </c:pt>
                <c:pt idx="3">
                  <c:v>32648762.859999999</c:v>
                </c:pt>
                <c:pt idx="4">
                  <c:v>17251428.57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1459010640.3200002</c:v>
                </c:pt>
                <c:pt idx="1">
                  <c:v>1454566149.0699999</c:v>
                </c:pt>
                <c:pt idx="2">
                  <c:v>1699812745.04</c:v>
                </c:pt>
                <c:pt idx="3">
                  <c:v>1510113230.1800003</c:v>
                </c:pt>
                <c:pt idx="4">
                  <c:v>1065323285.9199998</c:v>
                </c:pt>
                <c:pt idx="5">
                  <c:v>1493314664.8600004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-1459010640.3200002</c:v>
                </c:pt>
                <c:pt idx="1">
                  <c:v>-1454566149.0700002</c:v>
                </c:pt>
                <c:pt idx="2">
                  <c:v>-1699812745.04</c:v>
                </c:pt>
                <c:pt idx="3">
                  <c:v>-1510113230.1800001</c:v>
                </c:pt>
                <c:pt idx="4">
                  <c:v>-1065323285.92</c:v>
                </c:pt>
                <c:pt idx="5">
                  <c:v>-1493314664.8600001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0.66992341094832364</c:v>
                </c:pt>
                <c:pt idx="1">
                  <c:v>0.67301243183871828</c:v>
                </c:pt>
                <c:pt idx="2">
                  <c:v>0.68113102672244197</c:v>
                </c:pt>
                <c:pt idx="3">
                  <c:v>0.67353182497202968</c:v>
                </c:pt>
                <c:pt idx="4">
                  <c:v>0.65613467758105604</c:v>
                </c:pt>
                <c:pt idx="5">
                  <c:v>0.64952569364095258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8.4346465389267579E-3</c:v>
                </c:pt>
                <c:pt idx="1">
                  <c:v>7.4354499817173856E-3</c:v>
                </c:pt>
                <c:pt idx="2">
                  <c:v>6.4691471928188379E-3</c:v>
                </c:pt>
                <c:pt idx="3">
                  <c:v>5.3554721381547611E-3</c:v>
                </c:pt>
                <c:pt idx="4">
                  <c:v>6.3079227660776255E-3</c:v>
                </c:pt>
                <c:pt idx="5">
                  <c:v>6.2191877611172215E-3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0.1507905759493858</c:v>
                </c:pt>
                <c:pt idx="1">
                  <c:v>0.15083192514525631</c:v>
                </c:pt>
                <c:pt idx="2">
                  <c:v>0.14007126064526917</c:v>
                </c:pt>
                <c:pt idx="3">
                  <c:v>0.13012459835238729</c:v>
                </c:pt>
                <c:pt idx="4">
                  <c:v>0.1355229696278521</c:v>
                </c:pt>
                <c:pt idx="5">
                  <c:v>0.13794884605183411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7.6344974814963246E-2</c:v>
                </c:pt>
                <c:pt idx="1">
                  <c:v>6.8183698190313932E-2</c:v>
                </c:pt>
                <c:pt idx="2">
                  <c:v>7.2921293981812269E-2</c:v>
                </c:pt>
                <c:pt idx="3">
                  <c:v>7.817058033471673E-2</c:v>
                </c:pt>
                <c:pt idx="4">
                  <c:v>7.762047810571375E-2</c:v>
                </c:pt>
                <c:pt idx="5">
                  <c:v>8.2211114078395958E-2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1.7246827239443079E-3</c:v>
                </c:pt>
                <c:pt idx="1">
                  <c:v>3.1767670012533356E-3</c:v>
                </c:pt>
                <c:pt idx="2">
                  <c:v>5.815600785007717E-4</c:v>
                </c:pt>
                <c:pt idx="3">
                  <c:v>8.113071086673537E-4</c:v>
                </c:pt>
                <c:pt idx="4">
                  <c:v>3.6113190199594468E-3</c:v>
                </c:pt>
                <c:pt idx="5">
                  <c:v>2.1566587897922612E-3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1.1124819797820669E-4</c:v>
                </c:pt>
                <c:pt idx="1">
                  <c:v>9.3566891861794748E-5</c:v>
                </c:pt>
                <c:pt idx="2">
                  <c:v>1.4181272271176121E-4</c:v>
                </c:pt>
                <c:pt idx="3">
                  <c:v>1.3438480124179471E-4</c:v>
                </c:pt>
                <c:pt idx="4">
                  <c:v>1.1245946927052716E-4</c:v>
                </c:pt>
                <c:pt idx="5">
                  <c:v>8.2261456592500426E-5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1.3625245841302612E-3</c:v>
                </c:pt>
                <c:pt idx="1">
                  <c:v>1.3357898454666686E-2</c:v>
                </c:pt>
                <c:pt idx="2">
                  <c:v>6.3584024377239265E-3</c:v>
                </c:pt>
                <c:pt idx="3">
                  <c:v>7.4191028563970404E-3</c:v>
                </c:pt>
                <c:pt idx="4">
                  <c:v>9.7464632695105913E-4</c:v>
                </c:pt>
                <c:pt idx="5">
                  <c:v>3.3092432111268906E-3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0.23876865280932855</c:v>
                </c:pt>
                <c:pt idx="1">
                  <c:v>0.24307930566506947</c:v>
                </c:pt>
                <c:pt idx="2">
                  <c:v>0.22654347705883673</c:v>
                </c:pt>
                <c:pt idx="3">
                  <c:v>0.222015445591565</c:v>
                </c:pt>
                <c:pt idx="4">
                  <c:v>0.22414979531582452</c:v>
                </c:pt>
                <c:pt idx="5">
                  <c:v>0.23192731134885894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9.0115501203895804E-2</c:v>
                </c:pt>
                <c:pt idx="1">
                  <c:v>0.10076305850400182</c:v>
                </c:pt>
                <c:pt idx="2">
                  <c:v>9.5553724184180483E-2</c:v>
                </c:pt>
                <c:pt idx="3">
                  <c:v>0.10349094835593417</c:v>
                </c:pt>
                <c:pt idx="4">
                  <c:v>0.10668987568734391</c:v>
                </c:pt>
                <c:pt idx="5">
                  <c:v>0.1042425045267161</c:v>
                </c:pt>
                <c:pt idx="6">
                  <c:v>0.10648627626468155</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1.0924270107822931E-2</c:v>
                </c:pt>
                <c:pt idx="1">
                  <c:v>3.2320082177508258E-3</c:v>
                </c:pt>
                <c:pt idx="2">
                  <c:v>4.3765232539620946E-3</c:v>
                </c:pt>
                <c:pt idx="3">
                  <c:v>4.3636374839362002E-4</c:v>
                </c:pt>
                <c:pt idx="4">
                  <c:v>2.2121029098142175E-3</c:v>
                </c:pt>
                <c:pt idx="5">
                  <c:v>-7.0474498594541579E-4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4855286572.2700005</c:v>
                </c:pt>
                <c:pt idx="1">
                  <c:v>4922954425.0900002</c:v>
                </c:pt>
                <c:pt idx="2">
                  <c:v>4808845747.7200003</c:v>
                </c:pt>
                <c:pt idx="3">
                  <c:v>4003145392.2800002</c:v>
                </c:pt>
                <c:pt idx="4">
                  <c:v>3495965363.6199999</c:v>
                </c:pt>
                <c:pt idx="5">
                  <c:v>3209849474.6999998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2392238283.4399996</c:v>
                </c:pt>
                <c:pt idx="1">
                  <c:v>2391850164.2399998</c:v>
                </c:pt>
                <c:pt idx="2">
                  <c:v>2251243367.3800001</c:v>
                </c:pt>
                <c:pt idx="3">
                  <c:v>1940367956.0999999</c:v>
                </c:pt>
                <c:pt idx="4">
                  <c:v>1832156259.9899998</c:v>
                </c:pt>
                <c:pt idx="5">
                  <c:v>1731986554.46</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0.12122853783271645</c:v>
                </c:pt>
                <c:pt idx="1">
                  <c:v>-5.6773566598766201E-2</c:v>
                </c:pt>
                <c:pt idx="2">
                  <c:v>-3.6291367206978738E-2</c:v>
                </c:pt>
                <c:pt idx="3">
                  <c:v>1.8857366192333688E-2</c:v>
                </c:pt>
                <c:pt idx="4">
                  <c:v>-6.8812322520616934E-2</c:v>
                </c:pt>
                <c:pt idx="5">
                  <c:v>-1.6343237946690032E-2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3.2569933937044507E-2</c:v>
                </c:pt>
                <c:pt idx="1">
                  <c:v>3.6204788862844665E-2</c:v>
                </c:pt>
                <c:pt idx="2">
                  <c:v>3.0049577599504267E-2</c:v>
                </c:pt>
                <c:pt idx="3">
                  <c:v>2.4396360318904853E-2</c:v>
                </c:pt>
                <c:pt idx="4">
                  <c:v>4.1290004902873101E-2</c:v>
                </c:pt>
                <c:pt idx="5">
                  <c:v>1.8260413825324322E-2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7.2183505975917548</c:v>
                </c:pt>
                <c:pt idx="1">
                  <c:v>7.4298184981229616</c:v>
                </c:pt>
                <c:pt idx="2">
                  <c:v>11.190908958963952</c:v>
                </c:pt>
                <c:pt idx="3">
                  <c:v>10.075728882892923</c:v>
                </c:pt>
                <c:pt idx="4">
                  <c:v>7.3855905518810685</c:v>
                </c:pt>
                <c:pt idx="5">
                  <c:v>13.663653613653485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8.4203503665299078</c:v>
                </c:pt>
                <c:pt idx="1">
                  <c:v>8.159786922541528</c:v>
                </c:pt>
                <c:pt idx="2">
                  <c:v>7.5399496824346892</c:v>
                </c:pt>
                <c:pt idx="3">
                  <c:v>5.6360071652682828</c:v>
                </c:pt>
                <c:pt idx="4">
                  <c:v>4.3367013226230728</c:v>
                </c:pt>
                <c:pt idx="5">
                  <c:v>4.6580360871333513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4.9674242636917461</c:v>
                </c:pt>
                <c:pt idx="1">
                  <c:v>4.9992111040832015</c:v>
                </c:pt>
                <c:pt idx="2">
                  <c:v>4.131647234998451</c:v>
                </c:pt>
                <c:pt idx="3">
                  <c:v>3.9041077536819841</c:v>
                </c:pt>
                <c:pt idx="4">
                  <c:v>5.0014128988166258</c:v>
                </c:pt>
                <c:pt idx="5">
                  <c:v>3.3093065684339895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27.481444763182559</c:v>
                </c:pt>
                <c:pt idx="1">
                  <c:v>39.194426904929763</c:v>
                </c:pt>
                <c:pt idx="2">
                  <c:v>62.604470657432678</c:v>
                </c:pt>
                <c:pt idx="3">
                  <c:v>62.806332532240106</c:v>
                </c:pt>
                <c:pt idx="4">
                  <c:v>59.902356362585699</c:v>
                </c:pt>
                <c:pt idx="5">
                  <c:v>126.90306770514188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5.3761129236778364</c:v>
                </c:pt>
                <c:pt idx="1">
                  <c:v>5.4656670984758122</c:v>
                </c:pt>
                <c:pt idx="2">
                  <c:v>5.3493420086373407</c:v>
                </c:pt>
                <c:pt idx="3">
                  <c:v>4.143668381565746</c:v>
                </c:pt>
                <c:pt idx="4">
                  <c:v>4.0413767122891189</c:v>
                </c:pt>
                <c:pt idx="5">
                  <c:v>0.91607386674295177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11.48233519766263</c:v>
                </c:pt>
                <c:pt idx="1">
                  <c:v>10.913736440228121</c:v>
                </c:pt>
                <c:pt idx="2">
                  <c:v>10.132478291484844</c:v>
                </c:pt>
                <c:pt idx="3">
                  <c:v>7.3615953420546179</c:v>
                </c:pt>
                <c:pt idx="4">
                  <c:v>9.4075601266568789</c:v>
                </c:pt>
                <c:pt idx="5">
                  <c:v>8.3718461046685544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12754.240514304825</c:v>
                </c:pt>
                <c:pt idx="1">
                  <c:v>32157.964269239208</c:v>
                </c:pt>
                <c:pt idx="2">
                  <c:v>1937.3791995446768</c:v>
                </c:pt>
                <c:pt idx="3">
                  <c:v>6436.2492951979029</c:v>
                </c:pt>
                <c:pt idx="4">
                  <c:v>15.168928995691218</c:v>
                </c:pt>
                <c:pt idx="5">
                  <c:v>31.861286399645486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47.514327552213828</c:v>
                </c:pt>
                <c:pt idx="1">
                  <c:v>46.051426917189424</c:v>
                </c:pt>
                <c:pt idx="2">
                  <c:v>44.038412105308169</c:v>
                </c:pt>
                <c:pt idx="3">
                  <c:v>30.647931170157761</c:v>
                </c:pt>
                <c:pt idx="4">
                  <c:v>20.472041609000076</c:v>
                </c:pt>
                <c:pt idx="5">
                  <c:v>17.256259258634877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5.0151171679033162</c:v>
                </c:pt>
                <c:pt idx="1">
                  <c:v>5.9350896190664519</c:v>
                </c:pt>
                <c:pt idx="2">
                  <c:v>5.5837063031361165</c:v>
                </c:pt>
                <c:pt idx="3">
                  <c:v>4.8581606026086988</c:v>
                </c:pt>
                <c:pt idx="4">
                  <c:v>5.732061328201012</c:v>
                </c:pt>
                <c:pt idx="5">
                  <c:v>8.7549549906503881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10.500585304158134</c:v>
                </c:pt>
                <c:pt idx="1">
                  <c:v>10.404047696503914</c:v>
                </c:pt>
                <c:pt idx="2">
                  <c:v>9.4439935296084094</c:v>
                </c:pt>
                <c:pt idx="3">
                  <c:v>9.1599573324936863</c:v>
                </c:pt>
                <c:pt idx="4">
                  <c:v>6.6883778159274678</c:v>
                </c:pt>
                <c:pt idx="5">
                  <c:v>4.9667458091731289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4.1339413652485737</c:v>
                </c:pt>
                <c:pt idx="1">
                  <c:v>3.2837089834960809</c:v>
                </c:pt>
                <c:pt idx="2">
                  <c:v>3.4796466168055247</c:v>
                </c:pt>
                <c:pt idx="3">
                  <c:v>3.9906818206240717</c:v>
                </c:pt>
                <c:pt idx="4">
                  <c:v>3.9381155383459241</c:v>
                </c:pt>
                <c:pt idx="5">
                  <c:v>3.5149315443212976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0.36546659240601215</c:v>
                </c:pt>
                <c:pt idx="1">
                  <c:v>0.43020107434713256</c:v>
                </c:pt>
                <c:pt idx="2">
                  <c:v>0.47319522219805149</c:v>
                </c:pt>
                <c:pt idx="3">
                  <c:v>0.43115286687783055</c:v>
                </c:pt>
                <c:pt idx="4">
                  <c:v>0.33242771622522665</c:v>
                </c:pt>
                <c:pt idx="5">
                  <c:v>0.43479920676934963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9.4032985410608269E-2</c:v>
                </c:pt>
                <c:pt idx="1">
                  <c:v>0.11062405940554564</c:v>
                </c:pt>
                <c:pt idx="2">
                  <c:v>0.10504230109416912</c:v>
                </c:pt>
                <c:pt idx="3">
                  <c:v>0.11929093514919947</c:v>
                </c:pt>
                <c:pt idx="4">
                  <c:v>0.12166481975702158</c:v>
                </c:pt>
                <c:pt idx="5">
                  <c:v>0.12516548143244224</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681506399.01999927</c:v>
                </c:pt>
                <c:pt idx="1">
                  <c:v>809193377.42999971</c:v>
                </c:pt>
                <c:pt idx="2">
                  <c:v>741608006.58000028</c:v>
                </c:pt>
                <c:pt idx="3">
                  <c:v>709007265.39999998</c:v>
                </c:pt>
                <c:pt idx="4">
                  <c:v>648244956.97999978</c:v>
                </c:pt>
                <c:pt idx="5">
                  <c:v>618547285.75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31970911.600000001</c:v>
                </c:pt>
                <c:pt idx="1">
                  <c:v>-10595576.42</c:v>
                </c:pt>
                <c:pt idx="2">
                  <c:v>-4092683.54</c:v>
                </c:pt>
                <c:pt idx="3">
                  <c:v>1784517.63</c:v>
                </c:pt>
                <c:pt idx="4">
                  <c:v>-6120634.4100000001</c:v>
                </c:pt>
                <c:pt idx="5">
                  <c:v>-636435.38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0.94210368215536522</c:v>
                </c:pt>
                <c:pt idx="1">
                  <c:v>0.98942203385017113</c:v>
                </c:pt>
                <c:pt idx="2">
                  <c:v>0.98304919133355384</c:v>
                </c:pt>
                <c:pt idx="3">
                  <c:v>0.97679176852143768</c:v>
                </c:pt>
                <c:pt idx="4">
                  <c:v>0.92803013213556751</c:v>
                </c:pt>
                <c:pt idx="5">
                  <c:v>0.94956587891754918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0.86192337781881379</c:v>
                </c:pt>
                <c:pt idx="1">
                  <c:v>0.79307852556140224</c:v>
                </c:pt>
                <c:pt idx="2">
                  <c:v>0.82034165493519862</c:v>
                </c:pt>
                <c:pt idx="3">
                  <c:v>0.83973990512705898</c:v>
                </c:pt>
                <c:pt idx="4">
                  <c:v>0.84371472057212105</c:v>
                </c:pt>
                <c:pt idx="5">
                  <c:v>0.83796412245874041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8.3595119827956643E-2</c:v>
                </c:pt>
                <c:pt idx="1">
                  <c:v>1.4478507617199075</c:v>
                </c:pt>
                <c:pt idx="2">
                  <c:v>1.3672818126695914</c:v>
                </c:pt>
                <c:pt idx="3">
                  <c:v>1.032313472463166</c:v>
                </c:pt>
                <c:pt idx="4">
                  <c:v>0.46243602308537712</c:v>
                </c:pt>
                <c:pt idx="5">
                  <c:v>0.61966015878247693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7.4877034662671788E-2</c:v>
                </c:pt>
                <c:pt idx="1">
                  <c:v>1.3658776275437485</c:v>
                </c:pt>
                <c:pt idx="2">
                  <c:v>1.2766431837276178</c:v>
                </c:pt>
                <c:pt idx="3">
                  <c:v>0.96799555938048831</c:v>
                </c:pt>
                <c:pt idx="4">
                  <c:v>0.43175448662716998</c:v>
                </c:pt>
                <c:pt idx="5">
                  <c:v>0.58702712509667898</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-1.0429760359617235</c:v>
                </c:pt>
                <c:pt idx="1">
                  <c:v>0.23166042552421751</c:v>
                </c:pt>
                <c:pt idx="2">
                  <c:v>0.49400790421321278</c:v>
                </c:pt>
                <c:pt idx="3">
                  <c:v>2.1257076966301454</c:v>
                </c:pt>
                <c:pt idx="4">
                  <c:v>-0.28503367885074538</c:v>
                </c:pt>
                <c:pt idx="5">
                  <c:v>-0.34136067105461415</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48903264.689999998</c:v>
                </c:pt>
                <c:pt idx="1">
                  <c:v>1006736608.98</c:v>
                </c:pt>
                <c:pt idx="2">
                  <c:v>861246226.23000002</c:v>
                </c:pt>
                <c:pt idx="3">
                  <c:v>595413906.90999997</c:v>
                </c:pt>
                <c:pt idx="4">
                  <c:v>245433702.03999999</c:v>
                </c:pt>
                <c:pt idx="5">
                  <c:v>302406650.51999998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585001430.59362328</c:v>
                </c:pt>
                <c:pt idx="1">
                  <c:v>695331753.51863873</c:v>
                </c:pt>
                <c:pt idx="2">
                  <c:v>629896644.75126266</c:v>
                </c:pt>
                <c:pt idx="3">
                  <c:v>576776263.01757383</c:v>
                </c:pt>
                <c:pt idx="4">
                  <c:v>530740880.4410699</c:v>
                </c:pt>
                <c:pt idx="5">
                  <c:v>488020161.10600972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row>
    <row r="5" spans="1:48"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1450590568.9200001</v>
      </c>
      <c r="C7" s="190">
        <v>1366149534.7</v>
      </c>
      <c r="D7" s="190">
        <v>1229770456.8399999</v>
      </c>
      <c r="E7" s="190">
        <v>1718459801.97</v>
      </c>
      <c r="F7" s="190">
        <v>1233235059.49</v>
      </c>
      <c r="G7" s="190">
        <v>1180116103.2</v>
      </c>
      <c r="H7" s="190">
        <v>1087708689.73</v>
      </c>
      <c r="I7" s="190">
        <v>1448503295.98</v>
      </c>
      <c r="J7" s="190">
        <v>1081467047.8099999</v>
      </c>
      <c r="K7" s="190">
        <v>1017111446.58</v>
      </c>
      <c r="L7" s="190">
        <v>1133888585.4100001</v>
      </c>
      <c r="M7" s="190">
        <v>1561174572.4200001</v>
      </c>
      <c r="N7" s="190">
        <v>1455798812.75</v>
      </c>
      <c r="O7" s="190">
        <v>1181187146.55</v>
      </c>
      <c r="P7" s="190">
        <v>1118468099.4300001</v>
      </c>
      <c r="Q7" s="190">
        <v>1512044954.25</v>
      </c>
      <c r="R7" s="190">
        <v>1357884017.8599999</v>
      </c>
      <c r="S7" s="190">
        <v>1151629443.3599999</v>
      </c>
      <c r="T7" s="190">
        <v>1056293001.67</v>
      </c>
      <c r="U7" s="190">
        <v>1259449377.8699999</v>
      </c>
      <c r="V7" s="190">
        <v>848030189.01999998</v>
      </c>
      <c r="W7" s="190">
        <v>735432650.67999995</v>
      </c>
      <c r="X7" s="190">
        <v>641716383.97000003</v>
      </c>
      <c r="Y7" s="190">
        <v>811681250.98000002</v>
      </c>
      <c r="Z7" s="190">
        <v>822192273.97000003</v>
      </c>
      <c r="AA7" s="190">
        <v>710775079.17999995</v>
      </c>
      <c r="AB7" s="190">
        <v>630171250.03999996</v>
      </c>
      <c r="AC7" s="190">
        <v>620735252.75999999</v>
      </c>
      <c r="AD7" s="190">
        <v>587550083.70000005</v>
      </c>
      <c r="AE7" s="190">
        <v>489375107.98000002</v>
      </c>
      <c r="AF7" s="190">
        <v>514900983.19</v>
      </c>
      <c r="AG7" s="190">
        <v>559981600.37</v>
      </c>
      <c r="AH7" s="190">
        <v>610712586.04999995</v>
      </c>
      <c r="AI7" s="190">
        <v>541400178.25</v>
      </c>
      <c r="AJ7" s="190">
        <v>217570822.33000001</v>
      </c>
      <c r="AK7" s="190">
        <v>320234010.56</v>
      </c>
      <c r="AL7" s="190">
        <v>280888867.18000001</v>
      </c>
      <c r="AM7" s="190">
        <v>331047304.50999999</v>
      </c>
      <c r="AN7" s="190">
        <v>304774678.95999998</v>
      </c>
      <c r="AO7" s="190">
        <v>442511559.97000003</v>
      </c>
      <c r="AP7" s="190">
        <v>478536479.87</v>
      </c>
      <c r="AQ7" s="190">
        <v>396938348.61000001</v>
      </c>
      <c r="AR7" s="190">
        <v>251373788.28</v>
      </c>
      <c r="AS7" s="190">
        <v>248384198.31999999</v>
      </c>
      <c r="AT7" s="190">
        <v>48728306.5</v>
      </c>
      <c r="AU7" s="190">
        <v>7425822</v>
      </c>
      <c r="AV7" s="190">
        <v>0</v>
      </c>
    </row>
    <row r="8" spans="1:48" x14ac:dyDescent="0.25">
      <c r="A8" s="190" t="s">
        <v>112</v>
      </c>
      <c r="B8" s="190">
        <v>223988506.25999999</v>
      </c>
      <c r="C8" s="190">
        <v>243053589.69999999</v>
      </c>
      <c r="D8" s="190">
        <v>55765994.590000004</v>
      </c>
      <c r="E8" s="190">
        <v>128531167</v>
      </c>
      <c r="F8" s="190">
        <v>210730756.81999999</v>
      </c>
      <c r="G8" s="190">
        <v>178424623.53</v>
      </c>
      <c r="H8" s="190">
        <v>89613240.159999996</v>
      </c>
      <c r="I8" s="190">
        <v>85254228</v>
      </c>
      <c r="J8" s="190">
        <v>272879903.57999998</v>
      </c>
      <c r="K8" s="190">
        <v>215521025.34999999</v>
      </c>
      <c r="L8" s="190">
        <v>211022932.49000001</v>
      </c>
      <c r="M8" s="190">
        <v>88840437.030000001</v>
      </c>
      <c r="N8" s="190">
        <v>266057605.13</v>
      </c>
      <c r="O8" s="190">
        <v>192963805.18000001</v>
      </c>
      <c r="P8" s="190">
        <v>145973967.09</v>
      </c>
      <c r="Q8" s="190">
        <v>78415339.319999993</v>
      </c>
      <c r="R8" s="190">
        <v>144003269.81</v>
      </c>
      <c r="S8" s="190">
        <v>125543460.39</v>
      </c>
      <c r="T8" s="190">
        <v>143563921.84999999</v>
      </c>
      <c r="U8" s="190">
        <v>120823789.73</v>
      </c>
      <c r="V8" s="190">
        <v>125545597.03</v>
      </c>
      <c r="W8" s="190">
        <v>110082135.98999999</v>
      </c>
      <c r="X8" s="190">
        <v>129706993.56</v>
      </c>
      <c r="Y8" s="190">
        <v>105678504.59999999</v>
      </c>
      <c r="Z8" s="190">
        <v>109687456.42</v>
      </c>
      <c r="AA8" s="190">
        <v>93047538.930000007</v>
      </c>
      <c r="AB8" s="190">
        <v>63431791.390000001</v>
      </c>
      <c r="AC8" s="190">
        <v>43879744.439999998</v>
      </c>
      <c r="AD8" s="190">
        <v>45955897.880000003</v>
      </c>
      <c r="AE8" s="190">
        <v>59950334.280000001</v>
      </c>
      <c r="AF8" s="190">
        <v>40699660.630000003</v>
      </c>
      <c r="AG8" s="190">
        <v>31614854.300000001</v>
      </c>
      <c r="AH8" s="190">
        <v>89897946.450000003</v>
      </c>
      <c r="AI8" s="190">
        <v>44038865.68</v>
      </c>
      <c r="AJ8" s="190">
        <v>27993797.829999998</v>
      </c>
      <c r="AK8" s="190">
        <v>33092512.640000001</v>
      </c>
      <c r="AL8" s="190">
        <v>15337922.640000001</v>
      </c>
      <c r="AM8" s="190">
        <v>35838359.979999997</v>
      </c>
      <c r="AN8" s="190">
        <v>37011909.82</v>
      </c>
      <c r="AO8" s="190">
        <v>47277574.530000001</v>
      </c>
      <c r="AP8" s="190">
        <v>65725741.32</v>
      </c>
      <c r="AQ8" s="190">
        <v>81709433.5</v>
      </c>
      <c r="AR8" s="190">
        <v>54442668.600000001</v>
      </c>
      <c r="AS8" s="190">
        <v>62534468.509999998</v>
      </c>
      <c r="AT8" s="190">
        <v>38486357.039999999</v>
      </c>
      <c r="AU8" s="190">
        <v>22370642.879999999</v>
      </c>
      <c r="AV8" s="190">
        <v>0</v>
      </c>
    </row>
    <row r="9" spans="1:48" x14ac:dyDescent="0.25">
      <c r="A9" s="190" t="s">
        <v>113</v>
      </c>
      <c r="B9" s="190">
        <v>103261227.73999999</v>
      </c>
      <c r="C9" s="190">
        <v>134929373.40000001</v>
      </c>
      <c r="D9" s="190">
        <v>83501547.109999999</v>
      </c>
      <c r="E9" s="190">
        <v>7337681.3399999999</v>
      </c>
      <c r="F9" s="190">
        <v>35237096.899999999</v>
      </c>
      <c r="G9" s="190">
        <v>32900842.07</v>
      </c>
      <c r="H9" s="190">
        <v>29439700.649999999</v>
      </c>
      <c r="I9" s="190">
        <v>7680710.7599999998</v>
      </c>
      <c r="J9" s="190">
        <v>44315713.789999999</v>
      </c>
      <c r="K9" s="190">
        <v>45463417.530000001</v>
      </c>
      <c r="L9" s="190">
        <v>21734389.370000001</v>
      </c>
      <c r="M9" s="190">
        <v>15546085.960000001</v>
      </c>
      <c r="N9" s="190">
        <v>19179768.120000001</v>
      </c>
      <c r="O9" s="190">
        <v>24910297.32</v>
      </c>
      <c r="P9" s="190">
        <v>27094474.780000001</v>
      </c>
      <c r="Q9" s="190">
        <v>16978385.640000001</v>
      </c>
      <c r="R9" s="190">
        <v>37098820.520000003</v>
      </c>
      <c r="S9" s="190">
        <v>43549654.899999999</v>
      </c>
      <c r="T9" s="190">
        <v>34333504.990000002</v>
      </c>
      <c r="U9" s="190">
        <v>19695439.640000001</v>
      </c>
      <c r="V9" s="190">
        <v>29594488.350000001</v>
      </c>
      <c r="W9" s="190">
        <v>36923144.990000002</v>
      </c>
      <c r="X9" s="190">
        <v>16542824.76</v>
      </c>
      <c r="Y9" s="190">
        <v>18729101.390000001</v>
      </c>
      <c r="Z9" s="190">
        <v>38403208.210000001</v>
      </c>
      <c r="AA9" s="190">
        <v>41320361.869999997</v>
      </c>
      <c r="AB9" s="190">
        <v>34493362.43</v>
      </c>
      <c r="AC9" s="190">
        <v>29792361.41</v>
      </c>
      <c r="AD9" s="190">
        <v>69865271.870000005</v>
      </c>
      <c r="AE9" s="190">
        <v>65578556.560000002</v>
      </c>
      <c r="AF9" s="190">
        <v>32435604.510000002</v>
      </c>
      <c r="AG9" s="190">
        <v>40203317.520000003</v>
      </c>
      <c r="AH9" s="190">
        <v>159829668.53999999</v>
      </c>
      <c r="AI9" s="190">
        <v>156875190.71000001</v>
      </c>
      <c r="AJ9" s="190">
        <v>169499988.21000001</v>
      </c>
      <c r="AK9" s="190">
        <v>60683279.280000001</v>
      </c>
      <c r="AL9" s="190">
        <v>24821102.530000001</v>
      </c>
      <c r="AM9" s="190">
        <v>35920697.340000004</v>
      </c>
      <c r="AN9" s="190">
        <v>39045066.579999998</v>
      </c>
      <c r="AO9" s="190">
        <v>29137157.43</v>
      </c>
      <c r="AP9" s="190">
        <v>25656960.210000001</v>
      </c>
      <c r="AQ9" s="190">
        <v>87571303.319999993</v>
      </c>
      <c r="AR9" s="190">
        <v>58874758.909999996</v>
      </c>
      <c r="AS9" s="190">
        <v>33285225.949999999</v>
      </c>
      <c r="AT9" s="190">
        <v>21888583.030000001</v>
      </c>
      <c r="AU9" s="190">
        <v>10351983.380000001</v>
      </c>
      <c r="AV9" s="190">
        <v>0</v>
      </c>
    </row>
    <row r="10" spans="1:48" x14ac:dyDescent="0.25">
      <c r="A10" s="190" t="s">
        <v>114</v>
      </c>
      <c r="B10" s="190">
        <v>0</v>
      </c>
      <c r="C10" s="190">
        <v>3375723.74</v>
      </c>
      <c r="D10" s="190">
        <v>1647134.25</v>
      </c>
      <c r="E10" s="190">
        <v>2662794.52</v>
      </c>
      <c r="F10" s="190">
        <v>6148273.6100000003</v>
      </c>
      <c r="G10" s="190">
        <v>4178786.9</v>
      </c>
      <c r="H10" s="190">
        <v>8874743.6199999992</v>
      </c>
      <c r="I10" s="190">
        <v>8346576.5199999996</v>
      </c>
      <c r="J10" s="190">
        <v>3713179.79</v>
      </c>
      <c r="K10" s="190">
        <v>2263418.6</v>
      </c>
      <c r="L10" s="190">
        <v>8029992.0899999999</v>
      </c>
      <c r="M10" s="190">
        <v>9197172.5199999996</v>
      </c>
      <c r="N10" s="190">
        <v>11342859.810000001</v>
      </c>
      <c r="O10" s="190">
        <v>13015107.800000001</v>
      </c>
      <c r="P10" s="190">
        <v>12612694.65</v>
      </c>
      <c r="Q10" s="190">
        <v>5483055.1100000003</v>
      </c>
      <c r="R10" s="190">
        <v>17413948.670000002</v>
      </c>
      <c r="S10" s="190">
        <v>11263390.65</v>
      </c>
      <c r="T10" s="190">
        <v>4237146.24</v>
      </c>
      <c r="U10" s="190">
        <v>3480964.43</v>
      </c>
      <c r="V10" s="190">
        <v>2176721.08</v>
      </c>
      <c r="W10" s="190">
        <v>4882593.42</v>
      </c>
      <c r="X10" s="190">
        <v>5534511.5199999996</v>
      </c>
      <c r="Y10" s="190">
        <v>4090150.63</v>
      </c>
      <c r="Z10" s="190">
        <v>5286471.45</v>
      </c>
      <c r="AA10" s="190">
        <v>3323168.05</v>
      </c>
      <c r="AB10" s="190">
        <v>4269617.4400000004</v>
      </c>
      <c r="AC10" s="190">
        <v>4473562.5199999996</v>
      </c>
      <c r="AD10" s="190">
        <v>7478334.6399999997</v>
      </c>
      <c r="AE10" s="190">
        <v>9538429.2799999993</v>
      </c>
      <c r="AF10" s="190">
        <v>2137312.54</v>
      </c>
      <c r="AG10" s="190">
        <v>6432676.96</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50326845.18</v>
      </c>
      <c r="C12" s="190">
        <v>61362656.280000001</v>
      </c>
      <c r="D12" s="190">
        <v>26966285.280000001</v>
      </c>
      <c r="E12" s="190">
        <v>27185374.219999999</v>
      </c>
      <c r="F12" s="190">
        <v>27285957.629999999</v>
      </c>
      <c r="G12" s="190">
        <v>25805281.309999999</v>
      </c>
      <c r="H12" s="190">
        <v>17932617.260000002</v>
      </c>
      <c r="I12" s="190">
        <v>21364728.280000001</v>
      </c>
      <c r="J12" s="190">
        <v>32290659.059999999</v>
      </c>
      <c r="K12" s="190">
        <v>27357512.350000001</v>
      </c>
      <c r="L12" s="190">
        <v>22171988.66</v>
      </c>
      <c r="M12" s="190">
        <v>20690714.41</v>
      </c>
      <c r="N12" s="190">
        <v>27424241.050000001</v>
      </c>
      <c r="O12" s="190">
        <v>24080614.390000001</v>
      </c>
      <c r="P12" s="190">
        <v>21001932.010000002</v>
      </c>
      <c r="Q12" s="190">
        <v>19174406.440000001</v>
      </c>
      <c r="R12" s="190">
        <v>18752610.289999999</v>
      </c>
      <c r="S12" s="190">
        <v>19416881.710000001</v>
      </c>
      <c r="T12" s="190">
        <v>17423392.920000002</v>
      </c>
      <c r="U12" s="190">
        <v>15281705.439999999</v>
      </c>
      <c r="V12" s="190">
        <v>25376470.949999999</v>
      </c>
      <c r="W12" s="190">
        <v>19546297.100000001</v>
      </c>
      <c r="X12" s="190">
        <v>16852107.079999998</v>
      </c>
      <c r="Y12" s="190">
        <v>20416839.899999999</v>
      </c>
      <c r="Z12" s="190">
        <v>15191858.74</v>
      </c>
      <c r="AA12" s="190">
        <v>13348141.640000001</v>
      </c>
      <c r="AB12" s="190">
        <v>11311884.220000001</v>
      </c>
      <c r="AC12" s="190">
        <v>12394353.24</v>
      </c>
      <c r="AD12" s="190">
        <v>8451213.5199999996</v>
      </c>
      <c r="AE12" s="190">
        <v>6365185.8399999999</v>
      </c>
      <c r="AF12" s="190">
        <v>6147089.9000000004</v>
      </c>
      <c r="AG12" s="190">
        <v>7430050.0199999996</v>
      </c>
      <c r="AH12" s="190">
        <v>6661184.2800000003</v>
      </c>
      <c r="AI12" s="190">
        <v>5968850.1500000004</v>
      </c>
      <c r="AJ12" s="190">
        <v>6102702.0099999998</v>
      </c>
      <c r="AK12" s="190">
        <v>7722995.04</v>
      </c>
      <c r="AL12" s="190">
        <v>18382874.77</v>
      </c>
      <c r="AM12" s="190">
        <v>8388205.1900000004</v>
      </c>
      <c r="AN12" s="190">
        <v>6555898.2300000004</v>
      </c>
      <c r="AO12" s="190">
        <v>4990606.16</v>
      </c>
      <c r="AP12" s="190">
        <v>9855290.3000000007</v>
      </c>
      <c r="AQ12" s="190">
        <v>7008051.8099999996</v>
      </c>
      <c r="AR12" s="190">
        <v>37270092.049999997</v>
      </c>
      <c r="AS12" s="190">
        <v>11109636.630000001</v>
      </c>
      <c r="AT12" s="190">
        <v>13759257.050000001</v>
      </c>
      <c r="AU12" s="190">
        <v>1182652.1200000001</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581795725.41999996</v>
      </c>
      <c r="C14" s="190">
        <v>533757182.44999999</v>
      </c>
      <c r="D14" s="190">
        <v>419101670.73000002</v>
      </c>
      <c r="E14" s="190">
        <v>516303553.88</v>
      </c>
      <c r="F14" s="190">
        <v>392585682.81999999</v>
      </c>
      <c r="G14" s="190">
        <v>384691581.38999999</v>
      </c>
      <c r="H14" s="190">
        <v>356431384.07999998</v>
      </c>
      <c r="I14" s="190">
        <v>408461386.67000002</v>
      </c>
      <c r="J14" s="190">
        <v>344767671.5</v>
      </c>
      <c r="K14" s="190">
        <v>419517534.35000002</v>
      </c>
      <c r="L14" s="190">
        <v>391139978.88</v>
      </c>
      <c r="M14" s="190">
        <v>537892295.79999995</v>
      </c>
      <c r="N14" s="190">
        <v>403440739.55000001</v>
      </c>
      <c r="O14" s="190">
        <v>407980802.44</v>
      </c>
      <c r="P14" s="190">
        <v>368726741.88999999</v>
      </c>
      <c r="Q14" s="190">
        <v>480500131.64999998</v>
      </c>
      <c r="R14" s="190">
        <v>383485828.52999997</v>
      </c>
      <c r="S14" s="190">
        <v>398344395.88999999</v>
      </c>
      <c r="T14" s="190">
        <v>375008856.27999997</v>
      </c>
      <c r="U14" s="190">
        <v>393553152</v>
      </c>
      <c r="V14" s="190">
        <v>402882337.25</v>
      </c>
      <c r="W14" s="190">
        <v>380129992.48000002</v>
      </c>
      <c r="X14" s="190">
        <v>575196572.88</v>
      </c>
      <c r="Y14" s="190">
        <v>651831980.19000006</v>
      </c>
      <c r="Z14" s="190">
        <v>479307378.63</v>
      </c>
      <c r="AA14" s="190">
        <v>504164789.64999998</v>
      </c>
      <c r="AB14" s="190">
        <v>460168520.30000001</v>
      </c>
      <c r="AC14" s="190">
        <v>640704259.03999996</v>
      </c>
      <c r="AD14" s="190">
        <v>252039182.59</v>
      </c>
      <c r="AE14" s="190">
        <v>236207703.97999999</v>
      </c>
      <c r="AF14" s="190">
        <v>238395222.00999999</v>
      </c>
      <c r="AG14" s="190">
        <v>366002422.63999999</v>
      </c>
      <c r="AH14" s="190">
        <v>249864748.75999999</v>
      </c>
      <c r="AI14" s="190">
        <v>220039416.77000001</v>
      </c>
      <c r="AJ14" s="190">
        <v>135599146.93000001</v>
      </c>
      <c r="AK14" s="190">
        <v>279861354.98000002</v>
      </c>
      <c r="AL14" s="190">
        <v>211317753.44</v>
      </c>
      <c r="AM14" s="190">
        <v>297098156.70999998</v>
      </c>
      <c r="AN14" s="190">
        <v>226168410.34999999</v>
      </c>
      <c r="AO14" s="190">
        <v>306740281.38</v>
      </c>
      <c r="AP14" s="190">
        <v>185745440.65000001</v>
      </c>
      <c r="AQ14" s="190">
        <v>154444737.06999999</v>
      </c>
      <c r="AR14" s="190">
        <v>124348407.19</v>
      </c>
      <c r="AS14" s="190">
        <v>153566854.19999999</v>
      </c>
      <c r="AT14" s="190">
        <v>200445779.18000001</v>
      </c>
      <c r="AU14" s="190">
        <v>110687277.47</v>
      </c>
      <c r="AV14" s="190">
        <v>0</v>
      </c>
    </row>
    <row r="15" spans="1:48" x14ac:dyDescent="0.25">
      <c r="A15" s="190" t="s">
        <v>119</v>
      </c>
      <c r="B15" s="190">
        <v>120000000</v>
      </c>
      <c r="C15" s="190">
        <v>120000000</v>
      </c>
      <c r="D15" s="190">
        <v>149323717.83000001</v>
      </c>
      <c r="E15" s="190">
        <v>149323717.83000001</v>
      </c>
      <c r="F15" s="190">
        <v>0</v>
      </c>
      <c r="G15" s="190">
        <v>0</v>
      </c>
      <c r="H15" s="190">
        <v>0</v>
      </c>
      <c r="I15" s="190">
        <v>0</v>
      </c>
      <c r="J15" s="190">
        <v>0</v>
      </c>
      <c r="K15" s="190">
        <v>0</v>
      </c>
      <c r="L15" s="190">
        <v>89868325.769999996</v>
      </c>
      <c r="M15" s="190">
        <v>89868325.769999996</v>
      </c>
      <c r="N15" s="190">
        <v>89868325.790000007</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50275000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211373728.41999999</v>
      </c>
      <c r="C19" s="190">
        <v>406768452.69</v>
      </c>
      <c r="D19" s="190">
        <v>447641202.5</v>
      </c>
      <c r="E19" s="190">
        <v>368656744.17000002</v>
      </c>
      <c r="F19" s="190">
        <v>921818169.79999995</v>
      </c>
      <c r="G19" s="190">
        <v>619408386.83000004</v>
      </c>
      <c r="H19" s="190">
        <v>857883242.55999994</v>
      </c>
      <c r="I19" s="190">
        <v>1073131392.95</v>
      </c>
      <c r="J19" s="190">
        <v>553904405.34000003</v>
      </c>
      <c r="K19" s="190">
        <v>346462954.60000002</v>
      </c>
      <c r="L19" s="190">
        <v>839479171.36000001</v>
      </c>
      <c r="M19" s="190">
        <v>906176055.29999995</v>
      </c>
      <c r="N19" s="190">
        <v>898091127.33000004</v>
      </c>
      <c r="O19" s="190">
        <v>729526088.32000005</v>
      </c>
      <c r="P19" s="190">
        <v>759950279.17999995</v>
      </c>
      <c r="Q19" s="190">
        <v>185289941.05000001</v>
      </c>
      <c r="R19" s="190">
        <v>813596844.88999999</v>
      </c>
      <c r="S19" s="190">
        <v>1024980144.66</v>
      </c>
      <c r="T19" s="190">
        <v>411886058.13</v>
      </c>
      <c r="U19" s="190">
        <v>290140069.66000003</v>
      </c>
      <c r="V19" s="190">
        <v>544698091.42999995</v>
      </c>
      <c r="W19" s="190">
        <v>578144728.13999999</v>
      </c>
      <c r="X19" s="190">
        <v>139707692.88</v>
      </c>
      <c r="Y19" s="190">
        <v>58513299.109999999</v>
      </c>
      <c r="Z19" s="190">
        <v>0</v>
      </c>
      <c r="AA19" s="190">
        <v>0</v>
      </c>
      <c r="AB19" s="190">
        <v>0</v>
      </c>
      <c r="AC19" s="190">
        <v>49112.5</v>
      </c>
      <c r="AD19" s="190">
        <v>250000</v>
      </c>
      <c r="AE19" s="190">
        <v>0</v>
      </c>
      <c r="AF19" s="190">
        <v>0</v>
      </c>
      <c r="AG19" s="190">
        <v>176145.72</v>
      </c>
      <c r="AH19" s="190">
        <v>0</v>
      </c>
      <c r="AI19" s="190">
        <v>0</v>
      </c>
      <c r="AJ19" s="190">
        <v>0</v>
      </c>
      <c r="AK19" s="190">
        <v>57566</v>
      </c>
      <c r="AL19" s="190">
        <v>500000</v>
      </c>
      <c r="AM19" s="190">
        <v>6500000</v>
      </c>
      <c r="AN19" s="190">
        <v>0</v>
      </c>
      <c r="AO19" s="190">
        <v>812560</v>
      </c>
      <c r="AP19" s="190">
        <v>0</v>
      </c>
      <c r="AQ19" s="190">
        <v>0</v>
      </c>
      <c r="AR19" s="190">
        <v>0</v>
      </c>
      <c r="AS19" s="190">
        <v>0</v>
      </c>
      <c r="AT19" s="190">
        <v>0</v>
      </c>
      <c r="AU19" s="190">
        <v>0</v>
      </c>
      <c r="AV19" s="190">
        <v>0</v>
      </c>
    </row>
    <row r="20" spans="1:48" x14ac:dyDescent="0.25">
      <c r="A20" s="190" t="s">
        <v>124</v>
      </c>
      <c r="B20" s="190">
        <v>3363160769.3499999</v>
      </c>
      <c r="C20" s="190">
        <v>3296518172.4200001</v>
      </c>
      <c r="D20" s="190">
        <v>3187607030.6700001</v>
      </c>
      <c r="E20" s="190">
        <v>3591420676.6399999</v>
      </c>
      <c r="F20" s="190">
        <v>3626330199.3299999</v>
      </c>
      <c r="G20" s="190">
        <v>3418090450.3499999</v>
      </c>
      <c r="H20" s="190">
        <v>3185245572.0700002</v>
      </c>
      <c r="I20" s="190">
        <v>3807074778.9899998</v>
      </c>
      <c r="J20" s="190">
        <v>3133791428.5300002</v>
      </c>
      <c r="K20" s="190">
        <v>2845514126.9400001</v>
      </c>
      <c r="L20" s="190">
        <v>3641357927.1599998</v>
      </c>
      <c r="M20" s="190">
        <v>4377489013.96</v>
      </c>
      <c r="N20" s="190">
        <v>3828709951.4299998</v>
      </c>
      <c r="O20" s="190">
        <v>3286775878.25</v>
      </c>
      <c r="P20" s="190">
        <v>3139833733.0300002</v>
      </c>
      <c r="Q20" s="190">
        <v>3531395092.9000001</v>
      </c>
      <c r="R20" s="190">
        <v>3323661176.04</v>
      </c>
      <c r="S20" s="190">
        <v>3190959506.1399999</v>
      </c>
      <c r="T20" s="190">
        <v>3040623854.3699999</v>
      </c>
      <c r="U20" s="190">
        <v>3214541820.2600002</v>
      </c>
      <c r="V20" s="190">
        <v>2836619793.54</v>
      </c>
      <c r="W20" s="190">
        <v>2890219039.9000001</v>
      </c>
      <c r="X20" s="190">
        <v>2994520824.9699998</v>
      </c>
      <c r="Y20" s="190">
        <v>3160165641.0300002</v>
      </c>
      <c r="Z20" s="190">
        <v>2833596912.1399999</v>
      </c>
      <c r="AA20" s="190">
        <v>2652038912.5300002</v>
      </c>
      <c r="AB20" s="190">
        <v>2761700119.6399999</v>
      </c>
      <c r="AC20" s="190">
        <v>2880734374.4899998</v>
      </c>
      <c r="AD20" s="190">
        <v>2999981862.1799998</v>
      </c>
      <c r="AE20" s="190">
        <v>2888479271.6500001</v>
      </c>
      <c r="AF20" s="190">
        <v>3053723619.9299998</v>
      </c>
      <c r="AG20" s="190">
        <v>3298607262.9499998</v>
      </c>
      <c r="AH20" s="190">
        <v>3464954999.96</v>
      </c>
      <c r="AI20" s="190">
        <v>3288221971.3400002</v>
      </c>
      <c r="AJ20" s="190">
        <v>2944073555.5900002</v>
      </c>
      <c r="AK20" s="190">
        <v>3270437112.1199999</v>
      </c>
      <c r="AL20" s="190">
        <v>2935101604.6300001</v>
      </c>
      <c r="AM20" s="190">
        <v>2995106192.8299999</v>
      </c>
      <c r="AN20" s="190">
        <v>2916394883.6399999</v>
      </c>
      <c r="AO20" s="190">
        <v>3208282736.7399998</v>
      </c>
      <c r="AP20" s="190">
        <v>2813733109.8600001</v>
      </c>
      <c r="AQ20" s="190">
        <v>2554759821.3800001</v>
      </c>
      <c r="AR20" s="190">
        <v>920935137.73000002</v>
      </c>
      <c r="AS20" s="190">
        <v>959180731.98000002</v>
      </c>
      <c r="AT20" s="190">
        <v>509983247.43000001</v>
      </c>
      <c r="AU20" s="190">
        <v>216507072.63</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462387197.86000001</v>
      </c>
      <c r="C23" s="190">
        <v>409800888.24000001</v>
      </c>
      <c r="D23" s="190">
        <v>412965740.73000002</v>
      </c>
      <c r="E23" s="190">
        <v>411227879.31</v>
      </c>
      <c r="F23" s="190">
        <v>451587782.93000001</v>
      </c>
      <c r="G23" s="190">
        <v>447169472.55000001</v>
      </c>
      <c r="H23" s="190">
        <v>447169472.55000001</v>
      </c>
      <c r="I23" s="190">
        <v>447169472.55000001</v>
      </c>
      <c r="J23" s="190">
        <v>455643959.68000001</v>
      </c>
      <c r="K23" s="190">
        <v>473334914.18000001</v>
      </c>
      <c r="L23" s="190">
        <v>459676670.48000002</v>
      </c>
      <c r="M23" s="190">
        <v>193302865.31</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50000000</v>
      </c>
      <c r="AA24" s="190">
        <v>50000000</v>
      </c>
      <c r="AB24" s="190">
        <v>0</v>
      </c>
      <c r="AC24" s="190">
        <v>0</v>
      </c>
      <c r="AD24" s="190">
        <v>0</v>
      </c>
      <c r="AE24" s="190">
        <v>0</v>
      </c>
      <c r="AF24" s="190">
        <v>100000000</v>
      </c>
      <c r="AG24" s="190">
        <v>0</v>
      </c>
      <c r="AH24" s="190">
        <v>40000000</v>
      </c>
      <c r="AI24" s="190">
        <v>0</v>
      </c>
      <c r="AJ24" s="190">
        <v>0</v>
      </c>
      <c r="AK24" s="190">
        <v>0</v>
      </c>
      <c r="AL24" s="190">
        <v>0</v>
      </c>
      <c r="AM24" s="190">
        <v>0</v>
      </c>
      <c r="AN24" s="190">
        <v>10408000</v>
      </c>
      <c r="AO24" s="190">
        <v>10258630.140000001</v>
      </c>
      <c r="AP24" s="190">
        <v>0</v>
      </c>
      <c r="AQ24" s="190">
        <v>0</v>
      </c>
      <c r="AR24" s="190">
        <v>0</v>
      </c>
      <c r="AS24" s="190">
        <v>0</v>
      </c>
      <c r="AT24" s="190">
        <v>0</v>
      </c>
      <c r="AU24" s="190">
        <v>0</v>
      </c>
      <c r="AV24" s="190">
        <v>0</v>
      </c>
    </row>
    <row r="25" spans="1:48"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244953155.55000001</v>
      </c>
      <c r="C26" s="190">
        <v>242989984.19</v>
      </c>
      <c r="D26" s="190">
        <v>264683445.19999999</v>
      </c>
      <c r="E26" s="190">
        <v>263724302.63999999</v>
      </c>
      <c r="F26" s="190">
        <v>246102586.19999999</v>
      </c>
      <c r="G26" s="190">
        <v>228090662.22999999</v>
      </c>
      <c r="H26" s="190">
        <v>198388057.11000001</v>
      </c>
      <c r="I26" s="190">
        <v>186628691.03999999</v>
      </c>
      <c r="J26" s="190">
        <v>167836224.56</v>
      </c>
      <c r="K26" s="190">
        <v>169970007.18000001</v>
      </c>
      <c r="L26" s="190">
        <v>115326523.59</v>
      </c>
      <c r="M26" s="190">
        <v>112772922.45999999</v>
      </c>
      <c r="N26" s="190">
        <v>179190503.27000001</v>
      </c>
      <c r="O26" s="190">
        <v>93358175.609999999</v>
      </c>
      <c r="P26" s="190">
        <v>93448970.349999994</v>
      </c>
      <c r="Q26" s="190">
        <v>94632389.900000006</v>
      </c>
      <c r="R26" s="190">
        <v>87564084.150000006</v>
      </c>
      <c r="S26" s="190">
        <v>82702800.319999993</v>
      </c>
      <c r="T26" s="190">
        <v>85000072.510000005</v>
      </c>
      <c r="U26" s="190">
        <v>88946778.510000005</v>
      </c>
      <c r="V26" s="190">
        <v>93464896.390000001</v>
      </c>
      <c r="W26" s="190">
        <v>94255221.620000005</v>
      </c>
      <c r="X26" s="190">
        <v>38367823.380000003</v>
      </c>
      <c r="Y26" s="190">
        <v>38941816.920000002</v>
      </c>
      <c r="Z26" s="190">
        <v>38924400.689999998</v>
      </c>
      <c r="AA26" s="190">
        <v>40024581.68</v>
      </c>
      <c r="AB26" s="190">
        <v>39593170.829999998</v>
      </c>
      <c r="AC26" s="190">
        <v>39578252.299999997</v>
      </c>
      <c r="AD26" s="190">
        <v>31701416.859999999</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178450747.69999999</v>
      </c>
      <c r="C27" s="190">
        <v>180914542.13</v>
      </c>
      <c r="D27" s="190">
        <v>218725904.99000001</v>
      </c>
      <c r="E27" s="190">
        <v>222836406.94999999</v>
      </c>
      <c r="F27" s="190">
        <v>256187183.38</v>
      </c>
      <c r="G27" s="190">
        <v>260214242.28999999</v>
      </c>
      <c r="H27" s="190">
        <v>249574037.91999999</v>
      </c>
      <c r="I27" s="190">
        <v>253343270.16999999</v>
      </c>
      <c r="J27" s="190">
        <v>257008197.25999999</v>
      </c>
      <c r="K27" s="190">
        <v>260775937.06999999</v>
      </c>
      <c r="L27" s="190">
        <v>264543676.88</v>
      </c>
      <c r="M27" s="190">
        <v>268311416.69</v>
      </c>
      <c r="N27" s="190">
        <v>272079156.19999999</v>
      </c>
      <c r="O27" s="190">
        <v>275846896.00999999</v>
      </c>
      <c r="P27" s="190">
        <v>279614635.81999999</v>
      </c>
      <c r="Q27" s="190">
        <v>283382375.63</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716143184.25999999</v>
      </c>
      <c r="C28" s="190">
        <v>617509861.99000001</v>
      </c>
      <c r="D28" s="190">
        <v>620166164.54999995</v>
      </c>
      <c r="E28" s="190">
        <v>631189103.16999996</v>
      </c>
      <c r="F28" s="190">
        <v>636892413</v>
      </c>
      <c r="G28" s="190">
        <v>636364854.38999999</v>
      </c>
      <c r="H28" s="190">
        <v>660410009.82000005</v>
      </c>
      <c r="I28" s="190">
        <v>670238339.49000001</v>
      </c>
      <c r="J28" s="190">
        <v>672759732.02999997</v>
      </c>
      <c r="K28" s="190">
        <v>680515812.40999997</v>
      </c>
      <c r="L28" s="190">
        <v>683641784.20000005</v>
      </c>
      <c r="M28" s="190">
        <v>696778114.10000002</v>
      </c>
      <c r="N28" s="190">
        <v>705776815.28999996</v>
      </c>
      <c r="O28" s="190">
        <v>773907291.72000003</v>
      </c>
      <c r="P28" s="190">
        <v>795827371.98000002</v>
      </c>
      <c r="Q28" s="190">
        <v>807367570.77999997</v>
      </c>
      <c r="R28" s="190">
        <v>1034619296.75</v>
      </c>
      <c r="S28" s="190">
        <v>1046457532.65</v>
      </c>
      <c r="T28" s="190">
        <v>559782194.07000005</v>
      </c>
      <c r="U28" s="190">
        <v>566365938.87</v>
      </c>
      <c r="V28" s="190">
        <v>562899074.23000002</v>
      </c>
      <c r="W28" s="190">
        <v>569231521.32000005</v>
      </c>
      <c r="X28" s="190">
        <v>580327211.29999995</v>
      </c>
      <c r="Y28" s="190">
        <v>590292268.55999994</v>
      </c>
      <c r="Z28" s="190">
        <v>540611067.38999999</v>
      </c>
      <c r="AA28" s="190">
        <v>548978858.41999996</v>
      </c>
      <c r="AB28" s="190">
        <v>553893666.91999996</v>
      </c>
      <c r="AC28" s="190">
        <v>559960417.52999997</v>
      </c>
      <c r="AD28" s="190">
        <v>474473680.49000001</v>
      </c>
      <c r="AE28" s="190">
        <v>474915228.75999999</v>
      </c>
      <c r="AF28" s="190">
        <v>469798665.18000001</v>
      </c>
      <c r="AG28" s="190">
        <v>478173204.25999999</v>
      </c>
      <c r="AH28" s="190">
        <v>475357017.5</v>
      </c>
      <c r="AI28" s="190">
        <v>481666150.81999999</v>
      </c>
      <c r="AJ28" s="190">
        <v>488674480.27999997</v>
      </c>
      <c r="AK28" s="190">
        <v>495482608.16000003</v>
      </c>
      <c r="AL28" s="190">
        <v>394965812.58999997</v>
      </c>
      <c r="AM28" s="190">
        <v>380784425.00999999</v>
      </c>
      <c r="AN28" s="190">
        <v>241375729.33000001</v>
      </c>
      <c r="AO28" s="190">
        <v>218807974.09</v>
      </c>
      <c r="AP28" s="190">
        <v>164058885.31999999</v>
      </c>
      <c r="AQ28" s="190">
        <v>127995467.54000001</v>
      </c>
      <c r="AR28" s="190">
        <v>116416069.28</v>
      </c>
      <c r="AS28" s="190">
        <v>115798312.64</v>
      </c>
      <c r="AT28" s="190">
        <v>89216251.269999996</v>
      </c>
      <c r="AU28" s="190">
        <v>3838462.72</v>
      </c>
      <c r="AV28" s="190">
        <v>0</v>
      </c>
    </row>
    <row r="29" spans="1:48" x14ac:dyDescent="0.25">
      <c r="A29" s="190" t="s">
        <v>133</v>
      </c>
      <c r="B29" s="190">
        <v>1117378.4099999999</v>
      </c>
      <c r="C29" s="190">
        <v>182500.66</v>
      </c>
      <c r="D29" s="190">
        <v>259828.33</v>
      </c>
      <c r="E29" s="190">
        <v>568244.32999999996</v>
      </c>
      <c r="F29" s="190">
        <v>177237.73</v>
      </c>
      <c r="G29" s="190">
        <v>177237.73</v>
      </c>
      <c r="H29" s="190">
        <v>163086.79</v>
      </c>
      <c r="I29" s="190">
        <v>227464.79</v>
      </c>
      <c r="J29" s="190">
        <v>109433.96</v>
      </c>
      <c r="K29" s="190">
        <v>100000</v>
      </c>
      <c r="L29" s="190">
        <v>4852857.7699999996</v>
      </c>
      <c r="M29" s="190">
        <v>3644144.17</v>
      </c>
      <c r="N29" s="190">
        <v>2147185.7799999998</v>
      </c>
      <c r="O29" s="190">
        <v>117750</v>
      </c>
      <c r="P29" s="190">
        <v>0</v>
      </c>
      <c r="Q29" s="190">
        <v>923443.62</v>
      </c>
      <c r="R29" s="190">
        <v>804297</v>
      </c>
      <c r="S29" s="190">
        <v>5795799.6900000004</v>
      </c>
      <c r="T29" s="190">
        <v>379762090.80000001</v>
      </c>
      <c r="U29" s="190">
        <v>351252328.04000002</v>
      </c>
      <c r="V29" s="190">
        <v>285868935.95999998</v>
      </c>
      <c r="W29" s="190">
        <v>235275989.55000001</v>
      </c>
      <c r="X29" s="190">
        <v>185166453.43000001</v>
      </c>
      <c r="Y29" s="190">
        <v>155104723.87</v>
      </c>
      <c r="Z29" s="190">
        <v>164594904.81999999</v>
      </c>
      <c r="AA29" s="190">
        <v>149187603.21000001</v>
      </c>
      <c r="AB29" s="190">
        <v>78182552.540000007</v>
      </c>
      <c r="AC29" s="190">
        <v>66467099.740000002</v>
      </c>
      <c r="AD29" s="190">
        <v>267176611.08000001</v>
      </c>
      <c r="AE29" s="190">
        <v>259881560.31999999</v>
      </c>
      <c r="AF29" s="190">
        <v>274817693.72000003</v>
      </c>
      <c r="AG29" s="190">
        <v>232473284.65000001</v>
      </c>
      <c r="AH29" s="190">
        <v>21915012.800000001</v>
      </c>
      <c r="AI29" s="190">
        <v>10638850.65</v>
      </c>
      <c r="AJ29" s="190">
        <v>21233891.989999998</v>
      </c>
      <c r="AK29" s="190">
        <v>1925903.69</v>
      </c>
      <c r="AL29" s="190">
        <v>46202369.109999999</v>
      </c>
      <c r="AM29" s="190">
        <v>45858484.549999997</v>
      </c>
      <c r="AN29" s="190">
        <v>131244502.34</v>
      </c>
      <c r="AO29" s="190">
        <v>89075699.5</v>
      </c>
      <c r="AP29" s="190">
        <v>68455226.900000006</v>
      </c>
      <c r="AQ29" s="190">
        <v>28434456.100000001</v>
      </c>
      <c r="AR29" s="190">
        <v>16536868.84</v>
      </c>
      <c r="AS29" s="190">
        <v>11883622.34</v>
      </c>
      <c r="AT29" s="190">
        <v>18491981.559999999</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148680004.41</v>
      </c>
      <c r="C35" s="190">
        <v>148869359.75</v>
      </c>
      <c r="D35" s="190">
        <v>150557654.62</v>
      </c>
      <c r="E35" s="190">
        <v>152533461.56999999</v>
      </c>
      <c r="F35" s="190">
        <v>153547141.97</v>
      </c>
      <c r="G35" s="190">
        <v>154896201.15000001</v>
      </c>
      <c r="H35" s="190">
        <v>157547147.66999999</v>
      </c>
      <c r="I35" s="190">
        <v>158839911.78999999</v>
      </c>
      <c r="J35" s="190">
        <v>155378363.55000001</v>
      </c>
      <c r="K35" s="190">
        <v>156950742</v>
      </c>
      <c r="L35" s="190">
        <v>158545447.69999999</v>
      </c>
      <c r="M35" s="190">
        <v>160316614.00999999</v>
      </c>
      <c r="N35" s="190">
        <v>161106232.05000001</v>
      </c>
      <c r="O35" s="190">
        <v>190734906.55000001</v>
      </c>
      <c r="P35" s="190">
        <v>192097880.47</v>
      </c>
      <c r="Q35" s="190">
        <v>193928696.69999999</v>
      </c>
      <c r="R35" s="190">
        <v>254745358.41999999</v>
      </c>
      <c r="S35" s="190">
        <v>256922365.66999999</v>
      </c>
      <c r="T35" s="190">
        <v>258353282.16999999</v>
      </c>
      <c r="U35" s="190">
        <v>260263325.24000001</v>
      </c>
      <c r="V35" s="190">
        <v>277230506.35000002</v>
      </c>
      <c r="W35" s="190">
        <v>280048291.73000002</v>
      </c>
      <c r="X35" s="190">
        <v>283132300.23000002</v>
      </c>
      <c r="Y35" s="190">
        <v>286379333.73000002</v>
      </c>
      <c r="Z35" s="190">
        <v>287133637.37</v>
      </c>
      <c r="AA35" s="190">
        <v>288240943.32999998</v>
      </c>
      <c r="AB35" s="190">
        <v>290324879.10000002</v>
      </c>
      <c r="AC35" s="190">
        <v>292856317.07999998</v>
      </c>
      <c r="AD35" s="190">
        <v>293866206.44999999</v>
      </c>
      <c r="AE35" s="190">
        <v>280516943.57999998</v>
      </c>
      <c r="AF35" s="190">
        <v>279953852.80000001</v>
      </c>
      <c r="AG35" s="190">
        <v>280703528.89999998</v>
      </c>
      <c r="AH35" s="190">
        <v>245119271.27000001</v>
      </c>
      <c r="AI35" s="190">
        <v>187839923.24000001</v>
      </c>
      <c r="AJ35" s="190">
        <v>189448677.13</v>
      </c>
      <c r="AK35" s="190">
        <v>191284037.44</v>
      </c>
      <c r="AL35" s="190">
        <v>184370732.62</v>
      </c>
      <c r="AM35" s="190">
        <v>136064431.22999999</v>
      </c>
      <c r="AN35" s="190">
        <v>136761812.59999999</v>
      </c>
      <c r="AO35" s="190">
        <v>138149944.88999999</v>
      </c>
      <c r="AP35" s="190">
        <v>73941855.129999995</v>
      </c>
      <c r="AQ35" s="190">
        <v>70239537.400000006</v>
      </c>
      <c r="AR35" s="190">
        <v>71353172.379999995</v>
      </c>
      <c r="AS35" s="190">
        <v>59010940.829999998</v>
      </c>
      <c r="AT35" s="190">
        <v>19149323.120000001</v>
      </c>
      <c r="AU35" s="190">
        <v>1999252.79</v>
      </c>
      <c r="AV35" s="190">
        <v>0</v>
      </c>
    </row>
    <row r="36" spans="1:48" x14ac:dyDescent="0.25">
      <c r="A36" s="190" t="s">
        <v>140</v>
      </c>
      <c r="B36" s="190">
        <v>50000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row>
    <row r="37" spans="1:48"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21291880.109999999</v>
      </c>
      <c r="C38" s="190">
        <v>23314533.850000001</v>
      </c>
      <c r="D38" s="190">
        <v>822144.75</v>
      </c>
      <c r="E38" s="190">
        <v>406875</v>
      </c>
      <c r="F38" s="190">
        <v>1460799.27</v>
      </c>
      <c r="G38" s="190">
        <v>677858.44</v>
      </c>
      <c r="H38" s="190">
        <v>1978666.79</v>
      </c>
      <c r="I38" s="190">
        <v>2225008.9</v>
      </c>
      <c r="J38" s="190">
        <v>4148721.77</v>
      </c>
      <c r="K38" s="190">
        <v>3772159.36</v>
      </c>
      <c r="L38" s="190">
        <v>5074051.6399999997</v>
      </c>
      <c r="M38" s="190">
        <v>5319309.82</v>
      </c>
      <c r="N38" s="190">
        <v>7245732.6200000001</v>
      </c>
      <c r="O38" s="190">
        <v>7074637.1100000003</v>
      </c>
      <c r="P38" s="190">
        <v>8168352.5999999996</v>
      </c>
      <c r="Q38" s="190">
        <v>8413610.8900000006</v>
      </c>
      <c r="R38" s="190">
        <v>517125</v>
      </c>
      <c r="S38" s="190">
        <v>517125</v>
      </c>
      <c r="T38" s="190">
        <v>532875</v>
      </c>
      <c r="U38" s="190">
        <v>532875</v>
      </c>
      <c r="V38" s="190">
        <v>564375</v>
      </c>
      <c r="W38" s="190">
        <v>564375</v>
      </c>
      <c r="X38" s="190">
        <v>564375</v>
      </c>
      <c r="Y38" s="190">
        <v>564375</v>
      </c>
      <c r="Z38" s="190">
        <v>595875</v>
      </c>
      <c r="AA38" s="190">
        <v>595875</v>
      </c>
      <c r="AB38" s="190">
        <v>595875</v>
      </c>
      <c r="AC38" s="190">
        <v>595875</v>
      </c>
      <c r="AD38" s="190">
        <v>0</v>
      </c>
      <c r="AE38" s="190">
        <v>0</v>
      </c>
      <c r="AF38" s="190">
        <v>0</v>
      </c>
      <c r="AG38" s="190">
        <v>0</v>
      </c>
      <c r="AH38" s="190">
        <v>0</v>
      </c>
      <c r="AI38" s="190">
        <v>0</v>
      </c>
      <c r="AJ38" s="190">
        <v>0</v>
      </c>
      <c r="AK38" s="190">
        <v>0</v>
      </c>
      <c r="AL38" s="190">
        <v>0</v>
      </c>
      <c r="AM38" s="190">
        <v>0</v>
      </c>
      <c r="AN38" s="190">
        <v>0</v>
      </c>
      <c r="AO38" s="190">
        <v>0</v>
      </c>
      <c r="AP38" s="190">
        <v>5555.56</v>
      </c>
      <c r="AQ38" s="190">
        <v>0</v>
      </c>
      <c r="AR38" s="190">
        <v>0</v>
      </c>
      <c r="AS38" s="190">
        <v>0</v>
      </c>
      <c r="AT38" s="190">
        <v>304510.38</v>
      </c>
      <c r="AU38" s="190">
        <v>0</v>
      </c>
      <c r="AV38" s="190">
        <v>0</v>
      </c>
    </row>
    <row r="39" spans="1:48" x14ac:dyDescent="0.25">
      <c r="A39" s="190" t="s">
        <v>143</v>
      </c>
      <c r="B39" s="190">
        <v>55869421.560000002</v>
      </c>
      <c r="C39" s="190">
        <v>65833446.189999998</v>
      </c>
      <c r="D39" s="190">
        <v>34230230.439999998</v>
      </c>
      <c r="E39" s="190">
        <v>76839192.569999993</v>
      </c>
      <c r="F39" s="190">
        <v>50502761.450000003</v>
      </c>
      <c r="G39" s="190">
        <v>38927528.710000001</v>
      </c>
      <c r="H39" s="190">
        <v>41166324.100000001</v>
      </c>
      <c r="I39" s="190">
        <v>66816032.75</v>
      </c>
      <c r="J39" s="190">
        <v>42801393.899999999</v>
      </c>
      <c r="K39" s="190">
        <v>35912697.950000003</v>
      </c>
      <c r="L39" s="190">
        <v>46834528.240000002</v>
      </c>
      <c r="M39" s="190">
        <v>72662625.569999993</v>
      </c>
      <c r="N39" s="190">
        <v>38079607.969999999</v>
      </c>
      <c r="O39" s="190">
        <v>33593487.509999998</v>
      </c>
      <c r="P39" s="190">
        <v>27789627.079999998</v>
      </c>
      <c r="Q39" s="190">
        <v>45712194.5</v>
      </c>
      <c r="R39" s="190">
        <v>32535407.620000001</v>
      </c>
      <c r="S39" s="190">
        <v>36667422.359999999</v>
      </c>
      <c r="T39" s="190">
        <v>43682005.840000004</v>
      </c>
      <c r="U39" s="190">
        <v>46081471.210000001</v>
      </c>
      <c r="V39" s="190">
        <v>30226160.449999999</v>
      </c>
      <c r="W39" s="190">
        <v>25855054.07</v>
      </c>
      <c r="X39" s="190">
        <v>15189511.15</v>
      </c>
      <c r="Y39" s="190">
        <v>29511913.489999998</v>
      </c>
      <c r="Z39" s="190">
        <v>13486569.16</v>
      </c>
      <c r="AA39" s="190">
        <v>16870162.149999999</v>
      </c>
      <c r="AB39" s="190">
        <v>16724075.609999999</v>
      </c>
      <c r="AC39" s="190">
        <v>26877884.52</v>
      </c>
      <c r="AD39" s="190">
        <v>24958815.390000001</v>
      </c>
      <c r="AE39" s="190">
        <v>24800499.989999998</v>
      </c>
      <c r="AF39" s="190">
        <v>36503554.770000003</v>
      </c>
      <c r="AG39" s="190">
        <v>42983709.210000001</v>
      </c>
      <c r="AH39" s="190">
        <v>47905029.18</v>
      </c>
      <c r="AI39" s="190">
        <v>37304091.289999999</v>
      </c>
      <c r="AJ39" s="190">
        <v>34797941.079999998</v>
      </c>
      <c r="AK39" s="190">
        <v>46273628.060000002</v>
      </c>
      <c r="AL39" s="190">
        <v>7382707.6699999999</v>
      </c>
      <c r="AM39" s="190">
        <v>11219369.609999999</v>
      </c>
      <c r="AN39" s="190">
        <v>4301269.5</v>
      </c>
      <c r="AO39" s="190">
        <v>11565731.4</v>
      </c>
      <c r="AP39" s="190">
        <v>871158.25</v>
      </c>
      <c r="AQ39" s="190">
        <v>1273248.46</v>
      </c>
      <c r="AR39" s="190">
        <v>1094815.3500000001</v>
      </c>
      <c r="AS39" s="190">
        <v>1127905.47</v>
      </c>
      <c r="AT39" s="190">
        <v>0</v>
      </c>
      <c r="AU39" s="190">
        <v>0</v>
      </c>
      <c r="AV39" s="190">
        <v>0</v>
      </c>
    </row>
    <row r="40" spans="1:48"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4950000</v>
      </c>
      <c r="S40" s="190">
        <v>4950000</v>
      </c>
      <c r="T40" s="190">
        <v>4950000</v>
      </c>
      <c r="U40" s="190">
        <v>4950000</v>
      </c>
      <c r="V40" s="190">
        <v>100300000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1828942969.8599999</v>
      </c>
      <c r="C41" s="190">
        <v>1689415117</v>
      </c>
      <c r="D41" s="190">
        <v>1702411113.6099999</v>
      </c>
      <c r="E41" s="190">
        <v>1759325465.54</v>
      </c>
      <c r="F41" s="190">
        <v>1796457905.9300001</v>
      </c>
      <c r="G41" s="190">
        <v>1766518057.49</v>
      </c>
      <c r="H41" s="190">
        <v>1756396802.75</v>
      </c>
      <c r="I41" s="190">
        <v>1785488191.48</v>
      </c>
      <c r="J41" s="190">
        <v>1755686026.71</v>
      </c>
      <c r="K41" s="190">
        <v>1781332270.1500001</v>
      </c>
      <c r="L41" s="190">
        <v>1738495540.5</v>
      </c>
      <c r="M41" s="190">
        <v>1513108012.1300001</v>
      </c>
      <c r="N41" s="190">
        <v>1365625233.1800001</v>
      </c>
      <c r="O41" s="190">
        <v>1374633144.51</v>
      </c>
      <c r="P41" s="190">
        <v>1396946838.3</v>
      </c>
      <c r="Q41" s="190">
        <v>1434360282.02</v>
      </c>
      <c r="R41" s="190">
        <v>1415735568.9400001</v>
      </c>
      <c r="S41" s="190">
        <v>1434013045.6900001</v>
      </c>
      <c r="T41" s="190">
        <v>1332062520.3900001</v>
      </c>
      <c r="U41" s="190">
        <v>1318392716.8699999</v>
      </c>
      <c r="V41" s="190">
        <v>1350553948.3800001</v>
      </c>
      <c r="W41" s="190">
        <v>1205230453.29</v>
      </c>
      <c r="X41" s="190">
        <v>1102747674.49</v>
      </c>
      <c r="Y41" s="190">
        <v>1100794431.5699999</v>
      </c>
      <c r="Z41" s="190">
        <v>1095346454.4300001</v>
      </c>
      <c r="AA41" s="190">
        <v>1093898023.79</v>
      </c>
      <c r="AB41" s="190">
        <v>979314220</v>
      </c>
      <c r="AC41" s="190">
        <v>986335846.16999996</v>
      </c>
      <c r="AD41" s="190">
        <v>1092176730.27</v>
      </c>
      <c r="AE41" s="190">
        <v>1040114232.65</v>
      </c>
      <c r="AF41" s="190">
        <v>1161073766.47</v>
      </c>
      <c r="AG41" s="190">
        <v>1034333727.02</v>
      </c>
      <c r="AH41" s="190">
        <v>830296330.75</v>
      </c>
      <c r="AI41" s="190">
        <v>717449016</v>
      </c>
      <c r="AJ41" s="190">
        <v>734154990.48000002</v>
      </c>
      <c r="AK41" s="190">
        <v>734966177.35000002</v>
      </c>
      <c r="AL41" s="190">
        <v>632921621.99000001</v>
      </c>
      <c r="AM41" s="190">
        <v>573926710.39999998</v>
      </c>
      <c r="AN41" s="190">
        <v>524091313.76999998</v>
      </c>
      <c r="AO41" s="190">
        <v>467857980.01999998</v>
      </c>
      <c r="AP41" s="190">
        <v>307332681.16000003</v>
      </c>
      <c r="AQ41" s="190">
        <v>227942709.5</v>
      </c>
      <c r="AR41" s="190">
        <v>205400925.84999999</v>
      </c>
      <c r="AS41" s="190">
        <v>187820781.28</v>
      </c>
      <c r="AT41" s="190">
        <v>127162066.33</v>
      </c>
      <c r="AU41" s="190">
        <v>5837715.5099999998</v>
      </c>
      <c r="AV41" s="190">
        <v>0</v>
      </c>
    </row>
    <row r="42" spans="1:48" x14ac:dyDescent="0.25">
      <c r="A42" s="190" t="s">
        <v>146</v>
      </c>
      <c r="B42" s="190">
        <v>5192103739.21</v>
      </c>
      <c r="C42" s="190">
        <v>4985933289.4200001</v>
      </c>
      <c r="D42" s="190">
        <v>4890018144.2799997</v>
      </c>
      <c r="E42" s="190">
        <v>5350746142.1800003</v>
      </c>
      <c r="F42" s="190">
        <v>5422788105.2600002</v>
      </c>
      <c r="G42" s="190">
        <v>5184608507.8400002</v>
      </c>
      <c r="H42" s="190">
        <v>4941642374.8199997</v>
      </c>
      <c r="I42" s="190">
        <v>5592562970.4700003</v>
      </c>
      <c r="J42" s="190">
        <v>4889477455.2399998</v>
      </c>
      <c r="K42" s="190">
        <v>4626846397.0900002</v>
      </c>
      <c r="L42" s="190">
        <v>5379853467.6599998</v>
      </c>
      <c r="M42" s="190">
        <v>5890597026.0900002</v>
      </c>
      <c r="N42" s="190">
        <v>5194335184.6099997</v>
      </c>
      <c r="O42" s="190">
        <v>4661409022.7600002</v>
      </c>
      <c r="P42" s="190">
        <v>4536780571.3299999</v>
      </c>
      <c r="Q42" s="190">
        <v>4965755374.9200001</v>
      </c>
      <c r="R42" s="190">
        <v>4739396744.9799995</v>
      </c>
      <c r="S42" s="190">
        <v>4624972551.8299999</v>
      </c>
      <c r="T42" s="190">
        <v>4372686374.7600002</v>
      </c>
      <c r="U42" s="190">
        <v>4532934537.1300001</v>
      </c>
      <c r="V42" s="190">
        <v>4187173741.9200001</v>
      </c>
      <c r="W42" s="190">
        <v>4095449493.1900001</v>
      </c>
      <c r="X42" s="190">
        <v>4097268499.46</v>
      </c>
      <c r="Y42" s="190">
        <v>4260960072.5999999</v>
      </c>
      <c r="Z42" s="190">
        <v>3928943366.5700002</v>
      </c>
      <c r="AA42" s="190">
        <v>3745936936.3200002</v>
      </c>
      <c r="AB42" s="190">
        <v>3741014339.6399999</v>
      </c>
      <c r="AC42" s="190">
        <v>3867070220.6599998</v>
      </c>
      <c r="AD42" s="190">
        <v>4092158592.4499998</v>
      </c>
      <c r="AE42" s="190">
        <v>3928593504.3000002</v>
      </c>
      <c r="AF42" s="190">
        <v>4214797386.4000001</v>
      </c>
      <c r="AG42" s="190">
        <v>4332940989.9700003</v>
      </c>
      <c r="AH42" s="190">
        <v>4295251330.71</v>
      </c>
      <c r="AI42" s="190">
        <v>4005670987.3400002</v>
      </c>
      <c r="AJ42" s="190">
        <v>3678228546.0700002</v>
      </c>
      <c r="AK42" s="190">
        <v>4005403289.4699998</v>
      </c>
      <c r="AL42" s="190">
        <v>3568023226.6199999</v>
      </c>
      <c r="AM42" s="190">
        <v>3569032903.23</v>
      </c>
      <c r="AN42" s="190">
        <v>3440486197.4099998</v>
      </c>
      <c r="AO42" s="190">
        <v>3676140716.7600002</v>
      </c>
      <c r="AP42" s="190">
        <v>3121065791.02</v>
      </c>
      <c r="AQ42" s="190">
        <v>2782702530.8800001</v>
      </c>
      <c r="AR42" s="190">
        <v>1126336063.5799999</v>
      </c>
      <c r="AS42" s="190">
        <v>1147001513.26</v>
      </c>
      <c r="AT42" s="190">
        <v>637145313.75999999</v>
      </c>
      <c r="AU42" s="190">
        <v>222344788.13999999</v>
      </c>
      <c r="AV42" s="190">
        <v>0</v>
      </c>
    </row>
    <row r="43" spans="1:48" x14ac:dyDescent="0.25">
      <c r="A43" s="190" t="s">
        <v>147</v>
      </c>
    </row>
    <row r="44" spans="1:48"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row>
    <row r="45" spans="1:48"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7263669.8200000003</v>
      </c>
      <c r="D46" s="190">
        <v>50372715.25</v>
      </c>
      <c r="E46" s="190">
        <v>8040000</v>
      </c>
      <c r="F46" s="190">
        <v>0</v>
      </c>
      <c r="G46" s="190">
        <v>0</v>
      </c>
      <c r="H46" s="190">
        <v>34019293.350000001</v>
      </c>
      <c r="I46" s="190">
        <v>170216878.41999999</v>
      </c>
      <c r="J46" s="190">
        <v>221241931.63</v>
      </c>
      <c r="K46" s="190">
        <v>121886672.01000001</v>
      </c>
      <c r="L46" s="190">
        <v>371785545.25</v>
      </c>
      <c r="M46" s="190">
        <v>490574901.23000002</v>
      </c>
      <c r="N46" s="190">
        <v>436950651.69999999</v>
      </c>
      <c r="O46" s="190">
        <v>396673959.97000003</v>
      </c>
      <c r="P46" s="190">
        <v>63148733.640000001</v>
      </c>
      <c r="Q46" s="190">
        <v>39166482.899999999</v>
      </c>
      <c r="R46" s="190">
        <v>287384267.63999999</v>
      </c>
      <c r="S46" s="190">
        <v>381944679.94</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row>
    <row r="47" spans="1:48" x14ac:dyDescent="0.25">
      <c r="A47" s="190" t="s">
        <v>151</v>
      </c>
      <c r="B47" s="190">
        <v>0</v>
      </c>
      <c r="C47" s="190">
        <v>1059043882.64</v>
      </c>
      <c r="D47" s="190">
        <v>597267967.38</v>
      </c>
      <c r="E47" s="190">
        <v>1019867537.76</v>
      </c>
      <c r="F47" s="190">
        <v>824682850.40999997</v>
      </c>
      <c r="G47" s="190">
        <v>861131432.80999994</v>
      </c>
      <c r="H47" s="190">
        <v>818055790.38</v>
      </c>
      <c r="I47" s="190">
        <v>1165880641.8099999</v>
      </c>
      <c r="J47" s="190">
        <v>768520276.11000001</v>
      </c>
      <c r="K47" s="190">
        <v>770495916.54999995</v>
      </c>
      <c r="L47" s="190">
        <v>842679820.26999998</v>
      </c>
      <c r="M47" s="190">
        <v>1194965287.9400001</v>
      </c>
      <c r="N47" s="190">
        <v>969680147</v>
      </c>
      <c r="O47" s="190">
        <v>823376491.49000001</v>
      </c>
      <c r="P47" s="190">
        <v>675735322.76999998</v>
      </c>
      <c r="Q47" s="190">
        <v>1071802926.35</v>
      </c>
      <c r="R47" s="190">
        <v>913418736.25</v>
      </c>
      <c r="S47" s="190">
        <v>833740854.52999997</v>
      </c>
      <c r="T47" s="190">
        <v>727460496.28999996</v>
      </c>
      <c r="U47" s="190">
        <v>931950752.98000002</v>
      </c>
      <c r="V47" s="190">
        <v>816258854.22000003</v>
      </c>
      <c r="W47" s="190">
        <v>798926277.47000003</v>
      </c>
      <c r="X47" s="190">
        <v>605895190.85000002</v>
      </c>
      <c r="Y47" s="190">
        <v>881924675.45000005</v>
      </c>
      <c r="Z47" s="190">
        <v>729274124.55999994</v>
      </c>
      <c r="AA47" s="190">
        <v>731456061.84000003</v>
      </c>
      <c r="AB47" s="190">
        <v>665659238.50999999</v>
      </c>
      <c r="AC47" s="190">
        <v>993004746.77999997</v>
      </c>
      <c r="AD47" s="190">
        <v>940110369.60000002</v>
      </c>
      <c r="AE47" s="190">
        <v>809046514.61000001</v>
      </c>
      <c r="AF47" s="190">
        <v>700737096.72000003</v>
      </c>
      <c r="AG47" s="190">
        <v>967409703.22000003</v>
      </c>
      <c r="AH47" s="190">
        <v>961894860.98000002</v>
      </c>
      <c r="AI47" s="190">
        <v>924625655.45000005</v>
      </c>
      <c r="AJ47" s="190">
        <v>380736437.67000002</v>
      </c>
      <c r="AK47" s="190">
        <v>855152492.96000004</v>
      </c>
      <c r="AL47" s="190">
        <v>614562666.92999995</v>
      </c>
      <c r="AM47" s="190">
        <v>861113841.40999997</v>
      </c>
      <c r="AN47" s="190">
        <v>568239539.30999994</v>
      </c>
      <c r="AO47" s="190">
        <v>1000662685.51</v>
      </c>
      <c r="AP47" s="190">
        <v>710738810.34000003</v>
      </c>
      <c r="AQ47" s="190">
        <v>470957389.94999999</v>
      </c>
      <c r="AR47" s="190">
        <v>323081533.48000002</v>
      </c>
      <c r="AS47" s="190">
        <v>449922219.39999998</v>
      </c>
      <c r="AT47" s="190">
        <v>282187636.55000001</v>
      </c>
      <c r="AU47" s="190">
        <v>95282345.109999999</v>
      </c>
      <c r="AV47" s="190">
        <v>0</v>
      </c>
    </row>
    <row r="48" spans="1:48" x14ac:dyDescent="0.25">
      <c r="A48" s="190" t="s">
        <v>152</v>
      </c>
      <c r="B48" s="190">
        <v>279844114.18000001</v>
      </c>
      <c r="C48" s="190">
        <v>180738129.19999999</v>
      </c>
      <c r="D48" s="190">
        <v>180549802.09999999</v>
      </c>
      <c r="E48" s="190">
        <v>181961910.25</v>
      </c>
      <c r="F48" s="190">
        <v>180055324.97</v>
      </c>
      <c r="G48" s="190">
        <v>187973819.94999999</v>
      </c>
      <c r="H48" s="190">
        <v>161989581.91</v>
      </c>
      <c r="I48" s="190">
        <v>308515184.01999998</v>
      </c>
      <c r="J48" s="190">
        <v>230302843.78</v>
      </c>
      <c r="K48" s="190">
        <v>209932835.72</v>
      </c>
      <c r="L48" s="190">
        <v>343880894.22000003</v>
      </c>
      <c r="M48" s="190">
        <v>410322509.73000002</v>
      </c>
      <c r="N48" s="190">
        <v>227434817.44999999</v>
      </c>
      <c r="O48" s="190">
        <v>184184224.93000001</v>
      </c>
      <c r="P48" s="190">
        <v>203920159.03999999</v>
      </c>
      <c r="Q48" s="190">
        <v>301334574.06</v>
      </c>
      <c r="R48" s="190">
        <v>198308233.88999999</v>
      </c>
      <c r="S48" s="190">
        <v>196277243.88999999</v>
      </c>
      <c r="T48" s="190">
        <v>225887347.03</v>
      </c>
      <c r="U48" s="190">
        <v>222582557</v>
      </c>
      <c r="V48" s="190">
        <v>196023256.03999999</v>
      </c>
      <c r="W48" s="190">
        <v>202348540.59</v>
      </c>
      <c r="X48" s="190">
        <v>230042547.34</v>
      </c>
      <c r="Y48" s="190">
        <v>215990834.69999999</v>
      </c>
      <c r="Z48" s="190">
        <v>202672500.81999999</v>
      </c>
      <c r="AA48" s="190">
        <v>213683911.13</v>
      </c>
      <c r="AB48" s="190">
        <v>245075312.71000001</v>
      </c>
      <c r="AC48" s="190">
        <v>237060689.02000001</v>
      </c>
      <c r="AD48" s="190">
        <v>129674409.94</v>
      </c>
      <c r="AE48" s="190">
        <v>162412726.97999999</v>
      </c>
      <c r="AF48" s="190">
        <v>192835825.27000001</v>
      </c>
      <c r="AG48" s="190">
        <v>177324074.25</v>
      </c>
      <c r="AH48" s="190">
        <v>130784432.33</v>
      </c>
      <c r="AI48" s="190">
        <v>154634894.06999999</v>
      </c>
      <c r="AJ48" s="190">
        <v>207332816.22</v>
      </c>
      <c r="AK48" s="190">
        <v>118485591.56999999</v>
      </c>
      <c r="AL48" s="190">
        <v>114851564.84999999</v>
      </c>
      <c r="AM48" s="190">
        <v>77408717.870000005</v>
      </c>
      <c r="AN48" s="190">
        <v>130597724.06</v>
      </c>
      <c r="AO48" s="190">
        <v>75087599.519999996</v>
      </c>
      <c r="AP48" s="190">
        <v>90010171.659999996</v>
      </c>
      <c r="AQ48" s="190">
        <v>67907895.239999995</v>
      </c>
      <c r="AR48" s="190">
        <v>86241729.280000001</v>
      </c>
      <c r="AS48" s="190">
        <v>63657235.640000001</v>
      </c>
      <c r="AT48" s="190">
        <v>78106149.069999993</v>
      </c>
      <c r="AU48" s="190">
        <v>35726456.369999997</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35616573.979999997</v>
      </c>
      <c r="C50" s="190">
        <v>33822982.030000001</v>
      </c>
      <c r="D50" s="190">
        <v>26379327.859999999</v>
      </c>
      <c r="E50" s="190">
        <v>190215056.41</v>
      </c>
      <c r="F50" s="190">
        <v>49457516.960000001</v>
      </c>
      <c r="G50" s="190">
        <v>43776842.57</v>
      </c>
      <c r="H50" s="190">
        <v>14267395.050000001</v>
      </c>
      <c r="I50" s="190">
        <v>162052446.5</v>
      </c>
      <c r="J50" s="190">
        <v>100684543.19</v>
      </c>
      <c r="K50" s="190">
        <v>58506636.780000001</v>
      </c>
      <c r="L50" s="190">
        <v>62282600.740000002</v>
      </c>
      <c r="M50" s="190">
        <v>152182928.55000001</v>
      </c>
      <c r="N50" s="190">
        <v>78975290.980000004</v>
      </c>
      <c r="O50" s="190">
        <v>46211186.990000002</v>
      </c>
      <c r="P50" s="190">
        <v>16485384.66</v>
      </c>
      <c r="Q50" s="190">
        <v>133995516.09</v>
      </c>
      <c r="R50" s="190">
        <v>25917245.98</v>
      </c>
      <c r="S50" s="190">
        <v>17513980.41</v>
      </c>
      <c r="T50" s="190">
        <v>19165390.600000001</v>
      </c>
      <c r="U50" s="190">
        <v>110661332.95</v>
      </c>
      <c r="V50" s="190">
        <v>37976569.359999999</v>
      </c>
      <c r="W50" s="190">
        <v>25929601.879999999</v>
      </c>
      <c r="X50" s="190">
        <v>37037733.469999999</v>
      </c>
      <c r="Y50" s="190">
        <v>99646705.870000005</v>
      </c>
      <c r="Z50" s="190">
        <v>21157899.190000001</v>
      </c>
      <c r="AA50" s="190">
        <v>22505822.879999999</v>
      </c>
      <c r="AB50" s="190">
        <v>16358608.91</v>
      </c>
      <c r="AC50" s="190">
        <v>77547598.840000004</v>
      </c>
      <c r="AD50" s="190">
        <v>30769433.859999999</v>
      </c>
      <c r="AE50" s="190">
        <v>32761877.719999999</v>
      </c>
      <c r="AF50" s="190">
        <v>33166786.420000002</v>
      </c>
      <c r="AG50" s="190">
        <v>99705541.5</v>
      </c>
      <c r="AH50" s="190">
        <v>29431989.510000002</v>
      </c>
      <c r="AI50" s="190">
        <v>17908575.879999999</v>
      </c>
      <c r="AJ50" s="190">
        <v>28879824.370000001</v>
      </c>
      <c r="AK50" s="190">
        <v>47142162.770000003</v>
      </c>
      <c r="AL50" s="190">
        <v>20421248.800000001</v>
      </c>
      <c r="AM50" s="190">
        <v>18699871.75</v>
      </c>
      <c r="AN50" s="190">
        <v>43361488.799999997</v>
      </c>
      <c r="AO50" s="190">
        <v>61088929.939999998</v>
      </c>
      <c r="AP50" s="190">
        <v>24716344.010000002</v>
      </c>
      <c r="AQ50" s="190">
        <v>22997078.960000001</v>
      </c>
      <c r="AR50" s="190">
        <v>18514584.23</v>
      </c>
      <c r="AS50" s="190">
        <v>17154451.34</v>
      </c>
      <c r="AT50" s="190">
        <v>4876600.47</v>
      </c>
      <c r="AU50" s="190">
        <v>3276163.23</v>
      </c>
      <c r="AV50" s="190">
        <v>0</v>
      </c>
    </row>
    <row r="51" spans="1:48" x14ac:dyDescent="0.25">
      <c r="A51" s="190" t="s">
        <v>155</v>
      </c>
      <c r="B51" s="190">
        <v>38863458.210000001</v>
      </c>
      <c r="C51" s="190">
        <v>40263470.130000003</v>
      </c>
      <c r="D51" s="190">
        <v>86674162.650000006</v>
      </c>
      <c r="E51" s="190">
        <v>148228320.53999999</v>
      </c>
      <c r="F51" s="190">
        <v>119712327.53</v>
      </c>
      <c r="G51" s="190">
        <v>46567208.829999998</v>
      </c>
      <c r="H51" s="190">
        <v>53599539.140000001</v>
      </c>
      <c r="I51" s="190">
        <v>81509198.480000004</v>
      </c>
      <c r="J51" s="190">
        <v>85534746.510000005</v>
      </c>
      <c r="K51" s="190">
        <v>50608418.07</v>
      </c>
      <c r="L51" s="190">
        <v>101622840.62</v>
      </c>
      <c r="M51" s="190">
        <v>108428563.95999999</v>
      </c>
      <c r="N51" s="190">
        <v>101908149.83</v>
      </c>
      <c r="O51" s="190">
        <v>60006803.030000001</v>
      </c>
      <c r="P51" s="190">
        <v>100855853.62</v>
      </c>
      <c r="Q51" s="190">
        <v>75453906.670000002</v>
      </c>
      <c r="R51" s="190">
        <v>106252324.36</v>
      </c>
      <c r="S51" s="190">
        <v>90550632.599999994</v>
      </c>
      <c r="T51" s="190">
        <v>79704279.799999997</v>
      </c>
      <c r="U51" s="190">
        <v>81367666.810000002</v>
      </c>
      <c r="V51" s="190">
        <v>80222843.439999998</v>
      </c>
      <c r="W51" s="190">
        <v>73521601.829999998</v>
      </c>
      <c r="X51" s="190">
        <v>90514727.519999996</v>
      </c>
      <c r="Y51" s="190">
        <v>75278895.400000006</v>
      </c>
      <c r="Z51" s="190">
        <v>49419155.479999997</v>
      </c>
      <c r="AA51" s="190">
        <v>-2661310.59</v>
      </c>
      <c r="AB51" s="190">
        <v>26211350.969999999</v>
      </c>
      <c r="AC51" s="190">
        <v>-67669657.040000007</v>
      </c>
      <c r="AD51" s="190">
        <v>19311247.129999999</v>
      </c>
      <c r="AE51" s="190">
        <v>-15533600.41</v>
      </c>
      <c r="AF51" s="190">
        <v>31333477.989999998</v>
      </c>
      <c r="AG51" s="190">
        <v>-17769330.039999999</v>
      </c>
      <c r="AH51" s="190">
        <v>100337067.19</v>
      </c>
      <c r="AI51" s="190">
        <v>93711707.349999994</v>
      </c>
      <c r="AJ51" s="190">
        <v>44137226.289999999</v>
      </c>
      <c r="AK51" s="190">
        <v>13177718.619999999</v>
      </c>
      <c r="AL51" s="190">
        <v>75082885.150000006</v>
      </c>
      <c r="AM51" s="190">
        <v>56127186.390000001</v>
      </c>
      <c r="AN51" s="190">
        <v>61446149.700000003</v>
      </c>
      <c r="AO51" s="190">
        <v>60979580.670000002</v>
      </c>
      <c r="AP51" s="190">
        <v>60163580.460000001</v>
      </c>
      <c r="AQ51" s="190">
        <v>34596010.939999998</v>
      </c>
      <c r="AR51" s="190">
        <v>47255515.119999997</v>
      </c>
      <c r="AS51" s="190">
        <v>61956234.460000001</v>
      </c>
      <c r="AT51" s="190">
        <v>11852372.789999999</v>
      </c>
      <c r="AU51" s="190">
        <v>5406922.3600000003</v>
      </c>
      <c r="AV51" s="190">
        <v>0</v>
      </c>
    </row>
    <row r="52" spans="1:48"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row>
    <row r="53" spans="1:48" x14ac:dyDescent="0.25">
      <c r="A53" s="190" t="s">
        <v>157</v>
      </c>
      <c r="B53" s="190">
        <v>0</v>
      </c>
      <c r="C53" s="190">
        <v>0</v>
      </c>
      <c r="D53" s="190">
        <v>0</v>
      </c>
      <c r="E53" s="190">
        <v>0</v>
      </c>
      <c r="F53" s="190">
        <v>0</v>
      </c>
      <c r="G53" s="190">
        <v>0</v>
      </c>
      <c r="H53" s="190">
        <v>0</v>
      </c>
      <c r="I53" s="190">
        <v>0</v>
      </c>
      <c r="J53" s="190">
        <v>0</v>
      </c>
      <c r="K53" s="190">
        <v>2864400</v>
      </c>
      <c r="L53" s="190">
        <v>0</v>
      </c>
      <c r="M53" s="190">
        <v>0</v>
      </c>
      <c r="N53" s="190">
        <v>4083000</v>
      </c>
      <c r="O53" s="190">
        <v>4083000</v>
      </c>
      <c r="P53" s="190">
        <v>0</v>
      </c>
      <c r="Q53" s="190">
        <v>0</v>
      </c>
      <c r="R53" s="190">
        <v>0</v>
      </c>
      <c r="S53" s="190">
        <v>95940000</v>
      </c>
      <c r="T53" s="190">
        <v>380475000</v>
      </c>
      <c r="U53" s="190">
        <v>0</v>
      </c>
      <c r="V53" s="190">
        <v>0</v>
      </c>
      <c r="W53" s="190">
        <v>122652162</v>
      </c>
      <c r="X53" s="190">
        <v>0</v>
      </c>
      <c r="Y53" s="190">
        <v>0</v>
      </c>
      <c r="Z53" s="190">
        <v>0</v>
      </c>
      <c r="AA53" s="190">
        <v>0</v>
      </c>
      <c r="AB53" s="190">
        <v>0</v>
      </c>
      <c r="AC53" s="190">
        <v>0</v>
      </c>
      <c r="AD53" s="190">
        <v>386350330.80000001</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row>
    <row r="54" spans="1:48" x14ac:dyDescent="0.25">
      <c r="A54" s="190" t="s">
        <v>158</v>
      </c>
      <c r="B54" s="190">
        <v>256646964.94</v>
      </c>
      <c r="C54" s="190">
        <v>260370515.41999999</v>
      </c>
      <c r="D54" s="190">
        <v>233683426.94</v>
      </c>
      <c r="E54" s="190">
        <v>214119818.33000001</v>
      </c>
      <c r="F54" s="190">
        <v>185175828.13999999</v>
      </c>
      <c r="G54" s="190">
        <v>145134483.94999999</v>
      </c>
      <c r="H54" s="190">
        <v>186668230.19</v>
      </c>
      <c r="I54" s="190">
        <v>171701436.27000001</v>
      </c>
      <c r="J54" s="190">
        <v>115100363.76000001</v>
      </c>
      <c r="K54" s="190">
        <v>184383860.99000001</v>
      </c>
      <c r="L54" s="190">
        <v>129541339.77</v>
      </c>
      <c r="M54" s="190">
        <v>142968786.88</v>
      </c>
      <c r="N54" s="190">
        <v>120208347.18000001</v>
      </c>
      <c r="O54" s="190">
        <v>92906976.930000007</v>
      </c>
      <c r="P54" s="190">
        <v>87243908.900000006</v>
      </c>
      <c r="Q54" s="190">
        <v>80765544.650000006</v>
      </c>
      <c r="R54" s="190">
        <v>47647874.030000001</v>
      </c>
      <c r="S54" s="190">
        <v>62028865.009999998</v>
      </c>
      <c r="T54" s="190">
        <v>92512915.579999998</v>
      </c>
      <c r="U54" s="190">
        <v>81235021.219999999</v>
      </c>
      <c r="V54" s="190">
        <v>59778328.359999999</v>
      </c>
      <c r="W54" s="190">
        <v>55134884.149999999</v>
      </c>
      <c r="X54" s="190">
        <v>45180739.969999999</v>
      </c>
      <c r="Y54" s="190">
        <v>32332368.460000001</v>
      </c>
      <c r="Z54" s="190">
        <v>38746705.670000002</v>
      </c>
      <c r="AA54" s="190">
        <v>48730242.969999999</v>
      </c>
      <c r="AB54" s="190">
        <v>58616910.920000002</v>
      </c>
      <c r="AC54" s="190">
        <v>36089296.82</v>
      </c>
      <c r="AD54" s="190">
        <v>56956164.950000003</v>
      </c>
      <c r="AE54" s="190">
        <v>65698261.200000003</v>
      </c>
      <c r="AF54" s="190">
        <v>95054463.219999999</v>
      </c>
      <c r="AG54" s="190">
        <v>76788262.349999994</v>
      </c>
      <c r="AH54" s="190">
        <v>191616521.18000001</v>
      </c>
      <c r="AI54" s="190">
        <v>155006430.28999999</v>
      </c>
      <c r="AJ54" s="190">
        <v>107210914.62</v>
      </c>
      <c r="AK54" s="190">
        <v>146318214.05000001</v>
      </c>
      <c r="AL54" s="190">
        <v>74206468.719999999</v>
      </c>
      <c r="AM54" s="190">
        <v>76923871.439999998</v>
      </c>
      <c r="AN54" s="190">
        <v>73909774.260000005</v>
      </c>
      <c r="AO54" s="190">
        <v>61244147.740000002</v>
      </c>
      <c r="AP54" s="190">
        <v>9564764.2599999998</v>
      </c>
      <c r="AQ54" s="190">
        <v>14392153.51</v>
      </c>
      <c r="AR54" s="190">
        <v>80238716.260000005</v>
      </c>
      <c r="AS54" s="190">
        <v>24804258.350000001</v>
      </c>
      <c r="AT54" s="190">
        <v>12253445.390000001</v>
      </c>
      <c r="AU54" s="190">
        <v>8802586.6899999995</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1440000</v>
      </c>
      <c r="C58" s="190">
        <v>1440000</v>
      </c>
      <c r="D58" s="190">
        <v>0</v>
      </c>
      <c r="E58" s="190">
        <v>0</v>
      </c>
      <c r="F58" s="190">
        <v>0</v>
      </c>
      <c r="G58" s="190">
        <v>8513310</v>
      </c>
      <c r="H58" s="190">
        <v>8625630</v>
      </c>
      <c r="I58" s="190">
        <v>8625630</v>
      </c>
      <c r="J58" s="190">
        <v>8625630</v>
      </c>
      <c r="K58" s="190">
        <v>8678670</v>
      </c>
      <c r="L58" s="190">
        <v>8970390</v>
      </c>
      <c r="M58" s="190">
        <v>8970390</v>
      </c>
      <c r="N58" s="190">
        <v>21054670</v>
      </c>
      <c r="O58" s="190">
        <v>12031240</v>
      </c>
      <c r="P58" s="190">
        <v>12261080</v>
      </c>
      <c r="Q58" s="190">
        <v>12261080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68020000</v>
      </c>
      <c r="AT59" s="190">
        <v>0</v>
      </c>
      <c r="AU59" s="190">
        <v>0</v>
      </c>
      <c r="AV59" s="190">
        <v>0</v>
      </c>
    </row>
    <row r="60" spans="1:48" x14ac:dyDescent="0.25">
      <c r="A60" s="190" t="s">
        <v>164</v>
      </c>
      <c r="B60" s="190">
        <v>1573259417.5899999</v>
      </c>
      <c r="C60" s="190">
        <v>1582942649.24</v>
      </c>
      <c r="D60" s="190">
        <v>1174927402.1800001</v>
      </c>
      <c r="E60" s="190">
        <v>1762432643.29</v>
      </c>
      <c r="F60" s="190">
        <v>1359083848.01</v>
      </c>
      <c r="G60" s="190">
        <v>1293097098.1099999</v>
      </c>
      <c r="H60" s="190">
        <v>1277225460.02</v>
      </c>
      <c r="I60" s="190">
        <v>2068501415.5</v>
      </c>
      <c r="J60" s="190">
        <v>1530010334.98</v>
      </c>
      <c r="K60" s="190">
        <v>1407357410.1199999</v>
      </c>
      <c r="L60" s="190">
        <v>1860763430.8699999</v>
      </c>
      <c r="M60" s="190">
        <v>2508413368.29</v>
      </c>
      <c r="N60" s="190">
        <v>1960295074.1400001</v>
      </c>
      <c r="O60" s="190">
        <v>1619473883.3399999</v>
      </c>
      <c r="P60" s="190">
        <v>1159650442.6300001</v>
      </c>
      <c r="Q60" s="190">
        <v>1714780030.72</v>
      </c>
      <c r="R60" s="190">
        <v>1578928682.1500001</v>
      </c>
      <c r="S60" s="190">
        <v>1677996256.3800001</v>
      </c>
      <c r="T60" s="190">
        <v>1525205429.3</v>
      </c>
      <c r="U60" s="190">
        <v>1427797330.96</v>
      </c>
      <c r="V60" s="190">
        <v>1190259851.4200001</v>
      </c>
      <c r="W60" s="190">
        <v>1278513067.9200001</v>
      </c>
      <c r="X60" s="190">
        <v>1008670939.15</v>
      </c>
      <c r="Y60" s="190">
        <v>1305173479.8800001</v>
      </c>
      <c r="Z60" s="190">
        <v>1041270385.72</v>
      </c>
      <c r="AA60" s="190">
        <v>1013714728.23</v>
      </c>
      <c r="AB60" s="190">
        <v>1011921422.02</v>
      </c>
      <c r="AC60" s="190">
        <v>1276032674.4200001</v>
      </c>
      <c r="AD60" s="190">
        <v>1563171956.28</v>
      </c>
      <c r="AE60" s="190">
        <v>1054385780.1</v>
      </c>
      <c r="AF60" s="190">
        <v>1053127649.62</v>
      </c>
      <c r="AG60" s="190">
        <v>1303458251.28</v>
      </c>
      <c r="AH60" s="190">
        <v>1414064871.1900001</v>
      </c>
      <c r="AI60" s="190">
        <v>1345887263.04</v>
      </c>
      <c r="AJ60" s="190">
        <v>768297219.16999996</v>
      </c>
      <c r="AK60" s="190">
        <v>1180276179.97</v>
      </c>
      <c r="AL60" s="190">
        <v>899124834.45000005</v>
      </c>
      <c r="AM60" s="190">
        <v>1090273488.8599999</v>
      </c>
      <c r="AN60" s="190">
        <v>877554676.13</v>
      </c>
      <c r="AO60" s="190">
        <v>1259062943.3800001</v>
      </c>
      <c r="AP60" s="190">
        <v>895193670.73000002</v>
      </c>
      <c r="AQ60" s="190">
        <v>610850528.60000002</v>
      </c>
      <c r="AR60" s="190">
        <v>555332078.37</v>
      </c>
      <c r="AS60" s="190">
        <v>685514399.19000006</v>
      </c>
      <c r="AT60" s="190">
        <v>389276204.26999998</v>
      </c>
      <c r="AU60" s="190">
        <v>148494473.75999999</v>
      </c>
      <c r="AV60" s="190">
        <v>0</v>
      </c>
    </row>
    <row r="61" spans="1:48" x14ac:dyDescent="0.25">
      <c r="A61" s="190" t="s">
        <v>165</v>
      </c>
    </row>
    <row r="62" spans="1:48"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row>
    <row r="67" spans="1:48"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763462.51</v>
      </c>
      <c r="C68" s="190">
        <v>1008086.71</v>
      </c>
      <c r="D68" s="190">
        <v>580282.99</v>
      </c>
      <c r="E68" s="190">
        <v>821521.55</v>
      </c>
      <c r="F68" s="190">
        <v>1717522.62</v>
      </c>
      <c r="G68" s="190">
        <v>1174831.28</v>
      </c>
      <c r="H68" s="190">
        <v>1643364.18</v>
      </c>
      <c r="I68" s="190">
        <v>1901218.3</v>
      </c>
      <c r="J68" s="190">
        <v>676937.05</v>
      </c>
      <c r="K68" s="190">
        <v>402221.72</v>
      </c>
      <c r="L68" s="190">
        <v>1583893.9</v>
      </c>
      <c r="M68" s="190">
        <v>2363217.44</v>
      </c>
      <c r="N68" s="190">
        <v>2994770.97</v>
      </c>
      <c r="O68" s="190">
        <v>3643325.03</v>
      </c>
      <c r="P68" s="190">
        <v>3407974.94</v>
      </c>
      <c r="Q68" s="190">
        <v>1784517.17</v>
      </c>
      <c r="R68" s="190">
        <v>4323041.75</v>
      </c>
      <c r="S68" s="190">
        <v>2797093.92</v>
      </c>
      <c r="T68" s="190">
        <v>1533619.61</v>
      </c>
      <c r="U68" s="190">
        <v>834321.55</v>
      </c>
      <c r="V68" s="190">
        <v>1334195.01</v>
      </c>
      <c r="W68" s="190">
        <v>1262842.07</v>
      </c>
      <c r="X68" s="190">
        <v>1177530.25</v>
      </c>
      <c r="Y68" s="190">
        <v>925662.45</v>
      </c>
      <c r="Z68" s="190">
        <v>1133978.74</v>
      </c>
      <c r="AA68" s="190">
        <v>707053.36</v>
      </c>
      <c r="AB68" s="190">
        <v>967877.98</v>
      </c>
      <c r="AC68" s="190">
        <v>982653.74</v>
      </c>
      <c r="AD68" s="190">
        <v>0</v>
      </c>
      <c r="AE68" s="190">
        <v>0</v>
      </c>
      <c r="AF68" s="190">
        <v>0</v>
      </c>
      <c r="AG68" s="190">
        <v>0</v>
      </c>
      <c r="AH68" s="190">
        <v>0</v>
      </c>
      <c r="AI68" s="190">
        <v>0</v>
      </c>
      <c r="AJ68" s="190">
        <v>0</v>
      </c>
      <c r="AK68" s="190">
        <v>0</v>
      </c>
      <c r="AL68" s="190">
        <v>0</v>
      </c>
      <c r="AM68" s="190">
        <v>0</v>
      </c>
      <c r="AN68" s="190">
        <v>51000</v>
      </c>
      <c r="AO68" s="190">
        <v>32328.77</v>
      </c>
      <c r="AP68" s="190">
        <v>0</v>
      </c>
      <c r="AQ68" s="190">
        <v>0</v>
      </c>
      <c r="AR68" s="190">
        <v>0</v>
      </c>
      <c r="AS68" s="190">
        <v>0</v>
      </c>
      <c r="AT68" s="190">
        <v>0</v>
      </c>
      <c r="AU68" s="190">
        <v>0</v>
      </c>
      <c r="AV68" s="190">
        <v>0</v>
      </c>
    </row>
    <row r="69" spans="1:48"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3028571.41</v>
      </c>
      <c r="C70" s="190">
        <v>3777142.84</v>
      </c>
      <c r="D70" s="190">
        <v>4525714.2699999996</v>
      </c>
      <c r="E70" s="190">
        <v>5274285.7</v>
      </c>
      <c r="F70" s="190">
        <v>6022857.1299999999</v>
      </c>
      <c r="G70" s="190">
        <v>6771428.5599999996</v>
      </c>
      <c r="H70" s="190">
        <v>7519999.9900000002</v>
      </c>
      <c r="I70" s="190">
        <v>8268571.4199999999</v>
      </c>
      <c r="J70" s="190">
        <v>9017142.8499999996</v>
      </c>
      <c r="K70" s="190">
        <v>18444384.280000001</v>
      </c>
      <c r="L70" s="190">
        <v>20484675.710000001</v>
      </c>
      <c r="M70" s="190">
        <v>21233247.140000001</v>
      </c>
      <c r="N70" s="190">
        <v>21034858.57</v>
      </c>
      <c r="O70" s="190">
        <v>30806860</v>
      </c>
      <c r="P70" s="190">
        <v>31900191.43</v>
      </c>
      <c r="Q70" s="190">
        <v>32648762.859999999</v>
      </c>
      <c r="R70" s="190">
        <v>15005714.279999999</v>
      </c>
      <c r="S70" s="190">
        <v>15754285.710000001</v>
      </c>
      <c r="T70" s="190">
        <v>17251428.57</v>
      </c>
      <c r="U70" s="190">
        <v>17251428.57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3792033.92</v>
      </c>
      <c r="C71" s="190">
        <v>4785229.55</v>
      </c>
      <c r="D71" s="190">
        <v>5105997.26</v>
      </c>
      <c r="E71" s="190">
        <v>6095807.25</v>
      </c>
      <c r="F71" s="190">
        <v>7740379.75</v>
      </c>
      <c r="G71" s="190">
        <v>7946259.8399999999</v>
      </c>
      <c r="H71" s="190">
        <v>9163364.1699999999</v>
      </c>
      <c r="I71" s="190">
        <v>10169789.720000001</v>
      </c>
      <c r="J71" s="190">
        <v>9694079.9000000004</v>
      </c>
      <c r="K71" s="190">
        <v>18846606</v>
      </c>
      <c r="L71" s="190">
        <v>22068569.609999999</v>
      </c>
      <c r="M71" s="190">
        <v>23596464.579999998</v>
      </c>
      <c r="N71" s="190">
        <v>24029629.539999999</v>
      </c>
      <c r="O71" s="190">
        <v>34450185.030000001</v>
      </c>
      <c r="P71" s="190">
        <v>35308166.369999997</v>
      </c>
      <c r="Q71" s="190">
        <v>34433280.030000001</v>
      </c>
      <c r="R71" s="190">
        <v>19328756.030000001</v>
      </c>
      <c r="S71" s="190">
        <v>18551379.629999999</v>
      </c>
      <c r="T71" s="190">
        <v>18785048.18</v>
      </c>
      <c r="U71" s="190">
        <v>18085750.120000001</v>
      </c>
      <c r="V71" s="190">
        <v>1334195.01</v>
      </c>
      <c r="W71" s="190">
        <v>1262842.07</v>
      </c>
      <c r="X71" s="190">
        <v>1177530.25</v>
      </c>
      <c r="Y71" s="190">
        <v>925662.45</v>
      </c>
      <c r="Z71" s="190">
        <v>1133978.74</v>
      </c>
      <c r="AA71" s="190">
        <v>707053.36</v>
      </c>
      <c r="AB71" s="190">
        <v>967877.98</v>
      </c>
      <c r="AC71" s="190">
        <v>982653.74</v>
      </c>
      <c r="AD71" s="190">
        <v>0</v>
      </c>
      <c r="AE71" s="190">
        <v>0</v>
      </c>
      <c r="AF71" s="190">
        <v>0</v>
      </c>
      <c r="AG71" s="190">
        <v>0</v>
      </c>
      <c r="AH71" s="190">
        <v>0</v>
      </c>
      <c r="AI71" s="190">
        <v>0</v>
      </c>
      <c r="AJ71" s="190">
        <v>0</v>
      </c>
      <c r="AK71" s="190">
        <v>0</v>
      </c>
      <c r="AL71" s="190">
        <v>0</v>
      </c>
      <c r="AM71" s="190">
        <v>0</v>
      </c>
      <c r="AN71" s="190">
        <v>51000</v>
      </c>
      <c r="AO71" s="190">
        <v>32328.77</v>
      </c>
      <c r="AP71" s="190">
        <v>0</v>
      </c>
      <c r="AQ71" s="190">
        <v>0</v>
      </c>
      <c r="AR71" s="190">
        <v>0</v>
      </c>
      <c r="AS71" s="190">
        <v>0</v>
      </c>
      <c r="AT71" s="190">
        <v>0</v>
      </c>
      <c r="AU71" s="190">
        <v>0</v>
      </c>
      <c r="AV71" s="190">
        <v>0</v>
      </c>
    </row>
    <row r="72" spans="1:48" x14ac:dyDescent="0.25">
      <c r="A72" s="190" t="s">
        <v>176</v>
      </c>
      <c r="B72" s="190">
        <v>1577051451.51</v>
      </c>
      <c r="C72" s="190">
        <v>1587727878.79</v>
      </c>
      <c r="D72" s="190">
        <v>1180033399.4400001</v>
      </c>
      <c r="E72" s="190">
        <v>1768528450.54</v>
      </c>
      <c r="F72" s="190">
        <v>1366824227.76</v>
      </c>
      <c r="G72" s="190">
        <v>1301043357.95</v>
      </c>
      <c r="H72" s="190">
        <v>1286388824.1900001</v>
      </c>
      <c r="I72" s="190">
        <v>2078671205.22</v>
      </c>
      <c r="J72" s="190">
        <v>1539704414.8800001</v>
      </c>
      <c r="K72" s="190">
        <v>1426204016.1199999</v>
      </c>
      <c r="L72" s="190">
        <v>1882832000.48</v>
      </c>
      <c r="M72" s="190">
        <v>2532009832.8699999</v>
      </c>
      <c r="N72" s="190">
        <v>1984324703.6800001</v>
      </c>
      <c r="O72" s="190">
        <v>1653924068.3699999</v>
      </c>
      <c r="P72" s="190">
        <v>1194958609</v>
      </c>
      <c r="Q72" s="190">
        <v>1749213310.75</v>
      </c>
      <c r="R72" s="190">
        <v>1598257438.1800001</v>
      </c>
      <c r="S72" s="190">
        <v>1696547636.01</v>
      </c>
      <c r="T72" s="190">
        <v>1543990477.48</v>
      </c>
      <c r="U72" s="190">
        <v>1445883081.0799999</v>
      </c>
      <c r="V72" s="190">
        <v>1191594046.4300001</v>
      </c>
      <c r="W72" s="190">
        <v>1279775909.99</v>
      </c>
      <c r="X72" s="190">
        <v>1009848469.4</v>
      </c>
      <c r="Y72" s="190">
        <v>1306099142.3299999</v>
      </c>
      <c r="Z72" s="190">
        <v>1042404364.46</v>
      </c>
      <c r="AA72" s="190">
        <v>1014421781.59</v>
      </c>
      <c r="AB72" s="190">
        <v>1012889300</v>
      </c>
      <c r="AC72" s="190">
        <v>1277015328.1600001</v>
      </c>
      <c r="AD72" s="190">
        <v>1563171956.28</v>
      </c>
      <c r="AE72" s="190">
        <v>1054385780.1</v>
      </c>
      <c r="AF72" s="190">
        <v>1053127649.62</v>
      </c>
      <c r="AG72" s="190">
        <v>1303458251.28</v>
      </c>
      <c r="AH72" s="190">
        <v>1414064871.1900001</v>
      </c>
      <c r="AI72" s="190">
        <v>1345887263.04</v>
      </c>
      <c r="AJ72" s="190">
        <v>768297219.16999996</v>
      </c>
      <c r="AK72" s="190">
        <v>1180276179.97</v>
      </c>
      <c r="AL72" s="190">
        <v>899124834.45000005</v>
      </c>
      <c r="AM72" s="190">
        <v>1090273488.8599999</v>
      </c>
      <c r="AN72" s="190">
        <v>877605676.13</v>
      </c>
      <c r="AO72" s="190">
        <v>1259095272.1500001</v>
      </c>
      <c r="AP72" s="190">
        <v>895193670.73000002</v>
      </c>
      <c r="AQ72" s="190">
        <v>610850528.60000002</v>
      </c>
      <c r="AR72" s="190">
        <v>555332078.37</v>
      </c>
      <c r="AS72" s="190">
        <v>685514399.19000006</v>
      </c>
      <c r="AT72" s="190">
        <v>389276204.26999998</v>
      </c>
      <c r="AU72" s="190">
        <v>148494473.75999999</v>
      </c>
      <c r="AV72" s="190">
        <v>0</v>
      </c>
    </row>
    <row r="73" spans="1:48" x14ac:dyDescent="0.25">
      <c r="A73" s="190" t="s">
        <v>177</v>
      </c>
    </row>
    <row r="74" spans="1:48" x14ac:dyDescent="0.25">
      <c r="A74" s="190" t="s">
        <v>178</v>
      </c>
      <c r="B74" s="190">
        <v>767511000</v>
      </c>
      <c r="C74" s="190">
        <v>767511000</v>
      </c>
      <c r="D74" s="190">
        <v>767511000</v>
      </c>
      <c r="E74" s="190">
        <v>767511000</v>
      </c>
      <c r="F74" s="190">
        <v>767523000</v>
      </c>
      <c r="G74" s="190">
        <v>767523000</v>
      </c>
      <c r="H74" s="190">
        <v>767559000</v>
      </c>
      <c r="I74" s="190">
        <v>767559000</v>
      </c>
      <c r="J74" s="190">
        <v>767583000</v>
      </c>
      <c r="K74" s="190">
        <v>767583000</v>
      </c>
      <c r="L74" s="190">
        <v>767715000</v>
      </c>
      <c r="M74" s="190">
        <v>767715000</v>
      </c>
      <c r="N74" s="190">
        <v>767755000</v>
      </c>
      <c r="O74" s="190">
        <v>767755000</v>
      </c>
      <c r="P74" s="190">
        <v>767885000</v>
      </c>
      <c r="Q74" s="190">
        <v>767885000</v>
      </c>
      <c r="R74" s="190">
        <v>767885000</v>
      </c>
      <c r="S74" s="190">
        <v>760950000</v>
      </c>
      <c r="T74" s="190">
        <v>760950000</v>
      </c>
      <c r="U74" s="190">
        <v>760950000</v>
      </c>
      <c r="V74" s="190">
        <v>760950000</v>
      </c>
      <c r="W74" s="190">
        <v>760950000</v>
      </c>
      <c r="X74" s="190">
        <v>760950000</v>
      </c>
      <c r="Y74" s="190">
        <v>760950000</v>
      </c>
      <c r="Z74" s="190">
        <v>760950000</v>
      </c>
      <c r="AA74" s="190">
        <v>760950000</v>
      </c>
      <c r="AB74" s="190">
        <v>760950000</v>
      </c>
      <c r="AC74" s="190">
        <v>760950000</v>
      </c>
      <c r="AD74" s="190">
        <v>760950000</v>
      </c>
      <c r="AE74" s="190">
        <v>760950000</v>
      </c>
      <c r="AF74" s="190">
        <v>760950000</v>
      </c>
      <c r="AG74" s="190">
        <v>760950000</v>
      </c>
      <c r="AH74" s="190">
        <v>760950000</v>
      </c>
      <c r="AI74" s="190">
        <v>760950000</v>
      </c>
      <c r="AJ74" s="190">
        <v>507300000</v>
      </c>
      <c r="AK74" s="190">
        <v>507300000</v>
      </c>
      <c r="AL74" s="190">
        <v>507300000</v>
      </c>
      <c r="AM74" s="190">
        <v>507300000</v>
      </c>
      <c r="AN74" s="190">
        <v>267000000</v>
      </c>
      <c r="AO74" s="190">
        <v>267000000</v>
      </c>
      <c r="AP74" s="190">
        <v>267000000</v>
      </c>
      <c r="AQ74" s="190">
        <v>267000000</v>
      </c>
      <c r="AR74" s="190">
        <v>200000000</v>
      </c>
      <c r="AS74" s="190">
        <v>200000000</v>
      </c>
      <c r="AT74" s="190">
        <v>13500000</v>
      </c>
      <c r="AU74" s="190">
        <v>13500000</v>
      </c>
      <c r="AV74" s="190">
        <v>0</v>
      </c>
    </row>
    <row r="75" spans="1:48" x14ac:dyDescent="0.25">
      <c r="A75" s="190" t="s">
        <v>179</v>
      </c>
      <c r="B75" s="190">
        <v>819301995.60000002</v>
      </c>
      <c r="C75" s="190">
        <v>819301995.60000002</v>
      </c>
      <c r="D75" s="190">
        <v>896390362.04999995</v>
      </c>
      <c r="E75" s="190">
        <v>896390362.04999995</v>
      </c>
      <c r="F75" s="190">
        <v>937208231.61000001</v>
      </c>
      <c r="G75" s="190">
        <v>936722126.16999996</v>
      </c>
      <c r="H75" s="190">
        <v>936066606.04999995</v>
      </c>
      <c r="I75" s="190">
        <v>935329402</v>
      </c>
      <c r="J75" s="190">
        <v>934642071.24000001</v>
      </c>
      <c r="K75" s="190">
        <v>933781417.85000002</v>
      </c>
      <c r="L75" s="190">
        <v>935477286.88</v>
      </c>
      <c r="M75" s="190">
        <v>934499431.63</v>
      </c>
      <c r="N75" s="190">
        <v>933643216.51999998</v>
      </c>
      <c r="O75" s="190">
        <v>932344680.82000005</v>
      </c>
      <c r="P75" s="190">
        <v>931274380.82000005</v>
      </c>
      <c r="Q75" s="190">
        <v>929658530.82000005</v>
      </c>
      <c r="R75" s="190">
        <v>927504064.14999998</v>
      </c>
      <c r="S75" s="190">
        <v>903786364.14999998</v>
      </c>
      <c r="T75" s="190">
        <v>903786364.14999998</v>
      </c>
      <c r="U75" s="190">
        <v>903786364.14999998</v>
      </c>
      <c r="V75" s="190">
        <v>903786364.14999998</v>
      </c>
      <c r="W75" s="190">
        <v>903786364.14999998</v>
      </c>
      <c r="X75" s="190">
        <v>903786364.14999998</v>
      </c>
      <c r="Y75" s="190">
        <v>903786364.14999998</v>
      </c>
      <c r="Z75" s="190">
        <v>903786364.14999998</v>
      </c>
      <c r="AA75" s="190">
        <v>903786364.14999998</v>
      </c>
      <c r="AB75" s="190">
        <v>903786364.14999998</v>
      </c>
      <c r="AC75" s="190">
        <v>903786364.14999998</v>
      </c>
      <c r="AD75" s="190">
        <v>903461527.86000001</v>
      </c>
      <c r="AE75" s="190">
        <v>903461527.86000001</v>
      </c>
      <c r="AF75" s="190">
        <v>903461527.86000001</v>
      </c>
      <c r="AG75" s="190">
        <v>903461527.86000001</v>
      </c>
      <c r="AH75" s="190">
        <v>903461527.86000001</v>
      </c>
      <c r="AI75" s="190">
        <v>903461527.86000001</v>
      </c>
      <c r="AJ75" s="190">
        <v>1157111527.8599999</v>
      </c>
      <c r="AK75" s="190">
        <v>1157111527.8599999</v>
      </c>
      <c r="AL75" s="190">
        <v>1157111527.8599999</v>
      </c>
      <c r="AM75" s="190">
        <v>1157111527.8599999</v>
      </c>
      <c r="AN75" s="190">
        <v>1397411527.8599999</v>
      </c>
      <c r="AO75" s="190">
        <v>1397411527.8599999</v>
      </c>
      <c r="AP75" s="190">
        <v>1397411527.8599999</v>
      </c>
      <c r="AQ75" s="190">
        <v>1397411527.8599999</v>
      </c>
      <c r="AR75" s="190">
        <v>5673194.3300000001</v>
      </c>
      <c r="AS75" s="190">
        <v>5673194.3300000001</v>
      </c>
      <c r="AT75" s="190">
        <v>45573725.729999997</v>
      </c>
      <c r="AU75" s="190">
        <v>519667.1</v>
      </c>
      <c r="AV75" s="190">
        <v>0</v>
      </c>
    </row>
    <row r="76" spans="1:48" x14ac:dyDescent="0.25">
      <c r="A76" s="190" t="s">
        <v>180</v>
      </c>
      <c r="B76" s="190">
        <v>8211947.0300000003</v>
      </c>
      <c r="C76" s="190">
        <v>8211947.0300000003</v>
      </c>
      <c r="D76" s="190">
        <v>85300313.480000004</v>
      </c>
      <c r="E76" s="190">
        <v>64941904.130000003</v>
      </c>
      <c r="F76" s="190">
        <v>37440</v>
      </c>
      <c r="G76" s="190">
        <v>8513310</v>
      </c>
      <c r="H76" s="190">
        <v>8625630</v>
      </c>
      <c r="I76" s="190">
        <v>8625630</v>
      </c>
      <c r="J76" s="190">
        <v>8625630</v>
      </c>
      <c r="K76" s="190">
        <v>17357340</v>
      </c>
      <c r="L76" s="190">
        <v>17940780</v>
      </c>
      <c r="M76" s="190">
        <v>17940780</v>
      </c>
      <c r="N76" s="190">
        <v>30078100</v>
      </c>
      <c r="O76" s="190">
        <v>30078100</v>
      </c>
      <c r="P76" s="190">
        <v>30652700</v>
      </c>
      <c r="Q76" s="190">
        <v>30652700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-5386562.0300000003</v>
      </c>
      <c r="C77" s="190">
        <v>-4930636.25</v>
      </c>
      <c r="D77" s="190">
        <v>-2710537.08</v>
      </c>
      <c r="E77" s="190">
        <v>-3111719.59</v>
      </c>
      <c r="F77" s="190">
        <v>-765604.82</v>
      </c>
      <c r="G77" s="190">
        <v>-1178036.08</v>
      </c>
      <c r="H77" s="190">
        <v>-545244.72</v>
      </c>
      <c r="I77" s="190">
        <v>-548496.84</v>
      </c>
      <c r="J77" s="190">
        <v>-1209792.54</v>
      </c>
      <c r="K77" s="190">
        <v>-1161379.55</v>
      </c>
      <c r="L77" s="190">
        <v>1230817.1100000001</v>
      </c>
      <c r="M77" s="190">
        <v>1230817.1100000001</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397820873.70999998</v>
      </c>
      <c r="C79" s="190">
        <v>397820873.70999998</v>
      </c>
      <c r="D79" s="190">
        <v>397820873.70999998</v>
      </c>
      <c r="E79" s="190">
        <v>397820873.70999998</v>
      </c>
      <c r="F79" s="190">
        <v>397820873.70999998</v>
      </c>
      <c r="G79" s="190">
        <v>397820873.70999998</v>
      </c>
      <c r="H79" s="190">
        <v>397820873.70999998</v>
      </c>
      <c r="I79" s="190">
        <v>397820873.70999998</v>
      </c>
      <c r="J79" s="190">
        <v>397820873.70999998</v>
      </c>
      <c r="K79" s="190">
        <v>397820873.70999998</v>
      </c>
      <c r="L79" s="190">
        <v>397820873.70999998</v>
      </c>
      <c r="M79" s="190">
        <v>397820873.70999998</v>
      </c>
      <c r="N79" s="190">
        <v>397820873.70999998</v>
      </c>
      <c r="O79" s="190">
        <v>397820873.70999998</v>
      </c>
      <c r="P79" s="190">
        <v>397820873.70999998</v>
      </c>
      <c r="Q79" s="190">
        <v>397820873.70999998</v>
      </c>
      <c r="R79" s="190">
        <v>397820873.70999998</v>
      </c>
      <c r="S79" s="190">
        <v>397820873.70999998</v>
      </c>
      <c r="T79" s="190">
        <v>397820873.70999998</v>
      </c>
      <c r="U79" s="190">
        <v>397820873.70999998</v>
      </c>
      <c r="V79" s="190">
        <v>397820873.70999998</v>
      </c>
      <c r="W79" s="190">
        <v>397820873.70999998</v>
      </c>
      <c r="X79" s="190">
        <v>397820873.70999998</v>
      </c>
      <c r="Y79" s="190">
        <v>397820873.70999998</v>
      </c>
      <c r="Z79" s="190">
        <v>329976578.39999998</v>
      </c>
      <c r="AA79" s="190">
        <v>329976578.39999998</v>
      </c>
      <c r="AB79" s="190">
        <v>329976578.39999998</v>
      </c>
      <c r="AC79" s="190">
        <v>329976578.39999998</v>
      </c>
      <c r="AD79" s="190">
        <v>310312744.37</v>
      </c>
      <c r="AE79" s="190">
        <v>310312744.37</v>
      </c>
      <c r="AF79" s="190">
        <v>249397474.68000001</v>
      </c>
      <c r="AG79" s="190">
        <v>249397474.68000001</v>
      </c>
      <c r="AH79" s="190">
        <v>156692339.05000001</v>
      </c>
      <c r="AI79" s="190">
        <v>156692339.05000001</v>
      </c>
      <c r="AJ79" s="190">
        <v>156692339.05000001</v>
      </c>
      <c r="AK79" s="190">
        <v>156692339.05000001</v>
      </c>
      <c r="AL79" s="190">
        <v>78254374.269999996</v>
      </c>
      <c r="AM79" s="190">
        <v>78254374.269999996</v>
      </c>
      <c r="AN79" s="190">
        <v>78254374.269999996</v>
      </c>
      <c r="AO79" s="190">
        <v>78254374.269999996</v>
      </c>
      <c r="AP79" s="190">
        <v>65847162.469999999</v>
      </c>
      <c r="AQ79" s="190">
        <v>53097076.789999999</v>
      </c>
      <c r="AR79" s="190">
        <v>41950777.07</v>
      </c>
      <c r="AS79" s="190">
        <v>32536463.539999999</v>
      </c>
      <c r="AT79" s="190">
        <v>22398453.710000001</v>
      </c>
      <c r="AU79" s="190">
        <v>10415110.119999999</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1615708353.25</v>
      </c>
      <c r="C81" s="190">
        <v>1417169454.05</v>
      </c>
      <c r="D81" s="190">
        <v>1727888061.3499999</v>
      </c>
      <c r="E81" s="190">
        <v>1580886809.9300001</v>
      </c>
      <c r="F81" s="190">
        <v>1891083651.51</v>
      </c>
      <c r="G81" s="190">
        <v>1713707183.3800001</v>
      </c>
      <c r="H81" s="190">
        <v>1488744592.4000001</v>
      </c>
      <c r="I81" s="190">
        <v>1352474752.5999999</v>
      </c>
      <c r="J81" s="190">
        <v>1200911661.25</v>
      </c>
      <c r="K81" s="190">
        <v>1018491852.08</v>
      </c>
      <c r="L81" s="190">
        <v>1320862909.22</v>
      </c>
      <c r="M81" s="190">
        <v>1192056085.26</v>
      </c>
      <c r="N81" s="190">
        <v>1076959640.3800001</v>
      </c>
      <c r="O81" s="190">
        <v>891212453.25999999</v>
      </c>
      <c r="P81" s="190">
        <v>1151632124.28</v>
      </c>
      <c r="Q81" s="190">
        <v>1032668161.13</v>
      </c>
      <c r="R81" s="190">
        <v>937955835.61000001</v>
      </c>
      <c r="S81" s="190">
        <v>779283050.29999995</v>
      </c>
      <c r="T81" s="190">
        <v>603656030.96000004</v>
      </c>
      <c r="U81" s="190">
        <v>881485804.15999997</v>
      </c>
      <c r="V81" s="190">
        <v>819523764.19000006</v>
      </c>
      <c r="W81" s="190">
        <v>665473366.27999997</v>
      </c>
      <c r="X81" s="190">
        <v>905795324.28999996</v>
      </c>
      <c r="Y81" s="190">
        <v>792254262.13</v>
      </c>
      <c r="Z81" s="190">
        <v>807203359.99000001</v>
      </c>
      <c r="AA81" s="190">
        <v>668178305.30999994</v>
      </c>
      <c r="AB81" s="190">
        <v>629821554.72000003</v>
      </c>
      <c r="AC81" s="190">
        <v>503783912.56</v>
      </c>
      <c r="AD81" s="190">
        <v>472491877.93000001</v>
      </c>
      <c r="AE81" s="190">
        <v>830018882.52999997</v>
      </c>
      <c r="AF81" s="190">
        <v>1118430151.1300001</v>
      </c>
      <c r="AG81" s="190">
        <v>996183423.85000002</v>
      </c>
      <c r="AH81" s="190">
        <v>963896834.30999994</v>
      </c>
      <c r="AI81" s="190">
        <v>771016197.25</v>
      </c>
      <c r="AJ81" s="190">
        <v>935976928</v>
      </c>
      <c r="AK81" s="190">
        <v>853089783.20000005</v>
      </c>
      <c r="AL81" s="190">
        <v>793996930.80999994</v>
      </c>
      <c r="AM81" s="190">
        <v>638937297.94000006</v>
      </c>
      <c r="AN81" s="190">
        <v>663340147.36000001</v>
      </c>
      <c r="AO81" s="190">
        <v>535381563.99000001</v>
      </c>
      <c r="AP81" s="190">
        <v>393806746.06999999</v>
      </c>
      <c r="AQ81" s="190">
        <v>377041957.06</v>
      </c>
      <c r="AR81" s="190">
        <v>262417134.94</v>
      </c>
      <c r="AS81" s="190">
        <v>173047673.71000001</v>
      </c>
      <c r="AT81" s="190">
        <v>129712930.48</v>
      </c>
      <c r="AU81" s="190">
        <v>49415537.159999996</v>
      </c>
      <c r="AV81" s="190">
        <v>0</v>
      </c>
    </row>
    <row r="82" spans="1:48" x14ac:dyDescent="0.25">
      <c r="A82" s="190" t="s">
        <v>186</v>
      </c>
      <c r="B82" s="190">
        <v>3586743713.5</v>
      </c>
      <c r="C82" s="190">
        <v>3388660740.0799999</v>
      </c>
      <c r="D82" s="190">
        <v>3701599446.5500002</v>
      </c>
      <c r="E82" s="190">
        <v>3574555421.9699998</v>
      </c>
      <c r="F82" s="190">
        <v>3992832712.0100002</v>
      </c>
      <c r="G82" s="190">
        <v>3806081837.1799998</v>
      </c>
      <c r="H82" s="190">
        <v>3581020197.4400001</v>
      </c>
      <c r="I82" s="190">
        <v>3444009901.4699998</v>
      </c>
      <c r="J82" s="190">
        <v>3291122183.6599998</v>
      </c>
      <c r="K82" s="190">
        <v>3099158424.0900002</v>
      </c>
      <c r="L82" s="190">
        <v>3405166106.9200001</v>
      </c>
      <c r="M82" s="190">
        <v>3275381427.71</v>
      </c>
      <c r="N82" s="190">
        <v>3146100630.6100001</v>
      </c>
      <c r="O82" s="190">
        <v>2959054907.79</v>
      </c>
      <c r="P82" s="190">
        <v>3217959678.8099999</v>
      </c>
      <c r="Q82" s="190">
        <v>3097379865.6599998</v>
      </c>
      <c r="R82" s="190">
        <v>3031165773.4699998</v>
      </c>
      <c r="S82" s="190">
        <v>2841840288.1599998</v>
      </c>
      <c r="T82" s="190">
        <v>2666213268.8200002</v>
      </c>
      <c r="U82" s="190">
        <v>2944043042.02</v>
      </c>
      <c r="V82" s="190">
        <v>2882081002.0500002</v>
      </c>
      <c r="W82" s="190">
        <v>2728030604.1399999</v>
      </c>
      <c r="X82" s="190">
        <v>2968352562.1500001</v>
      </c>
      <c r="Y82" s="190">
        <v>2854811499.9899998</v>
      </c>
      <c r="Z82" s="190">
        <v>2801916302.54</v>
      </c>
      <c r="AA82" s="190">
        <v>2662891247.8600001</v>
      </c>
      <c r="AB82" s="190">
        <v>2624534497.27</v>
      </c>
      <c r="AC82" s="190">
        <v>2498496855.1100001</v>
      </c>
      <c r="AD82" s="190">
        <v>2447216150.1599998</v>
      </c>
      <c r="AE82" s="190">
        <v>2804743154.7600002</v>
      </c>
      <c r="AF82" s="190">
        <v>3032239153.6700001</v>
      </c>
      <c r="AG82" s="190">
        <v>2909992426.3899999</v>
      </c>
      <c r="AH82" s="190">
        <v>2785000701.2199998</v>
      </c>
      <c r="AI82" s="190">
        <v>2592120064.1599998</v>
      </c>
      <c r="AJ82" s="190">
        <v>2757080794.9099998</v>
      </c>
      <c r="AK82" s="190">
        <v>2674193650.1100001</v>
      </c>
      <c r="AL82" s="190">
        <v>2536662832.9400001</v>
      </c>
      <c r="AM82" s="190">
        <v>2381603200.0700002</v>
      </c>
      <c r="AN82" s="190">
        <v>2406006049.4899998</v>
      </c>
      <c r="AO82" s="190">
        <v>2278047466.1199999</v>
      </c>
      <c r="AP82" s="190">
        <v>2124065436.4000001</v>
      </c>
      <c r="AQ82" s="190">
        <v>2094550561.71</v>
      </c>
      <c r="AR82" s="190">
        <v>510041106.33999997</v>
      </c>
      <c r="AS82" s="190">
        <v>411257331.57999998</v>
      </c>
      <c r="AT82" s="190">
        <v>211185109.91999999</v>
      </c>
      <c r="AU82" s="190">
        <v>73850314.379999995</v>
      </c>
      <c r="AV82" s="190">
        <v>0</v>
      </c>
    </row>
    <row r="83" spans="1:48" x14ac:dyDescent="0.25">
      <c r="A83" s="190" t="s">
        <v>187</v>
      </c>
      <c r="B83" s="190">
        <v>28308574.199999999</v>
      </c>
      <c r="C83" s="190">
        <v>9544670.5500000007</v>
      </c>
      <c r="D83" s="190">
        <v>8385298.29</v>
      </c>
      <c r="E83" s="190">
        <v>7662269.6699999999</v>
      </c>
      <c r="F83" s="190">
        <v>63131165.490000002</v>
      </c>
      <c r="G83" s="190">
        <v>77483312.709999993</v>
      </c>
      <c r="H83" s="190">
        <v>74233353.189999998</v>
      </c>
      <c r="I83" s="190">
        <v>69881863.780000001</v>
      </c>
      <c r="J83" s="190">
        <v>58650856.700000003</v>
      </c>
      <c r="K83" s="190">
        <v>101483956.88</v>
      </c>
      <c r="L83" s="190">
        <v>91855360.260000005</v>
      </c>
      <c r="M83" s="190">
        <v>83205765.510000005</v>
      </c>
      <c r="N83" s="190">
        <v>63909850.32</v>
      </c>
      <c r="O83" s="190">
        <v>48430046.600000001</v>
      </c>
      <c r="P83" s="190">
        <v>123862283.52</v>
      </c>
      <c r="Q83" s="190">
        <v>119162198.51000001</v>
      </c>
      <c r="R83" s="190">
        <v>109973533.33</v>
      </c>
      <c r="S83" s="190">
        <v>86584627.659999996</v>
      </c>
      <c r="T83" s="190">
        <v>162482628.46000001</v>
      </c>
      <c r="U83" s="190">
        <v>143008414.03</v>
      </c>
      <c r="V83" s="190">
        <v>113498693.44</v>
      </c>
      <c r="W83" s="190">
        <v>87642979.060000002</v>
      </c>
      <c r="X83" s="190">
        <v>119067467.91</v>
      </c>
      <c r="Y83" s="190">
        <v>100049430.28</v>
      </c>
      <c r="Z83" s="190">
        <v>84622699.569999993</v>
      </c>
      <c r="AA83" s="190">
        <v>68623906.870000005</v>
      </c>
      <c r="AB83" s="190">
        <v>103590542.37</v>
      </c>
      <c r="AC83" s="190">
        <v>91558037.390000001</v>
      </c>
      <c r="AD83" s="190">
        <v>81770486.010000005</v>
      </c>
      <c r="AE83" s="190">
        <v>69464569.439999998</v>
      </c>
      <c r="AF83" s="190">
        <v>129430583.11</v>
      </c>
      <c r="AG83" s="190">
        <v>119490312.3</v>
      </c>
      <c r="AH83" s="190">
        <v>96185758.299999997</v>
      </c>
      <c r="AI83" s="190">
        <v>67663660.140000001</v>
      </c>
      <c r="AJ83" s="190">
        <v>152850531.99000001</v>
      </c>
      <c r="AK83" s="190">
        <v>150933459.38999999</v>
      </c>
      <c r="AL83" s="190">
        <v>132235559.23</v>
      </c>
      <c r="AM83" s="190">
        <v>97156214.299999997</v>
      </c>
      <c r="AN83" s="190">
        <v>156874471.78999999</v>
      </c>
      <c r="AO83" s="190">
        <v>138997978.49000001</v>
      </c>
      <c r="AP83" s="190">
        <v>101806683.89</v>
      </c>
      <c r="AQ83" s="190">
        <v>77301440.569999993</v>
      </c>
      <c r="AR83" s="190">
        <v>60962878.869999997</v>
      </c>
      <c r="AS83" s="190">
        <v>50229782.490000002</v>
      </c>
      <c r="AT83" s="190">
        <v>36683999.57</v>
      </c>
      <c r="AU83" s="190">
        <v>0</v>
      </c>
      <c r="AV83" s="190">
        <v>0</v>
      </c>
    </row>
    <row r="84" spans="1:48" x14ac:dyDescent="0.25">
      <c r="A84" s="190" t="s">
        <v>188</v>
      </c>
      <c r="B84" s="190">
        <v>3615052287.6999998</v>
      </c>
      <c r="C84" s="190">
        <v>3398205410.6300001</v>
      </c>
      <c r="D84" s="190">
        <v>3709984744.8400002</v>
      </c>
      <c r="E84" s="190">
        <v>3582217691.6399999</v>
      </c>
      <c r="F84" s="190">
        <v>4055963877.5</v>
      </c>
      <c r="G84" s="190">
        <v>3883565149.8899999</v>
      </c>
      <c r="H84" s="190">
        <v>3655253550.6300001</v>
      </c>
      <c r="I84" s="190">
        <v>3513891765.25</v>
      </c>
      <c r="J84" s="190">
        <v>3349773040.3600001</v>
      </c>
      <c r="K84" s="190">
        <v>3200642380.9699998</v>
      </c>
      <c r="L84" s="190">
        <v>3497021467.1799998</v>
      </c>
      <c r="M84" s="190">
        <v>3358587193.2199998</v>
      </c>
      <c r="N84" s="190">
        <v>3210010480.9299998</v>
      </c>
      <c r="O84" s="190">
        <v>3007484954.3899999</v>
      </c>
      <c r="P84" s="190">
        <v>3341821962.3299999</v>
      </c>
      <c r="Q84" s="190">
        <v>3216542064.1700001</v>
      </c>
      <c r="R84" s="190">
        <v>3141139306.8000002</v>
      </c>
      <c r="S84" s="190">
        <v>2928424915.8200002</v>
      </c>
      <c r="T84" s="190">
        <v>2828695897.2800002</v>
      </c>
      <c r="U84" s="190">
        <v>3087051456.0500002</v>
      </c>
      <c r="V84" s="190">
        <v>2995579695.4899998</v>
      </c>
      <c r="W84" s="190">
        <v>2815673583.1999998</v>
      </c>
      <c r="X84" s="190">
        <v>3087420030.0599999</v>
      </c>
      <c r="Y84" s="190">
        <v>2954860930.27</v>
      </c>
      <c r="Z84" s="190">
        <v>2886539002.1100001</v>
      </c>
      <c r="AA84" s="190">
        <v>2731515154.73</v>
      </c>
      <c r="AB84" s="190">
        <v>2728125039.6399999</v>
      </c>
      <c r="AC84" s="190">
        <v>2590054892.5</v>
      </c>
      <c r="AD84" s="190">
        <v>2528986636.1700001</v>
      </c>
      <c r="AE84" s="190">
        <v>2874207724.1999998</v>
      </c>
      <c r="AF84" s="190">
        <v>3161669736.7800002</v>
      </c>
      <c r="AG84" s="190">
        <v>3029482738.6900001</v>
      </c>
      <c r="AH84" s="190">
        <v>2881186459.52</v>
      </c>
      <c r="AI84" s="190">
        <v>2659783724.3000002</v>
      </c>
      <c r="AJ84" s="190">
        <v>2909931326.9000001</v>
      </c>
      <c r="AK84" s="190">
        <v>2825127109.5</v>
      </c>
      <c r="AL84" s="190">
        <v>2668898392.1700001</v>
      </c>
      <c r="AM84" s="190">
        <v>2478759414.3699999</v>
      </c>
      <c r="AN84" s="190">
        <v>2562880521.2800002</v>
      </c>
      <c r="AO84" s="190">
        <v>2417045444.6100001</v>
      </c>
      <c r="AP84" s="190">
        <v>2225872120.29</v>
      </c>
      <c r="AQ84" s="190">
        <v>2171852002.2800002</v>
      </c>
      <c r="AR84" s="190">
        <v>571003985.21000004</v>
      </c>
      <c r="AS84" s="190">
        <v>461487114.06999999</v>
      </c>
      <c r="AT84" s="190">
        <v>247869109.49000001</v>
      </c>
      <c r="AU84" s="190">
        <v>73850314.379999995</v>
      </c>
      <c r="AV84" s="190">
        <v>0</v>
      </c>
    </row>
    <row r="85" spans="1:48" x14ac:dyDescent="0.25">
      <c r="A85" s="190" t="s">
        <v>189</v>
      </c>
      <c r="B85" s="190">
        <v>5192103739.21</v>
      </c>
      <c r="C85" s="190">
        <v>4985933289.4200001</v>
      </c>
      <c r="D85" s="190">
        <v>4890018144.2799997</v>
      </c>
      <c r="E85" s="190">
        <v>5350746142.1800003</v>
      </c>
      <c r="F85" s="190">
        <v>5422788105.2600002</v>
      </c>
      <c r="G85" s="190">
        <v>5184608507.8400002</v>
      </c>
      <c r="H85" s="190">
        <v>4941642374.8199997</v>
      </c>
      <c r="I85" s="190">
        <v>5592562970.4700003</v>
      </c>
      <c r="J85" s="190">
        <v>4889477455.2399998</v>
      </c>
      <c r="K85" s="190">
        <v>4626846397.0900002</v>
      </c>
      <c r="L85" s="190">
        <v>5379853467.6599998</v>
      </c>
      <c r="M85" s="190">
        <v>5890597026.0900002</v>
      </c>
      <c r="N85" s="190">
        <v>5194335184.6099997</v>
      </c>
      <c r="O85" s="190">
        <v>4661409022.7600002</v>
      </c>
      <c r="P85" s="190">
        <v>4536780571.3299999</v>
      </c>
      <c r="Q85" s="190">
        <v>4965755374.9200001</v>
      </c>
      <c r="R85" s="190">
        <v>4739396744.9799995</v>
      </c>
      <c r="S85" s="190">
        <v>4624972551.8299999</v>
      </c>
      <c r="T85" s="190">
        <v>4372686374.7600002</v>
      </c>
      <c r="U85" s="190">
        <v>4532934537.1300001</v>
      </c>
      <c r="V85" s="190">
        <v>4187173741.9200001</v>
      </c>
      <c r="W85" s="190">
        <v>4095449493.1900001</v>
      </c>
      <c r="X85" s="190">
        <v>4097268499.46</v>
      </c>
      <c r="Y85" s="190">
        <v>4260960072.5999999</v>
      </c>
      <c r="Z85" s="190">
        <v>3928943366.5700002</v>
      </c>
      <c r="AA85" s="190">
        <v>3745936936.3200002</v>
      </c>
      <c r="AB85" s="190">
        <v>3741014339.6399999</v>
      </c>
      <c r="AC85" s="190">
        <v>3867070220.6599998</v>
      </c>
      <c r="AD85" s="190">
        <v>4092158592.4499998</v>
      </c>
      <c r="AE85" s="190">
        <v>3928593504.3000002</v>
      </c>
      <c r="AF85" s="190">
        <v>4214797386.4000001</v>
      </c>
      <c r="AG85" s="190">
        <v>4332940989.9700003</v>
      </c>
      <c r="AH85" s="190">
        <v>4295251330.71</v>
      </c>
      <c r="AI85" s="190">
        <v>4005670987.3400002</v>
      </c>
      <c r="AJ85" s="190">
        <v>3678228546.0700002</v>
      </c>
      <c r="AK85" s="190">
        <v>4005403289.4699998</v>
      </c>
      <c r="AL85" s="190">
        <v>3568023226.6199999</v>
      </c>
      <c r="AM85" s="190">
        <v>3569032903.23</v>
      </c>
      <c r="AN85" s="190">
        <v>3440486197.4099998</v>
      </c>
      <c r="AO85" s="190">
        <v>3676140716.7600002</v>
      </c>
      <c r="AP85" s="190">
        <v>3121065791.02</v>
      </c>
      <c r="AQ85" s="190">
        <v>2782702530.8800001</v>
      </c>
      <c r="AR85" s="190">
        <v>1126336063.5799999</v>
      </c>
      <c r="AS85" s="190">
        <v>1147001513.26</v>
      </c>
      <c r="AT85" s="190">
        <v>637145313.75999999</v>
      </c>
      <c r="AU85" s="190">
        <v>222344788.13999999</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2" width="13.88671875" style="190" hidden="1" customWidth="1"/>
    <col min="3" max="4" width="12.77734375" style="190" hidden="1" customWidth="1"/>
    <col min="5" max="5" width="12.77734375" style="190" bestFit="1" customWidth="1"/>
    <col min="6" max="8" width="12.777343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3.88671875" style="190" hidden="1" customWidth="1"/>
    <col min="39" max="40" width="12.77734375" style="190" hidden="1" customWidth="1"/>
    <col min="41" max="41" width="13.886718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5438132763.3199997</v>
      </c>
      <c r="C3" s="190">
        <v>3639589109.46</v>
      </c>
      <c r="D3" s="190">
        <v>1568115691.6400001</v>
      </c>
      <c r="E3" s="190">
        <v>7247524855.71</v>
      </c>
      <c r="F3" s="190">
        <v>5065883183.1800003</v>
      </c>
      <c r="G3" s="190">
        <v>3268813950.4499998</v>
      </c>
      <c r="H3" s="190">
        <v>1485448286.03</v>
      </c>
      <c r="I3" s="190">
        <v>7314804589.3299999</v>
      </c>
      <c r="J3" s="190">
        <v>5034289662.0600004</v>
      </c>
      <c r="K3" s="190">
        <v>3310004420.3299999</v>
      </c>
      <c r="L3" s="190">
        <v>1642780841.9100001</v>
      </c>
      <c r="M3" s="190">
        <v>7060089115.1000004</v>
      </c>
      <c r="N3" s="190">
        <v>5015787441.9099998</v>
      </c>
      <c r="O3" s="190">
        <v>3166625456.5</v>
      </c>
      <c r="P3" s="190">
        <v>1416951061.4000001</v>
      </c>
      <c r="Q3" s="190">
        <v>5943513348.3800001</v>
      </c>
      <c r="R3" s="190">
        <v>4174603890.3899999</v>
      </c>
      <c r="S3" s="190">
        <v>2634286922.3299999</v>
      </c>
      <c r="T3" s="190">
        <v>1162870526.8900001</v>
      </c>
      <c r="U3" s="190">
        <v>5328121623.6099997</v>
      </c>
      <c r="V3" s="190">
        <v>3762579364.75</v>
      </c>
      <c r="W3" s="190">
        <v>2487358094.9200001</v>
      </c>
      <c r="X3" s="190">
        <v>1165556678.8900001</v>
      </c>
      <c r="Y3" s="190">
        <v>4941836029.1599998</v>
      </c>
      <c r="Z3" s="190">
        <v>3677657774.5300002</v>
      </c>
      <c r="AA3" s="190">
        <v>2479065462.6300001</v>
      </c>
      <c r="AB3" s="190">
        <v>1256355671.4000001</v>
      </c>
      <c r="AC3" s="190">
        <v>5199331120.79</v>
      </c>
      <c r="AD3" s="190">
        <v>4006626750.1300001</v>
      </c>
      <c r="AE3" s="190">
        <v>2596159695.6900001</v>
      </c>
      <c r="AF3" s="190">
        <v>1224631597.8399999</v>
      </c>
      <c r="AG3" s="190">
        <v>5346505242.0600004</v>
      </c>
      <c r="AH3" s="190">
        <v>3998717868.4699998</v>
      </c>
      <c r="AI3" s="190">
        <v>2407587167.1900001</v>
      </c>
      <c r="AJ3" s="190">
        <v>846299087.34000003</v>
      </c>
      <c r="AK3" s="190">
        <v>4636424794.75</v>
      </c>
      <c r="AL3" s="190">
        <v>3364435349.9299998</v>
      </c>
      <c r="AM3" s="190">
        <v>2181122166.0999999</v>
      </c>
      <c r="AN3" s="190">
        <v>963326920.47000003</v>
      </c>
      <c r="AO3" s="190">
        <v>4323444775.4799995</v>
      </c>
      <c r="AP3" s="190">
        <v>2734495961.9400001</v>
      </c>
      <c r="AQ3" s="190">
        <v>1614051367.5599999</v>
      </c>
      <c r="AR3" s="190">
        <v>701754356.17999995</v>
      </c>
      <c r="AS3" s="190">
        <v>1942805380.28</v>
      </c>
      <c r="AT3" s="190">
        <v>1197849805.04</v>
      </c>
      <c r="AU3" s="190">
        <v>701639224.75</v>
      </c>
      <c r="AV3" s="190">
        <v>328138362.51999998</v>
      </c>
      <c r="AW3" s="190">
        <v>933814768.39999998</v>
      </c>
      <c r="AX3" s="190">
        <v>750377431.16999996</v>
      </c>
      <c r="AY3" s="190">
        <v>0</v>
      </c>
    </row>
    <row r="4" spans="1:51" x14ac:dyDescent="0.25">
      <c r="A4" s="190" t="s">
        <v>191</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row>
    <row r="5" spans="1:51" x14ac:dyDescent="0.25">
      <c r="A5" s="190" t="s">
        <v>192</v>
      </c>
      <c r="B5" s="190">
        <v>4964679124.3900003</v>
      </c>
      <c r="C5" s="190">
        <v>3349058455.5500002</v>
      </c>
      <c r="D5" s="190">
        <v>1393952547.6199999</v>
      </c>
      <c r="E5" s="190">
        <v>6574596174.8199997</v>
      </c>
      <c r="F5" s="190">
        <v>4501626003.4899998</v>
      </c>
      <c r="G5" s="190">
        <v>2892730188.0500002</v>
      </c>
      <c r="H5" s="190">
        <v>1323613533.8699999</v>
      </c>
      <c r="I5" s="190">
        <v>6594003145.6599998</v>
      </c>
      <c r="J5" s="190">
        <v>4440629695.8599997</v>
      </c>
      <c r="K5" s="190">
        <v>2904046374.2399998</v>
      </c>
      <c r="L5" s="190">
        <v>1467388769.27</v>
      </c>
      <c r="M5" s="190">
        <v>6353682110.2600002</v>
      </c>
      <c r="N5" s="190">
        <v>4442172270.8400002</v>
      </c>
      <c r="O5" s="190">
        <v>2785398968.9299998</v>
      </c>
      <c r="P5" s="190">
        <v>1266988983.7</v>
      </c>
      <c r="Q5" s="190">
        <v>5261980961.9099998</v>
      </c>
      <c r="R5" s="190">
        <v>3570657547.6399999</v>
      </c>
      <c r="S5" s="190">
        <v>2251388338.9499998</v>
      </c>
      <c r="T5" s="190">
        <v>1014767682.08</v>
      </c>
      <c r="U5" s="190">
        <v>4665930025.0900002</v>
      </c>
      <c r="V5" s="190">
        <v>3205174100.4000001</v>
      </c>
      <c r="W5" s="190">
        <v>2138415534.6700001</v>
      </c>
      <c r="X5" s="190">
        <v>1001515075.85</v>
      </c>
      <c r="Y5" s="190">
        <v>4306169424.4300003</v>
      </c>
      <c r="Z5" s="190">
        <v>3120220702.9099998</v>
      </c>
      <c r="AA5" s="190">
        <v>2107443676.1199999</v>
      </c>
      <c r="AB5" s="190">
        <v>1082276600.6300001</v>
      </c>
      <c r="AC5" s="190">
        <v>4502771827.5299997</v>
      </c>
      <c r="AD5" s="190">
        <v>3388180743.3000002</v>
      </c>
      <c r="AE5" s="190">
        <v>2206432913.98</v>
      </c>
      <c r="AF5" s="190">
        <v>1055943971.61</v>
      </c>
      <c r="AG5" s="190">
        <v>4533306414.1000004</v>
      </c>
      <c r="AH5" s="190">
        <v>3335926942.0599999</v>
      </c>
      <c r="AI5" s="190">
        <v>2024410268.6800001</v>
      </c>
      <c r="AJ5" s="190">
        <v>746077303.73000002</v>
      </c>
      <c r="AK5" s="190">
        <v>3903934628.3699999</v>
      </c>
      <c r="AL5" s="190">
        <v>2738111609.3699999</v>
      </c>
      <c r="AM5" s="190">
        <v>1772181390</v>
      </c>
      <c r="AN5" s="190">
        <v>791909083.77999997</v>
      </c>
      <c r="AO5" s="190">
        <v>3589233610.7199998</v>
      </c>
      <c r="AP5" s="190">
        <v>2188856250.4000001</v>
      </c>
      <c r="AQ5" s="190">
        <v>1294072838.1199999</v>
      </c>
      <c r="AR5" s="190">
        <v>566712157.02999997</v>
      </c>
      <c r="AS5" s="190">
        <v>1537205761.3199999</v>
      </c>
      <c r="AT5" s="190">
        <v>958172971.76999998</v>
      </c>
      <c r="AU5" s="190">
        <v>557246233.33000004</v>
      </c>
      <c r="AV5" s="190">
        <v>254419204.65000001</v>
      </c>
      <c r="AW5" s="190">
        <v>890758248.38</v>
      </c>
      <c r="AX5" s="190">
        <v>706866626.54999995</v>
      </c>
      <c r="AY5" s="190">
        <v>0</v>
      </c>
    </row>
    <row r="6" spans="1:51" x14ac:dyDescent="0.25">
      <c r="A6" s="190" t="s">
        <v>193</v>
      </c>
      <c r="B6" s="190">
        <v>3676560204.1500001</v>
      </c>
      <c r="C6" s="190">
        <v>2437735567.5500002</v>
      </c>
      <c r="D6" s="190">
        <v>1073681497.16</v>
      </c>
      <c r="E6" s="190">
        <v>4855286572.2700005</v>
      </c>
      <c r="F6" s="190">
        <v>3404461141.1799998</v>
      </c>
      <c r="G6" s="190">
        <v>2215185411.7199998</v>
      </c>
      <c r="H6" s="190">
        <v>1030828261.85</v>
      </c>
      <c r="I6" s="190">
        <v>4922954425.0900002</v>
      </c>
      <c r="J6" s="190">
        <v>3391675578.0500002</v>
      </c>
      <c r="K6" s="190">
        <v>2228368230.21</v>
      </c>
      <c r="L6" s="190">
        <v>1125309842.8900001</v>
      </c>
      <c r="M6" s="190">
        <v>4808845747.7200003</v>
      </c>
      <c r="N6" s="190">
        <v>3411770783.0500002</v>
      </c>
      <c r="O6" s="190">
        <v>2154103694.21</v>
      </c>
      <c r="P6" s="190">
        <v>987438850.91999996</v>
      </c>
      <c r="Q6" s="190">
        <v>4003145392.2800002</v>
      </c>
      <c r="R6" s="190">
        <v>2790202683.0900002</v>
      </c>
      <c r="S6" s="190">
        <v>1755559819.53</v>
      </c>
      <c r="T6" s="190">
        <v>787048352.84000003</v>
      </c>
      <c r="U6" s="190">
        <v>3495965363.6199999</v>
      </c>
      <c r="V6" s="190">
        <v>2461632548.9200001</v>
      </c>
      <c r="W6" s="190">
        <v>1655145048.3299999</v>
      </c>
      <c r="X6" s="190">
        <v>787580375.60000002</v>
      </c>
      <c r="Y6" s="190">
        <v>3209849474.6999998</v>
      </c>
      <c r="Z6" s="190">
        <v>2395190775.0100002</v>
      </c>
      <c r="AA6" s="190">
        <v>1626994711.9100001</v>
      </c>
      <c r="AB6" s="190">
        <v>840133226.70000005</v>
      </c>
      <c r="AC6" s="190">
        <v>3358923758.2399998</v>
      </c>
      <c r="AD6" s="190">
        <v>2589836378.29</v>
      </c>
      <c r="AE6" s="190">
        <v>1667249617.6400001</v>
      </c>
      <c r="AF6" s="190">
        <v>801738909.25</v>
      </c>
      <c r="AG6" s="190">
        <v>3402944132.3800001</v>
      </c>
      <c r="AH6" s="190">
        <v>2516794574.5300002</v>
      </c>
      <c r="AI6" s="190">
        <v>1513989553.8900001</v>
      </c>
      <c r="AJ6" s="190">
        <v>560025855.28999996</v>
      </c>
      <c r="AK6" s="190">
        <v>2844982800</v>
      </c>
      <c r="AL6" s="190">
        <v>2039137472.8900001</v>
      </c>
      <c r="AM6" s="190">
        <v>1311971737.1700001</v>
      </c>
      <c r="AN6" s="190">
        <v>594809286.71000004</v>
      </c>
      <c r="AO6" s="190">
        <v>2674227267.21</v>
      </c>
      <c r="AP6" s="190">
        <v>1691095566.23</v>
      </c>
      <c r="AQ6" s="190">
        <v>1023390799.78</v>
      </c>
      <c r="AR6" s="190">
        <v>457592573.97000003</v>
      </c>
      <c r="AS6" s="190">
        <v>1235544296.72</v>
      </c>
      <c r="AT6" s="190">
        <v>772816650.86000001</v>
      </c>
      <c r="AU6" s="190">
        <v>443017497.97000003</v>
      </c>
      <c r="AV6" s="190">
        <v>210822487.97999999</v>
      </c>
      <c r="AW6" s="190">
        <v>784073264.45000005</v>
      </c>
      <c r="AX6" s="190">
        <v>620793406.78999996</v>
      </c>
      <c r="AY6" s="190">
        <v>0</v>
      </c>
    </row>
    <row r="7" spans="1:51" x14ac:dyDescent="0.25">
      <c r="A7" s="190" t="s">
        <v>194</v>
      </c>
      <c r="B7" s="190">
        <v>30556132.809999999</v>
      </c>
      <c r="C7" s="190">
        <v>24810557.530000001</v>
      </c>
      <c r="D7" s="190">
        <v>10387740.16</v>
      </c>
      <c r="E7" s="190">
        <v>61130310.439999998</v>
      </c>
      <c r="F7" s="190">
        <v>39840991.350000001</v>
      </c>
      <c r="G7" s="190">
        <v>25865261.82</v>
      </c>
      <c r="H7" s="190">
        <v>11058972.09</v>
      </c>
      <c r="I7" s="190">
        <v>54388863.649999999</v>
      </c>
      <c r="J7" s="190">
        <v>31864279.68</v>
      </c>
      <c r="K7" s="190">
        <v>20018465.309999999</v>
      </c>
      <c r="L7" s="190">
        <v>11921552.17</v>
      </c>
      <c r="M7" s="190">
        <v>45672755.68</v>
      </c>
      <c r="N7" s="190">
        <v>32608840.350000001</v>
      </c>
      <c r="O7" s="190">
        <v>20653816.809999999</v>
      </c>
      <c r="P7" s="190">
        <v>10526313.689999999</v>
      </c>
      <c r="Q7" s="190">
        <v>31830320.140000001</v>
      </c>
      <c r="R7" s="190">
        <v>23258170.02</v>
      </c>
      <c r="S7" s="190">
        <v>14099682.970000001</v>
      </c>
      <c r="T7" s="190">
        <v>6733916.8099999996</v>
      </c>
      <c r="U7" s="190">
        <v>33609379.689999998</v>
      </c>
      <c r="V7" s="190">
        <v>23169010.32</v>
      </c>
      <c r="W7" s="190">
        <v>15633570.029999999</v>
      </c>
      <c r="X7" s="190">
        <v>6433107.0300000003</v>
      </c>
      <c r="Y7" s="190">
        <v>30734206.149999999</v>
      </c>
      <c r="Z7" s="190">
        <v>21732450.719999999</v>
      </c>
      <c r="AA7" s="190">
        <v>13878163.41</v>
      </c>
      <c r="AB7" s="190">
        <v>7179150.4699999997</v>
      </c>
      <c r="AC7" s="190">
        <v>39110012.380000003</v>
      </c>
      <c r="AD7" s="190">
        <v>33183026.82</v>
      </c>
      <c r="AE7" s="190">
        <v>24950579.550000001</v>
      </c>
      <c r="AF7" s="190">
        <v>5547132.1200000001</v>
      </c>
      <c r="AG7" s="190">
        <v>8974644.0399999991</v>
      </c>
      <c r="AH7" s="190">
        <v>5560553.5800000001</v>
      </c>
      <c r="AI7" s="190">
        <v>3452778.88</v>
      </c>
      <c r="AJ7" s="190">
        <v>1383151.24</v>
      </c>
      <c r="AK7" s="190">
        <v>5294021.2699999996</v>
      </c>
      <c r="AL7" s="190">
        <v>3796093.6</v>
      </c>
      <c r="AM7" s="190">
        <v>1832760.97</v>
      </c>
      <c r="AN7" s="190">
        <v>565146.41</v>
      </c>
      <c r="AO7" s="190">
        <v>2627887.89</v>
      </c>
      <c r="AP7" s="190">
        <v>1951181.07</v>
      </c>
      <c r="AQ7" s="190">
        <v>1112142.28</v>
      </c>
      <c r="AR7" s="190">
        <v>577044.14</v>
      </c>
      <c r="AS7" s="190">
        <v>1033905.85</v>
      </c>
      <c r="AT7" s="190">
        <v>621821.49</v>
      </c>
      <c r="AU7" s="190">
        <v>313250.71000000002</v>
      </c>
      <c r="AV7" s="190">
        <v>92119.1</v>
      </c>
      <c r="AW7" s="190">
        <v>0</v>
      </c>
      <c r="AX7" s="190">
        <v>270516.59000000003</v>
      </c>
      <c r="AY7" s="190">
        <v>0</v>
      </c>
    </row>
    <row r="8" spans="1:51" x14ac:dyDescent="0.25">
      <c r="A8" s="190" t="s">
        <v>195</v>
      </c>
      <c r="B8" s="190">
        <v>888198333.95000005</v>
      </c>
      <c r="C8" s="190">
        <v>632323849.15999997</v>
      </c>
      <c r="D8" s="190">
        <v>203499242.50999999</v>
      </c>
      <c r="E8" s="190">
        <v>1092858447.2</v>
      </c>
      <c r="F8" s="190">
        <v>698552924.79999995</v>
      </c>
      <c r="G8" s="190">
        <v>427420749.60000002</v>
      </c>
      <c r="H8" s="190">
        <v>189669153.81</v>
      </c>
      <c r="I8" s="190">
        <v>1103306058.27</v>
      </c>
      <c r="J8" s="190">
        <v>657469710.71000004</v>
      </c>
      <c r="K8" s="190">
        <v>424011562.04000002</v>
      </c>
      <c r="L8" s="190">
        <v>213674019.49000001</v>
      </c>
      <c r="M8" s="190">
        <v>988915582.62</v>
      </c>
      <c r="N8" s="190">
        <v>622228389.66999996</v>
      </c>
      <c r="O8" s="190">
        <v>388296479.98000002</v>
      </c>
      <c r="P8" s="190">
        <v>175455583.53</v>
      </c>
      <c r="Q8" s="190">
        <v>773397287.25999999</v>
      </c>
      <c r="R8" s="190">
        <v>487538972.50999999</v>
      </c>
      <c r="S8" s="190">
        <v>322719832.57999998</v>
      </c>
      <c r="T8" s="190">
        <v>151288487.80000001</v>
      </c>
      <c r="U8" s="190">
        <v>722082864.97000003</v>
      </c>
      <c r="V8" s="190">
        <v>474361482.44</v>
      </c>
      <c r="W8" s="190">
        <v>316982383.54000002</v>
      </c>
      <c r="X8" s="190">
        <v>128400491.31</v>
      </c>
      <c r="Y8" s="190">
        <v>681720577.60000002</v>
      </c>
      <c r="Z8" s="190">
        <v>465142540.25</v>
      </c>
      <c r="AA8" s="190">
        <v>304591377.61000001</v>
      </c>
      <c r="AB8" s="190">
        <v>151265271.63</v>
      </c>
      <c r="AC8" s="190">
        <v>782929056.92999995</v>
      </c>
      <c r="AD8" s="190">
        <v>550350961.41999996</v>
      </c>
      <c r="AE8" s="190">
        <v>365824714.56999999</v>
      </c>
      <c r="AF8" s="190">
        <v>152509627.34</v>
      </c>
      <c r="AG8" s="190">
        <v>791432429.52999997</v>
      </c>
      <c r="AH8" s="190">
        <v>585319953.14999998</v>
      </c>
      <c r="AI8" s="190">
        <v>372224456.20999998</v>
      </c>
      <c r="AJ8" s="190">
        <v>113771443.88</v>
      </c>
      <c r="AK8" s="190">
        <v>746007178.21000004</v>
      </c>
      <c r="AL8" s="190">
        <v>466863171.10000002</v>
      </c>
      <c r="AM8" s="190">
        <v>301937166.13</v>
      </c>
      <c r="AN8" s="190">
        <v>127310710</v>
      </c>
      <c r="AO8" s="190">
        <v>695847054.13</v>
      </c>
      <c r="AP8" s="190">
        <v>343370690.61000001</v>
      </c>
      <c r="AQ8" s="190">
        <v>165435628.55000001</v>
      </c>
      <c r="AR8" s="190">
        <v>69689588.629999995</v>
      </c>
      <c r="AS8" s="190">
        <v>189673210.11000001</v>
      </c>
      <c r="AT8" s="190">
        <v>116457932.08</v>
      </c>
      <c r="AU8" s="190">
        <v>69133074.590000004</v>
      </c>
      <c r="AV8" s="190">
        <v>26017359.829999998</v>
      </c>
      <c r="AW8" s="190">
        <v>84171309.280000001</v>
      </c>
      <c r="AX8" s="190">
        <v>66725970.329999998</v>
      </c>
      <c r="AY8" s="190">
        <v>0</v>
      </c>
    </row>
    <row r="9" spans="1:51" x14ac:dyDescent="0.25">
      <c r="A9" s="190" t="s">
        <v>196</v>
      </c>
      <c r="B9" s="190">
        <v>179761212.34999999</v>
      </c>
      <c r="C9" s="190">
        <v>238082674.97999999</v>
      </c>
      <c r="D9" s="190">
        <v>99316117.640000001</v>
      </c>
      <c r="E9" s="190">
        <v>553312102.58000004</v>
      </c>
      <c r="F9" s="190">
        <v>339334927.26999998</v>
      </c>
      <c r="G9" s="190">
        <v>215955075.58000001</v>
      </c>
      <c r="H9" s="190">
        <v>88944349.689999998</v>
      </c>
      <c r="I9" s="190">
        <v>498750428.44</v>
      </c>
      <c r="J9" s="190">
        <v>351233073.04000002</v>
      </c>
      <c r="K9" s="190">
        <v>226940253.53</v>
      </c>
      <c r="L9" s="190">
        <v>109221086.76000001</v>
      </c>
      <c r="M9" s="190">
        <v>514830833.89999998</v>
      </c>
      <c r="N9" s="190">
        <v>370441467.47000003</v>
      </c>
      <c r="O9" s="190">
        <v>221357314.03999999</v>
      </c>
      <c r="P9" s="190">
        <v>94119168.939999998</v>
      </c>
      <c r="Q9" s="190">
        <v>464607887.67000002</v>
      </c>
      <c r="R9" s="190">
        <v>272631206.55000001</v>
      </c>
      <c r="S9" s="190">
        <v>162816527.25999999</v>
      </c>
      <c r="T9" s="190">
        <v>72974067.900000006</v>
      </c>
      <c r="U9" s="190">
        <v>413571347.82999998</v>
      </c>
      <c r="V9" s="190">
        <v>257295534.18000001</v>
      </c>
      <c r="W9" s="190">
        <v>160202877.93000001</v>
      </c>
      <c r="X9" s="190">
        <v>84716598.069999993</v>
      </c>
      <c r="Y9" s="190">
        <v>406273845.55000001</v>
      </c>
      <c r="Z9" s="190">
        <v>260935873.47</v>
      </c>
      <c r="AA9" s="190">
        <v>176522551.38999999</v>
      </c>
      <c r="AB9" s="190">
        <v>91405848.239999995</v>
      </c>
      <c r="AC9" s="190">
        <v>357366575.5</v>
      </c>
      <c r="AD9" s="190">
        <v>240564563.61000001</v>
      </c>
      <c r="AE9" s="190">
        <v>164702260.27000001</v>
      </c>
      <c r="AF9" s="190">
        <v>97478529.370000005</v>
      </c>
      <c r="AG9" s="190">
        <v>367015763.36000001</v>
      </c>
      <c r="AH9" s="190">
        <v>257429492.86000001</v>
      </c>
      <c r="AI9" s="190">
        <v>161035657.62</v>
      </c>
      <c r="AJ9" s="190">
        <v>74607600.349999994</v>
      </c>
      <c r="AK9" s="190">
        <v>326751472.08999997</v>
      </c>
      <c r="AL9" s="190">
        <v>262241857.12</v>
      </c>
      <c r="AM9" s="190">
        <v>184470099.34</v>
      </c>
      <c r="AN9" s="190">
        <v>70163375.519999996</v>
      </c>
      <c r="AO9" s="190">
        <v>240520537.77000001</v>
      </c>
      <c r="AP9" s="190">
        <v>162086989.16</v>
      </c>
      <c r="AQ9" s="190">
        <v>102522212.84</v>
      </c>
      <c r="AR9" s="190">
        <v>39750224.039999999</v>
      </c>
      <c r="AS9" s="190">
        <v>107431254.12</v>
      </c>
      <c r="AT9" s="190">
        <v>69889280.019999996</v>
      </c>
      <c r="AU9" s="190">
        <v>39369740.509999998</v>
      </c>
      <c r="AV9" s="190">
        <v>16903079.18</v>
      </c>
      <c r="AW9" s="190">
        <v>23765817.559999999</v>
      </c>
      <c r="AX9" s="190">
        <v>18775634.920000002</v>
      </c>
      <c r="AY9" s="190">
        <v>0</v>
      </c>
    </row>
    <row r="10" spans="1:51" x14ac:dyDescent="0.25">
      <c r="A10" s="190" t="s">
        <v>197</v>
      </c>
      <c r="B10" s="190">
        <v>-16077864.779999999</v>
      </c>
      <c r="C10" s="190">
        <v>-1781766.58</v>
      </c>
      <c r="D10" s="190">
        <v>4085495.12</v>
      </c>
      <c r="E10" s="190">
        <v>-490938.58</v>
      </c>
      <c r="F10" s="190">
        <v>1672253.28</v>
      </c>
      <c r="G10" s="190">
        <v>418578.2</v>
      </c>
      <c r="H10" s="190">
        <v>-1135807.8999999999</v>
      </c>
      <c r="I10" s="190">
        <v>-8634059.6300000008</v>
      </c>
      <c r="J10" s="190">
        <v>-9331012.5800000001</v>
      </c>
      <c r="K10" s="190">
        <v>-3976901.43</v>
      </c>
      <c r="L10" s="190">
        <v>-751100.34</v>
      </c>
      <c r="M10" s="190">
        <v>-8688675.6400000006</v>
      </c>
      <c r="N10" s="190">
        <v>-9719582.8499999996</v>
      </c>
      <c r="O10" s="190">
        <v>-6083096.7199999997</v>
      </c>
      <c r="P10" s="190">
        <v>-6388699.0999999996</v>
      </c>
      <c r="Q10" s="190">
        <v>-15821940.07</v>
      </c>
      <c r="R10" s="190">
        <v>-9994972.7300000004</v>
      </c>
      <c r="S10" s="190">
        <v>-8776911.7200000007</v>
      </c>
      <c r="T10" s="190">
        <v>-3427699.61</v>
      </c>
      <c r="U10" s="190">
        <v>-18540477.98</v>
      </c>
      <c r="V10" s="190">
        <v>-15521259.380000001</v>
      </c>
      <c r="W10" s="190">
        <v>-13285819.039999999</v>
      </c>
      <c r="X10" s="190">
        <v>-6452600.0300000003</v>
      </c>
      <c r="Y10" s="190">
        <v>-33066533.68</v>
      </c>
      <c r="Z10" s="190">
        <v>-25452017.260000002</v>
      </c>
      <c r="AA10" s="190">
        <v>-17791564.579999998</v>
      </c>
      <c r="AB10" s="190">
        <v>-8372029.9299999997</v>
      </c>
      <c r="AC10" s="190">
        <v>-40677143.740000002</v>
      </c>
      <c r="AD10" s="190">
        <v>-28497264.559999999</v>
      </c>
      <c r="AE10" s="190">
        <v>-19089881.530000001</v>
      </c>
      <c r="AF10" s="190">
        <v>-2639655.9900000002</v>
      </c>
      <c r="AG10" s="190">
        <v>-41575979.810000002</v>
      </c>
      <c r="AH10" s="190">
        <v>-27498625.129999999</v>
      </c>
      <c r="AI10" s="190">
        <v>-19012174.079999998</v>
      </c>
      <c r="AJ10" s="190">
        <v>-3798067.66</v>
      </c>
      <c r="AK10" s="190">
        <v>-42854081.25</v>
      </c>
      <c r="AL10" s="190">
        <v>-31534608.170000002</v>
      </c>
      <c r="AM10" s="190">
        <v>-28080033.899999999</v>
      </c>
      <c r="AN10" s="190">
        <v>-2392666.4700000002</v>
      </c>
      <c r="AO10" s="190">
        <v>-23808220.969999999</v>
      </c>
      <c r="AP10" s="190">
        <v>-5917100.9400000004</v>
      </c>
      <c r="AQ10" s="190">
        <v>-2010405.68</v>
      </c>
      <c r="AR10" s="190">
        <v>-520110.19</v>
      </c>
      <c r="AS10" s="190">
        <v>-2640157.4900000002</v>
      </c>
      <c r="AT10" s="190">
        <v>-1879702.51</v>
      </c>
      <c r="AU10" s="190">
        <v>-957688.98</v>
      </c>
      <c r="AV10" s="190">
        <v>-391947.11</v>
      </c>
      <c r="AW10" s="190">
        <v>-2292269.08</v>
      </c>
      <c r="AX10" s="190">
        <v>-202576.44</v>
      </c>
      <c r="AY10" s="190">
        <v>0</v>
      </c>
    </row>
    <row r="11" spans="1:51" x14ac:dyDescent="0.25">
      <c r="A11" s="190" t="s">
        <v>198</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row>
    <row r="12" spans="1:51"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row>
    <row r="13" spans="1:51" x14ac:dyDescent="0.25">
      <c r="A13" s="190" t="s">
        <v>200</v>
      </c>
      <c r="B13" s="190">
        <v>131355402.02</v>
      </c>
      <c r="C13" s="190">
        <v>126367335.14</v>
      </c>
      <c r="D13" s="190">
        <v>4811943.5</v>
      </c>
      <c r="E13" s="190">
        <v>87711646.170000002</v>
      </c>
      <c r="F13" s="190">
        <v>50305148.259999998</v>
      </c>
      <c r="G13" s="190">
        <v>28564364.93</v>
      </c>
      <c r="H13" s="190">
        <v>8642563.5800000001</v>
      </c>
      <c r="I13" s="190">
        <v>35545438.399999999</v>
      </c>
      <c r="J13" s="190">
        <v>15546836.48</v>
      </c>
      <c r="K13" s="190">
        <v>3196193.83</v>
      </c>
      <c r="L13" s="190">
        <v>804138.22</v>
      </c>
      <c r="M13" s="190">
        <v>39269201.210000001</v>
      </c>
      <c r="N13" s="190">
        <v>27030085.57</v>
      </c>
      <c r="O13" s="190">
        <v>22754726.91</v>
      </c>
      <c r="P13" s="190">
        <v>6351975.3700000001</v>
      </c>
      <c r="Q13" s="190">
        <v>30819011.629999999</v>
      </c>
      <c r="R13" s="190">
        <v>22110559.600000001</v>
      </c>
      <c r="S13" s="190">
        <v>4487840.09</v>
      </c>
      <c r="T13" s="190">
        <v>2194993.41</v>
      </c>
      <c r="U13" s="190">
        <v>28465498.5</v>
      </c>
      <c r="V13" s="190">
        <v>21272227.690000001</v>
      </c>
      <c r="W13" s="190">
        <v>12059205.609999999</v>
      </c>
      <c r="X13" s="190">
        <v>-459993.54</v>
      </c>
      <c r="Y13" s="190">
        <v>452366.75</v>
      </c>
      <c r="Z13" s="190">
        <v>284042.99</v>
      </c>
      <c r="AA13" s="190">
        <v>550718.27</v>
      </c>
      <c r="AB13" s="190">
        <v>14918.53</v>
      </c>
      <c r="AC13" s="190">
        <v>3755227</v>
      </c>
      <c r="AD13" s="190">
        <v>4851299.8</v>
      </c>
      <c r="AE13" s="190">
        <v>1841301.09</v>
      </c>
      <c r="AF13" s="190">
        <v>24657.599999999999</v>
      </c>
      <c r="AG13" s="190">
        <v>653445.42000000004</v>
      </c>
      <c r="AH13" s="190">
        <v>38356.160000000003</v>
      </c>
      <c r="AI13" s="190">
        <v>0</v>
      </c>
      <c r="AJ13" s="190">
        <v>0</v>
      </c>
      <c r="AK13" s="190">
        <v>229529.86</v>
      </c>
      <c r="AL13" s="190">
        <v>229529.86</v>
      </c>
      <c r="AM13" s="190">
        <v>229369.86</v>
      </c>
      <c r="AN13" s="190">
        <v>149369.85999999999</v>
      </c>
      <c r="AO13" s="190">
        <v>258630.14</v>
      </c>
      <c r="AP13" s="190">
        <v>0</v>
      </c>
      <c r="AQ13" s="190">
        <v>0</v>
      </c>
      <c r="AR13" s="190">
        <v>0</v>
      </c>
      <c r="AS13" s="190">
        <v>0</v>
      </c>
      <c r="AT13" s="190">
        <v>0</v>
      </c>
      <c r="AU13" s="190">
        <v>0</v>
      </c>
      <c r="AV13" s="190">
        <v>0</v>
      </c>
      <c r="AW13" s="190">
        <v>0</v>
      </c>
      <c r="AX13" s="190">
        <v>0</v>
      </c>
      <c r="AY13" s="190">
        <v>0</v>
      </c>
    </row>
    <row r="14" spans="1:51" x14ac:dyDescent="0.25">
      <c r="A14" s="190" t="s">
        <v>201</v>
      </c>
      <c r="B14" s="190">
        <v>39720292.240000002</v>
      </c>
      <c r="C14" s="190">
        <v>40470474.240000002</v>
      </c>
      <c r="D14" s="190">
        <v>2229740.7400000002</v>
      </c>
      <c r="E14" s="190">
        <v>31970911.600000001</v>
      </c>
      <c r="F14" s="190">
        <v>24733193.379999999</v>
      </c>
      <c r="G14" s="190">
        <v>12461971.189999999</v>
      </c>
      <c r="H14" s="190">
        <v>-740633.93</v>
      </c>
      <c r="I14" s="190">
        <v>-10595576.42</v>
      </c>
      <c r="J14" s="190">
        <v>-18639907.309999999</v>
      </c>
      <c r="K14" s="190">
        <v>-10154260.279999999</v>
      </c>
      <c r="L14" s="190">
        <v>-6501993.4299999997</v>
      </c>
      <c r="M14" s="190">
        <v>-4092683.54</v>
      </c>
      <c r="N14" s="190">
        <v>143346.99</v>
      </c>
      <c r="O14" s="190">
        <v>-1388980.67</v>
      </c>
      <c r="P14" s="190">
        <v>-1378419.55</v>
      </c>
      <c r="Q14" s="190">
        <v>1784517.63</v>
      </c>
      <c r="R14" s="190">
        <v>-40051.870000000003</v>
      </c>
      <c r="S14" s="190">
        <v>-4721335.7</v>
      </c>
      <c r="T14" s="190">
        <v>0</v>
      </c>
      <c r="U14" s="190">
        <v>-6120634.4100000001</v>
      </c>
      <c r="V14" s="190">
        <v>0</v>
      </c>
      <c r="W14" s="190">
        <v>-377191.3</v>
      </c>
      <c r="X14" s="190">
        <v>0</v>
      </c>
      <c r="Y14" s="190">
        <v>-636435.38</v>
      </c>
      <c r="Z14" s="190">
        <v>0</v>
      </c>
      <c r="AA14" s="190">
        <v>0</v>
      </c>
      <c r="AB14" s="190">
        <v>0</v>
      </c>
      <c r="AC14" s="190">
        <v>1913925.91</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650020513.34000003</v>
      </c>
      <c r="C16" s="190">
        <v>435680233.85000002</v>
      </c>
      <c r="D16" s="190">
        <v>181720267.40000001</v>
      </c>
      <c r="E16" s="190">
        <v>807776644.33000004</v>
      </c>
      <c r="F16" s="190">
        <v>659098721.70000005</v>
      </c>
      <c r="G16" s="190">
        <v>441298127.32999998</v>
      </c>
      <c r="H16" s="190">
        <v>170477315.74000001</v>
      </c>
      <c r="I16" s="190">
        <v>756346882.07000005</v>
      </c>
      <c r="J16" s="190">
        <v>609206802.67999995</v>
      </c>
      <c r="K16" s="190">
        <v>409154239.92000002</v>
      </c>
      <c r="L16" s="190">
        <v>176196210.86000001</v>
      </c>
      <c r="M16" s="190">
        <v>745676206.04999995</v>
      </c>
      <c r="N16" s="190">
        <v>600645256.63999999</v>
      </c>
      <c r="O16" s="190">
        <v>403981214.48000002</v>
      </c>
      <c r="P16" s="190">
        <v>156314053.06999999</v>
      </c>
      <c r="Q16" s="190">
        <v>712351398.10000002</v>
      </c>
      <c r="R16" s="190">
        <v>626056902.35000002</v>
      </c>
      <c r="S16" s="190">
        <v>387386423.47000003</v>
      </c>
      <c r="T16" s="190">
        <v>150297838.22</v>
      </c>
      <c r="U16" s="190">
        <v>690657097.01999998</v>
      </c>
      <c r="V16" s="190">
        <v>578677492.03999996</v>
      </c>
      <c r="W16" s="190">
        <v>361001765.86000001</v>
      </c>
      <c r="X16" s="190">
        <v>163581609.5</v>
      </c>
      <c r="Y16" s="190">
        <v>636118971.48000002</v>
      </c>
      <c r="Z16" s="190">
        <v>557721114.61000001</v>
      </c>
      <c r="AA16" s="190">
        <v>372172504.77999997</v>
      </c>
      <c r="AB16" s="190">
        <v>174093989.30000001</v>
      </c>
      <c r="AC16" s="190">
        <v>700314520.25999999</v>
      </c>
      <c r="AD16" s="190">
        <v>623297306.63</v>
      </c>
      <c r="AE16" s="190">
        <v>391568082.80000001</v>
      </c>
      <c r="AF16" s="190">
        <v>168712283.83000001</v>
      </c>
      <c r="AG16" s="190">
        <v>813852273.38</v>
      </c>
      <c r="AH16" s="190">
        <v>662829282.57000005</v>
      </c>
      <c r="AI16" s="190">
        <v>383176898.50999999</v>
      </c>
      <c r="AJ16" s="190">
        <v>100221783.61</v>
      </c>
      <c r="AK16" s="190">
        <v>732719696.24000001</v>
      </c>
      <c r="AL16" s="190">
        <v>626553270.41999996</v>
      </c>
      <c r="AM16" s="190">
        <v>409170145.95999998</v>
      </c>
      <c r="AN16" s="190">
        <v>171567206.55000001</v>
      </c>
      <c r="AO16" s="190">
        <v>734469794.89999998</v>
      </c>
      <c r="AP16" s="190">
        <v>545639711.53999996</v>
      </c>
      <c r="AQ16" s="190">
        <v>319978529.44</v>
      </c>
      <c r="AR16" s="190">
        <v>135042199.15000001</v>
      </c>
      <c r="AS16" s="190">
        <v>405599618.95999998</v>
      </c>
      <c r="AT16" s="190">
        <v>239676833.27000001</v>
      </c>
      <c r="AU16" s="190">
        <v>144392991.41999999</v>
      </c>
      <c r="AV16" s="190">
        <v>73719157.870000005</v>
      </c>
      <c r="AW16" s="190">
        <v>43056520.020000003</v>
      </c>
      <c r="AX16" s="190">
        <v>43510804.619999997</v>
      </c>
      <c r="AY16" s="190">
        <v>0</v>
      </c>
    </row>
    <row r="17" spans="1:51" x14ac:dyDescent="0.25">
      <c r="A17" s="190" t="s">
        <v>204</v>
      </c>
      <c r="B17" s="190">
        <v>9082330.4199999999</v>
      </c>
      <c r="C17" s="190">
        <v>4715312.22</v>
      </c>
      <c r="D17" s="190">
        <v>3093915.72</v>
      </c>
      <c r="E17" s="190">
        <v>18730015.859999999</v>
      </c>
      <c r="F17" s="190">
        <v>11542995.83</v>
      </c>
      <c r="G17" s="190">
        <v>6409259.2999999998</v>
      </c>
      <c r="H17" s="190">
        <v>5540650.0700000003</v>
      </c>
      <c r="I17" s="190">
        <v>112070989.88</v>
      </c>
      <c r="J17" s="190">
        <v>73936144.450000003</v>
      </c>
      <c r="K17" s="190">
        <v>53569670.57</v>
      </c>
      <c r="L17" s="190">
        <v>2203251.3199999998</v>
      </c>
      <c r="M17" s="190">
        <v>62361172.520000003</v>
      </c>
      <c r="N17" s="190">
        <v>50079021.170000002</v>
      </c>
      <c r="O17" s="190">
        <v>3412112.85</v>
      </c>
      <c r="P17" s="190">
        <v>1359977.46</v>
      </c>
      <c r="Q17" s="190">
        <v>59558141.189999998</v>
      </c>
      <c r="R17" s="190">
        <v>39220657.310000002</v>
      </c>
      <c r="S17" s="190">
        <v>36793936.549999997</v>
      </c>
      <c r="T17" s="190">
        <v>5098914.62</v>
      </c>
      <c r="U17" s="190">
        <v>21303003.82</v>
      </c>
      <c r="V17" s="190">
        <v>14858833.43</v>
      </c>
      <c r="W17" s="190">
        <v>11898097.710000001</v>
      </c>
      <c r="X17" s="190">
        <v>3710888.64</v>
      </c>
      <c r="Y17" s="190">
        <v>30340665.77</v>
      </c>
      <c r="Z17" s="190">
        <v>13219738.17</v>
      </c>
      <c r="AA17" s="190">
        <v>6440602.3600000003</v>
      </c>
      <c r="AB17" s="190">
        <v>2983944.63</v>
      </c>
      <c r="AC17" s="190">
        <v>26196368.870000001</v>
      </c>
      <c r="AD17" s="190">
        <v>11852321.449999999</v>
      </c>
      <c r="AE17" s="190">
        <v>4870445.76</v>
      </c>
      <c r="AF17" s="190">
        <v>1409252.41</v>
      </c>
      <c r="AG17" s="190">
        <v>29016521.100000001</v>
      </c>
      <c r="AH17" s="190">
        <v>7752222.5300000003</v>
      </c>
      <c r="AI17" s="190">
        <v>5669632.7300000004</v>
      </c>
      <c r="AJ17" s="190">
        <v>3770814.53</v>
      </c>
      <c r="AK17" s="190">
        <v>59243950.710000001</v>
      </c>
      <c r="AL17" s="190">
        <v>31468287.239999998</v>
      </c>
      <c r="AM17" s="190">
        <v>27341712.469999999</v>
      </c>
      <c r="AN17" s="190">
        <v>1491734.55</v>
      </c>
      <c r="AO17" s="190">
        <v>7363335.5800000001</v>
      </c>
      <c r="AP17" s="190">
        <v>3705972.29</v>
      </c>
      <c r="AQ17" s="190">
        <v>3270013.97</v>
      </c>
      <c r="AR17" s="190">
        <v>219560.92</v>
      </c>
      <c r="AS17" s="190">
        <v>11805693.49</v>
      </c>
      <c r="AT17" s="190">
        <v>5413283.0199999996</v>
      </c>
      <c r="AU17" s="190">
        <v>2423831.92</v>
      </c>
      <c r="AV17" s="190">
        <v>2063102.36</v>
      </c>
      <c r="AW17" s="190">
        <v>779053.93</v>
      </c>
      <c r="AX17" s="190">
        <v>238135.19</v>
      </c>
      <c r="AY17" s="190">
        <v>0</v>
      </c>
    </row>
    <row r="18" spans="1:51" x14ac:dyDescent="0.25">
      <c r="A18" s="190" t="s">
        <v>205</v>
      </c>
      <c r="B18" s="190">
        <v>6374674.5700000003</v>
      </c>
      <c r="C18" s="190">
        <v>6151186.2000000002</v>
      </c>
      <c r="D18" s="190">
        <v>2338230.3199999998</v>
      </c>
      <c r="E18" s="190">
        <v>8855085.0700000003</v>
      </c>
      <c r="F18" s="190">
        <v>5690502.5099999998</v>
      </c>
      <c r="G18" s="190">
        <v>4524686.5199999996</v>
      </c>
      <c r="H18" s="190">
        <v>1744328.8</v>
      </c>
      <c r="I18" s="190">
        <v>14360572.960000001</v>
      </c>
      <c r="J18" s="190">
        <v>7745231.79</v>
      </c>
      <c r="K18" s="190">
        <v>5618798.6200000001</v>
      </c>
      <c r="L18" s="190">
        <v>2086557.76</v>
      </c>
      <c r="M18" s="190">
        <v>17470284.68</v>
      </c>
      <c r="N18" s="190">
        <v>8720105.3499999996</v>
      </c>
      <c r="O18" s="190">
        <v>5781496.4900000002</v>
      </c>
      <c r="P18" s="190">
        <v>2108241.38</v>
      </c>
      <c r="Q18" s="190">
        <v>15462604.33</v>
      </c>
      <c r="R18" s="190">
        <v>8980777.9700000007</v>
      </c>
      <c r="S18" s="190">
        <v>3886541.04</v>
      </c>
      <c r="T18" s="190">
        <v>1490173.44</v>
      </c>
      <c r="U18" s="190">
        <v>16109969.65</v>
      </c>
      <c r="V18" s="190">
        <v>6813978.8399999999</v>
      </c>
      <c r="W18" s="190">
        <v>4458214.05</v>
      </c>
      <c r="X18" s="190">
        <v>1500049.56</v>
      </c>
      <c r="Y18" s="190">
        <v>13986928.439999999</v>
      </c>
      <c r="Z18" s="190">
        <v>5697825.96</v>
      </c>
      <c r="AA18" s="190">
        <v>3917235.71</v>
      </c>
      <c r="AB18" s="190">
        <v>1348313.99</v>
      </c>
      <c r="AC18" s="190">
        <v>12363521.42</v>
      </c>
      <c r="AD18" s="190">
        <v>10506904.949999999</v>
      </c>
      <c r="AE18" s="190">
        <v>3919112.78</v>
      </c>
      <c r="AF18" s="190">
        <v>1122844.19</v>
      </c>
      <c r="AG18" s="190">
        <v>13222971.539999999</v>
      </c>
      <c r="AH18" s="190">
        <v>9382273.0399999991</v>
      </c>
      <c r="AI18" s="190">
        <v>4614964.96</v>
      </c>
      <c r="AJ18" s="190">
        <v>684515.98</v>
      </c>
      <c r="AK18" s="190">
        <v>6544483.9100000001</v>
      </c>
      <c r="AL18" s="190">
        <v>5383192.9199999999</v>
      </c>
      <c r="AM18" s="190">
        <v>6114726.8600000003</v>
      </c>
      <c r="AN18" s="190">
        <v>747948.86</v>
      </c>
      <c r="AO18" s="190">
        <v>8253260.0800000001</v>
      </c>
      <c r="AP18" s="190">
        <v>6967664.1399999997</v>
      </c>
      <c r="AQ18" s="190">
        <v>3524241.44</v>
      </c>
      <c r="AR18" s="190">
        <v>563726.94999999995</v>
      </c>
      <c r="AS18" s="190">
        <v>2329125.13</v>
      </c>
      <c r="AT18" s="190">
        <v>1705210.36</v>
      </c>
      <c r="AU18" s="190">
        <v>1307222.94</v>
      </c>
      <c r="AV18" s="190">
        <v>264472.34000000003</v>
      </c>
      <c r="AW18" s="190">
        <v>496057.16</v>
      </c>
      <c r="AX18" s="190">
        <v>627805.9</v>
      </c>
      <c r="AY18" s="190">
        <v>0</v>
      </c>
    </row>
    <row r="19" spans="1:51" x14ac:dyDescent="0.25">
      <c r="A19" s="190" t="s">
        <v>206</v>
      </c>
      <c r="B19" s="190">
        <v>0</v>
      </c>
      <c r="C19" s="190">
        <v>0</v>
      </c>
      <c r="D19" s="190">
        <v>0</v>
      </c>
      <c r="E19" s="190">
        <v>0</v>
      </c>
      <c r="F19" s="190">
        <v>960411.38</v>
      </c>
      <c r="G19" s="190">
        <v>439512.15</v>
      </c>
      <c r="H19" s="190">
        <v>31356.57</v>
      </c>
      <c r="I19" s="190">
        <v>1251402.1599999999</v>
      </c>
      <c r="J19" s="190">
        <v>698326.96</v>
      </c>
      <c r="K19" s="190">
        <v>672982.77</v>
      </c>
      <c r="L19" s="190">
        <v>279885.62</v>
      </c>
      <c r="M19" s="190">
        <v>921625.01</v>
      </c>
      <c r="N19" s="190">
        <v>741892.31</v>
      </c>
      <c r="O19" s="190">
        <v>454867.89</v>
      </c>
      <c r="P19" s="190">
        <v>121077.91</v>
      </c>
      <c r="Q19" s="190">
        <v>3465642.32</v>
      </c>
      <c r="R19" s="190">
        <v>3146094.91</v>
      </c>
      <c r="S19" s="190">
        <v>350928.28</v>
      </c>
      <c r="T19" s="190">
        <v>0</v>
      </c>
      <c r="U19" s="190">
        <v>1121543.05</v>
      </c>
      <c r="V19" s="190">
        <v>922183.84</v>
      </c>
      <c r="W19" s="190">
        <v>835078.15</v>
      </c>
      <c r="X19" s="190">
        <v>40363.14</v>
      </c>
      <c r="Y19" s="190">
        <v>1260148.71</v>
      </c>
      <c r="Z19" s="190">
        <v>1143257.78</v>
      </c>
      <c r="AA19" s="190">
        <v>838344.04</v>
      </c>
      <c r="AB19" s="190">
        <v>-1120.5</v>
      </c>
      <c r="AC19" s="190">
        <v>166186.56</v>
      </c>
      <c r="AD19" s="190">
        <v>115041.06</v>
      </c>
      <c r="AE19" s="190">
        <v>62691.94</v>
      </c>
      <c r="AF19" s="190">
        <v>48627</v>
      </c>
      <c r="AG19" s="190">
        <v>0</v>
      </c>
      <c r="AH19" s="190">
        <v>207562.34</v>
      </c>
      <c r="AI19" s="190">
        <v>206026.03</v>
      </c>
      <c r="AJ19" s="190">
        <v>10977.22</v>
      </c>
      <c r="AK19" s="190">
        <v>1230011.81</v>
      </c>
      <c r="AL19" s="190">
        <v>0</v>
      </c>
      <c r="AM19" s="190">
        <v>4267777.2300000004</v>
      </c>
      <c r="AN19" s="190">
        <v>138875.78</v>
      </c>
      <c r="AO19" s="190">
        <v>209948.27</v>
      </c>
      <c r="AP19" s="190">
        <v>0</v>
      </c>
      <c r="AQ19" s="190">
        <v>170245.92</v>
      </c>
      <c r="AR19" s="190">
        <v>0</v>
      </c>
      <c r="AS19" s="190">
        <v>151921.56</v>
      </c>
      <c r="AT19" s="190">
        <v>151921.56</v>
      </c>
      <c r="AU19" s="190">
        <v>0</v>
      </c>
      <c r="AV19" s="190">
        <v>0</v>
      </c>
      <c r="AW19" s="190">
        <v>0</v>
      </c>
      <c r="AX19" s="190">
        <v>215198.12</v>
      </c>
      <c r="AY19" s="190">
        <v>0</v>
      </c>
    </row>
    <row r="20" spans="1:51" x14ac:dyDescent="0.25">
      <c r="A20" s="190" t="s">
        <v>207</v>
      </c>
      <c r="B20" s="190">
        <v>652728169.19000006</v>
      </c>
      <c r="C20" s="190">
        <v>434244359.87</v>
      </c>
      <c r="D20" s="190">
        <v>182475952.80000001</v>
      </c>
      <c r="E20" s="190">
        <v>817651575.12</v>
      </c>
      <c r="F20" s="190">
        <v>664951215.01999998</v>
      </c>
      <c r="G20" s="190">
        <v>443182700.11000001</v>
      </c>
      <c r="H20" s="190">
        <v>174273637.00999999</v>
      </c>
      <c r="I20" s="190">
        <v>854057298.99000001</v>
      </c>
      <c r="J20" s="190">
        <v>675397715.34000003</v>
      </c>
      <c r="K20" s="190">
        <v>457105111.87</v>
      </c>
      <c r="L20" s="190">
        <v>176312904.41999999</v>
      </c>
      <c r="M20" s="190">
        <v>790567093.88999999</v>
      </c>
      <c r="N20" s="190">
        <v>642004172.46000004</v>
      </c>
      <c r="O20" s="190">
        <v>401611830.83999997</v>
      </c>
      <c r="P20" s="190">
        <v>155565789.15000001</v>
      </c>
      <c r="Q20" s="190">
        <v>756446934.96000004</v>
      </c>
      <c r="R20" s="190">
        <v>656296781.69000006</v>
      </c>
      <c r="S20" s="190">
        <v>420293818.98000002</v>
      </c>
      <c r="T20" s="190">
        <v>153906579.40000001</v>
      </c>
      <c r="U20" s="190">
        <v>695850131.19000006</v>
      </c>
      <c r="V20" s="190">
        <v>586722346.63</v>
      </c>
      <c r="W20" s="190">
        <v>368441649.51999998</v>
      </c>
      <c r="X20" s="190">
        <v>165792448.58000001</v>
      </c>
      <c r="Y20" s="190">
        <v>652472708.80999994</v>
      </c>
      <c r="Z20" s="190">
        <v>565243026.82000005</v>
      </c>
      <c r="AA20" s="190">
        <v>374695871.43000001</v>
      </c>
      <c r="AB20" s="190">
        <v>175729619.94</v>
      </c>
      <c r="AC20" s="190">
        <v>714147367.71000004</v>
      </c>
      <c r="AD20" s="190">
        <v>624642723.13</v>
      </c>
      <c r="AE20" s="190">
        <v>392519415.77999997</v>
      </c>
      <c r="AF20" s="190">
        <v>168998692.05000001</v>
      </c>
      <c r="AG20" s="190">
        <v>829645822.94000006</v>
      </c>
      <c r="AH20" s="190">
        <v>661199232.05999994</v>
      </c>
      <c r="AI20" s="190">
        <v>384231566.27999997</v>
      </c>
      <c r="AJ20" s="190">
        <v>103308082.16</v>
      </c>
      <c r="AK20" s="190">
        <v>785419163.03999996</v>
      </c>
      <c r="AL20" s="190">
        <v>652638364.74000001</v>
      </c>
      <c r="AM20" s="190">
        <v>430397131.56999999</v>
      </c>
      <c r="AN20" s="190">
        <v>172310992.24000001</v>
      </c>
      <c r="AO20" s="190">
        <v>733579870.39999998</v>
      </c>
      <c r="AP20" s="190">
        <v>542378019.69000006</v>
      </c>
      <c r="AQ20" s="190">
        <v>319724301.97000003</v>
      </c>
      <c r="AR20" s="190">
        <v>134698033.12</v>
      </c>
      <c r="AS20" s="190">
        <v>415076187.31999999</v>
      </c>
      <c r="AT20" s="190">
        <v>243384905.93000001</v>
      </c>
      <c r="AU20" s="190">
        <v>145509600.40000001</v>
      </c>
      <c r="AV20" s="190">
        <v>75517787.890000001</v>
      </c>
      <c r="AW20" s="190">
        <v>43339516.789999999</v>
      </c>
      <c r="AX20" s="190">
        <v>43121133.909999996</v>
      </c>
      <c r="AY20" s="190">
        <v>0</v>
      </c>
    </row>
    <row r="21" spans="1:51" x14ac:dyDescent="0.25">
      <c r="A21" s="190" t="s">
        <v>208</v>
      </c>
      <c r="B21" s="190">
        <v>87374462.489999995</v>
      </c>
      <c r="C21" s="190">
        <v>62321586.869999997</v>
      </c>
      <c r="D21" s="190">
        <v>34751672.759999998</v>
      </c>
      <c r="E21" s="190">
        <v>107741237.83</v>
      </c>
      <c r="F21" s="190">
        <v>111124128.08</v>
      </c>
      <c r="G21" s="190">
        <v>74848820.400000006</v>
      </c>
      <c r="H21" s="190">
        <v>33652307.799999997</v>
      </c>
      <c r="I21" s="190">
        <v>120695028.3</v>
      </c>
      <c r="J21" s="190">
        <v>104829208.81</v>
      </c>
      <c r="K21" s="190">
        <v>78123314.329999998</v>
      </c>
      <c r="L21" s="190">
        <v>35260735.270000003</v>
      </c>
      <c r="M21" s="190">
        <v>119642602.76000001</v>
      </c>
      <c r="N21" s="190">
        <v>105472041.40000001</v>
      </c>
      <c r="O21" s="190">
        <v>66306690.619999997</v>
      </c>
      <c r="P21" s="190">
        <v>31901740.98</v>
      </c>
      <c r="Q21" s="190">
        <v>141017015.94999999</v>
      </c>
      <c r="R21" s="190">
        <v>145786630.94</v>
      </c>
      <c r="S21" s="190">
        <v>91845359.209999993</v>
      </c>
      <c r="T21" s="190">
        <v>31861075.059999999</v>
      </c>
      <c r="U21" s="190">
        <v>125854205.42</v>
      </c>
      <c r="V21" s="190">
        <v>108198181.42</v>
      </c>
      <c r="W21" s="190">
        <v>68823596.599999994</v>
      </c>
      <c r="X21" s="190">
        <v>33233348.789999999</v>
      </c>
      <c r="Y21" s="190">
        <v>137783171.03999999</v>
      </c>
      <c r="Z21" s="190">
        <v>118875417.20999999</v>
      </c>
      <c r="AA21" s="190">
        <v>83352109.200000003</v>
      </c>
      <c r="AB21" s="190">
        <v>37659472.799999997</v>
      </c>
      <c r="AC21" s="190">
        <v>160120213.90000001</v>
      </c>
      <c r="AD21" s="190">
        <v>131683825.65000001</v>
      </c>
      <c r="AE21" s="190">
        <v>85679430.269999996</v>
      </c>
      <c r="AF21" s="190">
        <v>36811693.960000001</v>
      </c>
      <c r="AG21" s="190">
        <v>153920193.75</v>
      </c>
      <c r="AH21" s="190">
        <v>133769882.04000001</v>
      </c>
      <c r="AI21" s="190">
        <v>78204951.480000004</v>
      </c>
      <c r="AJ21" s="190">
        <v>18503864.760000002</v>
      </c>
      <c r="AK21" s="190">
        <v>71323098.150000006</v>
      </c>
      <c r="AL21" s="190">
        <v>94771017.180000007</v>
      </c>
      <c r="AM21" s="190">
        <v>62668761.810000002</v>
      </c>
      <c r="AN21" s="190">
        <v>26475915.57</v>
      </c>
      <c r="AO21" s="190">
        <v>93759873.390000001</v>
      </c>
      <c r="AP21" s="190">
        <v>76967544.019999996</v>
      </c>
      <c r="AQ21" s="190">
        <v>48192452.719999999</v>
      </c>
      <c r="AR21" s="190">
        <v>22028382.190000001</v>
      </c>
      <c r="AS21" s="190">
        <v>52391975.259999998</v>
      </c>
      <c r="AT21" s="190">
        <v>30483880.649999999</v>
      </c>
      <c r="AU21" s="190">
        <v>16958278.050000001</v>
      </c>
      <c r="AV21" s="190">
        <v>7555817.3899999997</v>
      </c>
      <c r="AW21" s="190">
        <v>0</v>
      </c>
      <c r="AX21" s="190">
        <v>4989969.4400000004</v>
      </c>
      <c r="AY21" s="190">
        <v>0</v>
      </c>
    </row>
    <row r="22" spans="1:51" x14ac:dyDescent="0.25">
      <c r="A22" s="190" t="s">
        <v>209</v>
      </c>
      <c r="B22" s="190">
        <v>565353706.70000005</v>
      </c>
      <c r="C22" s="190">
        <v>371922773</v>
      </c>
      <c r="D22" s="190">
        <v>147724280.03999999</v>
      </c>
      <c r="E22" s="190">
        <v>709910337.28999996</v>
      </c>
      <c r="F22" s="190">
        <v>553827086.94000006</v>
      </c>
      <c r="G22" s="190">
        <v>368333879.70999998</v>
      </c>
      <c r="H22" s="190">
        <v>140621329.21000001</v>
      </c>
      <c r="I22" s="190">
        <v>733362270.69000006</v>
      </c>
      <c r="J22" s="190">
        <v>570568506.52999997</v>
      </c>
      <c r="K22" s="190">
        <v>378981797.54000002</v>
      </c>
      <c r="L22" s="190">
        <v>141052169.15000001</v>
      </c>
      <c r="M22" s="190">
        <v>670924491.13</v>
      </c>
      <c r="N22" s="190">
        <v>536532131.06</v>
      </c>
      <c r="O22" s="190">
        <v>335305140.22000003</v>
      </c>
      <c r="P22" s="190">
        <v>123664048.17</v>
      </c>
      <c r="Q22" s="190">
        <v>615429919.00999999</v>
      </c>
      <c r="R22" s="190">
        <v>510510150.75</v>
      </c>
      <c r="S22" s="190">
        <v>328448459.76999998</v>
      </c>
      <c r="T22" s="190">
        <v>122045504.34</v>
      </c>
      <c r="U22" s="190">
        <v>569995925.76999998</v>
      </c>
      <c r="V22" s="190">
        <v>478524165.20999998</v>
      </c>
      <c r="W22" s="190">
        <v>299618052.92000002</v>
      </c>
      <c r="X22" s="190">
        <v>132559099.79000001</v>
      </c>
      <c r="Y22" s="190">
        <v>514689537.76999998</v>
      </c>
      <c r="Z22" s="190">
        <v>446367609.61000001</v>
      </c>
      <c r="AA22" s="190">
        <v>291343762.23000002</v>
      </c>
      <c r="AB22" s="190">
        <v>138070147.13999999</v>
      </c>
      <c r="AC22" s="190">
        <v>554027153.80999994</v>
      </c>
      <c r="AD22" s="190">
        <v>492958897.48000002</v>
      </c>
      <c r="AE22" s="190">
        <v>306839985.50999999</v>
      </c>
      <c r="AF22" s="190">
        <v>132186998.09</v>
      </c>
      <c r="AG22" s="190">
        <v>675725629.19000006</v>
      </c>
      <c r="AH22" s="190">
        <v>527429350.01999998</v>
      </c>
      <c r="AI22" s="190">
        <v>306026614.80000001</v>
      </c>
      <c r="AJ22" s="190">
        <v>84804217.400000006</v>
      </c>
      <c r="AK22" s="190">
        <v>714096064.88999999</v>
      </c>
      <c r="AL22" s="190">
        <v>557867347.55999994</v>
      </c>
      <c r="AM22" s="190">
        <v>367728369.75999999</v>
      </c>
      <c r="AN22" s="190">
        <v>145835076.66999999</v>
      </c>
      <c r="AO22" s="190">
        <v>639819997.00999999</v>
      </c>
      <c r="AP22" s="190">
        <v>465410475.67000002</v>
      </c>
      <c r="AQ22" s="190">
        <v>271531849.25</v>
      </c>
      <c r="AR22" s="190">
        <v>112669650.93000001</v>
      </c>
      <c r="AS22" s="190">
        <v>362684212.06</v>
      </c>
      <c r="AT22" s="190">
        <v>212901025.28</v>
      </c>
      <c r="AU22" s="190">
        <v>128551322.34999999</v>
      </c>
      <c r="AV22" s="190">
        <v>67961970.5</v>
      </c>
      <c r="AW22" s="190">
        <v>43339516.789999999</v>
      </c>
      <c r="AX22" s="190">
        <v>38131164.469999999</v>
      </c>
      <c r="AY22" s="190">
        <v>0</v>
      </c>
    </row>
    <row r="23" spans="1:51" x14ac:dyDescent="0.25">
      <c r="A23" s="190" t="s">
        <v>210</v>
      </c>
      <c r="B23" s="190">
        <v>569207402.16999996</v>
      </c>
      <c r="C23" s="190">
        <v>370040372.12</v>
      </c>
      <c r="D23" s="190">
        <v>147001251.41999999</v>
      </c>
      <c r="E23" s="190">
        <v>688918657.33000004</v>
      </c>
      <c r="F23" s="190">
        <v>538608898.90999997</v>
      </c>
      <c r="G23" s="190">
        <v>361232430.77999997</v>
      </c>
      <c r="H23" s="190">
        <v>136269839.80000001</v>
      </c>
      <c r="I23" s="190">
        <v>697726767.34000003</v>
      </c>
      <c r="J23" s="190">
        <v>546163675.99000001</v>
      </c>
      <c r="K23" s="190">
        <v>363743866.81999999</v>
      </c>
      <c r="L23" s="190">
        <v>132402574.40000001</v>
      </c>
      <c r="M23" s="190">
        <v>620040924.13</v>
      </c>
      <c r="N23" s="190">
        <v>504944479.25</v>
      </c>
      <c r="O23" s="190">
        <v>319197292.13</v>
      </c>
      <c r="P23" s="190">
        <v>118963963.15000001</v>
      </c>
      <c r="Q23" s="190">
        <v>531657356.97000003</v>
      </c>
      <c r="R23" s="190">
        <v>436945031.44999999</v>
      </c>
      <c r="S23" s="190">
        <v>278272246.13999999</v>
      </c>
      <c r="T23" s="190">
        <v>102571289.91</v>
      </c>
      <c r="U23" s="190">
        <v>469706542.01999998</v>
      </c>
      <c r="V23" s="190">
        <v>407744502.05000001</v>
      </c>
      <c r="W23" s="190">
        <v>253694104.13999999</v>
      </c>
      <c r="X23" s="190">
        <v>113541062.16</v>
      </c>
      <c r="Y23" s="190">
        <v>455238144.88</v>
      </c>
      <c r="Z23" s="190">
        <v>402342947.43000001</v>
      </c>
      <c r="AA23" s="190">
        <v>263317892.75</v>
      </c>
      <c r="AB23" s="190">
        <v>126037642.16</v>
      </c>
      <c r="AC23" s="190">
        <v>501319592.43000001</v>
      </c>
      <c r="AD23" s="190">
        <v>450363723.76999998</v>
      </c>
      <c r="AE23" s="190">
        <v>275225728.37</v>
      </c>
      <c r="AF23" s="190">
        <v>122246727.28</v>
      </c>
      <c r="AG23" s="190">
        <v>590908267.41999996</v>
      </c>
      <c r="AH23" s="190">
        <v>465916542.25</v>
      </c>
      <c r="AI23" s="190">
        <v>273035905.19</v>
      </c>
      <c r="AJ23" s="190">
        <v>82886635.939999998</v>
      </c>
      <c r="AK23" s="190">
        <v>609746692.85000002</v>
      </c>
      <c r="AL23" s="190">
        <v>472215366.81999999</v>
      </c>
      <c r="AM23" s="190">
        <v>317155733.94999999</v>
      </c>
      <c r="AN23" s="190">
        <v>127958583.37</v>
      </c>
      <c r="AO23" s="190">
        <v>538051801.00999999</v>
      </c>
      <c r="AP23" s="190">
        <v>399890393.55000001</v>
      </c>
      <c r="AQ23" s="190">
        <v>231408434.34999999</v>
      </c>
      <c r="AR23" s="190">
        <v>101952761.76000001</v>
      </c>
      <c r="AS23" s="190">
        <v>269101330.63999999</v>
      </c>
      <c r="AT23" s="190">
        <v>186746508.27000001</v>
      </c>
      <c r="AU23" s="190">
        <v>113002605.48</v>
      </c>
      <c r="AV23" s="190">
        <v>60837057.960000001</v>
      </c>
      <c r="AW23" s="190">
        <v>43339516.789999999</v>
      </c>
      <c r="AX23" s="190">
        <v>38131164.469999999</v>
      </c>
      <c r="AY23" s="190">
        <v>0</v>
      </c>
    </row>
    <row r="24" spans="1:51" x14ac:dyDescent="0.25">
      <c r="A24" s="190" t="s">
        <v>211</v>
      </c>
      <c r="B24" s="190">
        <v>-3853695.47</v>
      </c>
      <c r="C24" s="190">
        <v>1882400.88</v>
      </c>
      <c r="D24" s="190">
        <v>723028.62</v>
      </c>
      <c r="E24" s="190">
        <v>20991679.960000001</v>
      </c>
      <c r="F24" s="190">
        <v>15218188.029999999</v>
      </c>
      <c r="G24" s="190">
        <v>7101448.9299999997</v>
      </c>
      <c r="H24" s="190">
        <v>4351489.41</v>
      </c>
      <c r="I24" s="190">
        <v>35635503.350000001</v>
      </c>
      <c r="J24" s="190">
        <v>24404830.539999999</v>
      </c>
      <c r="K24" s="190">
        <v>15237930.720000001</v>
      </c>
      <c r="L24" s="190">
        <v>8649594.75</v>
      </c>
      <c r="M24" s="190">
        <v>50883567</v>
      </c>
      <c r="N24" s="190">
        <v>31587651.809999999</v>
      </c>
      <c r="O24" s="190">
        <v>16107848.09</v>
      </c>
      <c r="P24" s="190">
        <v>4700085.0199999996</v>
      </c>
      <c r="Q24" s="190">
        <v>83772562.040000007</v>
      </c>
      <c r="R24" s="190">
        <v>73565119.299999997</v>
      </c>
      <c r="S24" s="190">
        <v>50176213.630000003</v>
      </c>
      <c r="T24" s="190">
        <v>19474214.43</v>
      </c>
      <c r="U24" s="190">
        <v>100289383.75</v>
      </c>
      <c r="V24" s="190">
        <v>70779663.159999996</v>
      </c>
      <c r="W24" s="190">
        <v>45923948.780000001</v>
      </c>
      <c r="X24" s="190">
        <v>19018037.629999999</v>
      </c>
      <c r="Y24" s="190">
        <v>59451392.890000001</v>
      </c>
      <c r="Z24" s="190">
        <v>44024662.18</v>
      </c>
      <c r="AA24" s="190">
        <v>28025869.48</v>
      </c>
      <c r="AB24" s="190">
        <v>12032504.98</v>
      </c>
      <c r="AC24" s="190">
        <v>52707561.380000003</v>
      </c>
      <c r="AD24" s="190">
        <v>42595173.710000001</v>
      </c>
      <c r="AE24" s="190">
        <v>31614257.140000001</v>
      </c>
      <c r="AF24" s="190">
        <v>9940270.8100000005</v>
      </c>
      <c r="AG24" s="190">
        <v>84817361.769999996</v>
      </c>
      <c r="AH24" s="190">
        <v>61512807.770000003</v>
      </c>
      <c r="AI24" s="190">
        <v>32990709.609999999</v>
      </c>
      <c r="AJ24" s="190">
        <v>1917581.46</v>
      </c>
      <c r="AK24" s="190">
        <v>104349372.04000001</v>
      </c>
      <c r="AL24" s="190">
        <v>85651980.739999995</v>
      </c>
      <c r="AM24" s="190">
        <v>50572635.810000002</v>
      </c>
      <c r="AN24" s="190">
        <v>17876493.300000001</v>
      </c>
      <c r="AO24" s="190">
        <v>101768196</v>
      </c>
      <c r="AP24" s="190">
        <v>65520082.119999997</v>
      </c>
      <c r="AQ24" s="190">
        <v>40123414.899999999</v>
      </c>
      <c r="AR24" s="190">
        <v>10716889.17</v>
      </c>
      <c r="AS24" s="190">
        <v>33780124.229999997</v>
      </c>
      <c r="AT24" s="190">
        <v>26154517.010000002</v>
      </c>
      <c r="AU24" s="190">
        <v>15548716.869999999</v>
      </c>
      <c r="AV24" s="190">
        <v>7124912.54</v>
      </c>
      <c r="AW24" s="190">
        <v>0</v>
      </c>
      <c r="AX24" s="190">
        <v>0</v>
      </c>
      <c r="AY24" s="190">
        <v>0</v>
      </c>
    </row>
    <row r="25" spans="1:51" x14ac:dyDescent="0.25">
      <c r="A25" s="190" t="s">
        <v>212</v>
      </c>
    </row>
    <row r="26" spans="1:51" x14ac:dyDescent="0.25">
      <c r="A26" s="190" t="s">
        <v>213</v>
      </c>
      <c r="B26" s="190">
        <v>0.74</v>
      </c>
      <c r="C26" s="190">
        <v>0.48199999999999998</v>
      </c>
      <c r="D26" s="190">
        <v>0.19</v>
      </c>
      <c r="E26" s="190">
        <v>0.9</v>
      </c>
      <c r="F26" s="190">
        <v>0.7</v>
      </c>
      <c r="G26" s="190">
        <v>0.47</v>
      </c>
      <c r="H26" s="190">
        <v>0.18</v>
      </c>
      <c r="I26" s="190">
        <v>0.91</v>
      </c>
      <c r="J26" s="190">
        <v>0.71</v>
      </c>
      <c r="K26" s="190">
        <v>0.47</v>
      </c>
      <c r="L26" s="190">
        <v>0.17</v>
      </c>
      <c r="M26" s="190">
        <v>0.81</v>
      </c>
      <c r="N26" s="190">
        <v>0.66</v>
      </c>
      <c r="O26" s="190">
        <v>0.42</v>
      </c>
      <c r="P26" s="190">
        <v>0.15</v>
      </c>
      <c r="Q26" s="190">
        <v>0.7</v>
      </c>
      <c r="R26" s="190">
        <v>0.56999999999999995</v>
      </c>
      <c r="S26" s="190">
        <v>0.37</v>
      </c>
      <c r="T26" s="190">
        <v>0.13</v>
      </c>
      <c r="U26" s="190">
        <v>0.62</v>
      </c>
      <c r="V26" s="190">
        <v>0.54</v>
      </c>
      <c r="W26" s="190">
        <v>0.33</v>
      </c>
      <c r="X26" s="190">
        <v>0.14899999999999999</v>
      </c>
      <c r="Y26" s="190">
        <v>0.6</v>
      </c>
      <c r="Z26" s="190">
        <v>0.53</v>
      </c>
      <c r="AA26" s="190">
        <v>0.35</v>
      </c>
      <c r="AB26" s="190">
        <v>0.17</v>
      </c>
      <c r="AC26" s="190">
        <v>0.66</v>
      </c>
      <c r="AD26" s="190">
        <v>0.59</v>
      </c>
      <c r="AE26" s="190">
        <v>0.36</v>
      </c>
      <c r="AF26" s="190">
        <v>0.16</v>
      </c>
      <c r="AG26" s="190">
        <v>0.78</v>
      </c>
      <c r="AH26" s="190">
        <v>0.61</v>
      </c>
      <c r="AI26" s="190">
        <v>0.36</v>
      </c>
      <c r="AJ26" s="190">
        <v>0.16</v>
      </c>
      <c r="AK26" s="190">
        <v>1.2</v>
      </c>
      <c r="AL26" s="190">
        <v>0.93</v>
      </c>
      <c r="AM26" s="190">
        <v>0.63</v>
      </c>
      <c r="AN26" s="190">
        <v>0.48</v>
      </c>
      <c r="AO26" s="190">
        <v>2.25</v>
      </c>
      <c r="AP26" s="190">
        <v>1.7403</v>
      </c>
      <c r="AQ26" s="190">
        <v>1.1000000000000001</v>
      </c>
      <c r="AR26" s="190">
        <v>0.51</v>
      </c>
      <c r="AS26" s="190">
        <v>1.3474999999999999</v>
      </c>
      <c r="AT26" s="190">
        <v>0.93559999999999999</v>
      </c>
      <c r="AU26" s="190">
        <v>0.56999999999999995</v>
      </c>
      <c r="AV26" s="190">
        <v>0</v>
      </c>
      <c r="AW26" s="190">
        <v>3.2103000000000002</v>
      </c>
      <c r="AX26" s="190">
        <v>3.0203000000000002</v>
      </c>
      <c r="AY26" s="190">
        <v>0</v>
      </c>
    </row>
    <row r="27" spans="1:51" x14ac:dyDescent="0.25">
      <c r="A27" s="190" t="s">
        <v>214</v>
      </c>
      <c r="B27" s="190">
        <v>0.74</v>
      </c>
      <c r="C27" s="190">
        <v>0.48199999999999998</v>
      </c>
      <c r="D27" s="190">
        <v>0.19</v>
      </c>
      <c r="E27" s="190">
        <v>0.9</v>
      </c>
      <c r="F27" s="190">
        <v>0.7</v>
      </c>
      <c r="G27" s="190">
        <v>0.47</v>
      </c>
      <c r="H27" s="190">
        <v>0.18</v>
      </c>
      <c r="I27" s="190">
        <v>0.91</v>
      </c>
      <c r="J27" s="190">
        <v>0.71</v>
      </c>
      <c r="K27" s="190">
        <v>0.47</v>
      </c>
      <c r="L27" s="190">
        <v>0.17</v>
      </c>
      <c r="M27" s="190">
        <v>0.81</v>
      </c>
      <c r="N27" s="190">
        <v>0.66</v>
      </c>
      <c r="O27" s="190">
        <v>0.42</v>
      </c>
      <c r="P27" s="190">
        <v>0.15</v>
      </c>
      <c r="Q27" s="190">
        <v>0.7</v>
      </c>
      <c r="R27" s="190">
        <v>0.56999999999999995</v>
      </c>
      <c r="S27" s="190">
        <v>0.37</v>
      </c>
      <c r="T27" s="190">
        <v>0.13</v>
      </c>
      <c r="U27" s="190">
        <v>0.62</v>
      </c>
      <c r="V27" s="190">
        <v>0.54</v>
      </c>
      <c r="W27" s="190">
        <v>0.33</v>
      </c>
      <c r="X27" s="190">
        <v>0.14899999999999999</v>
      </c>
      <c r="Y27" s="190">
        <v>0.6</v>
      </c>
      <c r="Z27" s="190">
        <v>0.53</v>
      </c>
      <c r="AA27" s="190">
        <v>0.35</v>
      </c>
      <c r="AB27" s="190">
        <v>0.17</v>
      </c>
      <c r="AC27" s="190">
        <v>0.66</v>
      </c>
      <c r="AD27" s="190">
        <v>0.59</v>
      </c>
      <c r="AE27" s="190">
        <v>0.36</v>
      </c>
      <c r="AF27" s="190">
        <v>0.16</v>
      </c>
      <c r="AG27" s="190">
        <v>0.78</v>
      </c>
      <c r="AH27" s="190">
        <v>0.61</v>
      </c>
      <c r="AI27" s="190">
        <v>0.36</v>
      </c>
      <c r="AJ27" s="190">
        <v>0.16</v>
      </c>
      <c r="AK27" s="190">
        <v>1.2</v>
      </c>
      <c r="AL27" s="190">
        <v>0.93</v>
      </c>
      <c r="AM27" s="190">
        <v>0.63</v>
      </c>
      <c r="AN27" s="190">
        <v>0.48</v>
      </c>
      <c r="AO27" s="190">
        <v>2.25</v>
      </c>
      <c r="AP27" s="190">
        <v>1.7403</v>
      </c>
      <c r="AQ27" s="190">
        <v>1.1000000000000001</v>
      </c>
      <c r="AR27" s="190">
        <v>0.51</v>
      </c>
      <c r="AS27" s="190">
        <v>1.3474999999999999</v>
      </c>
      <c r="AT27" s="190">
        <v>0.93559999999999999</v>
      </c>
      <c r="AU27" s="190">
        <v>0.56999999999999995</v>
      </c>
      <c r="AV27" s="190">
        <v>0</v>
      </c>
      <c r="AW27" s="190">
        <v>3.2103000000000002</v>
      </c>
      <c r="AX27" s="190">
        <v>3.0203000000000002</v>
      </c>
      <c r="AY27" s="190">
        <v>0</v>
      </c>
    </row>
    <row r="28" spans="1:51" x14ac:dyDescent="0.25">
      <c r="A28" s="190" t="s">
        <v>215</v>
      </c>
      <c r="B28" s="190">
        <v>-2274842.44</v>
      </c>
      <c r="C28" s="190">
        <v>-1818916.66</v>
      </c>
      <c r="D28" s="190">
        <v>401182.51</v>
      </c>
      <c r="E28" s="190">
        <v>-2563222.75</v>
      </c>
      <c r="F28" s="190">
        <v>-217107.98</v>
      </c>
      <c r="G28" s="190">
        <v>-629539.24</v>
      </c>
      <c r="H28" s="190">
        <v>3252.12</v>
      </c>
      <c r="I28" s="190">
        <v>-1779313.95</v>
      </c>
      <c r="J28" s="190">
        <v>-2440609.65</v>
      </c>
      <c r="K28" s="190">
        <v>-2392196.66</v>
      </c>
      <c r="L28" s="190">
        <v>0</v>
      </c>
      <c r="M28" s="190">
        <v>1230817.1100000001</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563078864.25999999</v>
      </c>
      <c r="C29" s="190">
        <v>370103856.33999997</v>
      </c>
      <c r="D29" s="190">
        <v>148125462.55000001</v>
      </c>
      <c r="E29" s="190">
        <v>707347114.53999996</v>
      </c>
      <c r="F29" s="190">
        <v>553609978.96000004</v>
      </c>
      <c r="G29" s="190">
        <v>367704340.47000003</v>
      </c>
      <c r="H29" s="190">
        <v>140624581.33000001</v>
      </c>
      <c r="I29" s="190">
        <v>731582956.74000001</v>
      </c>
      <c r="J29" s="190">
        <v>568127896.88</v>
      </c>
      <c r="K29" s="190">
        <v>376589600.88</v>
      </c>
      <c r="L29" s="190">
        <v>141052169.15000001</v>
      </c>
      <c r="M29" s="190">
        <v>672155308.24000001</v>
      </c>
      <c r="N29" s="190">
        <v>536532131.06</v>
      </c>
      <c r="O29" s="190">
        <v>335305140.22000003</v>
      </c>
      <c r="P29" s="190">
        <v>123664048.17</v>
      </c>
      <c r="Q29" s="190">
        <v>615429919.00999999</v>
      </c>
      <c r="R29" s="190">
        <v>510510150.75</v>
      </c>
      <c r="S29" s="190">
        <v>328448459.76999998</v>
      </c>
      <c r="T29" s="190">
        <v>122045504.34</v>
      </c>
      <c r="U29" s="190">
        <v>569995925.76999998</v>
      </c>
      <c r="V29" s="190">
        <v>478524165.20999998</v>
      </c>
      <c r="W29" s="190">
        <v>299618052.92000002</v>
      </c>
      <c r="X29" s="190">
        <v>132559099.79000001</v>
      </c>
      <c r="Y29" s="190">
        <v>514689537.76999998</v>
      </c>
      <c r="Z29" s="190">
        <v>446367609.61000001</v>
      </c>
      <c r="AA29" s="190">
        <v>291343762.23000002</v>
      </c>
      <c r="AB29" s="190">
        <v>138070147.13999999</v>
      </c>
      <c r="AC29" s="190">
        <v>554027153.80999994</v>
      </c>
      <c r="AD29" s="190">
        <v>492958897.48000002</v>
      </c>
      <c r="AE29" s="190">
        <v>306839985.50999999</v>
      </c>
      <c r="AF29" s="190">
        <v>132186998.09</v>
      </c>
      <c r="AG29" s="190">
        <v>675725629.19000006</v>
      </c>
      <c r="AH29" s="190">
        <v>527429350.01999998</v>
      </c>
      <c r="AI29" s="190">
        <v>306026614.80000001</v>
      </c>
      <c r="AJ29" s="190">
        <v>84804217.400000006</v>
      </c>
      <c r="AK29" s="190">
        <v>714096064.88999999</v>
      </c>
      <c r="AL29" s="190">
        <v>557867347.55999994</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566932559.73000002</v>
      </c>
      <c r="C30" s="190">
        <v>368221455.45999998</v>
      </c>
      <c r="D30" s="190">
        <v>147402433.93000001</v>
      </c>
      <c r="E30" s="190">
        <v>686355434.58000004</v>
      </c>
      <c r="F30" s="190">
        <v>538391790.92999995</v>
      </c>
      <c r="G30" s="190">
        <v>360602891.54000002</v>
      </c>
      <c r="H30" s="190">
        <v>136273091.91999999</v>
      </c>
      <c r="I30" s="190">
        <v>695947453.38999999</v>
      </c>
      <c r="J30" s="190">
        <v>543723066.34000003</v>
      </c>
      <c r="K30" s="190">
        <v>361351670.16000003</v>
      </c>
      <c r="L30" s="190">
        <v>132402574.40000001</v>
      </c>
      <c r="M30" s="190">
        <v>621271741.24000001</v>
      </c>
      <c r="N30" s="190">
        <v>504944479.25</v>
      </c>
      <c r="O30" s="190">
        <v>319197292.13</v>
      </c>
      <c r="P30" s="190">
        <v>118963963.15000001</v>
      </c>
      <c r="Q30" s="190">
        <v>531657356.97000003</v>
      </c>
      <c r="R30" s="190">
        <v>436945031.44999999</v>
      </c>
      <c r="S30" s="190">
        <v>278272246.13999999</v>
      </c>
      <c r="T30" s="190">
        <v>102571289.91</v>
      </c>
      <c r="U30" s="190">
        <v>469706542.01999998</v>
      </c>
      <c r="V30" s="190">
        <v>407744502.05000001</v>
      </c>
      <c r="W30" s="190">
        <v>253694104.13999999</v>
      </c>
      <c r="X30" s="190">
        <v>113541062.16</v>
      </c>
      <c r="Y30" s="190">
        <v>455238144.88</v>
      </c>
      <c r="Z30" s="190">
        <v>402342947.43000001</v>
      </c>
      <c r="AA30" s="190">
        <v>263317892.75</v>
      </c>
      <c r="AB30" s="190">
        <v>126037642.16</v>
      </c>
      <c r="AC30" s="190">
        <v>501319592.43000001</v>
      </c>
      <c r="AD30" s="190">
        <v>450363723.76999998</v>
      </c>
      <c r="AE30" s="190">
        <v>275225728.37</v>
      </c>
      <c r="AF30" s="190">
        <v>122246727.28</v>
      </c>
      <c r="AG30" s="190">
        <v>590908267.41999996</v>
      </c>
      <c r="AH30" s="190">
        <v>465916542.25</v>
      </c>
      <c r="AI30" s="190">
        <v>273035905.19</v>
      </c>
      <c r="AJ30" s="190">
        <v>82886635.939999998</v>
      </c>
      <c r="AK30" s="190">
        <v>609746692.85000002</v>
      </c>
      <c r="AL30" s="190">
        <v>472215366.81999999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-3853695.47</v>
      </c>
      <c r="C31" s="190">
        <v>1882400.88</v>
      </c>
      <c r="D31" s="190">
        <v>723028.62</v>
      </c>
      <c r="E31" s="190">
        <v>20991679.960000001</v>
      </c>
      <c r="F31" s="190">
        <v>15218188.029999999</v>
      </c>
      <c r="G31" s="190">
        <v>7101448.9299999997</v>
      </c>
      <c r="H31" s="190">
        <v>4351489.41</v>
      </c>
      <c r="I31" s="190">
        <v>35635503.350000001</v>
      </c>
      <c r="J31" s="190">
        <v>24404830.539999999</v>
      </c>
      <c r="K31" s="190">
        <v>15237930.720000001</v>
      </c>
      <c r="L31" s="190">
        <v>8649594.75</v>
      </c>
      <c r="M31" s="190">
        <v>50883567</v>
      </c>
      <c r="N31" s="190">
        <v>31587651.809999999</v>
      </c>
      <c r="O31" s="190">
        <v>16107848.09</v>
      </c>
      <c r="P31" s="190">
        <v>4700085.0199999996</v>
      </c>
      <c r="Q31" s="190">
        <v>83772562.040000007</v>
      </c>
      <c r="R31" s="190">
        <v>73565119.299999997</v>
      </c>
      <c r="S31" s="190">
        <v>50176213.630000003</v>
      </c>
      <c r="T31" s="190">
        <v>19474214.43</v>
      </c>
      <c r="U31" s="190">
        <v>100289383.75</v>
      </c>
      <c r="V31" s="190">
        <v>70779663.159999996</v>
      </c>
      <c r="W31" s="190">
        <v>45923948.780000001</v>
      </c>
      <c r="X31" s="190">
        <v>19018037.629999999</v>
      </c>
      <c r="Y31" s="190">
        <v>59451392.890000001</v>
      </c>
      <c r="Z31" s="190">
        <v>44024662.18</v>
      </c>
      <c r="AA31" s="190">
        <v>28025869.48</v>
      </c>
      <c r="AB31" s="190">
        <v>12032504.98</v>
      </c>
      <c r="AC31" s="190">
        <v>52707561.380000003</v>
      </c>
      <c r="AD31" s="190">
        <v>42595173.710000001</v>
      </c>
      <c r="AE31" s="190">
        <v>31614257.140000001</v>
      </c>
      <c r="AF31" s="190">
        <v>9940270.8100000005</v>
      </c>
      <c r="AG31" s="190">
        <v>84817361.769999996</v>
      </c>
      <c r="AH31" s="190">
        <v>61512807.770000003</v>
      </c>
      <c r="AI31" s="190">
        <v>32990709.609999999</v>
      </c>
      <c r="AJ31" s="190">
        <v>1917581.46</v>
      </c>
      <c r="AK31" s="190">
        <v>104349372.04000001</v>
      </c>
      <c r="AL31" s="190">
        <v>85651980.739999995</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6969163138.8199997</v>
      </c>
      <c r="C4" s="190">
        <v>4444622215.3999996</v>
      </c>
      <c r="D4" s="190">
        <v>2381649845.8400002</v>
      </c>
      <c r="E4" s="190">
        <v>7988666228.1000004</v>
      </c>
      <c r="F4" s="190">
        <v>5835875940.4200001</v>
      </c>
      <c r="G4" s="190">
        <v>3847459832.8299999</v>
      </c>
      <c r="H4" s="190">
        <v>1925184985.0899999</v>
      </c>
      <c r="I4" s="190">
        <v>8467791735.7700005</v>
      </c>
      <c r="J4" s="190">
        <v>5771513281.6000004</v>
      </c>
      <c r="K4" s="190">
        <v>3817087283.1500001</v>
      </c>
      <c r="L4" s="190">
        <v>2004402983.9300001</v>
      </c>
      <c r="M4" s="190">
        <v>8120285427.5500002</v>
      </c>
      <c r="N4" s="190">
        <v>6055835193.7299995</v>
      </c>
      <c r="O4" s="190">
        <v>4166324890.6300001</v>
      </c>
      <c r="P4" s="190">
        <v>1921069874.3499999</v>
      </c>
      <c r="Q4" s="190">
        <v>6792522650.3100004</v>
      </c>
      <c r="R4" s="190">
        <v>4972881913.8100004</v>
      </c>
      <c r="S4" s="190">
        <v>3509997722.8499999</v>
      </c>
      <c r="T4" s="190">
        <v>1576301146.3</v>
      </c>
      <c r="U4" s="190">
        <v>5785249174.8400002</v>
      </c>
      <c r="V4" s="190">
        <v>4314433028.7399998</v>
      </c>
      <c r="W4" s="190">
        <v>2962077122.0100002</v>
      </c>
      <c r="X4" s="190">
        <v>1520179487.78</v>
      </c>
      <c r="Y4" s="190">
        <v>5490340680.8199997</v>
      </c>
      <c r="Z4" s="190">
        <v>3991375107.2399998</v>
      </c>
      <c r="AA4" s="190">
        <v>2730843307.04</v>
      </c>
      <c r="AB4" s="190">
        <v>1393965666.95</v>
      </c>
      <c r="AC4" s="190">
        <v>6061540066.6599998</v>
      </c>
      <c r="AD4" s="190">
        <v>4569448323.6300001</v>
      </c>
      <c r="AE4" s="190">
        <v>3046478376.1799998</v>
      </c>
      <c r="AF4" s="190">
        <v>1480931881.98</v>
      </c>
      <c r="AG4" s="190">
        <v>6070531713.5100002</v>
      </c>
      <c r="AH4" s="190">
        <v>4169073947</v>
      </c>
      <c r="AI4" s="190">
        <v>2435196819.1999998</v>
      </c>
      <c r="AJ4" s="190">
        <v>1110378481.29</v>
      </c>
      <c r="AK4" s="190">
        <v>5598571524.79</v>
      </c>
      <c r="AL4" s="190">
        <v>3958587969.5700002</v>
      </c>
      <c r="AM4" s="190">
        <v>2861790301.21</v>
      </c>
      <c r="AN4" s="190">
        <v>1455975280.79</v>
      </c>
      <c r="AO4" s="190">
        <v>5384110967.4799995</v>
      </c>
      <c r="AP4" s="190">
        <v>3081389305.8200002</v>
      </c>
      <c r="AQ4" s="190">
        <v>1636788669.97</v>
      </c>
      <c r="AR4" s="190">
        <v>717342915.23000002</v>
      </c>
      <c r="AS4" s="190">
        <v>1938669170.27</v>
      </c>
      <c r="AT4" s="190">
        <v>1314088205.6800001</v>
      </c>
      <c r="AU4" s="190">
        <v>917752310.38</v>
      </c>
      <c r="AV4" s="190">
        <v>327870995.81</v>
      </c>
      <c r="AW4" s="190">
        <v>1077005229.3599999</v>
      </c>
      <c r="AX4" s="190">
        <v>832286359.14999998</v>
      </c>
      <c r="AY4" s="190">
        <v>0</v>
      </c>
    </row>
    <row r="5" spans="1:51" x14ac:dyDescent="0.25">
      <c r="A5" s="190" t="s">
        <v>221</v>
      </c>
      <c r="B5" s="190">
        <v>0</v>
      </c>
      <c r="C5" s="190">
        <v>0</v>
      </c>
      <c r="D5" s="190">
        <v>0</v>
      </c>
      <c r="E5" s="190">
        <v>9797127.75</v>
      </c>
      <c r="F5" s="190">
        <v>0</v>
      </c>
      <c r="G5" s="190">
        <v>0</v>
      </c>
      <c r="H5" s="190">
        <v>0</v>
      </c>
      <c r="I5" s="190">
        <v>9683442.9299999997</v>
      </c>
      <c r="J5" s="190">
        <v>0</v>
      </c>
      <c r="K5" s="190">
        <v>0</v>
      </c>
      <c r="L5" s="190">
        <v>0</v>
      </c>
      <c r="M5" s="190">
        <v>33788810.359999999</v>
      </c>
      <c r="N5" s="190">
        <v>0</v>
      </c>
      <c r="O5" s="190">
        <v>0</v>
      </c>
      <c r="P5" s="190">
        <v>1737126.61</v>
      </c>
      <c r="Q5" s="190">
        <v>5765306.6200000001</v>
      </c>
      <c r="R5" s="190">
        <v>0</v>
      </c>
      <c r="S5" s="190">
        <v>0</v>
      </c>
      <c r="T5" s="190">
        <v>0</v>
      </c>
      <c r="U5" s="190">
        <v>1973874.91</v>
      </c>
      <c r="V5" s="190">
        <v>0</v>
      </c>
      <c r="W5" s="190">
        <v>0</v>
      </c>
      <c r="X5" s="190">
        <v>0</v>
      </c>
      <c r="Y5" s="190">
        <v>2658335.15</v>
      </c>
      <c r="Z5" s="190">
        <v>0</v>
      </c>
      <c r="AA5" s="190">
        <v>0</v>
      </c>
      <c r="AB5" s="190">
        <v>0</v>
      </c>
      <c r="AC5" s="190">
        <v>2809997.06</v>
      </c>
      <c r="AD5" s="190">
        <v>0</v>
      </c>
      <c r="AE5" s="190">
        <v>0</v>
      </c>
      <c r="AF5" s="190">
        <v>350000</v>
      </c>
      <c r="AG5" s="190">
        <v>4035354.42</v>
      </c>
      <c r="AH5" s="190">
        <v>0</v>
      </c>
      <c r="AI5" s="190">
        <v>0</v>
      </c>
      <c r="AJ5" s="190">
        <v>181584.72</v>
      </c>
      <c r="AK5" s="190">
        <v>4594485.88</v>
      </c>
      <c r="AL5" s="190">
        <v>0</v>
      </c>
      <c r="AM5" s="190">
        <v>0</v>
      </c>
      <c r="AN5" s="190">
        <v>0</v>
      </c>
      <c r="AO5" s="190">
        <v>0</v>
      </c>
      <c r="AP5" s="190">
        <v>0</v>
      </c>
      <c r="AQ5" s="190">
        <v>0</v>
      </c>
      <c r="AR5" s="190">
        <v>0</v>
      </c>
      <c r="AS5" s="190">
        <v>0</v>
      </c>
      <c r="AT5" s="190">
        <v>0</v>
      </c>
      <c r="AU5" s="190">
        <v>1273194.97</v>
      </c>
      <c r="AV5" s="190">
        <v>0</v>
      </c>
      <c r="AW5" s="190">
        <v>0</v>
      </c>
      <c r="AX5" s="190">
        <v>0</v>
      </c>
      <c r="AY5" s="190">
        <v>0</v>
      </c>
    </row>
    <row r="6" spans="1:51" x14ac:dyDescent="0.25">
      <c r="A6" s="190" t="s">
        <v>222</v>
      </c>
      <c r="B6" s="190">
        <v>119993601.19</v>
      </c>
      <c r="C6" s="190">
        <v>24474498.280000001</v>
      </c>
      <c r="D6" s="190">
        <v>21452068.989999998</v>
      </c>
      <c r="E6" s="190">
        <v>76259794.629999995</v>
      </c>
      <c r="F6" s="190">
        <v>88392420.129999995</v>
      </c>
      <c r="G6" s="190">
        <v>58249881.490000002</v>
      </c>
      <c r="H6" s="190">
        <v>5478499.5999999996</v>
      </c>
      <c r="I6" s="190">
        <v>75322268.609999999</v>
      </c>
      <c r="J6" s="190">
        <v>76520455.739999995</v>
      </c>
      <c r="K6" s="190">
        <v>37684875.719999999</v>
      </c>
      <c r="L6" s="190">
        <v>31655910.59</v>
      </c>
      <c r="M6" s="190">
        <v>88020225.719999999</v>
      </c>
      <c r="N6" s="190">
        <v>82281279.620000005</v>
      </c>
      <c r="O6" s="190">
        <v>35405219.590000004</v>
      </c>
      <c r="P6" s="190">
        <v>19543023.609999999</v>
      </c>
      <c r="Q6" s="190">
        <v>93117953.799999997</v>
      </c>
      <c r="R6" s="190">
        <v>58696262.890000001</v>
      </c>
      <c r="S6" s="190">
        <v>52015919.32</v>
      </c>
      <c r="T6" s="190">
        <v>30185577.27</v>
      </c>
      <c r="U6" s="190">
        <v>45883028.270000003</v>
      </c>
      <c r="V6" s="190">
        <v>45553698.920000002</v>
      </c>
      <c r="W6" s="190">
        <v>30359036.440000001</v>
      </c>
      <c r="X6" s="190">
        <v>25784869.489999998</v>
      </c>
      <c r="Y6" s="190">
        <v>55518965</v>
      </c>
      <c r="Z6" s="190">
        <v>38335387.68</v>
      </c>
      <c r="AA6" s="190">
        <v>25672647.77</v>
      </c>
      <c r="AB6" s="190">
        <v>65717336.280000001</v>
      </c>
      <c r="AC6" s="190">
        <v>63679019.109999999</v>
      </c>
      <c r="AD6" s="190">
        <v>52394676.32</v>
      </c>
      <c r="AE6" s="190">
        <v>34435165.490000002</v>
      </c>
      <c r="AF6" s="190">
        <v>35345453.350000001</v>
      </c>
      <c r="AG6" s="190">
        <v>57993358.289999999</v>
      </c>
      <c r="AH6" s="190">
        <v>106108776.67</v>
      </c>
      <c r="AI6" s="190">
        <v>57387190.270000003</v>
      </c>
      <c r="AJ6" s="190">
        <v>15650501.689999999</v>
      </c>
      <c r="AK6" s="190">
        <v>85924764.109999999</v>
      </c>
      <c r="AL6" s="190">
        <v>120140125.62</v>
      </c>
      <c r="AM6" s="190">
        <v>102305893.27</v>
      </c>
      <c r="AN6" s="190">
        <v>21970218.399999999</v>
      </c>
      <c r="AO6" s="190">
        <v>32131645.449999999</v>
      </c>
      <c r="AP6" s="190">
        <v>9832822.5999999996</v>
      </c>
      <c r="AQ6" s="190">
        <v>16107030.98</v>
      </c>
      <c r="AR6" s="190">
        <v>109543616.22</v>
      </c>
      <c r="AS6" s="190">
        <v>76635155.040000007</v>
      </c>
      <c r="AT6" s="190">
        <v>67366139.950000003</v>
      </c>
      <c r="AU6" s="190">
        <v>17326869.510000002</v>
      </c>
      <c r="AV6" s="190">
        <v>58329327.869999997</v>
      </c>
      <c r="AW6" s="190">
        <v>4135221.4</v>
      </c>
      <c r="AX6" s="190">
        <v>9022690.6500000004</v>
      </c>
      <c r="AY6" s="190">
        <v>0</v>
      </c>
    </row>
    <row r="7" spans="1:51" x14ac:dyDescent="0.25">
      <c r="A7" s="190" t="s">
        <v>223</v>
      </c>
      <c r="B7" s="190">
        <v>7089156740.0100002</v>
      </c>
      <c r="C7" s="190">
        <v>4469096713.6800003</v>
      </c>
      <c r="D7" s="190">
        <v>2403101914.8299999</v>
      </c>
      <c r="E7" s="190">
        <v>8074723150.4799995</v>
      </c>
      <c r="F7" s="190">
        <v>5924268360.5500002</v>
      </c>
      <c r="G7" s="190">
        <v>3905709714.3200002</v>
      </c>
      <c r="H7" s="190">
        <v>1930663484.6900001</v>
      </c>
      <c r="I7" s="190">
        <v>8552797447.3100004</v>
      </c>
      <c r="J7" s="190">
        <v>5848033737.3400002</v>
      </c>
      <c r="K7" s="190">
        <v>3854772158.8699999</v>
      </c>
      <c r="L7" s="190">
        <v>2036058894.52</v>
      </c>
      <c r="M7" s="190">
        <v>8242094463.6300001</v>
      </c>
      <c r="N7" s="190">
        <v>6138116473.3500004</v>
      </c>
      <c r="O7" s="190">
        <v>4201730110.2199998</v>
      </c>
      <c r="P7" s="190">
        <v>1942350024.5699999</v>
      </c>
      <c r="Q7" s="190">
        <v>6891405910.7299995</v>
      </c>
      <c r="R7" s="190">
        <v>5031578176.6999998</v>
      </c>
      <c r="S7" s="190">
        <v>3562013642.1700001</v>
      </c>
      <c r="T7" s="190">
        <v>1606486723.5699999</v>
      </c>
      <c r="U7" s="190">
        <v>5833106078.0200005</v>
      </c>
      <c r="V7" s="190">
        <v>4359986727.6599998</v>
      </c>
      <c r="W7" s="190">
        <v>2992436158.4499998</v>
      </c>
      <c r="X7" s="190">
        <v>1545964357.27</v>
      </c>
      <c r="Y7" s="190">
        <v>5548517980.9700003</v>
      </c>
      <c r="Z7" s="190">
        <v>4029710494.9200001</v>
      </c>
      <c r="AA7" s="190">
        <v>2756515954.8099999</v>
      </c>
      <c r="AB7" s="190">
        <v>1459683003.23</v>
      </c>
      <c r="AC7" s="190">
        <v>6128029082.8299999</v>
      </c>
      <c r="AD7" s="190">
        <v>4621842999.9499998</v>
      </c>
      <c r="AE7" s="190">
        <v>3080913541.6700001</v>
      </c>
      <c r="AF7" s="190">
        <v>1516627335.3299999</v>
      </c>
      <c r="AG7" s="190">
        <v>6132560426.2200003</v>
      </c>
      <c r="AH7" s="190">
        <v>4275182723.6700001</v>
      </c>
      <c r="AI7" s="190">
        <v>2492584009.4699998</v>
      </c>
      <c r="AJ7" s="190">
        <v>1126210567.7</v>
      </c>
      <c r="AK7" s="190">
        <v>5689090774.7799997</v>
      </c>
      <c r="AL7" s="190">
        <v>4078728095.1900001</v>
      </c>
      <c r="AM7" s="190">
        <v>2964096194.48</v>
      </c>
      <c r="AN7" s="190">
        <v>1477945499.1900001</v>
      </c>
      <c r="AO7" s="190">
        <v>5416242612.9300003</v>
      </c>
      <c r="AP7" s="190">
        <v>3091222128.4200001</v>
      </c>
      <c r="AQ7" s="190">
        <v>1652895700.95</v>
      </c>
      <c r="AR7" s="190">
        <v>826886531.45000005</v>
      </c>
      <c r="AS7" s="190">
        <v>2015304325.3099999</v>
      </c>
      <c r="AT7" s="190">
        <v>1381454345.6300001</v>
      </c>
      <c r="AU7" s="190">
        <v>936352374.86000001</v>
      </c>
      <c r="AV7" s="190">
        <v>435535818.56999999</v>
      </c>
      <c r="AW7" s="190">
        <v>1081140450.76</v>
      </c>
      <c r="AX7" s="190">
        <v>841309049.79999995</v>
      </c>
      <c r="AY7" s="190">
        <v>0</v>
      </c>
    </row>
    <row r="8" spans="1:51" x14ac:dyDescent="0.25">
      <c r="A8" s="190" t="s">
        <v>224</v>
      </c>
      <c r="B8" s="190">
        <v>4992095526.8100004</v>
      </c>
      <c r="C8" s="190">
        <v>2987404715.79</v>
      </c>
      <c r="D8" s="190">
        <v>1725262281.0699999</v>
      </c>
      <c r="E8" s="190">
        <v>5964853147.0200005</v>
      </c>
      <c r="F8" s="190">
        <v>4393791541.4099998</v>
      </c>
      <c r="G8" s="190">
        <v>2948082591.9299998</v>
      </c>
      <c r="H8" s="190">
        <v>1534642298.6900001</v>
      </c>
      <c r="I8" s="190">
        <v>5488576327.2399998</v>
      </c>
      <c r="J8" s="190">
        <v>4237687921.3800001</v>
      </c>
      <c r="K8" s="190">
        <v>2918579423.0900002</v>
      </c>
      <c r="L8" s="190">
        <v>1492369754.27</v>
      </c>
      <c r="M8" s="190">
        <v>5459608559.04</v>
      </c>
      <c r="N8" s="190">
        <v>3963848349.0300002</v>
      </c>
      <c r="O8" s="190">
        <v>2665418143.9400001</v>
      </c>
      <c r="P8" s="190">
        <v>1409020125.71</v>
      </c>
      <c r="Q8" s="190">
        <v>4570903575.1899996</v>
      </c>
      <c r="R8" s="190">
        <v>3289377126.1300001</v>
      </c>
      <c r="S8" s="190">
        <v>2252694937.0999999</v>
      </c>
      <c r="T8" s="190">
        <v>1150796553.1500001</v>
      </c>
      <c r="U8" s="190">
        <v>4021078094.5599999</v>
      </c>
      <c r="V8" s="190">
        <v>2966422651.0300002</v>
      </c>
      <c r="W8" s="190">
        <v>2019057148.3499999</v>
      </c>
      <c r="X8" s="190">
        <v>1036307180.34</v>
      </c>
      <c r="Y8" s="190">
        <v>3669598645.4000001</v>
      </c>
      <c r="Z8" s="190">
        <v>2830778303.7600002</v>
      </c>
      <c r="AA8" s="190">
        <v>1983318944.6099999</v>
      </c>
      <c r="AB8" s="190">
        <v>1041650717.88</v>
      </c>
      <c r="AC8" s="190">
        <v>3887179905.1399999</v>
      </c>
      <c r="AD8" s="190">
        <v>2954003232.0799999</v>
      </c>
      <c r="AE8" s="190">
        <v>2037412986.3900001</v>
      </c>
      <c r="AF8" s="190">
        <v>1097492806.52</v>
      </c>
      <c r="AG8" s="190">
        <v>3755575182.3200002</v>
      </c>
      <c r="AH8" s="190">
        <v>2683623356.3899999</v>
      </c>
      <c r="AI8" s="190">
        <v>1465755354.5799999</v>
      </c>
      <c r="AJ8" s="190">
        <v>876562804.38999999</v>
      </c>
      <c r="AK8" s="190">
        <v>3404126408.9400001</v>
      </c>
      <c r="AL8" s="190">
        <v>2461716905.5300002</v>
      </c>
      <c r="AM8" s="190">
        <v>1864328513.23</v>
      </c>
      <c r="AN8" s="190">
        <v>1154674862.9000001</v>
      </c>
      <c r="AO8" s="190">
        <v>3203784057.0500002</v>
      </c>
      <c r="AP8" s="190">
        <v>1801779195.25</v>
      </c>
      <c r="AQ8" s="190">
        <v>1086736816.3699999</v>
      </c>
      <c r="AR8" s="190">
        <v>741801961.51999998</v>
      </c>
      <c r="AS8" s="190">
        <v>1101988794.6099999</v>
      </c>
      <c r="AT8" s="190">
        <v>783717535.71000004</v>
      </c>
      <c r="AU8" s="190">
        <v>630936438.5</v>
      </c>
      <c r="AV8" s="190">
        <v>311585925.17000002</v>
      </c>
      <c r="AW8" s="190">
        <v>905743174.75</v>
      </c>
      <c r="AX8" s="190">
        <v>723791402.28999996</v>
      </c>
      <c r="AY8" s="190">
        <v>0</v>
      </c>
    </row>
    <row r="9" spans="1:51" x14ac:dyDescent="0.25">
      <c r="A9" s="190" t="s">
        <v>225</v>
      </c>
      <c r="B9" s="190">
        <v>457859186.30000001</v>
      </c>
      <c r="C9" s="190">
        <v>382968986.29000002</v>
      </c>
      <c r="D9" s="190">
        <v>261395009.30000001</v>
      </c>
      <c r="E9" s="190">
        <v>558282444.12</v>
      </c>
      <c r="F9" s="190">
        <v>440432576.29000002</v>
      </c>
      <c r="G9" s="190">
        <v>338192404.56</v>
      </c>
      <c r="H9" s="190">
        <v>235425874.22</v>
      </c>
      <c r="I9" s="190">
        <v>526889795.00999999</v>
      </c>
      <c r="J9" s="190">
        <v>422921608.22000003</v>
      </c>
      <c r="K9" s="190">
        <v>325692075.32999998</v>
      </c>
      <c r="L9" s="190">
        <v>230618187.63999999</v>
      </c>
      <c r="M9" s="190">
        <v>549617465.17999995</v>
      </c>
      <c r="N9" s="190">
        <v>415183967.82999998</v>
      </c>
      <c r="O9" s="190">
        <v>329249416.38</v>
      </c>
      <c r="P9" s="190">
        <v>224504601.91</v>
      </c>
      <c r="Q9" s="190">
        <v>521177277.61000001</v>
      </c>
      <c r="R9" s="190">
        <v>383011379.27999997</v>
      </c>
      <c r="S9" s="190">
        <v>294232633.18000001</v>
      </c>
      <c r="T9" s="190">
        <v>190301896.63</v>
      </c>
      <c r="U9" s="190">
        <v>499303460.87</v>
      </c>
      <c r="V9" s="190">
        <v>359192199.76999998</v>
      </c>
      <c r="W9" s="190">
        <v>279893713.19</v>
      </c>
      <c r="X9" s="190">
        <v>176584542.88999999</v>
      </c>
      <c r="Y9" s="190">
        <v>490784053.77999997</v>
      </c>
      <c r="Z9" s="190">
        <v>297376064.47000003</v>
      </c>
      <c r="AA9" s="190">
        <v>233855351.21000001</v>
      </c>
      <c r="AB9" s="190">
        <v>160299792.41999999</v>
      </c>
      <c r="AC9" s="190">
        <v>470483363.55000001</v>
      </c>
      <c r="AD9" s="190">
        <v>254349496.52000001</v>
      </c>
      <c r="AE9" s="190">
        <v>193166394.50999999</v>
      </c>
      <c r="AF9" s="190">
        <v>161158437.15000001</v>
      </c>
      <c r="AG9" s="190">
        <v>445677086.61000001</v>
      </c>
      <c r="AH9" s="190">
        <v>214447633.91</v>
      </c>
      <c r="AI9" s="190">
        <v>150395486.31999999</v>
      </c>
      <c r="AJ9" s="190">
        <v>61083818.859999999</v>
      </c>
      <c r="AK9" s="190">
        <v>351457445.62</v>
      </c>
      <c r="AL9" s="190">
        <v>222273964.94</v>
      </c>
      <c r="AM9" s="190">
        <v>201674022.24000001</v>
      </c>
      <c r="AN9" s="190">
        <v>57512068.82</v>
      </c>
      <c r="AO9" s="190">
        <v>223525500.56999999</v>
      </c>
      <c r="AP9" s="190">
        <v>75309143.920000002</v>
      </c>
      <c r="AQ9" s="190">
        <v>78906640.650000006</v>
      </c>
      <c r="AR9" s="190">
        <v>30603784.800000001</v>
      </c>
      <c r="AS9" s="190">
        <v>80045589.310000002</v>
      </c>
      <c r="AT9" s="190">
        <v>43086194.369999997</v>
      </c>
      <c r="AU9" s="190">
        <v>39205014.869999997</v>
      </c>
      <c r="AV9" s="190">
        <v>12465029.310000001</v>
      </c>
      <c r="AW9" s="190">
        <v>28775139.66</v>
      </c>
      <c r="AX9" s="190">
        <v>23952708.350000001</v>
      </c>
      <c r="AY9" s="190">
        <v>0</v>
      </c>
    </row>
    <row r="10" spans="1:51" x14ac:dyDescent="0.25">
      <c r="A10" s="190" t="s">
        <v>226</v>
      </c>
      <c r="B10" s="190">
        <v>333524355.70999998</v>
      </c>
      <c r="C10" s="190">
        <v>306009888</v>
      </c>
      <c r="D10" s="190">
        <v>131802714.84</v>
      </c>
      <c r="E10" s="190">
        <v>504280002.75</v>
      </c>
      <c r="F10" s="190">
        <v>323470474.93000001</v>
      </c>
      <c r="G10" s="190">
        <v>263124876.75999999</v>
      </c>
      <c r="H10" s="190">
        <v>130709688.98999999</v>
      </c>
      <c r="I10" s="190">
        <v>542238511.07000005</v>
      </c>
      <c r="J10" s="190">
        <v>404225385.93000001</v>
      </c>
      <c r="K10" s="190">
        <v>291201486.95999998</v>
      </c>
      <c r="L10" s="190">
        <v>122002812.33</v>
      </c>
      <c r="M10" s="190">
        <v>537945479.86000001</v>
      </c>
      <c r="N10" s="190">
        <v>361681775.11000001</v>
      </c>
      <c r="O10" s="190">
        <v>278675282.91000003</v>
      </c>
      <c r="P10" s="190">
        <v>85948483.859999999</v>
      </c>
      <c r="Q10" s="190">
        <v>465033775.89999998</v>
      </c>
      <c r="R10" s="190">
        <v>328706898.45999998</v>
      </c>
      <c r="S10" s="190">
        <v>216431794.53</v>
      </c>
      <c r="T10" s="190">
        <v>93910237.980000004</v>
      </c>
      <c r="U10" s="190">
        <v>440466727.20999998</v>
      </c>
      <c r="V10" s="190">
        <v>315030902.18000001</v>
      </c>
      <c r="W10" s="190">
        <v>228132416.94999999</v>
      </c>
      <c r="X10" s="190">
        <v>66974515.340000004</v>
      </c>
      <c r="Y10" s="190">
        <v>397678801.25999999</v>
      </c>
      <c r="Z10" s="190">
        <v>269586525.69</v>
      </c>
      <c r="AA10" s="190">
        <v>190857717.55000001</v>
      </c>
      <c r="AB10" s="190">
        <v>44024947.380000003</v>
      </c>
      <c r="AC10" s="190">
        <v>514806367.58999997</v>
      </c>
      <c r="AD10" s="190">
        <v>371634638.19999999</v>
      </c>
      <c r="AE10" s="190">
        <v>239697343.53999999</v>
      </c>
      <c r="AF10" s="190">
        <v>55334496.68</v>
      </c>
      <c r="AG10" s="190">
        <v>503331558.20999998</v>
      </c>
      <c r="AH10" s="190">
        <v>363205705.92000002</v>
      </c>
      <c r="AI10" s="190">
        <v>212575836</v>
      </c>
      <c r="AJ10" s="190">
        <v>72063718.620000005</v>
      </c>
      <c r="AK10" s="190">
        <v>434080126.64999998</v>
      </c>
      <c r="AL10" s="190">
        <v>341567547.5</v>
      </c>
      <c r="AM10" s="190">
        <v>234746923.31999999</v>
      </c>
      <c r="AN10" s="190">
        <v>97545442.010000005</v>
      </c>
      <c r="AO10" s="190">
        <v>353722215.69</v>
      </c>
      <c r="AP10" s="190">
        <v>268208516.66</v>
      </c>
      <c r="AQ10" s="190">
        <v>183370830.37</v>
      </c>
      <c r="AR10" s="190">
        <v>55248397.149999999</v>
      </c>
      <c r="AS10" s="190">
        <v>120463582.48999999</v>
      </c>
      <c r="AT10" s="190">
        <v>78752337.640000001</v>
      </c>
      <c r="AU10" s="190">
        <v>52840611.869999997</v>
      </c>
      <c r="AV10" s="190">
        <v>33745212.759999998</v>
      </c>
      <c r="AW10" s="190">
        <v>25127329.170000002</v>
      </c>
      <c r="AX10" s="190">
        <v>20662505.27</v>
      </c>
      <c r="AY10" s="190">
        <v>0</v>
      </c>
    </row>
    <row r="11" spans="1:51" x14ac:dyDescent="0.25">
      <c r="A11" s="190" t="s">
        <v>227</v>
      </c>
      <c r="B11" s="190">
        <v>887214704.64999998</v>
      </c>
      <c r="C11" s="190">
        <v>569126009.25999999</v>
      </c>
      <c r="D11" s="190">
        <v>158625964.05000001</v>
      </c>
      <c r="E11" s="190">
        <v>998404291.89999998</v>
      </c>
      <c r="F11" s="190">
        <v>645668246.03999996</v>
      </c>
      <c r="G11" s="190">
        <v>414304421.69</v>
      </c>
      <c r="H11" s="190">
        <v>134650122.05000001</v>
      </c>
      <c r="I11" s="190">
        <v>988356205.00999999</v>
      </c>
      <c r="J11" s="190">
        <v>579596529.34000003</v>
      </c>
      <c r="K11" s="190">
        <v>388332931.57999998</v>
      </c>
      <c r="L11" s="190">
        <v>182950374.05000001</v>
      </c>
      <c r="M11" s="190">
        <v>833676733.32000005</v>
      </c>
      <c r="N11" s="190">
        <v>582403647.05999994</v>
      </c>
      <c r="O11" s="190">
        <v>319916938.51999998</v>
      </c>
      <c r="P11" s="190">
        <v>157907961.47</v>
      </c>
      <c r="Q11" s="190">
        <v>738877375.12</v>
      </c>
      <c r="R11" s="190">
        <v>511761587.81999999</v>
      </c>
      <c r="S11" s="190">
        <v>298949495.91000003</v>
      </c>
      <c r="T11" s="190">
        <v>127304559.67</v>
      </c>
      <c r="U11" s="190">
        <v>626824093.34000003</v>
      </c>
      <c r="V11" s="190">
        <v>465517637.05000001</v>
      </c>
      <c r="W11" s="190">
        <v>282087647.68000001</v>
      </c>
      <c r="X11" s="190">
        <v>142701001.31</v>
      </c>
      <c r="Y11" s="190">
        <v>688049830.00999999</v>
      </c>
      <c r="Z11" s="190">
        <v>442894037.00999999</v>
      </c>
      <c r="AA11" s="190">
        <v>270454236.11000001</v>
      </c>
      <c r="AB11" s="190">
        <v>122930017.37</v>
      </c>
      <c r="AC11" s="190">
        <v>843390715.77999997</v>
      </c>
      <c r="AD11" s="190">
        <v>560469599.26999998</v>
      </c>
      <c r="AE11" s="190">
        <v>354970245.05000001</v>
      </c>
      <c r="AF11" s="190">
        <v>139792396.09</v>
      </c>
      <c r="AG11" s="190">
        <v>878454838.13999999</v>
      </c>
      <c r="AH11" s="190">
        <v>497799769.69</v>
      </c>
      <c r="AI11" s="190">
        <v>293254987.75</v>
      </c>
      <c r="AJ11" s="190">
        <v>164405803.31999999</v>
      </c>
      <c r="AK11" s="190">
        <v>716122678.38999999</v>
      </c>
      <c r="AL11" s="190">
        <v>560274998.02999997</v>
      </c>
      <c r="AM11" s="190">
        <v>313194638.26999998</v>
      </c>
      <c r="AN11" s="190">
        <v>141338316.99000001</v>
      </c>
      <c r="AO11" s="190">
        <v>681921433.37</v>
      </c>
      <c r="AP11" s="190">
        <v>447710037.05000001</v>
      </c>
      <c r="AQ11" s="190">
        <v>212826586.94999999</v>
      </c>
      <c r="AR11" s="190">
        <v>54654839.409999996</v>
      </c>
      <c r="AS11" s="190">
        <v>288220495.13999999</v>
      </c>
      <c r="AT11" s="190">
        <v>198619889.88</v>
      </c>
      <c r="AU11" s="190">
        <v>81197491.939999998</v>
      </c>
      <c r="AV11" s="190">
        <v>31954382.699999999</v>
      </c>
      <c r="AW11" s="190">
        <v>89578051.209999993</v>
      </c>
      <c r="AX11" s="190">
        <v>65160456.090000004</v>
      </c>
      <c r="AY11" s="190">
        <v>0</v>
      </c>
    </row>
    <row r="12" spans="1:51" x14ac:dyDescent="0.25">
      <c r="A12" s="190" t="s">
        <v>228</v>
      </c>
      <c r="B12" s="190">
        <v>6670693773.4700003</v>
      </c>
      <c r="C12" s="190">
        <v>4245509599.3400002</v>
      </c>
      <c r="D12" s="190">
        <v>2277085969.2600002</v>
      </c>
      <c r="E12" s="190">
        <v>8025819885.79</v>
      </c>
      <c r="F12" s="190">
        <v>5803362838.6700001</v>
      </c>
      <c r="G12" s="190">
        <v>3963704294.9400001</v>
      </c>
      <c r="H12" s="190">
        <v>2035427983.95</v>
      </c>
      <c r="I12" s="190">
        <v>7546060838.3299999</v>
      </c>
      <c r="J12" s="190">
        <v>5644431444.8699999</v>
      </c>
      <c r="K12" s="190">
        <v>3923805916.96</v>
      </c>
      <c r="L12" s="190">
        <v>2027941128.29</v>
      </c>
      <c r="M12" s="190">
        <v>7380848237.3999996</v>
      </c>
      <c r="N12" s="190">
        <v>5323117739.0299997</v>
      </c>
      <c r="O12" s="190">
        <v>3593259781.75</v>
      </c>
      <c r="P12" s="190">
        <v>1877381172.95</v>
      </c>
      <c r="Q12" s="190">
        <v>6295992003.8199997</v>
      </c>
      <c r="R12" s="190">
        <v>4512856991.6899996</v>
      </c>
      <c r="S12" s="190">
        <v>3062308860.7199998</v>
      </c>
      <c r="T12" s="190">
        <v>1562313247.4300001</v>
      </c>
      <c r="U12" s="190">
        <v>5587672375.9799995</v>
      </c>
      <c r="V12" s="190">
        <v>4106163390.0300002</v>
      </c>
      <c r="W12" s="190">
        <v>2809170926.1700001</v>
      </c>
      <c r="X12" s="190">
        <v>1422567239.8800001</v>
      </c>
      <c r="Y12" s="190">
        <v>5246111330.4499998</v>
      </c>
      <c r="Z12" s="190">
        <v>3840634930.9299998</v>
      </c>
      <c r="AA12" s="190">
        <v>2678486249.48</v>
      </c>
      <c r="AB12" s="190">
        <v>1368905475.05</v>
      </c>
      <c r="AC12" s="190">
        <v>5715860352.0600004</v>
      </c>
      <c r="AD12" s="190">
        <v>4140456966.0700002</v>
      </c>
      <c r="AE12" s="190">
        <v>2825246969.4899998</v>
      </c>
      <c r="AF12" s="190">
        <v>1453778136.4400001</v>
      </c>
      <c r="AG12" s="190">
        <v>5583038665.2799997</v>
      </c>
      <c r="AH12" s="190">
        <v>3759076465.9099998</v>
      </c>
      <c r="AI12" s="190">
        <v>2121981664.6500001</v>
      </c>
      <c r="AJ12" s="190">
        <v>1174116145.1900001</v>
      </c>
      <c r="AK12" s="190">
        <v>4905786659.6000004</v>
      </c>
      <c r="AL12" s="190">
        <v>3585833416</v>
      </c>
      <c r="AM12" s="190">
        <v>2613944097.0599999</v>
      </c>
      <c r="AN12" s="190">
        <v>1451070690.72</v>
      </c>
      <c r="AO12" s="190">
        <v>4462953206.6800003</v>
      </c>
      <c r="AP12" s="190">
        <v>2593006892.8800001</v>
      </c>
      <c r="AQ12" s="190">
        <v>1561840874.3399999</v>
      </c>
      <c r="AR12" s="190">
        <v>882308982.88</v>
      </c>
      <c r="AS12" s="190">
        <v>1590718461.55</v>
      </c>
      <c r="AT12" s="190">
        <v>1104175957.5999999</v>
      </c>
      <c r="AU12" s="190">
        <v>804179557.17999995</v>
      </c>
      <c r="AV12" s="190">
        <v>439086044.82999998</v>
      </c>
      <c r="AW12" s="190">
        <v>1049223694.79</v>
      </c>
      <c r="AX12" s="190">
        <v>833567072</v>
      </c>
      <c r="AY12" s="190">
        <v>0</v>
      </c>
    </row>
    <row r="13" spans="1:51" x14ac:dyDescent="0.25">
      <c r="A13" s="190" t="s">
        <v>229</v>
      </c>
      <c r="B13" s="190">
        <v>418462966.54000002</v>
      </c>
      <c r="C13" s="190">
        <v>223587114.34</v>
      </c>
      <c r="D13" s="190">
        <v>126015945.56999999</v>
      </c>
      <c r="E13" s="190">
        <v>48903264.689999998</v>
      </c>
      <c r="F13" s="190">
        <v>120905521.88</v>
      </c>
      <c r="G13" s="190">
        <v>-57994580.619999997</v>
      </c>
      <c r="H13" s="190">
        <v>-104764499.26000001</v>
      </c>
      <c r="I13" s="190">
        <v>1006736608.98</v>
      </c>
      <c r="J13" s="190">
        <v>203602292.47</v>
      </c>
      <c r="K13" s="190">
        <v>-69033758.090000004</v>
      </c>
      <c r="L13" s="190">
        <v>8117766.2300000004</v>
      </c>
      <c r="M13" s="190">
        <v>861246226.23000002</v>
      </c>
      <c r="N13" s="190">
        <v>814998734.32000005</v>
      </c>
      <c r="O13" s="190">
        <v>608470328.47000003</v>
      </c>
      <c r="P13" s="190">
        <v>64968851.619999997</v>
      </c>
      <c r="Q13" s="190">
        <v>595413906.90999997</v>
      </c>
      <c r="R13" s="190">
        <v>518721185.00999999</v>
      </c>
      <c r="S13" s="190">
        <v>499704781.44999999</v>
      </c>
      <c r="T13" s="190">
        <v>44173476.140000001</v>
      </c>
      <c r="U13" s="190">
        <v>245433702.03999999</v>
      </c>
      <c r="V13" s="190">
        <v>253823337.63</v>
      </c>
      <c r="W13" s="190">
        <v>183265232.28</v>
      </c>
      <c r="X13" s="190">
        <v>123397117.39</v>
      </c>
      <c r="Y13" s="190">
        <v>302406650.51999998</v>
      </c>
      <c r="Z13" s="190">
        <v>189075563.99000001</v>
      </c>
      <c r="AA13" s="190">
        <v>78029705.329999998</v>
      </c>
      <c r="AB13" s="190">
        <v>90777528.180000007</v>
      </c>
      <c r="AC13" s="190">
        <v>412168730.76999998</v>
      </c>
      <c r="AD13" s="190">
        <v>481386033.88</v>
      </c>
      <c r="AE13" s="190">
        <v>255666572.18000001</v>
      </c>
      <c r="AF13" s="190">
        <v>62849198.890000001</v>
      </c>
      <c r="AG13" s="190">
        <v>549521760.94000006</v>
      </c>
      <c r="AH13" s="190">
        <v>516106257.75999999</v>
      </c>
      <c r="AI13" s="190">
        <v>370602344.81999999</v>
      </c>
      <c r="AJ13" s="190">
        <v>-47905577.490000002</v>
      </c>
      <c r="AK13" s="190">
        <v>783304115.17999995</v>
      </c>
      <c r="AL13" s="190">
        <v>492894679.19</v>
      </c>
      <c r="AM13" s="190">
        <v>350152097.42000002</v>
      </c>
      <c r="AN13" s="190">
        <v>26874808.469999999</v>
      </c>
      <c r="AO13" s="190">
        <v>953289406.25</v>
      </c>
      <c r="AP13" s="190">
        <v>498215235.54000002</v>
      </c>
      <c r="AQ13" s="190">
        <v>91054826.609999999</v>
      </c>
      <c r="AR13" s="190">
        <v>-55422451.43</v>
      </c>
      <c r="AS13" s="190">
        <v>424585863.75999999</v>
      </c>
      <c r="AT13" s="190">
        <v>277278388.02999997</v>
      </c>
      <c r="AU13" s="190">
        <v>132172817.68000001</v>
      </c>
      <c r="AV13" s="190">
        <v>-3550226.26</v>
      </c>
      <c r="AW13" s="190">
        <v>31916755.969999999</v>
      </c>
      <c r="AX13" s="190">
        <v>7741977.7999999998</v>
      </c>
      <c r="AY13" s="190">
        <v>0</v>
      </c>
    </row>
    <row r="14" spans="1:51" x14ac:dyDescent="0.25">
      <c r="A14" s="190" t="s">
        <v>230</v>
      </c>
    </row>
    <row r="15" spans="1:51" x14ac:dyDescent="0.25">
      <c r="A15" s="190" t="s">
        <v>231</v>
      </c>
      <c r="B15" s="190">
        <v>8385292.1500000004</v>
      </c>
      <c r="C15" s="190">
        <v>5464012.3899999997</v>
      </c>
      <c r="D15" s="190">
        <v>2800000</v>
      </c>
      <c r="E15" s="190">
        <v>2918812.89</v>
      </c>
      <c r="F15" s="190">
        <v>0</v>
      </c>
      <c r="G15" s="190">
        <v>0</v>
      </c>
      <c r="H15" s="190">
        <v>0</v>
      </c>
      <c r="I15" s="190">
        <v>25330084.149999999</v>
      </c>
      <c r="J15" s="190">
        <v>20757680</v>
      </c>
      <c r="K15" s="190">
        <v>0</v>
      </c>
      <c r="L15" s="190">
        <v>0</v>
      </c>
      <c r="M15" s="190">
        <v>2772000</v>
      </c>
      <c r="N15" s="190">
        <v>0</v>
      </c>
      <c r="O15" s="190">
        <v>0</v>
      </c>
      <c r="P15" s="190">
        <v>0</v>
      </c>
      <c r="Q15" s="190">
        <v>0</v>
      </c>
      <c r="R15" s="190">
        <v>50000000</v>
      </c>
      <c r="S15" s="190">
        <v>50000000</v>
      </c>
      <c r="T15" s="190">
        <v>50000000</v>
      </c>
      <c r="U15" s="190">
        <v>100000000</v>
      </c>
      <c r="V15" s="190">
        <v>50000000</v>
      </c>
      <c r="W15" s="190">
        <v>0</v>
      </c>
      <c r="X15" s="190">
        <v>0</v>
      </c>
      <c r="Y15" s="190">
        <v>0</v>
      </c>
      <c r="Z15" s="190">
        <v>53604144.600000001</v>
      </c>
      <c r="AA15" s="190">
        <v>23104388.890000001</v>
      </c>
      <c r="AB15" s="190">
        <v>0</v>
      </c>
      <c r="AC15" s="190">
        <v>352627436.99000001</v>
      </c>
      <c r="AD15" s="190">
        <v>352716135.62</v>
      </c>
      <c r="AE15" s="190">
        <v>251302436.99000001</v>
      </c>
      <c r="AF15" s="190">
        <v>0</v>
      </c>
      <c r="AG15" s="190">
        <v>300653445.42000002</v>
      </c>
      <c r="AH15" s="190">
        <v>0</v>
      </c>
      <c r="AI15" s="190">
        <v>0</v>
      </c>
      <c r="AJ15" s="190">
        <v>0</v>
      </c>
      <c r="AK15" s="190">
        <v>10000000</v>
      </c>
      <c r="AL15" s="190">
        <v>10000000</v>
      </c>
      <c r="AM15" s="190">
        <v>10000000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232</v>
      </c>
      <c r="B16" s="190">
        <v>76010375.739999995</v>
      </c>
      <c r="C16" s="190">
        <v>74072702</v>
      </c>
      <c r="D16" s="190">
        <v>3695657.53</v>
      </c>
      <c r="E16" s="190">
        <v>50966869.130000003</v>
      </c>
      <c r="F16" s="190">
        <v>28059804.440000001</v>
      </c>
      <c r="G16" s="190">
        <v>21874448.280000001</v>
      </c>
      <c r="H16" s="190">
        <v>10071663</v>
      </c>
      <c r="I16" s="190">
        <v>46375211.009999998</v>
      </c>
      <c r="J16" s="190">
        <v>38933808.18</v>
      </c>
      <c r="K16" s="190">
        <v>19885471.579999998</v>
      </c>
      <c r="L16" s="190">
        <v>8184490.3499999996</v>
      </c>
      <c r="M16" s="190">
        <v>32130545.66</v>
      </c>
      <c r="N16" s="190">
        <v>12756430.16</v>
      </c>
      <c r="O16" s="190">
        <v>8651710.8000000007</v>
      </c>
      <c r="P16" s="190">
        <v>687709.61</v>
      </c>
      <c r="Q16" s="190">
        <v>34157725.579999998</v>
      </c>
      <c r="R16" s="190">
        <v>16194241.92</v>
      </c>
      <c r="S16" s="190">
        <v>7936593.0300000003</v>
      </c>
      <c r="T16" s="190">
        <v>4423193.8499999996</v>
      </c>
      <c r="U16" s="190">
        <v>28404009.82</v>
      </c>
      <c r="V16" s="190">
        <v>13841670.560000001</v>
      </c>
      <c r="W16" s="190">
        <v>8416295.8800000008</v>
      </c>
      <c r="X16" s="190">
        <v>114000</v>
      </c>
      <c r="Y16" s="190">
        <v>1088802.1299999999</v>
      </c>
      <c r="Z16" s="190">
        <v>0</v>
      </c>
      <c r="AA16" s="190">
        <v>0</v>
      </c>
      <c r="AB16" s="190">
        <v>0</v>
      </c>
      <c r="AC16" s="190">
        <v>0</v>
      </c>
      <c r="AD16" s="190">
        <v>0</v>
      </c>
      <c r="AE16" s="190">
        <v>0</v>
      </c>
      <c r="AF16" s="190">
        <v>24657.599999999999</v>
      </c>
      <c r="AG16" s="190">
        <v>0</v>
      </c>
      <c r="AH16" s="190">
        <v>38356.160000000003</v>
      </c>
      <c r="AI16" s="190">
        <v>0</v>
      </c>
      <c r="AJ16" s="190">
        <v>0</v>
      </c>
      <c r="AK16" s="190">
        <v>488160</v>
      </c>
      <c r="AL16" s="190">
        <v>488160</v>
      </c>
      <c r="AM16" s="190">
        <v>488000</v>
      </c>
      <c r="AN16" s="190">
        <v>0</v>
      </c>
      <c r="AO16" s="190">
        <v>0</v>
      </c>
      <c r="AP16" s="190">
        <v>0</v>
      </c>
      <c r="AQ16" s="190">
        <v>0</v>
      </c>
      <c r="AR16" s="190">
        <v>0</v>
      </c>
      <c r="AS16" s="190">
        <v>0</v>
      </c>
      <c r="AT16" s="190">
        <v>0</v>
      </c>
      <c r="AU16" s="190">
        <v>0</v>
      </c>
      <c r="AV16" s="190">
        <v>0</v>
      </c>
      <c r="AW16" s="190">
        <v>0</v>
      </c>
      <c r="AX16" s="190">
        <v>0</v>
      </c>
      <c r="AY16" s="190">
        <v>0</v>
      </c>
    </row>
    <row r="17" spans="1:51" x14ac:dyDescent="0.25">
      <c r="A17" s="190" t="s">
        <v>233</v>
      </c>
      <c r="B17" s="190">
        <v>47390251.340000004</v>
      </c>
      <c r="C17" s="190">
        <v>30428080</v>
      </c>
      <c r="D17" s="190">
        <v>30230770</v>
      </c>
      <c r="E17" s="190">
        <v>1154566.99</v>
      </c>
      <c r="F17" s="190">
        <v>1470270</v>
      </c>
      <c r="G17" s="190">
        <v>1205000</v>
      </c>
      <c r="H17" s="190">
        <v>135000</v>
      </c>
      <c r="I17" s="190">
        <v>18094663.300000001</v>
      </c>
      <c r="J17" s="190">
        <v>12894572.720000001</v>
      </c>
      <c r="K17" s="190">
        <v>9317026.7200000007</v>
      </c>
      <c r="L17" s="190">
        <v>112100</v>
      </c>
      <c r="M17" s="190">
        <v>129040755.31999999</v>
      </c>
      <c r="N17" s="190">
        <v>28880741.010000002</v>
      </c>
      <c r="O17" s="190">
        <v>812931.21</v>
      </c>
      <c r="P17" s="190">
        <v>654281.21</v>
      </c>
      <c r="Q17" s="190">
        <v>1559910.02</v>
      </c>
      <c r="R17" s="190">
        <v>565532.15</v>
      </c>
      <c r="S17" s="190">
        <v>80210</v>
      </c>
      <c r="T17" s="190">
        <v>0</v>
      </c>
      <c r="U17" s="190">
        <v>410682.16</v>
      </c>
      <c r="V17" s="190">
        <v>492780.56</v>
      </c>
      <c r="W17" s="190">
        <v>554137.59999999998</v>
      </c>
      <c r="X17" s="190">
        <v>11000</v>
      </c>
      <c r="Y17" s="190">
        <v>1296435.6399999999</v>
      </c>
      <c r="Z17" s="190">
        <v>535839.23</v>
      </c>
      <c r="AA17" s="190">
        <v>295394.42</v>
      </c>
      <c r="AB17" s="190">
        <v>0</v>
      </c>
      <c r="AC17" s="190">
        <v>594953.6</v>
      </c>
      <c r="AD17" s="190">
        <v>178536.9</v>
      </c>
      <c r="AE17" s="190">
        <v>600</v>
      </c>
      <c r="AF17" s="190">
        <v>361573.07</v>
      </c>
      <c r="AG17" s="190">
        <v>1418571.95</v>
      </c>
      <c r="AH17" s="190">
        <v>1182327</v>
      </c>
      <c r="AI17" s="190">
        <v>1181727</v>
      </c>
      <c r="AJ17" s="190">
        <v>120450</v>
      </c>
      <c r="AK17" s="190">
        <v>852081.1</v>
      </c>
      <c r="AL17" s="190">
        <v>3387324.84</v>
      </c>
      <c r="AM17" s="190">
        <v>3121409.2</v>
      </c>
      <c r="AN17" s="190">
        <v>0</v>
      </c>
      <c r="AO17" s="190">
        <v>712687</v>
      </c>
      <c r="AP17" s="190">
        <v>392749.42</v>
      </c>
      <c r="AQ17" s="190">
        <v>401149.23</v>
      </c>
      <c r="AR17" s="190">
        <v>18528.900000000001</v>
      </c>
      <c r="AS17" s="190">
        <v>932602</v>
      </c>
      <c r="AT17" s="190">
        <v>932602</v>
      </c>
      <c r="AU17" s="190">
        <v>4102</v>
      </c>
      <c r="AV17" s="190">
        <v>0</v>
      </c>
      <c r="AW17" s="190">
        <v>0</v>
      </c>
      <c r="AX17" s="190">
        <v>81500</v>
      </c>
      <c r="AY17" s="190">
        <v>0</v>
      </c>
    </row>
    <row r="18" spans="1:51" x14ac:dyDescent="0.25">
      <c r="A18" s="190" t="s">
        <v>234</v>
      </c>
      <c r="B18" s="190">
        <v>103683299.34999999</v>
      </c>
      <c r="C18" s="190">
        <v>93656499.430000007</v>
      </c>
      <c r="D18" s="190">
        <v>0</v>
      </c>
      <c r="E18" s="190">
        <v>5080330.91</v>
      </c>
      <c r="F18" s="190">
        <v>6800000</v>
      </c>
      <c r="G18" s="190">
        <v>0</v>
      </c>
      <c r="H18" s="190">
        <v>0</v>
      </c>
      <c r="I18" s="190">
        <v>0</v>
      </c>
      <c r="J18" s="190">
        <v>0</v>
      </c>
      <c r="K18" s="190">
        <v>0</v>
      </c>
      <c r="L18" s="190">
        <v>0</v>
      </c>
      <c r="M18" s="190">
        <v>0</v>
      </c>
      <c r="N18" s="190">
        <v>0</v>
      </c>
      <c r="O18" s="190">
        <v>0</v>
      </c>
      <c r="P18" s="190">
        <v>0</v>
      </c>
      <c r="Q18" s="190">
        <v>0</v>
      </c>
      <c r="R18" s="190">
        <v>0</v>
      </c>
      <c r="S18" s="190">
        <v>0</v>
      </c>
      <c r="T18" s="190">
        <v>0</v>
      </c>
      <c r="U18" s="190">
        <v>121465749.28</v>
      </c>
      <c r="V18" s="190">
        <v>137001176.63</v>
      </c>
      <c r="W18" s="190">
        <v>137001176.63</v>
      </c>
      <c r="X18" s="190">
        <v>0</v>
      </c>
      <c r="Y18" s="190">
        <v>0</v>
      </c>
      <c r="Z18" s="190">
        <v>0</v>
      </c>
      <c r="AA18" s="190">
        <v>0</v>
      </c>
      <c r="AB18" s="190">
        <v>0</v>
      </c>
      <c r="AC18" s="190">
        <v>0</v>
      </c>
      <c r="AD18" s="190">
        <v>1325000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1085000000</v>
      </c>
      <c r="C19" s="190">
        <v>245000000</v>
      </c>
      <c r="D19" s="190">
        <v>305000000</v>
      </c>
      <c r="E19" s="190">
        <v>3495521953.9899998</v>
      </c>
      <c r="F19" s="190">
        <v>2485200000</v>
      </c>
      <c r="G19" s="190">
        <v>1795200000</v>
      </c>
      <c r="H19" s="190">
        <v>230200000</v>
      </c>
      <c r="I19" s="190">
        <v>2063500000</v>
      </c>
      <c r="J19" s="190">
        <v>333100000</v>
      </c>
      <c r="K19" s="190">
        <v>552500000</v>
      </c>
      <c r="L19" s="190">
        <v>127500000</v>
      </c>
      <c r="M19" s="190">
        <v>111000000</v>
      </c>
      <c r="N19" s="190">
        <v>0</v>
      </c>
      <c r="O19" s="190">
        <v>0</v>
      </c>
      <c r="P19" s="190">
        <v>0</v>
      </c>
      <c r="Q19" s="190">
        <v>300275000</v>
      </c>
      <c r="R19" s="190">
        <v>0</v>
      </c>
      <c r="S19" s="190">
        <v>0</v>
      </c>
      <c r="T19" s="190">
        <v>0</v>
      </c>
      <c r="U19" s="190">
        <v>3600000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1320469218.5799999</v>
      </c>
      <c r="C20" s="190">
        <v>448621293.81999999</v>
      </c>
      <c r="D20" s="190">
        <v>341726427.52999997</v>
      </c>
      <c r="E20" s="190">
        <v>3555642533.9099998</v>
      </c>
      <c r="F20" s="190">
        <v>2521530074.4400001</v>
      </c>
      <c r="G20" s="190">
        <v>1818279448.28</v>
      </c>
      <c r="H20" s="190">
        <v>240406663</v>
      </c>
      <c r="I20" s="190">
        <v>2153299958.46</v>
      </c>
      <c r="J20" s="190">
        <v>405686060.89999998</v>
      </c>
      <c r="K20" s="190">
        <v>581702498.29999995</v>
      </c>
      <c r="L20" s="190">
        <v>135796590.34999999</v>
      </c>
      <c r="M20" s="190">
        <v>274943300.98000002</v>
      </c>
      <c r="N20" s="190">
        <v>41637171.170000002</v>
      </c>
      <c r="O20" s="190">
        <v>9464642.0099999998</v>
      </c>
      <c r="P20" s="190">
        <v>1341990.82</v>
      </c>
      <c r="Q20" s="190">
        <v>335992635.60000002</v>
      </c>
      <c r="R20" s="190">
        <v>66759774.07</v>
      </c>
      <c r="S20" s="190">
        <v>58016803.030000001</v>
      </c>
      <c r="T20" s="190">
        <v>54423193.850000001</v>
      </c>
      <c r="U20" s="190">
        <v>253880441.25999999</v>
      </c>
      <c r="V20" s="190">
        <v>201335627.75</v>
      </c>
      <c r="W20" s="190">
        <v>145971610.11000001</v>
      </c>
      <c r="X20" s="190">
        <v>125000</v>
      </c>
      <c r="Y20" s="190">
        <v>2385237.77</v>
      </c>
      <c r="Z20" s="190">
        <v>54139983.829999998</v>
      </c>
      <c r="AA20" s="190">
        <v>23399783.309999999</v>
      </c>
      <c r="AB20" s="190">
        <v>0</v>
      </c>
      <c r="AC20" s="190">
        <v>353222390.58999997</v>
      </c>
      <c r="AD20" s="190">
        <v>354219672.51999998</v>
      </c>
      <c r="AE20" s="190">
        <v>251303036.99000001</v>
      </c>
      <c r="AF20" s="190">
        <v>386230.67</v>
      </c>
      <c r="AG20" s="190">
        <v>302072017.37</v>
      </c>
      <c r="AH20" s="190">
        <v>1220683.1599999999</v>
      </c>
      <c r="AI20" s="190">
        <v>1181727</v>
      </c>
      <c r="AJ20" s="190">
        <v>120450</v>
      </c>
      <c r="AK20" s="190">
        <v>11340241.1</v>
      </c>
      <c r="AL20" s="190">
        <v>13875484.84</v>
      </c>
      <c r="AM20" s="190">
        <v>13609409.199999999</v>
      </c>
      <c r="AN20" s="190">
        <v>0</v>
      </c>
      <c r="AO20" s="190">
        <v>712687</v>
      </c>
      <c r="AP20" s="190">
        <v>392749.42</v>
      </c>
      <c r="AQ20" s="190">
        <v>401149.23</v>
      </c>
      <c r="AR20" s="190">
        <v>18528.900000000001</v>
      </c>
      <c r="AS20" s="190">
        <v>932602</v>
      </c>
      <c r="AT20" s="190">
        <v>932602</v>
      </c>
      <c r="AU20" s="190">
        <v>4102</v>
      </c>
      <c r="AV20" s="190">
        <v>0</v>
      </c>
      <c r="AW20" s="190">
        <v>0</v>
      </c>
      <c r="AX20" s="190">
        <v>81500</v>
      </c>
      <c r="AY20" s="190">
        <v>0</v>
      </c>
    </row>
    <row r="21" spans="1:51" x14ac:dyDescent="0.25">
      <c r="A21" s="190" t="s">
        <v>237</v>
      </c>
      <c r="B21" s="190">
        <v>128722563.33</v>
      </c>
      <c r="C21" s="190">
        <v>8175547</v>
      </c>
      <c r="D21" s="190">
        <v>981489.94</v>
      </c>
      <c r="E21" s="190">
        <v>35396657.859999999</v>
      </c>
      <c r="F21" s="190">
        <v>23421108.719999999</v>
      </c>
      <c r="G21" s="190">
        <v>8820733.9299999997</v>
      </c>
      <c r="H21" s="190">
        <v>3867330.75</v>
      </c>
      <c r="I21" s="190">
        <v>35348267.359999999</v>
      </c>
      <c r="J21" s="190">
        <v>10828439.300000001</v>
      </c>
      <c r="K21" s="190">
        <v>6067717.7999999998</v>
      </c>
      <c r="L21" s="190">
        <v>8835560.3900000006</v>
      </c>
      <c r="M21" s="190">
        <v>71317821.670000002</v>
      </c>
      <c r="N21" s="190">
        <v>54527461.869999997</v>
      </c>
      <c r="O21" s="190">
        <v>44675469.600000001</v>
      </c>
      <c r="P21" s="190">
        <v>33715797.399999999</v>
      </c>
      <c r="Q21" s="190">
        <v>142087538.84</v>
      </c>
      <c r="R21" s="190">
        <v>104241959.45999999</v>
      </c>
      <c r="S21" s="190">
        <v>71247845.040000007</v>
      </c>
      <c r="T21" s="190">
        <v>32886759.190000001</v>
      </c>
      <c r="U21" s="190">
        <v>233855841.68000001</v>
      </c>
      <c r="V21" s="190">
        <v>141444403.75999999</v>
      </c>
      <c r="W21" s="190">
        <v>90167708.379999995</v>
      </c>
      <c r="X21" s="190">
        <v>43319773.280000001</v>
      </c>
      <c r="Y21" s="190">
        <v>200025952.13999999</v>
      </c>
      <c r="Z21" s="190">
        <v>158874158.00999999</v>
      </c>
      <c r="AA21" s="190">
        <v>124453868.37</v>
      </c>
      <c r="AB21" s="190">
        <v>61401790.859999999</v>
      </c>
      <c r="AC21" s="190">
        <v>144673315.58000001</v>
      </c>
      <c r="AD21" s="190">
        <v>92553201.209999993</v>
      </c>
      <c r="AE21" s="190">
        <v>60558345.700000003</v>
      </c>
      <c r="AF21" s="190">
        <v>31130339.620000001</v>
      </c>
      <c r="AG21" s="190">
        <v>362155759.19</v>
      </c>
      <c r="AH21" s="190">
        <v>226729032.84</v>
      </c>
      <c r="AI21" s="190">
        <v>149284318.75</v>
      </c>
      <c r="AJ21" s="190">
        <v>133701790.59</v>
      </c>
      <c r="AK21" s="190">
        <v>296624921.76999998</v>
      </c>
      <c r="AL21" s="190">
        <v>193696493.13999999</v>
      </c>
      <c r="AM21" s="190">
        <v>154212093.5</v>
      </c>
      <c r="AN21" s="190">
        <v>100814320.05</v>
      </c>
      <c r="AO21" s="190">
        <v>265118776</v>
      </c>
      <c r="AP21" s="190">
        <v>148411489.81999999</v>
      </c>
      <c r="AQ21" s="190">
        <v>92386128.909999996</v>
      </c>
      <c r="AR21" s="190">
        <v>5271003.1399999997</v>
      </c>
      <c r="AS21" s="190">
        <v>91190406.629999995</v>
      </c>
      <c r="AT21" s="190">
        <v>62069280.329999998</v>
      </c>
      <c r="AU21" s="190">
        <v>29013355.43</v>
      </c>
      <c r="AV21" s="190">
        <v>-3738257.86</v>
      </c>
      <c r="AW21" s="190">
        <v>5549472</v>
      </c>
      <c r="AX21" s="190">
        <v>3460307</v>
      </c>
      <c r="AY21" s="190">
        <v>0</v>
      </c>
    </row>
    <row r="22" spans="1:51" x14ac:dyDescent="0.25">
      <c r="A22" s="190" t="s">
        <v>238</v>
      </c>
      <c r="B22" s="190">
        <v>50493008.25</v>
      </c>
      <c r="C22" s="190">
        <v>6055456.8899999997</v>
      </c>
      <c r="D22" s="190">
        <v>2419784.89</v>
      </c>
      <c r="E22" s="190">
        <v>131305415.27</v>
      </c>
      <c r="F22" s="190">
        <v>47918310.380000003</v>
      </c>
      <c r="G22" s="190">
        <v>29500000</v>
      </c>
      <c r="H22" s="190">
        <v>12500000</v>
      </c>
      <c r="I22" s="190">
        <v>363648036.38999999</v>
      </c>
      <c r="J22" s="190">
        <v>356450119.37</v>
      </c>
      <c r="K22" s="190">
        <v>347383393.87</v>
      </c>
      <c r="L22" s="190">
        <v>279050670.13</v>
      </c>
      <c r="M22" s="190">
        <v>216343320.31</v>
      </c>
      <c r="N22" s="190">
        <v>87267000</v>
      </c>
      <c r="O22" s="190">
        <v>2967000</v>
      </c>
      <c r="P22" s="190">
        <v>195000</v>
      </c>
      <c r="Q22" s="190">
        <v>10680000</v>
      </c>
      <c r="R22" s="190">
        <v>536000000</v>
      </c>
      <c r="S22" s="190">
        <v>741897600</v>
      </c>
      <c r="T22" s="190">
        <v>129500000</v>
      </c>
      <c r="U22" s="190">
        <v>0</v>
      </c>
      <c r="V22" s="190">
        <v>500070000</v>
      </c>
      <c r="W22" s="190">
        <v>380570000</v>
      </c>
      <c r="X22" s="190">
        <v>100000000</v>
      </c>
      <c r="Y22" s="190">
        <v>0</v>
      </c>
      <c r="Z22" s="190">
        <v>103000000</v>
      </c>
      <c r="AA22" s="190">
        <v>73000000</v>
      </c>
      <c r="AB22" s="190">
        <v>0</v>
      </c>
      <c r="AC22" s="190">
        <v>385749586.00999999</v>
      </c>
      <c r="AD22" s="190">
        <v>349461135.89999998</v>
      </c>
      <c r="AE22" s="190">
        <v>249461135.90000001</v>
      </c>
      <c r="AF22" s="190">
        <v>100000000</v>
      </c>
      <c r="AG22" s="190">
        <v>300000000</v>
      </c>
      <c r="AH22" s="190">
        <v>40000000</v>
      </c>
      <c r="AI22" s="190">
        <v>0</v>
      </c>
      <c r="AJ22" s="190">
        <v>0</v>
      </c>
      <c r="AK22" s="190">
        <v>0</v>
      </c>
      <c r="AL22" s="190">
        <v>0</v>
      </c>
      <c r="AM22" s="190">
        <v>0</v>
      </c>
      <c r="AN22" s="190">
        <v>0</v>
      </c>
      <c r="AO22" s="190">
        <v>10000000</v>
      </c>
      <c r="AP22" s="190">
        <v>0</v>
      </c>
      <c r="AQ22" s="190">
        <v>0</v>
      </c>
      <c r="AR22" s="190">
        <v>0</v>
      </c>
      <c r="AS22" s="190">
        <v>0</v>
      </c>
      <c r="AT22" s="190">
        <v>0</v>
      </c>
      <c r="AU22" s="190">
        <v>46734487.060000002</v>
      </c>
      <c r="AV22" s="190">
        <v>0</v>
      </c>
      <c r="AW22" s="190">
        <v>0</v>
      </c>
      <c r="AX22" s="190">
        <v>0</v>
      </c>
      <c r="AY22" s="190">
        <v>0</v>
      </c>
    </row>
    <row r="23" spans="1:51" x14ac:dyDescent="0.25">
      <c r="A23" s="190" t="s">
        <v>239</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180000</v>
      </c>
      <c r="S23" s="190">
        <v>0</v>
      </c>
      <c r="T23" s="190">
        <v>0</v>
      </c>
      <c r="U23" s="190">
        <v>0</v>
      </c>
      <c r="V23" s="190">
        <v>0</v>
      </c>
      <c r="W23" s="190">
        <v>0</v>
      </c>
      <c r="X23" s="190">
        <v>0</v>
      </c>
      <c r="Y23" s="190">
        <v>0</v>
      </c>
      <c r="Z23" s="190">
        <v>0</v>
      </c>
      <c r="AA23" s="190">
        <v>0</v>
      </c>
      <c r="AB23" s="190">
        <v>0</v>
      </c>
      <c r="AC23" s="190">
        <v>0</v>
      </c>
      <c r="AD23" s="190">
        <v>30105116.780000001</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70577512.049999997</v>
      </c>
      <c r="AT23" s="190">
        <v>70577512.049999997</v>
      </c>
      <c r="AU23" s="190">
        <v>0</v>
      </c>
      <c r="AV23" s="190">
        <v>0</v>
      </c>
      <c r="AW23" s="190">
        <v>0</v>
      </c>
      <c r="AX23" s="190">
        <v>0</v>
      </c>
      <c r="AY23" s="190">
        <v>0</v>
      </c>
    </row>
    <row r="24" spans="1:51" x14ac:dyDescent="0.25">
      <c r="A24" s="190" t="s">
        <v>240</v>
      </c>
      <c r="B24" s="190">
        <v>955000000</v>
      </c>
      <c r="C24" s="190">
        <v>295000000</v>
      </c>
      <c r="D24" s="190">
        <v>390000000</v>
      </c>
      <c r="E24" s="190">
        <v>2695000000</v>
      </c>
      <c r="F24" s="190">
        <v>2325000000</v>
      </c>
      <c r="G24" s="190">
        <v>1310000000</v>
      </c>
      <c r="H24" s="190">
        <v>0</v>
      </c>
      <c r="I24" s="190">
        <v>2245200000</v>
      </c>
      <c r="J24" s="190">
        <v>0</v>
      </c>
      <c r="K24" s="190">
        <v>0</v>
      </c>
      <c r="L24" s="190">
        <v>80000000</v>
      </c>
      <c r="M24" s="190">
        <v>842306576.55999994</v>
      </c>
      <c r="N24" s="190">
        <v>748494576.55999994</v>
      </c>
      <c r="O24" s="190">
        <v>546994576.55999994</v>
      </c>
      <c r="P24" s="190">
        <v>580000000</v>
      </c>
      <c r="Q24" s="190">
        <v>150000000</v>
      </c>
      <c r="R24" s="190">
        <v>0</v>
      </c>
      <c r="S24" s="190">
        <v>0</v>
      </c>
      <c r="T24" s="190">
        <v>0</v>
      </c>
      <c r="U24" s="190">
        <v>250000000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14968187.310000001</v>
      </c>
      <c r="AW24" s="190">
        <v>0</v>
      </c>
      <c r="AX24" s="190">
        <v>0</v>
      </c>
      <c r="AY24" s="190">
        <v>0</v>
      </c>
    </row>
    <row r="25" spans="1:51" x14ac:dyDescent="0.25">
      <c r="A25" s="190" t="s">
        <v>241</v>
      </c>
      <c r="B25" s="190">
        <v>1134215571.5799999</v>
      </c>
      <c r="C25" s="190">
        <v>309231003.88999999</v>
      </c>
      <c r="D25" s="190">
        <v>393401274.82999998</v>
      </c>
      <c r="E25" s="190">
        <v>2861702073.1300001</v>
      </c>
      <c r="F25" s="190">
        <v>2396339419.0999999</v>
      </c>
      <c r="G25" s="190">
        <v>1348320733.9300001</v>
      </c>
      <c r="H25" s="190">
        <v>16367330.75</v>
      </c>
      <c r="I25" s="190">
        <v>2644196303.75</v>
      </c>
      <c r="J25" s="190">
        <v>367278558.67000002</v>
      </c>
      <c r="K25" s="190">
        <v>353451111.67000002</v>
      </c>
      <c r="L25" s="190">
        <v>367886230.51999998</v>
      </c>
      <c r="M25" s="190">
        <v>1129967718.54</v>
      </c>
      <c r="N25" s="190">
        <v>890289038.42999995</v>
      </c>
      <c r="O25" s="190">
        <v>594637046.15999997</v>
      </c>
      <c r="P25" s="190">
        <v>613910797.39999998</v>
      </c>
      <c r="Q25" s="190">
        <v>302767538.83999997</v>
      </c>
      <c r="R25" s="190">
        <v>640421959.46000004</v>
      </c>
      <c r="S25" s="190">
        <v>813145445.03999996</v>
      </c>
      <c r="T25" s="190">
        <v>162386759.19</v>
      </c>
      <c r="U25" s="190">
        <v>483855841.68000001</v>
      </c>
      <c r="V25" s="190">
        <v>641514403.75999999</v>
      </c>
      <c r="W25" s="190">
        <v>470737708.38</v>
      </c>
      <c r="X25" s="190">
        <v>143319773.28</v>
      </c>
      <c r="Y25" s="190">
        <v>200025952.13999999</v>
      </c>
      <c r="Z25" s="190">
        <v>261874158.00999999</v>
      </c>
      <c r="AA25" s="190">
        <v>197453868.37</v>
      </c>
      <c r="AB25" s="190">
        <v>61401790.859999999</v>
      </c>
      <c r="AC25" s="190">
        <v>530422901.58999997</v>
      </c>
      <c r="AD25" s="190">
        <v>472119453.88999999</v>
      </c>
      <c r="AE25" s="190">
        <v>310019481.60000002</v>
      </c>
      <c r="AF25" s="190">
        <v>131130339.62</v>
      </c>
      <c r="AG25" s="190">
        <v>662155759.19000006</v>
      </c>
      <c r="AH25" s="190">
        <v>266729032.84</v>
      </c>
      <c r="AI25" s="190">
        <v>149284318.75</v>
      </c>
      <c r="AJ25" s="190">
        <v>133701790.59</v>
      </c>
      <c r="AK25" s="190">
        <v>296624921.76999998</v>
      </c>
      <c r="AL25" s="190">
        <v>193696493.13999999</v>
      </c>
      <c r="AM25" s="190">
        <v>154212093.5</v>
      </c>
      <c r="AN25" s="190">
        <v>100814320.05</v>
      </c>
      <c r="AO25" s="190">
        <v>275118776</v>
      </c>
      <c r="AP25" s="190">
        <v>148411489.81999999</v>
      </c>
      <c r="AQ25" s="190">
        <v>92386128.909999996</v>
      </c>
      <c r="AR25" s="190">
        <v>5271003.1399999997</v>
      </c>
      <c r="AS25" s="190">
        <v>161767918.68000001</v>
      </c>
      <c r="AT25" s="190">
        <v>132646792.38</v>
      </c>
      <c r="AU25" s="190">
        <v>75747842.489999995</v>
      </c>
      <c r="AV25" s="190">
        <v>11229929.449999999</v>
      </c>
      <c r="AW25" s="190">
        <v>5549472</v>
      </c>
      <c r="AX25" s="190">
        <v>3460307</v>
      </c>
      <c r="AY25" s="190">
        <v>0</v>
      </c>
    </row>
    <row r="26" spans="1:51" x14ac:dyDescent="0.25">
      <c r="A26" s="190" t="s">
        <v>242</v>
      </c>
      <c r="B26" s="190">
        <v>186253647</v>
      </c>
      <c r="C26" s="190">
        <v>139390289.93000001</v>
      </c>
      <c r="D26" s="190">
        <v>-51674847.299999997</v>
      </c>
      <c r="E26" s="190">
        <v>693940460.77999997</v>
      </c>
      <c r="F26" s="190">
        <v>125190655.34</v>
      </c>
      <c r="G26" s="190">
        <v>469958714.35000002</v>
      </c>
      <c r="H26" s="190">
        <v>224039332.25</v>
      </c>
      <c r="I26" s="190">
        <v>-490896345.29000002</v>
      </c>
      <c r="J26" s="190">
        <v>38407502.229999997</v>
      </c>
      <c r="K26" s="190">
        <v>228251386.63</v>
      </c>
      <c r="L26" s="190">
        <v>-232089640.16999999</v>
      </c>
      <c r="M26" s="190">
        <v>-855024417.55999994</v>
      </c>
      <c r="N26" s="190">
        <v>-848651867.25999999</v>
      </c>
      <c r="O26" s="190">
        <v>-585172404.14999998</v>
      </c>
      <c r="P26" s="190">
        <v>-612568806.58000004</v>
      </c>
      <c r="Q26" s="190">
        <v>33225096.760000002</v>
      </c>
      <c r="R26" s="190">
        <v>-573662185.38999999</v>
      </c>
      <c r="S26" s="190">
        <v>-755128642.00999999</v>
      </c>
      <c r="T26" s="190">
        <v>-107963565.34</v>
      </c>
      <c r="U26" s="190">
        <v>-229975400.41999999</v>
      </c>
      <c r="V26" s="190">
        <v>-440178776.00999999</v>
      </c>
      <c r="W26" s="190">
        <v>-324766098.26999998</v>
      </c>
      <c r="X26" s="190">
        <v>-143194773.28</v>
      </c>
      <c r="Y26" s="190">
        <v>-197640714.37</v>
      </c>
      <c r="Z26" s="190">
        <v>-207734174.18000001</v>
      </c>
      <c r="AA26" s="190">
        <v>-174054085.06</v>
      </c>
      <c r="AB26" s="190">
        <v>-61401790.859999999</v>
      </c>
      <c r="AC26" s="190">
        <v>-177200511</v>
      </c>
      <c r="AD26" s="190">
        <v>-117899781.37</v>
      </c>
      <c r="AE26" s="190">
        <v>-58716444.609999999</v>
      </c>
      <c r="AF26" s="190">
        <v>-130744108.95</v>
      </c>
      <c r="AG26" s="190">
        <v>-360083741.81999999</v>
      </c>
      <c r="AH26" s="190">
        <v>-265508349.68000001</v>
      </c>
      <c r="AI26" s="190">
        <v>-148102591.75</v>
      </c>
      <c r="AJ26" s="190">
        <v>-133581340.59</v>
      </c>
      <c r="AK26" s="190">
        <v>-285284680.67000002</v>
      </c>
      <c r="AL26" s="190">
        <v>-179821008.30000001</v>
      </c>
      <c r="AM26" s="190">
        <v>-140602684.30000001</v>
      </c>
      <c r="AN26" s="190">
        <v>-100814320.05</v>
      </c>
      <c r="AO26" s="190">
        <v>-274406089</v>
      </c>
      <c r="AP26" s="190">
        <v>-148018740.40000001</v>
      </c>
      <c r="AQ26" s="190">
        <v>-91984979.680000007</v>
      </c>
      <c r="AR26" s="190">
        <v>-5252474.24</v>
      </c>
      <c r="AS26" s="190">
        <v>-160835316.68000001</v>
      </c>
      <c r="AT26" s="190">
        <v>-131714190.38</v>
      </c>
      <c r="AU26" s="190">
        <v>-75743740.489999995</v>
      </c>
      <c r="AV26" s="190">
        <v>-11229929.449999999</v>
      </c>
      <c r="AW26" s="190">
        <v>-5549472</v>
      </c>
      <c r="AX26" s="190">
        <v>-3378807</v>
      </c>
      <c r="AY26" s="190">
        <v>0</v>
      </c>
    </row>
    <row r="27" spans="1:51" x14ac:dyDescent="0.25">
      <c r="A27" s="190" t="s">
        <v>243</v>
      </c>
    </row>
    <row r="28" spans="1:51" x14ac:dyDescent="0.25">
      <c r="A28" s="190" t="s">
        <v>244</v>
      </c>
      <c r="B28" s="190">
        <v>24500000</v>
      </c>
      <c r="C28" s="190">
        <v>0</v>
      </c>
      <c r="D28" s="190">
        <v>0</v>
      </c>
      <c r="E28" s="190">
        <v>800000</v>
      </c>
      <c r="F28" s="190">
        <v>800000</v>
      </c>
      <c r="G28" s="190">
        <v>500000</v>
      </c>
      <c r="H28" s="190">
        <v>0</v>
      </c>
      <c r="I28" s="190">
        <v>800000</v>
      </c>
      <c r="J28" s="190">
        <v>800000</v>
      </c>
      <c r="K28" s="190">
        <v>800000</v>
      </c>
      <c r="L28" s="190">
        <v>0</v>
      </c>
      <c r="M28" s="190">
        <v>6468000</v>
      </c>
      <c r="N28" s="190">
        <v>0</v>
      </c>
      <c r="O28" s="190">
        <v>0</v>
      </c>
      <c r="P28" s="190">
        <v>0</v>
      </c>
      <c r="Q28" s="190">
        <v>30652700</v>
      </c>
      <c r="R28" s="190">
        <v>30652700</v>
      </c>
      <c r="S28" s="190">
        <v>0</v>
      </c>
      <c r="T28" s="190">
        <v>0</v>
      </c>
      <c r="U28" s="190">
        <v>7095000</v>
      </c>
      <c r="V28" s="190">
        <v>7095000</v>
      </c>
      <c r="W28" s="190">
        <v>6095000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1458738333.53</v>
      </c>
      <c r="AP28" s="190">
        <v>1453738333.53</v>
      </c>
      <c r="AQ28" s="190">
        <v>1458738333.53</v>
      </c>
      <c r="AR28" s="190">
        <v>0</v>
      </c>
      <c r="AS28" s="190">
        <v>120728853.18000001</v>
      </c>
      <c r="AT28" s="190">
        <v>110471858.7</v>
      </c>
      <c r="AU28" s="190">
        <v>94405583.709999993</v>
      </c>
      <c r="AV28" s="190">
        <v>0</v>
      </c>
      <c r="AW28" s="190">
        <v>0</v>
      </c>
      <c r="AX28" s="190">
        <v>3512242.5</v>
      </c>
      <c r="AY28" s="190">
        <v>0</v>
      </c>
    </row>
    <row r="29" spans="1:51" x14ac:dyDescent="0.25">
      <c r="A29" s="190" t="s">
        <v>245</v>
      </c>
      <c r="B29" s="190">
        <v>24500000</v>
      </c>
      <c r="C29" s="190">
        <v>0</v>
      </c>
      <c r="D29" s="190">
        <v>0</v>
      </c>
      <c r="E29" s="190">
        <v>800000</v>
      </c>
      <c r="F29" s="190">
        <v>800000</v>
      </c>
      <c r="G29" s="190">
        <v>500000</v>
      </c>
      <c r="H29" s="190">
        <v>0</v>
      </c>
      <c r="I29" s="190">
        <v>800000</v>
      </c>
      <c r="J29" s="190">
        <v>800000</v>
      </c>
      <c r="K29" s="190">
        <v>800000</v>
      </c>
      <c r="L29" s="190">
        <v>0</v>
      </c>
      <c r="M29" s="190">
        <v>6468000</v>
      </c>
      <c r="N29" s="190">
        <v>0</v>
      </c>
      <c r="O29" s="190">
        <v>0</v>
      </c>
      <c r="P29" s="190">
        <v>0</v>
      </c>
      <c r="Q29" s="190">
        <v>0</v>
      </c>
      <c r="R29" s="190">
        <v>30652700</v>
      </c>
      <c r="S29" s="190">
        <v>0</v>
      </c>
      <c r="T29" s="190">
        <v>0</v>
      </c>
      <c r="U29" s="190">
        <v>7095000</v>
      </c>
      <c r="V29" s="190">
        <v>7095000</v>
      </c>
      <c r="W29" s="190">
        <v>6095000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6609822.5800000001</v>
      </c>
      <c r="AT29" s="190">
        <v>0</v>
      </c>
      <c r="AU29" s="190">
        <v>0</v>
      </c>
      <c r="AV29" s="190">
        <v>0</v>
      </c>
      <c r="AW29" s="190">
        <v>0</v>
      </c>
      <c r="AX29" s="190">
        <v>0</v>
      </c>
      <c r="AY29" s="190">
        <v>0</v>
      </c>
    </row>
    <row r="30" spans="1:51"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4800000</v>
      </c>
      <c r="C32" s="190">
        <v>4800000</v>
      </c>
      <c r="D32" s="190">
        <v>67462275.599999994</v>
      </c>
      <c r="E32" s="190">
        <v>37531627.07</v>
      </c>
      <c r="F32" s="190">
        <v>34531627.07</v>
      </c>
      <c r="G32" s="190">
        <v>34531627.07</v>
      </c>
      <c r="H32" s="190">
        <v>28548611.079999998</v>
      </c>
      <c r="I32" s="190">
        <v>473818233.49000001</v>
      </c>
      <c r="J32" s="190">
        <v>118883061.79000001</v>
      </c>
      <c r="K32" s="190">
        <v>137139615.75</v>
      </c>
      <c r="L32" s="190">
        <v>0</v>
      </c>
      <c r="M32" s="190">
        <v>445454539.29000002</v>
      </c>
      <c r="N32" s="190">
        <v>0</v>
      </c>
      <c r="O32" s="190">
        <v>0</v>
      </c>
      <c r="P32" s="190">
        <v>0</v>
      </c>
      <c r="Q32" s="190">
        <v>0</v>
      </c>
      <c r="R32" s="190">
        <v>0</v>
      </c>
      <c r="S32" s="190">
        <v>0</v>
      </c>
      <c r="T32" s="190">
        <v>0</v>
      </c>
      <c r="U32" s="190">
        <v>2000000</v>
      </c>
      <c r="V32" s="190">
        <v>0</v>
      </c>
      <c r="W32" s="190">
        <v>0</v>
      </c>
      <c r="X32" s="190">
        <v>0</v>
      </c>
      <c r="Y32" s="190">
        <v>4770000</v>
      </c>
      <c r="Z32" s="190">
        <v>3445000</v>
      </c>
      <c r="AA32" s="190">
        <v>3445000</v>
      </c>
      <c r="AB32" s="190">
        <v>0</v>
      </c>
      <c r="AC32" s="190">
        <v>1325000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row>
    <row r="33" spans="1:51" x14ac:dyDescent="0.25">
      <c r="A33" s="190" t="s">
        <v>249</v>
      </c>
      <c r="B33" s="190">
        <v>29300000</v>
      </c>
      <c r="C33" s="190">
        <v>4800000</v>
      </c>
      <c r="D33" s="190">
        <v>67462275.599999994</v>
      </c>
      <c r="E33" s="190">
        <v>38331627.07</v>
      </c>
      <c r="F33" s="190">
        <v>35331627.07</v>
      </c>
      <c r="G33" s="190">
        <v>35031627.07</v>
      </c>
      <c r="H33" s="190">
        <v>28548611.079999998</v>
      </c>
      <c r="I33" s="190">
        <v>474618233.49000001</v>
      </c>
      <c r="J33" s="190">
        <v>119683061.79000001</v>
      </c>
      <c r="K33" s="190">
        <v>137939615.75</v>
      </c>
      <c r="L33" s="190">
        <v>0</v>
      </c>
      <c r="M33" s="190">
        <v>451922539.29000002</v>
      </c>
      <c r="N33" s="190">
        <v>0</v>
      </c>
      <c r="O33" s="190">
        <v>0</v>
      </c>
      <c r="P33" s="190">
        <v>0</v>
      </c>
      <c r="Q33" s="190">
        <v>30652700</v>
      </c>
      <c r="R33" s="190">
        <v>30652700</v>
      </c>
      <c r="S33" s="190">
        <v>0</v>
      </c>
      <c r="T33" s="190">
        <v>0</v>
      </c>
      <c r="U33" s="190">
        <v>9095000</v>
      </c>
      <c r="V33" s="190">
        <v>7095000</v>
      </c>
      <c r="W33" s="190">
        <v>6095000</v>
      </c>
      <c r="X33" s="190">
        <v>0</v>
      </c>
      <c r="Y33" s="190">
        <v>4770000</v>
      </c>
      <c r="Z33" s="190">
        <v>3445000</v>
      </c>
      <c r="AA33" s="190">
        <v>3445000</v>
      </c>
      <c r="AB33" s="190">
        <v>0</v>
      </c>
      <c r="AC33" s="190">
        <v>1325000</v>
      </c>
      <c r="AD33" s="190">
        <v>0</v>
      </c>
      <c r="AE33" s="190">
        <v>0</v>
      </c>
      <c r="AF33" s="190">
        <v>0</v>
      </c>
      <c r="AG33" s="190">
        <v>0</v>
      </c>
      <c r="AH33" s="190">
        <v>0</v>
      </c>
      <c r="AI33" s="190">
        <v>0</v>
      </c>
      <c r="AJ33" s="190">
        <v>0</v>
      </c>
      <c r="AK33" s="190">
        <v>0</v>
      </c>
      <c r="AL33" s="190">
        <v>0</v>
      </c>
      <c r="AM33" s="190">
        <v>0</v>
      </c>
      <c r="AN33" s="190">
        <v>0</v>
      </c>
      <c r="AO33" s="190">
        <v>1458738333.53</v>
      </c>
      <c r="AP33" s="190">
        <v>1453738333.53</v>
      </c>
      <c r="AQ33" s="190">
        <v>1458738333.53</v>
      </c>
      <c r="AR33" s="190">
        <v>0</v>
      </c>
      <c r="AS33" s="190">
        <v>120728853.18000001</v>
      </c>
      <c r="AT33" s="190">
        <v>110471858.7</v>
      </c>
      <c r="AU33" s="190">
        <v>94405583.709999993</v>
      </c>
      <c r="AV33" s="190">
        <v>0</v>
      </c>
      <c r="AW33" s="190">
        <v>0</v>
      </c>
      <c r="AX33" s="190">
        <v>3512242.5</v>
      </c>
      <c r="AY33" s="190">
        <v>0</v>
      </c>
    </row>
    <row r="34" spans="1:51"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row>
    <row r="35" spans="1:51" x14ac:dyDescent="0.25">
      <c r="A35" s="190" t="s">
        <v>552</v>
      </c>
      <c r="B35" s="190">
        <v>533757728</v>
      </c>
      <c r="C35" s="190">
        <v>533757728</v>
      </c>
      <c r="D35" s="190">
        <v>0</v>
      </c>
      <c r="E35" s="190">
        <v>483646600</v>
      </c>
      <c r="F35" s="190">
        <v>23140000</v>
      </c>
      <c r="G35" s="190">
        <v>0</v>
      </c>
      <c r="H35" s="190">
        <v>0</v>
      </c>
      <c r="I35" s="190">
        <v>589308100</v>
      </c>
      <c r="J35" s="190">
        <v>589308100</v>
      </c>
      <c r="K35" s="190">
        <v>534443700</v>
      </c>
      <c r="L35" s="190">
        <v>0</v>
      </c>
      <c r="M35" s="190">
        <v>547493000</v>
      </c>
      <c r="N35" s="190">
        <v>543410000</v>
      </c>
      <c r="O35" s="190">
        <v>543410000</v>
      </c>
      <c r="P35" s="190">
        <v>0</v>
      </c>
      <c r="Q35" s="190">
        <v>487093777.56</v>
      </c>
      <c r="R35" s="190">
        <v>487075000</v>
      </c>
      <c r="S35" s="190">
        <v>391135000</v>
      </c>
      <c r="T35" s="190">
        <v>0</v>
      </c>
      <c r="U35" s="190">
        <v>444900399.99000001</v>
      </c>
      <c r="V35" s="190">
        <v>444900400</v>
      </c>
      <c r="W35" s="190">
        <v>322248237.99000001</v>
      </c>
      <c r="X35" s="190">
        <v>0</v>
      </c>
      <c r="Y35" s="190">
        <v>149883500</v>
      </c>
      <c r="Z35" s="190">
        <v>149883500</v>
      </c>
      <c r="AA35" s="190">
        <v>149883500</v>
      </c>
      <c r="AB35" s="190">
        <v>0</v>
      </c>
      <c r="AC35" s="190">
        <v>994780000</v>
      </c>
      <c r="AD35" s="190">
        <v>621661988.23000002</v>
      </c>
      <c r="AE35" s="190">
        <v>462115000</v>
      </c>
      <c r="AF35" s="190">
        <v>0</v>
      </c>
      <c r="AG35" s="190">
        <v>471370000</v>
      </c>
      <c r="AH35" s="190">
        <v>471370000</v>
      </c>
      <c r="AI35" s="190">
        <v>471370000</v>
      </c>
      <c r="AJ35" s="190">
        <v>0</v>
      </c>
      <c r="AK35" s="190">
        <v>306014400</v>
      </c>
      <c r="AL35" s="190">
        <v>306014400</v>
      </c>
      <c r="AM35" s="190">
        <v>306014400</v>
      </c>
      <c r="AN35" s="190">
        <v>0</v>
      </c>
      <c r="AO35" s="190">
        <v>211020000</v>
      </c>
      <c r="AP35" s="190">
        <v>211021397.75999999</v>
      </c>
      <c r="AQ35" s="190">
        <v>81020000</v>
      </c>
      <c r="AR35" s="190">
        <v>0</v>
      </c>
      <c r="AS35" s="190">
        <v>120200000</v>
      </c>
      <c r="AT35" s="190">
        <v>120200000</v>
      </c>
      <c r="AU35" s="190">
        <v>120200000</v>
      </c>
      <c r="AV35" s="190">
        <v>0</v>
      </c>
      <c r="AW35" s="190">
        <v>0</v>
      </c>
      <c r="AX35" s="190">
        <v>0</v>
      </c>
      <c r="AY35" s="190">
        <v>0</v>
      </c>
    </row>
    <row r="36" spans="1:51" x14ac:dyDescent="0.25">
      <c r="A36" s="190" t="s">
        <v>251</v>
      </c>
      <c r="B36" s="190">
        <v>0</v>
      </c>
      <c r="C36" s="190">
        <v>0</v>
      </c>
      <c r="D36" s="190">
        <v>0</v>
      </c>
      <c r="E36" s="190">
        <v>23140000</v>
      </c>
      <c r="F36" s="190">
        <v>23140000</v>
      </c>
      <c r="G36" s="190">
        <v>0</v>
      </c>
      <c r="H36" s="190">
        <v>0</v>
      </c>
      <c r="I36" s="190">
        <v>52000000</v>
      </c>
      <c r="J36" s="190">
        <v>52000000</v>
      </c>
      <c r="K36" s="190">
        <v>0</v>
      </c>
      <c r="L36" s="190">
        <v>0</v>
      </c>
      <c r="M36" s="190">
        <v>86840000</v>
      </c>
      <c r="N36" s="190">
        <v>86840000</v>
      </c>
      <c r="O36" s="190">
        <v>86840000</v>
      </c>
      <c r="P36" s="190">
        <v>0</v>
      </c>
      <c r="Q36" s="190">
        <v>106618777.56</v>
      </c>
      <c r="R36" s="190">
        <v>106600000</v>
      </c>
      <c r="S36" s="190">
        <v>10660000</v>
      </c>
      <c r="T36" s="190">
        <v>0</v>
      </c>
      <c r="U36" s="190">
        <v>64425400</v>
      </c>
      <c r="V36" s="190">
        <v>64425400</v>
      </c>
      <c r="W36" s="190">
        <v>6442540</v>
      </c>
      <c r="X36" s="190">
        <v>0</v>
      </c>
      <c r="Y36" s="190">
        <v>0</v>
      </c>
      <c r="Z36" s="190">
        <v>50960000</v>
      </c>
      <c r="AA36" s="190">
        <v>50960000</v>
      </c>
      <c r="AB36" s="190">
        <v>0</v>
      </c>
      <c r="AC36" s="190">
        <v>81640000</v>
      </c>
      <c r="AD36" s="190">
        <v>81640000</v>
      </c>
      <c r="AE36" s="190">
        <v>81640000</v>
      </c>
      <c r="AF36" s="190">
        <v>0</v>
      </c>
      <c r="AG36" s="190">
        <v>116260000</v>
      </c>
      <c r="AH36" s="190">
        <v>116260000</v>
      </c>
      <c r="AI36" s="190">
        <v>116260000</v>
      </c>
      <c r="AJ36" s="190">
        <v>0</v>
      </c>
      <c r="AK36" s="190">
        <v>92414400</v>
      </c>
      <c r="AL36" s="190">
        <v>92414400</v>
      </c>
      <c r="AM36" s="190">
        <v>92414400</v>
      </c>
      <c r="AN36" s="190">
        <v>0</v>
      </c>
      <c r="AO36" s="190">
        <v>0</v>
      </c>
      <c r="AP36" s="190">
        <v>0</v>
      </c>
      <c r="AQ36" s="190">
        <v>0</v>
      </c>
      <c r="AR36" s="190">
        <v>0</v>
      </c>
      <c r="AS36" s="190">
        <v>12941200</v>
      </c>
      <c r="AT36" s="190">
        <v>0</v>
      </c>
      <c r="AU36" s="190">
        <v>0</v>
      </c>
      <c r="AV36" s="190">
        <v>0</v>
      </c>
      <c r="AW36" s="190">
        <v>0</v>
      </c>
      <c r="AX36" s="190">
        <v>0</v>
      </c>
      <c r="AY36" s="190">
        <v>0</v>
      </c>
    </row>
    <row r="37" spans="1:51" x14ac:dyDescent="0.25">
      <c r="A37" s="190" t="s">
        <v>252</v>
      </c>
      <c r="B37" s="190">
        <v>164092818.96000001</v>
      </c>
      <c r="C37" s="190">
        <v>80780684.950000003</v>
      </c>
      <c r="D37" s="190">
        <v>38447969.700000003</v>
      </c>
      <c r="E37" s="190">
        <v>337344528.13</v>
      </c>
      <c r="F37" s="190">
        <v>170704078.41999999</v>
      </c>
      <c r="G37" s="190">
        <v>170404078.41999999</v>
      </c>
      <c r="H37" s="190">
        <v>136197585.06999999</v>
      </c>
      <c r="I37" s="190">
        <v>696697539.03999996</v>
      </c>
      <c r="J37" s="190">
        <v>504240</v>
      </c>
      <c r="K37" s="190">
        <v>504240</v>
      </c>
      <c r="L37" s="190">
        <v>93890038.260000005</v>
      </c>
      <c r="M37" s="190">
        <v>137891015.75</v>
      </c>
      <c r="N37" s="190">
        <v>574600</v>
      </c>
      <c r="O37" s="190">
        <v>574600</v>
      </c>
      <c r="P37" s="190">
        <v>0</v>
      </c>
      <c r="Q37" s="190">
        <v>1000000</v>
      </c>
      <c r="R37" s="190">
        <v>0</v>
      </c>
      <c r="S37" s="190">
        <v>0</v>
      </c>
      <c r="T37" s="190">
        <v>0</v>
      </c>
      <c r="U37" s="190">
        <v>6095000</v>
      </c>
      <c r="V37" s="190">
        <v>6095000</v>
      </c>
      <c r="W37" s="190">
        <v>6095000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row>
    <row r="38" spans="1:51" x14ac:dyDescent="0.25">
      <c r="A38" s="190" t="s">
        <v>253</v>
      </c>
      <c r="B38" s="190">
        <v>697850546.96000004</v>
      </c>
      <c r="C38" s="190">
        <v>614538412.95000005</v>
      </c>
      <c r="D38" s="190">
        <v>38447969.700000003</v>
      </c>
      <c r="E38" s="190">
        <v>820991128.13</v>
      </c>
      <c r="F38" s="190">
        <v>193844078.41999999</v>
      </c>
      <c r="G38" s="190">
        <v>170404078.41999999</v>
      </c>
      <c r="H38" s="190">
        <v>136197585.06999999</v>
      </c>
      <c r="I38" s="190">
        <v>1286005639.04</v>
      </c>
      <c r="J38" s="190">
        <v>589812340</v>
      </c>
      <c r="K38" s="190">
        <v>534947940</v>
      </c>
      <c r="L38" s="190">
        <v>93890038.260000005</v>
      </c>
      <c r="M38" s="190">
        <v>685384015.75</v>
      </c>
      <c r="N38" s="190">
        <v>543984600</v>
      </c>
      <c r="O38" s="190">
        <v>543984600</v>
      </c>
      <c r="P38" s="190">
        <v>0</v>
      </c>
      <c r="Q38" s="190">
        <v>488093777.56</v>
      </c>
      <c r="R38" s="190">
        <v>487075000</v>
      </c>
      <c r="S38" s="190">
        <v>391135000</v>
      </c>
      <c r="T38" s="190">
        <v>0</v>
      </c>
      <c r="U38" s="190">
        <v>450995399.99000001</v>
      </c>
      <c r="V38" s="190">
        <v>450995400</v>
      </c>
      <c r="W38" s="190">
        <v>328343237.99000001</v>
      </c>
      <c r="X38" s="190">
        <v>0</v>
      </c>
      <c r="Y38" s="190">
        <v>149883500</v>
      </c>
      <c r="Z38" s="190">
        <v>149883500</v>
      </c>
      <c r="AA38" s="190">
        <v>149883500</v>
      </c>
      <c r="AB38" s="190">
        <v>0</v>
      </c>
      <c r="AC38" s="190">
        <v>994780000</v>
      </c>
      <c r="AD38" s="190">
        <v>621661988.23000002</v>
      </c>
      <c r="AE38" s="190">
        <v>462115000</v>
      </c>
      <c r="AF38" s="190">
        <v>0</v>
      </c>
      <c r="AG38" s="190">
        <v>471370000</v>
      </c>
      <c r="AH38" s="190">
        <v>471370000</v>
      </c>
      <c r="AI38" s="190">
        <v>471370000</v>
      </c>
      <c r="AJ38" s="190">
        <v>0</v>
      </c>
      <c r="AK38" s="190">
        <v>306014400</v>
      </c>
      <c r="AL38" s="190">
        <v>306014400</v>
      </c>
      <c r="AM38" s="190">
        <v>306014400</v>
      </c>
      <c r="AN38" s="190">
        <v>0</v>
      </c>
      <c r="AO38" s="190">
        <v>211020000</v>
      </c>
      <c r="AP38" s="190">
        <v>211021397.75999999</v>
      </c>
      <c r="AQ38" s="190">
        <v>81020000</v>
      </c>
      <c r="AR38" s="190">
        <v>0</v>
      </c>
      <c r="AS38" s="190">
        <v>120200000</v>
      </c>
      <c r="AT38" s="190">
        <v>120200000</v>
      </c>
      <c r="AU38" s="190">
        <v>120200000</v>
      </c>
      <c r="AV38" s="190">
        <v>0</v>
      </c>
      <c r="AW38" s="190">
        <v>0</v>
      </c>
      <c r="AX38" s="190">
        <v>0</v>
      </c>
      <c r="AY38" s="190">
        <v>0</v>
      </c>
    </row>
    <row r="39" spans="1:51" x14ac:dyDescent="0.25">
      <c r="A39" s="190" t="s">
        <v>254</v>
      </c>
      <c r="B39" s="190">
        <v>-668550546.96000004</v>
      </c>
      <c r="C39" s="190">
        <v>-609738412.95000005</v>
      </c>
      <c r="D39" s="190">
        <v>29014305.899999999</v>
      </c>
      <c r="E39" s="190">
        <v>-782659501.05999994</v>
      </c>
      <c r="F39" s="190">
        <v>-158512451.34999999</v>
      </c>
      <c r="G39" s="190">
        <v>-135372451.34999999</v>
      </c>
      <c r="H39" s="190">
        <v>-107648973.98999999</v>
      </c>
      <c r="I39" s="190">
        <v>-811387405.54999995</v>
      </c>
      <c r="J39" s="190">
        <v>-470129278.20999998</v>
      </c>
      <c r="K39" s="190">
        <v>-397008324.25</v>
      </c>
      <c r="L39" s="190">
        <v>-93890038.260000005</v>
      </c>
      <c r="M39" s="190">
        <v>-233461476.46000001</v>
      </c>
      <c r="N39" s="190">
        <v>-543984600</v>
      </c>
      <c r="O39" s="190">
        <v>-543984600</v>
      </c>
      <c r="P39" s="190">
        <v>0</v>
      </c>
      <c r="Q39" s="190">
        <v>-457441077.56</v>
      </c>
      <c r="R39" s="190">
        <v>-456422300</v>
      </c>
      <c r="S39" s="190">
        <v>-391135000</v>
      </c>
      <c r="T39" s="190">
        <v>0</v>
      </c>
      <c r="U39" s="190">
        <v>-441900399.99000001</v>
      </c>
      <c r="V39" s="190">
        <v>-443900400</v>
      </c>
      <c r="W39" s="190">
        <v>-322248237.99000001</v>
      </c>
      <c r="X39" s="190">
        <v>0</v>
      </c>
      <c r="Y39" s="190">
        <v>-145113500</v>
      </c>
      <c r="Z39" s="190">
        <v>-146438500</v>
      </c>
      <c r="AA39" s="190">
        <v>-146438500</v>
      </c>
      <c r="AB39" s="190">
        <v>0</v>
      </c>
      <c r="AC39" s="190">
        <v>-993455000</v>
      </c>
      <c r="AD39" s="190">
        <v>-621661988.23000002</v>
      </c>
      <c r="AE39" s="190">
        <v>-462115000</v>
      </c>
      <c r="AF39" s="190">
        <v>0</v>
      </c>
      <c r="AG39" s="190">
        <v>-471370000</v>
      </c>
      <c r="AH39" s="190">
        <v>-471370000</v>
      </c>
      <c r="AI39" s="190">
        <v>-471370000</v>
      </c>
      <c r="AJ39" s="190">
        <v>0</v>
      </c>
      <c r="AK39" s="190">
        <v>-306014400</v>
      </c>
      <c r="AL39" s="190">
        <v>-306014400</v>
      </c>
      <c r="AM39" s="190">
        <v>-306014400</v>
      </c>
      <c r="AN39" s="190">
        <v>0</v>
      </c>
      <c r="AO39" s="190">
        <v>1247718333.53</v>
      </c>
      <c r="AP39" s="190">
        <v>1242716935.77</v>
      </c>
      <c r="AQ39" s="190">
        <v>1377718333.53</v>
      </c>
      <c r="AR39" s="190">
        <v>0</v>
      </c>
      <c r="AS39" s="190">
        <v>528853.18000000005</v>
      </c>
      <c r="AT39" s="190">
        <v>-9728141.3000000007</v>
      </c>
      <c r="AU39" s="190">
        <v>-25794416.289999999</v>
      </c>
      <c r="AV39" s="190">
        <v>0</v>
      </c>
      <c r="AW39" s="190">
        <v>0</v>
      </c>
      <c r="AX39" s="190">
        <v>3512242.5</v>
      </c>
      <c r="AY39" s="190">
        <v>0</v>
      </c>
    </row>
    <row r="40" spans="1:51" x14ac:dyDescent="0.25">
      <c r="A40" s="190" t="s">
        <v>255</v>
      </c>
      <c r="B40" s="190">
        <v>13698259.119999999</v>
      </c>
      <c r="C40" s="190">
        <v>1922826.43</v>
      </c>
      <c r="D40" s="190">
        <v>-2426224.34</v>
      </c>
      <c r="E40" s="190">
        <v>-8025215.46</v>
      </c>
      <c r="F40" s="190">
        <v>-8095356.3700000001</v>
      </c>
      <c r="G40" s="190">
        <v>-3827670.02</v>
      </c>
      <c r="H40" s="190">
        <v>-47753.74</v>
      </c>
      <c r="I40" s="190">
        <v>4384235.62</v>
      </c>
      <c r="J40" s="190">
        <v>-647961.79</v>
      </c>
      <c r="K40" s="190">
        <v>-1356225.71</v>
      </c>
      <c r="L40" s="190">
        <v>-108917.68</v>
      </c>
      <c r="M40" s="190">
        <v>4694527.3499999996</v>
      </c>
      <c r="N40" s="190">
        <v>1635325.4</v>
      </c>
      <c r="O40" s="190">
        <v>289812.49</v>
      </c>
      <c r="P40" s="190">
        <v>96619.520000000004</v>
      </c>
      <c r="Q40" s="190">
        <v>468631.84</v>
      </c>
      <c r="R40" s="190">
        <v>946814.36</v>
      </c>
      <c r="S40" s="190">
        <v>948673.65</v>
      </c>
      <c r="T40" s="190">
        <v>-174260</v>
      </c>
      <c r="U40" s="190">
        <v>-940094.37</v>
      </c>
      <c r="V40" s="190">
        <v>-652777.42000000004</v>
      </c>
      <c r="W40" s="190">
        <v>-397913.15</v>
      </c>
      <c r="X40" s="190">
        <v>-163120.01999999999</v>
      </c>
      <c r="Y40" s="190">
        <v>866349.5</v>
      </c>
      <c r="Z40" s="190">
        <v>-80353.67</v>
      </c>
      <c r="AA40" s="190">
        <v>-183015.64</v>
      </c>
      <c r="AB40" s="190">
        <v>-227772.08</v>
      </c>
      <c r="AC40" s="190">
        <v>426313.39</v>
      </c>
      <c r="AD40" s="190">
        <v>-198581.72</v>
      </c>
      <c r="AE40" s="190">
        <v>-137369.26</v>
      </c>
      <c r="AF40" s="190">
        <v>136461.79</v>
      </c>
      <c r="AG40" s="190">
        <v>-87217.32</v>
      </c>
      <c r="AH40" s="190">
        <v>-24435.82</v>
      </c>
      <c r="AI40" s="190">
        <v>-15676.91</v>
      </c>
      <c r="AJ40" s="190">
        <v>8622.74</v>
      </c>
      <c r="AK40" s="190">
        <v>-32638.16</v>
      </c>
      <c r="AL40" s="190">
        <v>-19184.09</v>
      </c>
      <c r="AM40" s="190">
        <v>-34541.29</v>
      </c>
      <c r="AN40" s="190">
        <v>-34565.99</v>
      </c>
      <c r="AO40" s="190">
        <v>-89001.88</v>
      </c>
      <c r="AP40" s="190">
        <v>-581.77</v>
      </c>
      <c r="AQ40" s="190">
        <v>-581.77</v>
      </c>
      <c r="AR40" s="190">
        <v>0</v>
      </c>
      <c r="AS40" s="190">
        <v>-654016.52</v>
      </c>
      <c r="AT40" s="190">
        <v>-208953.63</v>
      </c>
      <c r="AU40" s="190">
        <v>-177914.36</v>
      </c>
      <c r="AV40" s="190">
        <v>0</v>
      </c>
      <c r="AW40" s="190">
        <v>1711698.15</v>
      </c>
      <c r="AX40" s="190">
        <v>-70891.320000000007</v>
      </c>
      <c r="AY40" s="190">
        <v>0</v>
      </c>
    </row>
    <row r="41" spans="1:51" x14ac:dyDescent="0.25">
      <c r="A41" s="190" t="s">
        <v>256</v>
      </c>
      <c r="B41" s="190">
        <v>-50135674.299999997</v>
      </c>
      <c r="C41" s="190">
        <v>-244838182.25</v>
      </c>
      <c r="D41" s="190">
        <v>100929179.83</v>
      </c>
      <c r="E41" s="190">
        <v>-47840991.049999997</v>
      </c>
      <c r="F41" s="190">
        <v>79488369.5</v>
      </c>
      <c r="G41" s="190">
        <v>272764012.36000001</v>
      </c>
      <c r="H41" s="190">
        <v>11578105.26</v>
      </c>
      <c r="I41" s="190">
        <v>-291162906.24000001</v>
      </c>
      <c r="J41" s="190">
        <v>-228767445.30000001</v>
      </c>
      <c r="K41" s="190">
        <v>-239146921.41999999</v>
      </c>
      <c r="L41" s="190">
        <v>-317970829.88</v>
      </c>
      <c r="M41" s="190">
        <v>-222545140.44</v>
      </c>
      <c r="N41" s="190">
        <v>-576002407.53999996</v>
      </c>
      <c r="O41" s="190">
        <v>-520396863.19</v>
      </c>
      <c r="P41" s="190">
        <v>-547503335.44000006</v>
      </c>
      <c r="Q41" s="190">
        <v>171666557.94999999</v>
      </c>
      <c r="R41" s="190">
        <v>-510416486.01999998</v>
      </c>
      <c r="S41" s="190">
        <v>-645610186.90999997</v>
      </c>
      <c r="T41" s="190">
        <v>-63964349.200000003</v>
      </c>
      <c r="U41" s="190">
        <v>-427382192.74000001</v>
      </c>
      <c r="V41" s="190">
        <v>-630908615.79999995</v>
      </c>
      <c r="W41" s="190">
        <v>-464147017.13</v>
      </c>
      <c r="X41" s="190">
        <v>-19960775.91</v>
      </c>
      <c r="Y41" s="190">
        <v>-39481214.350000001</v>
      </c>
      <c r="Z41" s="190">
        <v>-165177463.86000001</v>
      </c>
      <c r="AA41" s="190">
        <v>-242645895.37</v>
      </c>
      <c r="AB41" s="190">
        <v>29147965.239999998</v>
      </c>
      <c r="AC41" s="190">
        <v>-758060466.84000003</v>
      </c>
      <c r="AD41" s="190">
        <v>-258374317.44</v>
      </c>
      <c r="AE41" s="190">
        <v>-265302241.69</v>
      </c>
      <c r="AF41" s="190">
        <v>-67758448.269999996</v>
      </c>
      <c r="AG41" s="190">
        <v>-282019198.19999999</v>
      </c>
      <c r="AH41" s="190">
        <v>-220796527.74000001</v>
      </c>
      <c r="AI41" s="190">
        <v>-248885923.84</v>
      </c>
      <c r="AJ41" s="190">
        <v>-181478295.34</v>
      </c>
      <c r="AK41" s="190">
        <v>191972396.34999999</v>
      </c>
      <c r="AL41" s="190">
        <v>7040086.7999999998</v>
      </c>
      <c r="AM41" s="190">
        <v>-96499528.170000002</v>
      </c>
      <c r="AN41" s="190">
        <v>-73974077.569999993</v>
      </c>
      <c r="AO41" s="190">
        <v>1926512648.9000001</v>
      </c>
      <c r="AP41" s="190">
        <v>1592912849.1400001</v>
      </c>
      <c r="AQ41" s="190">
        <v>1376787598.6900001</v>
      </c>
      <c r="AR41" s="190">
        <v>-60674925.670000002</v>
      </c>
      <c r="AS41" s="190">
        <v>263625383.74000001</v>
      </c>
      <c r="AT41" s="190">
        <v>135627102.72</v>
      </c>
      <c r="AU41" s="190">
        <v>30456746.539999999</v>
      </c>
      <c r="AV41" s="190">
        <v>-14780155.710000001</v>
      </c>
      <c r="AW41" s="190">
        <v>28078982.120000001</v>
      </c>
      <c r="AX41" s="190">
        <v>7804521.9800000004</v>
      </c>
      <c r="AY41" s="190">
        <v>0</v>
      </c>
    </row>
    <row r="42" spans="1:51" x14ac:dyDescent="0.25">
      <c r="A42" s="190" t="s">
        <v>257</v>
      </c>
      <c r="B42" s="190">
        <v>671959841.71000004</v>
      </c>
      <c r="C42" s="190">
        <v>671959841.71000004</v>
      </c>
      <c r="D42" s="190">
        <v>672959841.71000004</v>
      </c>
      <c r="E42" s="190">
        <v>719800832.75999999</v>
      </c>
      <c r="F42" s="190">
        <v>719800832.75999999</v>
      </c>
      <c r="G42" s="190">
        <v>719800832.75999999</v>
      </c>
      <c r="H42" s="190">
        <v>719800832.75999999</v>
      </c>
      <c r="I42" s="190">
        <v>1010963739</v>
      </c>
      <c r="J42" s="190">
        <v>1010963739</v>
      </c>
      <c r="K42" s="190">
        <v>1010963739</v>
      </c>
      <c r="L42" s="190">
        <v>1010963739</v>
      </c>
      <c r="M42" s="190">
        <v>1233508879.4400001</v>
      </c>
      <c r="N42" s="190">
        <v>1233508879.4400001</v>
      </c>
      <c r="O42" s="190">
        <v>1233508879.4400001</v>
      </c>
      <c r="P42" s="190">
        <v>1233508879.4400001</v>
      </c>
      <c r="Q42" s="190">
        <v>1061842321.49</v>
      </c>
      <c r="R42" s="190">
        <v>1061842321.49</v>
      </c>
      <c r="S42" s="190">
        <v>1061842321.49</v>
      </c>
      <c r="T42" s="190">
        <v>1061842321.49</v>
      </c>
      <c r="U42" s="190">
        <v>1489224514.23</v>
      </c>
      <c r="V42" s="190">
        <v>1489224514.23</v>
      </c>
      <c r="W42" s="190">
        <v>1489224514.23</v>
      </c>
      <c r="X42" s="190">
        <v>1489224514.23</v>
      </c>
      <c r="Y42" s="190">
        <v>1528705728.5799999</v>
      </c>
      <c r="Z42" s="190">
        <v>1528705728.5799999</v>
      </c>
      <c r="AA42" s="190">
        <v>1528705728.5799999</v>
      </c>
      <c r="AB42" s="190">
        <v>1528705728.5799999</v>
      </c>
      <c r="AC42" s="190">
        <v>2286766195.4200001</v>
      </c>
      <c r="AD42" s="190">
        <v>2286766195.4200001</v>
      </c>
      <c r="AE42" s="190">
        <v>2286766195.4200001</v>
      </c>
      <c r="AF42" s="190">
        <v>2286766195.4200001</v>
      </c>
      <c r="AG42" s="190">
        <v>2568785393.6199999</v>
      </c>
      <c r="AH42" s="190">
        <v>2568785393.6199999</v>
      </c>
      <c r="AI42" s="190">
        <v>2568785393.6199999</v>
      </c>
      <c r="AJ42" s="190">
        <v>2568785393.6199999</v>
      </c>
      <c r="AK42" s="190">
        <v>2376812997.27</v>
      </c>
      <c r="AL42" s="190">
        <v>2376812997.27</v>
      </c>
      <c r="AM42" s="190">
        <v>2376812997.27</v>
      </c>
      <c r="AN42" s="190">
        <v>2376812997.27</v>
      </c>
      <c r="AO42" s="190">
        <v>450300348.37</v>
      </c>
      <c r="AP42" s="190">
        <v>450300348.37</v>
      </c>
      <c r="AQ42" s="190">
        <v>450300348.37</v>
      </c>
      <c r="AR42" s="190">
        <v>0</v>
      </c>
      <c r="AS42" s="190">
        <v>186674964.63</v>
      </c>
      <c r="AT42" s="190">
        <v>186674964.63</v>
      </c>
      <c r="AU42" s="190">
        <v>185523318.63999999</v>
      </c>
      <c r="AV42" s="190">
        <v>0</v>
      </c>
      <c r="AW42" s="190">
        <v>64488694.780000001</v>
      </c>
      <c r="AX42" s="190">
        <v>56684172.799999997</v>
      </c>
      <c r="AY42" s="190">
        <v>0</v>
      </c>
    </row>
    <row r="43" spans="1:51" x14ac:dyDescent="0.25">
      <c r="A43" s="190" t="s">
        <v>258</v>
      </c>
      <c r="B43" s="190">
        <v>621824167.40999997</v>
      </c>
      <c r="C43" s="190">
        <v>427121659.45999998</v>
      </c>
      <c r="D43" s="190">
        <v>773889021.53999996</v>
      </c>
      <c r="E43" s="190">
        <v>671959841.71000004</v>
      </c>
      <c r="F43" s="190">
        <v>799289202.25999999</v>
      </c>
      <c r="G43" s="190">
        <v>992564845.12</v>
      </c>
      <c r="H43" s="190">
        <v>731378938.01999998</v>
      </c>
      <c r="I43" s="190">
        <v>719800832.75999999</v>
      </c>
      <c r="J43" s="190">
        <v>782196293.70000005</v>
      </c>
      <c r="K43" s="190">
        <v>771816817.58000004</v>
      </c>
      <c r="L43" s="190">
        <v>692992909.12</v>
      </c>
      <c r="M43" s="190">
        <v>1010963739</v>
      </c>
      <c r="N43" s="190">
        <v>657506471.89999998</v>
      </c>
      <c r="O43" s="190">
        <v>713112016.25</v>
      </c>
      <c r="P43" s="190">
        <v>686005544</v>
      </c>
      <c r="Q43" s="190">
        <v>1233508879.4400001</v>
      </c>
      <c r="R43" s="190">
        <v>551425835.47000003</v>
      </c>
      <c r="S43" s="190">
        <v>416232134.57999998</v>
      </c>
      <c r="T43" s="190">
        <v>997877972.28999996</v>
      </c>
      <c r="U43" s="190">
        <v>1061842321.49</v>
      </c>
      <c r="V43" s="190">
        <v>858315898.42999995</v>
      </c>
      <c r="W43" s="190">
        <v>1025077497.1</v>
      </c>
      <c r="X43" s="190">
        <v>1469263738.3199999</v>
      </c>
      <c r="Y43" s="190">
        <v>1489224514.23</v>
      </c>
      <c r="Z43" s="190">
        <v>1363528264.72</v>
      </c>
      <c r="AA43" s="190">
        <v>1286059833.21</v>
      </c>
      <c r="AB43" s="190">
        <v>1557853693.8199999</v>
      </c>
      <c r="AC43" s="190">
        <v>1528705728.5799999</v>
      </c>
      <c r="AD43" s="190">
        <v>2028391877.98</v>
      </c>
      <c r="AE43" s="190">
        <v>2021463953.73</v>
      </c>
      <c r="AF43" s="190">
        <v>2219007747.1500001</v>
      </c>
      <c r="AG43" s="190">
        <v>2286766195.4200001</v>
      </c>
      <c r="AH43" s="190">
        <v>2347988865.8800001</v>
      </c>
      <c r="AI43" s="190">
        <v>2319899469.7800002</v>
      </c>
      <c r="AJ43" s="190">
        <v>2387307098.2800002</v>
      </c>
      <c r="AK43" s="190">
        <v>2568785393.6199999</v>
      </c>
      <c r="AL43" s="190">
        <v>2383853084.0700002</v>
      </c>
      <c r="AM43" s="190">
        <v>2280313469.0999999</v>
      </c>
      <c r="AN43" s="190">
        <v>2302838919.6999998</v>
      </c>
      <c r="AO43" s="190">
        <v>2376812997.27</v>
      </c>
      <c r="AP43" s="190">
        <v>2043213197.51</v>
      </c>
      <c r="AQ43" s="190">
        <v>1827087947.0599999</v>
      </c>
      <c r="AR43" s="190">
        <v>0</v>
      </c>
      <c r="AS43" s="190">
        <v>450300348.37</v>
      </c>
      <c r="AT43" s="190">
        <v>322302067.35000002</v>
      </c>
      <c r="AU43" s="190">
        <v>215980065.18000001</v>
      </c>
      <c r="AV43" s="190">
        <v>0</v>
      </c>
      <c r="AW43" s="190">
        <v>92567676.900000006</v>
      </c>
      <c r="AX43" s="190">
        <v>64488694.780000001</v>
      </c>
      <c r="AY43" s="190">
        <v>0</v>
      </c>
    </row>
    <row r="44" spans="1:51" x14ac:dyDescent="0.25">
      <c r="A44" s="190" t="s">
        <v>259</v>
      </c>
    </row>
    <row r="45" spans="1:51" x14ac:dyDescent="0.25">
      <c r="A45" s="190" t="s">
        <v>260</v>
      </c>
      <c r="B45" s="190">
        <v>0</v>
      </c>
      <c r="C45" s="190">
        <v>371922773</v>
      </c>
      <c r="D45" s="190">
        <v>0</v>
      </c>
      <c r="E45" s="190">
        <v>709910337.28999996</v>
      </c>
      <c r="F45" s="190">
        <v>0</v>
      </c>
      <c r="G45" s="190">
        <v>368333879.70999998</v>
      </c>
      <c r="H45" s="190">
        <v>0</v>
      </c>
      <c r="I45" s="190">
        <v>733362270.69000006</v>
      </c>
      <c r="J45" s="190">
        <v>0</v>
      </c>
      <c r="K45" s="190">
        <v>378981797.54000002</v>
      </c>
      <c r="L45" s="190">
        <v>0</v>
      </c>
      <c r="M45" s="190">
        <v>670924491.13</v>
      </c>
      <c r="N45" s="190">
        <v>0</v>
      </c>
      <c r="O45" s="190">
        <v>335305140.22000003</v>
      </c>
      <c r="P45" s="190">
        <v>0</v>
      </c>
      <c r="Q45" s="190">
        <v>615429919.00999999</v>
      </c>
      <c r="R45" s="190">
        <v>0</v>
      </c>
      <c r="S45" s="190">
        <v>328448459.76999998</v>
      </c>
      <c r="T45" s="190">
        <v>0</v>
      </c>
      <c r="U45" s="190">
        <v>569995925.76999998</v>
      </c>
      <c r="V45" s="190">
        <v>0</v>
      </c>
      <c r="W45" s="190">
        <v>299618052.92000002</v>
      </c>
      <c r="X45" s="190">
        <v>0</v>
      </c>
      <c r="Y45" s="190">
        <v>514689537.76999998</v>
      </c>
      <c r="Z45" s="190">
        <v>0</v>
      </c>
      <c r="AA45" s="190">
        <v>291343762.23000002</v>
      </c>
      <c r="AB45" s="190">
        <v>0</v>
      </c>
      <c r="AC45" s="190">
        <v>554027153.80999994</v>
      </c>
      <c r="AD45" s="190">
        <v>0</v>
      </c>
      <c r="AE45" s="190">
        <v>306839985.50999999</v>
      </c>
      <c r="AF45" s="190">
        <v>0</v>
      </c>
      <c r="AG45" s="190">
        <v>675725629.19000006</v>
      </c>
      <c r="AH45" s="190">
        <v>0</v>
      </c>
      <c r="AI45" s="190">
        <v>306026614.80000001</v>
      </c>
      <c r="AJ45" s="190">
        <v>0</v>
      </c>
      <c r="AK45" s="190">
        <v>714096064.88999999</v>
      </c>
      <c r="AL45" s="190">
        <v>0</v>
      </c>
      <c r="AM45" s="190">
        <v>367728369.75999999</v>
      </c>
      <c r="AN45" s="190">
        <v>0</v>
      </c>
      <c r="AO45" s="190">
        <v>639819997.00999999</v>
      </c>
      <c r="AP45" s="190">
        <v>0</v>
      </c>
      <c r="AQ45" s="190">
        <v>292226497.43000001</v>
      </c>
      <c r="AR45" s="190">
        <v>0</v>
      </c>
      <c r="AS45" s="190">
        <v>362684212.06</v>
      </c>
      <c r="AT45" s="190">
        <v>0</v>
      </c>
      <c r="AU45" s="190">
        <v>0</v>
      </c>
      <c r="AV45" s="190">
        <v>0</v>
      </c>
      <c r="AW45" s="190">
        <v>43339516.789999999</v>
      </c>
      <c r="AX45" s="190">
        <v>38131164.469999999</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17887572.91</v>
      </c>
      <c r="D48" s="190">
        <v>0</v>
      </c>
      <c r="E48" s="190">
        <v>12499680.91</v>
      </c>
      <c r="F48" s="190">
        <v>0</v>
      </c>
      <c r="G48" s="190">
        <v>7885111.1299999999</v>
      </c>
      <c r="H48" s="190">
        <v>0</v>
      </c>
      <c r="I48" s="190">
        <v>23237429.84</v>
      </c>
      <c r="J48" s="190">
        <v>0</v>
      </c>
      <c r="K48" s="190">
        <v>8684764.5800000001</v>
      </c>
      <c r="L48" s="190">
        <v>0</v>
      </c>
      <c r="M48" s="190">
        <v>4105865.98</v>
      </c>
      <c r="N48" s="190">
        <v>0</v>
      </c>
      <c r="O48" s="190">
        <v>7070760.6100000003</v>
      </c>
      <c r="P48" s="190">
        <v>0</v>
      </c>
      <c r="Q48" s="190">
        <v>4822014.63</v>
      </c>
      <c r="R48" s="190">
        <v>0</v>
      </c>
      <c r="S48" s="190">
        <v>4969388.33</v>
      </c>
      <c r="T48" s="190">
        <v>0</v>
      </c>
      <c r="U48" s="190">
        <v>19241546.960000001</v>
      </c>
      <c r="V48" s="190">
        <v>0</v>
      </c>
      <c r="W48" s="190">
        <v>3726130.77</v>
      </c>
      <c r="X48" s="190">
        <v>0</v>
      </c>
      <c r="Y48" s="190">
        <v>10657854.109999999</v>
      </c>
      <c r="Z48" s="190">
        <v>0</v>
      </c>
      <c r="AA48" s="190">
        <v>3248436.38</v>
      </c>
      <c r="AB48" s="190">
        <v>0</v>
      </c>
      <c r="AC48" s="190">
        <v>5119568.22</v>
      </c>
      <c r="AD48" s="190">
        <v>0</v>
      </c>
      <c r="AE48" s="190">
        <v>2795623.48</v>
      </c>
      <c r="AF48" s="190">
        <v>0</v>
      </c>
      <c r="AG48" s="190">
        <v>4515424.5999999996</v>
      </c>
      <c r="AH48" s="190">
        <v>0</v>
      </c>
      <c r="AI48" s="190">
        <v>-7280003.8399999999</v>
      </c>
      <c r="AJ48" s="190">
        <v>0</v>
      </c>
      <c r="AK48" s="190">
        <v>23753238.050000001</v>
      </c>
      <c r="AL48" s="190">
        <v>0</v>
      </c>
      <c r="AM48" s="190">
        <v>49660.29</v>
      </c>
      <c r="AN48" s="190">
        <v>0</v>
      </c>
      <c r="AO48" s="190">
        <v>-180915.31</v>
      </c>
      <c r="AP48" s="190">
        <v>0</v>
      </c>
      <c r="AQ48" s="190">
        <v>25748959.030000001</v>
      </c>
      <c r="AR48" s="190">
        <v>0</v>
      </c>
      <c r="AS48" s="190">
        <v>6163252.0099999998</v>
      </c>
      <c r="AT48" s="190">
        <v>0</v>
      </c>
      <c r="AU48" s="190">
        <v>0</v>
      </c>
      <c r="AV48" s="190">
        <v>0</v>
      </c>
      <c r="AW48" s="190">
        <v>1040126.17</v>
      </c>
      <c r="AX48" s="190">
        <v>503674.36</v>
      </c>
      <c r="AY48" s="190">
        <v>0</v>
      </c>
    </row>
    <row r="49" spans="1:51" x14ac:dyDescent="0.25">
      <c r="A49" s="190" t="s">
        <v>263</v>
      </c>
      <c r="B49" s="190">
        <v>0</v>
      </c>
      <c r="C49" s="190">
        <v>24187390.710000001</v>
      </c>
      <c r="D49" s="190">
        <v>0</v>
      </c>
      <c r="E49" s="190">
        <v>64828686.75</v>
      </c>
      <c r="F49" s="190">
        <v>0</v>
      </c>
      <c r="G49" s="190">
        <v>32800832.93</v>
      </c>
      <c r="H49" s="190">
        <v>0</v>
      </c>
      <c r="I49" s="190">
        <v>63857365.25</v>
      </c>
      <c r="J49" s="190">
        <v>0</v>
      </c>
      <c r="K49" s="190">
        <v>32116528.469999999</v>
      </c>
      <c r="L49" s="190">
        <v>0</v>
      </c>
      <c r="M49" s="190">
        <v>70349508.769999996</v>
      </c>
      <c r="N49" s="190">
        <v>0</v>
      </c>
      <c r="O49" s="190">
        <v>26130782.850000001</v>
      </c>
      <c r="P49" s="190">
        <v>0</v>
      </c>
      <c r="Q49" s="190">
        <v>58617376.380000003</v>
      </c>
      <c r="R49" s="190">
        <v>0</v>
      </c>
      <c r="S49" s="190">
        <v>23674374.989999998</v>
      </c>
      <c r="T49" s="190">
        <v>0</v>
      </c>
      <c r="U49" s="190">
        <v>46356963.539999999</v>
      </c>
      <c r="V49" s="190">
        <v>0</v>
      </c>
      <c r="W49" s="190">
        <v>22576978.239999998</v>
      </c>
      <c r="X49" s="190">
        <v>0</v>
      </c>
      <c r="Y49" s="190">
        <v>46273223.159999996</v>
      </c>
      <c r="Z49" s="190">
        <v>0</v>
      </c>
      <c r="AA49" s="190">
        <v>23223497.010000002</v>
      </c>
      <c r="AB49" s="190">
        <v>0</v>
      </c>
      <c r="AC49" s="190">
        <v>44621832.880000003</v>
      </c>
      <c r="AD49" s="190">
        <v>0</v>
      </c>
      <c r="AE49" s="190">
        <v>20671669.420000002</v>
      </c>
      <c r="AF49" s="190">
        <v>0</v>
      </c>
      <c r="AG49" s="190">
        <v>38409848.479999997</v>
      </c>
      <c r="AH49" s="190">
        <v>0</v>
      </c>
      <c r="AI49" s="190">
        <v>19389074.390000001</v>
      </c>
      <c r="AJ49" s="190">
        <v>0</v>
      </c>
      <c r="AK49" s="190">
        <v>26728818.449999999</v>
      </c>
      <c r="AL49" s="190">
        <v>0</v>
      </c>
      <c r="AM49" s="190">
        <v>10277356.17</v>
      </c>
      <c r="AN49" s="190">
        <v>0</v>
      </c>
      <c r="AO49" s="190">
        <v>12597996.539999999</v>
      </c>
      <c r="AP49" s="190">
        <v>0</v>
      </c>
      <c r="AQ49" s="190">
        <v>4494818.8499999996</v>
      </c>
      <c r="AR49" s="190">
        <v>0</v>
      </c>
      <c r="AS49" s="190">
        <v>7074899.71</v>
      </c>
      <c r="AT49" s="190">
        <v>0</v>
      </c>
      <c r="AU49" s="190">
        <v>0</v>
      </c>
      <c r="AV49" s="190">
        <v>0</v>
      </c>
      <c r="AW49" s="190">
        <v>835440.42</v>
      </c>
      <c r="AX49" s="190">
        <v>691225.5</v>
      </c>
      <c r="AY49" s="190">
        <v>0</v>
      </c>
    </row>
    <row r="50" spans="1:51" x14ac:dyDescent="0.25">
      <c r="A50" s="190" t="s">
        <v>264</v>
      </c>
      <c r="B50" s="190">
        <v>0</v>
      </c>
      <c r="C50" s="190">
        <v>3912097.68</v>
      </c>
      <c r="D50" s="190">
        <v>0</v>
      </c>
      <c r="E50" s="190">
        <v>9433082.4100000001</v>
      </c>
      <c r="F50" s="190">
        <v>0</v>
      </c>
      <c r="G50" s="190">
        <v>3952164.4</v>
      </c>
      <c r="H50" s="190">
        <v>0</v>
      </c>
      <c r="I50" s="190">
        <v>8893999.0899999999</v>
      </c>
      <c r="J50" s="190">
        <v>0</v>
      </c>
      <c r="K50" s="190">
        <v>4427471.63</v>
      </c>
      <c r="L50" s="190">
        <v>0</v>
      </c>
      <c r="M50" s="190">
        <v>9439234.8200000003</v>
      </c>
      <c r="N50" s="190">
        <v>0</v>
      </c>
      <c r="O50" s="190">
        <v>4058115.24</v>
      </c>
      <c r="P50" s="190">
        <v>0</v>
      </c>
      <c r="Q50" s="190">
        <v>9554346.0999999996</v>
      </c>
      <c r="R50" s="190">
        <v>0</v>
      </c>
      <c r="S50" s="190">
        <v>4783548.28</v>
      </c>
      <c r="T50" s="190">
        <v>0</v>
      </c>
      <c r="U50" s="190">
        <v>13092192.609999999</v>
      </c>
      <c r="V50" s="190">
        <v>0</v>
      </c>
      <c r="W50" s="190">
        <v>6593304.4800000004</v>
      </c>
      <c r="X50" s="190">
        <v>0</v>
      </c>
      <c r="Y50" s="190">
        <v>13236319.859999999</v>
      </c>
      <c r="Z50" s="190">
        <v>0</v>
      </c>
      <c r="AA50" s="190">
        <v>5190454.2300000004</v>
      </c>
      <c r="AB50" s="190">
        <v>0</v>
      </c>
      <c r="AC50" s="190">
        <v>10473438.42</v>
      </c>
      <c r="AD50" s="190">
        <v>0</v>
      </c>
      <c r="AE50" s="190">
        <v>4492193.82</v>
      </c>
      <c r="AF50" s="190">
        <v>0</v>
      </c>
      <c r="AG50" s="190">
        <v>7708322.8099999996</v>
      </c>
      <c r="AH50" s="190">
        <v>0</v>
      </c>
      <c r="AI50" s="190">
        <v>3627913.22</v>
      </c>
      <c r="AJ50" s="190">
        <v>0</v>
      </c>
      <c r="AK50" s="190">
        <v>7661732.6900000004</v>
      </c>
      <c r="AL50" s="190">
        <v>0</v>
      </c>
      <c r="AM50" s="190">
        <v>3383787.22</v>
      </c>
      <c r="AN50" s="190">
        <v>0</v>
      </c>
      <c r="AO50" s="190">
        <v>5845013.7599999998</v>
      </c>
      <c r="AP50" s="190">
        <v>0</v>
      </c>
      <c r="AQ50" s="190">
        <v>3082834.41</v>
      </c>
      <c r="AR50" s="190">
        <v>0</v>
      </c>
      <c r="AS50" s="190">
        <v>3815906.34</v>
      </c>
      <c r="AT50" s="190">
        <v>0</v>
      </c>
      <c r="AU50" s="190">
        <v>0</v>
      </c>
      <c r="AV50" s="190">
        <v>0</v>
      </c>
      <c r="AW50" s="190">
        <v>324252.77</v>
      </c>
      <c r="AX50" s="190">
        <v>92427.77</v>
      </c>
      <c r="AY50" s="190">
        <v>0</v>
      </c>
    </row>
    <row r="51" spans="1:51" x14ac:dyDescent="0.25">
      <c r="A51" s="190" t="s">
        <v>265</v>
      </c>
      <c r="B51" s="190">
        <v>0</v>
      </c>
      <c r="C51" s="190">
        <v>1364185.81</v>
      </c>
      <c r="D51" s="190">
        <v>0</v>
      </c>
      <c r="E51" s="190">
        <v>1818133.9</v>
      </c>
      <c r="F51" s="190">
        <v>0</v>
      </c>
      <c r="G51" s="190">
        <v>1547150.46</v>
      </c>
      <c r="H51" s="190">
        <v>0</v>
      </c>
      <c r="I51" s="190">
        <v>3094300.92</v>
      </c>
      <c r="J51" s="190">
        <v>0</v>
      </c>
      <c r="K51" s="190">
        <v>1547150.46</v>
      </c>
      <c r="L51" s="190">
        <v>0</v>
      </c>
      <c r="M51" s="190">
        <v>3094301.11</v>
      </c>
      <c r="N51" s="190">
        <v>0</v>
      </c>
      <c r="O51" s="190">
        <v>1338973.78</v>
      </c>
      <c r="P51" s="190">
        <v>0</v>
      </c>
      <c r="Q51" s="190">
        <v>1307666.8999999999</v>
      </c>
      <c r="R51" s="190">
        <v>0</v>
      </c>
      <c r="S51" s="190">
        <v>15750</v>
      </c>
      <c r="T51" s="190">
        <v>0</v>
      </c>
      <c r="U51" s="190">
        <v>31500</v>
      </c>
      <c r="V51" s="190">
        <v>0</v>
      </c>
      <c r="W51" s="190">
        <v>0</v>
      </c>
      <c r="X51" s="190">
        <v>0</v>
      </c>
      <c r="Y51" s="190">
        <v>31500</v>
      </c>
      <c r="Z51" s="190">
        <v>0</v>
      </c>
      <c r="AA51" s="190">
        <v>0</v>
      </c>
      <c r="AB51" s="190">
        <v>0</v>
      </c>
      <c r="AC51" s="190">
        <v>34125</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553022.63</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-12716944.800000001</v>
      </c>
      <c r="D54" s="190">
        <v>0</v>
      </c>
      <c r="E54" s="190">
        <v>-1399923.52</v>
      </c>
      <c r="F54" s="190">
        <v>0</v>
      </c>
      <c r="G54" s="190">
        <v>-545373.79</v>
      </c>
      <c r="H54" s="190">
        <v>0</v>
      </c>
      <c r="I54" s="190">
        <v>-45375605.170000002</v>
      </c>
      <c r="J54" s="190">
        <v>0</v>
      </c>
      <c r="K54" s="190">
        <v>-45624174.630000003</v>
      </c>
      <c r="L54" s="190">
        <v>0</v>
      </c>
      <c r="M54" s="190">
        <v>486107.35</v>
      </c>
      <c r="N54" s="190">
        <v>0</v>
      </c>
      <c r="O54" s="190">
        <v>144462.35999999999</v>
      </c>
      <c r="P54" s="190">
        <v>0</v>
      </c>
      <c r="Q54" s="190">
        <v>3196094.28</v>
      </c>
      <c r="R54" s="190">
        <v>0</v>
      </c>
      <c r="S54" s="190">
        <v>336591.06</v>
      </c>
      <c r="T54" s="190">
        <v>0</v>
      </c>
      <c r="U54" s="190">
        <v>864129.69</v>
      </c>
      <c r="V54" s="190">
        <v>0</v>
      </c>
      <c r="W54" s="190">
        <v>670665.68000000005</v>
      </c>
      <c r="X54" s="190">
        <v>0</v>
      </c>
      <c r="Y54" s="190">
        <v>454561.78</v>
      </c>
      <c r="Z54" s="190">
        <v>0</v>
      </c>
      <c r="AA54" s="190">
        <v>668328.59</v>
      </c>
      <c r="AB54" s="190">
        <v>0</v>
      </c>
      <c r="AC54" s="190">
        <v>53150.6</v>
      </c>
      <c r="AD54" s="190">
        <v>0</v>
      </c>
      <c r="AE54" s="190">
        <v>35265.18</v>
      </c>
      <c r="AF54" s="190">
        <v>0</v>
      </c>
      <c r="AG54" s="190">
        <v>178572.05</v>
      </c>
      <c r="AH54" s="190">
        <v>0</v>
      </c>
      <c r="AI54" s="190">
        <v>123549.74</v>
      </c>
      <c r="AJ54" s="190">
        <v>0</v>
      </c>
      <c r="AK54" s="190">
        <v>1191068.81</v>
      </c>
      <c r="AL54" s="190">
        <v>0</v>
      </c>
      <c r="AM54" s="190">
        <v>1146368.03</v>
      </c>
      <c r="AN54" s="190">
        <v>0</v>
      </c>
      <c r="AO54" s="190">
        <v>181662.27</v>
      </c>
      <c r="AP54" s="190">
        <v>0</v>
      </c>
      <c r="AQ54" s="190">
        <v>52417.77</v>
      </c>
      <c r="AR54" s="190">
        <v>0</v>
      </c>
      <c r="AS54" s="190">
        <v>0</v>
      </c>
      <c r="AT54" s="190">
        <v>0</v>
      </c>
      <c r="AU54" s="190">
        <v>0</v>
      </c>
      <c r="AV54" s="190">
        <v>0</v>
      </c>
      <c r="AW54" s="190">
        <v>0</v>
      </c>
      <c r="AX54" s="190">
        <v>0</v>
      </c>
      <c r="AY54" s="190">
        <v>0</v>
      </c>
    </row>
    <row r="55" spans="1:51" x14ac:dyDescent="0.25">
      <c r="A55" s="190" t="s">
        <v>269</v>
      </c>
      <c r="B55" s="190">
        <v>0</v>
      </c>
      <c r="C55" s="190">
        <v>2281694.7999999998</v>
      </c>
      <c r="D55" s="190">
        <v>0</v>
      </c>
      <c r="E55" s="190">
        <v>1340385.55</v>
      </c>
      <c r="F55" s="190">
        <v>0</v>
      </c>
      <c r="G55" s="190">
        <v>0</v>
      </c>
      <c r="H55" s="190">
        <v>0</v>
      </c>
      <c r="I55" s="190">
        <v>2871.75</v>
      </c>
      <c r="J55" s="190">
        <v>0</v>
      </c>
      <c r="K55" s="190">
        <v>0</v>
      </c>
      <c r="L55" s="190">
        <v>0</v>
      </c>
      <c r="M55" s="190">
        <v>0</v>
      </c>
      <c r="N55" s="190">
        <v>0</v>
      </c>
      <c r="O55" s="190">
        <v>0</v>
      </c>
      <c r="P55" s="190">
        <v>0</v>
      </c>
      <c r="Q55" s="190">
        <v>0</v>
      </c>
      <c r="R55" s="190">
        <v>0</v>
      </c>
      <c r="S55" s="190">
        <v>0</v>
      </c>
      <c r="T55" s="190">
        <v>0</v>
      </c>
      <c r="U55" s="190">
        <v>75821.210000000006</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89542.15</v>
      </c>
      <c r="AR55" s="190">
        <v>0</v>
      </c>
      <c r="AS55" s="190">
        <v>151921.56</v>
      </c>
      <c r="AT55" s="190">
        <v>0</v>
      </c>
      <c r="AU55" s="190">
        <v>0</v>
      </c>
      <c r="AV55" s="190">
        <v>0</v>
      </c>
      <c r="AW55" s="190">
        <v>0</v>
      </c>
      <c r="AX55" s="190">
        <v>215198.12</v>
      </c>
      <c r="AY55" s="190">
        <v>0</v>
      </c>
    </row>
    <row r="56" spans="1:51"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-1781766.58</v>
      </c>
      <c r="D59" s="190">
        <v>0</v>
      </c>
      <c r="E59" s="190">
        <v>5771064.5300000003</v>
      </c>
      <c r="F59" s="190">
        <v>0</v>
      </c>
      <c r="G59" s="190">
        <v>4035485.66</v>
      </c>
      <c r="H59" s="190">
        <v>0</v>
      </c>
      <c r="I59" s="190">
        <v>-1589398.15</v>
      </c>
      <c r="J59" s="190">
        <v>0</v>
      </c>
      <c r="K59" s="190">
        <v>1356225.71</v>
      </c>
      <c r="L59" s="190">
        <v>0</v>
      </c>
      <c r="M59" s="190">
        <v>2490168.7999999998</v>
      </c>
      <c r="N59" s="190">
        <v>0</v>
      </c>
      <c r="O59" s="190">
        <v>-289812.49</v>
      </c>
      <c r="P59" s="190">
        <v>0</v>
      </c>
      <c r="Q59" s="190">
        <v>-468631.84</v>
      </c>
      <c r="R59" s="190">
        <v>0</v>
      </c>
      <c r="S59" s="190">
        <v>-948673.65</v>
      </c>
      <c r="T59" s="190">
        <v>0</v>
      </c>
      <c r="U59" s="190">
        <v>940094.37</v>
      </c>
      <c r="V59" s="190">
        <v>0</v>
      </c>
      <c r="W59" s="190">
        <v>397913.15</v>
      </c>
      <c r="X59" s="190">
        <v>0</v>
      </c>
      <c r="Y59" s="190">
        <v>-866349.5</v>
      </c>
      <c r="Z59" s="190">
        <v>0</v>
      </c>
      <c r="AA59" s="190">
        <v>183015.64</v>
      </c>
      <c r="AB59" s="190">
        <v>0</v>
      </c>
      <c r="AC59" s="190">
        <v>-426313.39</v>
      </c>
      <c r="AD59" s="190">
        <v>0</v>
      </c>
      <c r="AE59" s="190">
        <v>137369.26</v>
      </c>
      <c r="AF59" s="190">
        <v>0</v>
      </c>
      <c r="AG59" s="190">
        <v>87217.32</v>
      </c>
      <c r="AH59" s="190">
        <v>0</v>
      </c>
      <c r="AI59" s="190">
        <v>15676.91</v>
      </c>
      <c r="AJ59" s="190">
        <v>0</v>
      </c>
      <c r="AK59" s="190">
        <v>32638.16</v>
      </c>
      <c r="AL59" s="190">
        <v>0</v>
      </c>
      <c r="AM59" s="190">
        <v>34541.29</v>
      </c>
      <c r="AN59" s="190">
        <v>0</v>
      </c>
      <c r="AO59" s="190">
        <v>89001.88</v>
      </c>
      <c r="AP59" s="190">
        <v>0</v>
      </c>
      <c r="AQ59" s="190">
        <v>-2156643.17</v>
      </c>
      <c r="AR59" s="190">
        <v>0</v>
      </c>
      <c r="AS59" s="190">
        <v>654016.52</v>
      </c>
      <c r="AT59" s="190">
        <v>0</v>
      </c>
      <c r="AU59" s="190">
        <v>0</v>
      </c>
      <c r="AV59" s="190">
        <v>0</v>
      </c>
      <c r="AW59" s="190">
        <v>-1711698.15</v>
      </c>
      <c r="AX59" s="190">
        <v>70891.320000000007</v>
      </c>
      <c r="AY59" s="190">
        <v>0</v>
      </c>
    </row>
    <row r="60" spans="1:51" x14ac:dyDescent="0.25">
      <c r="A60" s="190" t="s">
        <v>273</v>
      </c>
      <c r="B60" s="190">
        <v>0</v>
      </c>
      <c r="C60" s="190">
        <v>-126367335.14</v>
      </c>
      <c r="D60" s="190">
        <v>0</v>
      </c>
      <c r="E60" s="190">
        <v>-87711646.170000002</v>
      </c>
      <c r="F60" s="190">
        <v>0</v>
      </c>
      <c r="G60" s="190">
        <v>-28564364.93</v>
      </c>
      <c r="H60" s="190">
        <v>0</v>
      </c>
      <c r="I60" s="190">
        <v>-35545438.399999999</v>
      </c>
      <c r="J60" s="190">
        <v>0</v>
      </c>
      <c r="K60" s="190">
        <v>-3196193.83</v>
      </c>
      <c r="L60" s="190">
        <v>0</v>
      </c>
      <c r="M60" s="190">
        <v>-39269201.210000001</v>
      </c>
      <c r="N60" s="190">
        <v>0</v>
      </c>
      <c r="O60" s="190">
        <v>-22754726.91</v>
      </c>
      <c r="P60" s="190">
        <v>0</v>
      </c>
      <c r="Q60" s="190">
        <v>-30819011.629999999</v>
      </c>
      <c r="R60" s="190">
        <v>0</v>
      </c>
      <c r="S60" s="190">
        <v>-4487840.09</v>
      </c>
      <c r="T60" s="190">
        <v>0</v>
      </c>
      <c r="U60" s="190">
        <v>-28465498.5</v>
      </c>
      <c r="V60" s="190">
        <v>0</v>
      </c>
      <c r="W60" s="190">
        <v>-12059205.609999999</v>
      </c>
      <c r="X60" s="190">
        <v>0</v>
      </c>
      <c r="Y60" s="190">
        <v>-452366.75</v>
      </c>
      <c r="Z60" s="190">
        <v>0</v>
      </c>
      <c r="AA60" s="190">
        <v>-550718.27</v>
      </c>
      <c r="AB60" s="190">
        <v>0</v>
      </c>
      <c r="AC60" s="190">
        <v>-3755227</v>
      </c>
      <c r="AD60" s="190">
        <v>0</v>
      </c>
      <c r="AE60" s="190">
        <v>-1841301.09</v>
      </c>
      <c r="AF60" s="190">
        <v>0</v>
      </c>
      <c r="AG60" s="190">
        <v>-653445.42000000004</v>
      </c>
      <c r="AH60" s="190">
        <v>0</v>
      </c>
      <c r="AI60" s="190">
        <v>0</v>
      </c>
      <c r="AJ60" s="190">
        <v>0</v>
      </c>
      <c r="AK60" s="190">
        <v>-229529.86</v>
      </c>
      <c r="AL60" s="190">
        <v>0</v>
      </c>
      <c r="AM60" s="190">
        <v>-229369.86</v>
      </c>
      <c r="AN60" s="190">
        <v>0</v>
      </c>
      <c r="AO60" s="190">
        <v>-258630.14</v>
      </c>
      <c r="AP60" s="190">
        <v>0</v>
      </c>
      <c r="AQ60" s="190">
        <v>-37000000</v>
      </c>
      <c r="AR60" s="190">
        <v>0</v>
      </c>
      <c r="AS60" s="190">
        <v>0</v>
      </c>
      <c r="AT60" s="190">
        <v>0</v>
      </c>
      <c r="AU60" s="190">
        <v>0</v>
      </c>
      <c r="AV60" s="190">
        <v>0</v>
      </c>
      <c r="AW60" s="190">
        <v>0</v>
      </c>
      <c r="AX60" s="190">
        <v>0</v>
      </c>
      <c r="AY60" s="190">
        <v>0</v>
      </c>
    </row>
    <row r="61" spans="1:51" x14ac:dyDescent="0.25">
      <c r="A61" s="190" t="s">
        <v>274</v>
      </c>
      <c r="B61" s="190">
        <v>0</v>
      </c>
      <c r="C61" s="190">
        <v>11005746.380000001</v>
      </c>
      <c r="D61" s="190">
        <v>0</v>
      </c>
      <c r="E61" s="190">
        <v>-10023159.82</v>
      </c>
      <c r="F61" s="190">
        <v>0</v>
      </c>
      <c r="G61" s="190">
        <v>27888504.039999999</v>
      </c>
      <c r="H61" s="190">
        <v>0</v>
      </c>
      <c r="I61" s="190">
        <v>5846592.8200000003</v>
      </c>
      <c r="J61" s="190">
        <v>0</v>
      </c>
      <c r="K61" s="190">
        <v>36749927.619999997</v>
      </c>
      <c r="L61" s="190">
        <v>0</v>
      </c>
      <c r="M61" s="190">
        <v>-26950431.07</v>
      </c>
      <c r="N61" s="190">
        <v>0</v>
      </c>
      <c r="O61" s="190">
        <v>12118706.99</v>
      </c>
      <c r="P61" s="190">
        <v>0</v>
      </c>
      <c r="Q61" s="190">
        <v>369276.71</v>
      </c>
      <c r="R61" s="190">
        <v>0</v>
      </c>
      <c r="S61" s="190">
        <v>9414048.8499999996</v>
      </c>
      <c r="T61" s="190">
        <v>0</v>
      </c>
      <c r="U61" s="190">
        <v>-16569557.720000001</v>
      </c>
      <c r="V61" s="190">
        <v>0</v>
      </c>
      <c r="W61" s="190">
        <v>3656859.42</v>
      </c>
      <c r="X61" s="190">
        <v>0</v>
      </c>
      <c r="Y61" s="190">
        <v>-2634028.9700000002</v>
      </c>
      <c r="Z61" s="190">
        <v>0</v>
      </c>
      <c r="AA61" s="190">
        <v>10007722.369999999</v>
      </c>
      <c r="AB61" s="190">
        <v>0</v>
      </c>
      <c r="AC61" s="190">
        <v>16105824.689999999</v>
      </c>
      <c r="AD61" s="190">
        <v>0</v>
      </c>
      <c r="AE61" s="190">
        <v>18183209.219999999</v>
      </c>
      <c r="AF61" s="190">
        <v>0</v>
      </c>
      <c r="AG61" s="190">
        <v>3289918.85</v>
      </c>
      <c r="AH61" s="190">
        <v>0</v>
      </c>
      <c r="AI61" s="190">
        <v>-8969536.7699999996</v>
      </c>
      <c r="AJ61" s="190">
        <v>0</v>
      </c>
      <c r="AK61" s="190">
        <v>-34707896.659999996</v>
      </c>
      <c r="AL61" s="190">
        <v>0</v>
      </c>
      <c r="AM61" s="190">
        <v>346361.79</v>
      </c>
      <c r="AN61" s="190">
        <v>0</v>
      </c>
      <c r="AO61" s="190">
        <v>-10437825.93</v>
      </c>
      <c r="AP61" s="190">
        <v>0</v>
      </c>
      <c r="AQ61" s="190">
        <v>0</v>
      </c>
      <c r="AR61" s="190">
        <v>0</v>
      </c>
      <c r="AS61" s="190">
        <v>-1127905.47</v>
      </c>
      <c r="AT61" s="190">
        <v>0</v>
      </c>
      <c r="AU61" s="190">
        <v>0</v>
      </c>
      <c r="AV61" s="190">
        <v>0</v>
      </c>
      <c r="AW61" s="190">
        <v>0</v>
      </c>
      <c r="AX61" s="190">
        <v>0</v>
      </c>
      <c r="AY61" s="190">
        <v>0</v>
      </c>
    </row>
    <row r="62" spans="1:51" x14ac:dyDescent="0.25">
      <c r="A62" s="190" t="s">
        <v>275</v>
      </c>
      <c r="B62" s="190">
        <v>0</v>
      </c>
      <c r="C62" s="190">
        <v>186565.16</v>
      </c>
      <c r="D62" s="190">
        <v>0</v>
      </c>
      <c r="E62" s="190">
        <v>-1079696.75</v>
      </c>
      <c r="F62" s="190">
        <v>0</v>
      </c>
      <c r="G62" s="190">
        <v>-726387.02</v>
      </c>
      <c r="H62" s="190">
        <v>0</v>
      </c>
      <c r="I62" s="190">
        <v>-461999.14</v>
      </c>
      <c r="J62" s="190">
        <v>0</v>
      </c>
      <c r="K62" s="190">
        <v>-1960995.72</v>
      </c>
      <c r="L62" s="190">
        <v>0</v>
      </c>
      <c r="M62" s="190">
        <v>578700.27</v>
      </c>
      <c r="N62" s="190">
        <v>0</v>
      </c>
      <c r="O62" s="190">
        <v>1858807.86</v>
      </c>
      <c r="P62" s="190">
        <v>0</v>
      </c>
      <c r="Q62" s="190">
        <v>950195.62</v>
      </c>
      <c r="R62" s="190">
        <v>0</v>
      </c>
      <c r="S62" s="190">
        <v>1962772.37</v>
      </c>
      <c r="T62" s="190">
        <v>0</v>
      </c>
      <c r="U62" s="190">
        <v>-91340.9</v>
      </c>
      <c r="V62" s="190">
        <v>0</v>
      </c>
      <c r="W62" s="190">
        <v>337179.62</v>
      </c>
      <c r="X62" s="190">
        <v>0</v>
      </c>
      <c r="Y62" s="190">
        <v>-56991.29</v>
      </c>
      <c r="Z62" s="190">
        <v>0</v>
      </c>
      <c r="AA62" s="190">
        <v>-275600.38</v>
      </c>
      <c r="AB62" s="190">
        <v>0</v>
      </c>
      <c r="AC62" s="190">
        <v>982653.74</v>
      </c>
      <c r="AD62" s="190">
        <v>0</v>
      </c>
      <c r="AE62" s="190">
        <v>0</v>
      </c>
      <c r="AF62" s="190">
        <v>0</v>
      </c>
      <c r="AG62" s="190">
        <v>0</v>
      </c>
      <c r="AH62" s="190">
        <v>0</v>
      </c>
      <c r="AI62" s="190">
        <v>0</v>
      </c>
      <c r="AJ62" s="190">
        <v>0</v>
      </c>
      <c r="AK62" s="190">
        <v>-32328.77</v>
      </c>
      <c r="AL62" s="190">
        <v>0</v>
      </c>
      <c r="AM62" s="190">
        <v>-32328.77</v>
      </c>
      <c r="AN62" s="190">
        <v>0</v>
      </c>
      <c r="AO62" s="190">
        <v>32328.77</v>
      </c>
      <c r="AP62" s="190">
        <v>0</v>
      </c>
      <c r="AQ62" s="190">
        <v>-1737801.61</v>
      </c>
      <c r="AR62" s="190">
        <v>0</v>
      </c>
      <c r="AS62" s="190">
        <v>0</v>
      </c>
      <c r="AT62" s="190">
        <v>0</v>
      </c>
      <c r="AU62" s="190">
        <v>0</v>
      </c>
      <c r="AV62" s="190">
        <v>0</v>
      </c>
      <c r="AW62" s="190">
        <v>0</v>
      </c>
      <c r="AX62" s="190">
        <v>0</v>
      </c>
      <c r="AY62" s="190">
        <v>0</v>
      </c>
    </row>
    <row r="63" spans="1:51" x14ac:dyDescent="0.25">
      <c r="A63" s="190" t="s">
        <v>276</v>
      </c>
      <c r="B63" s="190">
        <v>0</v>
      </c>
      <c r="C63" s="190">
        <v>-17025780.43</v>
      </c>
      <c r="D63" s="190">
        <v>0</v>
      </c>
      <c r="E63" s="190">
        <v>-112458953.3</v>
      </c>
      <c r="F63" s="190">
        <v>0</v>
      </c>
      <c r="G63" s="190">
        <v>29339501</v>
      </c>
      <c r="H63" s="190">
        <v>0</v>
      </c>
      <c r="I63" s="190">
        <v>118436714.06</v>
      </c>
      <c r="J63" s="190">
        <v>0</v>
      </c>
      <c r="K63" s="190">
        <v>118149235.68000001</v>
      </c>
      <c r="L63" s="190">
        <v>0</v>
      </c>
      <c r="M63" s="190">
        <v>-69114757.939999998</v>
      </c>
      <c r="N63" s="190">
        <v>0</v>
      </c>
      <c r="O63" s="190">
        <v>72536217.689999998</v>
      </c>
      <c r="P63" s="190">
        <v>0</v>
      </c>
      <c r="Q63" s="190">
        <v>-96266873.640000001</v>
      </c>
      <c r="R63" s="190">
        <v>0</v>
      </c>
      <c r="S63" s="190">
        <v>-7244459.3700000001</v>
      </c>
      <c r="T63" s="190">
        <v>0</v>
      </c>
      <c r="U63" s="190">
        <v>-78646058.349999994</v>
      </c>
      <c r="V63" s="190">
        <v>0</v>
      </c>
      <c r="W63" s="190">
        <v>-23328399.829999998</v>
      </c>
      <c r="X63" s="190">
        <v>0</v>
      </c>
      <c r="Y63" s="190">
        <v>-14232691.32</v>
      </c>
      <c r="Z63" s="190">
        <v>0</v>
      </c>
      <c r="AA63" s="190">
        <v>136316826.81</v>
      </c>
      <c r="AB63" s="190">
        <v>0</v>
      </c>
      <c r="AC63" s="190">
        <v>-88685263.060000002</v>
      </c>
      <c r="AD63" s="190">
        <v>0</v>
      </c>
      <c r="AE63" s="190">
        <v>129740735.11</v>
      </c>
      <c r="AF63" s="190">
        <v>0</v>
      </c>
      <c r="AG63" s="190">
        <v>-90560305.650000006</v>
      </c>
      <c r="AH63" s="190">
        <v>0</v>
      </c>
      <c r="AI63" s="190">
        <v>73901222.430000007</v>
      </c>
      <c r="AJ63" s="190">
        <v>0</v>
      </c>
      <c r="AK63" s="190">
        <v>7597536.0099999998</v>
      </c>
      <c r="AL63" s="190">
        <v>0</v>
      </c>
      <c r="AM63" s="190">
        <v>9642124.6699999999</v>
      </c>
      <c r="AN63" s="190">
        <v>0</v>
      </c>
      <c r="AO63" s="190">
        <v>-154339412.56</v>
      </c>
      <c r="AP63" s="190">
        <v>0</v>
      </c>
      <c r="AQ63" s="190">
        <v>-4218997.37</v>
      </c>
      <c r="AR63" s="190">
        <v>0</v>
      </c>
      <c r="AS63" s="190">
        <v>43537810.479999997</v>
      </c>
      <c r="AT63" s="190">
        <v>0</v>
      </c>
      <c r="AU63" s="190">
        <v>0</v>
      </c>
      <c r="AV63" s="190">
        <v>0</v>
      </c>
      <c r="AW63" s="190">
        <v>-23970593.140000001</v>
      </c>
      <c r="AX63" s="190">
        <v>-22579213.5</v>
      </c>
      <c r="AY63" s="190">
        <v>0</v>
      </c>
    </row>
    <row r="64" spans="1:51" x14ac:dyDescent="0.25">
      <c r="A64" s="190" t="s">
        <v>277</v>
      </c>
      <c r="B64" s="190">
        <v>0</v>
      </c>
      <c r="C64" s="190">
        <v>89514999.060000002</v>
      </c>
      <c r="D64" s="190">
        <v>0</v>
      </c>
      <c r="E64" s="190">
        <v>-428348732.85000002</v>
      </c>
      <c r="F64" s="190">
        <v>0</v>
      </c>
      <c r="G64" s="190">
        <v>104243627.65000001</v>
      </c>
      <c r="H64" s="190">
        <v>0</v>
      </c>
      <c r="I64" s="190">
        <v>82823714.189999998</v>
      </c>
      <c r="J64" s="190">
        <v>0</v>
      </c>
      <c r="K64" s="190">
        <v>386367323.88999999</v>
      </c>
      <c r="L64" s="190">
        <v>0</v>
      </c>
      <c r="M64" s="190">
        <v>-70449508.489999995</v>
      </c>
      <c r="N64" s="190">
        <v>0</v>
      </c>
      <c r="O64" s="190">
        <v>253756725.81999999</v>
      </c>
      <c r="P64" s="190">
        <v>0</v>
      </c>
      <c r="Q64" s="190">
        <v>-207948573.86000001</v>
      </c>
      <c r="R64" s="190">
        <v>0</v>
      </c>
      <c r="S64" s="190">
        <v>15917532.609999999</v>
      </c>
      <c r="T64" s="190">
        <v>0</v>
      </c>
      <c r="U64" s="190">
        <v>-454914534.18000001</v>
      </c>
      <c r="V64" s="190">
        <v>0</v>
      </c>
      <c r="W64" s="190">
        <v>17292101.420000002</v>
      </c>
      <c r="X64" s="190">
        <v>0</v>
      </c>
      <c r="Y64" s="190">
        <v>-327499830.02999997</v>
      </c>
      <c r="Z64" s="190">
        <v>0</v>
      </c>
      <c r="AA64" s="190">
        <v>-153515696.59999999</v>
      </c>
      <c r="AB64" s="190">
        <v>0</v>
      </c>
      <c r="AC64" s="190">
        <v>-80288929.219999999</v>
      </c>
      <c r="AD64" s="190">
        <v>0</v>
      </c>
      <c r="AE64" s="190">
        <v>13876966.039999999</v>
      </c>
      <c r="AF64" s="190">
        <v>0</v>
      </c>
      <c r="AG64" s="190">
        <v>-249226256.28</v>
      </c>
      <c r="AH64" s="190">
        <v>0</v>
      </c>
      <c r="AI64" s="190">
        <v>-181843249.13</v>
      </c>
      <c r="AJ64" s="190">
        <v>0</v>
      </c>
      <c r="AK64" s="190">
        <v>131798759.87</v>
      </c>
      <c r="AL64" s="190">
        <v>0</v>
      </c>
      <c r="AM64" s="190">
        <v>126594681.34999999</v>
      </c>
      <c r="AN64" s="190">
        <v>0</v>
      </c>
      <c r="AO64" s="190">
        <v>-169334626.12</v>
      </c>
      <c r="AP64" s="190">
        <v>0</v>
      </c>
      <c r="AQ64" s="190">
        <v>-461313710.75</v>
      </c>
      <c r="AR64" s="190">
        <v>0</v>
      </c>
      <c r="AS64" s="190">
        <v>-150677405.96000001</v>
      </c>
      <c r="AT64" s="190">
        <v>0</v>
      </c>
      <c r="AU64" s="190">
        <v>0</v>
      </c>
      <c r="AV64" s="190">
        <v>0</v>
      </c>
      <c r="AW64" s="190">
        <v>-45197044.060000002</v>
      </c>
      <c r="AX64" s="190">
        <v>1876470.27</v>
      </c>
      <c r="AY64" s="190">
        <v>0</v>
      </c>
    </row>
    <row r="65" spans="1:51" x14ac:dyDescent="0.25">
      <c r="A65" s="190" t="s">
        <v>278</v>
      </c>
      <c r="B65" s="190">
        <v>0</v>
      </c>
      <c r="C65" s="190">
        <v>-120900125.89</v>
      </c>
      <c r="D65" s="190">
        <v>0</v>
      </c>
      <c r="E65" s="190">
        <v>-117631143.84999999</v>
      </c>
      <c r="F65" s="190">
        <v>0</v>
      </c>
      <c r="G65" s="190">
        <v>-609039603.37</v>
      </c>
      <c r="H65" s="190">
        <v>0</v>
      </c>
      <c r="I65" s="190">
        <v>46684105.939999998</v>
      </c>
      <c r="J65" s="190">
        <v>0</v>
      </c>
      <c r="K65" s="190">
        <v>-977649624.84000003</v>
      </c>
      <c r="L65" s="190">
        <v>0</v>
      </c>
      <c r="M65" s="190">
        <v>300139445.89999998</v>
      </c>
      <c r="N65" s="190">
        <v>0</v>
      </c>
      <c r="O65" s="190">
        <v>-82803825.549999997</v>
      </c>
      <c r="P65" s="190">
        <v>0</v>
      </c>
      <c r="Q65" s="190">
        <v>234515641.58000001</v>
      </c>
      <c r="R65" s="190">
        <v>0</v>
      </c>
      <c r="S65" s="190">
        <v>122863288.3</v>
      </c>
      <c r="T65" s="190">
        <v>0</v>
      </c>
      <c r="U65" s="190">
        <v>173522517.53999999</v>
      </c>
      <c r="V65" s="190">
        <v>0</v>
      </c>
      <c r="W65" s="190">
        <v>-136216347.97999999</v>
      </c>
      <c r="X65" s="190">
        <v>0</v>
      </c>
      <c r="Y65" s="190">
        <v>62805911.700000003</v>
      </c>
      <c r="Z65" s="190">
        <v>0</v>
      </c>
      <c r="AA65" s="190">
        <v>-237810322.68000001</v>
      </c>
      <c r="AB65" s="190">
        <v>0</v>
      </c>
      <c r="AC65" s="190">
        <v>-46093283.920000002</v>
      </c>
      <c r="AD65" s="190">
        <v>0</v>
      </c>
      <c r="AE65" s="190">
        <v>-239265143.77000001</v>
      </c>
      <c r="AF65" s="190">
        <v>0</v>
      </c>
      <c r="AG65" s="190">
        <v>160046834.99000001</v>
      </c>
      <c r="AH65" s="190">
        <v>0</v>
      </c>
      <c r="AI65" s="190">
        <v>165611083.06999999</v>
      </c>
      <c r="AJ65" s="190">
        <v>0</v>
      </c>
      <c r="AK65" s="190">
        <v>-94585986.459999993</v>
      </c>
      <c r="AL65" s="190">
        <v>0</v>
      </c>
      <c r="AM65" s="190">
        <v>-168789454.52000001</v>
      </c>
      <c r="AN65" s="190">
        <v>0</v>
      </c>
      <c r="AO65" s="190">
        <v>629274816.08000004</v>
      </c>
      <c r="AP65" s="190">
        <v>0</v>
      </c>
      <c r="AQ65" s="190">
        <v>264621727.13999999</v>
      </c>
      <c r="AR65" s="190">
        <v>0</v>
      </c>
      <c r="AS65" s="190">
        <v>151756133.88</v>
      </c>
      <c r="AT65" s="190">
        <v>0</v>
      </c>
      <c r="AU65" s="190">
        <v>0</v>
      </c>
      <c r="AV65" s="190">
        <v>0</v>
      </c>
      <c r="AW65" s="190">
        <v>57256755.170000002</v>
      </c>
      <c r="AX65" s="190">
        <v>-11259860.51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-19883958.329999998</v>
      </c>
      <c r="D68" s="190">
        <v>0</v>
      </c>
      <c r="E68" s="190">
        <v>1955149.61</v>
      </c>
      <c r="F68" s="190">
        <v>0</v>
      </c>
      <c r="G68" s="190">
        <v>854891.51</v>
      </c>
      <c r="H68" s="190">
        <v>0</v>
      </c>
      <c r="I68" s="190">
        <v>3469685.29</v>
      </c>
      <c r="J68" s="190">
        <v>0</v>
      </c>
      <c r="K68" s="190">
        <v>-8983194.6500000004</v>
      </c>
      <c r="L68" s="190">
        <v>0</v>
      </c>
      <c r="M68" s="190">
        <v>5422300.8099999996</v>
      </c>
      <c r="N68" s="190">
        <v>0</v>
      </c>
      <c r="O68" s="190">
        <v>0</v>
      </c>
      <c r="P68" s="190">
        <v>0</v>
      </c>
      <c r="Q68" s="190">
        <v>2154466.67</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223587114.34</v>
      </c>
      <c r="D69" s="190">
        <v>0</v>
      </c>
      <c r="E69" s="190">
        <v>48903264.689999998</v>
      </c>
      <c r="F69" s="190">
        <v>0</v>
      </c>
      <c r="G69" s="190">
        <v>-57994580.619999997</v>
      </c>
      <c r="H69" s="190">
        <v>0</v>
      </c>
      <c r="I69" s="190">
        <v>1006736608.98</v>
      </c>
      <c r="J69" s="190">
        <v>0</v>
      </c>
      <c r="K69" s="190">
        <v>-69033758.090000004</v>
      </c>
      <c r="L69" s="190">
        <v>0</v>
      </c>
      <c r="M69" s="190">
        <v>861246226.23000002</v>
      </c>
      <c r="N69" s="190">
        <v>0</v>
      </c>
      <c r="O69" s="190">
        <v>608470328.47000003</v>
      </c>
      <c r="P69" s="190">
        <v>0</v>
      </c>
      <c r="Q69" s="190">
        <v>595413906.90999997</v>
      </c>
      <c r="R69" s="190">
        <v>0</v>
      </c>
      <c r="S69" s="190">
        <v>499704781.44999999</v>
      </c>
      <c r="T69" s="190">
        <v>0</v>
      </c>
      <c r="U69" s="190">
        <v>245433702.03999999</v>
      </c>
      <c r="V69" s="190">
        <v>0</v>
      </c>
      <c r="W69" s="190">
        <v>183265232.28</v>
      </c>
      <c r="X69" s="190">
        <v>0</v>
      </c>
      <c r="Y69" s="190">
        <v>302406650.51999998</v>
      </c>
      <c r="Z69" s="190">
        <v>0</v>
      </c>
      <c r="AA69" s="190">
        <v>78029705.329999998</v>
      </c>
      <c r="AB69" s="190">
        <v>0</v>
      </c>
      <c r="AC69" s="190">
        <v>412168730.76999998</v>
      </c>
      <c r="AD69" s="190">
        <v>0</v>
      </c>
      <c r="AE69" s="190">
        <v>255666572.18000001</v>
      </c>
      <c r="AF69" s="190">
        <v>0</v>
      </c>
      <c r="AG69" s="190">
        <v>549521760.94000006</v>
      </c>
      <c r="AH69" s="190">
        <v>0</v>
      </c>
      <c r="AI69" s="190">
        <v>370602344.81999999</v>
      </c>
      <c r="AJ69" s="190">
        <v>0</v>
      </c>
      <c r="AK69" s="190">
        <v>783304115.17999995</v>
      </c>
      <c r="AL69" s="190">
        <v>0</v>
      </c>
      <c r="AM69" s="190">
        <v>350152097.42000002</v>
      </c>
      <c r="AN69" s="190">
        <v>0</v>
      </c>
      <c r="AO69" s="190">
        <v>953289406.25</v>
      </c>
      <c r="AP69" s="190">
        <v>0</v>
      </c>
      <c r="AQ69" s="190">
        <v>83889643.879999995</v>
      </c>
      <c r="AR69" s="190">
        <v>0</v>
      </c>
      <c r="AS69" s="190">
        <v>424585863.75999999</v>
      </c>
      <c r="AT69" s="190">
        <v>0</v>
      </c>
      <c r="AU69" s="190">
        <v>0</v>
      </c>
      <c r="AV69" s="190">
        <v>0</v>
      </c>
      <c r="AW69" s="190">
        <v>31916755.969999999</v>
      </c>
      <c r="AX69" s="190">
        <v>7741977.7999999998</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427121659.45999998</v>
      </c>
      <c r="D73" s="190">
        <v>0</v>
      </c>
      <c r="E73" s="190">
        <v>671959841.71000004</v>
      </c>
      <c r="F73" s="190">
        <v>0</v>
      </c>
      <c r="G73" s="190">
        <v>992564845.12</v>
      </c>
      <c r="H73" s="190">
        <v>0</v>
      </c>
      <c r="I73" s="190">
        <v>719800832.75999999</v>
      </c>
      <c r="J73" s="190">
        <v>0</v>
      </c>
      <c r="K73" s="190">
        <v>771816817.58000004</v>
      </c>
      <c r="L73" s="190">
        <v>0</v>
      </c>
      <c r="M73" s="190">
        <v>1010963739</v>
      </c>
      <c r="N73" s="190">
        <v>0</v>
      </c>
      <c r="O73" s="190">
        <v>713112016.25</v>
      </c>
      <c r="P73" s="190">
        <v>0</v>
      </c>
      <c r="Q73" s="190">
        <v>1233508879.4400001</v>
      </c>
      <c r="R73" s="190">
        <v>0</v>
      </c>
      <c r="S73" s="190">
        <v>416232134.57999998</v>
      </c>
      <c r="T73" s="190">
        <v>0</v>
      </c>
      <c r="U73" s="190">
        <v>1061842321.49</v>
      </c>
      <c r="V73" s="190">
        <v>0</v>
      </c>
      <c r="W73" s="190">
        <v>1025077497.1</v>
      </c>
      <c r="X73" s="190">
        <v>0</v>
      </c>
      <c r="Y73" s="190">
        <v>1489224514.23</v>
      </c>
      <c r="Z73" s="190">
        <v>0</v>
      </c>
      <c r="AA73" s="190">
        <v>1286059833.21</v>
      </c>
      <c r="AB73" s="190">
        <v>0</v>
      </c>
      <c r="AC73" s="190">
        <v>1528705728.5799999</v>
      </c>
      <c r="AD73" s="190">
        <v>0</v>
      </c>
      <c r="AE73" s="190">
        <v>2021463953.73</v>
      </c>
      <c r="AF73" s="190">
        <v>2219007747.1500001</v>
      </c>
      <c r="AG73" s="190">
        <v>2286766195.4200001</v>
      </c>
      <c r="AH73" s="190">
        <v>2347988865.8800001</v>
      </c>
      <c r="AI73" s="190">
        <v>2319899469.7800002</v>
      </c>
      <c r="AJ73" s="190">
        <v>2387307098.2800002</v>
      </c>
      <c r="AK73" s="190">
        <v>2568785393.6199999</v>
      </c>
      <c r="AL73" s="190">
        <v>2383853084.0700002</v>
      </c>
      <c r="AM73" s="190">
        <v>2280313469.0999999</v>
      </c>
      <c r="AN73" s="190">
        <v>2302838919.6999998</v>
      </c>
      <c r="AO73" s="190">
        <v>2376812997.27</v>
      </c>
      <c r="AP73" s="190">
        <v>2043213197.51</v>
      </c>
      <c r="AQ73" s="190">
        <v>1827087947.0599999</v>
      </c>
      <c r="AR73" s="190">
        <v>0</v>
      </c>
      <c r="AS73" s="190">
        <v>450300348.37</v>
      </c>
      <c r="AT73" s="190">
        <v>322302067.35000002</v>
      </c>
      <c r="AU73" s="190">
        <v>215980065.18000001</v>
      </c>
      <c r="AV73" s="190">
        <v>0</v>
      </c>
      <c r="AW73" s="190">
        <v>92567676.900000006</v>
      </c>
      <c r="AX73" s="190">
        <v>64488694.780000001</v>
      </c>
      <c r="AY73" s="190">
        <v>0</v>
      </c>
    </row>
    <row r="74" spans="1:51" x14ac:dyDescent="0.25">
      <c r="A74" s="190" t="s">
        <v>287</v>
      </c>
      <c r="B74" s="190">
        <v>0</v>
      </c>
      <c r="C74" s="190">
        <v>671959841.71000004</v>
      </c>
      <c r="D74" s="190">
        <v>0</v>
      </c>
      <c r="E74" s="190">
        <v>719800832.75999999</v>
      </c>
      <c r="F74" s="190">
        <v>0</v>
      </c>
      <c r="G74" s="190">
        <v>719800832.75999999</v>
      </c>
      <c r="H74" s="190">
        <v>0</v>
      </c>
      <c r="I74" s="190">
        <v>1010963739</v>
      </c>
      <c r="J74" s="190">
        <v>0</v>
      </c>
      <c r="K74" s="190">
        <v>1010963739</v>
      </c>
      <c r="L74" s="190">
        <v>0</v>
      </c>
      <c r="M74" s="190">
        <v>1233508879.4400001</v>
      </c>
      <c r="N74" s="190">
        <v>0</v>
      </c>
      <c r="O74" s="190">
        <v>1233508879.4400001</v>
      </c>
      <c r="P74" s="190">
        <v>0</v>
      </c>
      <c r="Q74" s="190">
        <v>1061842321.49</v>
      </c>
      <c r="R74" s="190">
        <v>0</v>
      </c>
      <c r="S74" s="190">
        <v>1061842321.49</v>
      </c>
      <c r="T74" s="190">
        <v>0</v>
      </c>
      <c r="U74" s="190">
        <v>1489224514.23</v>
      </c>
      <c r="V74" s="190">
        <v>0</v>
      </c>
      <c r="W74" s="190">
        <v>1489224514.23</v>
      </c>
      <c r="X74" s="190">
        <v>0</v>
      </c>
      <c r="Y74" s="190">
        <v>1528705728.5799999</v>
      </c>
      <c r="Z74" s="190">
        <v>0</v>
      </c>
      <c r="AA74" s="190">
        <v>1528705728.5799999</v>
      </c>
      <c r="AB74" s="190">
        <v>0</v>
      </c>
      <c r="AC74" s="190">
        <v>2286766195.4200001</v>
      </c>
      <c r="AD74" s="190">
        <v>0</v>
      </c>
      <c r="AE74" s="190">
        <v>2286766195.4200001</v>
      </c>
      <c r="AF74" s="190">
        <v>2286766195.4200001</v>
      </c>
      <c r="AG74" s="190">
        <v>2568785393.6199999</v>
      </c>
      <c r="AH74" s="190">
        <v>2568785393.6199999</v>
      </c>
      <c r="AI74" s="190">
        <v>2568785393.6199999</v>
      </c>
      <c r="AJ74" s="190">
        <v>2568785393.6199999</v>
      </c>
      <c r="AK74" s="190">
        <v>2376812997.27</v>
      </c>
      <c r="AL74" s="190">
        <v>2376812997.27</v>
      </c>
      <c r="AM74" s="190">
        <v>2376812997.27</v>
      </c>
      <c r="AN74" s="190">
        <v>2376812997.27</v>
      </c>
      <c r="AO74" s="190">
        <v>450300348.37</v>
      </c>
      <c r="AP74" s="190">
        <v>450300348.37</v>
      </c>
      <c r="AQ74" s="190">
        <v>450300348.37</v>
      </c>
      <c r="AR74" s="190">
        <v>0</v>
      </c>
      <c r="AS74" s="190">
        <v>186674964.63</v>
      </c>
      <c r="AT74" s="190">
        <v>186674964.63</v>
      </c>
      <c r="AU74" s="190">
        <v>185523318.63999999</v>
      </c>
      <c r="AV74" s="190">
        <v>0</v>
      </c>
      <c r="AW74" s="190">
        <v>64488694.780000001</v>
      </c>
      <c r="AX74" s="190">
        <v>56684172.799999997</v>
      </c>
      <c r="AY74" s="190">
        <v>0</v>
      </c>
    </row>
    <row r="75" spans="1:51"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-244838182.25</v>
      </c>
      <c r="D77" s="190">
        <v>0</v>
      </c>
      <c r="E77" s="190">
        <v>-47840991.049999997</v>
      </c>
      <c r="F77" s="190">
        <v>0</v>
      </c>
      <c r="G77" s="190">
        <v>272764012.36000001</v>
      </c>
      <c r="H77" s="190">
        <v>0</v>
      </c>
      <c r="I77" s="190">
        <v>-291162906.24000001</v>
      </c>
      <c r="J77" s="190">
        <v>0</v>
      </c>
      <c r="K77" s="190">
        <v>-239146921.41999999</v>
      </c>
      <c r="L77" s="190">
        <v>0</v>
      </c>
      <c r="M77" s="190">
        <v>-222545140.44</v>
      </c>
      <c r="N77" s="190">
        <v>0</v>
      </c>
      <c r="O77" s="190">
        <v>-520396863.19</v>
      </c>
      <c r="P77" s="190">
        <v>0</v>
      </c>
      <c r="Q77" s="190">
        <v>171666557.94999999</v>
      </c>
      <c r="R77" s="190">
        <v>0</v>
      </c>
      <c r="S77" s="190">
        <v>-645610186.90999997</v>
      </c>
      <c r="T77" s="190">
        <v>0</v>
      </c>
      <c r="U77" s="190">
        <v>-427382192.74000001</v>
      </c>
      <c r="V77" s="190">
        <v>0</v>
      </c>
      <c r="W77" s="190">
        <v>-464147017.13</v>
      </c>
      <c r="X77" s="190">
        <v>0</v>
      </c>
      <c r="Y77" s="190">
        <v>-39481214.350000001</v>
      </c>
      <c r="Z77" s="190">
        <v>0</v>
      </c>
      <c r="AA77" s="190">
        <v>-242645895.37</v>
      </c>
      <c r="AB77" s="190">
        <v>0</v>
      </c>
      <c r="AC77" s="190">
        <v>-758060466.84000003</v>
      </c>
      <c r="AD77" s="190">
        <v>0</v>
      </c>
      <c r="AE77" s="190">
        <v>-265302241.69</v>
      </c>
      <c r="AF77" s="190">
        <v>-67758448.269999996</v>
      </c>
      <c r="AG77" s="190">
        <v>-282019198.19999999</v>
      </c>
      <c r="AH77" s="190">
        <v>-220796527.74000001</v>
      </c>
      <c r="AI77" s="190">
        <v>-248885923.84</v>
      </c>
      <c r="AJ77" s="190">
        <v>-181478295.34</v>
      </c>
      <c r="AK77" s="190">
        <v>191972396.34999999</v>
      </c>
      <c r="AL77" s="190">
        <v>7040086.7999999998</v>
      </c>
      <c r="AM77" s="190">
        <v>-96499528.170000002</v>
      </c>
      <c r="AN77" s="190">
        <v>-73974077.569999993</v>
      </c>
      <c r="AO77" s="190">
        <v>1926512648.9000001</v>
      </c>
      <c r="AP77" s="190">
        <v>1592912849.1400001</v>
      </c>
      <c r="AQ77" s="190">
        <v>1376787598.6900001</v>
      </c>
      <c r="AR77" s="190">
        <v>0</v>
      </c>
      <c r="AS77" s="190">
        <v>263625383.74000001</v>
      </c>
      <c r="AT77" s="190">
        <v>135627102.72</v>
      </c>
      <c r="AU77" s="190">
        <v>30456746.539999999</v>
      </c>
      <c r="AV77" s="190">
        <v>0</v>
      </c>
      <c r="AW77" s="190">
        <v>28078982.120000001</v>
      </c>
      <c r="AX77" s="190">
        <v>7804521.9800000004</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11"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8.33203125" bestFit="1" customWidth="1"/>
    <col min="46" max="47" width="17.21875" bestFit="1" customWidth="1"/>
    <col min="48" max="48" width="9.55468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120000000</v>
      </c>
      <c r="C6" s="190">
        <v>120000000</v>
      </c>
      <c r="D6" s="190">
        <v>149323717.83000001</v>
      </c>
      <c r="E6" s="190">
        <v>149323717.83000001</v>
      </c>
      <c r="F6" s="190">
        <v>0</v>
      </c>
      <c r="G6" s="190">
        <v>0</v>
      </c>
      <c r="H6" s="190">
        <v>0</v>
      </c>
      <c r="I6" s="190">
        <v>0</v>
      </c>
      <c r="J6" s="190">
        <v>0</v>
      </c>
      <c r="K6" s="190">
        <v>0</v>
      </c>
      <c r="L6" s="190">
        <v>89868325.769999996</v>
      </c>
      <c r="M6" s="190">
        <v>89868325.769999996</v>
      </c>
      <c r="N6" s="190">
        <v>89868325.790000007</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462387197.86000001</v>
      </c>
      <c r="C8" s="190">
        <v>409800888.24000001</v>
      </c>
      <c r="D8" s="190">
        <v>412965740.73000002</v>
      </c>
      <c r="E8" s="190">
        <v>411227879.31</v>
      </c>
      <c r="F8" s="190">
        <v>451587782.93000001</v>
      </c>
      <c r="G8" s="190">
        <v>447169472.55000001</v>
      </c>
      <c r="H8" s="190">
        <v>447169472.55000001</v>
      </c>
      <c r="I8" s="190">
        <v>447169472.55000001</v>
      </c>
      <c r="J8" s="190">
        <v>455643959.68000001</v>
      </c>
      <c r="K8" s="190">
        <v>473334914.18000001</v>
      </c>
      <c r="L8" s="190">
        <v>459676670.48000002</v>
      </c>
      <c r="M8" s="190">
        <v>193302865.31</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50000000</v>
      </c>
      <c r="AA9" s="190">
        <v>50000000</v>
      </c>
      <c r="AB9" s="190">
        <v>0</v>
      </c>
      <c r="AC9" s="190">
        <v>0</v>
      </c>
      <c r="AD9" s="190">
        <v>0</v>
      </c>
      <c r="AE9" s="190">
        <v>0</v>
      </c>
      <c r="AF9" s="190">
        <v>100000000</v>
      </c>
      <c r="AG9" s="190">
        <v>0</v>
      </c>
      <c r="AH9" s="190">
        <v>40000000</v>
      </c>
      <c r="AI9" s="190">
        <v>0</v>
      </c>
      <c r="AJ9" s="190">
        <v>0</v>
      </c>
      <c r="AK9" s="190">
        <v>0</v>
      </c>
      <c r="AL9" s="190">
        <v>0</v>
      </c>
      <c r="AM9" s="190">
        <v>0</v>
      </c>
      <c r="AN9" s="190">
        <v>10408000</v>
      </c>
      <c r="AO9" s="190">
        <v>10258630.140000001</v>
      </c>
      <c r="AP9" s="190">
        <v>0</v>
      </c>
      <c r="AQ9" s="190">
        <v>0</v>
      </c>
      <c r="AR9" s="190">
        <v>0</v>
      </c>
      <c r="AS9" s="190">
        <v>0</v>
      </c>
      <c r="AT9" s="190">
        <v>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178450747.69999999</v>
      </c>
      <c r="C10" s="190">
        <v>180914542.13</v>
      </c>
      <c r="D10" s="190">
        <v>218725904.99000001</v>
      </c>
      <c r="E10" s="190">
        <v>222836406.94999999</v>
      </c>
      <c r="F10" s="190">
        <v>256187183.38</v>
      </c>
      <c r="G10" s="190">
        <v>260214242.28999999</v>
      </c>
      <c r="H10" s="190">
        <v>249574037.91999999</v>
      </c>
      <c r="I10" s="190">
        <v>253343270.16999999</v>
      </c>
      <c r="J10" s="190">
        <v>257008197.25999999</v>
      </c>
      <c r="K10" s="190">
        <v>260775937.06999999</v>
      </c>
      <c r="L10" s="190">
        <v>264543676.88</v>
      </c>
      <c r="M10" s="190">
        <v>268311416.69</v>
      </c>
      <c r="N10" s="190">
        <v>272079156.19999999</v>
      </c>
      <c r="O10" s="190">
        <v>275846896.00999999</v>
      </c>
      <c r="P10" s="190">
        <v>279614635.81999999</v>
      </c>
      <c r="Q10" s="190">
        <v>283382375.63</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3375723.74</v>
      </c>
      <c r="D13" s="190">
        <v>1647134.25</v>
      </c>
      <c r="E13" s="190">
        <v>2662794.52</v>
      </c>
      <c r="F13" s="190">
        <v>6148273.6100000003</v>
      </c>
      <c r="G13" s="190">
        <v>4178786.9</v>
      </c>
      <c r="H13" s="190">
        <v>8874743.6199999992</v>
      </c>
      <c r="I13" s="190">
        <v>8346576.5199999996</v>
      </c>
      <c r="J13" s="190">
        <v>3713179.79</v>
      </c>
      <c r="K13" s="190">
        <v>2263418.6</v>
      </c>
      <c r="L13" s="190">
        <v>8029992.0899999999</v>
      </c>
      <c r="M13" s="190">
        <v>9197172.5199999996</v>
      </c>
      <c r="N13" s="190">
        <v>11342859.810000001</v>
      </c>
      <c r="O13" s="190">
        <v>13015107.800000001</v>
      </c>
      <c r="P13" s="190">
        <v>12612694.65</v>
      </c>
      <c r="Q13" s="190">
        <v>5483055.1100000003</v>
      </c>
      <c r="R13" s="190">
        <v>17413948.670000002</v>
      </c>
      <c r="S13" s="190">
        <v>11263390.65</v>
      </c>
      <c r="T13" s="190">
        <v>4237146.24</v>
      </c>
      <c r="U13" s="190">
        <v>3480964.43</v>
      </c>
      <c r="V13" s="190">
        <v>2176721.08</v>
      </c>
      <c r="W13" s="190">
        <v>4882593.42</v>
      </c>
      <c r="X13" s="190">
        <v>5534511.5199999996</v>
      </c>
      <c r="Y13" s="190">
        <v>4090150.63</v>
      </c>
      <c r="Z13" s="190">
        <v>5286471.45</v>
      </c>
      <c r="AA13" s="190">
        <v>3323168.05</v>
      </c>
      <c r="AB13" s="190">
        <v>4269617.4400000004</v>
      </c>
      <c r="AC13" s="190">
        <v>4473562.5199999996</v>
      </c>
      <c r="AD13" s="190">
        <v>7478334.6399999997</v>
      </c>
      <c r="AE13" s="190">
        <v>9538429.2799999993</v>
      </c>
      <c r="AF13" s="190">
        <v>2137312.54</v>
      </c>
      <c r="AG13" s="190">
        <v>6432676.96</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1382662112.97</v>
      </c>
      <c r="C17" s="33">
        <f t="shared" ref="C17:BN17" si="0">SUM(C4:C13)</f>
        <v>1141212813.5699999</v>
      </c>
      <c r="D17" s="33">
        <f t="shared" si="0"/>
        <v>1556551519.3399999</v>
      </c>
      <c r="E17" s="33">
        <f t="shared" si="0"/>
        <v>1459010640.3200002</v>
      </c>
      <c r="F17" s="33">
        <f t="shared" si="0"/>
        <v>1513212442.1800001</v>
      </c>
      <c r="G17" s="33">
        <f t="shared" si="0"/>
        <v>1704127346.8600001</v>
      </c>
      <c r="H17" s="33">
        <f t="shared" si="0"/>
        <v>1442980208.0999999</v>
      </c>
      <c r="I17" s="33">
        <f t="shared" si="0"/>
        <v>1463191779.0700002</v>
      </c>
      <c r="J17" s="33">
        <f t="shared" si="0"/>
        <v>1516818184.3899999</v>
      </c>
      <c r="K17" s="33">
        <f t="shared" si="0"/>
        <v>1508191087.4299998</v>
      </c>
      <c r="L17" s="33">
        <f t="shared" si="0"/>
        <v>1746141228.3500001</v>
      </c>
      <c r="M17" s="33">
        <f t="shared" si="0"/>
        <v>1708783135.04</v>
      </c>
      <c r="N17" s="33">
        <f t="shared" si="0"/>
        <v>1030796813.6999998</v>
      </c>
      <c r="O17" s="33">
        <f t="shared" si="0"/>
        <v>1001974020.0599999</v>
      </c>
      <c r="P17" s="33">
        <f t="shared" si="0"/>
        <v>978232874.46999991</v>
      </c>
      <c r="Q17" s="33">
        <f t="shared" si="0"/>
        <v>1522374310.1800001</v>
      </c>
      <c r="R17" s="33">
        <f t="shared" si="0"/>
        <v>568839784.13999999</v>
      </c>
      <c r="S17" s="33">
        <f t="shared" si="0"/>
        <v>427495525.22999996</v>
      </c>
      <c r="T17" s="33">
        <f t="shared" si="0"/>
        <v>1002115118.53</v>
      </c>
      <c r="U17" s="33">
        <f t="shared" si="0"/>
        <v>1065323285.92</v>
      </c>
      <c r="V17" s="33">
        <f t="shared" si="0"/>
        <v>860492619.50999999</v>
      </c>
      <c r="W17" s="33">
        <f t="shared" si="0"/>
        <v>1029960090.52</v>
      </c>
      <c r="X17" s="33">
        <f t="shared" si="0"/>
        <v>1474798249.8399999</v>
      </c>
      <c r="Y17" s="33">
        <f t="shared" si="0"/>
        <v>1493314664.8600001</v>
      </c>
      <c r="Z17" s="33">
        <f t="shared" si="0"/>
        <v>1418814736.1700001</v>
      </c>
      <c r="AA17" s="33">
        <f t="shared" si="0"/>
        <v>1339383001.26</v>
      </c>
      <c r="AB17" s="33">
        <f t="shared" si="0"/>
        <v>1562123311.26</v>
      </c>
      <c r="AC17" s="33">
        <f t="shared" si="0"/>
        <v>1533179291.0999999</v>
      </c>
      <c r="AD17" s="33">
        <f t="shared" si="0"/>
        <v>2035870212.6200001</v>
      </c>
      <c r="AE17" s="33">
        <f t="shared" si="0"/>
        <v>2031002383.01</v>
      </c>
      <c r="AF17" s="33">
        <f t="shared" si="0"/>
        <v>2321145059.6900001</v>
      </c>
      <c r="AG17" s="33">
        <f t="shared" si="0"/>
        <v>2293198872.3800001</v>
      </c>
      <c r="AH17" s="33">
        <f t="shared" si="0"/>
        <v>2387988865.8800001</v>
      </c>
      <c r="AI17" s="33">
        <f t="shared" si="0"/>
        <v>2319899469.7800002</v>
      </c>
      <c r="AJ17" s="33">
        <f t="shared" si="0"/>
        <v>2387307098.2800002</v>
      </c>
      <c r="AK17" s="33">
        <f t="shared" si="0"/>
        <v>2568785393.6199999</v>
      </c>
      <c r="AL17" s="33">
        <f t="shared" si="0"/>
        <v>2383853084.0700002</v>
      </c>
      <c r="AM17" s="33">
        <f t="shared" si="0"/>
        <v>2280313469.0999999</v>
      </c>
      <c r="AN17" s="33">
        <f t="shared" si="0"/>
        <v>2313246919.6999998</v>
      </c>
      <c r="AO17" s="33">
        <f t="shared" si="0"/>
        <v>2387071627.4099998</v>
      </c>
      <c r="AP17" s="33">
        <f t="shared" si="0"/>
        <v>2048213197.51</v>
      </c>
      <c r="AQ17" s="33">
        <f t="shared" si="0"/>
        <v>1827087947.0699999</v>
      </c>
      <c r="AR17" s="33">
        <f t="shared" si="0"/>
        <v>394625422.69999999</v>
      </c>
      <c r="AS17" s="33">
        <f t="shared" si="0"/>
        <v>450300348.37</v>
      </c>
      <c r="AT17" s="33">
        <f t="shared" si="0"/>
        <v>186674964.63</v>
      </c>
      <c r="AU17" s="33">
        <f t="shared" si="0"/>
        <v>64488694.780000001</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244953155.55000001</v>
      </c>
      <c r="C19" s="190">
        <v>242989984.19</v>
      </c>
      <c r="D19" s="190">
        <v>264683445.19999999</v>
      </c>
      <c r="E19" s="190">
        <v>263724302.63999999</v>
      </c>
      <c r="F19" s="190">
        <v>246102586.19999999</v>
      </c>
      <c r="G19" s="190">
        <v>228090662.22999999</v>
      </c>
      <c r="H19" s="190">
        <v>198388057.11000001</v>
      </c>
      <c r="I19" s="190">
        <v>186628691.03999999</v>
      </c>
      <c r="J19" s="190">
        <v>167836224.56</v>
      </c>
      <c r="K19" s="190">
        <v>169970007.18000001</v>
      </c>
      <c r="L19" s="190">
        <v>115326523.59</v>
      </c>
      <c r="M19" s="190">
        <v>112772922.45999999</v>
      </c>
      <c r="N19" s="190">
        <v>179190503.27000001</v>
      </c>
      <c r="O19" s="190">
        <v>93358175.609999999</v>
      </c>
      <c r="P19" s="190">
        <v>93448970.349999994</v>
      </c>
      <c r="Q19" s="190">
        <v>94632389.900000006</v>
      </c>
      <c r="R19" s="190">
        <v>87564084.150000006</v>
      </c>
      <c r="S19" s="190">
        <v>82702800.319999993</v>
      </c>
      <c r="T19" s="190">
        <v>85000072.510000005</v>
      </c>
      <c r="U19" s="190">
        <v>88946778.510000005</v>
      </c>
      <c r="V19" s="190">
        <v>93464896.390000001</v>
      </c>
      <c r="W19" s="190">
        <v>94255221.620000005</v>
      </c>
      <c r="X19" s="190">
        <v>38367823.380000003</v>
      </c>
      <c r="Y19" s="190">
        <v>38941816.920000002</v>
      </c>
      <c r="Z19" s="190">
        <v>38924400.689999998</v>
      </c>
      <c r="AA19" s="190">
        <v>40024581.68</v>
      </c>
      <c r="AB19" s="190">
        <v>39593170.829999998</v>
      </c>
      <c r="AC19" s="190">
        <v>39578252.299999997</v>
      </c>
      <c r="AD19" s="190">
        <v>31701416.859999999</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1450590568.9200001</v>
      </c>
      <c r="C22" s="190">
        <v>1366149534.7</v>
      </c>
      <c r="D22" s="190">
        <v>1229770456.8399999</v>
      </c>
      <c r="E22" s="190">
        <v>1718459801.97</v>
      </c>
      <c r="F22" s="190">
        <v>1233235059.49</v>
      </c>
      <c r="G22" s="190">
        <v>1180116103.2</v>
      </c>
      <c r="H22" s="190">
        <v>1087708689.73</v>
      </c>
      <c r="I22" s="190">
        <v>1448503295.98</v>
      </c>
      <c r="J22" s="190">
        <v>1081467047.8099999</v>
      </c>
      <c r="K22" s="190">
        <v>1017111446.58</v>
      </c>
      <c r="L22" s="190">
        <v>1133888585.4100001</v>
      </c>
      <c r="M22" s="190">
        <v>1561174572.4200001</v>
      </c>
      <c r="N22" s="190">
        <v>1455798812.75</v>
      </c>
      <c r="O22" s="190">
        <v>1181187146.55</v>
      </c>
      <c r="P22" s="190">
        <v>1118468099.4300001</v>
      </c>
      <c r="Q22" s="190">
        <v>1512044954.25</v>
      </c>
      <c r="R22" s="190">
        <v>1357884017.8599999</v>
      </c>
      <c r="S22" s="190">
        <v>1151629443.3599999</v>
      </c>
      <c r="T22" s="190">
        <v>1056293001.67</v>
      </c>
      <c r="U22" s="190">
        <v>1259449377.8699999</v>
      </c>
      <c r="V22" s="190">
        <v>848030189.01999998</v>
      </c>
      <c r="W22" s="190">
        <v>735432650.67999995</v>
      </c>
      <c r="X22" s="190">
        <v>641716383.97000003</v>
      </c>
      <c r="Y22" s="190">
        <v>811681250.98000002</v>
      </c>
      <c r="Z22" s="190">
        <v>822192273.97000003</v>
      </c>
      <c r="AA22" s="190">
        <v>710775079.17999995</v>
      </c>
      <c r="AB22" s="190">
        <v>630171250.03999996</v>
      </c>
      <c r="AC22" s="190">
        <v>620735252.75999999</v>
      </c>
      <c r="AD22" s="190">
        <v>587550083.70000005</v>
      </c>
      <c r="AE22" s="190">
        <v>489375107.98000002</v>
      </c>
      <c r="AF22" s="190">
        <v>514900983.19</v>
      </c>
      <c r="AG22" s="190">
        <v>559981600.37</v>
      </c>
      <c r="AH22" s="190">
        <v>610712586.04999995</v>
      </c>
      <c r="AI22" s="190">
        <v>541400178.25</v>
      </c>
      <c r="AJ22" s="190">
        <v>217570822.33000001</v>
      </c>
      <c r="AK22" s="190">
        <v>320234010.56</v>
      </c>
      <c r="AL22" s="190">
        <v>280888867.18000001</v>
      </c>
      <c r="AM22" s="190">
        <v>331047304.50999999</v>
      </c>
      <c r="AN22" s="190">
        <v>304774678.95999998</v>
      </c>
      <c r="AO22" s="190">
        <v>442511559.97000003</v>
      </c>
      <c r="AP22" s="190">
        <v>478536479.87</v>
      </c>
      <c r="AQ22" s="190">
        <v>396938348.61000001</v>
      </c>
      <c r="AR22" s="190">
        <v>251373788.28</v>
      </c>
      <c r="AS22" s="190">
        <v>248384198.31999999</v>
      </c>
      <c r="AT22" s="190">
        <v>48728306.5</v>
      </c>
      <c r="AU22" s="190">
        <v>7425822</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223988506.25999999</v>
      </c>
      <c r="C23" s="190">
        <v>243053589.69999999</v>
      </c>
      <c r="D23" s="190">
        <v>55765994.590000004</v>
      </c>
      <c r="E23" s="190">
        <v>128531167</v>
      </c>
      <c r="F23" s="190">
        <v>210730756.81999999</v>
      </c>
      <c r="G23" s="190">
        <v>178424623.53</v>
      </c>
      <c r="H23" s="190">
        <v>89613240.159999996</v>
      </c>
      <c r="I23" s="190">
        <v>85254228</v>
      </c>
      <c r="J23" s="190">
        <v>272879903.57999998</v>
      </c>
      <c r="K23" s="190">
        <v>215521025.34999999</v>
      </c>
      <c r="L23" s="190">
        <v>211022932.49000001</v>
      </c>
      <c r="M23" s="190">
        <v>88840437.030000001</v>
      </c>
      <c r="N23" s="190">
        <v>266057605.13</v>
      </c>
      <c r="O23" s="190">
        <v>192963805.18000001</v>
      </c>
      <c r="P23" s="190">
        <v>145973967.09</v>
      </c>
      <c r="Q23" s="190">
        <v>78415339.319999993</v>
      </c>
      <c r="R23" s="190">
        <v>144003269.81</v>
      </c>
      <c r="S23" s="190">
        <v>125543460.39</v>
      </c>
      <c r="T23" s="190">
        <v>143563921.84999999</v>
      </c>
      <c r="U23" s="190">
        <v>120823789.73</v>
      </c>
      <c r="V23" s="190">
        <v>125545597.03</v>
      </c>
      <c r="W23" s="190">
        <v>110082135.98999999</v>
      </c>
      <c r="X23" s="190">
        <v>129706993.56</v>
      </c>
      <c r="Y23" s="190">
        <v>105678504.59999999</v>
      </c>
      <c r="Z23" s="190">
        <v>109687456.42</v>
      </c>
      <c r="AA23" s="190">
        <v>93047538.930000007</v>
      </c>
      <c r="AB23" s="190">
        <v>63431791.390000001</v>
      </c>
      <c r="AC23" s="190">
        <v>43879744.439999998</v>
      </c>
      <c r="AD23" s="190">
        <v>45955897.880000003</v>
      </c>
      <c r="AE23" s="190">
        <v>59950334.280000001</v>
      </c>
      <c r="AF23" s="190">
        <v>40699660.630000003</v>
      </c>
      <c r="AG23" s="190">
        <v>31614854.300000001</v>
      </c>
      <c r="AH23" s="190">
        <v>89897946.450000003</v>
      </c>
      <c r="AI23" s="190">
        <v>44038865.68</v>
      </c>
      <c r="AJ23" s="190">
        <v>27993797.829999998</v>
      </c>
      <c r="AK23" s="190">
        <v>33092512.640000001</v>
      </c>
      <c r="AL23" s="190">
        <v>15337922.640000001</v>
      </c>
      <c r="AM23" s="190">
        <v>35838359.979999997</v>
      </c>
      <c r="AN23" s="190">
        <v>37011909.82</v>
      </c>
      <c r="AO23" s="190">
        <v>47277574.530000001</v>
      </c>
      <c r="AP23" s="190">
        <v>65725741.32</v>
      </c>
      <c r="AQ23" s="190">
        <v>81709433.5</v>
      </c>
      <c r="AR23" s="190">
        <v>54442668.600000001</v>
      </c>
      <c r="AS23" s="190">
        <v>62534468.509999998</v>
      </c>
      <c r="AT23" s="190">
        <v>38486357.039999999</v>
      </c>
      <c r="AU23" s="190">
        <v>22370642.879999999</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103261227.73999999</v>
      </c>
      <c r="C24" s="190">
        <v>134929373.40000001</v>
      </c>
      <c r="D24" s="190">
        <v>83501547.109999999</v>
      </c>
      <c r="E24" s="190">
        <v>7337681.3399999999</v>
      </c>
      <c r="F24" s="190">
        <v>35237096.899999999</v>
      </c>
      <c r="G24" s="190">
        <v>32900842.07</v>
      </c>
      <c r="H24" s="190">
        <v>29439700.649999999</v>
      </c>
      <c r="I24" s="190">
        <v>7680710.7599999998</v>
      </c>
      <c r="J24" s="190">
        <v>44315713.789999999</v>
      </c>
      <c r="K24" s="190">
        <v>45463417.530000001</v>
      </c>
      <c r="L24" s="190">
        <v>21734389.370000001</v>
      </c>
      <c r="M24" s="190">
        <v>15546085.960000001</v>
      </c>
      <c r="N24" s="190">
        <v>19179768.120000001</v>
      </c>
      <c r="O24" s="190">
        <v>24910297.32</v>
      </c>
      <c r="P24" s="190">
        <v>27094474.780000001</v>
      </c>
      <c r="Q24" s="190">
        <v>16978385.640000001</v>
      </c>
      <c r="R24" s="190">
        <v>37098820.520000003</v>
      </c>
      <c r="S24" s="190">
        <v>43549654.899999999</v>
      </c>
      <c r="T24" s="190">
        <v>34333504.990000002</v>
      </c>
      <c r="U24" s="190">
        <v>19695439.640000001</v>
      </c>
      <c r="V24" s="190">
        <v>29594488.350000001</v>
      </c>
      <c r="W24" s="190">
        <v>36923144.990000002</v>
      </c>
      <c r="X24" s="190">
        <v>16542824.76</v>
      </c>
      <c r="Y24" s="190">
        <v>18729101.390000001</v>
      </c>
      <c r="Z24" s="190">
        <v>38403208.210000001</v>
      </c>
      <c r="AA24" s="190">
        <v>41320361.869999997</v>
      </c>
      <c r="AB24" s="190">
        <v>34493362.43</v>
      </c>
      <c r="AC24" s="190">
        <v>29792361.41</v>
      </c>
      <c r="AD24" s="190">
        <v>69865271.870000005</v>
      </c>
      <c r="AE24" s="190">
        <v>65578556.560000002</v>
      </c>
      <c r="AF24" s="190">
        <v>32435604.510000002</v>
      </c>
      <c r="AG24" s="190">
        <v>40203317.520000003</v>
      </c>
      <c r="AH24" s="190">
        <v>159829668.53999999</v>
      </c>
      <c r="AI24" s="190">
        <v>156875190.71000001</v>
      </c>
      <c r="AJ24" s="190">
        <v>169499988.21000001</v>
      </c>
      <c r="AK24" s="190">
        <v>60683279.280000001</v>
      </c>
      <c r="AL24" s="190">
        <v>24821102.530000001</v>
      </c>
      <c r="AM24" s="190">
        <v>35920697.340000004</v>
      </c>
      <c r="AN24" s="190">
        <v>39045066.579999998</v>
      </c>
      <c r="AO24" s="190">
        <v>29137157.43</v>
      </c>
      <c r="AP24" s="190">
        <v>25656960.210000001</v>
      </c>
      <c r="AQ24" s="190">
        <v>87571303.319999993</v>
      </c>
      <c r="AR24" s="190">
        <v>58874758.909999996</v>
      </c>
      <c r="AS24" s="190">
        <v>33285225.949999999</v>
      </c>
      <c r="AT24" s="190">
        <v>21888583.030000001</v>
      </c>
      <c r="AU24" s="190">
        <v>10351983.380000001</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50326845.18</v>
      </c>
      <c r="C25" s="190">
        <v>61362656.280000001</v>
      </c>
      <c r="D25" s="190">
        <v>26966285.280000001</v>
      </c>
      <c r="E25" s="190">
        <v>27185374.219999999</v>
      </c>
      <c r="F25" s="190">
        <v>27285957.629999999</v>
      </c>
      <c r="G25" s="190">
        <v>25805281.309999999</v>
      </c>
      <c r="H25" s="190">
        <v>17932617.260000002</v>
      </c>
      <c r="I25" s="190">
        <v>21364728.280000001</v>
      </c>
      <c r="J25" s="190">
        <v>32290659.059999999</v>
      </c>
      <c r="K25" s="190">
        <v>27357512.350000001</v>
      </c>
      <c r="L25" s="190">
        <v>22171988.66</v>
      </c>
      <c r="M25" s="190">
        <v>20690714.41</v>
      </c>
      <c r="N25" s="190">
        <v>27424241.050000001</v>
      </c>
      <c r="O25" s="190">
        <v>24080614.390000001</v>
      </c>
      <c r="P25" s="190">
        <v>21001932.010000002</v>
      </c>
      <c r="Q25" s="190">
        <v>19174406.440000001</v>
      </c>
      <c r="R25" s="190">
        <v>18752610.289999999</v>
      </c>
      <c r="S25" s="190">
        <v>19416881.710000001</v>
      </c>
      <c r="T25" s="190">
        <v>17423392.920000002</v>
      </c>
      <c r="U25" s="190">
        <v>15281705.439999999</v>
      </c>
      <c r="V25" s="190">
        <v>25376470.949999999</v>
      </c>
      <c r="W25" s="190">
        <v>19546297.100000001</v>
      </c>
      <c r="X25" s="190">
        <v>16852107.079999998</v>
      </c>
      <c r="Y25" s="190">
        <v>20416839.899999999</v>
      </c>
      <c r="Z25" s="190">
        <v>15191858.74</v>
      </c>
      <c r="AA25" s="190">
        <v>13348141.640000001</v>
      </c>
      <c r="AB25" s="190">
        <v>11311884.220000001</v>
      </c>
      <c r="AC25" s="190">
        <v>12394353.24</v>
      </c>
      <c r="AD25" s="190">
        <v>8451213.5199999996</v>
      </c>
      <c r="AE25" s="190">
        <v>6365185.8399999999</v>
      </c>
      <c r="AF25" s="190">
        <v>6147089.9000000004</v>
      </c>
      <c r="AG25" s="190">
        <v>7430050.0199999996</v>
      </c>
      <c r="AH25" s="190">
        <v>6661184.2800000003</v>
      </c>
      <c r="AI25" s="190">
        <v>5968850.1500000004</v>
      </c>
      <c r="AJ25" s="190">
        <v>6102702.0099999998</v>
      </c>
      <c r="AK25" s="190">
        <v>7722995.04</v>
      </c>
      <c r="AL25" s="190">
        <v>18382874.77</v>
      </c>
      <c r="AM25" s="190">
        <v>8388205.1900000004</v>
      </c>
      <c r="AN25" s="190">
        <v>6555898.2300000004</v>
      </c>
      <c r="AO25" s="190">
        <v>4990606.16</v>
      </c>
      <c r="AP25" s="190">
        <v>9855290.3000000007</v>
      </c>
      <c r="AQ25" s="190">
        <v>7008051.8099999996</v>
      </c>
      <c r="AR25" s="190">
        <v>37270092.049999997</v>
      </c>
      <c r="AS25" s="190">
        <v>11109636.630000001</v>
      </c>
      <c r="AT25" s="190">
        <v>13759257.050000001</v>
      </c>
      <c r="AU25" s="190">
        <v>1182652.1200000001</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581795725.41999996</v>
      </c>
      <c r="C26" s="190">
        <v>533757182.44999999</v>
      </c>
      <c r="D26" s="190">
        <v>419101670.73000002</v>
      </c>
      <c r="E26" s="190">
        <v>516303553.88</v>
      </c>
      <c r="F26" s="190">
        <v>392585682.81999999</v>
      </c>
      <c r="G26" s="190">
        <v>384691581.38999999</v>
      </c>
      <c r="H26" s="190">
        <v>356431384.07999998</v>
      </c>
      <c r="I26" s="190">
        <v>408461386.67000002</v>
      </c>
      <c r="J26" s="190">
        <v>344767671.5</v>
      </c>
      <c r="K26" s="190">
        <v>419517534.35000002</v>
      </c>
      <c r="L26" s="190">
        <v>391139978.88</v>
      </c>
      <c r="M26" s="190">
        <v>537892295.79999995</v>
      </c>
      <c r="N26" s="190">
        <v>403440739.55000001</v>
      </c>
      <c r="O26" s="190">
        <v>407980802.44</v>
      </c>
      <c r="P26" s="190">
        <v>368726741.88999999</v>
      </c>
      <c r="Q26" s="190">
        <v>480500131.64999998</v>
      </c>
      <c r="R26" s="190">
        <v>383485828.52999997</v>
      </c>
      <c r="S26" s="190">
        <v>398344395.88999999</v>
      </c>
      <c r="T26" s="190">
        <v>375008856.27999997</v>
      </c>
      <c r="U26" s="190">
        <v>393553152</v>
      </c>
      <c r="V26" s="190">
        <v>402882337.25</v>
      </c>
      <c r="W26" s="190">
        <v>380129992.48000002</v>
      </c>
      <c r="X26" s="190">
        <v>575196572.88</v>
      </c>
      <c r="Y26" s="190">
        <v>651831980.19000006</v>
      </c>
      <c r="Z26" s="190">
        <v>479307378.63</v>
      </c>
      <c r="AA26" s="190">
        <v>504164789.64999998</v>
      </c>
      <c r="AB26" s="190">
        <v>460168520.30000001</v>
      </c>
      <c r="AC26" s="190">
        <v>640704259.03999996</v>
      </c>
      <c r="AD26" s="190">
        <v>252039182.59</v>
      </c>
      <c r="AE26" s="190">
        <v>236207703.97999999</v>
      </c>
      <c r="AF26" s="190">
        <v>238395222.00999999</v>
      </c>
      <c r="AG26" s="190">
        <v>366002422.63999999</v>
      </c>
      <c r="AH26" s="190">
        <v>249864748.75999999</v>
      </c>
      <c r="AI26" s="190">
        <v>220039416.77000001</v>
      </c>
      <c r="AJ26" s="190">
        <v>135599146.93000001</v>
      </c>
      <c r="AK26" s="190">
        <v>279861354.98000002</v>
      </c>
      <c r="AL26" s="190">
        <v>211317753.44</v>
      </c>
      <c r="AM26" s="190">
        <v>297098156.70999998</v>
      </c>
      <c r="AN26" s="190">
        <v>226168410.34999999</v>
      </c>
      <c r="AO26" s="190">
        <v>306740281.38</v>
      </c>
      <c r="AP26" s="190">
        <v>185745440.65000001</v>
      </c>
      <c r="AQ26" s="190">
        <v>154444737.06999999</v>
      </c>
      <c r="AR26" s="190">
        <v>124348407.19</v>
      </c>
      <c r="AS26" s="190">
        <v>153566854.19999999</v>
      </c>
      <c r="AT26" s="190">
        <v>200445779.18000001</v>
      </c>
      <c r="AU26" s="190">
        <v>110687277.47</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211373728.41999999</v>
      </c>
      <c r="C27" s="190">
        <v>406768452.69</v>
      </c>
      <c r="D27" s="190">
        <v>447641202.5</v>
      </c>
      <c r="E27" s="190">
        <v>368656744.17000002</v>
      </c>
      <c r="F27" s="190">
        <v>921818169.79999995</v>
      </c>
      <c r="G27" s="190">
        <v>619408386.83000004</v>
      </c>
      <c r="H27" s="190">
        <v>857883242.55999994</v>
      </c>
      <c r="I27" s="190">
        <v>1073131392.95</v>
      </c>
      <c r="J27" s="190">
        <v>553904405.34000003</v>
      </c>
      <c r="K27" s="190">
        <v>346462954.60000002</v>
      </c>
      <c r="L27" s="190">
        <v>839479171.36000001</v>
      </c>
      <c r="M27" s="190">
        <v>906176055.29999995</v>
      </c>
      <c r="N27" s="190">
        <v>898091127.33000004</v>
      </c>
      <c r="O27" s="190">
        <v>729526088.32000005</v>
      </c>
      <c r="P27" s="190">
        <v>759950279.17999995</v>
      </c>
      <c r="Q27" s="190">
        <v>185289941.05000001</v>
      </c>
      <c r="R27" s="190">
        <v>813596844.88999999</v>
      </c>
      <c r="S27" s="190">
        <v>1024980144.66</v>
      </c>
      <c r="T27" s="190">
        <v>411886058.13</v>
      </c>
      <c r="U27" s="190">
        <v>290140069.66000003</v>
      </c>
      <c r="V27" s="190">
        <v>544698091.42999995</v>
      </c>
      <c r="W27" s="190">
        <v>578144728.13999999</v>
      </c>
      <c r="X27" s="190">
        <v>139707692.88</v>
      </c>
      <c r="Y27" s="190">
        <v>58513299.109999999</v>
      </c>
      <c r="Z27" s="190">
        <v>0</v>
      </c>
      <c r="AA27" s="190">
        <v>0</v>
      </c>
      <c r="AB27" s="190">
        <v>0</v>
      </c>
      <c r="AC27" s="190">
        <v>49112.5</v>
      </c>
      <c r="AD27" s="190">
        <v>250000</v>
      </c>
      <c r="AE27" s="190">
        <v>0</v>
      </c>
      <c r="AF27" s="190">
        <v>0</v>
      </c>
      <c r="AG27" s="190">
        <v>176145.72</v>
      </c>
      <c r="AH27" s="190">
        <v>0</v>
      </c>
      <c r="AI27" s="190">
        <v>0</v>
      </c>
      <c r="AJ27" s="190">
        <v>0</v>
      </c>
      <c r="AK27" s="190">
        <v>57566</v>
      </c>
      <c r="AL27" s="190">
        <v>500000</v>
      </c>
      <c r="AM27" s="190">
        <v>6500000</v>
      </c>
      <c r="AN27" s="190">
        <v>0</v>
      </c>
      <c r="AO27" s="190">
        <v>812560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50275000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2621336601.9400001</v>
      </c>
      <c r="C33" s="35">
        <f t="shared" ref="C33:BN33" si="2">SUM(C22:C29)</f>
        <v>2746020789.2200003</v>
      </c>
      <c r="D33" s="35">
        <f t="shared" si="2"/>
        <v>2262747157.0499997</v>
      </c>
      <c r="E33" s="35">
        <f t="shared" si="2"/>
        <v>2766474322.5799999</v>
      </c>
      <c r="F33" s="35">
        <f t="shared" si="2"/>
        <v>2820892723.46</v>
      </c>
      <c r="G33" s="35">
        <f t="shared" si="2"/>
        <v>2421346818.3299999</v>
      </c>
      <c r="H33" s="35">
        <f t="shared" si="2"/>
        <v>2439008874.4400001</v>
      </c>
      <c r="I33" s="35">
        <f t="shared" si="2"/>
        <v>3044395742.6400003</v>
      </c>
      <c r="J33" s="35">
        <f t="shared" si="2"/>
        <v>2329625401.0799999</v>
      </c>
      <c r="K33" s="35">
        <f t="shared" si="2"/>
        <v>2071433890.7599998</v>
      </c>
      <c r="L33" s="35">
        <f t="shared" si="2"/>
        <v>2619437046.1700001</v>
      </c>
      <c r="M33" s="35">
        <f t="shared" si="2"/>
        <v>3130320160.9200001</v>
      </c>
      <c r="N33" s="35">
        <f t="shared" si="2"/>
        <v>3069992293.9299998</v>
      </c>
      <c r="O33" s="35">
        <f t="shared" si="2"/>
        <v>2560648754.2000003</v>
      </c>
      <c r="P33" s="35">
        <f t="shared" si="2"/>
        <v>2441215494.3799996</v>
      </c>
      <c r="Q33" s="35">
        <f t="shared" si="2"/>
        <v>2292403158.3500004</v>
      </c>
      <c r="R33" s="35">
        <f t="shared" si="2"/>
        <v>2754821391.8999996</v>
      </c>
      <c r="S33" s="35">
        <f t="shared" si="2"/>
        <v>2763463980.9099998</v>
      </c>
      <c r="T33" s="35">
        <f t="shared" si="2"/>
        <v>2038508735.8400002</v>
      </c>
      <c r="U33" s="35">
        <f t="shared" si="2"/>
        <v>2149218534.3400002</v>
      </c>
      <c r="V33" s="35">
        <f t="shared" si="2"/>
        <v>1976127174.0299997</v>
      </c>
      <c r="W33" s="35">
        <f t="shared" si="2"/>
        <v>1860258949.3800001</v>
      </c>
      <c r="X33" s="35">
        <f t="shared" si="2"/>
        <v>1519722575.1300001</v>
      </c>
      <c r="Y33" s="35">
        <f t="shared" si="2"/>
        <v>1666850976.1699998</v>
      </c>
      <c r="Z33" s="35">
        <f t="shared" si="2"/>
        <v>1464782175.97</v>
      </c>
      <c r="AA33" s="35">
        <f t="shared" si="2"/>
        <v>1362655911.27</v>
      </c>
      <c r="AB33" s="35">
        <f t="shared" si="2"/>
        <v>1199576808.3799999</v>
      </c>
      <c r="AC33" s="35">
        <f t="shared" si="2"/>
        <v>1347555083.3899999</v>
      </c>
      <c r="AD33" s="35">
        <f t="shared" si="2"/>
        <v>964111649.56000006</v>
      </c>
      <c r="AE33" s="35">
        <f t="shared" si="2"/>
        <v>857476888.63999999</v>
      </c>
      <c r="AF33" s="35">
        <f t="shared" si="2"/>
        <v>832578560.24000001</v>
      </c>
      <c r="AG33" s="35">
        <f t="shared" si="2"/>
        <v>1005408390.5699999</v>
      </c>
      <c r="AH33" s="35">
        <f t="shared" si="2"/>
        <v>1116966134.0799999</v>
      </c>
      <c r="AI33" s="35">
        <f t="shared" si="2"/>
        <v>968322501.55999994</v>
      </c>
      <c r="AJ33" s="35">
        <f t="shared" si="2"/>
        <v>556766457.30999994</v>
      </c>
      <c r="AK33" s="35">
        <f t="shared" si="2"/>
        <v>701651718.5</v>
      </c>
      <c r="AL33" s="35">
        <f t="shared" si="2"/>
        <v>551248520.55999994</v>
      </c>
      <c r="AM33" s="35">
        <f t="shared" si="2"/>
        <v>714792723.73000002</v>
      </c>
      <c r="AN33" s="35">
        <f t="shared" si="2"/>
        <v>613555963.93999994</v>
      </c>
      <c r="AO33" s="35">
        <f t="shared" si="2"/>
        <v>831469739.47000003</v>
      </c>
      <c r="AP33" s="35">
        <f t="shared" si="2"/>
        <v>765519912.35000002</v>
      </c>
      <c r="AQ33" s="35">
        <f t="shared" si="2"/>
        <v>727671874.30999994</v>
      </c>
      <c r="AR33" s="35">
        <f t="shared" si="2"/>
        <v>526309715.02999997</v>
      </c>
      <c r="AS33" s="35">
        <f t="shared" si="2"/>
        <v>508880383.60999995</v>
      </c>
      <c r="AT33" s="35">
        <f t="shared" si="2"/>
        <v>323308282.80000001</v>
      </c>
      <c r="AU33" s="35">
        <f t="shared" si="2"/>
        <v>152018377.84999999</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7263669.8200000003</v>
      </c>
      <c r="D35" s="190">
        <v>50372715.25</v>
      </c>
      <c r="E35" s="190">
        <v>8040000</v>
      </c>
      <c r="F35" s="190">
        <v>0</v>
      </c>
      <c r="G35" s="190">
        <v>0</v>
      </c>
      <c r="H35" s="190">
        <v>34019293.350000001</v>
      </c>
      <c r="I35" s="190">
        <v>170216878.41999999</v>
      </c>
      <c r="J35" s="190">
        <v>221241931.63</v>
      </c>
      <c r="K35" s="190">
        <v>121886672.01000001</v>
      </c>
      <c r="L35" s="190">
        <v>371785545.25</v>
      </c>
      <c r="M35" s="190">
        <v>490574901.23000002</v>
      </c>
      <c r="N35" s="190">
        <v>436950651.69999999</v>
      </c>
      <c r="O35" s="190">
        <v>396673959.97000003</v>
      </c>
      <c r="P35" s="190">
        <v>63148733.640000001</v>
      </c>
      <c r="Q35" s="190">
        <v>39166482.899999999</v>
      </c>
      <c r="R35" s="190">
        <v>287384267.63999999</v>
      </c>
      <c r="S35" s="190">
        <v>381944679.94</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1059043882.64</v>
      </c>
      <c r="D36" s="190">
        <v>597267967.38</v>
      </c>
      <c r="E36" s="190">
        <v>1019867537.76</v>
      </c>
      <c r="F36" s="190">
        <v>824682850.40999997</v>
      </c>
      <c r="G36" s="190">
        <v>861131432.80999994</v>
      </c>
      <c r="H36" s="190">
        <v>818055790.38</v>
      </c>
      <c r="I36" s="190">
        <v>1165880641.8099999</v>
      </c>
      <c r="J36" s="190">
        <v>768520276.11000001</v>
      </c>
      <c r="K36" s="190">
        <v>770495916.54999995</v>
      </c>
      <c r="L36" s="190">
        <v>842679820.26999998</v>
      </c>
      <c r="M36" s="190">
        <v>1194965287.9400001</v>
      </c>
      <c r="N36" s="190">
        <v>969680147</v>
      </c>
      <c r="O36" s="190">
        <v>823376491.49000001</v>
      </c>
      <c r="P36" s="190">
        <v>675735322.76999998</v>
      </c>
      <c r="Q36" s="190">
        <v>1071802926.35</v>
      </c>
      <c r="R36" s="190">
        <v>913418736.25</v>
      </c>
      <c r="S36" s="190">
        <v>833740854.52999997</v>
      </c>
      <c r="T36" s="190">
        <v>727460496.28999996</v>
      </c>
      <c r="U36" s="190">
        <v>931950752.98000002</v>
      </c>
      <c r="V36" s="190">
        <v>816258854.22000003</v>
      </c>
      <c r="W36" s="190">
        <v>798926277.47000003</v>
      </c>
      <c r="X36" s="190">
        <v>605895190.85000002</v>
      </c>
      <c r="Y36" s="190">
        <v>881924675.45000005</v>
      </c>
      <c r="Z36" s="190">
        <v>729274124.55999994</v>
      </c>
      <c r="AA36" s="190">
        <v>731456061.84000003</v>
      </c>
      <c r="AB36" s="190">
        <v>665659238.50999999</v>
      </c>
      <c r="AC36" s="190">
        <v>993004746.77999997</v>
      </c>
      <c r="AD36" s="190">
        <v>940110369.60000002</v>
      </c>
      <c r="AE36" s="190">
        <v>809046514.61000001</v>
      </c>
      <c r="AF36" s="190">
        <v>700737096.72000003</v>
      </c>
      <c r="AG36" s="190">
        <v>967409703.22000003</v>
      </c>
      <c r="AH36" s="190">
        <v>961894860.98000002</v>
      </c>
      <c r="AI36" s="190">
        <v>924625655.45000005</v>
      </c>
      <c r="AJ36" s="190">
        <v>380736437.67000002</v>
      </c>
      <c r="AK36" s="190">
        <v>855152492.96000004</v>
      </c>
      <c r="AL36" s="190">
        <v>614562666.92999995</v>
      </c>
      <c r="AM36" s="190">
        <v>861113841.40999997</v>
      </c>
      <c r="AN36" s="190">
        <v>568239539.30999994</v>
      </c>
      <c r="AO36" s="190">
        <v>1000662685.51</v>
      </c>
      <c r="AP36" s="190">
        <v>710738810.34000003</v>
      </c>
      <c r="AQ36" s="190">
        <v>470957389.94999999</v>
      </c>
      <c r="AR36" s="190">
        <v>323081533.48000002</v>
      </c>
      <c r="AS36" s="190">
        <v>449922219.39999998</v>
      </c>
      <c r="AT36" s="190">
        <v>282187636.55000001</v>
      </c>
      <c r="AU36" s="190">
        <v>95282345.109999999</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279844114.18000001</v>
      </c>
      <c r="C37" s="190">
        <v>180738129.19999999</v>
      </c>
      <c r="D37" s="190">
        <v>180549802.09999999</v>
      </c>
      <c r="E37" s="190">
        <v>181961910.25</v>
      </c>
      <c r="F37" s="190">
        <v>180055324.97</v>
      </c>
      <c r="G37" s="190">
        <v>187973819.94999999</v>
      </c>
      <c r="H37" s="190">
        <v>161989581.91</v>
      </c>
      <c r="I37" s="190">
        <v>308515184.01999998</v>
      </c>
      <c r="J37" s="190">
        <v>230302843.78</v>
      </c>
      <c r="K37" s="190">
        <v>209932835.72</v>
      </c>
      <c r="L37" s="190">
        <v>343880894.22000003</v>
      </c>
      <c r="M37" s="190">
        <v>410322509.73000002</v>
      </c>
      <c r="N37" s="190">
        <v>227434817.44999999</v>
      </c>
      <c r="O37" s="190">
        <v>184184224.93000001</v>
      </c>
      <c r="P37" s="190">
        <v>203920159.03999999</v>
      </c>
      <c r="Q37" s="190">
        <v>301334574.06</v>
      </c>
      <c r="R37" s="190">
        <v>198308233.88999999</v>
      </c>
      <c r="S37" s="190">
        <v>196277243.88999999</v>
      </c>
      <c r="T37" s="190">
        <v>225887347.03</v>
      </c>
      <c r="U37" s="190">
        <v>222582557</v>
      </c>
      <c r="V37" s="190">
        <v>196023256.03999999</v>
      </c>
      <c r="W37" s="190">
        <v>202348540.59</v>
      </c>
      <c r="X37" s="190">
        <v>230042547.34</v>
      </c>
      <c r="Y37" s="190">
        <v>215990834.69999999</v>
      </c>
      <c r="Z37" s="190">
        <v>202672500.81999999</v>
      </c>
      <c r="AA37" s="190">
        <v>213683911.13</v>
      </c>
      <c r="AB37" s="190">
        <v>245075312.71000001</v>
      </c>
      <c r="AC37" s="190">
        <v>237060689.02000001</v>
      </c>
      <c r="AD37" s="190">
        <v>129674409.94</v>
      </c>
      <c r="AE37" s="190">
        <v>162412726.97999999</v>
      </c>
      <c r="AF37" s="190">
        <v>192835825.27000001</v>
      </c>
      <c r="AG37" s="190">
        <v>177324074.25</v>
      </c>
      <c r="AH37" s="190">
        <v>130784432.33</v>
      </c>
      <c r="AI37" s="190">
        <v>154634894.06999999</v>
      </c>
      <c r="AJ37" s="190">
        <v>207332816.22</v>
      </c>
      <c r="AK37" s="190">
        <v>118485591.56999999</v>
      </c>
      <c r="AL37" s="190">
        <v>114851564.84999999</v>
      </c>
      <c r="AM37" s="190">
        <v>77408717.870000005</v>
      </c>
      <c r="AN37" s="190">
        <v>130597724.06</v>
      </c>
      <c r="AO37" s="190">
        <v>75087599.519999996</v>
      </c>
      <c r="AP37" s="190">
        <v>90010171.659999996</v>
      </c>
      <c r="AQ37" s="190">
        <v>67907895.239999995</v>
      </c>
      <c r="AR37" s="190">
        <v>86241729.280000001</v>
      </c>
      <c r="AS37" s="190">
        <v>63657235.640000001</v>
      </c>
      <c r="AT37" s="190">
        <v>78106149.069999993</v>
      </c>
      <c r="AU37" s="190">
        <v>35726456.369999997</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35616573.979999997</v>
      </c>
      <c r="C39" s="190">
        <v>33822982.030000001</v>
      </c>
      <c r="D39" s="190">
        <v>26379327.859999999</v>
      </c>
      <c r="E39" s="190">
        <v>190215056.41</v>
      </c>
      <c r="F39" s="190">
        <v>49457516.960000001</v>
      </c>
      <c r="G39" s="190">
        <v>43776842.57</v>
      </c>
      <c r="H39" s="190">
        <v>14267395.050000001</v>
      </c>
      <c r="I39" s="190">
        <v>162052446.5</v>
      </c>
      <c r="J39" s="190">
        <v>100684543.19</v>
      </c>
      <c r="K39" s="190">
        <v>58506636.780000001</v>
      </c>
      <c r="L39" s="190">
        <v>62282600.740000002</v>
      </c>
      <c r="M39" s="190">
        <v>152182928.55000001</v>
      </c>
      <c r="N39" s="190">
        <v>78975290.980000004</v>
      </c>
      <c r="O39" s="190">
        <v>46211186.990000002</v>
      </c>
      <c r="P39" s="190">
        <v>16485384.66</v>
      </c>
      <c r="Q39" s="190">
        <v>133995516.09</v>
      </c>
      <c r="R39" s="190">
        <v>25917245.98</v>
      </c>
      <c r="S39" s="190">
        <v>17513980.41</v>
      </c>
      <c r="T39" s="190">
        <v>19165390.600000001</v>
      </c>
      <c r="U39" s="190">
        <v>110661332.95</v>
      </c>
      <c r="V39" s="190">
        <v>37976569.359999999</v>
      </c>
      <c r="W39" s="190">
        <v>25929601.879999999</v>
      </c>
      <c r="X39" s="190">
        <v>37037733.469999999</v>
      </c>
      <c r="Y39" s="190">
        <v>99646705.870000005</v>
      </c>
      <c r="Z39" s="190">
        <v>21157899.190000001</v>
      </c>
      <c r="AA39" s="190">
        <v>22505822.879999999</v>
      </c>
      <c r="AB39" s="190">
        <v>16358608.91</v>
      </c>
      <c r="AC39" s="190">
        <v>77547598.840000004</v>
      </c>
      <c r="AD39" s="190">
        <v>30769433.859999999</v>
      </c>
      <c r="AE39" s="190">
        <v>32761877.719999999</v>
      </c>
      <c r="AF39" s="190">
        <v>33166786.420000002</v>
      </c>
      <c r="AG39" s="190">
        <v>99705541.5</v>
      </c>
      <c r="AH39" s="190">
        <v>29431989.510000002</v>
      </c>
      <c r="AI39" s="190">
        <v>17908575.879999999</v>
      </c>
      <c r="AJ39" s="190">
        <v>28879824.370000001</v>
      </c>
      <c r="AK39" s="190">
        <v>47142162.770000003</v>
      </c>
      <c r="AL39" s="190">
        <v>20421248.800000001</v>
      </c>
      <c r="AM39" s="190">
        <v>18699871.75</v>
      </c>
      <c r="AN39" s="190">
        <v>43361488.799999997</v>
      </c>
      <c r="AO39" s="190">
        <v>61088929.939999998</v>
      </c>
      <c r="AP39" s="190">
        <v>24716344.010000002</v>
      </c>
      <c r="AQ39" s="190">
        <v>22997078.960000001</v>
      </c>
      <c r="AR39" s="190">
        <v>18514584.23</v>
      </c>
      <c r="AS39" s="190">
        <v>17154451.34</v>
      </c>
      <c r="AT39" s="190">
        <v>4876600.47</v>
      </c>
      <c r="AU39" s="190">
        <v>3276163.23</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38863458.210000001</v>
      </c>
      <c r="C40" s="190">
        <v>40263470.130000003</v>
      </c>
      <c r="D40" s="190">
        <v>86674162.650000006</v>
      </c>
      <c r="E40" s="190">
        <v>148228320.53999999</v>
      </c>
      <c r="F40" s="190">
        <v>119712327.53</v>
      </c>
      <c r="G40" s="190">
        <v>46567208.829999998</v>
      </c>
      <c r="H40" s="190">
        <v>53599539.140000001</v>
      </c>
      <c r="I40" s="190">
        <v>81509198.480000004</v>
      </c>
      <c r="J40" s="190">
        <v>85534746.510000005</v>
      </c>
      <c r="K40" s="190">
        <v>50608418.07</v>
      </c>
      <c r="L40" s="190">
        <v>101622840.62</v>
      </c>
      <c r="M40" s="190">
        <v>108428563.95999999</v>
      </c>
      <c r="N40" s="190">
        <v>101908149.83</v>
      </c>
      <c r="O40" s="190">
        <v>60006803.030000001</v>
      </c>
      <c r="P40" s="190">
        <v>100855853.62</v>
      </c>
      <c r="Q40" s="190">
        <v>75453906.670000002</v>
      </c>
      <c r="R40" s="190">
        <v>106252324.36</v>
      </c>
      <c r="S40" s="190">
        <v>90550632.599999994</v>
      </c>
      <c r="T40" s="190">
        <v>79704279.799999997</v>
      </c>
      <c r="U40" s="190">
        <v>81367666.810000002</v>
      </c>
      <c r="V40" s="190">
        <v>80222843.439999998</v>
      </c>
      <c r="W40" s="190">
        <v>73521601.829999998</v>
      </c>
      <c r="X40" s="190">
        <v>90514727.519999996</v>
      </c>
      <c r="Y40" s="190">
        <v>75278895.400000006</v>
      </c>
      <c r="Z40" s="190">
        <v>49419155.479999997</v>
      </c>
      <c r="AA40" s="190">
        <v>-2661310.59</v>
      </c>
      <c r="AB40" s="190">
        <v>26211350.969999999</v>
      </c>
      <c r="AC40" s="190">
        <v>-67669657.040000007</v>
      </c>
      <c r="AD40" s="190">
        <v>19311247.129999999</v>
      </c>
      <c r="AE40" s="190">
        <v>-15533600.41</v>
      </c>
      <c r="AF40" s="190">
        <v>31333477.989999998</v>
      </c>
      <c r="AG40" s="190">
        <v>-17769330.039999999</v>
      </c>
      <c r="AH40" s="190">
        <v>100337067.19</v>
      </c>
      <c r="AI40" s="190">
        <v>93711707.349999994</v>
      </c>
      <c r="AJ40" s="190">
        <v>44137226.289999999</v>
      </c>
      <c r="AK40" s="190">
        <v>13177718.619999999</v>
      </c>
      <c r="AL40" s="190">
        <v>75082885.150000006</v>
      </c>
      <c r="AM40" s="190">
        <v>56127186.390000001</v>
      </c>
      <c r="AN40" s="190">
        <v>61446149.700000003</v>
      </c>
      <c r="AO40" s="190">
        <v>60979580.670000002</v>
      </c>
      <c r="AP40" s="190">
        <v>60163580.460000001</v>
      </c>
      <c r="AQ40" s="190">
        <v>34596010.939999998</v>
      </c>
      <c r="AR40" s="190">
        <v>47255515.119999997</v>
      </c>
      <c r="AS40" s="190">
        <v>61956234.460000001</v>
      </c>
      <c r="AT40" s="190">
        <v>11852372.789999999</v>
      </c>
      <c r="AU40" s="190">
        <v>5406922.3600000003</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256646964.94</v>
      </c>
      <c r="C41" s="190">
        <v>260370515.41999999</v>
      </c>
      <c r="D41" s="190">
        <v>233683426.94</v>
      </c>
      <c r="E41" s="190">
        <v>214119818.33000001</v>
      </c>
      <c r="F41" s="190">
        <v>185175828.13999999</v>
      </c>
      <c r="G41" s="190">
        <v>145134483.94999999</v>
      </c>
      <c r="H41" s="190">
        <v>186668230.19</v>
      </c>
      <c r="I41" s="190">
        <v>171701436.27000001</v>
      </c>
      <c r="J41" s="190">
        <v>115100363.76000001</v>
      </c>
      <c r="K41" s="190">
        <v>184383860.99000001</v>
      </c>
      <c r="L41" s="190">
        <v>129541339.77</v>
      </c>
      <c r="M41" s="190">
        <v>142968786.88</v>
      </c>
      <c r="N41" s="190">
        <v>120208347.18000001</v>
      </c>
      <c r="O41" s="190">
        <v>92906976.930000007</v>
      </c>
      <c r="P41" s="190">
        <v>87243908.900000006</v>
      </c>
      <c r="Q41" s="190">
        <v>80765544.650000006</v>
      </c>
      <c r="R41" s="190">
        <v>47647874.030000001</v>
      </c>
      <c r="S41" s="190">
        <v>62028865.009999998</v>
      </c>
      <c r="T41" s="190">
        <v>92512915.579999998</v>
      </c>
      <c r="U41" s="190">
        <v>81235021.219999999</v>
      </c>
      <c r="V41" s="190">
        <v>59778328.359999999</v>
      </c>
      <c r="W41" s="190">
        <v>55134884.149999999</v>
      </c>
      <c r="X41" s="190">
        <v>45180739.969999999</v>
      </c>
      <c r="Y41" s="190">
        <v>32332368.460000001</v>
      </c>
      <c r="Z41" s="190">
        <v>38746705.670000002</v>
      </c>
      <c r="AA41" s="190">
        <v>48730242.969999999</v>
      </c>
      <c r="AB41" s="190">
        <v>58616910.920000002</v>
      </c>
      <c r="AC41" s="190">
        <v>36089296.82</v>
      </c>
      <c r="AD41" s="190">
        <v>56956164.950000003</v>
      </c>
      <c r="AE41" s="190">
        <v>65698261.200000003</v>
      </c>
      <c r="AF41" s="190">
        <v>95054463.219999999</v>
      </c>
      <c r="AG41" s="190">
        <v>76788262.349999994</v>
      </c>
      <c r="AH41" s="190">
        <v>191616521.18000001</v>
      </c>
      <c r="AI41" s="190">
        <v>155006430.28999999</v>
      </c>
      <c r="AJ41" s="190">
        <v>107210914.62</v>
      </c>
      <c r="AK41" s="190">
        <v>146318214.05000001</v>
      </c>
      <c r="AL41" s="190">
        <v>74206468.719999999</v>
      </c>
      <c r="AM41" s="190">
        <v>76923871.439999998</v>
      </c>
      <c r="AN41" s="190">
        <v>73909774.260000005</v>
      </c>
      <c r="AO41" s="190">
        <v>61244147.740000002</v>
      </c>
      <c r="AP41" s="190">
        <v>9564764.2599999998</v>
      </c>
      <c r="AQ41" s="190">
        <v>14392153.51</v>
      </c>
      <c r="AR41" s="190">
        <v>80238716.260000005</v>
      </c>
      <c r="AS41" s="190">
        <v>24804258.350000001</v>
      </c>
      <c r="AT41" s="190">
        <v>12253445.390000001</v>
      </c>
      <c r="AU41" s="190">
        <v>8802586.6899999995</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68020000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610971111.30999994</v>
      </c>
      <c r="C49" s="35">
        <f>SUM(C35:C41)+SUM(C43:C45)</f>
        <v>1581502649.2400002</v>
      </c>
      <c r="D49" s="35">
        <f>SUM(D35:D41)+SUM(D43:D45)</f>
        <v>1174927402.1800001</v>
      </c>
      <c r="E49" s="35">
        <f>SUM(E35:E45)</f>
        <v>1762432643.29</v>
      </c>
      <c r="F49" s="35">
        <f t="shared" ref="F49:BQ49" si="4">SUM(F35:F45)</f>
        <v>1359083848.0100002</v>
      </c>
      <c r="G49" s="35">
        <f t="shared" si="4"/>
        <v>1284583788.1099999</v>
      </c>
      <c r="H49" s="35">
        <f t="shared" si="4"/>
        <v>1268599830.02</v>
      </c>
      <c r="I49" s="35">
        <f t="shared" si="4"/>
        <v>2059875785.5</v>
      </c>
      <c r="J49" s="35">
        <f t="shared" si="4"/>
        <v>1521384704.98</v>
      </c>
      <c r="K49" s="35">
        <f t="shared" si="4"/>
        <v>1395814340.1199999</v>
      </c>
      <c r="L49" s="35">
        <f t="shared" si="4"/>
        <v>1851793040.8699999</v>
      </c>
      <c r="M49" s="35">
        <f t="shared" si="4"/>
        <v>2499442978.2900004</v>
      </c>
      <c r="N49" s="35">
        <f t="shared" si="4"/>
        <v>1935157404.1400001</v>
      </c>
      <c r="O49" s="35">
        <f t="shared" si="4"/>
        <v>1603359643.3400002</v>
      </c>
      <c r="P49" s="35">
        <f t="shared" si="4"/>
        <v>1147389362.6299999</v>
      </c>
      <c r="Q49" s="35">
        <f t="shared" si="4"/>
        <v>1702518950.72</v>
      </c>
      <c r="R49" s="35">
        <f t="shared" si="4"/>
        <v>1578928682.1499996</v>
      </c>
      <c r="S49" s="35">
        <f t="shared" si="4"/>
        <v>1582056256.3800001</v>
      </c>
      <c r="T49" s="35">
        <f t="shared" si="4"/>
        <v>1144730429.3</v>
      </c>
      <c r="U49" s="35">
        <f t="shared" si="4"/>
        <v>1427797330.96</v>
      </c>
      <c r="V49" s="35">
        <f t="shared" si="4"/>
        <v>1190259851.4199998</v>
      </c>
      <c r="W49" s="35">
        <f t="shared" si="4"/>
        <v>1155860905.9200001</v>
      </c>
      <c r="X49" s="35">
        <f t="shared" si="4"/>
        <v>1008670939.1500001</v>
      </c>
      <c r="Y49" s="35">
        <f t="shared" si="4"/>
        <v>1305173479.8800001</v>
      </c>
      <c r="Z49" s="35">
        <f t="shared" si="4"/>
        <v>1041270385.7199999</v>
      </c>
      <c r="AA49" s="35">
        <f t="shared" si="4"/>
        <v>1013714728.23</v>
      </c>
      <c r="AB49" s="35">
        <f t="shared" si="4"/>
        <v>1011921422.02</v>
      </c>
      <c r="AC49" s="35">
        <f t="shared" si="4"/>
        <v>1276032674.4199998</v>
      </c>
      <c r="AD49" s="35">
        <f t="shared" si="4"/>
        <v>1176821625.48</v>
      </c>
      <c r="AE49" s="35">
        <f t="shared" si="4"/>
        <v>1054385780.1000001</v>
      </c>
      <c r="AF49" s="35">
        <f t="shared" si="4"/>
        <v>1053127649.62</v>
      </c>
      <c r="AG49" s="35">
        <f t="shared" si="4"/>
        <v>1303458251.28</v>
      </c>
      <c r="AH49" s="35">
        <f t="shared" si="4"/>
        <v>1414064871.1900001</v>
      </c>
      <c r="AI49" s="35">
        <f t="shared" si="4"/>
        <v>1345887263.04</v>
      </c>
      <c r="AJ49" s="35">
        <f t="shared" si="4"/>
        <v>768297219.16999996</v>
      </c>
      <c r="AK49" s="35">
        <f t="shared" si="4"/>
        <v>1180276179.97</v>
      </c>
      <c r="AL49" s="35">
        <f t="shared" si="4"/>
        <v>899124834.44999993</v>
      </c>
      <c r="AM49" s="35">
        <f t="shared" si="4"/>
        <v>1090273488.8599999</v>
      </c>
      <c r="AN49" s="35">
        <f t="shared" si="4"/>
        <v>877554676.12999988</v>
      </c>
      <c r="AO49" s="35">
        <f t="shared" si="4"/>
        <v>1259062943.3800001</v>
      </c>
      <c r="AP49" s="35">
        <f t="shared" si="4"/>
        <v>895193670.73000002</v>
      </c>
      <c r="AQ49" s="35">
        <f t="shared" si="4"/>
        <v>610850528.5999999</v>
      </c>
      <c r="AR49" s="35">
        <f t="shared" si="4"/>
        <v>555332078.37</v>
      </c>
      <c r="AS49" s="35">
        <f t="shared" si="4"/>
        <v>685514399.18999994</v>
      </c>
      <c r="AT49" s="35">
        <f t="shared" si="4"/>
        <v>389276204.27000004</v>
      </c>
      <c r="AU49" s="35">
        <f t="shared" si="4"/>
        <v>148494473.75999999</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2010365490.6300001</v>
      </c>
      <c r="C50" s="36">
        <f t="shared" ref="C50:BN50" si="6">C33-C49</f>
        <v>1164518139.98</v>
      </c>
      <c r="D50" s="36">
        <f t="shared" si="6"/>
        <v>1087819754.8699996</v>
      </c>
      <c r="E50" s="36">
        <f t="shared" si="6"/>
        <v>1004041679.29</v>
      </c>
      <c r="F50" s="36">
        <f t="shared" si="6"/>
        <v>1461808875.4499998</v>
      </c>
      <c r="G50" s="36">
        <f t="shared" si="6"/>
        <v>1136763030.22</v>
      </c>
      <c r="H50" s="36">
        <f t="shared" si="6"/>
        <v>1170409044.4200001</v>
      </c>
      <c r="I50" s="36">
        <f t="shared" si="6"/>
        <v>984519957.14000034</v>
      </c>
      <c r="J50" s="36">
        <f t="shared" si="6"/>
        <v>808240696.0999999</v>
      </c>
      <c r="K50" s="36">
        <f t="shared" si="6"/>
        <v>675619550.63999987</v>
      </c>
      <c r="L50" s="36">
        <f t="shared" si="6"/>
        <v>767644005.30000019</v>
      </c>
      <c r="M50" s="36">
        <f t="shared" si="6"/>
        <v>630877182.62999964</v>
      </c>
      <c r="N50" s="36">
        <f t="shared" si="6"/>
        <v>1134834889.7899997</v>
      </c>
      <c r="O50" s="36">
        <f t="shared" si="6"/>
        <v>957289110.86000013</v>
      </c>
      <c r="P50" s="36">
        <f t="shared" si="6"/>
        <v>1293826131.7499998</v>
      </c>
      <c r="Q50" s="36">
        <f t="shared" si="6"/>
        <v>589884207.63000035</v>
      </c>
      <c r="R50" s="36">
        <f t="shared" si="6"/>
        <v>1175892709.75</v>
      </c>
      <c r="S50" s="36">
        <f t="shared" si="6"/>
        <v>1181407724.5299997</v>
      </c>
      <c r="T50" s="36">
        <f t="shared" si="6"/>
        <v>893778306.5400002</v>
      </c>
      <c r="U50" s="36">
        <f t="shared" si="6"/>
        <v>721421203.38000011</v>
      </c>
      <c r="V50" s="36">
        <f t="shared" si="6"/>
        <v>785867322.6099999</v>
      </c>
      <c r="W50" s="36">
        <f t="shared" si="6"/>
        <v>704398043.46000004</v>
      </c>
      <c r="X50" s="36">
        <f t="shared" si="6"/>
        <v>511051635.98000002</v>
      </c>
      <c r="Y50" s="36">
        <f t="shared" si="6"/>
        <v>361677496.28999972</v>
      </c>
      <c r="Z50" s="36">
        <f t="shared" si="6"/>
        <v>423511790.25000012</v>
      </c>
      <c r="AA50" s="36">
        <f t="shared" si="6"/>
        <v>348941183.03999996</v>
      </c>
      <c r="AB50" s="36">
        <f t="shared" si="6"/>
        <v>187655386.3599999</v>
      </c>
      <c r="AC50" s="36">
        <f t="shared" si="6"/>
        <v>71522408.970000029</v>
      </c>
      <c r="AD50" s="36">
        <f t="shared" si="6"/>
        <v>-212709975.91999996</v>
      </c>
      <c r="AE50" s="36">
        <f t="shared" si="6"/>
        <v>-196908891.46000016</v>
      </c>
      <c r="AF50" s="36">
        <f t="shared" si="6"/>
        <v>-220549089.38</v>
      </c>
      <c r="AG50" s="36">
        <f t="shared" si="6"/>
        <v>-298049860.71000004</v>
      </c>
      <c r="AH50" s="36">
        <f t="shared" si="6"/>
        <v>-297098737.11000013</v>
      </c>
      <c r="AI50" s="36">
        <f t="shared" si="6"/>
        <v>-377564761.48000002</v>
      </c>
      <c r="AJ50" s="36">
        <f t="shared" si="6"/>
        <v>-211530761.86000001</v>
      </c>
      <c r="AK50" s="36">
        <f t="shared" si="6"/>
        <v>-478624461.47000003</v>
      </c>
      <c r="AL50" s="36">
        <f t="shared" si="6"/>
        <v>-347876313.88999999</v>
      </c>
      <c r="AM50" s="36">
        <f t="shared" si="6"/>
        <v>-375480765.12999988</v>
      </c>
      <c r="AN50" s="36">
        <f t="shared" si="6"/>
        <v>-263998712.18999994</v>
      </c>
      <c r="AO50" s="36">
        <f t="shared" si="6"/>
        <v>-427593203.91000009</v>
      </c>
      <c r="AP50" s="36">
        <f t="shared" si="6"/>
        <v>-129673758.38</v>
      </c>
      <c r="AQ50" s="36">
        <f t="shared" si="6"/>
        <v>116821345.71000004</v>
      </c>
      <c r="AR50" s="36">
        <f t="shared" si="6"/>
        <v>-29022363.340000033</v>
      </c>
      <c r="AS50" s="36">
        <f t="shared" si="6"/>
        <v>-176634015.57999998</v>
      </c>
      <c r="AT50" s="36">
        <f t="shared" si="6"/>
        <v>-65967921.470000029</v>
      </c>
      <c r="AU50" s="36">
        <f t="shared" si="6"/>
        <v>3523904.0900000036</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716143184.25999999</v>
      </c>
      <c r="C52" s="190">
        <v>617509861.99000001</v>
      </c>
      <c r="D52" s="190">
        <v>620166164.54999995</v>
      </c>
      <c r="E52" s="190">
        <v>631189103.16999996</v>
      </c>
      <c r="F52" s="190">
        <v>636892413</v>
      </c>
      <c r="G52" s="190">
        <v>636364854.38999999</v>
      </c>
      <c r="H52" s="190">
        <v>660410009.82000005</v>
      </c>
      <c r="I52" s="190">
        <v>670238339.49000001</v>
      </c>
      <c r="J52" s="190">
        <v>672759732.02999997</v>
      </c>
      <c r="K52" s="190">
        <v>680515812.40999997</v>
      </c>
      <c r="L52" s="190">
        <v>683641784.20000005</v>
      </c>
      <c r="M52" s="190">
        <v>696778114.10000002</v>
      </c>
      <c r="N52" s="190">
        <v>705776815.28999996</v>
      </c>
      <c r="O52" s="190">
        <v>773907291.72000003</v>
      </c>
      <c r="P52" s="190">
        <v>795827371.98000002</v>
      </c>
      <c r="Q52" s="190">
        <v>807367570.77999997</v>
      </c>
      <c r="R52" s="190">
        <v>1034619296.75</v>
      </c>
      <c r="S52" s="190">
        <v>1046457532.65</v>
      </c>
      <c r="T52" s="190">
        <v>559782194.07000005</v>
      </c>
      <c r="U52" s="190">
        <v>566365938.87</v>
      </c>
      <c r="V52" s="190">
        <v>562899074.23000002</v>
      </c>
      <c r="W52" s="190">
        <v>569231521.32000005</v>
      </c>
      <c r="X52" s="190">
        <v>580327211.29999995</v>
      </c>
      <c r="Y52" s="190">
        <v>590292268.55999994</v>
      </c>
      <c r="Z52" s="190">
        <v>540611067.38999999</v>
      </c>
      <c r="AA52" s="190">
        <v>548978858.41999996</v>
      </c>
      <c r="AB52" s="190">
        <v>553893666.91999996</v>
      </c>
      <c r="AC52" s="190">
        <v>559960417.52999997</v>
      </c>
      <c r="AD52" s="190">
        <v>474473680.49000001</v>
      </c>
      <c r="AE52" s="190">
        <v>474915228.75999999</v>
      </c>
      <c r="AF52" s="190">
        <v>469798665.18000001</v>
      </c>
      <c r="AG52" s="190">
        <v>478173204.25999999</v>
      </c>
      <c r="AH52" s="190">
        <v>475357017.5</v>
      </c>
      <c r="AI52" s="190">
        <v>481666150.81999999</v>
      </c>
      <c r="AJ52" s="190">
        <v>488674480.27999997</v>
      </c>
      <c r="AK52" s="190">
        <v>495482608.16000003</v>
      </c>
      <c r="AL52" s="190">
        <v>394965812.58999997</v>
      </c>
      <c r="AM52" s="190">
        <v>380784425.00999999</v>
      </c>
      <c r="AN52" s="190">
        <v>241375729.33000001</v>
      </c>
      <c r="AO52" s="190">
        <v>218807974.09</v>
      </c>
      <c r="AP52" s="190">
        <v>164058885.31999999</v>
      </c>
      <c r="AQ52" s="190">
        <v>127995467.54000001</v>
      </c>
      <c r="AR52" s="190">
        <v>116416069.28</v>
      </c>
      <c r="AS52" s="190">
        <v>115798312.64</v>
      </c>
      <c r="AT52" s="190">
        <v>89216251.269999996</v>
      </c>
      <c r="AU52" s="190">
        <v>3838462.72</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1117378.4099999999</v>
      </c>
      <c r="C53" s="190">
        <v>182500.66</v>
      </c>
      <c r="D53" s="190">
        <v>259828.33</v>
      </c>
      <c r="E53" s="190">
        <v>568244.32999999996</v>
      </c>
      <c r="F53" s="190">
        <v>177237.73</v>
      </c>
      <c r="G53" s="190">
        <v>177237.73</v>
      </c>
      <c r="H53" s="190">
        <v>163086.79</v>
      </c>
      <c r="I53" s="190">
        <v>227464.79</v>
      </c>
      <c r="J53" s="190">
        <v>109433.96</v>
      </c>
      <c r="K53" s="190">
        <v>100000</v>
      </c>
      <c r="L53" s="190">
        <v>4852857.7699999996</v>
      </c>
      <c r="M53" s="190">
        <v>3644144.17</v>
      </c>
      <c r="N53" s="190">
        <v>2147185.7799999998</v>
      </c>
      <c r="O53" s="190">
        <v>117750</v>
      </c>
      <c r="P53" s="190">
        <v>0</v>
      </c>
      <c r="Q53" s="190">
        <v>923443.62</v>
      </c>
      <c r="R53" s="190">
        <v>804297</v>
      </c>
      <c r="S53" s="190">
        <v>5795799.6900000004</v>
      </c>
      <c r="T53" s="190">
        <v>379762090.80000001</v>
      </c>
      <c r="U53" s="190">
        <v>351252328.04000002</v>
      </c>
      <c r="V53" s="190">
        <v>285868935.95999998</v>
      </c>
      <c r="W53" s="190">
        <v>235275989.55000001</v>
      </c>
      <c r="X53" s="190">
        <v>185166453.43000001</v>
      </c>
      <c r="Y53" s="190">
        <v>155104723.87</v>
      </c>
      <c r="Z53" s="190">
        <v>164594904.81999999</v>
      </c>
      <c r="AA53" s="190">
        <v>149187603.21000001</v>
      </c>
      <c r="AB53" s="190">
        <v>78182552.540000007</v>
      </c>
      <c r="AC53" s="190">
        <v>66467099.740000002</v>
      </c>
      <c r="AD53" s="190">
        <v>267176611.08000001</v>
      </c>
      <c r="AE53" s="190">
        <v>259881560.31999999</v>
      </c>
      <c r="AF53" s="190">
        <v>274817693.72000003</v>
      </c>
      <c r="AG53" s="190">
        <v>232473284.65000001</v>
      </c>
      <c r="AH53" s="190">
        <v>21915012.800000001</v>
      </c>
      <c r="AI53" s="190">
        <v>10638850.65</v>
      </c>
      <c r="AJ53" s="190">
        <v>21233891.989999998</v>
      </c>
      <c r="AK53" s="190">
        <v>1925903.69</v>
      </c>
      <c r="AL53" s="190">
        <v>46202369.109999999</v>
      </c>
      <c r="AM53" s="190">
        <v>45858484.549999997</v>
      </c>
      <c r="AN53" s="190">
        <v>131244502.34</v>
      </c>
      <c r="AO53" s="190">
        <v>89075699.5</v>
      </c>
      <c r="AP53" s="190">
        <v>68455226.900000006</v>
      </c>
      <c r="AQ53" s="190">
        <v>28434456.100000001</v>
      </c>
      <c r="AR53" s="190">
        <v>16536868.84</v>
      </c>
      <c r="AS53" s="190">
        <v>11883622.34</v>
      </c>
      <c r="AT53" s="190">
        <v>18491981.559999999</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148680004.41</v>
      </c>
      <c r="C58" s="190">
        <v>148869359.75</v>
      </c>
      <c r="D58" s="190">
        <v>150557654.62</v>
      </c>
      <c r="E58" s="190">
        <v>152533461.56999999</v>
      </c>
      <c r="F58" s="190">
        <v>153547141.97</v>
      </c>
      <c r="G58" s="190">
        <v>154896201.15000001</v>
      </c>
      <c r="H58" s="190">
        <v>157547147.66999999</v>
      </c>
      <c r="I58" s="190">
        <v>158839911.78999999</v>
      </c>
      <c r="J58" s="190">
        <v>155378363.55000001</v>
      </c>
      <c r="K58" s="190">
        <v>156950742</v>
      </c>
      <c r="L58" s="190">
        <v>158545447.69999999</v>
      </c>
      <c r="M58" s="190">
        <v>160316614.00999999</v>
      </c>
      <c r="N58" s="190">
        <v>161106232.05000001</v>
      </c>
      <c r="O58" s="190">
        <v>190734906.55000001</v>
      </c>
      <c r="P58" s="190">
        <v>192097880.47</v>
      </c>
      <c r="Q58" s="190">
        <v>193928696.69999999</v>
      </c>
      <c r="R58" s="190">
        <v>254745358.41999999</v>
      </c>
      <c r="S58" s="190">
        <v>256922365.66999999</v>
      </c>
      <c r="T58" s="190">
        <v>258353282.16999999</v>
      </c>
      <c r="U58" s="190">
        <v>260263325.24000001</v>
      </c>
      <c r="V58" s="190">
        <v>277230506.35000002</v>
      </c>
      <c r="W58" s="190">
        <v>280048291.73000002</v>
      </c>
      <c r="X58" s="190">
        <v>283132300.23000002</v>
      </c>
      <c r="Y58" s="190">
        <v>286379333.73000002</v>
      </c>
      <c r="Z58" s="190">
        <v>287133637.37</v>
      </c>
      <c r="AA58" s="190">
        <v>288240943.32999998</v>
      </c>
      <c r="AB58" s="190">
        <v>290324879.10000002</v>
      </c>
      <c r="AC58" s="190">
        <v>292856317.07999998</v>
      </c>
      <c r="AD58" s="190">
        <v>293866206.44999999</v>
      </c>
      <c r="AE58" s="190">
        <v>280516943.57999998</v>
      </c>
      <c r="AF58" s="190">
        <v>279953852.80000001</v>
      </c>
      <c r="AG58" s="190">
        <v>280703528.89999998</v>
      </c>
      <c r="AH58" s="190">
        <v>245119271.27000001</v>
      </c>
      <c r="AI58" s="190">
        <v>187839923.24000001</v>
      </c>
      <c r="AJ58" s="190">
        <v>189448677.13</v>
      </c>
      <c r="AK58" s="190">
        <v>191284037.44</v>
      </c>
      <c r="AL58" s="190">
        <v>184370732.62</v>
      </c>
      <c r="AM58" s="190">
        <v>136064431.22999999</v>
      </c>
      <c r="AN58" s="190">
        <v>136761812.59999999</v>
      </c>
      <c r="AO58" s="190">
        <v>138149944.88999999</v>
      </c>
      <c r="AP58" s="190">
        <v>73941855.129999995</v>
      </c>
      <c r="AQ58" s="190">
        <v>70239537.400000006</v>
      </c>
      <c r="AR58" s="190">
        <v>71353172.379999995</v>
      </c>
      <c r="AS58" s="190">
        <v>59010940.829999998</v>
      </c>
      <c r="AT58" s="190">
        <v>19149323.120000001</v>
      </c>
      <c r="AU58" s="190">
        <v>1999252.79</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50000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21291880.109999999</v>
      </c>
      <c r="C61" s="190">
        <v>23314533.850000001</v>
      </c>
      <c r="D61" s="190">
        <v>822144.75</v>
      </c>
      <c r="E61" s="190">
        <v>406875</v>
      </c>
      <c r="F61" s="190">
        <v>1460799.27</v>
      </c>
      <c r="G61" s="190">
        <v>677858.44</v>
      </c>
      <c r="H61" s="190">
        <v>1978666.79</v>
      </c>
      <c r="I61" s="190">
        <v>2225008.9</v>
      </c>
      <c r="J61" s="190">
        <v>4148721.77</v>
      </c>
      <c r="K61" s="190">
        <v>3772159.36</v>
      </c>
      <c r="L61" s="190">
        <v>5074051.6399999997</v>
      </c>
      <c r="M61" s="190">
        <v>5319309.82</v>
      </c>
      <c r="N61" s="190">
        <v>7245732.6200000001</v>
      </c>
      <c r="O61" s="190">
        <v>7074637.1100000003</v>
      </c>
      <c r="P61" s="190">
        <v>8168352.5999999996</v>
      </c>
      <c r="Q61" s="190">
        <v>8413610.8900000006</v>
      </c>
      <c r="R61" s="190">
        <v>517125</v>
      </c>
      <c r="S61" s="190">
        <v>517125</v>
      </c>
      <c r="T61" s="190">
        <v>532875</v>
      </c>
      <c r="U61" s="190">
        <v>532875</v>
      </c>
      <c r="V61" s="190">
        <v>564375</v>
      </c>
      <c r="W61" s="190">
        <v>564375</v>
      </c>
      <c r="X61" s="190">
        <v>564375</v>
      </c>
      <c r="Y61" s="190">
        <v>564375</v>
      </c>
      <c r="Z61" s="190">
        <v>595875</v>
      </c>
      <c r="AA61" s="190">
        <v>595875</v>
      </c>
      <c r="AB61" s="190">
        <v>595875</v>
      </c>
      <c r="AC61" s="190">
        <v>595875</v>
      </c>
      <c r="AD61" s="190">
        <v>0</v>
      </c>
      <c r="AE61" s="190">
        <v>0</v>
      </c>
      <c r="AF61" s="190">
        <v>0</v>
      </c>
      <c r="AG61" s="190">
        <v>0</v>
      </c>
      <c r="AH61" s="190">
        <v>0</v>
      </c>
      <c r="AI61" s="190">
        <v>0</v>
      </c>
      <c r="AJ61" s="190">
        <v>0</v>
      </c>
      <c r="AK61" s="190">
        <v>0</v>
      </c>
      <c r="AL61" s="190">
        <v>0</v>
      </c>
      <c r="AM61" s="190">
        <v>0</v>
      </c>
      <c r="AN61" s="190">
        <v>0</v>
      </c>
      <c r="AO61" s="190">
        <v>0</v>
      </c>
      <c r="AP61" s="190">
        <v>5555.56</v>
      </c>
      <c r="AQ61" s="190">
        <v>0</v>
      </c>
      <c r="AR61" s="190">
        <v>0</v>
      </c>
      <c r="AS61" s="190">
        <v>0</v>
      </c>
      <c r="AT61" s="190">
        <v>304510.38</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55869421.560000002</v>
      </c>
      <c r="C62" s="190">
        <v>65833446.189999998</v>
      </c>
      <c r="D62" s="190">
        <v>34230230.439999998</v>
      </c>
      <c r="E62" s="190">
        <v>76839192.569999993</v>
      </c>
      <c r="F62" s="190">
        <v>50502761.450000003</v>
      </c>
      <c r="G62" s="190">
        <v>38927528.710000001</v>
      </c>
      <c r="H62" s="190">
        <v>41166324.100000001</v>
      </c>
      <c r="I62" s="190">
        <v>66816032.75</v>
      </c>
      <c r="J62" s="190">
        <v>42801393.899999999</v>
      </c>
      <c r="K62" s="190">
        <v>35912697.950000003</v>
      </c>
      <c r="L62" s="190">
        <v>46834528.240000002</v>
      </c>
      <c r="M62" s="190">
        <v>72662625.569999993</v>
      </c>
      <c r="N62" s="190">
        <v>38079607.969999999</v>
      </c>
      <c r="O62" s="190">
        <v>33593487.509999998</v>
      </c>
      <c r="P62" s="190">
        <v>27789627.079999998</v>
      </c>
      <c r="Q62" s="190">
        <v>45712194.5</v>
      </c>
      <c r="R62" s="190">
        <v>32535407.620000001</v>
      </c>
      <c r="S62" s="190">
        <v>36667422.359999999</v>
      </c>
      <c r="T62" s="190">
        <v>43682005.840000004</v>
      </c>
      <c r="U62" s="190">
        <v>46081471.210000001</v>
      </c>
      <c r="V62" s="190">
        <v>30226160.449999999</v>
      </c>
      <c r="W62" s="190">
        <v>25855054.07</v>
      </c>
      <c r="X62" s="190">
        <v>15189511.15</v>
      </c>
      <c r="Y62" s="190">
        <v>29511913.489999998</v>
      </c>
      <c r="Z62" s="190">
        <v>13486569.16</v>
      </c>
      <c r="AA62" s="190">
        <v>16870162.149999999</v>
      </c>
      <c r="AB62" s="190">
        <v>16724075.609999999</v>
      </c>
      <c r="AC62" s="190">
        <v>26877884.52</v>
      </c>
      <c r="AD62" s="190">
        <v>24958815.390000001</v>
      </c>
      <c r="AE62" s="190">
        <v>24800499.989999998</v>
      </c>
      <c r="AF62" s="190">
        <v>36503554.770000003</v>
      </c>
      <c r="AG62" s="190">
        <v>42983709.210000001</v>
      </c>
      <c r="AH62" s="190">
        <v>47905029.18</v>
      </c>
      <c r="AI62" s="190">
        <v>37304091.289999999</v>
      </c>
      <c r="AJ62" s="190">
        <v>34797941.079999998</v>
      </c>
      <c r="AK62" s="190">
        <v>46273628.060000002</v>
      </c>
      <c r="AL62" s="190">
        <v>7382707.6699999999</v>
      </c>
      <c r="AM62" s="190">
        <v>11219369.609999999</v>
      </c>
      <c r="AN62" s="190">
        <v>4301269.5</v>
      </c>
      <c r="AO62" s="190">
        <v>11565731.4</v>
      </c>
      <c r="AP62" s="190">
        <v>871158.25</v>
      </c>
      <c r="AQ62" s="190">
        <v>1273248.46</v>
      </c>
      <c r="AR62" s="190">
        <v>1094815.3500000001</v>
      </c>
      <c r="AS62" s="190">
        <v>1127905.47</v>
      </c>
      <c r="AT62" s="190">
        <v>0</v>
      </c>
      <c r="AU62" s="190">
        <v>0</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763462.51</v>
      </c>
      <c r="C63" s="190">
        <v>1008086.71</v>
      </c>
      <c r="D63" s="190">
        <v>580282.99</v>
      </c>
      <c r="E63" s="190">
        <v>821521.55</v>
      </c>
      <c r="F63" s="190">
        <v>1717522.62</v>
      </c>
      <c r="G63" s="190">
        <v>1174831.28</v>
      </c>
      <c r="H63" s="190">
        <v>1643364.18</v>
      </c>
      <c r="I63" s="190">
        <v>1901218.3</v>
      </c>
      <c r="J63" s="190">
        <v>676937.05</v>
      </c>
      <c r="K63" s="190">
        <v>402221.72</v>
      </c>
      <c r="L63" s="190">
        <v>1583893.9</v>
      </c>
      <c r="M63" s="190">
        <v>2363217.44</v>
      </c>
      <c r="N63" s="190">
        <v>2994770.97</v>
      </c>
      <c r="O63" s="190">
        <v>3643325.03</v>
      </c>
      <c r="P63" s="190">
        <v>3407974.94</v>
      </c>
      <c r="Q63" s="190">
        <v>1784517.17</v>
      </c>
      <c r="R63" s="190">
        <v>4323041.75</v>
      </c>
      <c r="S63" s="190">
        <v>2797093.92</v>
      </c>
      <c r="T63" s="190">
        <v>1533619.61</v>
      </c>
      <c r="U63" s="190">
        <v>834321.55</v>
      </c>
      <c r="V63" s="190">
        <v>1334195.01</v>
      </c>
      <c r="W63" s="190">
        <v>1262842.07</v>
      </c>
      <c r="X63" s="190">
        <v>1177530.25</v>
      </c>
      <c r="Y63" s="190">
        <v>925662.45</v>
      </c>
      <c r="Z63" s="190">
        <v>1133978.74</v>
      </c>
      <c r="AA63" s="190">
        <v>707053.36</v>
      </c>
      <c r="AB63" s="190">
        <v>967877.98</v>
      </c>
      <c r="AC63" s="190">
        <v>982653.74</v>
      </c>
      <c r="AD63" s="190">
        <v>0</v>
      </c>
      <c r="AE63" s="190">
        <v>0</v>
      </c>
      <c r="AF63" s="190">
        <v>0</v>
      </c>
      <c r="AG63" s="190">
        <v>0</v>
      </c>
      <c r="AH63" s="190">
        <v>0</v>
      </c>
      <c r="AI63" s="190">
        <v>0</v>
      </c>
      <c r="AJ63" s="190">
        <v>0</v>
      </c>
      <c r="AK63" s="190">
        <v>0</v>
      </c>
      <c r="AL63" s="190">
        <v>0</v>
      </c>
      <c r="AM63" s="190">
        <v>0</v>
      </c>
      <c r="AN63" s="190">
        <v>51000</v>
      </c>
      <c r="AO63" s="190">
        <v>32328.77</v>
      </c>
      <c r="AP63" s="190">
        <v>0</v>
      </c>
      <c r="AQ63" s="190">
        <v>0</v>
      </c>
      <c r="AR63" s="190">
        <v>0</v>
      </c>
      <c r="AS63" s="190">
        <v>0</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4950000</v>
      </c>
      <c r="S64" s="190">
        <v>4950000</v>
      </c>
      <c r="T64" s="190">
        <v>4950000</v>
      </c>
      <c r="U64" s="190">
        <v>4950000</v>
      </c>
      <c r="V64" s="190">
        <v>100300000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942388406.24000001</v>
      </c>
      <c r="C68" s="36">
        <f t="shared" ref="C68:BN68" si="8">SUM(C52:C64)-2*C63</f>
        <v>854701615.73000014</v>
      </c>
      <c r="D68" s="36">
        <f t="shared" si="8"/>
        <v>805455739.70000005</v>
      </c>
      <c r="E68" s="36">
        <f t="shared" si="8"/>
        <v>860715355.08999979</v>
      </c>
      <c r="F68" s="36">
        <f t="shared" si="8"/>
        <v>840862830.80000007</v>
      </c>
      <c r="G68" s="36">
        <f t="shared" si="8"/>
        <v>829868849.1400001</v>
      </c>
      <c r="H68" s="36">
        <f t="shared" si="8"/>
        <v>859621870.98999989</v>
      </c>
      <c r="I68" s="36">
        <f t="shared" si="8"/>
        <v>896445539.41999984</v>
      </c>
      <c r="J68" s="36">
        <f t="shared" si="8"/>
        <v>874520708.15999985</v>
      </c>
      <c r="K68" s="36">
        <f t="shared" si="8"/>
        <v>876849190</v>
      </c>
      <c r="L68" s="36">
        <f t="shared" si="8"/>
        <v>897364775.6500001</v>
      </c>
      <c r="M68" s="36">
        <f t="shared" si="8"/>
        <v>936357590.23000014</v>
      </c>
      <c r="N68" s="36">
        <f t="shared" si="8"/>
        <v>911360802.73999989</v>
      </c>
      <c r="O68" s="36">
        <f t="shared" si="8"/>
        <v>1001784747.86</v>
      </c>
      <c r="P68" s="36">
        <f t="shared" si="8"/>
        <v>1020475257.1900002</v>
      </c>
      <c r="Q68" s="36">
        <f t="shared" si="8"/>
        <v>1054560999.3199998</v>
      </c>
      <c r="R68" s="36">
        <f t="shared" si="8"/>
        <v>1323848443.04</v>
      </c>
      <c r="S68" s="36">
        <f t="shared" si="8"/>
        <v>1348513151.45</v>
      </c>
      <c r="T68" s="36">
        <f t="shared" si="8"/>
        <v>1245528828.27</v>
      </c>
      <c r="U68" s="36">
        <f t="shared" si="8"/>
        <v>1228611616.8100002</v>
      </c>
      <c r="V68" s="36">
        <f t="shared" si="8"/>
        <v>1255754856.98</v>
      </c>
      <c r="W68" s="36">
        <f t="shared" si="8"/>
        <v>1109712389.5999999</v>
      </c>
      <c r="X68" s="36">
        <f t="shared" si="8"/>
        <v>1063202320.86</v>
      </c>
      <c r="Y68" s="36">
        <f t="shared" si="8"/>
        <v>1060926952.2</v>
      </c>
      <c r="Z68" s="36">
        <f t="shared" si="8"/>
        <v>1005288075</v>
      </c>
      <c r="AA68" s="36">
        <f t="shared" si="8"/>
        <v>1003166388.75</v>
      </c>
      <c r="AB68" s="36">
        <f t="shared" si="8"/>
        <v>938753171.18999994</v>
      </c>
      <c r="AC68" s="36">
        <f t="shared" si="8"/>
        <v>945774940.12999988</v>
      </c>
      <c r="AD68" s="36">
        <f t="shared" si="8"/>
        <v>1060475313.41</v>
      </c>
      <c r="AE68" s="36">
        <f t="shared" si="8"/>
        <v>1040114232.6499999</v>
      </c>
      <c r="AF68" s="36">
        <f t="shared" si="8"/>
        <v>1061073766.47</v>
      </c>
      <c r="AG68" s="36">
        <f t="shared" si="8"/>
        <v>1034333727.02</v>
      </c>
      <c r="AH68" s="36">
        <f t="shared" si="8"/>
        <v>790296330.75</v>
      </c>
      <c r="AI68" s="36">
        <f t="shared" si="8"/>
        <v>717449016</v>
      </c>
      <c r="AJ68" s="36">
        <f t="shared" si="8"/>
        <v>734154990.48000002</v>
      </c>
      <c r="AK68" s="36">
        <f t="shared" si="8"/>
        <v>734966177.3499999</v>
      </c>
      <c r="AL68" s="36">
        <f t="shared" si="8"/>
        <v>632921621.98999989</v>
      </c>
      <c r="AM68" s="36">
        <f t="shared" si="8"/>
        <v>573926710.39999998</v>
      </c>
      <c r="AN68" s="36">
        <f t="shared" si="8"/>
        <v>513632313.76999998</v>
      </c>
      <c r="AO68" s="36">
        <f t="shared" si="8"/>
        <v>457567021.10999995</v>
      </c>
      <c r="AP68" s="36">
        <f t="shared" si="8"/>
        <v>307332681.16000003</v>
      </c>
      <c r="AQ68" s="36">
        <f t="shared" si="8"/>
        <v>227942709.50000003</v>
      </c>
      <c r="AR68" s="36">
        <f t="shared" si="8"/>
        <v>205400925.84999999</v>
      </c>
      <c r="AS68" s="36">
        <f t="shared" si="8"/>
        <v>187820781.28</v>
      </c>
      <c r="AT68" s="36">
        <f t="shared" si="8"/>
        <v>127162066.33</v>
      </c>
      <c r="AU68" s="36">
        <f t="shared" si="8"/>
        <v>5837715.5099999998</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2952753896.8699999</v>
      </c>
      <c r="C69" s="33">
        <f t="shared" ref="C69:BN69" si="10">C50+C68</f>
        <v>2019219755.71</v>
      </c>
      <c r="D69" s="33">
        <f t="shared" si="10"/>
        <v>1893275494.5699997</v>
      </c>
      <c r="E69" s="33">
        <f t="shared" si="10"/>
        <v>1864757034.3799996</v>
      </c>
      <c r="F69" s="33">
        <f t="shared" si="10"/>
        <v>2302671706.25</v>
      </c>
      <c r="G69" s="33">
        <f t="shared" si="10"/>
        <v>1966631879.3600001</v>
      </c>
      <c r="H69" s="33">
        <f t="shared" si="10"/>
        <v>2030030915.4099998</v>
      </c>
      <c r="I69" s="33">
        <f t="shared" si="10"/>
        <v>1880965496.5600002</v>
      </c>
      <c r="J69" s="33">
        <f t="shared" si="10"/>
        <v>1682761404.2599998</v>
      </c>
      <c r="K69" s="33">
        <f t="shared" si="10"/>
        <v>1552468740.6399999</v>
      </c>
      <c r="L69" s="33">
        <f t="shared" si="10"/>
        <v>1665008780.9500003</v>
      </c>
      <c r="M69" s="33">
        <f t="shared" si="10"/>
        <v>1567234772.8599997</v>
      </c>
      <c r="N69" s="33">
        <f t="shared" si="10"/>
        <v>2046195692.5299997</v>
      </c>
      <c r="O69" s="33">
        <f t="shared" si="10"/>
        <v>1959073858.7200003</v>
      </c>
      <c r="P69" s="33">
        <f t="shared" si="10"/>
        <v>2314301388.9400001</v>
      </c>
      <c r="Q69" s="33">
        <f t="shared" si="10"/>
        <v>1644445206.9500003</v>
      </c>
      <c r="R69" s="33">
        <f t="shared" si="10"/>
        <v>2499741152.79</v>
      </c>
      <c r="S69" s="33">
        <f t="shared" si="10"/>
        <v>2529920875.9799995</v>
      </c>
      <c r="T69" s="33">
        <f t="shared" si="10"/>
        <v>2139307134.8100002</v>
      </c>
      <c r="U69" s="33">
        <f t="shared" si="10"/>
        <v>1950032820.1900003</v>
      </c>
      <c r="V69" s="33">
        <f t="shared" si="10"/>
        <v>2041622179.5899999</v>
      </c>
      <c r="W69" s="33">
        <f t="shared" si="10"/>
        <v>1814110433.0599999</v>
      </c>
      <c r="X69" s="33">
        <f t="shared" si="10"/>
        <v>1574253956.8400002</v>
      </c>
      <c r="Y69" s="33">
        <f t="shared" si="10"/>
        <v>1422604448.4899998</v>
      </c>
      <c r="Z69" s="33">
        <f t="shared" si="10"/>
        <v>1428799865.25</v>
      </c>
      <c r="AA69" s="33">
        <f t="shared" si="10"/>
        <v>1352107571.79</v>
      </c>
      <c r="AB69" s="33">
        <f t="shared" si="10"/>
        <v>1126408557.5499997</v>
      </c>
      <c r="AC69" s="33">
        <f t="shared" si="10"/>
        <v>1017297349.0999999</v>
      </c>
      <c r="AD69" s="33">
        <f t="shared" si="10"/>
        <v>847765337.49000001</v>
      </c>
      <c r="AE69" s="33">
        <f t="shared" si="10"/>
        <v>843205341.1899997</v>
      </c>
      <c r="AF69" s="33">
        <f t="shared" si="10"/>
        <v>840524677.09000003</v>
      </c>
      <c r="AG69" s="33">
        <f t="shared" si="10"/>
        <v>736283866.30999994</v>
      </c>
      <c r="AH69" s="33">
        <f t="shared" si="10"/>
        <v>493197593.63999987</v>
      </c>
      <c r="AI69" s="33">
        <f t="shared" si="10"/>
        <v>339884254.51999998</v>
      </c>
      <c r="AJ69" s="33">
        <f t="shared" si="10"/>
        <v>522624228.62</v>
      </c>
      <c r="AK69" s="33">
        <f t="shared" si="10"/>
        <v>256341715.87999988</v>
      </c>
      <c r="AL69" s="33">
        <f t="shared" si="10"/>
        <v>285045308.0999999</v>
      </c>
      <c r="AM69" s="33">
        <f t="shared" si="10"/>
        <v>198445945.2700001</v>
      </c>
      <c r="AN69" s="33">
        <f t="shared" si="10"/>
        <v>249633601.58000004</v>
      </c>
      <c r="AO69" s="33">
        <f t="shared" si="10"/>
        <v>29973817.199999869</v>
      </c>
      <c r="AP69" s="33">
        <f t="shared" si="10"/>
        <v>177658922.78000003</v>
      </c>
      <c r="AQ69" s="33">
        <f t="shared" si="10"/>
        <v>344764055.21000004</v>
      </c>
      <c r="AR69" s="33">
        <f t="shared" si="10"/>
        <v>176378562.50999996</v>
      </c>
      <c r="AS69" s="33">
        <f t="shared" si="10"/>
        <v>11186765.700000018</v>
      </c>
      <c r="AT69" s="33">
        <f t="shared" si="10"/>
        <v>61194144.85999997</v>
      </c>
      <c r="AU69" s="33">
        <f t="shared" si="10"/>
        <v>9361619.6000000034</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4580369165.3899994</v>
      </c>
      <c r="C70" s="37">
        <f t="shared" ref="C70:BN70" si="12">C17+C19+C69</f>
        <v>3403422553.4700003</v>
      </c>
      <c r="D70" s="37">
        <f t="shared" si="12"/>
        <v>3714510459.1099997</v>
      </c>
      <c r="E70" s="37">
        <f t="shared" si="12"/>
        <v>3587491977.3399997</v>
      </c>
      <c r="F70" s="37">
        <f t="shared" si="12"/>
        <v>4061986734.6300001</v>
      </c>
      <c r="G70" s="37">
        <f t="shared" si="12"/>
        <v>3898849888.4500003</v>
      </c>
      <c r="H70" s="37">
        <f t="shared" si="12"/>
        <v>3671399180.6199999</v>
      </c>
      <c r="I70" s="37">
        <f t="shared" si="12"/>
        <v>3530785966.6700001</v>
      </c>
      <c r="J70" s="37">
        <f t="shared" si="12"/>
        <v>3367415813.2099996</v>
      </c>
      <c r="K70" s="37">
        <f t="shared" si="12"/>
        <v>3230629835.25</v>
      </c>
      <c r="L70" s="37">
        <f t="shared" si="12"/>
        <v>3526476532.8900003</v>
      </c>
      <c r="M70" s="37">
        <f t="shared" si="12"/>
        <v>3388790830.3599997</v>
      </c>
      <c r="N70" s="37">
        <f t="shared" si="12"/>
        <v>3256183009.4999995</v>
      </c>
      <c r="O70" s="37">
        <f t="shared" si="12"/>
        <v>3054406054.3900003</v>
      </c>
      <c r="P70" s="37">
        <f t="shared" si="12"/>
        <v>3385983233.7600002</v>
      </c>
      <c r="Q70" s="37">
        <f t="shared" si="12"/>
        <v>3261451907.0300007</v>
      </c>
      <c r="R70" s="37">
        <f t="shared" si="12"/>
        <v>3156145021.0799999</v>
      </c>
      <c r="S70" s="37">
        <f t="shared" si="12"/>
        <v>3040119201.5299997</v>
      </c>
      <c r="T70" s="37">
        <f t="shared" si="12"/>
        <v>3226422325.8500004</v>
      </c>
      <c r="U70" s="37">
        <f t="shared" si="12"/>
        <v>3104302884.6200004</v>
      </c>
      <c r="V70" s="37">
        <f t="shared" si="12"/>
        <v>2995579695.4899998</v>
      </c>
      <c r="W70" s="37">
        <f t="shared" si="12"/>
        <v>2938325745.1999998</v>
      </c>
      <c r="X70" s="37">
        <f t="shared" si="12"/>
        <v>3087420030.0600004</v>
      </c>
      <c r="Y70" s="37">
        <f t="shared" si="12"/>
        <v>2954860930.27</v>
      </c>
      <c r="Z70" s="37">
        <f t="shared" si="12"/>
        <v>2886539002.1100001</v>
      </c>
      <c r="AA70" s="37">
        <f t="shared" si="12"/>
        <v>2731515154.73</v>
      </c>
      <c r="AB70" s="37">
        <f t="shared" si="12"/>
        <v>2728125039.6399994</v>
      </c>
      <c r="AC70" s="37">
        <f t="shared" si="12"/>
        <v>2590054892.5</v>
      </c>
      <c r="AD70" s="37">
        <f t="shared" si="12"/>
        <v>2915336966.9700003</v>
      </c>
      <c r="AE70" s="37">
        <f t="shared" si="12"/>
        <v>2874207724.1999998</v>
      </c>
      <c r="AF70" s="37">
        <f t="shared" si="12"/>
        <v>3161669736.7800002</v>
      </c>
      <c r="AG70" s="37">
        <f t="shared" si="12"/>
        <v>3029482738.6900001</v>
      </c>
      <c r="AH70" s="37">
        <f t="shared" si="12"/>
        <v>2881186459.52</v>
      </c>
      <c r="AI70" s="37">
        <f t="shared" si="12"/>
        <v>2659783724.3000002</v>
      </c>
      <c r="AJ70" s="37">
        <f t="shared" si="12"/>
        <v>2909931326.9000001</v>
      </c>
      <c r="AK70" s="37">
        <f t="shared" si="12"/>
        <v>2825127109.5</v>
      </c>
      <c r="AL70" s="37">
        <f t="shared" si="12"/>
        <v>2668898392.1700001</v>
      </c>
      <c r="AM70" s="37">
        <f t="shared" si="12"/>
        <v>2478759414.3699999</v>
      </c>
      <c r="AN70" s="37">
        <f t="shared" si="12"/>
        <v>2562880521.2799997</v>
      </c>
      <c r="AO70" s="37">
        <f t="shared" si="12"/>
        <v>2417045444.6099997</v>
      </c>
      <c r="AP70" s="37">
        <f t="shared" si="12"/>
        <v>2225872120.29</v>
      </c>
      <c r="AQ70" s="37">
        <f t="shared" si="12"/>
        <v>2171852002.2799997</v>
      </c>
      <c r="AR70" s="37">
        <f t="shared" si="12"/>
        <v>571003985.20999992</v>
      </c>
      <c r="AS70" s="37">
        <f t="shared" si="12"/>
        <v>461487114.07000005</v>
      </c>
      <c r="AT70" s="37">
        <f t="shared" si="12"/>
        <v>247869109.48999995</v>
      </c>
      <c r="AU70" s="37">
        <f t="shared" si="12"/>
        <v>73850314.38000001</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8513310</v>
      </c>
      <c r="H72" s="28">
        <f t="shared" si="14"/>
        <v>8625630</v>
      </c>
      <c r="I72" s="28">
        <f t="shared" si="14"/>
        <v>8625630</v>
      </c>
      <c r="J72" s="28">
        <f t="shared" si="14"/>
        <v>8625630</v>
      </c>
      <c r="K72" s="28">
        <f t="shared" si="14"/>
        <v>8678670</v>
      </c>
      <c r="L72" s="28">
        <f t="shared" si="14"/>
        <v>8970390</v>
      </c>
      <c r="M72" s="28">
        <f t="shared" si="14"/>
        <v>8970390</v>
      </c>
      <c r="N72" s="28">
        <f t="shared" si="14"/>
        <v>21054670</v>
      </c>
      <c r="O72" s="28">
        <f t="shared" si="14"/>
        <v>12031240</v>
      </c>
      <c r="P72" s="28">
        <f t="shared" si="14"/>
        <v>12261080</v>
      </c>
      <c r="Q72" s="28">
        <f t="shared" si="14"/>
        <v>12261080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1440000</v>
      </c>
      <c r="C76" s="190">
        <v>1440000</v>
      </c>
      <c r="D76" s="190">
        <v>0</v>
      </c>
      <c r="E76" s="190">
        <v>0</v>
      </c>
      <c r="F76" s="190">
        <v>0</v>
      </c>
      <c r="G76" s="190">
        <v>8513310</v>
      </c>
      <c r="H76" s="190">
        <v>8625630</v>
      </c>
      <c r="I76" s="190">
        <v>8625630</v>
      </c>
      <c r="J76" s="190">
        <v>8625630</v>
      </c>
      <c r="K76" s="190">
        <v>8678670</v>
      </c>
      <c r="L76" s="190">
        <v>8970390</v>
      </c>
      <c r="M76" s="190">
        <v>8970390</v>
      </c>
      <c r="N76" s="190">
        <v>21054670</v>
      </c>
      <c r="O76" s="190">
        <v>12031240</v>
      </c>
      <c r="P76" s="190">
        <v>12261080</v>
      </c>
      <c r="Q76" s="190">
        <v>12261080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5274285.7</v>
      </c>
      <c r="F81" s="28">
        <f t="shared" ref="F81:BQ81" si="16">SUM(F82:F85)</f>
        <v>6022857.1299999999</v>
      </c>
      <c r="G81" s="28">
        <f t="shared" si="16"/>
        <v>6771428.5599999996</v>
      </c>
      <c r="H81" s="28">
        <f t="shared" si="16"/>
        <v>7519999.9900000002</v>
      </c>
      <c r="I81" s="28">
        <f t="shared" si="16"/>
        <v>8268571.4199999999</v>
      </c>
      <c r="J81" s="28">
        <f t="shared" si="16"/>
        <v>9017142.8499999996</v>
      </c>
      <c r="K81" s="28">
        <f t="shared" si="16"/>
        <v>18444384.280000001</v>
      </c>
      <c r="L81" s="28">
        <f t="shared" si="16"/>
        <v>20484675.710000001</v>
      </c>
      <c r="M81" s="28">
        <f t="shared" si="16"/>
        <v>21233247.140000001</v>
      </c>
      <c r="N81" s="28">
        <f t="shared" si="16"/>
        <v>21034858.57</v>
      </c>
      <c r="O81" s="28">
        <f t="shared" si="16"/>
        <v>30806860</v>
      </c>
      <c r="P81" s="28">
        <f t="shared" si="16"/>
        <v>31900191.43</v>
      </c>
      <c r="Q81" s="28">
        <f t="shared" si="16"/>
        <v>32648762.859999999</v>
      </c>
      <c r="R81" s="28">
        <f t="shared" si="16"/>
        <v>15005714.279999999</v>
      </c>
      <c r="S81" s="28">
        <f t="shared" si="16"/>
        <v>15754285.710000001</v>
      </c>
      <c r="T81" s="28">
        <f t="shared" si="16"/>
        <v>17251428.57</v>
      </c>
      <c r="U81" s="28">
        <f t="shared" si="16"/>
        <v>17251428.57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3028571.41</v>
      </c>
      <c r="C85" s="190">
        <v>3777142.84</v>
      </c>
      <c r="D85" s="190">
        <v>4525714.2699999996</v>
      </c>
      <c r="E85" s="190">
        <v>5274285.7</v>
      </c>
      <c r="F85" s="190">
        <v>6022857.1299999999</v>
      </c>
      <c r="G85" s="190">
        <v>6771428.5599999996</v>
      </c>
      <c r="H85" s="190">
        <v>7519999.9900000002</v>
      </c>
      <c r="I85" s="190">
        <v>8268571.4199999999</v>
      </c>
      <c r="J85" s="190">
        <v>9017142.8499999996</v>
      </c>
      <c r="K85" s="190">
        <v>18444384.280000001</v>
      </c>
      <c r="L85" s="190">
        <v>20484675.710000001</v>
      </c>
      <c r="M85" s="190">
        <v>21233247.140000001</v>
      </c>
      <c r="N85" s="190">
        <v>21034858.57</v>
      </c>
      <c r="O85" s="190">
        <v>30806860</v>
      </c>
      <c r="P85" s="190">
        <v>31900191.43</v>
      </c>
      <c r="Q85" s="190">
        <v>32648762.859999999</v>
      </c>
      <c r="R85" s="190">
        <v>15005714.279999999</v>
      </c>
      <c r="S85" s="190">
        <v>15754285.710000001</v>
      </c>
      <c r="T85" s="190">
        <v>17251428.57</v>
      </c>
      <c r="U85" s="190">
        <v>17251428.57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4468571.41</v>
      </c>
      <c r="C89" s="33">
        <f>SUM(C73:C85)</f>
        <v>5217142.84</v>
      </c>
      <c r="D89" s="33">
        <f>SUM(D73:D85)</f>
        <v>4525714.2699999996</v>
      </c>
      <c r="E89" s="33">
        <f>E72+E81</f>
        <v>5274285.7</v>
      </c>
      <c r="F89" s="33">
        <f t="shared" ref="F89:BQ89" si="18">F72+F81</f>
        <v>6022857.1299999999</v>
      </c>
      <c r="G89" s="33">
        <f t="shared" si="18"/>
        <v>15284738.559999999</v>
      </c>
      <c r="H89" s="33">
        <f t="shared" si="18"/>
        <v>16145629.99</v>
      </c>
      <c r="I89" s="33">
        <f t="shared" si="18"/>
        <v>16894201.420000002</v>
      </c>
      <c r="J89" s="33">
        <f t="shared" si="18"/>
        <v>17642772.850000001</v>
      </c>
      <c r="K89" s="33">
        <f t="shared" si="18"/>
        <v>27123054.280000001</v>
      </c>
      <c r="L89" s="33">
        <f t="shared" si="18"/>
        <v>29455065.710000001</v>
      </c>
      <c r="M89" s="33">
        <f t="shared" si="18"/>
        <v>30203637.140000001</v>
      </c>
      <c r="N89" s="33">
        <f t="shared" si="18"/>
        <v>42089528.57</v>
      </c>
      <c r="O89" s="33">
        <f t="shared" si="18"/>
        <v>42838100</v>
      </c>
      <c r="P89" s="33">
        <f t="shared" si="18"/>
        <v>44161271.43</v>
      </c>
      <c r="Q89" s="33">
        <f t="shared" si="18"/>
        <v>44909842.859999999</v>
      </c>
      <c r="R89" s="33">
        <f t="shared" si="18"/>
        <v>15005714.279999999</v>
      </c>
      <c r="S89" s="33">
        <f t="shared" si="18"/>
        <v>15754285.710000001</v>
      </c>
      <c r="T89" s="33">
        <f t="shared" si="18"/>
        <v>17251428.57</v>
      </c>
      <c r="U89" s="33">
        <f t="shared" si="18"/>
        <v>17251428.57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767511000</v>
      </c>
      <c r="C91" s="190">
        <v>767511000</v>
      </c>
      <c r="D91" s="190">
        <v>767511000</v>
      </c>
      <c r="E91" s="190">
        <v>767511000</v>
      </c>
      <c r="F91" s="190">
        <v>767523000</v>
      </c>
      <c r="G91" s="190">
        <v>767523000</v>
      </c>
      <c r="H91" s="190">
        <v>767559000</v>
      </c>
      <c r="I91" s="190">
        <v>767559000</v>
      </c>
      <c r="J91" s="190">
        <v>767583000</v>
      </c>
      <c r="K91" s="190">
        <v>767583000</v>
      </c>
      <c r="L91" s="190">
        <v>767715000</v>
      </c>
      <c r="M91" s="190">
        <v>767715000</v>
      </c>
      <c r="N91" s="190">
        <v>767755000</v>
      </c>
      <c r="O91" s="190">
        <v>767755000</v>
      </c>
      <c r="P91" s="190">
        <v>767885000</v>
      </c>
      <c r="Q91" s="190">
        <v>767885000</v>
      </c>
      <c r="R91" s="190">
        <v>767885000</v>
      </c>
      <c r="S91" s="190">
        <v>760950000</v>
      </c>
      <c r="T91" s="190">
        <v>760950000</v>
      </c>
      <c r="U91" s="190">
        <v>760950000</v>
      </c>
      <c r="V91" s="190">
        <v>760950000</v>
      </c>
      <c r="W91" s="190">
        <v>760950000</v>
      </c>
      <c r="X91" s="190">
        <v>760950000</v>
      </c>
      <c r="Y91" s="190">
        <v>760950000</v>
      </c>
      <c r="Z91" s="190">
        <v>760950000</v>
      </c>
      <c r="AA91" s="190">
        <v>760950000</v>
      </c>
      <c r="AB91" s="190">
        <v>760950000</v>
      </c>
      <c r="AC91" s="190">
        <v>760950000</v>
      </c>
      <c r="AD91" s="190">
        <v>760950000</v>
      </c>
      <c r="AE91" s="190">
        <v>760950000</v>
      </c>
      <c r="AF91" s="190">
        <v>760950000</v>
      </c>
      <c r="AG91" s="190">
        <v>760950000</v>
      </c>
      <c r="AH91" s="190">
        <v>760950000</v>
      </c>
      <c r="AI91" s="190">
        <v>760950000</v>
      </c>
      <c r="AJ91" s="190">
        <v>507300000</v>
      </c>
      <c r="AK91" s="190">
        <v>507300000</v>
      </c>
      <c r="AL91" s="190">
        <v>507300000</v>
      </c>
      <c r="AM91" s="190">
        <v>507300000</v>
      </c>
      <c r="AN91" s="190">
        <v>267000000</v>
      </c>
      <c r="AO91" s="190">
        <v>267000000</v>
      </c>
      <c r="AP91" s="190">
        <v>267000000</v>
      </c>
      <c r="AQ91" s="190">
        <v>267000000</v>
      </c>
      <c r="AR91" s="190">
        <v>200000000</v>
      </c>
      <c r="AS91" s="190">
        <v>200000000</v>
      </c>
      <c r="AT91" s="190">
        <v>13500000</v>
      </c>
      <c r="AU91" s="190">
        <v>13500000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819301995.60000002</v>
      </c>
      <c r="C92" s="190">
        <v>819301995.60000002</v>
      </c>
      <c r="D92" s="190">
        <v>896390362.04999995</v>
      </c>
      <c r="E92" s="190">
        <v>896390362.04999995</v>
      </c>
      <c r="F92" s="190">
        <v>937208231.61000001</v>
      </c>
      <c r="G92" s="190">
        <v>936722126.16999996</v>
      </c>
      <c r="H92" s="190">
        <v>936066606.04999995</v>
      </c>
      <c r="I92" s="190">
        <v>935329402</v>
      </c>
      <c r="J92" s="190">
        <v>934642071.24000001</v>
      </c>
      <c r="K92" s="190">
        <v>933781417.85000002</v>
      </c>
      <c r="L92" s="190">
        <v>935477286.88</v>
      </c>
      <c r="M92" s="190">
        <v>934499431.63</v>
      </c>
      <c r="N92" s="190">
        <v>933643216.51999998</v>
      </c>
      <c r="O92" s="190">
        <v>932344680.82000005</v>
      </c>
      <c r="P92" s="190">
        <v>931274380.82000005</v>
      </c>
      <c r="Q92" s="190">
        <v>929658530.82000005</v>
      </c>
      <c r="R92" s="190">
        <v>927504064.14999998</v>
      </c>
      <c r="S92" s="190">
        <v>903786364.14999998</v>
      </c>
      <c r="T92" s="190">
        <v>903786364.14999998</v>
      </c>
      <c r="U92" s="190">
        <v>903786364.14999998</v>
      </c>
      <c r="V92" s="190">
        <v>903786364.14999998</v>
      </c>
      <c r="W92" s="190">
        <v>903786364.14999998</v>
      </c>
      <c r="X92" s="190">
        <v>903786364.14999998</v>
      </c>
      <c r="Y92" s="190">
        <v>903786364.14999998</v>
      </c>
      <c r="Z92" s="190">
        <v>903786364.14999998</v>
      </c>
      <c r="AA92" s="190">
        <v>903786364.14999998</v>
      </c>
      <c r="AB92" s="190">
        <v>903786364.14999998</v>
      </c>
      <c r="AC92" s="190">
        <v>903786364.14999998</v>
      </c>
      <c r="AD92" s="190">
        <v>903461527.86000001</v>
      </c>
      <c r="AE92" s="190">
        <v>903461527.86000001</v>
      </c>
      <c r="AF92" s="190">
        <v>903461527.86000001</v>
      </c>
      <c r="AG92" s="190">
        <v>903461527.86000001</v>
      </c>
      <c r="AH92" s="190">
        <v>903461527.86000001</v>
      </c>
      <c r="AI92" s="190">
        <v>903461527.86000001</v>
      </c>
      <c r="AJ92" s="190">
        <v>1157111527.8599999</v>
      </c>
      <c r="AK92" s="190">
        <v>1157111527.8599999</v>
      </c>
      <c r="AL92" s="190">
        <v>1157111527.8599999</v>
      </c>
      <c r="AM92" s="190">
        <v>1157111527.8599999</v>
      </c>
      <c r="AN92" s="190">
        <v>1397411527.8599999</v>
      </c>
      <c r="AO92" s="190">
        <v>1397411527.8599999</v>
      </c>
      <c r="AP92" s="190">
        <v>1397411527.8599999</v>
      </c>
      <c r="AQ92" s="190">
        <v>1397411527.8599999</v>
      </c>
      <c r="AR92" s="190">
        <v>5673194.3300000001</v>
      </c>
      <c r="AS92" s="190">
        <v>5673194.3300000001</v>
      </c>
      <c r="AT92" s="190">
        <v>45573725.729999997</v>
      </c>
      <c r="AU92" s="190">
        <v>519667.1</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8211947.0300000003</v>
      </c>
      <c r="C93" s="190">
        <v>8211947.0300000003</v>
      </c>
      <c r="D93" s="190">
        <v>85300313.480000004</v>
      </c>
      <c r="E93" s="190">
        <v>64941904.130000003</v>
      </c>
      <c r="F93" s="190">
        <v>37440</v>
      </c>
      <c r="G93" s="190">
        <v>8513310</v>
      </c>
      <c r="H93" s="190">
        <v>8625630</v>
      </c>
      <c r="I93" s="190">
        <v>8625630</v>
      </c>
      <c r="J93" s="190">
        <v>8625630</v>
      </c>
      <c r="K93" s="190">
        <v>17357340</v>
      </c>
      <c r="L93" s="190">
        <v>17940780</v>
      </c>
      <c r="M93" s="190">
        <v>17940780</v>
      </c>
      <c r="N93" s="190">
        <v>30078100</v>
      </c>
      <c r="O93" s="190">
        <v>30078100</v>
      </c>
      <c r="P93" s="190">
        <v>30652700</v>
      </c>
      <c r="Q93" s="190">
        <v>30652700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-5386562.0300000003</v>
      </c>
      <c r="C94" s="190">
        <v>-4930636.25</v>
      </c>
      <c r="D94" s="190">
        <v>-2710537.08</v>
      </c>
      <c r="E94" s="190">
        <v>-3111719.59</v>
      </c>
      <c r="F94" s="190">
        <v>-765604.82</v>
      </c>
      <c r="G94" s="190">
        <v>-1178036.08</v>
      </c>
      <c r="H94" s="190">
        <v>-545244.72</v>
      </c>
      <c r="I94" s="190">
        <v>-548496.84</v>
      </c>
      <c r="J94" s="190">
        <v>-1209792.54</v>
      </c>
      <c r="K94" s="190">
        <v>-1161379.55</v>
      </c>
      <c r="L94" s="190">
        <v>1230817.1100000001</v>
      </c>
      <c r="M94" s="190">
        <v>1230817.1100000001</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397820873.70999998</v>
      </c>
      <c r="C96" s="190">
        <v>397820873.70999998</v>
      </c>
      <c r="D96" s="190">
        <v>397820873.70999998</v>
      </c>
      <c r="E96" s="190">
        <v>397820873.70999998</v>
      </c>
      <c r="F96" s="190">
        <v>397820873.70999998</v>
      </c>
      <c r="G96" s="190">
        <v>397820873.70999998</v>
      </c>
      <c r="H96" s="190">
        <v>397820873.70999998</v>
      </c>
      <c r="I96" s="190">
        <v>397820873.70999998</v>
      </c>
      <c r="J96" s="190">
        <v>397820873.70999998</v>
      </c>
      <c r="K96" s="190">
        <v>397820873.70999998</v>
      </c>
      <c r="L96" s="190">
        <v>397820873.70999998</v>
      </c>
      <c r="M96" s="190">
        <v>397820873.70999998</v>
      </c>
      <c r="N96" s="190">
        <v>397820873.70999998</v>
      </c>
      <c r="O96" s="190">
        <v>397820873.70999998</v>
      </c>
      <c r="P96" s="190">
        <v>397820873.70999998</v>
      </c>
      <c r="Q96" s="190">
        <v>397820873.70999998</v>
      </c>
      <c r="R96" s="190">
        <v>397820873.70999998</v>
      </c>
      <c r="S96" s="190">
        <v>397820873.70999998</v>
      </c>
      <c r="T96" s="190">
        <v>397820873.70999998</v>
      </c>
      <c r="U96" s="190">
        <v>397820873.70999998</v>
      </c>
      <c r="V96" s="190">
        <v>397820873.70999998</v>
      </c>
      <c r="W96" s="190">
        <v>397820873.70999998</v>
      </c>
      <c r="X96" s="190">
        <v>397820873.70999998</v>
      </c>
      <c r="Y96" s="190">
        <v>397820873.70999998</v>
      </c>
      <c r="Z96" s="190">
        <v>329976578.39999998</v>
      </c>
      <c r="AA96" s="190">
        <v>329976578.39999998</v>
      </c>
      <c r="AB96" s="190">
        <v>329976578.39999998</v>
      </c>
      <c r="AC96" s="190">
        <v>329976578.39999998</v>
      </c>
      <c r="AD96" s="190">
        <v>310312744.37</v>
      </c>
      <c r="AE96" s="190">
        <v>310312744.37</v>
      </c>
      <c r="AF96" s="190">
        <v>249397474.68000001</v>
      </c>
      <c r="AG96" s="190">
        <v>249397474.68000001</v>
      </c>
      <c r="AH96" s="190">
        <v>156692339.05000001</v>
      </c>
      <c r="AI96" s="190">
        <v>156692339.05000001</v>
      </c>
      <c r="AJ96" s="190">
        <v>156692339.05000001</v>
      </c>
      <c r="AK96" s="190">
        <v>156692339.05000001</v>
      </c>
      <c r="AL96" s="190">
        <v>78254374.269999996</v>
      </c>
      <c r="AM96" s="190">
        <v>78254374.269999996</v>
      </c>
      <c r="AN96" s="190">
        <v>78254374.269999996</v>
      </c>
      <c r="AO96" s="190">
        <v>78254374.269999996</v>
      </c>
      <c r="AP96" s="190">
        <v>65847162.469999999</v>
      </c>
      <c r="AQ96" s="190">
        <v>53097076.789999999</v>
      </c>
      <c r="AR96" s="190">
        <v>41950777.07</v>
      </c>
      <c r="AS96" s="190">
        <v>32536463.539999999</v>
      </c>
      <c r="AT96" s="190">
        <v>22398453.710000001</v>
      </c>
      <c r="AU96" s="190">
        <v>10415110.119999999</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1615708353.25</v>
      </c>
      <c r="C98" s="190">
        <v>1417169454.05</v>
      </c>
      <c r="D98" s="190">
        <v>1727888061.3499999</v>
      </c>
      <c r="E98" s="190">
        <v>1580886809.9300001</v>
      </c>
      <c r="F98" s="190">
        <v>1891083651.51</v>
      </c>
      <c r="G98" s="190">
        <v>1713707183.3800001</v>
      </c>
      <c r="H98" s="190">
        <v>1488744592.4000001</v>
      </c>
      <c r="I98" s="190">
        <v>1352474752.5999999</v>
      </c>
      <c r="J98" s="190">
        <v>1200911661.25</v>
      </c>
      <c r="K98" s="190">
        <v>1018491852.08</v>
      </c>
      <c r="L98" s="190">
        <v>1320862909.22</v>
      </c>
      <c r="M98" s="190">
        <v>1192056085.26</v>
      </c>
      <c r="N98" s="190">
        <v>1076959640.3800001</v>
      </c>
      <c r="O98" s="190">
        <v>891212453.25999999</v>
      </c>
      <c r="P98" s="190">
        <v>1151632124.28</v>
      </c>
      <c r="Q98" s="190">
        <v>1032668161.13</v>
      </c>
      <c r="R98" s="190">
        <v>937955835.61000001</v>
      </c>
      <c r="S98" s="190">
        <v>779283050.29999995</v>
      </c>
      <c r="T98" s="190">
        <v>603656030.96000004</v>
      </c>
      <c r="U98" s="190">
        <v>881485804.15999997</v>
      </c>
      <c r="V98" s="190">
        <v>819523764.19000006</v>
      </c>
      <c r="W98" s="190">
        <v>665473366.27999997</v>
      </c>
      <c r="X98" s="190">
        <v>905795324.28999996</v>
      </c>
      <c r="Y98" s="190">
        <v>792254262.13</v>
      </c>
      <c r="Z98" s="190">
        <v>807203359.99000001</v>
      </c>
      <c r="AA98" s="190">
        <v>668178305.30999994</v>
      </c>
      <c r="AB98" s="190">
        <v>629821554.72000003</v>
      </c>
      <c r="AC98" s="190">
        <v>503783912.56</v>
      </c>
      <c r="AD98" s="190">
        <v>472491877.93000001</v>
      </c>
      <c r="AE98" s="190">
        <v>830018882.52999997</v>
      </c>
      <c r="AF98" s="190">
        <v>1118430151.1300001</v>
      </c>
      <c r="AG98" s="190">
        <v>996183423.85000002</v>
      </c>
      <c r="AH98" s="190">
        <v>963896834.30999994</v>
      </c>
      <c r="AI98" s="190">
        <v>771016197.25</v>
      </c>
      <c r="AJ98" s="190">
        <v>935976928</v>
      </c>
      <c r="AK98" s="190">
        <v>853089783.20000005</v>
      </c>
      <c r="AL98" s="190">
        <v>793996930.80999994</v>
      </c>
      <c r="AM98" s="190">
        <v>638937297.94000006</v>
      </c>
      <c r="AN98" s="190">
        <v>663340147.36000001</v>
      </c>
      <c r="AO98" s="190">
        <v>535381563.99000001</v>
      </c>
      <c r="AP98" s="190">
        <v>393806746.06999999</v>
      </c>
      <c r="AQ98" s="190">
        <v>377041957.06</v>
      </c>
      <c r="AR98" s="190">
        <v>262417134.94</v>
      </c>
      <c r="AS98" s="190">
        <v>173047673.71000001</v>
      </c>
      <c r="AT98" s="190">
        <v>129712930.48</v>
      </c>
      <c r="AU98" s="190">
        <v>49415537.159999996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2864400</v>
      </c>
      <c r="L99" s="190">
        <v>0</v>
      </c>
      <c r="M99" s="190">
        <v>0</v>
      </c>
      <c r="N99" s="190">
        <v>4083000</v>
      </c>
      <c r="O99" s="190">
        <v>4083000</v>
      </c>
      <c r="P99" s="190">
        <v>0</v>
      </c>
      <c r="Q99" s="190">
        <v>0</v>
      </c>
      <c r="R99" s="190">
        <v>0</v>
      </c>
      <c r="S99" s="190">
        <v>95940000</v>
      </c>
      <c r="T99" s="190">
        <v>380475000</v>
      </c>
      <c r="U99" s="190">
        <v>0</v>
      </c>
      <c r="V99" s="190">
        <v>0</v>
      </c>
      <c r="W99" s="190">
        <v>122652162</v>
      </c>
      <c r="X99" s="190">
        <v>0</v>
      </c>
      <c r="Y99" s="190">
        <v>0</v>
      </c>
      <c r="Z99" s="190">
        <v>0</v>
      </c>
      <c r="AA99" s="190">
        <v>0</v>
      </c>
      <c r="AB99" s="190">
        <v>0</v>
      </c>
      <c r="AC99" s="190">
        <v>0</v>
      </c>
      <c r="AD99" s="190">
        <v>386350330.80000001</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3586743713.5</v>
      </c>
      <c r="C102" s="190">
        <v>3388660740.0799999</v>
      </c>
      <c r="D102" s="190">
        <v>3701599446.5500002</v>
      </c>
      <c r="E102" s="190">
        <v>3574555421.9699998</v>
      </c>
      <c r="F102" s="190">
        <v>3992832712.0100002</v>
      </c>
      <c r="G102" s="190">
        <v>3806081837.1799998</v>
      </c>
      <c r="H102" s="190">
        <v>3581020197.4400001</v>
      </c>
      <c r="I102" s="190">
        <v>3444009901.4699998</v>
      </c>
      <c r="J102" s="190">
        <v>3291122183.6599998</v>
      </c>
      <c r="K102" s="190">
        <v>3099158424.0900002</v>
      </c>
      <c r="L102" s="190">
        <v>3405166106.9200001</v>
      </c>
      <c r="M102" s="190">
        <v>3275381427.71</v>
      </c>
      <c r="N102" s="190">
        <v>3146100630.6100001</v>
      </c>
      <c r="O102" s="190">
        <v>2959054907.79</v>
      </c>
      <c r="P102" s="190">
        <v>3217959678.8099999</v>
      </c>
      <c r="Q102" s="190">
        <v>3097379865.6599998</v>
      </c>
      <c r="R102" s="190">
        <v>3031165773.4699998</v>
      </c>
      <c r="S102" s="190">
        <v>2841840288.1599998</v>
      </c>
      <c r="T102" s="190">
        <v>2666213268.8200002</v>
      </c>
      <c r="U102" s="190">
        <v>2944043042.02</v>
      </c>
      <c r="V102" s="190">
        <v>2882081002.0500002</v>
      </c>
      <c r="W102" s="190">
        <v>2728030604.1399999</v>
      </c>
      <c r="X102" s="190">
        <v>2968352562.1500001</v>
      </c>
      <c r="Y102" s="190">
        <v>2854811499.9899998</v>
      </c>
      <c r="Z102" s="190">
        <v>2801916302.54</v>
      </c>
      <c r="AA102" s="190">
        <v>2662891247.8600001</v>
      </c>
      <c r="AB102" s="190">
        <v>2624534497.27</v>
      </c>
      <c r="AC102" s="190">
        <v>2498496855.1100001</v>
      </c>
      <c r="AD102" s="190">
        <v>2447216150.1599998</v>
      </c>
      <c r="AE102" s="190">
        <v>2804743154.7600002</v>
      </c>
      <c r="AF102" s="190">
        <v>3032239153.6700001</v>
      </c>
      <c r="AG102" s="190">
        <v>2909992426.3899999</v>
      </c>
      <c r="AH102" s="190">
        <v>2785000701.2199998</v>
      </c>
      <c r="AI102" s="190">
        <v>2592120064.1599998</v>
      </c>
      <c r="AJ102" s="190">
        <v>2757080794.9099998</v>
      </c>
      <c r="AK102" s="190">
        <v>2674193650.1100001</v>
      </c>
      <c r="AL102" s="190">
        <v>2536662832.9400001</v>
      </c>
      <c r="AM102" s="190">
        <v>2381603200.0700002</v>
      </c>
      <c r="AN102" s="190">
        <v>2406006049.4899998</v>
      </c>
      <c r="AO102" s="190">
        <v>2278047466.1199999</v>
      </c>
      <c r="AP102" s="190">
        <v>2124065436.4000001</v>
      </c>
      <c r="AQ102" s="190">
        <v>2094550561.71</v>
      </c>
      <c r="AR102" s="190">
        <v>510041106.33999997</v>
      </c>
      <c r="AS102" s="190">
        <v>411257331.57999998</v>
      </c>
      <c r="AT102" s="190">
        <v>211185109.91999999</v>
      </c>
      <c r="AU102" s="190">
        <v>73850314.379999995</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28308574.199999999</v>
      </c>
      <c r="C103" s="190">
        <v>9544670.5500000007</v>
      </c>
      <c r="D103" s="190">
        <v>8385298.29</v>
      </c>
      <c r="E103" s="190">
        <v>7662269.6699999999</v>
      </c>
      <c r="F103" s="190">
        <v>63131165.490000002</v>
      </c>
      <c r="G103" s="190">
        <v>77483312.709999993</v>
      </c>
      <c r="H103" s="190">
        <v>74233353.189999998</v>
      </c>
      <c r="I103" s="190">
        <v>69881863.780000001</v>
      </c>
      <c r="J103" s="190">
        <v>58650856.700000003</v>
      </c>
      <c r="K103" s="190">
        <v>101483956.88</v>
      </c>
      <c r="L103" s="190">
        <v>91855360.260000005</v>
      </c>
      <c r="M103" s="190">
        <v>83205765.510000005</v>
      </c>
      <c r="N103" s="190">
        <v>63909850.32</v>
      </c>
      <c r="O103" s="190">
        <v>48430046.600000001</v>
      </c>
      <c r="P103" s="190">
        <v>123862283.52</v>
      </c>
      <c r="Q103" s="190">
        <v>119162198.51000001</v>
      </c>
      <c r="R103" s="190">
        <v>109973533.33</v>
      </c>
      <c r="S103" s="190">
        <v>86584627.659999996</v>
      </c>
      <c r="T103" s="190">
        <v>162482628.46000001</v>
      </c>
      <c r="U103" s="190">
        <v>143008414.03</v>
      </c>
      <c r="V103" s="190">
        <v>113498693.44</v>
      </c>
      <c r="W103" s="190">
        <v>87642979.060000002</v>
      </c>
      <c r="X103" s="190">
        <v>119067467.91</v>
      </c>
      <c r="Y103" s="190">
        <v>100049430.28</v>
      </c>
      <c r="Z103" s="190">
        <v>84622699.569999993</v>
      </c>
      <c r="AA103" s="190">
        <v>68623906.870000005</v>
      </c>
      <c r="AB103" s="190">
        <v>103590542.37</v>
      </c>
      <c r="AC103" s="190">
        <v>91558037.390000001</v>
      </c>
      <c r="AD103" s="190">
        <v>81770486.010000005</v>
      </c>
      <c r="AE103" s="190">
        <v>69464569.439999998</v>
      </c>
      <c r="AF103" s="190">
        <v>129430583.11</v>
      </c>
      <c r="AG103" s="190">
        <v>119490312.3</v>
      </c>
      <c r="AH103" s="190">
        <v>96185758.299999997</v>
      </c>
      <c r="AI103" s="190">
        <v>67663660.140000001</v>
      </c>
      <c r="AJ103" s="190">
        <v>152850531.99000001</v>
      </c>
      <c r="AK103" s="190">
        <v>150933459.38999999</v>
      </c>
      <c r="AL103" s="190">
        <v>132235559.23</v>
      </c>
      <c r="AM103" s="190">
        <v>97156214.299999997</v>
      </c>
      <c r="AN103" s="190">
        <v>156874471.78999999</v>
      </c>
      <c r="AO103" s="190">
        <v>138997978.49000001</v>
      </c>
      <c r="AP103" s="190">
        <v>101806683.89</v>
      </c>
      <c r="AQ103" s="190">
        <v>77301440.569999993</v>
      </c>
      <c r="AR103" s="190">
        <v>60962878.869999997</v>
      </c>
      <c r="AS103" s="190">
        <v>50229782.490000002</v>
      </c>
      <c r="AT103" s="190">
        <v>36683999.57</v>
      </c>
      <c r="AU103" s="190">
        <v>0</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3615052287.6999998</v>
      </c>
      <c r="C107" s="33">
        <f>C102+C103</f>
        <v>3398205410.6300001</v>
      </c>
      <c r="D107" s="33">
        <f>D102+D103</f>
        <v>3709984744.8400002</v>
      </c>
      <c r="E107" s="33">
        <f>E102+E103</f>
        <v>3582217691.6399999</v>
      </c>
      <c r="F107" s="33">
        <f t="shared" ref="F107:BQ107" si="20">F102+F103</f>
        <v>4055963877.5</v>
      </c>
      <c r="G107" s="33">
        <f t="shared" si="20"/>
        <v>3883565149.8899999</v>
      </c>
      <c r="H107" s="33">
        <f t="shared" si="20"/>
        <v>3655253550.6300001</v>
      </c>
      <c r="I107" s="33">
        <f t="shared" si="20"/>
        <v>3513891765.25</v>
      </c>
      <c r="J107" s="33">
        <f t="shared" si="20"/>
        <v>3349773040.3599997</v>
      </c>
      <c r="K107" s="33">
        <f t="shared" si="20"/>
        <v>3200642380.9700003</v>
      </c>
      <c r="L107" s="33">
        <f t="shared" si="20"/>
        <v>3497021467.1800003</v>
      </c>
      <c r="M107" s="33">
        <f t="shared" si="20"/>
        <v>3358587193.2200003</v>
      </c>
      <c r="N107" s="33">
        <f t="shared" si="20"/>
        <v>3210010480.9300003</v>
      </c>
      <c r="O107" s="33">
        <f t="shared" si="20"/>
        <v>3007484954.3899999</v>
      </c>
      <c r="P107" s="33">
        <f t="shared" si="20"/>
        <v>3341821962.3299999</v>
      </c>
      <c r="Q107" s="33">
        <f t="shared" si="20"/>
        <v>3216542064.1700001</v>
      </c>
      <c r="R107" s="33">
        <f t="shared" si="20"/>
        <v>3141139306.7999997</v>
      </c>
      <c r="S107" s="33">
        <f t="shared" si="20"/>
        <v>2928424915.8199997</v>
      </c>
      <c r="T107" s="33">
        <f t="shared" si="20"/>
        <v>2828695897.2800002</v>
      </c>
      <c r="U107" s="33">
        <f t="shared" si="20"/>
        <v>3087051456.0500002</v>
      </c>
      <c r="V107" s="33">
        <f t="shared" si="20"/>
        <v>2995579695.4900002</v>
      </c>
      <c r="W107" s="33">
        <f t="shared" si="20"/>
        <v>2815673583.1999998</v>
      </c>
      <c r="X107" s="33">
        <f t="shared" si="20"/>
        <v>3087420030.0599999</v>
      </c>
      <c r="Y107" s="33">
        <f t="shared" si="20"/>
        <v>2954860930.27</v>
      </c>
      <c r="Z107" s="33">
        <f t="shared" si="20"/>
        <v>2886539002.1100001</v>
      </c>
      <c r="AA107" s="33">
        <f t="shared" si="20"/>
        <v>2731515154.73</v>
      </c>
      <c r="AB107" s="33">
        <f t="shared" si="20"/>
        <v>2728125039.6399999</v>
      </c>
      <c r="AC107" s="33">
        <f t="shared" si="20"/>
        <v>2590054892.5</v>
      </c>
      <c r="AD107" s="33">
        <f t="shared" si="20"/>
        <v>2528986636.1700001</v>
      </c>
      <c r="AE107" s="33">
        <f t="shared" si="20"/>
        <v>2874207724.2000003</v>
      </c>
      <c r="AF107" s="33">
        <f t="shared" si="20"/>
        <v>3161669736.7800002</v>
      </c>
      <c r="AG107" s="33">
        <f t="shared" si="20"/>
        <v>3029482738.6900001</v>
      </c>
      <c r="AH107" s="33">
        <f t="shared" si="20"/>
        <v>2881186459.52</v>
      </c>
      <c r="AI107" s="33">
        <f t="shared" si="20"/>
        <v>2659783724.2999997</v>
      </c>
      <c r="AJ107" s="33">
        <f t="shared" si="20"/>
        <v>2909931326.8999996</v>
      </c>
      <c r="AK107" s="33">
        <f t="shared" si="20"/>
        <v>2825127109.5</v>
      </c>
      <c r="AL107" s="33">
        <f t="shared" si="20"/>
        <v>2668898392.1700001</v>
      </c>
      <c r="AM107" s="33">
        <f t="shared" si="20"/>
        <v>2478759414.3700004</v>
      </c>
      <c r="AN107" s="33">
        <f t="shared" si="20"/>
        <v>2562880521.2799997</v>
      </c>
      <c r="AO107" s="33">
        <f t="shared" si="20"/>
        <v>2417045444.6099997</v>
      </c>
      <c r="AP107" s="33">
        <f t="shared" si="20"/>
        <v>2225872120.29</v>
      </c>
      <c r="AQ107" s="33">
        <f t="shared" si="20"/>
        <v>2171852002.2800002</v>
      </c>
      <c r="AR107" s="33">
        <f t="shared" si="20"/>
        <v>571003985.20999992</v>
      </c>
      <c r="AS107" s="33">
        <f t="shared" si="20"/>
        <v>461487114.06999999</v>
      </c>
      <c r="AT107" s="33">
        <f t="shared" si="20"/>
        <v>247869109.48999998</v>
      </c>
      <c r="AU107" s="33">
        <f t="shared" si="20"/>
        <v>73850314.379999995</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3619520859.1099997</v>
      </c>
      <c r="C108" s="38">
        <f t="shared" ref="C108:BN108" si="22">SUM(C89+C107)</f>
        <v>3403422553.4700003</v>
      </c>
      <c r="D108" s="38">
        <f t="shared" si="22"/>
        <v>3714510459.1100001</v>
      </c>
      <c r="E108" s="38">
        <f>SUM(E107+E89)</f>
        <v>3587491977.3399997</v>
      </c>
      <c r="F108" s="38">
        <f t="shared" si="22"/>
        <v>4061986734.6300001</v>
      </c>
      <c r="G108" s="38">
        <f t="shared" si="22"/>
        <v>3898849888.4499998</v>
      </c>
      <c r="H108" s="38">
        <f t="shared" si="22"/>
        <v>3671399180.6199999</v>
      </c>
      <c r="I108" s="38">
        <f t="shared" si="22"/>
        <v>3530785966.6700001</v>
      </c>
      <c r="J108" s="38">
        <f t="shared" si="22"/>
        <v>3367415813.2099996</v>
      </c>
      <c r="K108" s="38">
        <f t="shared" si="22"/>
        <v>3227765435.2500005</v>
      </c>
      <c r="L108" s="38">
        <f t="shared" si="22"/>
        <v>3526476532.8900003</v>
      </c>
      <c r="M108" s="38">
        <f t="shared" si="22"/>
        <v>3388790830.3600001</v>
      </c>
      <c r="N108" s="38">
        <f t="shared" si="22"/>
        <v>3252100009.5000005</v>
      </c>
      <c r="O108" s="38">
        <f t="shared" si="22"/>
        <v>3050323054.3899999</v>
      </c>
      <c r="P108" s="38">
        <f t="shared" si="22"/>
        <v>3385983233.7599998</v>
      </c>
      <c r="Q108" s="38">
        <f t="shared" si="22"/>
        <v>3261451907.0300002</v>
      </c>
      <c r="R108" s="38">
        <f t="shared" si="22"/>
        <v>3156145021.0799999</v>
      </c>
      <c r="S108" s="38">
        <f t="shared" si="22"/>
        <v>2944179201.5299997</v>
      </c>
      <c r="T108" s="38">
        <f t="shared" si="22"/>
        <v>2845947325.8500004</v>
      </c>
      <c r="U108" s="38">
        <f t="shared" si="22"/>
        <v>3104302884.6200004</v>
      </c>
      <c r="V108" s="38">
        <f t="shared" si="22"/>
        <v>2995579695.4900002</v>
      </c>
      <c r="W108" s="38">
        <f t="shared" si="22"/>
        <v>2815673583.1999998</v>
      </c>
      <c r="X108" s="38">
        <f t="shared" si="22"/>
        <v>3087420030.0599999</v>
      </c>
      <c r="Y108" s="38">
        <f t="shared" si="22"/>
        <v>2954860930.27</v>
      </c>
      <c r="Z108" s="38">
        <f t="shared" si="22"/>
        <v>2886539002.1100001</v>
      </c>
      <c r="AA108" s="38">
        <f t="shared" si="22"/>
        <v>2731515154.73</v>
      </c>
      <c r="AB108" s="38">
        <f t="shared" si="22"/>
        <v>2728125039.6399999</v>
      </c>
      <c r="AC108" s="38">
        <f t="shared" si="22"/>
        <v>2590054892.5</v>
      </c>
      <c r="AD108" s="38">
        <f t="shared" si="22"/>
        <v>2528986636.1700001</v>
      </c>
      <c r="AE108" s="38">
        <f t="shared" si="22"/>
        <v>2874207724.2000003</v>
      </c>
      <c r="AF108" s="38">
        <f t="shared" si="22"/>
        <v>3161669736.7800002</v>
      </c>
      <c r="AG108" s="38">
        <f t="shared" si="22"/>
        <v>3029482738.6900001</v>
      </c>
      <c r="AH108" s="38">
        <f t="shared" si="22"/>
        <v>2881186459.52</v>
      </c>
      <c r="AI108" s="38">
        <f t="shared" si="22"/>
        <v>2659783724.2999997</v>
      </c>
      <c r="AJ108" s="38">
        <f t="shared" si="22"/>
        <v>2909931326.8999996</v>
      </c>
      <c r="AK108" s="38">
        <f t="shared" si="22"/>
        <v>2825127109.5</v>
      </c>
      <c r="AL108" s="38">
        <f t="shared" si="22"/>
        <v>2668898392.1700001</v>
      </c>
      <c r="AM108" s="38">
        <f t="shared" si="22"/>
        <v>2478759414.3700004</v>
      </c>
      <c r="AN108" s="38">
        <f t="shared" si="22"/>
        <v>2562880521.2799997</v>
      </c>
      <c r="AO108" s="38">
        <f t="shared" si="22"/>
        <v>2417045444.6099997</v>
      </c>
      <c r="AP108" s="38">
        <f t="shared" si="22"/>
        <v>2225872120.29</v>
      </c>
      <c r="AQ108" s="38">
        <f t="shared" si="22"/>
        <v>2171852002.2800002</v>
      </c>
      <c r="AR108" s="38">
        <f t="shared" si="22"/>
        <v>571003985.20999992</v>
      </c>
      <c r="AS108" s="38">
        <f t="shared" si="22"/>
        <v>461487114.06999999</v>
      </c>
      <c r="AT108" s="38">
        <f t="shared" si="22"/>
        <v>247869109.48999998</v>
      </c>
      <c r="AU108" s="38">
        <f t="shared" si="22"/>
        <v>73850314.379999995</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K54" sqref="AK54"/>
    </sheetView>
  </sheetViews>
  <sheetFormatPr defaultRowHeight="14.4" x14ac:dyDescent="0.25"/>
  <cols>
    <col min="1" max="1" width="57.21875" style="17" bestFit="1" customWidth="1"/>
    <col min="2" max="3" width="19.33203125" hidden="1" customWidth="1"/>
    <col min="4" max="4" width="20.21875" hidden="1" customWidth="1"/>
    <col min="5" max="5" width="19.33203125" bestFit="1" customWidth="1"/>
    <col min="6" max="7" width="19.33203125" hidden="1" customWidth="1"/>
    <col min="8" max="8" width="20.21875" hidden="1" customWidth="1"/>
    <col min="9" max="9" width="19.33203125" bestFit="1" customWidth="1"/>
    <col min="10" max="11" width="19.33203125" hidden="1" customWidth="1"/>
    <col min="12" max="12" width="20.21875" hidden="1" customWidth="1"/>
    <col min="13" max="13" width="19.33203125" bestFit="1" customWidth="1"/>
    <col min="14" max="15" width="19.33203125" hidden="1" customWidth="1"/>
    <col min="16" max="16" width="20.21875" hidden="1" customWidth="1"/>
    <col min="17" max="17" width="19.33203125" bestFit="1" customWidth="1"/>
    <col min="18" max="18" width="19.33203125" hidden="1" customWidth="1"/>
    <col min="19" max="19" width="19" hidden="1" customWidth="1"/>
    <col min="20" max="20" width="20.21875" hidden="1" customWidth="1"/>
    <col min="21" max="21" width="19.33203125" bestFit="1" customWidth="1"/>
    <col min="22" max="22" width="19.33203125" hidden="1" customWidth="1"/>
    <col min="23" max="23" width="19" hidden="1" customWidth="1"/>
    <col min="24" max="24" width="20.21875" hidden="1" customWidth="1"/>
    <col min="25" max="25" width="19.33203125" bestFit="1" customWidth="1"/>
    <col min="26" max="26" width="19.33203125" hidden="1" customWidth="1"/>
    <col min="27" max="28" width="19" hidden="1" customWidth="1"/>
    <col min="29" max="29" width="19.332031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 bestFit="1" customWidth="1"/>
    <col min="46" max="47" width="19" hidden="1" customWidth="1"/>
    <col min="48" max="48" width="17.777343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3676560204.1500001</v>
      </c>
      <c r="C5" s="190">
        <v>2437735567.5500002</v>
      </c>
      <c r="D5" s="190">
        <v>1073681497.16</v>
      </c>
      <c r="E5" s="190">
        <v>4855286572.2700005</v>
      </c>
      <c r="F5" s="190">
        <v>3404461141.1799998</v>
      </c>
      <c r="G5" s="190">
        <v>2215185411.7199998</v>
      </c>
      <c r="H5" s="190">
        <v>1030828261.85</v>
      </c>
      <c r="I5" s="190">
        <v>4922954425.0900002</v>
      </c>
      <c r="J5" s="190">
        <v>3391675578.0500002</v>
      </c>
      <c r="K5" s="190">
        <v>2228368230.21</v>
      </c>
      <c r="L5" s="190">
        <v>1125309842.8900001</v>
      </c>
      <c r="M5" s="190">
        <v>4808845747.7200003</v>
      </c>
      <c r="N5" s="190">
        <v>3411770783.0500002</v>
      </c>
      <c r="O5" s="190">
        <v>2154103694.21</v>
      </c>
      <c r="P5" s="190">
        <v>987438850.91999996</v>
      </c>
      <c r="Q5" s="190">
        <v>4003145392.2800002</v>
      </c>
      <c r="R5" s="190">
        <v>2790202683.0900002</v>
      </c>
      <c r="S5" s="190">
        <v>1755559819.53</v>
      </c>
      <c r="T5" s="190">
        <v>787048352.84000003</v>
      </c>
      <c r="U5" s="190">
        <v>3495965363.6199999</v>
      </c>
      <c r="V5" s="190">
        <v>2461632548.9200001</v>
      </c>
      <c r="W5" s="190">
        <v>1655145048.3299999</v>
      </c>
      <c r="X5" s="190">
        <v>787580375.60000002</v>
      </c>
      <c r="Y5" s="190">
        <v>3209849474.6999998</v>
      </c>
      <c r="Z5" s="190">
        <v>2395190775.0100002</v>
      </c>
      <c r="AA5" s="190">
        <v>1626994711.9100001</v>
      </c>
      <c r="AB5" s="190">
        <v>840133226.70000005</v>
      </c>
      <c r="AC5" s="190">
        <v>3358923758.2399998</v>
      </c>
      <c r="AD5" s="190">
        <v>2589836378.29</v>
      </c>
      <c r="AE5" s="190">
        <v>1667249617.6400001</v>
      </c>
      <c r="AF5" s="190">
        <v>801738909.25</v>
      </c>
      <c r="AG5" s="190">
        <v>3402944132.3800001</v>
      </c>
      <c r="AH5" s="190">
        <v>2516794574.5300002</v>
      </c>
      <c r="AI5" s="190">
        <v>1513989553.8900001</v>
      </c>
      <c r="AJ5" s="190">
        <v>560025855.28999996</v>
      </c>
      <c r="AK5" s="190">
        <v>2844982800</v>
      </c>
      <c r="AL5" s="190">
        <v>2039137472.8900001</v>
      </c>
      <c r="AM5" s="190">
        <v>1311971737.1700001</v>
      </c>
      <c r="AN5" s="190">
        <v>594809286.71000004</v>
      </c>
      <c r="AO5" s="190">
        <v>2674227267.21</v>
      </c>
      <c r="AP5" s="190">
        <v>1691095566.23</v>
      </c>
      <c r="AQ5" s="190">
        <v>1023390799.78</v>
      </c>
      <c r="AR5" s="190">
        <v>457592573.97000003</v>
      </c>
      <c r="AS5" s="190">
        <v>1235544296.72</v>
      </c>
      <c r="AT5" s="190">
        <v>772816650.86000001</v>
      </c>
      <c r="AU5" s="190">
        <v>443017497.97000003</v>
      </c>
      <c r="AV5" s="190">
        <v>210822487.97999999</v>
      </c>
      <c r="AW5" s="190">
        <v>784073264.45000005</v>
      </c>
      <c r="AX5" s="190">
        <v>620793406.78999996</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1761572559.1699996</v>
      </c>
      <c r="C6" s="27">
        <f t="shared" ref="C6:BN6" si="0">C4-C5</f>
        <v>1201853541.9099998</v>
      </c>
      <c r="D6" s="27">
        <f t="shared" si="0"/>
        <v>494434194.48000014</v>
      </c>
      <c r="E6" s="27">
        <f t="shared" si="0"/>
        <v>2392238283.4399996</v>
      </c>
      <c r="F6" s="27">
        <f t="shared" si="0"/>
        <v>1661422042.0000005</v>
      </c>
      <c r="G6" s="27">
        <f t="shared" si="0"/>
        <v>1053628538.73</v>
      </c>
      <c r="H6" s="27">
        <f t="shared" si="0"/>
        <v>454620024.17999995</v>
      </c>
      <c r="I6" s="27">
        <f t="shared" si="0"/>
        <v>2391850164.2399998</v>
      </c>
      <c r="J6" s="27">
        <f t="shared" si="0"/>
        <v>1642614084.0100002</v>
      </c>
      <c r="K6" s="27">
        <f t="shared" si="0"/>
        <v>1081636190.1199999</v>
      </c>
      <c r="L6" s="27">
        <f t="shared" si="0"/>
        <v>517470999.01999998</v>
      </c>
      <c r="M6" s="27">
        <f t="shared" si="0"/>
        <v>2251243367.3800001</v>
      </c>
      <c r="N6" s="27">
        <f t="shared" si="0"/>
        <v>1604016658.8599997</v>
      </c>
      <c r="O6" s="27">
        <f t="shared" si="0"/>
        <v>1012521762.29</v>
      </c>
      <c r="P6" s="27">
        <f t="shared" si="0"/>
        <v>429512210.48000014</v>
      </c>
      <c r="Q6" s="27">
        <f t="shared" si="0"/>
        <v>1940367956.0999999</v>
      </c>
      <c r="R6" s="27">
        <f t="shared" si="0"/>
        <v>1384401207.2999997</v>
      </c>
      <c r="S6" s="27">
        <f t="shared" si="0"/>
        <v>878727102.79999995</v>
      </c>
      <c r="T6" s="27">
        <f t="shared" si="0"/>
        <v>375822174.05000007</v>
      </c>
      <c r="U6" s="27">
        <f t="shared" si="0"/>
        <v>1832156259.9899998</v>
      </c>
      <c r="V6" s="27">
        <f t="shared" si="0"/>
        <v>1300946815.8299999</v>
      </c>
      <c r="W6" s="27">
        <f t="shared" si="0"/>
        <v>832213046.59000015</v>
      </c>
      <c r="X6" s="27">
        <f t="shared" si="0"/>
        <v>377976303.29000008</v>
      </c>
      <c r="Y6" s="27">
        <f t="shared" si="0"/>
        <v>1731986554.46</v>
      </c>
      <c r="Z6" s="27">
        <f t="shared" si="0"/>
        <v>1282466999.52</v>
      </c>
      <c r="AA6" s="27">
        <f t="shared" si="0"/>
        <v>852070750.72000003</v>
      </c>
      <c r="AB6" s="27">
        <f t="shared" si="0"/>
        <v>416222444.70000005</v>
      </c>
      <c r="AC6" s="27">
        <f t="shared" si="0"/>
        <v>1840407362.5500002</v>
      </c>
      <c r="AD6" s="27">
        <f t="shared" si="0"/>
        <v>1416790371.8400002</v>
      </c>
      <c r="AE6" s="27">
        <f t="shared" si="0"/>
        <v>928910078.04999995</v>
      </c>
      <c r="AF6" s="27">
        <f t="shared" si="0"/>
        <v>422892688.58999991</v>
      </c>
      <c r="AG6" s="27">
        <f t="shared" si="0"/>
        <v>1943561109.6800003</v>
      </c>
      <c r="AH6" s="27">
        <f t="shared" si="0"/>
        <v>1481923293.9399996</v>
      </c>
      <c r="AI6" s="27">
        <f t="shared" si="0"/>
        <v>893597613.29999995</v>
      </c>
      <c r="AJ6" s="27">
        <f t="shared" si="0"/>
        <v>286273232.05000007</v>
      </c>
      <c r="AK6" s="27">
        <f t="shared" si="0"/>
        <v>1791441994.75</v>
      </c>
      <c r="AL6" s="27">
        <f t="shared" si="0"/>
        <v>1325297877.0399997</v>
      </c>
      <c r="AM6" s="27">
        <f t="shared" si="0"/>
        <v>869150428.92999983</v>
      </c>
      <c r="AN6" s="27">
        <f t="shared" si="0"/>
        <v>368517633.75999999</v>
      </c>
      <c r="AO6" s="27">
        <f t="shared" si="0"/>
        <v>1649217508.2699995</v>
      </c>
      <c r="AP6" s="27">
        <f t="shared" si="0"/>
        <v>1043400395.71</v>
      </c>
      <c r="AQ6" s="27">
        <f t="shared" si="0"/>
        <v>590660567.77999997</v>
      </c>
      <c r="AR6" s="27">
        <f t="shared" si="0"/>
        <v>244161782.20999992</v>
      </c>
      <c r="AS6" s="27">
        <f t="shared" si="0"/>
        <v>707261083.55999994</v>
      </c>
      <c r="AT6" s="27">
        <f t="shared" si="0"/>
        <v>425033154.17999995</v>
      </c>
      <c r="AU6" s="27">
        <f t="shared" si="0"/>
        <v>258621726.77999997</v>
      </c>
      <c r="AV6" s="27">
        <f t="shared" si="0"/>
        <v>117315874.53999999</v>
      </c>
      <c r="AW6" s="27">
        <f t="shared" si="0"/>
        <v>149741503.94999993</v>
      </c>
      <c r="AX6" s="27">
        <f t="shared" si="0"/>
        <v>129584024.38</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32.392967142173141</v>
      </c>
      <c r="C7" s="57">
        <f t="shared" ref="C7:D7" si="2">C6/C4*100</f>
        <v>33.021682002128991</v>
      </c>
      <c r="D7" s="57">
        <f t="shared" si="2"/>
        <v>31.530466604979924</v>
      </c>
      <c r="E7" s="57">
        <f>E6/E4</f>
        <v>0.33007658905167636</v>
      </c>
      <c r="F7" s="57">
        <f t="shared" ref="F7:BQ7" si="3">F6/F4</f>
        <v>0.32796295965061678</v>
      </c>
      <c r="G7" s="57">
        <f t="shared" si="3"/>
        <v>0.32232747250266497</v>
      </c>
      <c r="H7" s="57">
        <f t="shared" si="3"/>
        <v>0.30604904152874596</v>
      </c>
      <c r="I7" s="57">
        <f t="shared" si="3"/>
        <v>0.32698756816128172</v>
      </c>
      <c r="J7" s="57">
        <f t="shared" si="3"/>
        <v>0.32628517512396232</v>
      </c>
      <c r="K7" s="57">
        <f t="shared" si="3"/>
        <v>0.32677786877763842</v>
      </c>
      <c r="L7" s="57">
        <f t="shared" si="3"/>
        <v>0.31499697696641976</v>
      </c>
      <c r="M7" s="57">
        <f t="shared" si="3"/>
        <v>0.31886897327755798</v>
      </c>
      <c r="N7" s="57">
        <f t="shared" si="3"/>
        <v>0.3197935872356652</v>
      </c>
      <c r="O7" s="57">
        <f t="shared" si="3"/>
        <v>0.31974787552207629</v>
      </c>
      <c r="P7" s="57">
        <f t="shared" si="3"/>
        <v>0.30312423779521797</v>
      </c>
      <c r="Q7" s="57">
        <f t="shared" si="3"/>
        <v>0.32646817502797032</v>
      </c>
      <c r="R7" s="57">
        <f t="shared" si="3"/>
        <v>0.33162456694080888</v>
      </c>
      <c r="S7" s="57">
        <f t="shared" si="3"/>
        <v>0.33357304223443313</v>
      </c>
      <c r="T7" s="57">
        <f t="shared" si="3"/>
        <v>0.32318488203076656</v>
      </c>
      <c r="U7" s="57">
        <f t="shared" si="3"/>
        <v>0.34386532241894396</v>
      </c>
      <c r="V7" s="57">
        <f t="shared" si="3"/>
        <v>0.34575930225366547</v>
      </c>
      <c r="W7" s="57">
        <f t="shared" si="3"/>
        <v>0.33457709538873864</v>
      </c>
      <c r="X7" s="57">
        <f t="shared" si="3"/>
        <v>0.32428822221666642</v>
      </c>
      <c r="Y7" s="57">
        <f t="shared" si="3"/>
        <v>0.35047430635904742</v>
      </c>
      <c r="Z7" s="57">
        <f t="shared" si="3"/>
        <v>0.34871841757595229</v>
      </c>
      <c r="AA7" s="57">
        <f t="shared" si="3"/>
        <v>0.34370643436581627</v>
      </c>
      <c r="AB7" s="57">
        <f t="shared" si="3"/>
        <v>0.33129348175440571</v>
      </c>
      <c r="AC7" s="57">
        <f t="shared" si="3"/>
        <v>0.35397002418079576</v>
      </c>
      <c r="AD7" s="57">
        <f t="shared" si="3"/>
        <v>0.35361176875136435</v>
      </c>
      <c r="AE7" s="57">
        <f t="shared" si="3"/>
        <v>0.35780159425174224</v>
      </c>
      <c r="AF7" s="57">
        <f t="shared" si="3"/>
        <v>0.34532237232478424</v>
      </c>
      <c r="AG7" s="57">
        <f t="shared" si="3"/>
        <v>0.36351991098603115</v>
      </c>
      <c r="AH7" s="57">
        <f t="shared" si="3"/>
        <v>0.3705996128471592</v>
      </c>
      <c r="AI7" s="57">
        <f t="shared" si="3"/>
        <v>0.37115898667251856</v>
      </c>
      <c r="AJ7" s="57">
        <f t="shared" si="3"/>
        <v>0.33826484789175959</v>
      </c>
      <c r="AK7" s="57">
        <f t="shared" si="3"/>
        <v>0.38638435304256802</v>
      </c>
      <c r="AL7" s="57">
        <f t="shared" si="3"/>
        <v>0.39391390804034138</v>
      </c>
      <c r="AM7" s="57">
        <f t="shared" si="3"/>
        <v>0.3984877337174112</v>
      </c>
      <c r="AN7" s="57">
        <f t="shared" si="3"/>
        <v>0.3825468030938064</v>
      </c>
      <c r="AO7" s="57">
        <f t="shared" si="3"/>
        <v>0.38145913592406167</v>
      </c>
      <c r="AP7" s="57">
        <f t="shared" si="3"/>
        <v>0.38156955074446519</v>
      </c>
      <c r="AQ7" s="57">
        <f t="shared" si="3"/>
        <v>0.36594905196413646</v>
      </c>
      <c r="AR7" s="57">
        <f t="shared" si="3"/>
        <v>0.34793055441664039</v>
      </c>
      <c r="AS7" s="57">
        <f t="shared" si="3"/>
        <v>0.36404113903476448</v>
      </c>
      <c r="AT7" s="57">
        <f t="shared" si="3"/>
        <v>0.35483009004272181</v>
      </c>
      <c r="AU7" s="57">
        <f t="shared" si="3"/>
        <v>0.36859644908271638</v>
      </c>
      <c r="AV7" s="57">
        <f t="shared" si="3"/>
        <v>0.35751953425698468</v>
      </c>
      <c r="AW7" s="57">
        <f t="shared" si="3"/>
        <v>0.16035461101837928</v>
      </c>
      <c r="AX7" s="57">
        <f t="shared" si="3"/>
        <v>0.17269179348578034</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30556132.809999999</v>
      </c>
      <c r="C8" s="190">
        <v>24810557.530000001</v>
      </c>
      <c r="D8" s="190">
        <v>10387740.16</v>
      </c>
      <c r="E8" s="190">
        <v>61130310.439999998</v>
      </c>
      <c r="F8" s="190">
        <v>39840991.350000001</v>
      </c>
      <c r="G8" s="190">
        <v>25865261.82</v>
      </c>
      <c r="H8" s="190">
        <v>11058972.09</v>
      </c>
      <c r="I8" s="190">
        <v>54388863.649999999</v>
      </c>
      <c r="J8" s="190">
        <v>31864279.68</v>
      </c>
      <c r="K8" s="190">
        <v>20018465.309999999</v>
      </c>
      <c r="L8" s="190">
        <v>11921552.17</v>
      </c>
      <c r="M8" s="190">
        <v>45672755.68</v>
      </c>
      <c r="N8" s="190">
        <v>32608840.350000001</v>
      </c>
      <c r="O8" s="190">
        <v>20653816.809999999</v>
      </c>
      <c r="P8" s="190">
        <v>10526313.689999999</v>
      </c>
      <c r="Q8" s="190">
        <v>31830320.140000001</v>
      </c>
      <c r="R8" s="190">
        <v>23258170.02</v>
      </c>
      <c r="S8" s="190">
        <v>14099682.970000001</v>
      </c>
      <c r="T8" s="190">
        <v>6733916.8099999996</v>
      </c>
      <c r="U8" s="190">
        <v>33609379.689999998</v>
      </c>
      <c r="V8" s="190">
        <v>23169010.32</v>
      </c>
      <c r="W8" s="190">
        <v>15633570.029999999</v>
      </c>
      <c r="X8" s="190">
        <v>6433107.0300000003</v>
      </c>
      <c r="Y8" s="190">
        <v>30734206.149999999</v>
      </c>
      <c r="Z8" s="190">
        <v>21732450.719999999</v>
      </c>
      <c r="AA8" s="190">
        <v>13878163.41</v>
      </c>
      <c r="AB8" s="190">
        <v>7179150.4699999997</v>
      </c>
      <c r="AC8" s="190">
        <v>39110012.380000003</v>
      </c>
      <c r="AD8" s="190">
        <v>33183026.82</v>
      </c>
      <c r="AE8" s="190">
        <v>24950579.550000001</v>
      </c>
      <c r="AF8" s="190">
        <v>5547132.1200000001</v>
      </c>
      <c r="AG8" s="190">
        <v>8974644.0399999991</v>
      </c>
      <c r="AH8" s="190">
        <v>5560553.5800000001</v>
      </c>
      <c r="AI8" s="190">
        <v>3452778.88</v>
      </c>
      <c r="AJ8" s="190">
        <v>1383151.24</v>
      </c>
      <c r="AK8" s="190">
        <v>5294021.2699999996</v>
      </c>
      <c r="AL8" s="190">
        <v>3796093.6</v>
      </c>
      <c r="AM8" s="190">
        <v>1832760.97</v>
      </c>
      <c r="AN8" s="190">
        <v>565146.41</v>
      </c>
      <c r="AO8" s="190">
        <v>2627887.89</v>
      </c>
      <c r="AP8" s="190">
        <v>1951181.07</v>
      </c>
      <c r="AQ8" s="190">
        <v>1112142.28</v>
      </c>
      <c r="AR8" s="190">
        <v>577044.14</v>
      </c>
      <c r="AS8" s="190">
        <v>1033905.85</v>
      </c>
      <c r="AT8" s="190">
        <v>621821.49</v>
      </c>
      <c r="AU8" s="190">
        <v>313250.71000000002</v>
      </c>
      <c r="AV8" s="190">
        <v>92119.1</v>
      </c>
      <c r="AW8" s="190">
        <v>0</v>
      </c>
      <c r="AX8" s="190">
        <v>270516.59000000003</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888198333.95000005</v>
      </c>
      <c r="C9" s="190">
        <v>632323849.15999997</v>
      </c>
      <c r="D9" s="190">
        <v>203499242.50999999</v>
      </c>
      <c r="E9" s="190">
        <v>1092858447.2</v>
      </c>
      <c r="F9" s="190">
        <v>698552924.79999995</v>
      </c>
      <c r="G9" s="190">
        <v>427420749.60000002</v>
      </c>
      <c r="H9" s="190">
        <v>189669153.81</v>
      </c>
      <c r="I9" s="190">
        <v>1103306058.27</v>
      </c>
      <c r="J9" s="190">
        <v>657469710.71000004</v>
      </c>
      <c r="K9" s="190">
        <v>424011562.04000002</v>
      </c>
      <c r="L9" s="190">
        <v>213674019.49000001</v>
      </c>
      <c r="M9" s="190">
        <v>988915582.62</v>
      </c>
      <c r="N9" s="190">
        <v>622228389.66999996</v>
      </c>
      <c r="O9" s="190">
        <v>388296479.98000002</v>
      </c>
      <c r="P9" s="190">
        <v>175455583.53</v>
      </c>
      <c r="Q9" s="190">
        <v>773397287.25999999</v>
      </c>
      <c r="R9" s="190">
        <v>487538972.50999999</v>
      </c>
      <c r="S9" s="190">
        <v>322719832.57999998</v>
      </c>
      <c r="T9" s="190">
        <v>151288487.80000001</v>
      </c>
      <c r="U9" s="190">
        <v>722082864.97000003</v>
      </c>
      <c r="V9" s="190">
        <v>474361482.44</v>
      </c>
      <c r="W9" s="190">
        <v>316982383.54000002</v>
      </c>
      <c r="X9" s="190">
        <v>128400491.31</v>
      </c>
      <c r="Y9" s="190">
        <v>681720577.60000002</v>
      </c>
      <c r="Z9" s="190">
        <v>465142540.25</v>
      </c>
      <c r="AA9" s="190">
        <v>304591377.61000001</v>
      </c>
      <c r="AB9" s="190">
        <v>151265271.63</v>
      </c>
      <c r="AC9" s="190">
        <v>782929056.92999995</v>
      </c>
      <c r="AD9" s="190">
        <v>550350961.41999996</v>
      </c>
      <c r="AE9" s="190">
        <v>365824714.56999999</v>
      </c>
      <c r="AF9" s="190">
        <v>152509627.34</v>
      </c>
      <c r="AG9" s="190">
        <v>791432429.52999997</v>
      </c>
      <c r="AH9" s="190">
        <v>585319953.14999998</v>
      </c>
      <c r="AI9" s="190">
        <v>372224456.20999998</v>
      </c>
      <c r="AJ9" s="190">
        <v>113771443.88</v>
      </c>
      <c r="AK9" s="190">
        <v>746007178.21000004</v>
      </c>
      <c r="AL9" s="190">
        <v>466863171.10000002</v>
      </c>
      <c r="AM9" s="190">
        <v>301937166.13</v>
      </c>
      <c r="AN9" s="190">
        <v>127310710</v>
      </c>
      <c r="AO9" s="190">
        <v>695847054.13</v>
      </c>
      <c r="AP9" s="190">
        <v>343370690.61000001</v>
      </c>
      <c r="AQ9" s="190">
        <v>165435628.55000001</v>
      </c>
      <c r="AR9" s="190">
        <v>69689588.629999995</v>
      </c>
      <c r="AS9" s="190">
        <v>189673210.11000001</v>
      </c>
      <c r="AT9" s="190">
        <v>116457932.08</v>
      </c>
      <c r="AU9" s="190">
        <v>69133074.590000004</v>
      </c>
      <c r="AV9" s="190">
        <v>26017359.829999998</v>
      </c>
      <c r="AW9" s="190">
        <v>84171309.280000001</v>
      </c>
      <c r="AX9" s="190">
        <v>66725970.329999998</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179761212.34999999</v>
      </c>
      <c r="C10" s="190">
        <v>238082674.97999999</v>
      </c>
      <c r="D10" s="190">
        <v>99316117.640000001</v>
      </c>
      <c r="E10" s="190">
        <v>553312102.58000004</v>
      </c>
      <c r="F10" s="190">
        <v>339334927.26999998</v>
      </c>
      <c r="G10" s="190">
        <v>215955075.58000001</v>
      </c>
      <c r="H10" s="190">
        <v>88944349.689999998</v>
      </c>
      <c r="I10" s="190">
        <v>498750428.44</v>
      </c>
      <c r="J10" s="190">
        <v>351233073.04000002</v>
      </c>
      <c r="K10" s="190">
        <v>226940253.53</v>
      </c>
      <c r="L10" s="190">
        <v>109221086.76000001</v>
      </c>
      <c r="M10" s="190">
        <v>514830833.89999998</v>
      </c>
      <c r="N10" s="190">
        <v>370441467.47000003</v>
      </c>
      <c r="O10" s="190">
        <v>221357314.03999999</v>
      </c>
      <c r="P10" s="190">
        <v>94119168.939999998</v>
      </c>
      <c r="Q10" s="190">
        <v>464607887.67000002</v>
      </c>
      <c r="R10" s="190">
        <v>272631206.55000001</v>
      </c>
      <c r="S10" s="190">
        <v>162816527.25999999</v>
      </c>
      <c r="T10" s="190">
        <v>72974067.900000006</v>
      </c>
      <c r="U10" s="190">
        <v>413571347.82999998</v>
      </c>
      <c r="V10" s="190">
        <v>257295534.18000001</v>
      </c>
      <c r="W10" s="190">
        <v>160202877.93000001</v>
      </c>
      <c r="X10" s="190">
        <v>84716598.069999993</v>
      </c>
      <c r="Y10" s="190">
        <v>406273845.55000001</v>
      </c>
      <c r="Z10" s="190">
        <v>260935873.47</v>
      </c>
      <c r="AA10" s="190">
        <v>176522551.38999999</v>
      </c>
      <c r="AB10" s="190">
        <v>91405848.239999995</v>
      </c>
      <c r="AC10" s="190">
        <v>357366575.5</v>
      </c>
      <c r="AD10" s="190">
        <v>240564563.61000001</v>
      </c>
      <c r="AE10" s="190">
        <v>164702260.27000001</v>
      </c>
      <c r="AF10" s="190">
        <v>97478529.370000005</v>
      </c>
      <c r="AG10" s="190">
        <v>367015763.36000001</v>
      </c>
      <c r="AH10" s="190">
        <v>257429492.86000001</v>
      </c>
      <c r="AI10" s="190">
        <v>161035657.62</v>
      </c>
      <c r="AJ10" s="190">
        <v>74607600.349999994</v>
      </c>
      <c r="AK10" s="190">
        <v>326751472.08999997</v>
      </c>
      <c r="AL10" s="190">
        <v>262241857.12</v>
      </c>
      <c r="AM10" s="190">
        <v>184470099.34</v>
      </c>
      <c r="AN10" s="190">
        <v>70163375.519999996</v>
      </c>
      <c r="AO10" s="190">
        <v>240520537.77000001</v>
      </c>
      <c r="AP10" s="190">
        <v>162086989.16</v>
      </c>
      <c r="AQ10" s="190">
        <v>102522212.84</v>
      </c>
      <c r="AR10" s="190">
        <v>39750224.039999999</v>
      </c>
      <c r="AS10" s="190">
        <v>107431254.12</v>
      </c>
      <c r="AT10" s="190">
        <v>69889280.019999996</v>
      </c>
      <c r="AU10" s="190">
        <v>39369740.509999998</v>
      </c>
      <c r="AV10" s="190">
        <v>16903079.18</v>
      </c>
      <c r="AW10" s="190">
        <v>23765817.559999999</v>
      </c>
      <c r="AX10" s="190">
        <v>18775634.920000002</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806274.08</v>
      </c>
      <c r="F12" s="29">
        <f t="shared" si="5"/>
        <v>1204</v>
      </c>
      <c r="G12" s="29">
        <f t="shared" si="5"/>
        <v>868</v>
      </c>
      <c r="H12" s="29">
        <f t="shared" si="5"/>
        <v>644</v>
      </c>
      <c r="I12" s="29">
        <f t="shared" si="5"/>
        <v>684423.53</v>
      </c>
      <c r="J12" s="29">
        <f t="shared" si="5"/>
        <v>0</v>
      </c>
      <c r="K12" s="29">
        <f t="shared" si="5"/>
        <v>0</v>
      </c>
      <c r="L12" s="29">
        <f t="shared" si="5"/>
        <v>0</v>
      </c>
      <c r="M12" s="29">
        <f t="shared" si="5"/>
        <v>1001210.46</v>
      </c>
      <c r="N12" s="29">
        <f t="shared" si="5"/>
        <v>0</v>
      </c>
      <c r="O12" s="29">
        <f t="shared" si="5"/>
        <v>0</v>
      </c>
      <c r="P12" s="29">
        <f t="shared" si="5"/>
        <v>0</v>
      </c>
      <c r="Q12" s="29">
        <f t="shared" si="5"/>
        <v>798717.86</v>
      </c>
      <c r="R12" s="29">
        <f t="shared" si="5"/>
        <v>0</v>
      </c>
      <c r="S12" s="29">
        <f t="shared" si="5"/>
        <v>0</v>
      </c>
      <c r="T12" s="29">
        <f t="shared" si="5"/>
        <v>0</v>
      </c>
      <c r="U12" s="29">
        <f t="shared" si="5"/>
        <v>599197.73</v>
      </c>
      <c r="V12" s="29">
        <f t="shared" si="5"/>
        <v>0</v>
      </c>
      <c r="W12" s="29">
        <f t="shared" si="5"/>
        <v>0</v>
      </c>
      <c r="X12" s="29">
        <f t="shared" si="5"/>
        <v>0</v>
      </c>
      <c r="Y12" s="29">
        <f t="shared" si="5"/>
        <v>406522.63</v>
      </c>
      <c r="Z12" s="29">
        <f t="shared" si="5"/>
        <v>0</v>
      </c>
      <c r="AA12" s="29">
        <f t="shared" si="5"/>
        <v>0</v>
      </c>
      <c r="AB12" s="29">
        <f t="shared" si="5"/>
        <v>0</v>
      </c>
      <c r="AC12" s="29">
        <f t="shared" si="5"/>
        <v>796057.08</v>
      </c>
      <c r="AD12" s="29">
        <f t="shared" si="5"/>
        <v>0</v>
      </c>
      <c r="AE12" s="29">
        <f t="shared" si="5"/>
        <v>0</v>
      </c>
      <c r="AF12" s="29">
        <f t="shared" si="5"/>
        <v>0</v>
      </c>
      <c r="AG12" s="29">
        <f t="shared" si="5"/>
        <v>573679.79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9082330.4199999999</v>
      </c>
      <c r="C13" s="190">
        <v>4715312.22</v>
      </c>
      <c r="D13" s="190">
        <v>3093915.72</v>
      </c>
      <c r="E13" s="190">
        <v>18730015.859999999</v>
      </c>
      <c r="F13" s="190">
        <v>11542995.83</v>
      </c>
      <c r="G13" s="190">
        <v>6409259.2999999998</v>
      </c>
      <c r="H13" s="190">
        <v>5540650.0700000003</v>
      </c>
      <c r="I13" s="190">
        <v>112070989.88</v>
      </c>
      <c r="J13" s="190">
        <v>73936144.450000003</v>
      </c>
      <c r="K13" s="190">
        <v>53569670.57</v>
      </c>
      <c r="L13" s="190">
        <v>2203251.3199999998</v>
      </c>
      <c r="M13" s="190">
        <v>62361172.520000003</v>
      </c>
      <c r="N13" s="190">
        <v>50079021.170000002</v>
      </c>
      <c r="O13" s="190">
        <v>3412112.85</v>
      </c>
      <c r="P13" s="190">
        <v>1359977.46</v>
      </c>
      <c r="Q13" s="190">
        <v>59558141.189999998</v>
      </c>
      <c r="R13" s="190">
        <v>39220657.310000002</v>
      </c>
      <c r="S13" s="190">
        <v>36793936.549999997</v>
      </c>
      <c r="T13" s="190">
        <v>5098914.62</v>
      </c>
      <c r="U13" s="190">
        <v>21303003.82</v>
      </c>
      <c r="V13" s="190">
        <v>14858833.43</v>
      </c>
      <c r="W13" s="190">
        <v>11898097.710000001</v>
      </c>
      <c r="X13" s="190">
        <v>3710888.64</v>
      </c>
      <c r="Y13" s="190">
        <v>30340665.77</v>
      </c>
      <c r="Z13" s="190">
        <v>13219738.17</v>
      </c>
      <c r="AA13" s="190">
        <v>6440602.3600000003</v>
      </c>
      <c r="AB13" s="190">
        <v>2983944.63</v>
      </c>
      <c r="AC13" s="190">
        <v>26196368.870000001</v>
      </c>
      <c r="AD13" s="190">
        <v>11852321.449999999</v>
      </c>
      <c r="AE13" s="190">
        <v>4870445.76</v>
      </c>
      <c r="AF13" s="190">
        <v>1409252.41</v>
      </c>
      <c r="AG13" s="190">
        <v>29016521.100000001</v>
      </c>
      <c r="AH13" s="190">
        <v>7752222.5300000003</v>
      </c>
      <c r="AI13" s="190">
        <v>5669632.7300000004</v>
      </c>
      <c r="AJ13" s="190">
        <v>3770814.53</v>
      </c>
      <c r="AK13" s="190">
        <v>59243950.710000001</v>
      </c>
      <c r="AL13" s="190">
        <v>31468287.239999998</v>
      </c>
      <c r="AM13" s="190">
        <v>27341712.469999999</v>
      </c>
      <c r="AN13" s="190">
        <v>1491734.55</v>
      </c>
      <c r="AO13" s="190">
        <v>7363335.5800000001</v>
      </c>
      <c r="AP13" s="190">
        <v>3705972.29</v>
      </c>
      <c r="AQ13" s="190">
        <v>3270013.97</v>
      </c>
      <c r="AR13" s="190">
        <v>219560.92</v>
      </c>
      <c r="AS13" s="190">
        <v>11805693.49</v>
      </c>
      <c r="AT13" s="190">
        <v>5413283.0199999996</v>
      </c>
      <c r="AU13" s="190">
        <v>2423831.92</v>
      </c>
      <c r="AV13" s="190">
        <v>2063102.36</v>
      </c>
      <c r="AW13" s="190">
        <v>779053.93</v>
      </c>
      <c r="AX13" s="190">
        <v>238135.19</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6374674.5700000003</v>
      </c>
      <c r="C14" s="190">
        <v>6151186.2000000002</v>
      </c>
      <c r="D14" s="190">
        <v>2338230.3199999998</v>
      </c>
      <c r="E14" s="190">
        <v>8855085.0700000003</v>
      </c>
      <c r="F14" s="190">
        <v>5690502.5099999998</v>
      </c>
      <c r="G14" s="190">
        <v>4524686.5199999996</v>
      </c>
      <c r="H14" s="190">
        <v>1744328.8</v>
      </c>
      <c r="I14" s="190">
        <v>14360572.960000001</v>
      </c>
      <c r="J14" s="190">
        <v>7745231.79</v>
      </c>
      <c r="K14" s="190">
        <v>5618798.6200000001</v>
      </c>
      <c r="L14" s="190">
        <v>2086557.76</v>
      </c>
      <c r="M14" s="190">
        <v>17470284.68</v>
      </c>
      <c r="N14" s="190">
        <v>8720105.3499999996</v>
      </c>
      <c r="O14" s="190">
        <v>5781496.4900000002</v>
      </c>
      <c r="P14" s="190">
        <v>2108241.38</v>
      </c>
      <c r="Q14" s="190">
        <v>15462604.33</v>
      </c>
      <c r="R14" s="190">
        <v>8980777.9700000007</v>
      </c>
      <c r="S14" s="190">
        <v>3886541.04</v>
      </c>
      <c r="T14" s="190">
        <v>1490173.44</v>
      </c>
      <c r="U14" s="190">
        <v>16109969.65</v>
      </c>
      <c r="V14" s="190">
        <v>6813978.8399999999</v>
      </c>
      <c r="W14" s="190">
        <v>4458214.05</v>
      </c>
      <c r="X14" s="190">
        <v>1500049.56</v>
      </c>
      <c r="Y14" s="190">
        <v>13986928.439999999</v>
      </c>
      <c r="Z14" s="190">
        <v>5697825.96</v>
      </c>
      <c r="AA14" s="190">
        <v>3917235.71</v>
      </c>
      <c r="AB14" s="190">
        <v>1348313.99</v>
      </c>
      <c r="AC14" s="190">
        <v>12363521.42</v>
      </c>
      <c r="AD14" s="190">
        <v>10506904.949999999</v>
      </c>
      <c r="AE14" s="190">
        <v>3919112.78</v>
      </c>
      <c r="AF14" s="190">
        <v>1122844.19</v>
      </c>
      <c r="AG14" s="190">
        <v>13222971.539999999</v>
      </c>
      <c r="AH14" s="190">
        <v>9382273.0399999991</v>
      </c>
      <c r="AI14" s="190">
        <v>4614964.96</v>
      </c>
      <c r="AJ14" s="190">
        <v>684515.98</v>
      </c>
      <c r="AK14" s="190">
        <v>6544483.9100000001</v>
      </c>
      <c r="AL14" s="190">
        <v>5383192.9199999999</v>
      </c>
      <c r="AM14" s="190">
        <v>6114726.8600000003</v>
      </c>
      <c r="AN14" s="190">
        <v>747948.86</v>
      </c>
      <c r="AO14" s="190">
        <v>8253260.0800000001</v>
      </c>
      <c r="AP14" s="190">
        <v>6967664.1399999997</v>
      </c>
      <c r="AQ14" s="190">
        <v>3524241.44</v>
      </c>
      <c r="AR14" s="190">
        <v>563726.94999999995</v>
      </c>
      <c r="AS14" s="190">
        <v>2329125.13</v>
      </c>
      <c r="AT14" s="190">
        <v>1705210.36</v>
      </c>
      <c r="AU14" s="190">
        <v>1307222.94</v>
      </c>
      <c r="AV14" s="190">
        <v>264472.34000000003</v>
      </c>
      <c r="AW14" s="190">
        <v>496057.16</v>
      </c>
      <c r="AX14" s="190">
        <v>627805.9</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653597284.38999963</v>
      </c>
      <c r="C15" s="28">
        <f t="shared" ref="C15:BN15" si="7">C6-(C8+C9+C10+C11+C12)+C13-C14</f>
        <v>287312410.34999996</v>
      </c>
      <c r="D15" s="28">
        <f t="shared" si="7"/>
        <v>179003671.54000017</v>
      </c>
      <c r="E15" s="28">
        <f t="shared" si="7"/>
        <v>681506399.01999927</v>
      </c>
      <c r="F15" s="28">
        <f t="shared" si="7"/>
        <v>571780722.29000056</v>
      </c>
      <c r="G15" s="28">
        <f t="shared" si="7"/>
        <v>378386045.38000005</v>
      </c>
      <c r="H15" s="28">
        <f t="shared" si="7"/>
        <v>164494621.52999991</v>
      </c>
      <c r="I15" s="28">
        <f t="shared" si="7"/>
        <v>809193377.42999971</v>
      </c>
      <c r="J15" s="28">
        <f t="shared" si="7"/>
        <v>650519866.28000021</v>
      </c>
      <c r="K15" s="28">
        <f t="shared" si="7"/>
        <v>449932016.60999984</v>
      </c>
      <c r="L15" s="28">
        <f t="shared" si="7"/>
        <v>174757665.85999995</v>
      </c>
      <c r="M15" s="28">
        <f t="shared" si="7"/>
        <v>741608006.58000028</v>
      </c>
      <c r="N15" s="28">
        <f t="shared" si="7"/>
        <v>605254504.0399996</v>
      </c>
      <c r="O15" s="28">
        <f t="shared" si="7"/>
        <v>372774007.20999992</v>
      </c>
      <c r="P15" s="28">
        <f t="shared" si="7"/>
        <v>142825114.68000016</v>
      </c>
      <c r="Q15" s="28">
        <f t="shared" si="7"/>
        <v>709007265.39999998</v>
      </c>
      <c r="R15" s="28">
        <f t="shared" si="7"/>
        <v>624191249.35999966</v>
      </c>
      <c r="S15" s="28">
        <f t="shared" si="7"/>
        <v>407029067.16999996</v>
      </c>
      <c r="T15" s="28">
        <f t="shared" si="7"/>
        <v>148283886.38000005</v>
      </c>
      <c r="U15" s="28">
        <f t="shared" si="7"/>
        <v>648244956.97999978</v>
      </c>
      <c r="V15" s="28">
        <f t="shared" si="7"/>
        <v>549928859.55999982</v>
      </c>
      <c r="W15" s="28">
        <f t="shared" si="7"/>
        <v>343096624.87000012</v>
      </c>
      <c r="X15" s="28">
        <f t="shared" si="7"/>
        <v>159799842.09000006</v>
      </c>
      <c r="Y15" s="28">
        <f t="shared" si="7"/>
        <v>618547285.75</v>
      </c>
      <c r="Z15" s="28">
        <f t="shared" si="7"/>
        <v>539506966.56999981</v>
      </c>
      <c r="AA15" s="28">
        <f t="shared" si="7"/>
        <v>356353588.58000004</v>
      </c>
      <c r="AB15" s="28">
        <f t="shared" si="7"/>
        <v>167342671.48000005</v>
      </c>
      <c r="AC15" s="28">
        <f t="shared" si="7"/>
        <v>668918939.89000034</v>
      </c>
      <c r="AD15" s="28">
        <f t="shared" si="7"/>
        <v>591294158.7700001</v>
      </c>
      <c r="AE15" s="28">
        <f t="shared" si="7"/>
        <v>371588233.15999997</v>
      </c>
      <c r="AF15" s="28">
        <f t="shared" si="7"/>
        <v>166334378.45999989</v>
      </c>
      <c r="AG15" s="28">
        <f t="shared" si="7"/>
        <v>786842717.92000067</v>
      </c>
      <c r="AH15" s="28">
        <f t="shared" si="7"/>
        <v>633662250.7699995</v>
      </c>
      <c r="AI15" s="28">
        <f t="shared" si="7"/>
        <v>365219392.19999999</v>
      </c>
      <c r="AJ15" s="28">
        <f t="shared" si="7"/>
        <v>99510014.500000104</v>
      </c>
      <c r="AK15" s="28">
        <f t="shared" si="7"/>
        <v>742335551.93000019</v>
      </c>
      <c r="AL15" s="28">
        <f t="shared" si="7"/>
        <v>620874226.70999968</v>
      </c>
      <c r="AM15" s="28">
        <f t="shared" si="7"/>
        <v>402087727.8099997</v>
      </c>
      <c r="AN15" s="28">
        <f t="shared" si="7"/>
        <v>169768955.90999997</v>
      </c>
      <c r="AO15" s="28">
        <f t="shared" si="7"/>
        <v>709513019.28999949</v>
      </c>
      <c r="AP15" s="28">
        <f t="shared" si="7"/>
        <v>536460918.75</v>
      </c>
      <c r="AQ15" s="28">
        <f t="shared" si="7"/>
        <v>317713896.28999996</v>
      </c>
      <c r="AR15" s="28">
        <f t="shared" si="7"/>
        <v>134177922.9299999</v>
      </c>
      <c r="AS15" s="28">
        <f t="shared" si="7"/>
        <v>412436029.82999992</v>
      </c>
      <c r="AT15" s="28">
        <f t="shared" si="7"/>
        <v>241505203.41999996</v>
      </c>
      <c r="AU15" s="28">
        <f t="shared" si="7"/>
        <v>144551911.41999996</v>
      </c>
      <c r="AV15" s="28">
        <f t="shared" si="7"/>
        <v>75125840.779999986</v>
      </c>
      <c r="AW15" s="28">
        <f t="shared" si="7"/>
        <v>41047247.709999926</v>
      </c>
      <c r="AX15" s="28">
        <f t="shared" si="7"/>
        <v>42918557.469999991</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71496119.159916773</v>
      </c>
      <c r="C16" s="26">
        <f t="shared" ref="C16:BN16" si="9">C15*C41</f>
        <v>43287862.268615529</v>
      </c>
      <c r="D16" s="26">
        <f t="shared" si="9"/>
        <v>34534060.380946055</v>
      </c>
      <c r="E16" s="26">
        <f t="shared" si="9"/>
        <v>96504968.426376</v>
      </c>
      <c r="F16" s="26">
        <f t="shared" si="9"/>
        <v>102449640.13906214</v>
      </c>
      <c r="G16" s="26">
        <f t="shared" si="9"/>
        <v>69774729.891736329</v>
      </c>
      <c r="H16" s="26">
        <f t="shared" si="9"/>
        <v>31763684.424326949</v>
      </c>
      <c r="I16" s="26">
        <f t="shared" si="9"/>
        <v>113861623.91136095</v>
      </c>
      <c r="J16" s="26">
        <f t="shared" si="9"/>
        <v>101334070.6572953</v>
      </c>
      <c r="K16" s="26">
        <f t="shared" si="9"/>
        <v>77301917.726529509</v>
      </c>
      <c r="L16" s="26">
        <f t="shared" si="9"/>
        <v>34949703.837977178</v>
      </c>
      <c r="M16" s="26">
        <f t="shared" si="9"/>
        <v>111711361.82873768</v>
      </c>
      <c r="N16" s="26">
        <f t="shared" si="9"/>
        <v>99434600.032324135</v>
      </c>
      <c r="O16" s="26">
        <f t="shared" si="9"/>
        <v>61545524.482067369</v>
      </c>
      <c r="P16" s="26">
        <f t="shared" si="9"/>
        <v>29289021.955635786</v>
      </c>
      <c r="Q16" s="26">
        <f t="shared" si="9"/>
        <v>132231002.38242611</v>
      </c>
      <c r="R16" s="26">
        <f t="shared" si="9"/>
        <v>138654861.40598938</v>
      </c>
      <c r="S16" s="26">
        <f t="shared" si="9"/>
        <v>88946658.72999382</v>
      </c>
      <c r="T16" s="26">
        <f t="shared" si="9"/>
        <v>30697089.445818011</v>
      </c>
      <c r="U16" s="26">
        <f t="shared" si="9"/>
        <v>117504076.53892988</v>
      </c>
      <c r="V16" s="26">
        <f t="shared" si="9"/>
        <v>101413049.72706179</v>
      </c>
      <c r="W16" s="26">
        <f t="shared" si="9"/>
        <v>64089235.664961435</v>
      </c>
      <c r="X16" s="26">
        <f t="shared" si="9"/>
        <v>32032121.693415504</v>
      </c>
      <c r="Y16" s="26">
        <f t="shared" si="9"/>
        <v>130527124.64399031</v>
      </c>
      <c r="Z16" s="26">
        <f t="shared" si="9"/>
        <v>113462904.7960526</v>
      </c>
      <c r="AA16" s="26">
        <f t="shared" si="9"/>
        <v>79271818.810741991</v>
      </c>
      <c r="AB16" s="26">
        <f t="shared" si="9"/>
        <v>35862120.381482199</v>
      </c>
      <c r="AC16" s="26">
        <f t="shared" si="9"/>
        <v>150057160.84754559</v>
      </c>
      <c r="AD16" s="26">
        <f t="shared" si="9"/>
        <v>124653460.33516054</v>
      </c>
      <c r="AE16" s="26">
        <f t="shared" si="9"/>
        <v>81110556.146422684</v>
      </c>
      <c r="AF16" s="26">
        <f t="shared" si="9"/>
        <v>36231346.885718904</v>
      </c>
      <c r="AG16" s="26">
        <f t="shared" si="9"/>
        <v>146095519.73669934</v>
      </c>
      <c r="AH16" s="26">
        <f t="shared" si="9"/>
        <v>128198764.34915745</v>
      </c>
      <c r="AI16" s="26">
        <f t="shared" si="9"/>
        <v>74335289.843787104</v>
      </c>
      <c r="AJ16" s="26">
        <f t="shared" si="9"/>
        <v>17823579.840751149</v>
      </c>
      <c r="AK16" s="26">
        <f t="shared" si="9"/>
        <v>67410720.18870692</v>
      </c>
      <c r="AL16" s="26">
        <f t="shared" si="9"/>
        <v>90158478.546681568</v>
      </c>
      <c r="AM16" s="26">
        <f t="shared" si="9"/>
        <v>58546719.279774606</v>
      </c>
      <c r="AN16" s="26">
        <f t="shared" si="9"/>
        <v>26085326.795749247</v>
      </c>
      <c r="AO16" s="26">
        <f t="shared" si="9"/>
        <v>90683855.352946743</v>
      </c>
      <c r="AP16" s="26">
        <f t="shared" si="9"/>
        <v>76127862.634440631</v>
      </c>
      <c r="AQ16" s="26">
        <f t="shared" si="9"/>
        <v>47889421.702074714</v>
      </c>
      <c r="AR16" s="26">
        <f t="shared" si="9"/>
        <v>21943323.88750774</v>
      </c>
      <c r="AS16" s="26">
        <f t="shared" si="9"/>
        <v>52058727.846334353</v>
      </c>
      <c r="AT16" s="26">
        <f t="shared" si="9"/>
        <v>30248448.519345086</v>
      </c>
      <c r="AU16" s="26">
        <f t="shared" si="9"/>
        <v>16846665.098252382</v>
      </c>
      <c r="AV16" s="26">
        <f t="shared" si="9"/>
        <v>7516601.7181372074</v>
      </c>
      <c r="AW16" s="26">
        <f t="shared" si="9"/>
        <v>0</v>
      </c>
      <c r="AX16" s="26">
        <f t="shared" si="9"/>
        <v>4966527.332773095</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582101165.23008287</v>
      </c>
      <c r="C17" s="27">
        <f t="shared" ref="C17:BN17" si="11">C15-C16</f>
        <v>244024548.08138442</v>
      </c>
      <c r="D17" s="27">
        <f t="shared" si="11"/>
        <v>144469611.1590541</v>
      </c>
      <c r="E17" s="27">
        <f t="shared" si="11"/>
        <v>585001430.59362328</v>
      </c>
      <c r="F17" s="27">
        <f t="shared" si="11"/>
        <v>469331082.15093839</v>
      </c>
      <c r="G17" s="27">
        <f t="shared" si="11"/>
        <v>308611315.48826373</v>
      </c>
      <c r="H17" s="27">
        <f t="shared" si="11"/>
        <v>132730937.10567296</v>
      </c>
      <c r="I17" s="27">
        <f t="shared" si="11"/>
        <v>695331753.51863873</v>
      </c>
      <c r="J17" s="27">
        <f t="shared" si="11"/>
        <v>549185795.62270486</v>
      </c>
      <c r="K17" s="27">
        <f t="shared" si="11"/>
        <v>372630098.8834703</v>
      </c>
      <c r="L17" s="27">
        <f t="shared" si="11"/>
        <v>139807962.02202278</v>
      </c>
      <c r="M17" s="27">
        <f t="shared" si="11"/>
        <v>629896644.75126266</v>
      </c>
      <c r="N17" s="27">
        <f t="shared" si="11"/>
        <v>505819904.00767547</v>
      </c>
      <c r="O17" s="27">
        <f t="shared" si="11"/>
        <v>311228482.72793257</v>
      </c>
      <c r="P17" s="27">
        <f t="shared" si="11"/>
        <v>113536092.72436437</v>
      </c>
      <c r="Q17" s="27">
        <f t="shared" si="11"/>
        <v>576776263.01757383</v>
      </c>
      <c r="R17" s="27">
        <f t="shared" si="11"/>
        <v>485536387.95401025</v>
      </c>
      <c r="S17" s="27">
        <f t="shared" si="11"/>
        <v>318082408.44000614</v>
      </c>
      <c r="T17" s="27">
        <f t="shared" si="11"/>
        <v>117586796.93418205</v>
      </c>
      <c r="U17" s="27">
        <f t="shared" si="11"/>
        <v>530740880.4410699</v>
      </c>
      <c r="V17" s="27">
        <f t="shared" si="11"/>
        <v>448515809.83293802</v>
      </c>
      <c r="W17" s="27">
        <f t="shared" si="11"/>
        <v>279007389.20503867</v>
      </c>
      <c r="X17" s="27">
        <f t="shared" si="11"/>
        <v>127767720.39658456</v>
      </c>
      <c r="Y17" s="27">
        <f t="shared" si="11"/>
        <v>488020161.10600972</v>
      </c>
      <c r="Z17" s="27">
        <f t="shared" si="11"/>
        <v>426044061.77394724</v>
      </c>
      <c r="AA17" s="27">
        <f t="shared" si="11"/>
        <v>277081769.76925802</v>
      </c>
      <c r="AB17" s="27">
        <f t="shared" si="11"/>
        <v>131480551.09851785</v>
      </c>
      <c r="AC17" s="27">
        <f t="shared" si="11"/>
        <v>518861779.04245472</v>
      </c>
      <c r="AD17" s="27">
        <f t="shared" si="11"/>
        <v>466640698.43483955</v>
      </c>
      <c r="AE17" s="27">
        <f t="shared" si="11"/>
        <v>290477677.01357728</v>
      </c>
      <c r="AF17" s="27">
        <f t="shared" si="11"/>
        <v>130103031.57428098</v>
      </c>
      <c r="AG17" s="27">
        <f t="shared" si="11"/>
        <v>640747198.18330133</v>
      </c>
      <c r="AH17" s="27">
        <f t="shared" si="11"/>
        <v>505463486.42084205</v>
      </c>
      <c r="AI17" s="27">
        <f t="shared" si="11"/>
        <v>290884102.35621285</v>
      </c>
      <c r="AJ17" s="27">
        <f t="shared" si="11"/>
        <v>81686434.659248948</v>
      </c>
      <c r="AK17" s="27">
        <f t="shared" si="11"/>
        <v>674924831.74129331</v>
      </c>
      <c r="AL17" s="27">
        <f t="shared" si="11"/>
        <v>530715748.1633181</v>
      </c>
      <c r="AM17" s="27">
        <f t="shared" si="11"/>
        <v>343541008.5302251</v>
      </c>
      <c r="AN17" s="27">
        <f t="shared" si="11"/>
        <v>143683629.11425072</v>
      </c>
      <c r="AO17" s="27">
        <f t="shared" si="11"/>
        <v>618829163.93705273</v>
      </c>
      <c r="AP17" s="27">
        <f t="shared" si="11"/>
        <v>460333056.11555934</v>
      </c>
      <c r="AQ17" s="27">
        <f t="shared" si="11"/>
        <v>269824474.58792526</v>
      </c>
      <c r="AR17" s="27">
        <f t="shared" si="11"/>
        <v>112234599.04249217</v>
      </c>
      <c r="AS17" s="27">
        <f t="shared" si="11"/>
        <v>360377301.98366559</v>
      </c>
      <c r="AT17" s="27">
        <f t="shared" si="11"/>
        <v>211256754.90065488</v>
      </c>
      <c r="AU17" s="27">
        <f t="shared" si="11"/>
        <v>127705246.32174757</v>
      </c>
      <c r="AV17" s="27">
        <f t="shared" si="11"/>
        <v>67609239.061862782</v>
      </c>
      <c r="AW17" s="27">
        <f t="shared" si="11"/>
        <v>41047247.709999926</v>
      </c>
      <c r="AX17" s="27">
        <f t="shared" si="11"/>
        <v>37952030.137226894</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10.70406315116713</v>
      </c>
      <c r="C18" s="57">
        <f t="shared" ref="C18:D18" si="13">C17/C4*100</f>
        <v>6.7047279443472663</v>
      </c>
      <c r="D18" s="57">
        <f t="shared" si="13"/>
        <v>9.2129434026619439</v>
      </c>
      <c r="E18" s="57">
        <f>E17/E4</f>
        <v>8.0717409355654274E-2</v>
      </c>
      <c r="F18" s="57">
        <f t="shared" ref="F18:BQ18" si="14">F17/F4</f>
        <v>9.2645460856506726E-2</v>
      </c>
      <c r="G18" s="57">
        <f t="shared" si="14"/>
        <v>9.4410792466722945E-2</v>
      </c>
      <c r="H18" s="57">
        <f t="shared" si="14"/>
        <v>8.9354128550923062E-2</v>
      </c>
      <c r="I18" s="57">
        <f t="shared" si="14"/>
        <v>9.5058144756581628E-2</v>
      </c>
      <c r="J18" s="57">
        <f t="shared" si="14"/>
        <v>0.10908903390314284</v>
      </c>
      <c r="K18" s="57">
        <f t="shared" si="14"/>
        <v>0.11257691880856156</v>
      </c>
      <c r="L18" s="57">
        <f t="shared" si="14"/>
        <v>8.5104451217895422E-2</v>
      </c>
      <c r="M18" s="57">
        <f t="shared" si="14"/>
        <v>8.9219361750555004E-2</v>
      </c>
      <c r="N18" s="57">
        <f t="shared" si="14"/>
        <v>0.100845562110794</v>
      </c>
      <c r="O18" s="57">
        <f t="shared" si="14"/>
        <v>9.8283957797751814E-2</v>
      </c>
      <c r="P18" s="57">
        <f t="shared" si="14"/>
        <v>8.0127038835192024E-2</v>
      </c>
      <c r="Q18" s="57">
        <f t="shared" si="14"/>
        <v>9.7042982695543775E-2</v>
      </c>
      <c r="R18" s="57">
        <f t="shared" si="14"/>
        <v>0.11630717565125694</v>
      </c>
      <c r="S18" s="57">
        <f t="shared" si="14"/>
        <v>0.12074706279856011</v>
      </c>
      <c r="T18" s="57">
        <f t="shared" si="14"/>
        <v>0.10111770331703057</v>
      </c>
      <c r="U18" s="57">
        <f t="shared" si="14"/>
        <v>9.9611254759885401E-2</v>
      </c>
      <c r="V18" s="57">
        <f t="shared" si="14"/>
        <v>0.11920434530494989</v>
      </c>
      <c r="W18" s="57">
        <f t="shared" si="14"/>
        <v>0.11217017355678024</v>
      </c>
      <c r="X18" s="57">
        <f t="shared" si="14"/>
        <v>0.10961948287084775</v>
      </c>
      <c r="Y18" s="57">
        <f t="shared" si="14"/>
        <v>9.8752803254980134E-2</v>
      </c>
      <c r="Z18" s="57">
        <f t="shared" si="14"/>
        <v>0.11584657624332517</v>
      </c>
      <c r="AA18" s="57">
        <f t="shared" si="14"/>
        <v>0.11176863779761043</v>
      </c>
      <c r="AB18" s="57">
        <f t="shared" si="14"/>
        <v>0.1046523322109929</v>
      </c>
      <c r="AC18" s="57">
        <f t="shared" si="14"/>
        <v>9.9793947911441638E-2</v>
      </c>
      <c r="AD18" s="57">
        <f t="shared" si="14"/>
        <v>0.11646722480942323</v>
      </c>
      <c r="AE18" s="57">
        <f t="shared" si="14"/>
        <v>0.11188744571291673</v>
      </c>
      <c r="AF18" s="57">
        <f t="shared" si="14"/>
        <v>0.10623850617912861</v>
      </c>
      <c r="AG18" s="57">
        <f t="shared" si="14"/>
        <v>0.1198441167031237</v>
      </c>
      <c r="AH18" s="57">
        <f t="shared" si="14"/>
        <v>0.12640638900944615</v>
      </c>
      <c r="AI18" s="57">
        <f t="shared" si="14"/>
        <v>0.12081975943397155</v>
      </c>
      <c r="AJ18" s="57">
        <f t="shared" si="14"/>
        <v>9.6521945824138033E-2</v>
      </c>
      <c r="AK18" s="57">
        <f t="shared" si="14"/>
        <v>0.14557010231364831</v>
      </c>
      <c r="AL18" s="57">
        <f t="shared" si="14"/>
        <v>0.15774288787399648</v>
      </c>
      <c r="AM18" s="57">
        <f t="shared" si="14"/>
        <v>0.15750654129773053</v>
      </c>
      <c r="AN18" s="57">
        <f t="shared" si="14"/>
        <v>0.1491535490819135</v>
      </c>
      <c r="AO18" s="57">
        <f t="shared" si="14"/>
        <v>0.14313335686549825</v>
      </c>
      <c r="AP18" s="57">
        <f t="shared" si="14"/>
        <v>0.1683429277361134</v>
      </c>
      <c r="AQ18" s="57">
        <f t="shared" si="14"/>
        <v>0.16717217308630355</v>
      </c>
      <c r="AR18" s="57">
        <f t="shared" si="14"/>
        <v>0.15993431042372325</v>
      </c>
      <c r="AS18" s="57">
        <f t="shared" si="14"/>
        <v>0.1854932592021788</v>
      </c>
      <c r="AT18" s="57">
        <f t="shared" si="14"/>
        <v>0.17636330866506286</v>
      </c>
      <c r="AU18" s="57">
        <f t="shared" si="14"/>
        <v>0.1820098446851372</v>
      </c>
      <c r="AV18" s="57">
        <f t="shared" si="14"/>
        <v>0.20603881406198585</v>
      </c>
      <c r="AW18" s="57">
        <f t="shared" si="14"/>
        <v>4.3956520178332965E-2</v>
      </c>
      <c r="AX18" s="57">
        <f t="shared" si="14"/>
        <v>5.0577254273294854E-2</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39720292.240000002</v>
      </c>
      <c r="C20" s="190">
        <v>40470474.240000002</v>
      </c>
      <c r="D20" s="190">
        <v>2229740.7400000002</v>
      </c>
      <c r="E20" s="190">
        <v>31970911.600000001</v>
      </c>
      <c r="F20" s="190">
        <v>24733193.379999999</v>
      </c>
      <c r="G20" s="190">
        <v>12461971.189999999</v>
      </c>
      <c r="H20" s="190">
        <v>-740633.93</v>
      </c>
      <c r="I20" s="190">
        <v>-10595576.42</v>
      </c>
      <c r="J20" s="190">
        <v>-18639907.309999999</v>
      </c>
      <c r="K20" s="190">
        <v>-10154260.279999999</v>
      </c>
      <c r="L20" s="190">
        <v>-6501993.4299999997</v>
      </c>
      <c r="M20" s="190">
        <v>-4092683.54</v>
      </c>
      <c r="N20" s="190">
        <v>143346.99</v>
      </c>
      <c r="O20" s="190">
        <v>-1388980.67</v>
      </c>
      <c r="P20" s="190">
        <v>-1378419.55</v>
      </c>
      <c r="Q20" s="190">
        <v>1784517.63</v>
      </c>
      <c r="R20" s="190">
        <v>-40051.870000000003</v>
      </c>
      <c r="S20" s="190">
        <v>-4721335.7</v>
      </c>
      <c r="T20" s="190">
        <v>0</v>
      </c>
      <c r="U20" s="190">
        <v>-6120634.4100000001</v>
      </c>
      <c r="V20" s="190">
        <v>0</v>
      </c>
      <c r="W20" s="190">
        <v>-377191.3</v>
      </c>
      <c r="X20" s="190">
        <v>0</v>
      </c>
      <c r="Y20" s="190">
        <v>-636435.38</v>
      </c>
      <c r="Z20" s="190">
        <v>0</v>
      </c>
      <c r="AA20" s="190">
        <v>0</v>
      </c>
      <c r="AB20" s="190">
        <v>0</v>
      </c>
      <c r="AC20" s="190">
        <v>1913925.91</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8894533.5099999998</v>
      </c>
      <c r="F23" s="29">
        <f t="shared" si="16"/>
        <v>34414</v>
      </c>
      <c r="G23" s="29">
        <f t="shared" si="16"/>
        <v>23309</v>
      </c>
      <c r="H23" s="29">
        <f t="shared" si="16"/>
        <v>16814</v>
      </c>
      <c r="I23" s="29">
        <f t="shared" si="16"/>
        <v>11415326.74</v>
      </c>
      <c r="J23" s="29">
        <f t="shared" si="16"/>
        <v>0</v>
      </c>
      <c r="K23" s="29">
        <f t="shared" si="16"/>
        <v>0</v>
      </c>
      <c r="L23" s="29">
        <f t="shared" si="16"/>
        <v>0</v>
      </c>
      <c r="M23" s="29">
        <f t="shared" si="16"/>
        <v>12180054.9</v>
      </c>
      <c r="N23" s="29">
        <f t="shared" si="16"/>
        <v>0</v>
      </c>
      <c r="O23" s="29">
        <f t="shared" si="16"/>
        <v>0</v>
      </c>
      <c r="P23" s="29">
        <f t="shared" si="16"/>
        <v>0</v>
      </c>
      <c r="Q23" s="29">
        <f t="shared" si="16"/>
        <v>16152026.09</v>
      </c>
      <c r="R23" s="29">
        <f t="shared" si="16"/>
        <v>0</v>
      </c>
      <c r="S23" s="29">
        <f t="shared" si="16"/>
        <v>0</v>
      </c>
      <c r="T23" s="29">
        <f t="shared" si="16"/>
        <v>0</v>
      </c>
      <c r="U23" s="29">
        <f t="shared" si="16"/>
        <v>20079770.079999998</v>
      </c>
      <c r="V23" s="29">
        <f t="shared" si="16"/>
        <v>0</v>
      </c>
      <c r="W23" s="29">
        <f t="shared" si="16"/>
        <v>0</v>
      </c>
      <c r="X23" s="29">
        <f t="shared" si="16"/>
        <v>0</v>
      </c>
      <c r="Y23" s="29">
        <f t="shared" si="16"/>
        <v>32606706.809999999</v>
      </c>
      <c r="Z23" s="29">
        <f t="shared" si="16"/>
        <v>0</v>
      </c>
      <c r="AA23" s="29">
        <f t="shared" si="16"/>
        <v>0</v>
      </c>
      <c r="AB23" s="29">
        <f t="shared" si="16"/>
        <v>0</v>
      </c>
      <c r="AC23" s="29">
        <f t="shared" si="16"/>
        <v>41046887.43</v>
      </c>
      <c r="AD23" s="29">
        <f t="shared" si="16"/>
        <v>0</v>
      </c>
      <c r="AE23" s="29">
        <f t="shared" si="16"/>
        <v>0</v>
      </c>
      <c r="AF23" s="29">
        <f t="shared" si="16"/>
        <v>0</v>
      </c>
      <c r="AG23" s="29">
        <f t="shared" si="16"/>
        <v>42236876.920000002</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91635109.780000001</v>
      </c>
      <c r="C24" s="26">
        <f t="shared" ref="C24:BN24" si="18">C67</f>
        <v>85896860.900000006</v>
      </c>
      <c r="D24" s="26">
        <f t="shared" si="18"/>
        <v>2582202.7599999998</v>
      </c>
      <c r="E24" s="26">
        <f>E67</f>
        <v>55740734.57</v>
      </c>
      <c r="F24" s="26">
        <f t="shared" si="18"/>
        <v>25571954.879999999</v>
      </c>
      <c r="G24" s="26">
        <f t="shared" si="18"/>
        <v>16102393.74</v>
      </c>
      <c r="H24" s="26">
        <f t="shared" si="18"/>
        <v>9383197.5099999998</v>
      </c>
      <c r="I24" s="26">
        <f t="shared" si="18"/>
        <v>46141014.82</v>
      </c>
      <c r="J24" s="26">
        <f t="shared" si="18"/>
        <v>34186743.789999999</v>
      </c>
      <c r="K24" s="26">
        <f t="shared" si="18"/>
        <v>13350454.109999999</v>
      </c>
      <c r="L24" s="26">
        <f t="shared" si="18"/>
        <v>7306131.6499999994</v>
      </c>
      <c r="M24" s="26">
        <f t="shared" si="18"/>
        <v>43361884.75</v>
      </c>
      <c r="N24" s="26">
        <f t="shared" si="18"/>
        <v>26886738.580000002</v>
      </c>
      <c r="O24" s="26">
        <f t="shared" si="18"/>
        <v>24143707.579999998</v>
      </c>
      <c r="P24" s="26">
        <f t="shared" si="18"/>
        <v>7730394.9199999999</v>
      </c>
      <c r="Q24" s="26">
        <f t="shared" si="18"/>
        <v>29034494</v>
      </c>
      <c r="R24" s="26">
        <f t="shared" si="18"/>
        <v>22150611.470000003</v>
      </c>
      <c r="S24" s="26">
        <f t="shared" si="18"/>
        <v>9209175.7899999991</v>
      </c>
      <c r="T24" s="26">
        <f t="shared" si="18"/>
        <v>2194993.41</v>
      </c>
      <c r="U24" s="26">
        <f t="shared" si="18"/>
        <v>34586132.909999996</v>
      </c>
      <c r="V24" s="26">
        <f t="shared" si="18"/>
        <v>21272227.690000001</v>
      </c>
      <c r="W24" s="26">
        <f t="shared" si="18"/>
        <v>12436396.91</v>
      </c>
      <c r="X24" s="26">
        <f t="shared" si="18"/>
        <v>-459993.54</v>
      </c>
      <c r="Y24" s="26">
        <f t="shared" si="18"/>
        <v>1088802.1299999999</v>
      </c>
      <c r="Z24" s="26">
        <f t="shared" si="18"/>
        <v>284042.99</v>
      </c>
      <c r="AA24" s="26">
        <f t="shared" si="18"/>
        <v>550718.27</v>
      </c>
      <c r="AB24" s="26">
        <f t="shared" si="18"/>
        <v>14918.53</v>
      </c>
      <c r="AC24" s="26">
        <f t="shared" si="18"/>
        <v>1841301.09</v>
      </c>
      <c r="AD24" s="26">
        <f t="shared" si="18"/>
        <v>4851299.8</v>
      </c>
      <c r="AE24" s="26">
        <f t="shared" si="18"/>
        <v>1841301.09</v>
      </c>
      <c r="AF24" s="26">
        <f t="shared" si="18"/>
        <v>24657.599999999999</v>
      </c>
      <c r="AG24" s="26">
        <f t="shared" si="18"/>
        <v>653445.42000000004</v>
      </c>
      <c r="AH24" s="26">
        <f t="shared" si="18"/>
        <v>38356.160000000003</v>
      </c>
      <c r="AI24" s="26">
        <f t="shared" si="18"/>
        <v>0</v>
      </c>
      <c r="AJ24" s="26">
        <f t="shared" si="18"/>
        <v>0</v>
      </c>
      <c r="AK24" s="26">
        <f t="shared" si="18"/>
        <v>229529.86</v>
      </c>
      <c r="AL24" s="26">
        <f t="shared" si="18"/>
        <v>229529.86</v>
      </c>
      <c r="AM24" s="26">
        <f t="shared" si="18"/>
        <v>229369.86</v>
      </c>
      <c r="AN24" s="26">
        <f t="shared" si="18"/>
        <v>149369.85999999999</v>
      </c>
      <c r="AO24" s="26">
        <f t="shared" si="18"/>
        <v>258630.14</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-6290188.3300000001</v>
      </c>
      <c r="F25" s="29">
        <f t="shared" si="20"/>
        <v>-2684</v>
      </c>
      <c r="G25" s="29">
        <f t="shared" si="20"/>
        <v>377</v>
      </c>
      <c r="H25" s="29">
        <f t="shared" si="20"/>
        <v>-1008</v>
      </c>
      <c r="I25" s="29">
        <f t="shared" si="20"/>
        <v>6163549.5700000003</v>
      </c>
      <c r="J25" s="29">
        <f t="shared" si="20"/>
        <v>0</v>
      </c>
      <c r="K25" s="29">
        <f t="shared" si="20"/>
        <v>0</v>
      </c>
      <c r="L25" s="29">
        <f t="shared" si="20"/>
        <v>0</v>
      </c>
      <c r="M25" s="29">
        <f t="shared" si="20"/>
        <v>3463710.24</v>
      </c>
      <c r="N25" s="29">
        <f t="shared" si="20"/>
        <v>0</v>
      </c>
      <c r="O25" s="29">
        <f t="shared" si="20"/>
        <v>0</v>
      </c>
      <c r="P25" s="29">
        <f t="shared" si="20"/>
        <v>0</v>
      </c>
      <c r="Q25" s="29">
        <f t="shared" si="20"/>
        <v>468631.84</v>
      </c>
      <c r="R25" s="29">
        <f t="shared" si="20"/>
        <v>0</v>
      </c>
      <c r="S25" s="29">
        <f t="shared" si="20"/>
        <v>0</v>
      </c>
      <c r="T25" s="29">
        <f t="shared" si="20"/>
        <v>0</v>
      </c>
      <c r="U25" s="29">
        <f t="shared" si="20"/>
        <v>-940094.37</v>
      </c>
      <c r="V25" s="29">
        <f t="shared" si="20"/>
        <v>0</v>
      </c>
      <c r="W25" s="29">
        <f t="shared" si="20"/>
        <v>0</v>
      </c>
      <c r="X25" s="29">
        <f t="shared" si="20"/>
        <v>0</v>
      </c>
      <c r="Y25" s="29">
        <f t="shared" si="20"/>
        <v>866349.5</v>
      </c>
      <c r="Z25" s="29">
        <f t="shared" si="20"/>
        <v>0</v>
      </c>
      <c r="AA25" s="29">
        <f t="shared" si="20"/>
        <v>0</v>
      </c>
      <c r="AB25" s="29">
        <f t="shared" si="20"/>
        <v>0</v>
      </c>
      <c r="AC25" s="29">
        <f t="shared" si="20"/>
        <v>426313.39</v>
      </c>
      <c r="AD25" s="29">
        <f t="shared" si="20"/>
        <v>0</v>
      </c>
      <c r="AE25" s="29">
        <f t="shared" si="20"/>
        <v>0</v>
      </c>
      <c r="AF25" s="29">
        <f t="shared" si="20"/>
        <v>0</v>
      </c>
      <c r="AG25" s="29">
        <f t="shared" si="20"/>
        <v>-87217.32</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-2274842.44</v>
      </c>
      <c r="C26" s="190">
        <v>-1818916.66</v>
      </c>
      <c r="D26" s="190">
        <v>401182.51</v>
      </c>
      <c r="E26" s="190">
        <v>-2563222.75</v>
      </c>
      <c r="F26" s="190">
        <v>-217107.98</v>
      </c>
      <c r="G26" s="190">
        <v>-629539.24</v>
      </c>
      <c r="H26" s="190">
        <v>3252.12</v>
      </c>
      <c r="I26" s="190">
        <v>-1779313.95</v>
      </c>
      <c r="J26" s="190">
        <v>-2440609.65</v>
      </c>
      <c r="K26" s="190">
        <v>-2392196.66</v>
      </c>
      <c r="L26" s="190">
        <v>0</v>
      </c>
      <c r="M26" s="190">
        <v>1230817.1100000001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89382799.340000004</v>
      </c>
      <c r="C27" s="26">
        <f t="shared" ref="C27:BN27" si="22">SUM(C22:C26)</f>
        <v>84107086.24000001</v>
      </c>
      <c r="D27" s="26">
        <f t="shared" si="22"/>
        <v>3019042.2699999996</v>
      </c>
      <c r="E27" s="26">
        <f t="shared" si="22"/>
        <v>55781857</v>
      </c>
      <c r="F27" s="26">
        <f t="shared" si="22"/>
        <v>25386576.899999999</v>
      </c>
      <c r="G27" s="26">
        <f t="shared" si="22"/>
        <v>15496540.5</v>
      </c>
      <c r="H27" s="26">
        <f t="shared" si="22"/>
        <v>9402255.629999999</v>
      </c>
      <c r="I27" s="26">
        <f t="shared" si="22"/>
        <v>61940577.18</v>
      </c>
      <c r="J27" s="26">
        <f t="shared" si="22"/>
        <v>31746134.140000001</v>
      </c>
      <c r="K27" s="26">
        <f t="shared" si="22"/>
        <v>10958257.449999999</v>
      </c>
      <c r="L27" s="26">
        <f t="shared" si="22"/>
        <v>7306131.6499999994</v>
      </c>
      <c r="M27" s="26">
        <f t="shared" si="22"/>
        <v>60236467</v>
      </c>
      <c r="N27" s="26">
        <f t="shared" si="22"/>
        <v>26886738.580000002</v>
      </c>
      <c r="O27" s="26">
        <f t="shared" si="22"/>
        <v>24143707.579999998</v>
      </c>
      <c r="P27" s="26">
        <f t="shared" si="22"/>
        <v>7730394.9199999999</v>
      </c>
      <c r="Q27" s="26">
        <f t="shared" si="22"/>
        <v>45655151.930000007</v>
      </c>
      <c r="R27" s="26">
        <f t="shared" si="22"/>
        <v>22150611.470000003</v>
      </c>
      <c r="S27" s="26">
        <f t="shared" si="22"/>
        <v>9209175.7899999991</v>
      </c>
      <c r="T27" s="26">
        <f t="shared" si="22"/>
        <v>2194993.41</v>
      </c>
      <c r="U27" s="26">
        <f t="shared" si="22"/>
        <v>53725808.619999997</v>
      </c>
      <c r="V27" s="26">
        <f t="shared" si="22"/>
        <v>21272227.690000001</v>
      </c>
      <c r="W27" s="26">
        <f t="shared" si="22"/>
        <v>12436396.91</v>
      </c>
      <c r="X27" s="26">
        <f t="shared" si="22"/>
        <v>-459993.54</v>
      </c>
      <c r="Y27" s="26">
        <f t="shared" si="22"/>
        <v>34561858.439999998</v>
      </c>
      <c r="Z27" s="26">
        <f t="shared" si="22"/>
        <v>284042.99</v>
      </c>
      <c r="AA27" s="26">
        <f t="shared" si="22"/>
        <v>550718.27</v>
      </c>
      <c r="AB27" s="26">
        <f t="shared" si="22"/>
        <v>14918.53</v>
      </c>
      <c r="AC27" s="26">
        <f t="shared" si="22"/>
        <v>43314501.910000004</v>
      </c>
      <c r="AD27" s="26">
        <f t="shared" si="22"/>
        <v>4851299.8</v>
      </c>
      <c r="AE27" s="26">
        <f t="shared" si="22"/>
        <v>1841301.09</v>
      </c>
      <c r="AF27" s="26">
        <f t="shared" si="22"/>
        <v>24657.599999999999</v>
      </c>
      <c r="AG27" s="26">
        <f t="shared" si="22"/>
        <v>42803105.020000003</v>
      </c>
      <c r="AH27" s="26">
        <f t="shared" si="22"/>
        <v>38356.160000000003</v>
      </c>
      <c r="AI27" s="26">
        <f t="shared" si="22"/>
        <v>0</v>
      </c>
      <c r="AJ27" s="26">
        <f t="shared" si="22"/>
        <v>0</v>
      </c>
      <c r="AK27" s="26">
        <f t="shared" si="22"/>
        <v>229529.86</v>
      </c>
      <c r="AL27" s="26">
        <f t="shared" si="22"/>
        <v>229529.86</v>
      </c>
      <c r="AM27" s="26">
        <f t="shared" si="22"/>
        <v>229369.86</v>
      </c>
      <c r="AN27" s="26">
        <f t="shared" si="22"/>
        <v>149369.85999999999</v>
      </c>
      <c r="AO27" s="26">
        <f t="shared" si="22"/>
        <v>258630.14</v>
      </c>
      <c r="AP27" s="26">
        <f t="shared" si="22"/>
        <v>0</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10026304.935975822</v>
      </c>
      <c r="C28" s="26">
        <f t="shared" ref="C28:BN28" si="24">SUM(C22:C25)*C41</f>
        <v>12946022.673704736</v>
      </c>
      <c r="D28" s="26">
        <f t="shared" si="24"/>
        <v>505047.33362682431</v>
      </c>
      <c r="E28" s="26">
        <f t="shared" si="24"/>
        <v>8261976.8313325932</v>
      </c>
      <c r="F28" s="26">
        <f t="shared" si="24"/>
        <v>4587577.3700176375</v>
      </c>
      <c r="G28" s="26">
        <f t="shared" si="24"/>
        <v>2973663.7273214166</v>
      </c>
      <c r="H28" s="26">
        <f t="shared" si="24"/>
        <v>1814934.607696784</v>
      </c>
      <c r="I28" s="26">
        <f t="shared" si="24"/>
        <v>8966027.7529205922</v>
      </c>
      <c r="J28" s="26">
        <f t="shared" si="24"/>
        <v>5325405.2494495176</v>
      </c>
      <c r="K28" s="26">
        <f t="shared" si="24"/>
        <v>2293714.7549505834</v>
      </c>
      <c r="L28" s="26">
        <f t="shared" si="24"/>
        <v>1461149.8506356371</v>
      </c>
      <c r="M28" s="26">
        <f t="shared" si="24"/>
        <v>8888255.5828913413</v>
      </c>
      <c r="N28" s="26">
        <f t="shared" si="24"/>
        <v>4417104.010017043</v>
      </c>
      <c r="O28" s="26">
        <f t="shared" si="24"/>
        <v>3986160.8299198607</v>
      </c>
      <c r="P28" s="26">
        <f t="shared" si="24"/>
        <v>1585265.3578812103</v>
      </c>
      <c r="Q28" s="26">
        <f t="shared" si="24"/>
        <v>8514759.7186045107</v>
      </c>
      <c r="R28" s="26">
        <f t="shared" si="24"/>
        <v>4920430.9842213374</v>
      </c>
      <c r="S28" s="26">
        <f t="shared" si="24"/>
        <v>2012449.434810352</v>
      </c>
      <c r="T28" s="26">
        <f t="shared" si="24"/>
        <v>454398.05149886484</v>
      </c>
      <c r="U28" s="26">
        <f t="shared" si="24"/>
        <v>9738604.9212183114</v>
      </c>
      <c r="V28" s="26">
        <f t="shared" si="24"/>
        <v>3922837.376196987</v>
      </c>
      <c r="W28" s="26">
        <f t="shared" si="24"/>
        <v>2323074.9433632223</v>
      </c>
      <c r="X28" s="26">
        <f t="shared" si="24"/>
        <v>-92206.405580591309</v>
      </c>
      <c r="Y28" s="26">
        <f t="shared" si="24"/>
        <v>7293314.6882308954</v>
      </c>
      <c r="Z28" s="26">
        <f t="shared" si="24"/>
        <v>59736.657224748858</v>
      </c>
      <c r="AA28" s="26">
        <f t="shared" si="24"/>
        <v>122508.76745528994</v>
      </c>
      <c r="AB28" s="26">
        <f t="shared" si="24"/>
        <v>3197.0932102556721</v>
      </c>
      <c r="AC28" s="26">
        <f t="shared" si="24"/>
        <v>9716649.944474617</v>
      </c>
      <c r="AD28" s="26">
        <f t="shared" si="24"/>
        <v>1022724.980830563</v>
      </c>
      <c r="AE28" s="26">
        <f t="shared" si="24"/>
        <v>401920.57259952853</v>
      </c>
      <c r="AF28" s="26">
        <f t="shared" si="24"/>
        <v>5370.9766269643533</v>
      </c>
      <c r="AG28" s="26">
        <f t="shared" si="24"/>
        <v>7947384.8226898266</v>
      </c>
      <c r="AH28" s="26">
        <f t="shared" si="24"/>
        <v>7759.9893495365886</v>
      </c>
      <c r="AI28" s="26">
        <f t="shared" si="24"/>
        <v>0</v>
      </c>
      <c r="AJ28" s="26">
        <f t="shared" si="24"/>
        <v>0</v>
      </c>
      <c r="AK28" s="26">
        <f t="shared" si="24"/>
        <v>20843.368106492228</v>
      </c>
      <c r="AL28" s="26">
        <f t="shared" si="24"/>
        <v>33330.523427088054</v>
      </c>
      <c r="AM28" s="26">
        <f t="shared" si="24"/>
        <v>33397.818127408245</v>
      </c>
      <c r="AN28" s="26">
        <f t="shared" si="24"/>
        <v>22950.966451139047</v>
      </c>
      <c r="AO28" s="26">
        <f t="shared" si="24"/>
        <v>33055.88138346222</v>
      </c>
      <c r="AP28" s="26">
        <f t="shared" si="24"/>
        <v>0</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79356494.404024184</v>
      </c>
      <c r="C29" s="28">
        <f t="shared" ref="C29:BN29" si="26">C27-C28</f>
        <v>71161063.566295266</v>
      </c>
      <c r="D29" s="28">
        <f t="shared" si="26"/>
        <v>2513994.9363731751</v>
      </c>
      <c r="E29" s="28">
        <f t="shared" si="26"/>
        <v>47519880.168667406</v>
      </c>
      <c r="F29" s="28">
        <f t="shared" si="26"/>
        <v>20798999.529982362</v>
      </c>
      <c r="G29" s="28">
        <f t="shared" si="26"/>
        <v>12522876.772678584</v>
      </c>
      <c r="H29" s="28">
        <f t="shared" si="26"/>
        <v>7587321.0223032152</v>
      </c>
      <c r="I29" s="28">
        <f t="shared" si="26"/>
        <v>52974549.427079409</v>
      </c>
      <c r="J29" s="28">
        <f t="shared" si="26"/>
        <v>26420728.890550483</v>
      </c>
      <c r="K29" s="28">
        <f t="shared" si="26"/>
        <v>8664542.6950494163</v>
      </c>
      <c r="L29" s="28">
        <f t="shared" si="26"/>
        <v>5844981.7993643619</v>
      </c>
      <c r="M29" s="28">
        <f t="shared" si="26"/>
        <v>51348211.417108655</v>
      </c>
      <c r="N29" s="28">
        <f t="shared" si="26"/>
        <v>22469634.569982961</v>
      </c>
      <c r="O29" s="28">
        <f t="shared" si="26"/>
        <v>20157546.750080138</v>
      </c>
      <c r="P29" s="28">
        <f t="shared" si="26"/>
        <v>6145129.5621187892</v>
      </c>
      <c r="Q29" s="28">
        <f t="shared" si="26"/>
        <v>37140392.211395495</v>
      </c>
      <c r="R29" s="28">
        <f t="shared" si="26"/>
        <v>17230180.485778667</v>
      </c>
      <c r="S29" s="28">
        <f t="shared" si="26"/>
        <v>7196726.3551896475</v>
      </c>
      <c r="T29" s="28">
        <f t="shared" si="26"/>
        <v>1740595.3585011354</v>
      </c>
      <c r="U29" s="28">
        <f t="shared" si="26"/>
        <v>43987203.698781684</v>
      </c>
      <c r="V29" s="28">
        <f t="shared" si="26"/>
        <v>17349390.313803013</v>
      </c>
      <c r="W29" s="28">
        <f t="shared" si="26"/>
        <v>10113321.966636777</v>
      </c>
      <c r="X29" s="28">
        <f t="shared" si="26"/>
        <v>-367787.13441940869</v>
      </c>
      <c r="Y29" s="28">
        <f t="shared" si="26"/>
        <v>27268543.751769103</v>
      </c>
      <c r="Z29" s="28">
        <f t="shared" si="26"/>
        <v>224306.33277525112</v>
      </c>
      <c r="AA29" s="28">
        <f t="shared" si="26"/>
        <v>428209.50254471006</v>
      </c>
      <c r="AB29" s="28">
        <f t="shared" si="26"/>
        <v>11721.436789744328</v>
      </c>
      <c r="AC29" s="28">
        <f t="shared" si="26"/>
        <v>33597851.965525389</v>
      </c>
      <c r="AD29" s="28">
        <f t="shared" si="26"/>
        <v>3828574.8191694366</v>
      </c>
      <c r="AE29" s="28">
        <f t="shared" si="26"/>
        <v>1439380.5174004715</v>
      </c>
      <c r="AF29" s="28">
        <f t="shared" si="26"/>
        <v>19286.623373035647</v>
      </c>
      <c r="AG29" s="28">
        <f t="shared" si="26"/>
        <v>34855720.197310179</v>
      </c>
      <c r="AH29" s="28">
        <f t="shared" si="26"/>
        <v>30596.170650463413</v>
      </c>
      <c r="AI29" s="28">
        <f t="shared" si="26"/>
        <v>0</v>
      </c>
      <c r="AJ29" s="28">
        <f t="shared" si="26"/>
        <v>0</v>
      </c>
      <c r="AK29" s="28">
        <f t="shared" si="26"/>
        <v>208686.49189350777</v>
      </c>
      <c r="AL29" s="28">
        <f t="shared" si="26"/>
        <v>196199.33657291194</v>
      </c>
      <c r="AM29" s="28">
        <f t="shared" si="26"/>
        <v>195972.04187259174</v>
      </c>
      <c r="AN29" s="28">
        <f t="shared" si="26"/>
        <v>126418.89354886094</v>
      </c>
      <c r="AO29" s="28">
        <f t="shared" si="26"/>
        <v>225574.25861653779</v>
      </c>
      <c r="AP29" s="28">
        <f t="shared" si="26"/>
        <v>0</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782700375.96999967</v>
      </c>
      <c r="C31" s="26">
        <f t="shared" ref="C31:BN31" si="28">C15+C20+C27</f>
        <v>411889970.82999998</v>
      </c>
      <c r="D31" s="26">
        <f t="shared" si="28"/>
        <v>184252454.55000019</v>
      </c>
      <c r="E31" s="26">
        <f t="shared" si="28"/>
        <v>769259167.61999929</v>
      </c>
      <c r="F31" s="26">
        <f t="shared" si="28"/>
        <v>621900492.57000053</v>
      </c>
      <c r="G31" s="26">
        <f t="shared" si="28"/>
        <v>406344557.07000005</v>
      </c>
      <c r="H31" s="26">
        <f t="shared" si="28"/>
        <v>173156243.2299999</v>
      </c>
      <c r="I31" s="26">
        <f t="shared" si="28"/>
        <v>860538378.1899997</v>
      </c>
      <c r="J31" s="26">
        <f t="shared" si="28"/>
        <v>663626093.11000025</v>
      </c>
      <c r="K31" s="26">
        <f t="shared" si="28"/>
        <v>450736013.77999985</v>
      </c>
      <c r="L31" s="26">
        <f t="shared" si="28"/>
        <v>175561804.07999995</v>
      </c>
      <c r="M31" s="26">
        <f t="shared" si="28"/>
        <v>797751790.04000032</v>
      </c>
      <c r="N31" s="26">
        <f t="shared" si="28"/>
        <v>632284589.60999966</v>
      </c>
      <c r="O31" s="26">
        <f t="shared" si="28"/>
        <v>395528734.11999989</v>
      </c>
      <c r="P31" s="26">
        <f t="shared" si="28"/>
        <v>149177090.05000013</v>
      </c>
      <c r="Q31" s="26">
        <f t="shared" si="28"/>
        <v>756446934.96000004</v>
      </c>
      <c r="R31" s="26">
        <f t="shared" si="28"/>
        <v>646301808.95999968</v>
      </c>
      <c r="S31" s="26">
        <f t="shared" si="28"/>
        <v>411516907.25999999</v>
      </c>
      <c r="T31" s="26">
        <f t="shared" si="28"/>
        <v>150478879.79000005</v>
      </c>
      <c r="U31" s="26">
        <f t="shared" si="28"/>
        <v>695850131.18999982</v>
      </c>
      <c r="V31" s="26">
        <f t="shared" si="28"/>
        <v>571201087.24999988</v>
      </c>
      <c r="W31" s="26">
        <f t="shared" si="28"/>
        <v>355155830.48000014</v>
      </c>
      <c r="X31" s="26">
        <f t="shared" si="28"/>
        <v>159339848.55000007</v>
      </c>
      <c r="Y31" s="26">
        <f t="shared" si="28"/>
        <v>652472708.80999994</v>
      </c>
      <c r="Z31" s="26">
        <f t="shared" si="28"/>
        <v>539791009.55999982</v>
      </c>
      <c r="AA31" s="26">
        <f t="shared" si="28"/>
        <v>356904306.85000002</v>
      </c>
      <c r="AB31" s="26">
        <f t="shared" si="28"/>
        <v>167357590.01000005</v>
      </c>
      <c r="AC31" s="26">
        <f t="shared" si="28"/>
        <v>714147367.71000028</v>
      </c>
      <c r="AD31" s="26">
        <f t="shared" si="28"/>
        <v>596145458.57000005</v>
      </c>
      <c r="AE31" s="26">
        <f t="shared" si="28"/>
        <v>373429534.24999994</v>
      </c>
      <c r="AF31" s="26">
        <f t="shared" si="28"/>
        <v>166359036.05999988</v>
      </c>
      <c r="AG31" s="26">
        <f t="shared" si="28"/>
        <v>829645822.94000065</v>
      </c>
      <c r="AH31" s="26">
        <f t="shared" si="28"/>
        <v>633700606.92999947</v>
      </c>
      <c r="AI31" s="26">
        <f t="shared" si="28"/>
        <v>365219392.19999999</v>
      </c>
      <c r="AJ31" s="26">
        <f t="shared" si="28"/>
        <v>99510014.500000104</v>
      </c>
      <c r="AK31" s="26">
        <f t="shared" si="28"/>
        <v>742565081.7900002</v>
      </c>
      <c r="AL31" s="26">
        <f t="shared" si="28"/>
        <v>621103756.56999969</v>
      </c>
      <c r="AM31" s="26">
        <f t="shared" si="28"/>
        <v>402317097.66999972</v>
      </c>
      <c r="AN31" s="26">
        <f t="shared" si="28"/>
        <v>169918325.76999998</v>
      </c>
      <c r="AO31" s="26">
        <f t="shared" si="28"/>
        <v>709771649.42999947</v>
      </c>
      <c r="AP31" s="26">
        <f t="shared" si="28"/>
        <v>536460918.75</v>
      </c>
      <c r="AQ31" s="26">
        <f t="shared" si="28"/>
        <v>317713896.28999996</v>
      </c>
      <c r="AR31" s="26">
        <f t="shared" si="28"/>
        <v>134177922.9299999</v>
      </c>
      <c r="AS31" s="26">
        <f t="shared" si="28"/>
        <v>412436029.82999992</v>
      </c>
      <c r="AT31" s="26">
        <f t="shared" si="28"/>
        <v>241505203.41999996</v>
      </c>
      <c r="AU31" s="26">
        <f t="shared" si="28"/>
        <v>144551911.41999996</v>
      </c>
      <c r="AV31" s="26">
        <f t="shared" si="28"/>
        <v>75125840.779999986</v>
      </c>
      <c r="AW31" s="26">
        <f t="shared" si="28"/>
        <v>41047247.709999926</v>
      </c>
      <c r="AX31" s="26">
        <f t="shared" si="28"/>
        <v>42918557.469999991</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14.392814777331001</v>
      </c>
      <c r="C32" s="57">
        <f t="shared" ref="C32:D32" si="30">C31/C4*100</f>
        <v>11.316936017843823</v>
      </c>
      <c r="D32" s="57">
        <f t="shared" si="30"/>
        <v>11.749927351170204</v>
      </c>
      <c r="E32" s="57">
        <f>E31/E4</f>
        <v>0.10614094921163802</v>
      </c>
      <c r="F32" s="57">
        <f t="shared" ref="F32:BQ32" si="31">F31/F4</f>
        <v>0.12276250163739776</v>
      </c>
      <c r="G32" s="57">
        <f t="shared" si="31"/>
        <v>0.12430947837030028</v>
      </c>
      <c r="H32" s="57">
        <f t="shared" si="31"/>
        <v>0.1165683415965804</v>
      </c>
      <c r="I32" s="57">
        <f t="shared" si="31"/>
        <v>0.11764338577755784</v>
      </c>
      <c r="J32" s="57">
        <f t="shared" si="31"/>
        <v>0.13182119775731152</v>
      </c>
      <c r="K32" s="57">
        <f t="shared" si="31"/>
        <v>0.13617384043706579</v>
      </c>
      <c r="L32" s="57">
        <f t="shared" si="31"/>
        <v>0.10686867024567975</v>
      </c>
      <c r="M32" s="57">
        <f t="shared" si="31"/>
        <v>0.11299457797689581</v>
      </c>
      <c r="N32" s="57">
        <f t="shared" si="31"/>
        <v>0.12605888844628296</v>
      </c>
      <c r="O32" s="57">
        <f t="shared" si="31"/>
        <v>0.12490543626121446</v>
      </c>
      <c r="P32" s="57">
        <f t="shared" si="31"/>
        <v>0.10528034038282709</v>
      </c>
      <c r="Q32" s="57">
        <f t="shared" si="31"/>
        <v>0.12727269051497661</v>
      </c>
      <c r="R32" s="57">
        <f t="shared" si="31"/>
        <v>0.15481751704581986</v>
      </c>
      <c r="S32" s="57">
        <f t="shared" si="31"/>
        <v>0.15621567406788683</v>
      </c>
      <c r="T32" s="57">
        <f t="shared" si="31"/>
        <v>0.12940295270226104</v>
      </c>
      <c r="U32" s="57">
        <f t="shared" si="31"/>
        <v>0.13059952087177312</v>
      </c>
      <c r="V32" s="57">
        <f t="shared" si="31"/>
        <v>0.151811040213886</v>
      </c>
      <c r="W32" s="57">
        <f t="shared" si="31"/>
        <v>0.14278435871591819</v>
      </c>
      <c r="X32" s="57">
        <f t="shared" si="31"/>
        <v>0.13670707863108375</v>
      </c>
      <c r="Y32" s="57">
        <f t="shared" si="31"/>
        <v>0.13203042451428837</v>
      </c>
      <c r="Z32" s="57">
        <f t="shared" si="31"/>
        <v>0.14677575855436534</v>
      </c>
      <c r="AA32" s="57">
        <f t="shared" si="31"/>
        <v>0.14396727808525317</v>
      </c>
      <c r="AB32" s="57">
        <f t="shared" si="31"/>
        <v>0.13320876708703655</v>
      </c>
      <c r="AC32" s="57">
        <f t="shared" si="31"/>
        <v>0.13735370014316203</v>
      </c>
      <c r="AD32" s="57">
        <f t="shared" si="31"/>
        <v>0.14878986632599539</v>
      </c>
      <c r="AE32" s="57">
        <f t="shared" si="31"/>
        <v>0.14383920021173846</v>
      </c>
      <c r="AF32" s="57">
        <f t="shared" si="31"/>
        <v>0.13584414803065939</v>
      </c>
      <c r="AG32" s="57">
        <f t="shared" si="31"/>
        <v>0.15517535013588415</v>
      </c>
      <c r="AH32" s="57">
        <f t="shared" si="31"/>
        <v>0.15847594848507471</v>
      </c>
      <c r="AI32" s="57">
        <f t="shared" si="31"/>
        <v>0.15169518976389273</v>
      </c>
      <c r="AJ32" s="57">
        <f t="shared" si="31"/>
        <v>0.11758256151825676</v>
      </c>
      <c r="AK32" s="57">
        <f t="shared" si="31"/>
        <v>0.16015898341127735</v>
      </c>
      <c r="AL32" s="57">
        <f t="shared" si="31"/>
        <v>0.1846086168910698</v>
      </c>
      <c r="AM32" s="57">
        <f t="shared" si="31"/>
        <v>0.18445417864390926</v>
      </c>
      <c r="AN32" s="57">
        <f t="shared" si="31"/>
        <v>0.17638697949715565</v>
      </c>
      <c r="AO32" s="57">
        <f t="shared" si="31"/>
        <v>0.16416808500837132</v>
      </c>
      <c r="AP32" s="57">
        <f t="shared" si="31"/>
        <v>0.19618274307832784</v>
      </c>
      <c r="AQ32" s="57">
        <f t="shared" si="31"/>
        <v>0.19684249378648688</v>
      </c>
      <c r="AR32" s="57">
        <f t="shared" si="31"/>
        <v>0.19120354829059769</v>
      </c>
      <c r="AS32" s="57">
        <f t="shared" si="31"/>
        <v>0.21228890655561136</v>
      </c>
      <c r="AT32" s="57">
        <f t="shared" si="31"/>
        <v>0.20161559688356367</v>
      </c>
      <c r="AU32" s="57">
        <f t="shared" si="31"/>
        <v>0.20602028267662065</v>
      </c>
      <c r="AV32" s="57">
        <f t="shared" si="31"/>
        <v>0.22894561977775785</v>
      </c>
      <c r="AW32" s="57">
        <f t="shared" si="31"/>
        <v>4.3956520178332965E-2</v>
      </c>
      <c r="AX32" s="57">
        <f t="shared" si="31"/>
        <v>5.7195959909242901E-2</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701177951.87410712</v>
      </c>
      <c r="C33" s="26">
        <f t="shared" ref="C33:BN33" si="33">C17+C20+C29</f>
        <v>355656085.8876797</v>
      </c>
      <c r="D33" s="26">
        <f t="shared" si="33"/>
        <v>149213346.83542728</v>
      </c>
      <c r="E33" s="26">
        <f t="shared" si="33"/>
        <v>664492222.36229074</v>
      </c>
      <c r="F33" s="26">
        <f t="shared" si="33"/>
        <v>514863275.06092077</v>
      </c>
      <c r="G33" s="26">
        <f t="shared" si="33"/>
        <v>333596163.45094228</v>
      </c>
      <c r="H33" s="26">
        <f t="shared" si="33"/>
        <v>139577624.19797617</v>
      </c>
      <c r="I33" s="26">
        <f t="shared" si="33"/>
        <v>737710726.52571821</v>
      </c>
      <c r="J33" s="26">
        <f t="shared" si="33"/>
        <v>556966617.2032553</v>
      </c>
      <c r="K33" s="26">
        <f t="shared" si="33"/>
        <v>371140381.29851973</v>
      </c>
      <c r="L33" s="26">
        <f t="shared" si="33"/>
        <v>139150950.39138713</v>
      </c>
      <c r="M33" s="26">
        <f t="shared" si="33"/>
        <v>677152172.62837136</v>
      </c>
      <c r="N33" s="26">
        <f t="shared" si="33"/>
        <v>528432885.56765842</v>
      </c>
      <c r="O33" s="26">
        <f t="shared" si="33"/>
        <v>329997048.80801272</v>
      </c>
      <c r="P33" s="26">
        <f t="shared" si="33"/>
        <v>118302802.73648316</v>
      </c>
      <c r="Q33" s="26">
        <f t="shared" si="33"/>
        <v>615701172.85896933</v>
      </c>
      <c r="R33" s="26">
        <f t="shared" si="33"/>
        <v>502726516.56978893</v>
      </c>
      <c r="S33" s="26">
        <f t="shared" si="33"/>
        <v>320557799.09519577</v>
      </c>
      <c r="T33" s="26">
        <f t="shared" si="33"/>
        <v>119327392.29268318</v>
      </c>
      <c r="U33" s="26">
        <f t="shared" si="33"/>
        <v>568607449.7298516</v>
      </c>
      <c r="V33" s="26">
        <f t="shared" si="33"/>
        <v>465865200.14674103</v>
      </c>
      <c r="W33" s="26">
        <f t="shared" si="33"/>
        <v>288743519.87167543</v>
      </c>
      <c r="X33" s="26">
        <f t="shared" si="33"/>
        <v>127399933.26216514</v>
      </c>
      <c r="Y33" s="26">
        <f t="shared" si="33"/>
        <v>514652269.47777885</v>
      </c>
      <c r="Z33" s="26">
        <f t="shared" si="33"/>
        <v>426268368.10672247</v>
      </c>
      <c r="AA33" s="26">
        <f t="shared" si="33"/>
        <v>277509979.27180272</v>
      </c>
      <c r="AB33" s="26">
        <f t="shared" si="33"/>
        <v>131492272.5353076</v>
      </c>
      <c r="AC33" s="26">
        <f t="shared" si="33"/>
        <v>554373556.91798019</v>
      </c>
      <c r="AD33" s="26">
        <f t="shared" si="33"/>
        <v>470469273.25400901</v>
      </c>
      <c r="AE33" s="26">
        <f t="shared" si="33"/>
        <v>291917057.53097773</v>
      </c>
      <c r="AF33" s="26">
        <f t="shared" si="33"/>
        <v>130122318.19765401</v>
      </c>
      <c r="AG33" s="26">
        <f t="shared" si="33"/>
        <v>675602918.38061154</v>
      </c>
      <c r="AH33" s="26">
        <f t="shared" si="33"/>
        <v>505494082.59149253</v>
      </c>
      <c r="AI33" s="26">
        <f t="shared" si="33"/>
        <v>290884102.35621285</v>
      </c>
      <c r="AJ33" s="26">
        <f t="shared" si="33"/>
        <v>81686434.659248948</v>
      </c>
      <c r="AK33" s="26">
        <f t="shared" si="33"/>
        <v>675133518.23318684</v>
      </c>
      <c r="AL33" s="26">
        <f t="shared" si="33"/>
        <v>530911947.49989098</v>
      </c>
      <c r="AM33" s="26">
        <f t="shared" si="33"/>
        <v>343736980.57209772</v>
      </c>
      <c r="AN33" s="26">
        <f t="shared" si="33"/>
        <v>143810048.00779957</v>
      </c>
      <c r="AO33" s="26">
        <f t="shared" si="33"/>
        <v>619054738.19566929</v>
      </c>
      <c r="AP33" s="26">
        <f t="shared" si="33"/>
        <v>460333056.11555934</v>
      </c>
      <c r="AQ33" s="26">
        <f t="shared" si="33"/>
        <v>269824474.58792526</v>
      </c>
      <c r="AR33" s="26">
        <f t="shared" si="33"/>
        <v>112234599.04249217</v>
      </c>
      <c r="AS33" s="26">
        <f t="shared" si="33"/>
        <v>360377301.98366559</v>
      </c>
      <c r="AT33" s="26">
        <f t="shared" si="33"/>
        <v>211256754.90065488</v>
      </c>
      <c r="AU33" s="26">
        <f t="shared" si="33"/>
        <v>127705246.32174757</v>
      </c>
      <c r="AV33" s="26">
        <f t="shared" si="33"/>
        <v>67609239.061862782</v>
      </c>
      <c r="AW33" s="26">
        <f t="shared" si="33"/>
        <v>41047247.709999926</v>
      </c>
      <c r="AX33" s="26">
        <f t="shared" si="33"/>
        <v>37952030.137226894</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12.893726254782264</v>
      </c>
      <c r="C34" s="57">
        <f t="shared" ref="C34:D34" si="35">C33/C4*100</f>
        <v>9.7718746592372305</v>
      </c>
      <c r="D34" s="57">
        <f t="shared" si="35"/>
        <v>9.5154552454847128</v>
      </c>
      <c r="E34" s="57">
        <f>E33/E4</f>
        <v>9.168540095985557E-2</v>
      </c>
      <c r="F34" s="57">
        <f t="shared" ref="F34:BQ34" si="36">F33/F4</f>
        <v>0.10163346773774723</v>
      </c>
      <c r="G34" s="57">
        <f t="shared" si="36"/>
        <v>0.10205419106370918</v>
      </c>
      <c r="H34" s="57">
        <f t="shared" si="36"/>
        <v>9.3963300850419026E-2</v>
      </c>
      <c r="I34" s="57">
        <f t="shared" si="36"/>
        <v>0.10085173397547847</v>
      </c>
      <c r="J34" s="57">
        <f t="shared" si="36"/>
        <v>0.11063459883938184</v>
      </c>
      <c r="K34" s="57">
        <f t="shared" si="36"/>
        <v>0.11212685367396515</v>
      </c>
      <c r="L34" s="57">
        <f t="shared" si="36"/>
        <v>8.4704512520125022E-2</v>
      </c>
      <c r="M34" s="57">
        <f t="shared" si="36"/>
        <v>9.5912694810054114E-2</v>
      </c>
      <c r="N34" s="57">
        <f t="shared" si="36"/>
        <v>0.10535392332463603</v>
      </c>
      <c r="O34" s="57">
        <f t="shared" si="36"/>
        <v>0.10421095053431138</v>
      </c>
      <c r="P34" s="57">
        <f t="shared" si="36"/>
        <v>8.3491099981671632E-2</v>
      </c>
      <c r="Q34" s="57">
        <f t="shared" si="36"/>
        <v>0.10359212418136296</v>
      </c>
      <c r="R34" s="57">
        <f t="shared" si="36"/>
        <v>0.12042496240830725</v>
      </c>
      <c r="S34" s="57">
        <f t="shared" si="36"/>
        <v>0.12168674428663437</v>
      </c>
      <c r="T34" s="57">
        <f t="shared" si="36"/>
        <v>0.10261451256470856</v>
      </c>
      <c r="U34" s="57">
        <f t="shared" si="36"/>
        <v>0.10671818135874289</v>
      </c>
      <c r="V34" s="57">
        <f t="shared" si="36"/>
        <v>0.12381538167971505</v>
      </c>
      <c r="W34" s="57">
        <f t="shared" si="36"/>
        <v>0.11608441923235109</v>
      </c>
      <c r="X34" s="57">
        <f t="shared" si="36"/>
        <v>0.10930393653914154</v>
      </c>
      <c r="Y34" s="57">
        <f t="shared" si="36"/>
        <v>0.10414191536121406</v>
      </c>
      <c r="Z34" s="57">
        <f t="shared" si="36"/>
        <v>0.11590756787074866</v>
      </c>
      <c r="AA34" s="57">
        <f t="shared" si="36"/>
        <v>0.11194136800945825</v>
      </c>
      <c r="AB34" s="57">
        <f t="shared" si="36"/>
        <v>0.10466166192315689</v>
      </c>
      <c r="AC34" s="57">
        <f t="shared" si="36"/>
        <v>0.10662401452011143</v>
      </c>
      <c r="AD34" s="57">
        <f t="shared" si="36"/>
        <v>0.11742278544881778</v>
      </c>
      <c r="AE34" s="57">
        <f t="shared" si="36"/>
        <v>0.11244187251485423</v>
      </c>
      <c r="AF34" s="57">
        <f t="shared" si="36"/>
        <v>0.10625425509774794</v>
      </c>
      <c r="AG34" s="57">
        <f t="shared" si="36"/>
        <v>0.12636346319568981</v>
      </c>
      <c r="AH34" s="57">
        <f t="shared" si="36"/>
        <v>0.12641404050466457</v>
      </c>
      <c r="AI34" s="57">
        <f t="shared" si="36"/>
        <v>0.12081975943397155</v>
      </c>
      <c r="AJ34" s="57">
        <f t="shared" si="36"/>
        <v>9.6521945824138033E-2</v>
      </c>
      <c r="AK34" s="57">
        <f t="shared" si="36"/>
        <v>0.14561511253189444</v>
      </c>
      <c r="AL34" s="57">
        <f t="shared" si="36"/>
        <v>0.15780120355439051</v>
      </c>
      <c r="AM34" s="57">
        <f t="shared" si="36"/>
        <v>0.15759639047945839</v>
      </c>
      <c r="AN34" s="57">
        <f t="shared" si="36"/>
        <v>0.14928478064086045</v>
      </c>
      <c r="AO34" s="57">
        <f t="shared" si="36"/>
        <v>0.14318553152490315</v>
      </c>
      <c r="AP34" s="57">
        <f t="shared" si="36"/>
        <v>0.1683429277361134</v>
      </c>
      <c r="AQ34" s="57">
        <f t="shared" si="36"/>
        <v>0.16717217308630355</v>
      </c>
      <c r="AR34" s="57">
        <f t="shared" si="36"/>
        <v>0.15993431042372325</v>
      </c>
      <c r="AS34" s="57">
        <f t="shared" si="36"/>
        <v>0.1854932592021788</v>
      </c>
      <c r="AT34" s="57">
        <f t="shared" si="36"/>
        <v>0.17636330866506286</v>
      </c>
      <c r="AU34" s="57">
        <f t="shared" si="36"/>
        <v>0.1820098446851372</v>
      </c>
      <c r="AV34" s="57">
        <f t="shared" si="36"/>
        <v>0.20603881406198585</v>
      </c>
      <c r="AW34" s="57">
        <f t="shared" si="36"/>
        <v>4.3956520178332965E-2</v>
      </c>
      <c r="AX34" s="57">
        <f t="shared" si="36"/>
        <v>5.0577254273294854E-2</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-16052228.779999999</v>
      </c>
      <c r="C35" s="26">
        <f t="shared" ref="C35:BN35" si="38">C23+C68</f>
        <v>-1754048.58</v>
      </c>
      <c r="D35" s="26">
        <f t="shared" si="38"/>
        <v>4120812.12</v>
      </c>
      <c r="E35" s="26">
        <f t="shared" si="38"/>
        <v>8403594.9299999997</v>
      </c>
      <c r="F35" s="26">
        <f t="shared" si="38"/>
        <v>1706667.28</v>
      </c>
      <c r="G35" s="26">
        <f t="shared" si="38"/>
        <v>441887.2</v>
      </c>
      <c r="H35" s="26">
        <f t="shared" si="38"/>
        <v>-1118993.8999999999</v>
      </c>
      <c r="I35" s="26">
        <f t="shared" si="38"/>
        <v>2781267.1099999994</v>
      </c>
      <c r="J35" s="26">
        <f t="shared" si="38"/>
        <v>-9331012.5800000001</v>
      </c>
      <c r="K35" s="26">
        <f t="shared" si="38"/>
        <v>-3976901.43</v>
      </c>
      <c r="L35" s="26">
        <f t="shared" si="38"/>
        <v>-751100.34</v>
      </c>
      <c r="M35" s="26">
        <f t="shared" si="38"/>
        <v>3491379.26</v>
      </c>
      <c r="N35" s="26">
        <f t="shared" si="38"/>
        <v>-9719582.8499999996</v>
      </c>
      <c r="O35" s="26">
        <f t="shared" si="38"/>
        <v>-6083096.7199999997</v>
      </c>
      <c r="P35" s="26">
        <f t="shared" si="38"/>
        <v>-6388699.0999999996</v>
      </c>
      <c r="Q35" s="26">
        <f t="shared" si="38"/>
        <v>330086.01999999955</v>
      </c>
      <c r="R35" s="26">
        <f t="shared" si="38"/>
        <v>-9994972.7300000004</v>
      </c>
      <c r="S35" s="26">
        <f t="shared" si="38"/>
        <v>-8776911.7200000007</v>
      </c>
      <c r="T35" s="26">
        <f t="shared" si="38"/>
        <v>-3427699.61</v>
      </c>
      <c r="U35" s="26">
        <f t="shared" si="38"/>
        <v>1539292.0999999978</v>
      </c>
      <c r="V35" s="26">
        <f t="shared" si="38"/>
        <v>-15521259.380000001</v>
      </c>
      <c r="W35" s="26">
        <f t="shared" si="38"/>
        <v>-13285819.039999999</v>
      </c>
      <c r="X35" s="26">
        <f t="shared" si="38"/>
        <v>-6452600.0300000003</v>
      </c>
      <c r="Y35" s="26">
        <f t="shared" si="38"/>
        <v>-459826.87000000104</v>
      </c>
      <c r="Z35" s="26">
        <f t="shared" si="38"/>
        <v>-25452017.260000002</v>
      </c>
      <c r="AA35" s="26">
        <f t="shared" si="38"/>
        <v>-17791564.579999998</v>
      </c>
      <c r="AB35" s="26">
        <f t="shared" si="38"/>
        <v>-8372029.9299999997</v>
      </c>
      <c r="AC35" s="26">
        <f t="shared" si="38"/>
        <v>369743.68999999762</v>
      </c>
      <c r="AD35" s="26">
        <f t="shared" si="38"/>
        <v>-28497264.559999999</v>
      </c>
      <c r="AE35" s="26">
        <f t="shared" si="38"/>
        <v>-19089881.530000001</v>
      </c>
      <c r="AF35" s="26">
        <f t="shared" si="38"/>
        <v>-2639655.9900000002</v>
      </c>
      <c r="AG35" s="26">
        <f t="shared" si="38"/>
        <v>660897.1099999994</v>
      </c>
      <c r="AH35" s="26">
        <f t="shared" si="38"/>
        <v>-27498625.129999999</v>
      </c>
      <c r="AI35" s="26">
        <f t="shared" si="38"/>
        <v>-19012174.079999998</v>
      </c>
      <c r="AJ35" s="26">
        <f t="shared" si="38"/>
        <v>-3798067.66</v>
      </c>
      <c r="AK35" s="26">
        <f t="shared" si="38"/>
        <v>-42854081.25</v>
      </c>
      <c r="AL35" s="26">
        <f t="shared" si="38"/>
        <v>-31534608.170000002</v>
      </c>
      <c r="AM35" s="26">
        <f t="shared" si="38"/>
        <v>-28080033.899999999</v>
      </c>
      <c r="AN35" s="26">
        <f t="shared" si="38"/>
        <v>-2392666.4700000002</v>
      </c>
      <c r="AO35" s="26">
        <f t="shared" si="38"/>
        <v>-23808220.969999999</v>
      </c>
      <c r="AP35" s="26">
        <f t="shared" si="38"/>
        <v>-5917100.9400000004</v>
      </c>
      <c r="AQ35" s="26">
        <f t="shared" si="38"/>
        <v>-2010405.68</v>
      </c>
      <c r="AR35" s="26">
        <f t="shared" si="38"/>
        <v>-520110.19</v>
      </c>
      <c r="AS35" s="26">
        <f t="shared" si="38"/>
        <v>-2640157.4900000002</v>
      </c>
      <c r="AT35" s="26">
        <f t="shared" si="38"/>
        <v>-1879702.51</v>
      </c>
      <c r="AU35" s="26">
        <f t="shared" si="38"/>
        <v>-957688.98</v>
      </c>
      <c r="AV35" s="26">
        <f t="shared" si="38"/>
        <v>-391947.11</v>
      </c>
      <c r="AW35" s="26">
        <f t="shared" si="38"/>
        <v>-2292269.08</v>
      </c>
      <c r="AX35" s="26">
        <f t="shared" si="38"/>
        <v>-202576.44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-1755931.5025432585</v>
      </c>
      <c r="C36" s="26">
        <f t="shared" ref="C36:BN36" si="40">C35*C41</f>
        <v>-264273.35056987265</v>
      </c>
      <c r="D36" s="26">
        <f t="shared" si="40"/>
        <v>795002.54573724815</v>
      </c>
      <c r="E36" s="26">
        <f t="shared" si="40"/>
        <v>1189994.2018943601</v>
      </c>
      <c r="F36" s="26">
        <f t="shared" si="40"/>
        <v>305794.58498153317</v>
      </c>
      <c r="G36" s="26">
        <f t="shared" si="40"/>
        <v>81484.400387048096</v>
      </c>
      <c r="H36" s="26">
        <f t="shared" si="40"/>
        <v>-216076.17794278215</v>
      </c>
      <c r="I36" s="26">
        <f t="shared" si="40"/>
        <v>391352.17675858014</v>
      </c>
      <c r="J36" s="26">
        <f t="shared" si="40"/>
        <v>-1453528.9959597373</v>
      </c>
      <c r="K36" s="26">
        <f t="shared" si="40"/>
        <v>-683263.46158835455</v>
      </c>
      <c r="L36" s="26">
        <f t="shared" si="40"/>
        <v>-150212.20560724175</v>
      </c>
      <c r="M36" s="26">
        <f t="shared" si="40"/>
        <v>525920.33572271932</v>
      </c>
      <c r="N36" s="26">
        <f t="shared" si="40"/>
        <v>-1596787.5112366222</v>
      </c>
      <c r="O36" s="26">
        <f t="shared" si="40"/>
        <v>-1004328.0133977659</v>
      </c>
      <c r="P36" s="26">
        <f t="shared" si="40"/>
        <v>-1310124.9638559041</v>
      </c>
      <c r="Q36" s="26">
        <f t="shared" si="40"/>
        <v>61561.576907679315</v>
      </c>
      <c r="R36" s="26">
        <f t="shared" si="40"/>
        <v>-2220235.480801349</v>
      </c>
      <c r="S36" s="26">
        <f t="shared" si="40"/>
        <v>-1917988.2579149201</v>
      </c>
      <c r="T36" s="26">
        <f t="shared" si="40"/>
        <v>-709587.56268312386</v>
      </c>
      <c r="U36" s="26">
        <f t="shared" si="40"/>
        <v>279019.6742552527</v>
      </c>
      <c r="V36" s="26">
        <f t="shared" si="40"/>
        <v>-2862294.3167412132</v>
      </c>
      <c r="W36" s="26">
        <f t="shared" si="40"/>
        <v>-2481743.9920291202</v>
      </c>
      <c r="X36" s="26">
        <f t="shared" si="40"/>
        <v>-1293433.5021650863</v>
      </c>
      <c r="Y36" s="26">
        <f t="shared" si="40"/>
        <v>-97033.61498445645</v>
      </c>
      <c r="Z36" s="26">
        <f t="shared" si="40"/>
        <v>-5352775.7567226421</v>
      </c>
      <c r="AA36" s="26">
        <f t="shared" si="40"/>
        <v>-3957781.6218027286</v>
      </c>
      <c r="AB36" s="26">
        <f t="shared" si="40"/>
        <v>-1794155.3253075383</v>
      </c>
      <c r="AC36" s="26">
        <f t="shared" si="40"/>
        <v>82943.81434590336</v>
      </c>
      <c r="AD36" s="26">
        <f t="shared" si="40"/>
        <v>-6007640.3340089358</v>
      </c>
      <c r="AE36" s="26">
        <f t="shared" si="40"/>
        <v>-4166953.5509777837</v>
      </c>
      <c r="AF36" s="26">
        <f t="shared" si="40"/>
        <v>-574976.09765412915</v>
      </c>
      <c r="AG36" s="26">
        <f t="shared" si="40"/>
        <v>122710.80938916341</v>
      </c>
      <c r="AH36" s="26">
        <f t="shared" si="40"/>
        <v>-5563357.7014930369</v>
      </c>
      <c r="AI36" s="26">
        <f t="shared" si="40"/>
        <v>-3869661.6362129096</v>
      </c>
      <c r="AJ36" s="26">
        <f t="shared" si="40"/>
        <v>-680284.91924885428</v>
      </c>
      <c r="AK36" s="26">
        <f t="shared" si="40"/>
        <v>-3891534.5931865973</v>
      </c>
      <c r="AL36" s="26">
        <f t="shared" si="40"/>
        <v>-4579208.109891355</v>
      </c>
      <c r="AM36" s="26">
        <f t="shared" si="40"/>
        <v>-4088644.7120979978</v>
      </c>
      <c r="AN36" s="26">
        <f t="shared" si="40"/>
        <v>-367637.80779961433</v>
      </c>
      <c r="AO36" s="26">
        <f t="shared" si="40"/>
        <v>-3042962.1556697832</v>
      </c>
      <c r="AP36" s="26">
        <f t="shared" si="40"/>
        <v>-839681.38555934571</v>
      </c>
      <c r="AQ36" s="26">
        <f t="shared" si="40"/>
        <v>-303031.01792528236</v>
      </c>
      <c r="AR36" s="26">
        <f t="shared" si="40"/>
        <v>-85058.302492260802</v>
      </c>
      <c r="AS36" s="26">
        <f t="shared" si="40"/>
        <v>-333247.41366563761</v>
      </c>
      <c r="AT36" s="26">
        <f t="shared" si="40"/>
        <v>-235432.13065491288</v>
      </c>
      <c r="AU36" s="26">
        <f t="shared" si="40"/>
        <v>-111612.95174762157</v>
      </c>
      <c r="AV36" s="26">
        <f t="shared" si="40"/>
        <v>-39215.671862793002</v>
      </c>
      <c r="AW36" s="26">
        <f t="shared" si="40"/>
        <v>0</v>
      </c>
      <c r="AX36" s="26">
        <f t="shared" si="40"/>
        <v>-23442.107226906035</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-14296297.277456742</v>
      </c>
      <c r="C37" s="26">
        <f t="shared" ref="C37:BN37" si="42">C35-C36</f>
        <v>-1489775.2294301274</v>
      </c>
      <c r="D37" s="26">
        <f t="shared" si="42"/>
        <v>3325809.5742627522</v>
      </c>
      <c r="E37" s="26">
        <f t="shared" si="42"/>
        <v>7213600.72810564</v>
      </c>
      <c r="F37" s="26">
        <f t="shared" si="42"/>
        <v>1400872.6950184668</v>
      </c>
      <c r="G37" s="26">
        <f t="shared" si="42"/>
        <v>360402.79961295193</v>
      </c>
      <c r="H37" s="26">
        <f t="shared" si="42"/>
        <v>-902917.72205721773</v>
      </c>
      <c r="I37" s="26">
        <f t="shared" si="42"/>
        <v>2389914.9332414195</v>
      </c>
      <c r="J37" s="26">
        <f t="shared" si="42"/>
        <v>-7877483.5840402627</v>
      </c>
      <c r="K37" s="26">
        <f t="shared" si="42"/>
        <v>-3293637.9684116459</v>
      </c>
      <c r="L37" s="26">
        <f t="shared" si="42"/>
        <v>-600888.13439275825</v>
      </c>
      <c r="M37" s="26">
        <f t="shared" si="42"/>
        <v>2965458.9242772805</v>
      </c>
      <c r="N37" s="26">
        <f t="shared" si="42"/>
        <v>-8122795.3387633776</v>
      </c>
      <c r="O37" s="26">
        <f t="shared" si="42"/>
        <v>-5078768.7066022335</v>
      </c>
      <c r="P37" s="26">
        <f t="shared" si="42"/>
        <v>-5078574.136144096</v>
      </c>
      <c r="Q37" s="26">
        <f t="shared" si="42"/>
        <v>268524.44309232023</v>
      </c>
      <c r="R37" s="26">
        <f t="shared" si="42"/>
        <v>-7774737.2491986509</v>
      </c>
      <c r="S37" s="26">
        <f t="shared" si="42"/>
        <v>-6858923.4620850803</v>
      </c>
      <c r="T37" s="26">
        <f t="shared" si="42"/>
        <v>-2718112.0473168762</v>
      </c>
      <c r="U37" s="26">
        <f t="shared" si="42"/>
        <v>1260272.4257447449</v>
      </c>
      <c r="V37" s="26">
        <f t="shared" si="42"/>
        <v>-12658965.063258788</v>
      </c>
      <c r="W37" s="26">
        <f t="shared" si="42"/>
        <v>-10804075.04797088</v>
      </c>
      <c r="X37" s="26">
        <f t="shared" si="42"/>
        <v>-5159166.5278349137</v>
      </c>
      <c r="Y37" s="26">
        <f t="shared" si="42"/>
        <v>-362793.25501554459</v>
      </c>
      <c r="Z37" s="26">
        <f t="shared" si="42"/>
        <v>-20099241.503277361</v>
      </c>
      <c r="AA37" s="26">
        <f t="shared" si="42"/>
        <v>-13833782.95819727</v>
      </c>
      <c r="AB37" s="26">
        <f t="shared" si="42"/>
        <v>-6577874.604692461</v>
      </c>
      <c r="AC37" s="26">
        <f t="shared" si="42"/>
        <v>286799.87565409427</v>
      </c>
      <c r="AD37" s="26">
        <f t="shared" si="42"/>
        <v>-22489624.225991063</v>
      </c>
      <c r="AE37" s="26">
        <f t="shared" si="42"/>
        <v>-14922927.979022218</v>
      </c>
      <c r="AF37" s="26">
        <f t="shared" si="42"/>
        <v>-2064679.8923458711</v>
      </c>
      <c r="AG37" s="26">
        <f t="shared" si="42"/>
        <v>538186.30061083601</v>
      </c>
      <c r="AH37" s="26">
        <f t="shared" si="42"/>
        <v>-21935267.428506963</v>
      </c>
      <c r="AI37" s="26">
        <f t="shared" si="42"/>
        <v>-15142512.443787089</v>
      </c>
      <c r="AJ37" s="26">
        <f t="shared" si="42"/>
        <v>-3117782.7407511459</v>
      </c>
      <c r="AK37" s="26">
        <f t="shared" si="42"/>
        <v>-38962546.656813405</v>
      </c>
      <c r="AL37" s="26">
        <f t="shared" si="42"/>
        <v>-26955400.060108647</v>
      </c>
      <c r="AM37" s="26">
        <f t="shared" si="42"/>
        <v>-23991389.187902</v>
      </c>
      <c r="AN37" s="26">
        <f t="shared" si="42"/>
        <v>-2025028.6622003859</v>
      </c>
      <c r="AO37" s="26">
        <f t="shared" si="42"/>
        <v>-20765258.814330216</v>
      </c>
      <c r="AP37" s="26">
        <f t="shared" si="42"/>
        <v>-5077419.5544406548</v>
      </c>
      <c r="AQ37" s="26">
        <f t="shared" si="42"/>
        <v>-1707374.6620747177</v>
      </c>
      <c r="AR37" s="26">
        <f t="shared" si="42"/>
        <v>-435051.88750773919</v>
      </c>
      <c r="AS37" s="26">
        <f t="shared" si="42"/>
        <v>-2306910.0763343628</v>
      </c>
      <c r="AT37" s="26">
        <f t="shared" si="42"/>
        <v>-1644270.3793450871</v>
      </c>
      <c r="AU37" s="26">
        <f t="shared" si="42"/>
        <v>-846076.02825237846</v>
      </c>
      <c r="AV37" s="26">
        <f t="shared" si="42"/>
        <v>-352731.43813720701</v>
      </c>
      <c r="AW37" s="26">
        <f t="shared" si="42"/>
        <v>-2292269.08</v>
      </c>
      <c r="AX37" s="26">
        <f t="shared" si="42"/>
        <v>-179134.33277309398</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798752604.74999964</v>
      </c>
      <c r="C38" s="28">
        <f t="shared" ref="C38:BN38" si="44">C31-C35</f>
        <v>413644019.40999997</v>
      </c>
      <c r="D38" s="28">
        <f t="shared" si="44"/>
        <v>180131642.43000019</v>
      </c>
      <c r="E38" s="28">
        <f t="shared" si="44"/>
        <v>760855572.68999934</v>
      </c>
      <c r="F38" s="28">
        <f t="shared" si="44"/>
        <v>620193825.29000056</v>
      </c>
      <c r="G38" s="28">
        <f t="shared" si="44"/>
        <v>405902669.87000006</v>
      </c>
      <c r="H38" s="28">
        <f t="shared" si="44"/>
        <v>174275237.12999991</v>
      </c>
      <c r="I38" s="28">
        <f t="shared" si="44"/>
        <v>857757111.07999969</v>
      </c>
      <c r="J38" s="28">
        <f t="shared" si="44"/>
        <v>672957105.6900003</v>
      </c>
      <c r="K38" s="28">
        <f t="shared" si="44"/>
        <v>454712915.20999986</v>
      </c>
      <c r="L38" s="28">
        <f t="shared" si="44"/>
        <v>176312904.41999996</v>
      </c>
      <c r="M38" s="28">
        <f t="shared" si="44"/>
        <v>794260410.78000033</v>
      </c>
      <c r="N38" s="28">
        <f t="shared" si="44"/>
        <v>642004172.45999968</v>
      </c>
      <c r="O38" s="28">
        <f t="shared" si="44"/>
        <v>401611830.83999991</v>
      </c>
      <c r="P38" s="28">
        <f t="shared" si="44"/>
        <v>155565789.15000013</v>
      </c>
      <c r="Q38" s="28">
        <f t="shared" si="44"/>
        <v>756116848.94000006</v>
      </c>
      <c r="R38" s="28">
        <f t="shared" si="44"/>
        <v>656296781.6899997</v>
      </c>
      <c r="S38" s="28">
        <f t="shared" si="44"/>
        <v>420293818.98000002</v>
      </c>
      <c r="T38" s="28">
        <f t="shared" si="44"/>
        <v>153906579.40000007</v>
      </c>
      <c r="U38" s="28">
        <f t="shared" si="44"/>
        <v>694310839.08999979</v>
      </c>
      <c r="V38" s="28">
        <f t="shared" si="44"/>
        <v>586722346.62999988</v>
      </c>
      <c r="W38" s="28">
        <f t="shared" si="44"/>
        <v>368441649.52000016</v>
      </c>
      <c r="X38" s="28">
        <f t="shared" si="44"/>
        <v>165792448.58000007</v>
      </c>
      <c r="Y38" s="28">
        <f t="shared" si="44"/>
        <v>652932535.67999995</v>
      </c>
      <c r="Z38" s="28">
        <f t="shared" si="44"/>
        <v>565243026.81999981</v>
      </c>
      <c r="AA38" s="28">
        <f t="shared" si="44"/>
        <v>374695871.43000001</v>
      </c>
      <c r="AB38" s="28">
        <f t="shared" si="44"/>
        <v>175729619.94000006</v>
      </c>
      <c r="AC38" s="28">
        <f t="shared" si="44"/>
        <v>713777624.02000022</v>
      </c>
      <c r="AD38" s="28">
        <f t="shared" si="44"/>
        <v>624642723.13</v>
      </c>
      <c r="AE38" s="28">
        <f t="shared" si="44"/>
        <v>392519415.77999997</v>
      </c>
      <c r="AF38" s="28">
        <f t="shared" si="44"/>
        <v>168998692.04999989</v>
      </c>
      <c r="AG38" s="28">
        <f t="shared" si="44"/>
        <v>828984925.83000064</v>
      </c>
      <c r="AH38" s="28">
        <f t="shared" si="44"/>
        <v>661199232.05999947</v>
      </c>
      <c r="AI38" s="28">
        <f t="shared" si="44"/>
        <v>384231566.27999997</v>
      </c>
      <c r="AJ38" s="28">
        <f t="shared" si="44"/>
        <v>103308082.1600001</v>
      </c>
      <c r="AK38" s="28">
        <f t="shared" si="44"/>
        <v>785419163.0400002</v>
      </c>
      <c r="AL38" s="28">
        <f t="shared" si="44"/>
        <v>652638364.73999965</v>
      </c>
      <c r="AM38" s="28">
        <f t="shared" si="44"/>
        <v>430397131.56999969</v>
      </c>
      <c r="AN38" s="28">
        <f t="shared" si="44"/>
        <v>172310992.23999998</v>
      </c>
      <c r="AO38" s="28">
        <f t="shared" si="44"/>
        <v>733579870.3999995</v>
      </c>
      <c r="AP38" s="28">
        <f t="shared" si="44"/>
        <v>542378019.69000006</v>
      </c>
      <c r="AQ38" s="28">
        <f t="shared" si="44"/>
        <v>319724301.96999997</v>
      </c>
      <c r="AR38" s="28">
        <f t="shared" si="44"/>
        <v>134698033.11999992</v>
      </c>
      <c r="AS38" s="28">
        <f t="shared" si="44"/>
        <v>415076187.31999993</v>
      </c>
      <c r="AT38" s="28">
        <f t="shared" si="44"/>
        <v>243384905.92999995</v>
      </c>
      <c r="AU38" s="28">
        <f t="shared" si="44"/>
        <v>145509600.39999995</v>
      </c>
      <c r="AV38" s="28">
        <f t="shared" si="44"/>
        <v>75517787.889999986</v>
      </c>
      <c r="AW38" s="28">
        <f t="shared" si="44"/>
        <v>43339516.789999925</v>
      </c>
      <c r="AX38" s="28">
        <f t="shared" si="44"/>
        <v>43121133.909999989</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14.68799383011676</v>
      </c>
      <c r="C39" s="57">
        <f t="shared" ref="C39:D39" si="46">C38/C4*100</f>
        <v>11.365129605835413</v>
      </c>
      <c r="D39" s="57">
        <f t="shared" si="46"/>
        <v>11.487139844995179</v>
      </c>
      <c r="E39" s="57">
        <f>E38/E4</f>
        <v>0.10498143681294937</v>
      </c>
      <c r="F39" s="57">
        <f t="shared" ref="F39:BQ39" si="47">F38/F4</f>
        <v>0.12242560731546263</v>
      </c>
      <c r="G39" s="57">
        <f t="shared" si="47"/>
        <v>0.12417429563836806</v>
      </c>
      <c r="H39" s="57">
        <f t="shared" si="47"/>
        <v>0.117321645437935</v>
      </c>
      <c r="I39" s="57">
        <f t="shared" si="47"/>
        <v>0.11726316138796074</v>
      </c>
      <c r="J39" s="57">
        <f t="shared" si="47"/>
        <v>0.1336746891545828</v>
      </c>
      <c r="K39" s="57">
        <f t="shared" si="47"/>
        <v>0.1373753196271158</v>
      </c>
      <c r="L39" s="57">
        <f t="shared" si="47"/>
        <v>0.10732588299179793</v>
      </c>
      <c r="M39" s="57">
        <f t="shared" si="47"/>
        <v>0.11250005457880828</v>
      </c>
      <c r="N39" s="57">
        <f t="shared" si="47"/>
        <v>0.12799668644162601</v>
      </c>
      <c r="O39" s="57">
        <f t="shared" si="47"/>
        <v>0.12682643917221978</v>
      </c>
      <c r="P39" s="57">
        <f t="shared" si="47"/>
        <v>0.10978910520473119</v>
      </c>
      <c r="Q39" s="57">
        <f t="shared" si="47"/>
        <v>0.12721715332667535</v>
      </c>
      <c r="R39" s="57">
        <f t="shared" si="47"/>
        <v>0.15721174964666818</v>
      </c>
      <c r="S39" s="57">
        <f t="shared" si="47"/>
        <v>0.15954747199984368</v>
      </c>
      <c r="T39" s="57">
        <f t="shared" si="47"/>
        <v>0.13235057200358352</v>
      </c>
      <c r="U39" s="57">
        <f t="shared" si="47"/>
        <v>0.13031062129163232</v>
      </c>
      <c r="V39" s="57">
        <f t="shared" si="47"/>
        <v>0.15593620486168375</v>
      </c>
      <c r="W39" s="57">
        <f t="shared" si="47"/>
        <v>0.1481256962045307</v>
      </c>
      <c r="X39" s="57">
        <f t="shared" si="47"/>
        <v>0.14224314577124636</v>
      </c>
      <c r="Y39" s="57">
        <f t="shared" si="47"/>
        <v>0.13212347229395704</v>
      </c>
      <c r="Z39" s="57">
        <f t="shared" si="47"/>
        <v>0.15369647244902693</v>
      </c>
      <c r="AA39" s="57">
        <f t="shared" si="47"/>
        <v>0.15114400046237234</v>
      </c>
      <c r="AB39" s="57">
        <f t="shared" si="47"/>
        <v>0.13987250898798309</v>
      </c>
      <c r="AC39" s="57">
        <f t="shared" si="47"/>
        <v>0.13728258643999328</v>
      </c>
      <c r="AD39" s="57">
        <f t="shared" si="47"/>
        <v>0.15590239922142302</v>
      </c>
      <c r="AE39" s="57">
        <f t="shared" si="47"/>
        <v>0.1511923231963114</v>
      </c>
      <c r="AF39" s="57">
        <f t="shared" si="47"/>
        <v>0.13799961747523018</v>
      </c>
      <c r="AG39" s="57">
        <f t="shared" si="47"/>
        <v>0.15505173721864601</v>
      </c>
      <c r="AH39" s="57">
        <f t="shared" si="47"/>
        <v>0.16535280902750693</v>
      </c>
      <c r="AI39" s="57">
        <f t="shared" si="47"/>
        <v>0.15959196473390966</v>
      </c>
      <c r="AJ39" s="57">
        <f t="shared" si="47"/>
        <v>0.12207041660024402</v>
      </c>
      <c r="AK39" s="57">
        <f t="shared" si="47"/>
        <v>0.16940189862010921</v>
      </c>
      <c r="AL39" s="57">
        <f t="shared" si="47"/>
        <v>0.19398154425929998</v>
      </c>
      <c r="AM39" s="57">
        <f t="shared" si="47"/>
        <v>0.1973283011192262</v>
      </c>
      <c r="AN39" s="57">
        <f t="shared" si="47"/>
        <v>0.17887073285145061</v>
      </c>
      <c r="AO39" s="57">
        <f t="shared" si="47"/>
        <v>0.16967485616109337</v>
      </c>
      <c r="AP39" s="57">
        <f t="shared" si="47"/>
        <v>0.19834661569776377</v>
      </c>
      <c r="AQ39" s="57">
        <f t="shared" si="47"/>
        <v>0.19808805865536661</v>
      </c>
      <c r="AR39" s="57">
        <f t="shared" si="47"/>
        <v>0.191944705342805</v>
      </c>
      <c r="AS39" s="57">
        <f t="shared" si="47"/>
        <v>0.21364784735163669</v>
      </c>
      <c r="AT39" s="57">
        <f t="shared" si="47"/>
        <v>0.20318482743491581</v>
      </c>
      <c r="AU39" s="57">
        <f t="shared" si="47"/>
        <v>0.20738521346472077</v>
      </c>
      <c r="AV39" s="57">
        <f t="shared" si="47"/>
        <v>0.23014007661294766</v>
      </c>
      <c r="AW39" s="57">
        <f t="shared" si="47"/>
        <v>4.6411256553864466E-2</v>
      </c>
      <c r="AX39" s="57">
        <f t="shared" si="47"/>
        <v>5.7465925971100777E-2</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87374462.489999995</v>
      </c>
      <c r="C40" s="26">
        <f t="shared" ref="C40:BN40" si="49">C60</f>
        <v>62321586.869999997</v>
      </c>
      <c r="D40" s="26">
        <f t="shared" si="49"/>
        <v>34751672.759999998</v>
      </c>
      <c r="E40" s="26">
        <f t="shared" si="49"/>
        <v>107741237.83</v>
      </c>
      <c r="F40" s="26">
        <f t="shared" si="49"/>
        <v>111124128.08</v>
      </c>
      <c r="G40" s="26">
        <f t="shared" si="49"/>
        <v>74848820.400000006</v>
      </c>
      <c r="H40" s="26">
        <f t="shared" si="49"/>
        <v>33652307.799999997</v>
      </c>
      <c r="I40" s="26">
        <f t="shared" si="49"/>
        <v>120695028.3</v>
      </c>
      <c r="J40" s="26">
        <f t="shared" si="49"/>
        <v>104829208.81</v>
      </c>
      <c r="K40" s="26">
        <f t="shared" si="49"/>
        <v>78123314.329999998</v>
      </c>
      <c r="L40" s="26">
        <f t="shared" si="49"/>
        <v>35260735.270000003</v>
      </c>
      <c r="M40" s="26">
        <f t="shared" si="49"/>
        <v>119642602.76000001</v>
      </c>
      <c r="N40" s="26">
        <f t="shared" si="49"/>
        <v>105472041.40000001</v>
      </c>
      <c r="O40" s="26">
        <f t="shared" si="49"/>
        <v>66306690.619999997</v>
      </c>
      <c r="P40" s="26">
        <f t="shared" si="49"/>
        <v>31901740.98</v>
      </c>
      <c r="Q40" s="26">
        <f t="shared" si="49"/>
        <v>141017015.94999999</v>
      </c>
      <c r="R40" s="26">
        <f t="shared" si="49"/>
        <v>145786630.94</v>
      </c>
      <c r="S40" s="26">
        <f t="shared" si="49"/>
        <v>91845359.209999993</v>
      </c>
      <c r="T40" s="26">
        <f t="shared" si="49"/>
        <v>31861075.059999999</v>
      </c>
      <c r="U40" s="26">
        <f t="shared" si="49"/>
        <v>125854205.42</v>
      </c>
      <c r="V40" s="26">
        <f t="shared" si="49"/>
        <v>108198181.42</v>
      </c>
      <c r="W40" s="26">
        <f t="shared" si="49"/>
        <v>68823596.599999994</v>
      </c>
      <c r="X40" s="26">
        <f t="shared" si="49"/>
        <v>33233348.789999999</v>
      </c>
      <c r="Y40" s="26">
        <f t="shared" si="49"/>
        <v>137783171.03999999</v>
      </c>
      <c r="Z40" s="26">
        <f t="shared" si="49"/>
        <v>118875417.20999999</v>
      </c>
      <c r="AA40" s="26">
        <f t="shared" si="49"/>
        <v>83352109.200000003</v>
      </c>
      <c r="AB40" s="26">
        <f t="shared" si="49"/>
        <v>37659472.799999997</v>
      </c>
      <c r="AC40" s="26">
        <f t="shared" si="49"/>
        <v>160120213.90000001</v>
      </c>
      <c r="AD40" s="26">
        <f t="shared" si="49"/>
        <v>131683825.65000001</v>
      </c>
      <c r="AE40" s="26">
        <f t="shared" si="49"/>
        <v>85679430.269999996</v>
      </c>
      <c r="AF40" s="26">
        <f t="shared" si="49"/>
        <v>36811693.960000001</v>
      </c>
      <c r="AG40" s="26">
        <f t="shared" si="49"/>
        <v>153920193.75</v>
      </c>
      <c r="AH40" s="26">
        <f t="shared" si="49"/>
        <v>133769882.04000001</v>
      </c>
      <c r="AI40" s="26">
        <f t="shared" si="49"/>
        <v>78204951.480000004</v>
      </c>
      <c r="AJ40" s="26">
        <f t="shared" si="49"/>
        <v>18503864.760000002</v>
      </c>
      <c r="AK40" s="26">
        <f t="shared" si="49"/>
        <v>71323098.150000006</v>
      </c>
      <c r="AL40" s="26">
        <f t="shared" si="49"/>
        <v>94771017.180000007</v>
      </c>
      <c r="AM40" s="26">
        <f t="shared" si="49"/>
        <v>62668761.810000002</v>
      </c>
      <c r="AN40" s="26">
        <f t="shared" si="49"/>
        <v>26475915.57</v>
      </c>
      <c r="AO40" s="26">
        <f t="shared" si="49"/>
        <v>93759873.390000001</v>
      </c>
      <c r="AP40" s="26">
        <f t="shared" si="49"/>
        <v>76967544.019999996</v>
      </c>
      <c r="AQ40" s="26">
        <f t="shared" si="49"/>
        <v>48192452.719999999</v>
      </c>
      <c r="AR40" s="26">
        <f t="shared" si="49"/>
        <v>22028382.190000001</v>
      </c>
      <c r="AS40" s="26">
        <f t="shared" si="49"/>
        <v>52391975.259999998</v>
      </c>
      <c r="AT40" s="26">
        <f t="shared" si="49"/>
        <v>30483880.649999999</v>
      </c>
      <c r="AU40" s="26">
        <f t="shared" si="49"/>
        <v>16958278.050000001</v>
      </c>
      <c r="AV40" s="26">
        <f t="shared" si="49"/>
        <v>7555817.3899999997</v>
      </c>
      <c r="AW40" s="26">
        <f t="shared" si="49"/>
        <v>0</v>
      </c>
      <c r="AX40" s="26">
        <f t="shared" si="49"/>
        <v>4989969.4400000004</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0.10938864170257973</v>
      </c>
      <c r="C41" s="57">
        <f t="shared" ref="C41:BN41" si="51">C40/C38</f>
        <v>0.15066478407905479</v>
      </c>
      <c r="D41" s="57">
        <f t="shared" si="51"/>
        <v>0.19292375448974561</v>
      </c>
      <c r="E41" s="57">
        <f t="shared" si="51"/>
        <v>0.14160537386758124</v>
      </c>
      <c r="F41" s="57">
        <f t="shared" si="51"/>
        <v>0.17917645024608028</v>
      </c>
      <c r="G41" s="57">
        <f t="shared" si="51"/>
        <v>0.18440090680845267</v>
      </c>
      <c r="H41" s="57">
        <f t="shared" si="51"/>
        <v>0.19309862005751968</v>
      </c>
      <c r="I41" s="57">
        <f t="shared" si="51"/>
        <v>0.14071002937886834</v>
      </c>
      <c r="J41" s="57">
        <f t="shared" si="51"/>
        <v>0.15577398310181437</v>
      </c>
      <c r="K41" s="57">
        <f t="shared" si="51"/>
        <v>0.17180799514770839</v>
      </c>
      <c r="L41" s="57">
        <f t="shared" si="51"/>
        <v>0.19998953216722248</v>
      </c>
      <c r="M41" s="57">
        <f t="shared" si="51"/>
        <v>0.15063397487293298</v>
      </c>
      <c r="N41" s="57">
        <f t="shared" si="51"/>
        <v>0.16428560112912893</v>
      </c>
      <c r="O41" s="57">
        <f t="shared" si="51"/>
        <v>0.16510143757795881</v>
      </c>
      <c r="P41" s="57">
        <f t="shared" si="51"/>
        <v>0.20506912962232079</v>
      </c>
      <c r="Q41" s="57">
        <f t="shared" si="51"/>
        <v>0.18650161829840414</v>
      </c>
      <c r="R41" s="57">
        <f t="shared" si="51"/>
        <v>0.22213522145361059</v>
      </c>
      <c r="S41" s="57">
        <f t="shared" si="51"/>
        <v>0.21852655228881804</v>
      </c>
      <c r="T41" s="57">
        <f t="shared" si="51"/>
        <v>0.20701567914906169</v>
      </c>
      <c r="U41" s="57">
        <f t="shared" si="51"/>
        <v>0.18126492967465571</v>
      </c>
      <c r="V41" s="57">
        <f t="shared" si="51"/>
        <v>0.18441121604020339</v>
      </c>
      <c r="W41" s="57">
        <f t="shared" si="51"/>
        <v>0.18679646204402317</v>
      </c>
      <c r="X41" s="57">
        <f t="shared" si="51"/>
        <v>0.20045152282049725</v>
      </c>
      <c r="Y41" s="57">
        <f t="shared" si="51"/>
        <v>0.21102206355286768</v>
      </c>
      <c r="Z41" s="57">
        <f t="shared" si="51"/>
        <v>0.21030850726063988</v>
      </c>
      <c r="AA41" s="57">
        <f t="shared" si="51"/>
        <v>0.22245270245944435</v>
      </c>
      <c r="AB41" s="57">
        <f t="shared" si="51"/>
        <v>0.21430350109934906</v>
      </c>
      <c r="AC41" s="57">
        <f t="shared" si="51"/>
        <v>0.22432786978975597</v>
      </c>
      <c r="AD41" s="57">
        <f t="shared" si="51"/>
        <v>0.21081463174684917</v>
      </c>
      <c r="AE41" s="57">
        <f t="shared" si="51"/>
        <v>0.21828074440532075</v>
      </c>
      <c r="AF41" s="57">
        <f t="shared" si="51"/>
        <v>0.21782236012281625</v>
      </c>
      <c r="AG41" s="57">
        <f t="shared" si="51"/>
        <v>0.18567309121561074</v>
      </c>
      <c r="AH41" s="57">
        <f t="shared" si="51"/>
        <v>0.20231403116309318</v>
      </c>
      <c r="AI41" s="57">
        <f t="shared" si="51"/>
        <v>0.20353598804271572</v>
      </c>
      <c r="AJ41" s="57">
        <f t="shared" si="51"/>
        <v>0.17911342823441281</v>
      </c>
      <c r="AK41" s="57">
        <f t="shared" si="51"/>
        <v>9.0808961006172487E-2</v>
      </c>
      <c r="AL41" s="57">
        <f t="shared" si="51"/>
        <v>0.14521214550075556</v>
      </c>
      <c r="AM41" s="57">
        <f t="shared" si="51"/>
        <v>0.14560682963057242</v>
      </c>
      <c r="AN41" s="57">
        <f t="shared" si="51"/>
        <v>0.15365192449895212</v>
      </c>
      <c r="AO41" s="57">
        <f t="shared" si="51"/>
        <v>0.12781140428359286</v>
      </c>
      <c r="AP41" s="57">
        <f t="shared" si="51"/>
        <v>0.14190756488249898</v>
      </c>
      <c r="AQ41" s="57">
        <f t="shared" si="51"/>
        <v>0.15073127823896834</v>
      </c>
      <c r="AR41" s="57">
        <f t="shared" si="51"/>
        <v>0.16353900409499919</v>
      </c>
      <c r="AS41" s="57">
        <f t="shared" si="51"/>
        <v>0.12622255108941913</v>
      </c>
      <c r="AT41" s="57">
        <f t="shared" si="51"/>
        <v>0.12524967616014562</v>
      </c>
      <c r="AU41" s="57">
        <f t="shared" si="51"/>
        <v>0.11654404935057472</v>
      </c>
      <c r="AV41" s="57">
        <f t="shared" si="51"/>
        <v>0.10005347880430349</v>
      </c>
      <c r="AW41" s="57">
        <f t="shared" si="51"/>
        <v>0</v>
      </c>
      <c r="AX41" s="57">
        <f t="shared" si="51"/>
        <v>0.11571981039308439</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711378142.25999963</v>
      </c>
      <c r="C42" s="28">
        <f t="shared" ref="C42:BN42" si="53">C38-C40</f>
        <v>351322432.53999996</v>
      </c>
      <c r="D42" s="28">
        <f t="shared" si="53"/>
        <v>145379969.6700002</v>
      </c>
      <c r="E42" s="28">
        <f t="shared" si="53"/>
        <v>653114334.8599993</v>
      </c>
      <c r="F42" s="28">
        <f t="shared" si="53"/>
        <v>509069697.21000057</v>
      </c>
      <c r="G42" s="28">
        <f t="shared" si="53"/>
        <v>331053849.47000003</v>
      </c>
      <c r="H42" s="28">
        <f t="shared" si="53"/>
        <v>140622929.32999992</v>
      </c>
      <c r="I42" s="28">
        <f t="shared" si="53"/>
        <v>737062082.77999973</v>
      </c>
      <c r="J42" s="28">
        <f t="shared" si="53"/>
        <v>568127896.88000035</v>
      </c>
      <c r="K42" s="28">
        <f t="shared" si="53"/>
        <v>376589600.87999988</v>
      </c>
      <c r="L42" s="28">
        <f t="shared" si="53"/>
        <v>141052169.14999995</v>
      </c>
      <c r="M42" s="28">
        <f t="shared" si="53"/>
        <v>674617808.02000034</v>
      </c>
      <c r="N42" s="28">
        <f t="shared" si="53"/>
        <v>536532131.0599997</v>
      </c>
      <c r="O42" s="28">
        <f t="shared" si="53"/>
        <v>335305140.21999991</v>
      </c>
      <c r="P42" s="28">
        <f t="shared" si="53"/>
        <v>123664048.17000012</v>
      </c>
      <c r="Q42" s="28">
        <f t="shared" si="53"/>
        <v>615099832.99000001</v>
      </c>
      <c r="R42" s="28">
        <f t="shared" si="53"/>
        <v>510510150.7499997</v>
      </c>
      <c r="S42" s="28">
        <f t="shared" si="53"/>
        <v>328448459.77000004</v>
      </c>
      <c r="T42" s="28">
        <f t="shared" si="53"/>
        <v>122045504.34000006</v>
      </c>
      <c r="U42" s="28">
        <f t="shared" si="53"/>
        <v>568456633.66999984</v>
      </c>
      <c r="V42" s="28">
        <f t="shared" si="53"/>
        <v>478524165.20999986</v>
      </c>
      <c r="W42" s="28">
        <f t="shared" si="53"/>
        <v>299618052.9200002</v>
      </c>
      <c r="X42" s="28">
        <f t="shared" si="53"/>
        <v>132559099.79000008</v>
      </c>
      <c r="Y42" s="28">
        <f t="shared" si="53"/>
        <v>515149364.63999999</v>
      </c>
      <c r="Z42" s="28">
        <f t="shared" si="53"/>
        <v>446367609.60999984</v>
      </c>
      <c r="AA42" s="28">
        <f t="shared" si="53"/>
        <v>291343762.23000002</v>
      </c>
      <c r="AB42" s="28">
        <f t="shared" si="53"/>
        <v>138070147.14000005</v>
      </c>
      <c r="AC42" s="28">
        <f t="shared" si="53"/>
        <v>553657410.12000024</v>
      </c>
      <c r="AD42" s="28">
        <f t="shared" si="53"/>
        <v>492958897.48000002</v>
      </c>
      <c r="AE42" s="28">
        <f t="shared" si="53"/>
        <v>306839985.50999999</v>
      </c>
      <c r="AF42" s="28">
        <f t="shared" si="53"/>
        <v>132186998.08999988</v>
      </c>
      <c r="AG42" s="28">
        <f t="shared" si="53"/>
        <v>675064732.08000064</v>
      </c>
      <c r="AH42" s="28">
        <f t="shared" si="53"/>
        <v>527429350.01999944</v>
      </c>
      <c r="AI42" s="28">
        <f t="shared" si="53"/>
        <v>306026614.79999995</v>
      </c>
      <c r="AJ42" s="28">
        <f t="shared" si="53"/>
        <v>84804217.400000095</v>
      </c>
      <c r="AK42" s="28">
        <f t="shared" si="53"/>
        <v>714096064.89000022</v>
      </c>
      <c r="AL42" s="28">
        <f t="shared" si="53"/>
        <v>557867347.5599997</v>
      </c>
      <c r="AM42" s="28">
        <f t="shared" si="53"/>
        <v>367728369.75999969</v>
      </c>
      <c r="AN42" s="28">
        <f t="shared" si="53"/>
        <v>145835076.66999999</v>
      </c>
      <c r="AO42" s="28">
        <f t="shared" si="53"/>
        <v>639819997.00999951</v>
      </c>
      <c r="AP42" s="28">
        <f t="shared" si="53"/>
        <v>465410475.67000008</v>
      </c>
      <c r="AQ42" s="28">
        <f t="shared" si="53"/>
        <v>271531849.25</v>
      </c>
      <c r="AR42" s="28">
        <f t="shared" si="53"/>
        <v>112669650.92999992</v>
      </c>
      <c r="AS42" s="28">
        <f t="shared" si="53"/>
        <v>362684212.05999994</v>
      </c>
      <c r="AT42" s="28">
        <f t="shared" si="53"/>
        <v>212901025.27999994</v>
      </c>
      <c r="AU42" s="28">
        <f t="shared" si="53"/>
        <v>128551322.34999995</v>
      </c>
      <c r="AV42" s="28">
        <f t="shared" si="53"/>
        <v>67961970.499999985</v>
      </c>
      <c r="AW42" s="28">
        <f t="shared" si="53"/>
        <v>43339516.789999925</v>
      </c>
      <c r="AX42" s="28">
        <f t="shared" si="53"/>
        <v>38131164.469999991</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13.081294135704416</v>
      </c>
      <c r="C43" s="57">
        <f t="shared" ref="C43:D43" si="55">C42/C4*100</f>
        <v>9.6528048077417488</v>
      </c>
      <c r="D43" s="57">
        <f t="shared" si="55"/>
        <v>9.2709976977499551</v>
      </c>
      <c r="E43" s="57">
        <f>E42/E4</f>
        <v>9.0115501203895804E-2</v>
      </c>
      <c r="F43" s="57">
        <f t="shared" ref="F43:BQ43" si="56">F42/F4</f>
        <v>0.10048982157745748</v>
      </c>
      <c r="G43" s="57">
        <f t="shared" si="56"/>
        <v>0.10127644292035209</v>
      </c>
      <c r="H43" s="57">
        <f t="shared" si="56"/>
        <v>9.4666997600992162E-2</v>
      </c>
      <c r="I43" s="57">
        <f t="shared" si="56"/>
        <v>0.10076305850400182</v>
      </c>
      <c r="J43" s="57">
        <f t="shared" si="56"/>
        <v>0.11285165038507655</v>
      </c>
      <c r="K43" s="57">
        <f t="shared" si="56"/>
        <v>0.1137731413792054</v>
      </c>
      <c r="L43" s="57">
        <f t="shared" si="56"/>
        <v>8.5861829862834194E-2</v>
      </c>
      <c r="M43" s="57">
        <f t="shared" si="56"/>
        <v>9.5553724184180483E-2</v>
      </c>
      <c r="N43" s="57">
        <f t="shared" si="56"/>
        <v>0.10696867386702685</v>
      </c>
      <c r="O43" s="57">
        <f t="shared" si="56"/>
        <v>0.10588721174199274</v>
      </c>
      <c r="P43" s="57">
        <f t="shared" si="56"/>
        <v>8.7274748958383552E-2</v>
      </c>
      <c r="Q43" s="57">
        <f t="shared" si="56"/>
        <v>0.10349094835593417</v>
      </c>
      <c r="R43" s="57">
        <f t="shared" si="56"/>
        <v>0.12228948282379597</v>
      </c>
      <c r="S43" s="57">
        <f t="shared" si="56"/>
        <v>0.12468211301732111</v>
      </c>
      <c r="T43" s="57">
        <f t="shared" si="56"/>
        <v>0.10495192845449489</v>
      </c>
      <c r="U43" s="57">
        <f t="shared" si="56"/>
        <v>0.10668987568734391</v>
      </c>
      <c r="V43" s="57">
        <f t="shared" si="56"/>
        <v>0.12717981969844636</v>
      </c>
      <c r="W43" s="57">
        <f t="shared" si="56"/>
        <v>0.12045634021571658</v>
      </c>
      <c r="X43" s="57">
        <f t="shared" si="56"/>
        <v>0.11373029059062206</v>
      </c>
      <c r="Y43" s="57">
        <f t="shared" si="56"/>
        <v>0.1042425045267161</v>
      </c>
      <c r="Z43" s="57">
        <f t="shared" si="56"/>
        <v>0.121372796757046</v>
      </c>
      <c r="AA43" s="57">
        <f t="shared" si="56"/>
        <v>0.11752160909898611</v>
      </c>
      <c r="AB43" s="57">
        <f t="shared" si="56"/>
        <v>0.10989734060430814</v>
      </c>
      <c r="AC43" s="57">
        <f t="shared" si="56"/>
        <v>0.10648627626468155</v>
      </c>
      <c r="AD43" s="57">
        <f t="shared" si="56"/>
        <v>0.12303589234110847</v>
      </c>
      <c r="AE43" s="57">
        <f t="shared" si="56"/>
        <v>0.11818995034065072</v>
      </c>
      <c r="AF43" s="57">
        <f t="shared" si="56"/>
        <v>0.10794021510072968</v>
      </c>
      <c r="AG43" s="57">
        <f t="shared" si="56"/>
        <v>0.12626280187090946</v>
      </c>
      <c r="AH43" s="57">
        <f t="shared" si="56"/>
        <v>0.1318996156690109</v>
      </c>
      <c r="AI43" s="57">
        <f t="shared" si="56"/>
        <v>0.12710925650811511</v>
      </c>
      <c r="AJ43" s="57">
        <f t="shared" si="56"/>
        <v>0.10020596579697133</v>
      </c>
      <c r="AK43" s="57">
        <f t="shared" si="56"/>
        <v>0.15401868821394415</v>
      </c>
      <c r="AL43" s="57">
        <f t="shared" si="56"/>
        <v>0.16581306802985726</v>
      </c>
      <c r="AM43" s="57">
        <f t="shared" si="56"/>
        <v>0.16859595279686873</v>
      </c>
      <c r="AN43" s="57">
        <f t="shared" si="56"/>
        <v>0.15138690051228729</v>
      </c>
      <c r="AO43" s="57">
        <f t="shared" si="56"/>
        <v>0.1479884745235274</v>
      </c>
      <c r="AP43" s="57">
        <f t="shared" si="56"/>
        <v>0.17019973046140927</v>
      </c>
      <c r="AQ43" s="57">
        <f t="shared" si="56"/>
        <v>0.16822999237036748</v>
      </c>
      <c r="AR43" s="57">
        <f t="shared" si="56"/>
        <v>0.16055425938973461</v>
      </c>
      <c r="AS43" s="57">
        <f t="shared" si="56"/>
        <v>0.18668067102415031</v>
      </c>
      <c r="AT43" s="57">
        <f t="shared" si="56"/>
        <v>0.17773599359803754</v>
      </c>
      <c r="AU43" s="57">
        <f t="shared" si="56"/>
        <v>0.1832157009121089</v>
      </c>
      <c r="AV43" s="57">
        <f t="shared" si="56"/>
        <v>0.2071137613355333</v>
      </c>
      <c r="AW43" s="57">
        <f t="shared" si="56"/>
        <v>4.6411256553864466E-2</v>
      </c>
      <c r="AX43" s="57">
        <f t="shared" si="56"/>
        <v>5.0815979913661977E-2</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289204183.01599997</v>
      </c>
      <c r="C45" s="26">
        <f t="shared" ref="C45:BN45" si="58">C70*C69</f>
        <v>271856432.85040003</v>
      </c>
      <c r="D45" s="26">
        <f t="shared" si="58"/>
        <v>296798779.58720005</v>
      </c>
      <c r="E45" s="26">
        <f t="shared" si="58"/>
        <v>286577415.3312</v>
      </c>
      <c r="F45" s="26">
        <f t="shared" si="58"/>
        <v>324477110.19999999</v>
      </c>
      <c r="G45" s="26">
        <f t="shared" si="58"/>
        <v>310685211.99119997</v>
      </c>
      <c r="H45" s="26">
        <f t="shared" si="58"/>
        <v>292420284.05040002</v>
      </c>
      <c r="I45" s="26">
        <f t="shared" si="58"/>
        <v>281111341.22000003</v>
      </c>
      <c r="J45" s="26">
        <f t="shared" si="58"/>
        <v>267981843.22880003</v>
      </c>
      <c r="K45" s="26">
        <f t="shared" si="58"/>
        <v>256051390.47759998</v>
      </c>
      <c r="L45" s="26">
        <f t="shared" si="58"/>
        <v>279761717.37440002</v>
      </c>
      <c r="M45" s="26">
        <f t="shared" si="58"/>
        <v>268686975.4576</v>
      </c>
      <c r="N45" s="26">
        <f t="shared" si="58"/>
        <v>256800838.47439998</v>
      </c>
      <c r="O45" s="26">
        <f t="shared" si="58"/>
        <v>240598796.35119998</v>
      </c>
      <c r="P45" s="26">
        <f t="shared" si="58"/>
        <v>267345756.98640001</v>
      </c>
      <c r="Q45" s="26">
        <f t="shared" si="58"/>
        <v>257323365.1336</v>
      </c>
      <c r="R45" s="26">
        <f t="shared" si="58"/>
        <v>251291144.54400003</v>
      </c>
      <c r="S45" s="26">
        <f t="shared" si="58"/>
        <v>234273993.26560003</v>
      </c>
      <c r="T45" s="26">
        <f t="shared" si="58"/>
        <v>226295671.78240001</v>
      </c>
      <c r="U45" s="26">
        <f t="shared" si="58"/>
        <v>246964116.48400003</v>
      </c>
      <c r="V45" s="26">
        <f t="shared" si="58"/>
        <v>239646375.63919997</v>
      </c>
      <c r="W45" s="26">
        <f t="shared" si="58"/>
        <v>225253886.65599999</v>
      </c>
      <c r="X45" s="26">
        <f t="shared" si="58"/>
        <v>246993602.4048</v>
      </c>
      <c r="Y45" s="26">
        <f t="shared" si="58"/>
        <v>236388874.42160001</v>
      </c>
      <c r="Z45" s="26">
        <f t="shared" si="58"/>
        <v>230923120.16880003</v>
      </c>
      <c r="AA45" s="26">
        <f t="shared" si="58"/>
        <v>218521212.3784</v>
      </c>
      <c r="AB45" s="26">
        <f t="shared" si="58"/>
        <v>218250003.17120001</v>
      </c>
      <c r="AC45" s="26">
        <f t="shared" si="58"/>
        <v>207204391.40000001</v>
      </c>
      <c r="AD45" s="26">
        <f t="shared" si="58"/>
        <v>202318930.89360002</v>
      </c>
      <c r="AE45" s="26">
        <f t="shared" si="58"/>
        <v>229936617.93599999</v>
      </c>
      <c r="AF45" s="26">
        <f t="shared" si="58"/>
        <v>252933578.94240001</v>
      </c>
      <c r="AG45" s="26">
        <f t="shared" si="58"/>
        <v>242358619.0952</v>
      </c>
      <c r="AH45" s="26">
        <f t="shared" si="58"/>
        <v>230494916.76160002</v>
      </c>
      <c r="AI45" s="26">
        <f t="shared" si="58"/>
        <v>212782697.94400001</v>
      </c>
      <c r="AJ45" s="26">
        <f t="shared" si="58"/>
        <v>232794506.15200001</v>
      </c>
      <c r="AK45" s="26">
        <f t="shared" si="58"/>
        <v>226010168.75999999</v>
      </c>
      <c r="AL45" s="26">
        <f t="shared" si="58"/>
        <v>213511871.37360001</v>
      </c>
      <c r="AM45" s="26">
        <f t="shared" si="58"/>
        <v>198300753.1496</v>
      </c>
      <c r="AN45" s="26">
        <f t="shared" si="58"/>
        <v>205030441.70240003</v>
      </c>
      <c r="AO45" s="26">
        <f t="shared" si="58"/>
        <v>193363635.5688</v>
      </c>
      <c r="AP45" s="26">
        <f t="shared" si="58"/>
        <v>178069769.6232</v>
      </c>
      <c r="AQ45" s="26">
        <f t="shared" si="58"/>
        <v>173748160.18240002</v>
      </c>
      <c r="AR45" s="26">
        <f t="shared" si="58"/>
        <v>45680318.816800006</v>
      </c>
      <c r="AS45" s="26">
        <f t="shared" si="58"/>
        <v>36918969.125600003</v>
      </c>
      <c r="AT45" s="26">
        <f t="shared" si="58"/>
        <v>19829528.759200003</v>
      </c>
      <c r="AU45" s="26">
        <f t="shared" si="58"/>
        <v>5908025.1503999997</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422173959.24399966</v>
      </c>
      <c r="C47" s="28">
        <f t="shared" ref="C47:BN47" si="62">C42-C45</f>
        <v>79465999.689599931</v>
      </c>
      <c r="D47" s="28">
        <f t="shared" si="62"/>
        <v>-151418809.91719985</v>
      </c>
      <c r="E47" s="28">
        <f t="shared" si="62"/>
        <v>366536919.5287993</v>
      </c>
      <c r="F47" s="28">
        <f t="shared" si="62"/>
        <v>184592587.01000059</v>
      </c>
      <c r="G47" s="28">
        <f t="shared" si="62"/>
        <v>20368637.478800058</v>
      </c>
      <c r="H47" s="28">
        <f t="shared" si="62"/>
        <v>-151797354.72040009</v>
      </c>
      <c r="I47" s="28">
        <f t="shared" si="62"/>
        <v>455950741.5599997</v>
      </c>
      <c r="J47" s="28">
        <f t="shared" si="62"/>
        <v>300146053.65120029</v>
      </c>
      <c r="K47" s="28">
        <f t="shared" si="62"/>
        <v>120538210.4023999</v>
      </c>
      <c r="L47" s="28">
        <f t="shared" si="62"/>
        <v>-138709548.22440007</v>
      </c>
      <c r="M47" s="28">
        <f t="shared" si="62"/>
        <v>405930832.56240034</v>
      </c>
      <c r="N47" s="28">
        <f t="shared" si="62"/>
        <v>279731292.58559972</v>
      </c>
      <c r="O47" s="28">
        <f t="shared" si="62"/>
        <v>94706343.868799925</v>
      </c>
      <c r="P47" s="28">
        <f t="shared" si="62"/>
        <v>-143681708.81639987</v>
      </c>
      <c r="Q47" s="28">
        <f t="shared" si="62"/>
        <v>357776467.85640001</v>
      </c>
      <c r="R47" s="28">
        <f t="shared" si="62"/>
        <v>259219006.20599967</v>
      </c>
      <c r="S47" s="28">
        <f t="shared" si="62"/>
        <v>94174466.504400015</v>
      </c>
      <c r="T47" s="28">
        <f t="shared" si="62"/>
        <v>-104250167.44239995</v>
      </c>
      <c r="U47" s="28">
        <f t="shared" si="62"/>
        <v>321492517.18599981</v>
      </c>
      <c r="V47" s="28">
        <f t="shared" si="62"/>
        <v>238877789.57079989</v>
      </c>
      <c r="W47" s="28">
        <f t="shared" si="62"/>
        <v>74364166.264000207</v>
      </c>
      <c r="X47" s="28">
        <f t="shared" si="62"/>
        <v>-114434502.61479992</v>
      </c>
      <c r="Y47" s="28">
        <f t="shared" si="62"/>
        <v>278760490.2184</v>
      </c>
      <c r="Z47" s="28">
        <f t="shared" si="62"/>
        <v>215444489.44119981</v>
      </c>
      <c r="AA47" s="28">
        <f t="shared" si="62"/>
        <v>72822549.851600021</v>
      </c>
      <c r="AB47" s="28">
        <f t="shared" si="62"/>
        <v>-80179856.031199962</v>
      </c>
      <c r="AC47" s="28">
        <f t="shared" si="62"/>
        <v>346453018.72000027</v>
      </c>
      <c r="AD47" s="28">
        <f t="shared" si="62"/>
        <v>290639966.58640003</v>
      </c>
      <c r="AE47" s="28">
        <f t="shared" si="62"/>
        <v>76903367.574000001</v>
      </c>
      <c r="AF47" s="28">
        <f t="shared" si="62"/>
        <v>-120746580.85240012</v>
      </c>
      <c r="AG47" s="28">
        <f t="shared" si="62"/>
        <v>432706112.98480064</v>
      </c>
      <c r="AH47" s="28">
        <f t="shared" si="62"/>
        <v>296934433.25839943</v>
      </c>
      <c r="AI47" s="28">
        <f t="shared" si="62"/>
        <v>93243916.855999947</v>
      </c>
      <c r="AJ47" s="28">
        <f t="shared" si="62"/>
        <v>-147990288.75199991</v>
      </c>
      <c r="AK47" s="28">
        <f t="shared" si="62"/>
        <v>488085896.13000023</v>
      </c>
      <c r="AL47" s="28">
        <f t="shared" si="62"/>
        <v>344355476.1863997</v>
      </c>
      <c r="AM47" s="28">
        <f t="shared" si="62"/>
        <v>169427616.61039969</v>
      </c>
      <c r="AN47" s="28">
        <f t="shared" si="62"/>
        <v>-59195365.032400042</v>
      </c>
      <c r="AO47" s="28">
        <f t="shared" si="62"/>
        <v>446456361.44119954</v>
      </c>
      <c r="AP47" s="28">
        <f t="shared" si="62"/>
        <v>287340706.04680008</v>
      </c>
      <c r="AQ47" s="28">
        <f t="shared" si="62"/>
        <v>97783689.067599982</v>
      </c>
      <c r="AR47" s="28">
        <f t="shared" si="62"/>
        <v>66989332.113199912</v>
      </c>
      <c r="AS47" s="28">
        <f t="shared" si="62"/>
        <v>325765242.93439996</v>
      </c>
      <c r="AT47" s="28">
        <f t="shared" si="62"/>
        <v>193071496.52079993</v>
      </c>
      <c r="AU47" s="28">
        <f t="shared" si="62"/>
        <v>122643297.19959995</v>
      </c>
      <c r="AV47" s="28">
        <f t="shared" si="62"/>
        <v>67961970.499999985</v>
      </c>
      <c r="AW47" s="28">
        <f t="shared" si="62"/>
        <v>43339516.789999925</v>
      </c>
      <c r="AX47" s="28">
        <f t="shared" si="62"/>
        <v>38131164.469999991</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-8894533.5099999998</v>
      </c>
      <c r="F52" s="42">
        <v>-34414</v>
      </c>
      <c r="G52" s="42">
        <v>-23309</v>
      </c>
      <c r="H52" s="42">
        <v>-16814</v>
      </c>
      <c r="I52" s="42">
        <v>-11415326.74</v>
      </c>
      <c r="J52" s="42"/>
      <c r="K52" s="42"/>
      <c r="M52" s="43">
        <v>-12180054.9</v>
      </c>
      <c r="Q52" s="43">
        <v>-16152026.09</v>
      </c>
      <c r="U52" s="43">
        <v>-20079770.079999998</v>
      </c>
      <c r="Y52" s="43">
        <v>-32606706.809999999</v>
      </c>
      <c r="AC52" s="43">
        <v>-41046887.43</v>
      </c>
      <c r="AG52" s="43">
        <v>-42236876.920000002</v>
      </c>
    </row>
    <row r="53" spans="1:89" s="43" customFormat="1" x14ac:dyDescent="0.25">
      <c r="A53" s="132" t="s">
        <v>90</v>
      </c>
      <c r="B53" s="42">
        <v>217</v>
      </c>
      <c r="C53" s="42">
        <v>189</v>
      </c>
      <c r="D53" s="42"/>
      <c r="E53" s="42">
        <v>1307132.52</v>
      </c>
      <c r="F53" s="42"/>
      <c r="G53" s="42"/>
      <c r="H53" s="42"/>
      <c r="I53" s="42">
        <v>8260393</v>
      </c>
      <c r="J53" s="42"/>
      <c r="K53" s="42"/>
      <c r="M53" s="43">
        <v>5953879.04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6290188.3300000001</v>
      </c>
      <c r="F54" s="42">
        <v>2684</v>
      </c>
      <c r="G54" s="42">
        <v>-377</v>
      </c>
      <c r="H54" s="42">
        <v>1008</v>
      </c>
      <c r="I54" s="42">
        <v>-6163549.5700000003</v>
      </c>
      <c r="J54" s="42"/>
      <c r="K54" s="42"/>
      <c r="M54" s="43">
        <v>-3463710.24</v>
      </c>
      <c r="Q54" s="43">
        <v>-468631.84</v>
      </c>
      <c r="U54" s="43">
        <v>940094.37</v>
      </c>
      <c r="Y54" s="43">
        <v>-866349.5</v>
      </c>
      <c r="AC54" s="43">
        <v>-426313.39</v>
      </c>
      <c r="AG54" s="43">
        <v>87217.32</v>
      </c>
    </row>
    <row r="55" spans="1:89" s="43" customFormat="1" x14ac:dyDescent="0.25">
      <c r="A55" s="132" t="s">
        <v>92</v>
      </c>
      <c r="B55" s="42">
        <v>463</v>
      </c>
      <c r="C55" s="42">
        <v>603</v>
      </c>
      <c r="D55" s="42">
        <v>653</v>
      </c>
      <c r="E55" s="42">
        <v>806274.08</v>
      </c>
      <c r="F55" s="42">
        <v>1204</v>
      </c>
      <c r="G55" s="42">
        <v>868</v>
      </c>
      <c r="H55" s="42">
        <v>644</v>
      </c>
      <c r="I55" s="42">
        <v>684423.53</v>
      </c>
      <c r="J55" s="42"/>
      <c r="K55" s="42"/>
      <c r="M55" s="43">
        <v>1001210.46</v>
      </c>
      <c r="Q55" s="43">
        <v>798717.86</v>
      </c>
      <c r="U55" s="43">
        <v>599197.73</v>
      </c>
      <c r="Y55" s="43">
        <v>406522.63</v>
      </c>
      <c r="AC55" s="43">
        <v>796057.08</v>
      </c>
      <c r="AG55" s="43">
        <v>573679.79</v>
      </c>
    </row>
    <row r="56" spans="1:89" s="26" customFormat="1" x14ac:dyDescent="0.25">
      <c r="A56" s="133" t="s">
        <v>93</v>
      </c>
      <c r="B56" s="44">
        <f>SUM(B52:B55)</f>
        <v>-21852</v>
      </c>
      <c r="C56" s="44">
        <f t="shared" ref="C56:D56" si="64">SUM(C52:C55)</f>
        <v>-28350</v>
      </c>
      <c r="D56" s="44">
        <f t="shared" si="64"/>
        <v>-35004</v>
      </c>
      <c r="E56" s="44">
        <f>SUM(E52:E55)</f>
        <v>-490938.58000000019</v>
      </c>
      <c r="F56" s="44">
        <f t="shared" ref="F56:BQ56" si="65">SUM(F52:F55)</f>
        <v>-30526</v>
      </c>
      <c r="G56" s="44">
        <f t="shared" si="65"/>
        <v>-22818</v>
      </c>
      <c r="H56" s="44">
        <f t="shared" si="65"/>
        <v>-15162</v>
      </c>
      <c r="I56" s="44">
        <f t="shared" si="65"/>
        <v>-8634059.7800000012</v>
      </c>
      <c r="J56" s="44">
        <f t="shared" si="65"/>
        <v>0</v>
      </c>
      <c r="K56" s="44">
        <f t="shared" si="65"/>
        <v>0</v>
      </c>
      <c r="L56" s="44">
        <f t="shared" si="65"/>
        <v>0</v>
      </c>
      <c r="M56" s="44">
        <f t="shared" si="65"/>
        <v>-8688675.6400000006</v>
      </c>
      <c r="N56" s="44">
        <f t="shared" si="65"/>
        <v>0</v>
      </c>
      <c r="O56" s="44">
        <f t="shared" si="65"/>
        <v>0</v>
      </c>
      <c r="P56" s="44">
        <f t="shared" si="65"/>
        <v>0</v>
      </c>
      <c r="Q56" s="44">
        <f t="shared" si="65"/>
        <v>-15821940.07</v>
      </c>
      <c r="R56" s="44">
        <f t="shared" si="65"/>
        <v>0</v>
      </c>
      <c r="S56" s="44">
        <f t="shared" si="65"/>
        <v>0</v>
      </c>
      <c r="T56" s="44">
        <f t="shared" si="65"/>
        <v>0</v>
      </c>
      <c r="U56" s="44">
        <f t="shared" si="65"/>
        <v>-18540477.979999997</v>
      </c>
      <c r="V56" s="44">
        <f t="shared" si="65"/>
        <v>0</v>
      </c>
      <c r="W56" s="44">
        <f t="shared" si="65"/>
        <v>0</v>
      </c>
      <c r="X56" s="44">
        <f t="shared" si="65"/>
        <v>0</v>
      </c>
      <c r="Y56" s="44">
        <f t="shared" si="65"/>
        <v>-33066533.68</v>
      </c>
      <c r="Z56" s="44">
        <f t="shared" si="65"/>
        <v>0</v>
      </c>
      <c r="AA56" s="44">
        <f t="shared" si="65"/>
        <v>0</v>
      </c>
      <c r="AB56" s="44">
        <f t="shared" si="65"/>
        <v>0</v>
      </c>
      <c r="AC56" s="44">
        <f t="shared" si="65"/>
        <v>-40677143.740000002</v>
      </c>
      <c r="AD56" s="44">
        <f t="shared" si="65"/>
        <v>0</v>
      </c>
      <c r="AE56" s="44">
        <f t="shared" si="65"/>
        <v>0</v>
      </c>
      <c r="AF56" s="44">
        <f t="shared" si="65"/>
        <v>0</v>
      </c>
      <c r="AG56" s="44">
        <f t="shared" si="65"/>
        <v>-41575979.810000002</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565353706.70000005</v>
      </c>
      <c r="C59" s="190">
        <v>371922773</v>
      </c>
      <c r="D59" s="190">
        <v>147724280.03999999</v>
      </c>
      <c r="E59" s="190">
        <v>709910337.28999996</v>
      </c>
      <c r="F59" s="190">
        <v>553827086.94000006</v>
      </c>
      <c r="G59" s="190">
        <v>368333879.70999998</v>
      </c>
      <c r="H59" s="190">
        <v>140621329.21000001</v>
      </c>
      <c r="I59" s="190">
        <v>733362270.69000006</v>
      </c>
      <c r="J59" s="190">
        <v>570568506.52999997</v>
      </c>
      <c r="K59" s="190">
        <v>378981797.54000002</v>
      </c>
      <c r="L59" s="190">
        <v>141052169.15000001</v>
      </c>
      <c r="M59" s="190">
        <v>670924491.13</v>
      </c>
      <c r="N59" s="190">
        <v>536532131.06</v>
      </c>
      <c r="O59" s="190">
        <v>335305140.22000003</v>
      </c>
      <c r="P59" s="190">
        <v>123664048.17</v>
      </c>
      <c r="Q59" s="190">
        <v>615429919.00999999</v>
      </c>
      <c r="R59" s="190">
        <v>510510150.75</v>
      </c>
      <c r="S59" s="190">
        <v>328448459.76999998</v>
      </c>
      <c r="T59" s="190">
        <v>122045504.34</v>
      </c>
      <c r="U59" s="190">
        <v>569995925.76999998</v>
      </c>
      <c r="V59" s="190">
        <v>478524165.20999998</v>
      </c>
      <c r="W59" s="190">
        <v>299618052.92000002</v>
      </c>
      <c r="X59" s="190">
        <v>132559099.79000001</v>
      </c>
      <c r="Y59" s="190">
        <v>514689537.76999998</v>
      </c>
      <c r="Z59" s="190">
        <v>446367609.61000001</v>
      </c>
      <c r="AA59" s="190">
        <v>291343762.23000002</v>
      </c>
      <c r="AB59" s="190">
        <v>138070147.13999999</v>
      </c>
      <c r="AC59" s="190">
        <v>554027153.80999994</v>
      </c>
      <c r="AD59" s="190">
        <v>492958897.48000002</v>
      </c>
      <c r="AE59" s="190">
        <v>306839985.50999999</v>
      </c>
      <c r="AF59" s="190">
        <v>132186998.09</v>
      </c>
      <c r="AG59" s="190">
        <v>675725629.19000006</v>
      </c>
      <c r="AH59" s="190">
        <v>527429350.01999998</v>
      </c>
      <c r="AI59" s="190">
        <v>306026614.80000001</v>
      </c>
      <c r="AJ59" s="190">
        <v>84804217.400000006</v>
      </c>
      <c r="AK59" s="190">
        <v>714096064.88999999</v>
      </c>
      <c r="AL59" s="190">
        <v>557867347.55999994</v>
      </c>
      <c r="AM59" s="190">
        <v>367728369.75999999</v>
      </c>
      <c r="AN59" s="190">
        <v>145835076.66999999</v>
      </c>
      <c r="AO59" s="190">
        <v>639819997.00999999</v>
      </c>
      <c r="AP59" s="190">
        <v>465410475.67000002</v>
      </c>
      <c r="AQ59" s="190">
        <v>271531849.25</v>
      </c>
      <c r="AR59" s="190">
        <v>112669650.93000001</v>
      </c>
      <c r="AS59" s="190">
        <v>362684212.06</v>
      </c>
      <c r="AT59" s="190">
        <v>212901025.28</v>
      </c>
      <c r="AU59" s="190">
        <v>128551322.34999999</v>
      </c>
      <c r="AV59" s="190">
        <v>67961970.5</v>
      </c>
      <c r="AW59" s="190">
        <v>43339516.789999999</v>
      </c>
      <c r="AX59" s="190">
        <v>38131164.469999999</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87374462.489999995</v>
      </c>
      <c r="C60" s="190">
        <v>62321586.869999997</v>
      </c>
      <c r="D60" s="190">
        <v>34751672.759999998</v>
      </c>
      <c r="E60" s="190">
        <v>107741237.83</v>
      </c>
      <c r="F60" s="190">
        <v>111124128.08</v>
      </c>
      <c r="G60" s="190">
        <v>74848820.400000006</v>
      </c>
      <c r="H60" s="190">
        <v>33652307.799999997</v>
      </c>
      <c r="I60" s="190">
        <v>120695028.3</v>
      </c>
      <c r="J60" s="190">
        <v>104829208.81</v>
      </c>
      <c r="K60" s="190">
        <v>78123314.329999998</v>
      </c>
      <c r="L60" s="190">
        <v>35260735.270000003</v>
      </c>
      <c r="M60" s="190">
        <v>119642602.76000001</v>
      </c>
      <c r="N60" s="190">
        <v>105472041.40000001</v>
      </c>
      <c r="O60" s="190">
        <v>66306690.619999997</v>
      </c>
      <c r="P60" s="190">
        <v>31901740.98</v>
      </c>
      <c r="Q60" s="190">
        <v>141017015.94999999</v>
      </c>
      <c r="R60" s="190">
        <v>145786630.94</v>
      </c>
      <c r="S60" s="190">
        <v>91845359.209999993</v>
      </c>
      <c r="T60" s="190">
        <v>31861075.059999999</v>
      </c>
      <c r="U60" s="190">
        <v>125854205.42</v>
      </c>
      <c r="V60" s="190">
        <v>108198181.42</v>
      </c>
      <c r="W60" s="190">
        <v>68823596.599999994</v>
      </c>
      <c r="X60" s="190">
        <v>33233348.789999999</v>
      </c>
      <c r="Y60" s="190">
        <v>137783171.03999999</v>
      </c>
      <c r="Z60" s="190">
        <v>118875417.20999999</v>
      </c>
      <c r="AA60" s="190">
        <v>83352109.200000003</v>
      </c>
      <c r="AB60" s="190">
        <v>37659472.799999997</v>
      </c>
      <c r="AC60" s="190">
        <v>160120213.90000001</v>
      </c>
      <c r="AD60" s="190">
        <v>131683825.65000001</v>
      </c>
      <c r="AE60" s="190">
        <v>85679430.269999996</v>
      </c>
      <c r="AF60" s="190">
        <v>36811693.960000001</v>
      </c>
      <c r="AG60" s="190">
        <v>153920193.75</v>
      </c>
      <c r="AH60" s="190">
        <v>133769882.04000001</v>
      </c>
      <c r="AI60" s="190">
        <v>78204951.480000004</v>
      </c>
      <c r="AJ60" s="190">
        <v>18503864.760000002</v>
      </c>
      <c r="AK60" s="190">
        <v>71323098.150000006</v>
      </c>
      <c r="AL60" s="190">
        <v>94771017.180000007</v>
      </c>
      <c r="AM60" s="190">
        <v>62668761.810000002</v>
      </c>
      <c r="AN60" s="190">
        <v>26475915.57</v>
      </c>
      <c r="AO60" s="190">
        <v>93759873.390000001</v>
      </c>
      <c r="AP60" s="190">
        <v>76967544.019999996</v>
      </c>
      <c r="AQ60" s="190">
        <v>48192452.719999999</v>
      </c>
      <c r="AR60" s="190">
        <v>22028382.190000001</v>
      </c>
      <c r="AS60" s="190">
        <v>52391975.259999998</v>
      </c>
      <c r="AT60" s="190">
        <v>30483880.649999999</v>
      </c>
      <c r="AU60" s="190">
        <v>16958278.050000001</v>
      </c>
      <c r="AV60" s="190">
        <v>7555817.3899999997</v>
      </c>
      <c r="AW60" s="190">
        <v>0</v>
      </c>
      <c r="AX60" s="190">
        <v>4989969.4400000004</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652728169.19000006</v>
      </c>
      <c r="C61" s="190">
        <v>434244359.87</v>
      </c>
      <c r="D61" s="190">
        <v>182475952.80000001</v>
      </c>
      <c r="E61" s="190">
        <v>817651575.12</v>
      </c>
      <c r="F61" s="190">
        <v>664951215.01999998</v>
      </c>
      <c r="G61" s="190">
        <v>443182700.11000001</v>
      </c>
      <c r="H61" s="190">
        <v>174273637.00999999</v>
      </c>
      <c r="I61" s="190">
        <v>854057298.99000001</v>
      </c>
      <c r="J61" s="190">
        <v>675397715.34000003</v>
      </c>
      <c r="K61" s="190">
        <v>457105111.87</v>
      </c>
      <c r="L61" s="190">
        <v>176312904.41999999</v>
      </c>
      <c r="M61" s="190">
        <v>790567093.88999999</v>
      </c>
      <c r="N61" s="190">
        <v>642004172.46000004</v>
      </c>
      <c r="O61" s="190">
        <v>401611830.83999997</v>
      </c>
      <c r="P61" s="190">
        <v>155565789.15000001</v>
      </c>
      <c r="Q61" s="190">
        <v>756446934.96000004</v>
      </c>
      <c r="R61" s="190">
        <v>656296781.69000006</v>
      </c>
      <c r="S61" s="190">
        <v>420293818.98000002</v>
      </c>
      <c r="T61" s="190">
        <v>153906579.40000001</v>
      </c>
      <c r="U61" s="190">
        <v>695850131.19000006</v>
      </c>
      <c r="V61" s="190">
        <v>586722346.63</v>
      </c>
      <c r="W61" s="190">
        <v>368441649.51999998</v>
      </c>
      <c r="X61" s="190">
        <v>165792448.58000001</v>
      </c>
      <c r="Y61" s="190">
        <v>652472708.80999994</v>
      </c>
      <c r="Z61" s="190">
        <v>565243026.82000005</v>
      </c>
      <c r="AA61" s="190">
        <v>374695871.43000001</v>
      </c>
      <c r="AB61" s="190">
        <v>175729619.94</v>
      </c>
      <c r="AC61" s="190">
        <v>714147367.71000004</v>
      </c>
      <c r="AD61" s="190">
        <v>624642723.13</v>
      </c>
      <c r="AE61" s="190">
        <v>392519415.77999997</v>
      </c>
      <c r="AF61" s="190">
        <v>168998692.05000001</v>
      </c>
      <c r="AG61" s="190">
        <v>829645822.94000006</v>
      </c>
      <c r="AH61" s="190">
        <v>661199232.05999994</v>
      </c>
      <c r="AI61" s="190">
        <v>384231566.27999997</v>
      </c>
      <c r="AJ61" s="190">
        <v>103308082.16</v>
      </c>
      <c r="AK61" s="190">
        <v>785419163.03999996</v>
      </c>
      <c r="AL61" s="190">
        <v>652638364.74000001</v>
      </c>
      <c r="AM61" s="190">
        <v>430397131.56999999</v>
      </c>
      <c r="AN61" s="190">
        <v>172310992.24000001</v>
      </c>
      <c r="AO61" s="190">
        <v>733579870.39999998</v>
      </c>
      <c r="AP61" s="190">
        <v>542378019.69000006</v>
      </c>
      <c r="AQ61" s="190">
        <v>319724301.97000003</v>
      </c>
      <c r="AR61" s="190">
        <v>134698033.12</v>
      </c>
      <c r="AS61" s="190">
        <v>415076187.31999999</v>
      </c>
      <c r="AT61" s="190">
        <v>243384905.93000001</v>
      </c>
      <c r="AU61" s="190">
        <v>145509600.40000001</v>
      </c>
      <c r="AV61" s="190">
        <v>75517787.890000001</v>
      </c>
      <c r="AW61" s="190">
        <v>43339516.789999999</v>
      </c>
      <c r="AX61" s="190">
        <v>43121133.909999996</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131355402.02</v>
      </c>
      <c r="C65" s="190">
        <v>126367335.14</v>
      </c>
      <c r="D65" s="190">
        <v>4811943.5</v>
      </c>
      <c r="E65" s="190">
        <v>87711646.170000002</v>
      </c>
      <c r="F65" s="190">
        <v>50305148.259999998</v>
      </c>
      <c r="G65" s="190">
        <v>28564364.93</v>
      </c>
      <c r="H65" s="190">
        <v>8642563.5800000001</v>
      </c>
      <c r="I65" s="190">
        <v>35545438.399999999</v>
      </c>
      <c r="J65" s="190">
        <v>15546836.48</v>
      </c>
      <c r="K65" s="190">
        <v>3196193.83</v>
      </c>
      <c r="L65" s="190">
        <v>804138.22</v>
      </c>
      <c r="M65" s="190">
        <v>39269201.210000001</v>
      </c>
      <c r="N65" s="190">
        <v>27030085.57</v>
      </c>
      <c r="O65" s="190">
        <v>22754726.91</v>
      </c>
      <c r="P65" s="190">
        <v>6351975.3700000001</v>
      </c>
      <c r="Q65" s="190">
        <v>30819011.629999999</v>
      </c>
      <c r="R65" s="190">
        <v>22110559.600000001</v>
      </c>
      <c r="S65" s="190">
        <v>4487840.09</v>
      </c>
      <c r="T65" s="190">
        <v>2194993.41</v>
      </c>
      <c r="U65" s="190">
        <v>28465498.5</v>
      </c>
      <c r="V65" s="190">
        <v>21272227.690000001</v>
      </c>
      <c r="W65" s="190">
        <v>12059205.609999999</v>
      </c>
      <c r="X65" s="190">
        <v>-459993.54</v>
      </c>
      <c r="Y65" s="190">
        <v>452366.75</v>
      </c>
      <c r="Z65" s="190">
        <v>284042.99</v>
      </c>
      <c r="AA65" s="190">
        <v>550718.27</v>
      </c>
      <c r="AB65" s="190">
        <v>14918.53</v>
      </c>
      <c r="AC65" s="190">
        <v>3755227</v>
      </c>
      <c r="AD65" s="190">
        <v>4851299.8</v>
      </c>
      <c r="AE65" s="190">
        <v>1841301.09</v>
      </c>
      <c r="AF65" s="190">
        <v>24657.599999999999</v>
      </c>
      <c r="AG65" s="190">
        <v>653445.42000000004</v>
      </c>
      <c r="AH65" s="190">
        <v>38356.160000000003</v>
      </c>
      <c r="AI65" s="190">
        <v>0</v>
      </c>
      <c r="AJ65" s="190">
        <v>0</v>
      </c>
      <c r="AK65" s="190">
        <v>229529.86</v>
      </c>
      <c r="AL65" s="190">
        <v>229529.86</v>
      </c>
      <c r="AM65" s="190">
        <v>229369.86</v>
      </c>
      <c r="AN65" s="190">
        <v>149369.85999999999</v>
      </c>
      <c r="AO65" s="190">
        <v>258630.14</v>
      </c>
      <c r="AP65" s="190">
        <v>0</v>
      </c>
      <c r="AQ65" s="190">
        <v>0</v>
      </c>
      <c r="AR65" s="190">
        <v>0</v>
      </c>
      <c r="AS65" s="190">
        <v>0</v>
      </c>
      <c r="AT65" s="190">
        <v>0</v>
      </c>
      <c r="AU65" s="190">
        <v>0</v>
      </c>
      <c r="AV65" s="190">
        <v>0</v>
      </c>
      <c r="AW65" s="190">
        <v>0</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39720292.240000002</v>
      </c>
      <c r="C66" s="190">
        <v>40470474.240000002</v>
      </c>
      <c r="D66" s="190">
        <v>2229740.7400000002</v>
      </c>
      <c r="E66" s="190">
        <v>31970911.600000001</v>
      </c>
      <c r="F66" s="190">
        <v>24733193.379999999</v>
      </c>
      <c r="G66" s="190">
        <v>12461971.189999999</v>
      </c>
      <c r="H66" s="190">
        <v>-740633.93</v>
      </c>
      <c r="I66" s="190">
        <v>-10595576.42</v>
      </c>
      <c r="J66" s="190">
        <v>-18639907.309999999</v>
      </c>
      <c r="K66" s="190">
        <v>-10154260.279999999</v>
      </c>
      <c r="L66" s="190">
        <v>-6501993.4299999997</v>
      </c>
      <c r="M66" s="190">
        <v>-4092683.54</v>
      </c>
      <c r="N66" s="190">
        <v>143346.99</v>
      </c>
      <c r="O66" s="190">
        <v>-1388980.67</v>
      </c>
      <c r="P66" s="190">
        <v>-1378419.55</v>
      </c>
      <c r="Q66" s="190">
        <v>1784517.63</v>
      </c>
      <c r="R66" s="190">
        <v>-40051.870000000003</v>
      </c>
      <c r="S66" s="190">
        <v>-4721335.7</v>
      </c>
      <c r="T66" s="190">
        <v>0</v>
      </c>
      <c r="U66" s="190">
        <v>-6120634.4100000001</v>
      </c>
      <c r="V66" s="190">
        <v>0</v>
      </c>
      <c r="W66" s="190">
        <v>-377191.3</v>
      </c>
      <c r="X66" s="190">
        <v>0</v>
      </c>
      <c r="Y66" s="190">
        <v>-636435.38</v>
      </c>
      <c r="Z66" s="190">
        <v>0</v>
      </c>
      <c r="AA66" s="190">
        <v>0</v>
      </c>
      <c r="AB66" s="190">
        <v>0</v>
      </c>
      <c r="AC66" s="190">
        <v>1913925.91</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91635109.780000001</v>
      </c>
      <c r="C67" s="4">
        <f t="shared" ref="C67:BN67" si="67">C65-C66</f>
        <v>85896860.900000006</v>
      </c>
      <c r="D67" s="4">
        <f t="shared" si="67"/>
        <v>2582202.7599999998</v>
      </c>
      <c r="E67" s="4">
        <f t="shared" si="67"/>
        <v>55740734.57</v>
      </c>
      <c r="F67" s="4">
        <f t="shared" si="67"/>
        <v>25571954.879999999</v>
      </c>
      <c r="G67" s="4">
        <f t="shared" si="67"/>
        <v>16102393.74</v>
      </c>
      <c r="H67" s="4">
        <f t="shared" si="67"/>
        <v>9383197.5099999998</v>
      </c>
      <c r="I67" s="4">
        <f t="shared" si="67"/>
        <v>46141014.82</v>
      </c>
      <c r="J67" s="4">
        <f t="shared" si="67"/>
        <v>34186743.789999999</v>
      </c>
      <c r="K67" s="4">
        <f t="shared" si="67"/>
        <v>13350454.109999999</v>
      </c>
      <c r="L67" s="4">
        <f t="shared" si="67"/>
        <v>7306131.6499999994</v>
      </c>
      <c r="M67" s="4">
        <f t="shared" si="67"/>
        <v>43361884.75</v>
      </c>
      <c r="N67" s="4">
        <f t="shared" si="67"/>
        <v>26886738.580000002</v>
      </c>
      <c r="O67" s="4">
        <f t="shared" si="67"/>
        <v>24143707.579999998</v>
      </c>
      <c r="P67" s="4">
        <f t="shared" si="67"/>
        <v>7730394.9199999999</v>
      </c>
      <c r="Q67" s="4">
        <f t="shared" si="67"/>
        <v>29034494</v>
      </c>
      <c r="R67" s="4">
        <f t="shared" si="67"/>
        <v>22150611.470000003</v>
      </c>
      <c r="S67" s="4">
        <f t="shared" si="67"/>
        <v>9209175.7899999991</v>
      </c>
      <c r="T67" s="4">
        <f t="shared" si="67"/>
        <v>2194993.41</v>
      </c>
      <c r="U67" s="4">
        <f t="shared" si="67"/>
        <v>34586132.909999996</v>
      </c>
      <c r="V67" s="4">
        <f t="shared" si="67"/>
        <v>21272227.690000001</v>
      </c>
      <c r="W67" s="4">
        <f t="shared" si="67"/>
        <v>12436396.91</v>
      </c>
      <c r="X67" s="4">
        <f t="shared" si="67"/>
        <v>-459993.54</v>
      </c>
      <c r="Y67" s="4">
        <f t="shared" si="67"/>
        <v>1088802.1299999999</v>
      </c>
      <c r="Z67" s="4">
        <f t="shared" si="67"/>
        <v>284042.99</v>
      </c>
      <c r="AA67" s="4">
        <f t="shared" si="67"/>
        <v>550718.27</v>
      </c>
      <c r="AB67" s="4">
        <f t="shared" si="67"/>
        <v>14918.53</v>
      </c>
      <c r="AC67" s="4">
        <f t="shared" si="67"/>
        <v>1841301.09</v>
      </c>
      <c r="AD67" s="4">
        <f t="shared" si="67"/>
        <v>4851299.8</v>
      </c>
      <c r="AE67" s="4">
        <f t="shared" si="67"/>
        <v>1841301.09</v>
      </c>
      <c r="AF67" s="4">
        <f t="shared" si="67"/>
        <v>24657.599999999999</v>
      </c>
      <c r="AG67" s="4">
        <f t="shared" si="67"/>
        <v>653445.42000000004</v>
      </c>
      <c r="AH67" s="4">
        <f t="shared" si="67"/>
        <v>38356.160000000003</v>
      </c>
      <c r="AI67" s="4">
        <f t="shared" si="67"/>
        <v>0</v>
      </c>
      <c r="AJ67" s="4">
        <f t="shared" si="67"/>
        <v>0</v>
      </c>
      <c r="AK67" s="4">
        <f t="shared" si="67"/>
        <v>229529.86</v>
      </c>
      <c r="AL67" s="4">
        <f t="shared" si="67"/>
        <v>229529.86</v>
      </c>
      <c r="AM67" s="4">
        <f t="shared" si="67"/>
        <v>229369.86</v>
      </c>
      <c r="AN67" s="4">
        <f t="shared" si="67"/>
        <v>149369.85999999999</v>
      </c>
      <c r="AO67" s="4">
        <f t="shared" si="67"/>
        <v>258630.14</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-16077864.779999999</v>
      </c>
      <c r="C68" s="190">
        <v>-1781766.58</v>
      </c>
      <c r="D68" s="190">
        <v>4085495.12</v>
      </c>
      <c r="E68" s="190">
        <v>-490938.58</v>
      </c>
      <c r="F68" s="190">
        <v>1672253.28</v>
      </c>
      <c r="G68" s="190">
        <v>418578.2</v>
      </c>
      <c r="H68" s="190">
        <v>-1135807.8999999999</v>
      </c>
      <c r="I68" s="190">
        <v>-8634059.6300000008</v>
      </c>
      <c r="J68" s="190">
        <v>-9331012.5800000001</v>
      </c>
      <c r="K68" s="190">
        <v>-3976901.43</v>
      </c>
      <c r="L68" s="190">
        <v>-751100.34</v>
      </c>
      <c r="M68" s="190">
        <v>-8688675.6400000006</v>
      </c>
      <c r="N68" s="190">
        <v>-9719582.8499999996</v>
      </c>
      <c r="O68" s="190">
        <v>-6083096.7199999997</v>
      </c>
      <c r="P68" s="190">
        <v>-6388699.0999999996</v>
      </c>
      <c r="Q68" s="190">
        <v>-15821940.07</v>
      </c>
      <c r="R68" s="190">
        <v>-9994972.7300000004</v>
      </c>
      <c r="S68" s="190">
        <v>-8776911.7200000007</v>
      </c>
      <c r="T68" s="190">
        <v>-3427699.61</v>
      </c>
      <c r="U68" s="190">
        <v>-18540477.98</v>
      </c>
      <c r="V68" s="190">
        <v>-15521259.380000001</v>
      </c>
      <c r="W68" s="190">
        <v>-13285819.039999999</v>
      </c>
      <c r="X68" s="190">
        <v>-6452600.0300000003</v>
      </c>
      <c r="Y68" s="190">
        <v>-33066533.68</v>
      </c>
      <c r="Z68" s="190">
        <v>-25452017.260000002</v>
      </c>
      <c r="AA68" s="190">
        <v>-17791564.579999998</v>
      </c>
      <c r="AB68" s="190">
        <v>-8372029.9299999997</v>
      </c>
      <c r="AC68" s="190">
        <v>-40677143.740000002</v>
      </c>
      <c r="AD68" s="190">
        <v>-28497264.559999999</v>
      </c>
      <c r="AE68" s="190">
        <v>-19089881.530000001</v>
      </c>
      <c r="AF68" s="190">
        <v>-2639655.9900000002</v>
      </c>
      <c r="AG68" s="190">
        <v>-41575979.810000002</v>
      </c>
      <c r="AH68" s="190">
        <v>-27498625.129999999</v>
      </c>
      <c r="AI68" s="190">
        <v>-19012174.079999998</v>
      </c>
      <c r="AJ68" s="190">
        <v>-3798067.66</v>
      </c>
      <c r="AK68" s="190">
        <v>-42854081.25</v>
      </c>
      <c r="AL68" s="190">
        <v>-31534608.170000002</v>
      </c>
      <c r="AM68" s="190">
        <v>-28080033.899999999</v>
      </c>
      <c r="AN68" s="190">
        <v>-2392666.4700000002</v>
      </c>
      <c r="AO68" s="190">
        <v>-23808220.969999999</v>
      </c>
      <c r="AP68" s="190">
        <v>-5917100.9400000004</v>
      </c>
      <c r="AQ68" s="190">
        <v>-2010405.68</v>
      </c>
      <c r="AR68" s="190">
        <v>-520110.19</v>
      </c>
      <c r="AS68" s="190">
        <v>-2640157.4900000002</v>
      </c>
      <c r="AT68" s="190">
        <v>-1879702.51</v>
      </c>
      <c r="AU68" s="190">
        <v>-957688.98</v>
      </c>
      <c r="AV68" s="190">
        <v>-391947.11</v>
      </c>
      <c r="AW68" s="190">
        <v>-2292269.08</v>
      </c>
      <c r="AX68" s="190">
        <v>-202576.44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3615052287.6999998</v>
      </c>
      <c r="C70" s="190">
        <v>3398205410.6300001</v>
      </c>
      <c r="D70" s="190">
        <v>3709984744.8400002</v>
      </c>
      <c r="E70" s="190">
        <v>3582217691.6399999</v>
      </c>
      <c r="F70" s="190">
        <v>4055963877.5</v>
      </c>
      <c r="G70" s="190">
        <v>3883565149.8899999</v>
      </c>
      <c r="H70" s="190">
        <v>3655253550.6300001</v>
      </c>
      <c r="I70" s="190">
        <v>3513891765.25</v>
      </c>
      <c r="J70" s="190">
        <v>3349773040.3600001</v>
      </c>
      <c r="K70" s="190">
        <v>3200642380.9699998</v>
      </c>
      <c r="L70" s="190">
        <v>3497021467.1799998</v>
      </c>
      <c r="M70" s="190">
        <v>3358587193.2199998</v>
      </c>
      <c r="N70" s="190">
        <v>3210010480.9299998</v>
      </c>
      <c r="O70" s="190">
        <v>3007484954.3899999</v>
      </c>
      <c r="P70" s="190">
        <v>3341821962.3299999</v>
      </c>
      <c r="Q70" s="190">
        <v>3216542064.1700001</v>
      </c>
      <c r="R70" s="190">
        <v>3141139306.8000002</v>
      </c>
      <c r="S70" s="190">
        <v>2928424915.8200002</v>
      </c>
      <c r="T70" s="190">
        <v>2828695897.2800002</v>
      </c>
      <c r="U70" s="190">
        <v>3087051456.0500002</v>
      </c>
      <c r="V70" s="190">
        <v>2995579695.4899998</v>
      </c>
      <c r="W70" s="190">
        <v>2815673583.1999998</v>
      </c>
      <c r="X70" s="190">
        <v>3087420030.0599999</v>
      </c>
      <c r="Y70" s="190">
        <v>2954860930.27</v>
      </c>
      <c r="Z70" s="190">
        <v>2886539002.1100001</v>
      </c>
      <c r="AA70" s="190">
        <v>2731515154.73</v>
      </c>
      <c r="AB70" s="190">
        <v>2728125039.6399999</v>
      </c>
      <c r="AC70" s="190">
        <v>2590054892.5</v>
      </c>
      <c r="AD70" s="190">
        <v>2528986636.1700001</v>
      </c>
      <c r="AE70" s="190">
        <v>2874207724.1999998</v>
      </c>
      <c r="AF70" s="190">
        <v>3161669736.7800002</v>
      </c>
      <c r="AG70" s="190">
        <v>3029482738.6900001</v>
      </c>
      <c r="AH70" s="190">
        <v>2881186459.52</v>
      </c>
      <c r="AI70" s="190">
        <v>2659783724.3000002</v>
      </c>
      <c r="AJ70" s="190">
        <v>2909931326.9000001</v>
      </c>
      <c r="AK70" s="190">
        <v>2825127109.5</v>
      </c>
      <c r="AL70" s="190">
        <v>2668898392.1700001</v>
      </c>
      <c r="AM70" s="190">
        <v>2478759414.3699999</v>
      </c>
      <c r="AN70" s="190">
        <v>2562880521.2800002</v>
      </c>
      <c r="AO70" s="190">
        <v>2417045444.6100001</v>
      </c>
      <c r="AP70" s="190">
        <v>2225872120.29</v>
      </c>
      <c r="AQ70" s="190">
        <v>2171852002.2800002</v>
      </c>
      <c r="AR70" s="190">
        <v>571003985.21000004</v>
      </c>
      <c r="AS70" s="190">
        <v>461487114.06999999</v>
      </c>
      <c r="AT70" s="190">
        <v>247869109.49000001</v>
      </c>
      <c r="AU70" s="190">
        <v>73850314.379999995</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3" width="20.33203125" hidden="1" customWidth="1"/>
    <col min="44" max="44" width="18.109375" hidden="1" customWidth="1"/>
    <col min="45" max="45" width="18.109375" bestFit="1" customWidth="1"/>
    <col min="46" max="46" width="18.109375" hidden="1" customWidth="1"/>
    <col min="47" max="47" width="17"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47390251.340000004</v>
      </c>
      <c r="C3" s="190">
        <v>30428080</v>
      </c>
      <c r="D3" s="190">
        <v>30230770</v>
      </c>
      <c r="E3" s="190">
        <v>1154566.99</v>
      </c>
      <c r="F3" s="190">
        <v>1470270</v>
      </c>
      <c r="G3" s="190">
        <v>1205000</v>
      </c>
      <c r="H3" s="190">
        <v>135000</v>
      </c>
      <c r="I3" s="190">
        <v>18094663.300000001</v>
      </c>
      <c r="J3" s="190">
        <v>12894572.720000001</v>
      </c>
      <c r="K3" s="190">
        <v>9317026.7200000007</v>
      </c>
      <c r="L3" s="190">
        <v>112100</v>
      </c>
      <c r="M3" s="190">
        <v>129040755.31999999</v>
      </c>
      <c r="N3" s="190">
        <v>28880741.010000002</v>
      </c>
      <c r="O3" s="190">
        <v>812931.21</v>
      </c>
      <c r="P3" s="190">
        <v>654281.21</v>
      </c>
      <c r="Q3" s="190">
        <v>1559910.02</v>
      </c>
      <c r="R3" s="190">
        <v>565532.15</v>
      </c>
      <c r="S3" s="190">
        <v>80210</v>
      </c>
      <c r="T3" s="190">
        <v>0</v>
      </c>
      <c r="U3" s="190">
        <v>410682.16</v>
      </c>
      <c r="V3" s="190">
        <v>492780.56</v>
      </c>
      <c r="W3" s="190">
        <v>554137.59999999998</v>
      </c>
      <c r="X3" s="190">
        <v>11000</v>
      </c>
      <c r="Y3" s="190">
        <v>1296435.6399999999</v>
      </c>
      <c r="Z3" s="190">
        <v>535839.23</v>
      </c>
      <c r="AA3" s="190">
        <v>295394.42</v>
      </c>
      <c r="AB3" s="190">
        <v>0</v>
      </c>
      <c r="AC3" s="190">
        <v>594953.6</v>
      </c>
      <c r="AD3" s="190">
        <v>178536.9</v>
      </c>
      <c r="AE3" s="190">
        <v>600</v>
      </c>
      <c r="AF3" s="190">
        <v>361573.07</v>
      </c>
      <c r="AG3" s="190">
        <v>1418571.95</v>
      </c>
      <c r="AH3" s="190">
        <v>1182327</v>
      </c>
      <c r="AI3" s="190">
        <v>1181727</v>
      </c>
      <c r="AJ3" s="190">
        <v>120450</v>
      </c>
      <c r="AK3" s="190">
        <v>852081.1</v>
      </c>
      <c r="AL3" s="190">
        <v>3387324.84</v>
      </c>
      <c r="AM3" s="190">
        <v>3121409.2</v>
      </c>
      <c r="AN3" s="190">
        <v>0</v>
      </c>
      <c r="AO3" s="190">
        <v>712687</v>
      </c>
      <c r="AP3" s="190">
        <v>392749.42</v>
      </c>
      <c r="AQ3" s="190">
        <v>401149.23</v>
      </c>
      <c r="AR3" s="190">
        <v>18528.900000000001</v>
      </c>
      <c r="AS3" s="190">
        <v>932602</v>
      </c>
      <c r="AT3" s="190">
        <v>932602</v>
      </c>
      <c r="AU3" s="190">
        <v>4102</v>
      </c>
      <c r="AV3" s="190">
        <v>0</v>
      </c>
      <c r="AW3" s="190">
        <v>0</v>
      </c>
      <c r="AX3" s="190">
        <v>81500</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128722563.33</v>
      </c>
      <c r="C4" s="190">
        <v>8175547</v>
      </c>
      <c r="D4" s="190">
        <v>981489.94</v>
      </c>
      <c r="E4" s="190">
        <v>35396657.859999999</v>
      </c>
      <c r="F4" s="190">
        <v>23421108.719999999</v>
      </c>
      <c r="G4" s="190">
        <v>8820733.9299999997</v>
      </c>
      <c r="H4" s="190">
        <v>3867330.75</v>
      </c>
      <c r="I4" s="190">
        <v>35348267.359999999</v>
      </c>
      <c r="J4" s="190">
        <v>10828439.300000001</v>
      </c>
      <c r="K4" s="190">
        <v>6067717.7999999998</v>
      </c>
      <c r="L4" s="190">
        <v>8835560.3900000006</v>
      </c>
      <c r="M4" s="190">
        <v>71317821.670000002</v>
      </c>
      <c r="N4" s="190">
        <v>54527461.869999997</v>
      </c>
      <c r="O4" s="190">
        <v>44675469.600000001</v>
      </c>
      <c r="P4" s="190">
        <v>33715797.399999999</v>
      </c>
      <c r="Q4" s="190">
        <v>142087538.84</v>
      </c>
      <c r="R4" s="190">
        <v>104241959.45999999</v>
      </c>
      <c r="S4" s="190">
        <v>71247845.040000007</v>
      </c>
      <c r="T4" s="190">
        <v>32886759.190000001</v>
      </c>
      <c r="U4" s="190">
        <v>233855841.68000001</v>
      </c>
      <c r="V4" s="190">
        <v>141444403.75999999</v>
      </c>
      <c r="W4" s="190">
        <v>90167708.379999995</v>
      </c>
      <c r="X4" s="190">
        <v>43319773.280000001</v>
      </c>
      <c r="Y4" s="190">
        <v>200025952.13999999</v>
      </c>
      <c r="Z4" s="190">
        <v>158874158.00999999</v>
      </c>
      <c r="AA4" s="190">
        <v>124453868.37</v>
      </c>
      <c r="AB4" s="190">
        <v>61401790.859999999</v>
      </c>
      <c r="AC4" s="190">
        <v>144673315.58000001</v>
      </c>
      <c r="AD4" s="190">
        <v>92553201.209999993</v>
      </c>
      <c r="AE4" s="190">
        <v>60558345.700000003</v>
      </c>
      <c r="AF4" s="190">
        <v>31130339.620000001</v>
      </c>
      <c r="AG4" s="190">
        <v>362155759.19</v>
      </c>
      <c r="AH4" s="190">
        <v>226729032.84</v>
      </c>
      <c r="AI4" s="190">
        <v>149284318.75</v>
      </c>
      <c r="AJ4" s="190">
        <v>133701790.59</v>
      </c>
      <c r="AK4" s="190">
        <v>296624921.76999998</v>
      </c>
      <c r="AL4" s="190">
        <v>193696493.13999999</v>
      </c>
      <c r="AM4" s="190">
        <v>154212093.5</v>
      </c>
      <c r="AN4" s="190">
        <v>100814320.05</v>
      </c>
      <c r="AO4" s="190">
        <v>265118776</v>
      </c>
      <c r="AP4" s="190">
        <v>148411489.81999999</v>
      </c>
      <c r="AQ4" s="190">
        <v>92386128.909999996</v>
      </c>
      <c r="AR4" s="190">
        <v>5271003.1399999997</v>
      </c>
      <c r="AS4" s="190">
        <v>91190406.629999995</v>
      </c>
      <c r="AT4" s="190">
        <v>62069280.329999998</v>
      </c>
      <c r="AU4" s="190">
        <v>29013355.43</v>
      </c>
      <c r="AV4" s="190">
        <v>-3738257.86</v>
      </c>
      <c r="AW4" s="190">
        <v>5549472</v>
      </c>
      <c r="AX4" s="190">
        <v>3460307</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34242090.869999997</v>
      </c>
      <c r="F5" s="47">
        <f t="shared" ref="F5:AR5" si="0">F4-F3</f>
        <v>21950838.719999999</v>
      </c>
      <c r="G5" s="47">
        <f t="shared" si="0"/>
        <v>7615733.9299999997</v>
      </c>
      <c r="H5" s="47">
        <f t="shared" si="0"/>
        <v>3732330.75</v>
      </c>
      <c r="I5" s="47">
        <f t="shared" si="0"/>
        <v>17253604.059999999</v>
      </c>
      <c r="J5" s="47">
        <f t="shared" si="0"/>
        <v>-2066133.42</v>
      </c>
      <c r="K5" s="47">
        <f t="shared" si="0"/>
        <v>-3249308.9200000009</v>
      </c>
      <c r="L5" s="47">
        <f t="shared" si="0"/>
        <v>8723460.3900000006</v>
      </c>
      <c r="M5" s="47">
        <f t="shared" si="0"/>
        <v>-57722933.649999991</v>
      </c>
      <c r="N5" s="47">
        <f t="shared" si="0"/>
        <v>25646720.859999996</v>
      </c>
      <c r="O5" s="47">
        <f t="shared" si="0"/>
        <v>43862538.390000001</v>
      </c>
      <c r="P5" s="47">
        <f t="shared" si="0"/>
        <v>33061516.189999998</v>
      </c>
      <c r="Q5" s="47">
        <f t="shared" si="0"/>
        <v>140527628.81999999</v>
      </c>
      <c r="R5" s="47">
        <f t="shared" si="0"/>
        <v>103676427.30999999</v>
      </c>
      <c r="S5" s="47">
        <f t="shared" si="0"/>
        <v>71167635.040000007</v>
      </c>
      <c r="T5" s="47">
        <f t="shared" si="0"/>
        <v>32886759.190000001</v>
      </c>
      <c r="U5" s="47">
        <f t="shared" si="0"/>
        <v>233445159.52000001</v>
      </c>
      <c r="V5" s="47">
        <f t="shared" si="0"/>
        <v>140951623.19999999</v>
      </c>
      <c r="W5" s="47">
        <f t="shared" si="0"/>
        <v>89613570.780000001</v>
      </c>
      <c r="X5" s="47">
        <f t="shared" si="0"/>
        <v>43308773.280000001</v>
      </c>
      <c r="Y5" s="47">
        <f t="shared" si="0"/>
        <v>198729516.5</v>
      </c>
      <c r="Z5" s="47">
        <f t="shared" si="0"/>
        <v>158338318.78</v>
      </c>
      <c r="AA5" s="47">
        <f t="shared" si="0"/>
        <v>124158473.95</v>
      </c>
      <c r="AB5" s="47">
        <f t="shared" si="0"/>
        <v>61401790.859999999</v>
      </c>
      <c r="AC5" s="47">
        <f t="shared" si="0"/>
        <v>144078361.98000002</v>
      </c>
      <c r="AD5" s="47">
        <f t="shared" si="0"/>
        <v>92374664.309999987</v>
      </c>
      <c r="AE5" s="47">
        <f t="shared" si="0"/>
        <v>60557745.700000003</v>
      </c>
      <c r="AF5" s="47">
        <f t="shared" si="0"/>
        <v>30768766.550000001</v>
      </c>
      <c r="AG5" s="47">
        <f t="shared" si="0"/>
        <v>360737187.24000001</v>
      </c>
      <c r="AH5" s="47">
        <f t="shared" si="0"/>
        <v>225546705.84</v>
      </c>
      <c r="AI5" s="47">
        <f t="shared" si="0"/>
        <v>148102591.75</v>
      </c>
      <c r="AJ5" s="47">
        <f t="shared" si="0"/>
        <v>133581340.59</v>
      </c>
      <c r="AK5" s="47">
        <f t="shared" si="0"/>
        <v>295772840.66999996</v>
      </c>
      <c r="AL5" s="47">
        <f t="shared" si="0"/>
        <v>190309168.29999998</v>
      </c>
      <c r="AM5" s="47">
        <f t="shared" si="0"/>
        <v>151090684.30000001</v>
      </c>
      <c r="AN5" s="47">
        <f t="shared" si="0"/>
        <v>100814320.05</v>
      </c>
      <c r="AO5" s="47">
        <f t="shared" si="0"/>
        <v>264406089</v>
      </c>
      <c r="AP5" s="47">
        <f t="shared" si="0"/>
        <v>148018740.40000001</v>
      </c>
      <c r="AQ5" s="47">
        <f t="shared" si="0"/>
        <v>91984979.679999992</v>
      </c>
      <c r="AR5" s="47">
        <f t="shared" si="0"/>
        <v>5252474.2399999993</v>
      </c>
    </row>
    <row r="6" spans="1:74" s="105" customFormat="1" x14ac:dyDescent="0.25">
      <c r="A6" s="136" t="s">
        <v>305</v>
      </c>
      <c r="B6" s="190">
        <v>0</v>
      </c>
      <c r="C6" s="190">
        <v>24187390.710000001</v>
      </c>
      <c r="D6" s="190">
        <v>0</v>
      </c>
      <c r="E6" s="190">
        <v>64828686.75</v>
      </c>
      <c r="F6" s="190">
        <v>0</v>
      </c>
      <c r="G6" s="190">
        <v>32800832.93</v>
      </c>
      <c r="H6" s="190">
        <v>0</v>
      </c>
      <c r="I6" s="190">
        <v>63857365.25</v>
      </c>
      <c r="J6" s="190">
        <v>0</v>
      </c>
      <c r="K6" s="190">
        <v>32116528.469999999</v>
      </c>
      <c r="L6" s="190">
        <v>0</v>
      </c>
      <c r="M6" s="190">
        <v>70349508.769999996</v>
      </c>
      <c r="N6" s="190">
        <v>0</v>
      </c>
      <c r="O6" s="190">
        <v>26130782.850000001</v>
      </c>
      <c r="P6" s="190">
        <v>0</v>
      </c>
      <c r="Q6" s="190">
        <v>58617376.380000003</v>
      </c>
      <c r="R6" s="190">
        <v>0</v>
      </c>
      <c r="S6" s="190">
        <v>23674374.989999998</v>
      </c>
      <c r="T6" s="190">
        <v>0</v>
      </c>
      <c r="U6" s="190">
        <v>46356963.539999999</v>
      </c>
      <c r="V6" s="190">
        <v>0</v>
      </c>
      <c r="W6" s="190">
        <v>22576978.239999998</v>
      </c>
      <c r="X6" s="190">
        <v>0</v>
      </c>
      <c r="Y6" s="190">
        <v>46273223.159999996</v>
      </c>
      <c r="Z6" s="190">
        <v>0</v>
      </c>
      <c r="AA6" s="190">
        <v>23223497.010000002</v>
      </c>
      <c r="AB6" s="190">
        <v>0</v>
      </c>
      <c r="AC6" s="190">
        <v>44621832.880000003</v>
      </c>
      <c r="AD6" s="190">
        <v>0</v>
      </c>
      <c r="AE6" s="190">
        <v>20671669.420000002</v>
      </c>
      <c r="AF6" s="190">
        <v>0</v>
      </c>
      <c r="AG6" s="190">
        <v>38409848.479999997</v>
      </c>
      <c r="AH6" s="190">
        <v>0</v>
      </c>
      <c r="AI6" s="190">
        <v>19389074.390000001</v>
      </c>
      <c r="AJ6" s="190">
        <v>0</v>
      </c>
      <c r="AK6" s="190">
        <v>26728818.449999999</v>
      </c>
      <c r="AL6" s="190">
        <v>0</v>
      </c>
      <c r="AM6" s="190">
        <v>10277356.17</v>
      </c>
      <c r="AN6" s="190">
        <v>0</v>
      </c>
      <c r="AO6" s="190">
        <v>12597996.539999999</v>
      </c>
      <c r="AP6" s="190">
        <v>0</v>
      </c>
      <c r="AQ6" s="190">
        <v>4494818.8499999996</v>
      </c>
      <c r="AR6" s="190">
        <v>0</v>
      </c>
      <c r="AS6" s="190">
        <v>7074899.71</v>
      </c>
      <c r="AT6" s="190">
        <v>0</v>
      </c>
      <c r="AU6" s="190">
        <v>0</v>
      </c>
      <c r="AV6" s="190">
        <v>0</v>
      </c>
      <c r="AW6" s="190">
        <v>835440.42</v>
      </c>
      <c r="AX6" s="190">
        <v>691225.5</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3912097.68</v>
      </c>
      <c r="D7" s="190">
        <v>0</v>
      </c>
      <c r="E7" s="190">
        <v>9433082.4100000001</v>
      </c>
      <c r="F7" s="190">
        <v>0</v>
      </c>
      <c r="G7" s="190">
        <v>3952164.4</v>
      </c>
      <c r="H7" s="190">
        <v>0</v>
      </c>
      <c r="I7" s="190">
        <v>8893999.0899999999</v>
      </c>
      <c r="J7" s="190">
        <v>0</v>
      </c>
      <c r="K7" s="190">
        <v>4427471.63</v>
      </c>
      <c r="L7" s="190">
        <v>0</v>
      </c>
      <c r="M7" s="190">
        <v>9439234.8200000003</v>
      </c>
      <c r="N7" s="190">
        <v>0</v>
      </c>
      <c r="O7" s="190">
        <v>4058115.24</v>
      </c>
      <c r="P7" s="190">
        <v>0</v>
      </c>
      <c r="Q7" s="190">
        <v>9554346.0999999996</v>
      </c>
      <c r="R7" s="190">
        <v>0</v>
      </c>
      <c r="S7" s="190">
        <v>4783548.28</v>
      </c>
      <c r="T7" s="190">
        <v>0</v>
      </c>
      <c r="U7" s="190">
        <v>13092192.609999999</v>
      </c>
      <c r="V7" s="190">
        <v>0</v>
      </c>
      <c r="W7" s="190">
        <v>6593304.4800000004</v>
      </c>
      <c r="X7" s="190">
        <v>0</v>
      </c>
      <c r="Y7" s="190">
        <v>13236319.859999999</v>
      </c>
      <c r="Z7" s="190">
        <v>0</v>
      </c>
      <c r="AA7" s="190">
        <v>5190454.2300000004</v>
      </c>
      <c r="AB7" s="190">
        <v>0</v>
      </c>
      <c r="AC7" s="190">
        <v>10473438.42</v>
      </c>
      <c r="AD7" s="190">
        <v>0</v>
      </c>
      <c r="AE7" s="190">
        <v>4492193.82</v>
      </c>
      <c r="AF7" s="190">
        <v>0</v>
      </c>
      <c r="AG7" s="190">
        <v>7708322.8099999996</v>
      </c>
      <c r="AH7" s="190">
        <v>0</v>
      </c>
      <c r="AI7" s="190">
        <v>3627913.22</v>
      </c>
      <c r="AJ7" s="190">
        <v>0</v>
      </c>
      <c r="AK7" s="190">
        <v>7661732.6900000004</v>
      </c>
      <c r="AL7" s="190">
        <v>0</v>
      </c>
      <c r="AM7" s="190">
        <v>3383787.22</v>
      </c>
      <c r="AN7" s="190">
        <v>0</v>
      </c>
      <c r="AO7" s="190">
        <v>5845013.7599999998</v>
      </c>
      <c r="AP7" s="190">
        <v>0</v>
      </c>
      <c r="AQ7" s="190">
        <v>3082834.41</v>
      </c>
      <c r="AR7" s="190">
        <v>0</v>
      </c>
      <c r="AS7" s="190">
        <v>3815906.34</v>
      </c>
      <c r="AT7" s="190">
        <v>0</v>
      </c>
      <c r="AU7" s="190">
        <v>0</v>
      </c>
      <c r="AV7" s="190">
        <v>0</v>
      </c>
      <c r="AW7" s="190">
        <v>324252.77</v>
      </c>
      <c r="AX7" s="190">
        <v>92427.77</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1364185.81</v>
      </c>
      <c r="D8" s="190">
        <v>0</v>
      </c>
      <c r="E8" s="190">
        <v>1818133.9</v>
      </c>
      <c r="F8" s="190">
        <v>0</v>
      </c>
      <c r="G8" s="190">
        <v>1547150.46</v>
      </c>
      <c r="H8" s="190">
        <v>0</v>
      </c>
      <c r="I8" s="190">
        <v>3094300.92</v>
      </c>
      <c r="J8" s="190">
        <v>0</v>
      </c>
      <c r="K8" s="190">
        <v>1547150.46</v>
      </c>
      <c r="L8" s="190">
        <v>0</v>
      </c>
      <c r="M8" s="190">
        <v>3094301.11</v>
      </c>
      <c r="N8" s="190">
        <v>0</v>
      </c>
      <c r="O8" s="190">
        <v>1338973.78</v>
      </c>
      <c r="P8" s="190">
        <v>0</v>
      </c>
      <c r="Q8" s="190">
        <v>1307666.8999999999</v>
      </c>
      <c r="R8" s="190">
        <v>0</v>
      </c>
      <c r="S8" s="190">
        <v>15750</v>
      </c>
      <c r="T8" s="190">
        <v>0</v>
      </c>
      <c r="U8" s="190">
        <v>31500</v>
      </c>
      <c r="V8" s="190">
        <v>0</v>
      </c>
      <c r="W8" s="190">
        <v>0</v>
      </c>
      <c r="X8" s="190">
        <v>0</v>
      </c>
      <c r="Y8" s="190">
        <v>31500</v>
      </c>
      <c r="Z8" s="190">
        <v>0</v>
      </c>
      <c r="AA8" s="190">
        <v>0</v>
      </c>
      <c r="AB8" s="190">
        <v>0</v>
      </c>
      <c r="AC8" s="190">
        <v>34125</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553022.63</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-12716944.800000001</v>
      </c>
      <c r="D9" s="190">
        <v>0</v>
      </c>
      <c r="E9" s="190">
        <v>-1399923.52</v>
      </c>
      <c r="F9" s="190">
        <v>0</v>
      </c>
      <c r="G9" s="190">
        <v>-545373.79</v>
      </c>
      <c r="H9" s="190">
        <v>0</v>
      </c>
      <c r="I9" s="190">
        <v>-45375605.170000002</v>
      </c>
      <c r="J9" s="190">
        <v>0</v>
      </c>
      <c r="K9" s="190">
        <v>-45624174.630000003</v>
      </c>
      <c r="L9" s="190">
        <v>0</v>
      </c>
      <c r="M9" s="190">
        <v>486107.35</v>
      </c>
      <c r="N9" s="190">
        <v>0</v>
      </c>
      <c r="O9" s="190">
        <v>144462.35999999999</v>
      </c>
      <c r="P9" s="190">
        <v>0</v>
      </c>
      <c r="Q9" s="190">
        <v>3196094.28</v>
      </c>
      <c r="R9" s="190">
        <v>0</v>
      </c>
      <c r="S9" s="190">
        <v>336591.06</v>
      </c>
      <c r="T9" s="190">
        <v>0</v>
      </c>
      <c r="U9" s="190">
        <v>864129.69</v>
      </c>
      <c r="V9" s="190">
        <v>0</v>
      </c>
      <c r="W9" s="190">
        <v>670665.68000000005</v>
      </c>
      <c r="X9" s="190">
        <v>0</v>
      </c>
      <c r="Y9" s="190">
        <v>454561.78</v>
      </c>
      <c r="Z9" s="190">
        <v>0</v>
      </c>
      <c r="AA9" s="190">
        <v>668328.59</v>
      </c>
      <c r="AB9" s="190">
        <v>0</v>
      </c>
      <c r="AC9" s="190">
        <v>53150.6</v>
      </c>
      <c r="AD9" s="190">
        <v>0</v>
      </c>
      <c r="AE9" s="190">
        <v>35265.18</v>
      </c>
      <c r="AF9" s="190">
        <v>0</v>
      </c>
      <c r="AG9" s="190">
        <v>178572.05</v>
      </c>
      <c r="AH9" s="190">
        <v>0</v>
      </c>
      <c r="AI9" s="190">
        <v>123549.74</v>
      </c>
      <c r="AJ9" s="190">
        <v>0</v>
      </c>
      <c r="AK9" s="190">
        <v>1191068.81</v>
      </c>
      <c r="AL9" s="190">
        <v>0</v>
      </c>
      <c r="AM9" s="190">
        <v>1146368.03</v>
      </c>
      <c r="AN9" s="190">
        <v>0</v>
      </c>
      <c r="AO9" s="190">
        <v>181662.27</v>
      </c>
      <c r="AP9" s="190">
        <v>0</v>
      </c>
      <c r="AQ9" s="190">
        <v>52417.77</v>
      </c>
      <c r="AR9" s="190">
        <v>0</v>
      </c>
      <c r="AS9" s="190">
        <v>0</v>
      </c>
      <c r="AT9" s="190">
        <v>0</v>
      </c>
      <c r="AU9" s="190">
        <v>0</v>
      </c>
      <c r="AV9" s="190">
        <v>0</v>
      </c>
      <c r="AW9" s="190">
        <v>0</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2281694.7999999998</v>
      </c>
      <c r="D10" s="190">
        <v>0</v>
      </c>
      <c r="E10" s="190">
        <v>1340385.55</v>
      </c>
      <c r="F10" s="190">
        <v>0</v>
      </c>
      <c r="G10" s="190">
        <v>0</v>
      </c>
      <c r="H10" s="190">
        <v>0</v>
      </c>
      <c r="I10" s="190">
        <v>2871.75</v>
      </c>
      <c r="J10" s="190">
        <v>0</v>
      </c>
      <c r="K10" s="190">
        <v>0</v>
      </c>
      <c r="L10" s="190">
        <v>0</v>
      </c>
      <c r="M10" s="190">
        <v>0</v>
      </c>
      <c r="N10" s="190">
        <v>0</v>
      </c>
      <c r="O10" s="190">
        <v>0</v>
      </c>
      <c r="P10" s="190">
        <v>0</v>
      </c>
      <c r="Q10" s="190">
        <v>0</v>
      </c>
      <c r="R10" s="190">
        <v>0</v>
      </c>
      <c r="S10" s="190">
        <v>0</v>
      </c>
      <c r="T10" s="190">
        <v>0</v>
      </c>
      <c r="U10" s="190">
        <v>75821.210000000006</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89542.15</v>
      </c>
      <c r="AR10" s="190">
        <v>0</v>
      </c>
      <c r="AS10" s="190">
        <v>151921.56</v>
      </c>
      <c r="AT10" s="190">
        <v>0</v>
      </c>
      <c r="AU10" s="190">
        <v>0</v>
      </c>
      <c r="AV10" s="190">
        <v>0</v>
      </c>
      <c r="AW10" s="190">
        <v>0</v>
      </c>
      <c r="AX10" s="190">
        <v>215198.12</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-41778274.219999999</v>
      </c>
      <c r="F11" s="47">
        <f t="shared" ref="F11:BQ11" si="1">F5-F6-F7-F8-F9-F10</f>
        <v>21950838.719999999</v>
      </c>
      <c r="G11" s="47">
        <f t="shared" si="1"/>
        <v>-30139040.07</v>
      </c>
      <c r="H11" s="47">
        <f t="shared" si="1"/>
        <v>3732330.75</v>
      </c>
      <c r="I11" s="47">
        <f t="shared" si="1"/>
        <v>-13219327.780000001</v>
      </c>
      <c r="J11" s="47">
        <f t="shared" si="1"/>
        <v>-2066133.42</v>
      </c>
      <c r="K11" s="47">
        <f t="shared" si="1"/>
        <v>4283715.1499999985</v>
      </c>
      <c r="L11" s="47">
        <f t="shared" si="1"/>
        <v>8723460.3900000006</v>
      </c>
      <c r="M11" s="47">
        <f t="shared" si="1"/>
        <v>-141092085.69999999</v>
      </c>
      <c r="N11" s="47">
        <f t="shared" si="1"/>
        <v>25646720.859999996</v>
      </c>
      <c r="O11" s="47">
        <f t="shared" si="1"/>
        <v>12190204.16</v>
      </c>
      <c r="P11" s="47">
        <f t="shared" si="1"/>
        <v>33061516.189999998</v>
      </c>
      <c r="Q11" s="47">
        <f t="shared" si="1"/>
        <v>67852145.159999996</v>
      </c>
      <c r="R11" s="47">
        <f t="shared" si="1"/>
        <v>103676427.30999999</v>
      </c>
      <c r="S11" s="47">
        <f t="shared" si="1"/>
        <v>42357370.710000008</v>
      </c>
      <c r="T11" s="47">
        <f t="shared" si="1"/>
        <v>32886759.190000001</v>
      </c>
      <c r="U11" s="47">
        <f t="shared" si="1"/>
        <v>173024552.47</v>
      </c>
      <c r="V11" s="47">
        <f t="shared" si="1"/>
        <v>140951623.19999999</v>
      </c>
      <c r="W11" s="47">
        <f t="shared" si="1"/>
        <v>59772622.380000003</v>
      </c>
      <c r="X11" s="47">
        <f t="shared" si="1"/>
        <v>43308773.280000001</v>
      </c>
      <c r="Y11" s="47">
        <f t="shared" si="1"/>
        <v>138733911.70000002</v>
      </c>
      <c r="Z11" s="47">
        <f t="shared" si="1"/>
        <v>158338318.78</v>
      </c>
      <c r="AA11" s="47">
        <f t="shared" si="1"/>
        <v>95076194.11999999</v>
      </c>
      <c r="AB11" s="47">
        <f t="shared" si="1"/>
        <v>61401790.859999999</v>
      </c>
      <c r="AC11" s="47">
        <f t="shared" si="1"/>
        <v>88895815.080000028</v>
      </c>
      <c r="AD11" s="47">
        <f t="shared" si="1"/>
        <v>92374664.309999987</v>
      </c>
      <c r="AE11" s="47">
        <f t="shared" si="1"/>
        <v>35358617.280000001</v>
      </c>
      <c r="AF11" s="47">
        <f t="shared" si="1"/>
        <v>30768766.550000001</v>
      </c>
      <c r="AG11" s="47">
        <f t="shared" si="1"/>
        <v>314440443.89999998</v>
      </c>
      <c r="AH11" s="47">
        <f t="shared" si="1"/>
        <v>225546705.84</v>
      </c>
      <c r="AI11" s="47">
        <f t="shared" si="1"/>
        <v>124962054.40000001</v>
      </c>
      <c r="AJ11" s="47">
        <f t="shared" si="1"/>
        <v>133581340.59</v>
      </c>
      <c r="AK11" s="47">
        <f t="shared" si="1"/>
        <v>260191220.71999997</v>
      </c>
      <c r="AL11" s="47">
        <f t="shared" si="1"/>
        <v>190309168.29999998</v>
      </c>
      <c r="AM11" s="47">
        <f t="shared" si="1"/>
        <v>136283172.88000003</v>
      </c>
      <c r="AN11" s="47">
        <f t="shared" si="1"/>
        <v>100814320.05</v>
      </c>
      <c r="AO11" s="47">
        <f t="shared" si="1"/>
        <v>245781416.43000001</v>
      </c>
      <c r="AP11" s="47">
        <f t="shared" si="1"/>
        <v>148018740.40000001</v>
      </c>
      <c r="AQ11" s="47">
        <f t="shared" si="1"/>
        <v>84265366.5</v>
      </c>
      <c r="AR11" s="47">
        <f t="shared" si="1"/>
        <v>5252474.2399999993</v>
      </c>
      <c r="AS11" s="47">
        <f t="shared" si="1"/>
        <v>-11595750.240000002</v>
      </c>
      <c r="AT11" s="47">
        <f t="shared" si="1"/>
        <v>0</v>
      </c>
      <c r="AU11" s="47">
        <f t="shared" si="1"/>
        <v>0</v>
      </c>
      <c r="AV11" s="47">
        <f t="shared" si="1"/>
        <v>0</v>
      </c>
      <c r="AW11" s="47">
        <f t="shared" si="1"/>
        <v>-1159693.19</v>
      </c>
      <c r="AX11" s="47">
        <f t="shared" si="1"/>
        <v>-998851.39</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1338318718.9300001</v>
      </c>
      <c r="F12" s="26">
        <f t="shared" si="3"/>
        <v>1300042067.03</v>
      </c>
      <c r="G12" s="26">
        <f t="shared" si="3"/>
        <v>1307997355.97</v>
      </c>
      <c r="H12" s="26">
        <f t="shared" si="3"/>
        <v>1278818870.02</v>
      </c>
      <c r="I12" s="26">
        <f t="shared" si="3"/>
        <v>1319805146.8200002</v>
      </c>
      <c r="J12" s="26">
        <f t="shared" si="3"/>
        <v>1365625233.1800001</v>
      </c>
      <c r="K12" s="26">
        <f t="shared" si="3"/>
        <v>1374633144.51</v>
      </c>
      <c r="L12" s="26">
        <f t="shared" si="3"/>
        <v>1396946838.3</v>
      </c>
      <c r="M12" s="26">
        <f t="shared" si="3"/>
        <v>1434360282.02</v>
      </c>
      <c r="N12" s="26">
        <f t="shared" si="3"/>
        <v>1415735568.9400001</v>
      </c>
      <c r="O12" s="26">
        <f t="shared" si="3"/>
        <v>1434013045.6900001</v>
      </c>
      <c r="P12" s="26">
        <f t="shared" si="3"/>
        <v>1332062520.3900001</v>
      </c>
      <c r="Q12" s="26">
        <f t="shared" si="3"/>
        <v>1318392716.8699999</v>
      </c>
      <c r="R12" s="193">
        <f t="shared" ref="R12" si="4">V34</f>
        <v>1350553948.3800001</v>
      </c>
      <c r="S12" s="193">
        <f t="shared" ref="S12" si="5">W34</f>
        <v>1205230453.29</v>
      </c>
      <c r="T12" s="193">
        <f t="shared" ref="T12" si="6">X34</f>
        <v>1102747674.49</v>
      </c>
      <c r="U12" s="193">
        <f t="shared" ref="U12" si="7">Y34</f>
        <v>1100794431.5699999</v>
      </c>
      <c r="V12" s="193">
        <f t="shared" ref="V12" si="8">Z34</f>
        <v>1095346454.4300001</v>
      </c>
      <c r="W12" s="193">
        <f t="shared" ref="W12" si="9">AA34</f>
        <v>1093898023.79</v>
      </c>
      <c r="X12" s="193">
        <f t="shared" ref="X12" si="10">AB34</f>
        <v>979314220</v>
      </c>
      <c r="Y12" s="193">
        <f t="shared" ref="Y12" si="11">AC34</f>
        <v>986335846.16999996</v>
      </c>
      <c r="Z12" s="193">
        <f t="shared" ref="Z12" si="12">AD34</f>
        <v>1092176730.27</v>
      </c>
      <c r="AA12" s="193">
        <f t="shared" ref="AA12" si="13">AE34</f>
        <v>1040114232.65</v>
      </c>
      <c r="AB12" s="193">
        <f t="shared" ref="AB12" si="14">AF34</f>
        <v>1161073766.47</v>
      </c>
      <c r="AC12" s="193">
        <f t="shared" ref="AC12" si="15">AG34</f>
        <v>1034333727.02</v>
      </c>
      <c r="AD12" s="193">
        <f t="shared" ref="AD12" si="16">AH34</f>
        <v>830296330.75</v>
      </c>
      <c r="AE12" s="193">
        <f t="shared" ref="AE12" si="17">AI34</f>
        <v>717449016</v>
      </c>
      <c r="AF12" s="193">
        <f t="shared" ref="AF12" si="18">AJ34</f>
        <v>734154990.48000002</v>
      </c>
      <c r="AG12" s="193">
        <f t="shared" ref="AG12" si="19">AK34</f>
        <v>734966177.35000002</v>
      </c>
      <c r="AH12" s="193">
        <f t="shared" ref="AH12" si="20">AL34</f>
        <v>632921621.99000001</v>
      </c>
      <c r="AI12" s="193">
        <f t="shared" ref="AI12" si="21">AM34</f>
        <v>573926710.39999998</v>
      </c>
      <c r="AJ12" s="193">
        <f t="shared" ref="AJ12" si="22">AN34</f>
        <v>524091313.76999998</v>
      </c>
      <c r="AK12" s="193">
        <f t="shared" ref="AK12" si="23">AO34</f>
        <v>467857980.01999998</v>
      </c>
      <c r="AL12" s="193">
        <f t="shared" ref="AL12" si="24">AP34</f>
        <v>307332681.16000003</v>
      </c>
      <c r="AM12" s="193">
        <f t="shared" ref="AM12" si="25">AQ34</f>
        <v>227942709.5</v>
      </c>
      <c r="AN12" s="193">
        <f t="shared" ref="AN12" si="26">AR34</f>
        <v>205400925.84999999</v>
      </c>
      <c r="AO12" s="193">
        <f t="shared" ref="AO12" si="27">AS34</f>
        <v>187820781.28</v>
      </c>
      <c r="AP12" s="193">
        <f t="shared" ref="AP12" si="28">AT34</f>
        <v>127162066.33</v>
      </c>
      <c r="AQ12" s="193">
        <f t="shared" ref="AQ12" si="29">AU34</f>
        <v>5837715.5099999998</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307332681.16000003</v>
      </c>
      <c r="BN12" s="193">
        <f t="shared" ref="BN12" si="52">BR34</f>
        <v>227942709.5</v>
      </c>
    </row>
    <row r="13" spans="1:74" s="220" customFormat="1" x14ac:dyDescent="0.25">
      <c r="A13" s="220" t="s">
        <v>351</v>
      </c>
      <c r="E13" s="220">
        <f>E11/E12</f>
        <v>-3.121698413768147E-2</v>
      </c>
      <c r="F13" s="220">
        <f t="shared" ref="F13:AR13" si="53">F11/F12</f>
        <v>1.6884714177093977E-2</v>
      </c>
      <c r="G13" s="220">
        <f t="shared" si="53"/>
        <v>-2.304212614225748E-2</v>
      </c>
      <c r="H13" s="220">
        <f t="shared" si="53"/>
        <v>2.9185765376934332E-3</v>
      </c>
      <c r="I13" s="220">
        <f t="shared" si="53"/>
        <v>-1.0016120797718712E-2</v>
      </c>
      <c r="J13" s="220">
        <f t="shared" si="53"/>
        <v>-1.5129578524181147E-3</v>
      </c>
      <c r="K13" s="220">
        <f t="shared" si="53"/>
        <v>3.1162606307786694E-3</v>
      </c>
      <c r="L13" s="220">
        <f t="shared" si="53"/>
        <v>6.2446616799075377E-3</v>
      </c>
      <c r="M13" s="220">
        <f t="shared" si="53"/>
        <v>-9.8365862097980677E-2</v>
      </c>
      <c r="N13" s="220">
        <f t="shared" si="53"/>
        <v>1.8115473978804104E-2</v>
      </c>
      <c r="O13" s="220">
        <f t="shared" si="53"/>
        <v>8.5007623861151644E-3</v>
      </c>
      <c r="P13" s="220">
        <f t="shared" si="53"/>
        <v>2.4819793128268691E-2</v>
      </c>
      <c r="Q13" s="220">
        <f t="shared" si="53"/>
        <v>5.1465807032890762E-2</v>
      </c>
      <c r="R13" s="220">
        <f t="shared" si="53"/>
        <v>7.6765854066296768E-2</v>
      </c>
      <c r="S13" s="220">
        <f t="shared" si="53"/>
        <v>3.5144623664606384E-2</v>
      </c>
      <c r="T13" s="220">
        <f t="shared" si="53"/>
        <v>2.9822560455826402E-2</v>
      </c>
      <c r="U13" s="220">
        <f t="shared" si="53"/>
        <v>0.1571815295460979</v>
      </c>
      <c r="V13" s="220">
        <f t="shared" si="53"/>
        <v>0.12868222892395159</v>
      </c>
      <c r="W13" s="220">
        <f t="shared" si="53"/>
        <v>5.464185973470119E-2</v>
      </c>
      <c r="X13" s="220">
        <f t="shared" si="53"/>
        <v>4.4223572368835819E-2</v>
      </c>
      <c r="Y13" s="220">
        <f t="shared" si="53"/>
        <v>0.14065585493897637</v>
      </c>
      <c r="Z13" s="220">
        <f t="shared" si="53"/>
        <v>0.14497499753621079</v>
      </c>
      <c r="AA13" s="220">
        <f t="shared" si="53"/>
        <v>9.1409377100595129E-2</v>
      </c>
      <c r="AB13" s="220">
        <f t="shared" si="53"/>
        <v>5.2883626030651949E-2</v>
      </c>
      <c r="AC13" s="220">
        <f t="shared" si="53"/>
        <v>8.5945002814629412E-2</v>
      </c>
      <c r="AD13" s="220">
        <f t="shared" si="53"/>
        <v>0.11125505544093962</v>
      </c>
      <c r="AE13" s="220">
        <f t="shared" si="53"/>
        <v>4.9283804829972758E-2</v>
      </c>
      <c r="AF13" s="220">
        <f t="shared" si="53"/>
        <v>4.1910450720879774E-2</v>
      </c>
      <c r="AG13" s="220">
        <f t="shared" si="53"/>
        <v>0.4278298152899348</v>
      </c>
      <c r="AH13" s="220">
        <f t="shared" si="53"/>
        <v>0.35635803550342854</v>
      </c>
      <c r="AI13" s="220">
        <f t="shared" si="53"/>
        <v>0.21773172799869747</v>
      </c>
      <c r="AJ13" s="220">
        <f t="shared" si="53"/>
        <v>0.25488180605226141</v>
      </c>
      <c r="AK13" s="220">
        <f t="shared" si="53"/>
        <v>0.55613291176283308</v>
      </c>
      <c r="AL13" s="220">
        <f t="shared" si="53"/>
        <v>0.61922854276901129</v>
      </c>
      <c r="AM13" s="220">
        <f t="shared" si="53"/>
        <v>0.59788344702465701</v>
      </c>
      <c r="AN13" s="220">
        <f t="shared" si="53"/>
        <v>0.49081726205860721</v>
      </c>
      <c r="AO13" s="220">
        <f t="shared" si="53"/>
        <v>1.3085954320655993</v>
      </c>
      <c r="AP13" s="220">
        <f t="shared" si="53"/>
        <v>1.164016476547924</v>
      </c>
      <c r="AQ13" s="220">
        <f t="shared" si="53"/>
        <v>14.43464765551756</v>
      </c>
      <c r="AR13" s="220" t="e">
        <f t="shared" si="53"/>
        <v>#DIV/0!</v>
      </c>
    </row>
    <row r="14" spans="1:74" s="48" customFormat="1" x14ac:dyDescent="0.25">
      <c r="A14" s="46" t="s">
        <v>293</v>
      </c>
    </row>
    <row r="15" spans="1:74" s="26" customFormat="1" x14ac:dyDescent="0.25">
      <c r="A15" s="17" t="s">
        <v>313</v>
      </c>
      <c r="B15" s="190">
        <v>103683299.34999999</v>
      </c>
      <c r="C15" s="190">
        <v>93656499.430000007</v>
      </c>
      <c r="D15" s="190">
        <v>0</v>
      </c>
      <c r="E15" s="190">
        <v>5080330.91</v>
      </c>
      <c r="F15" s="190">
        <v>6800000</v>
      </c>
      <c r="G15" s="190">
        <v>0</v>
      </c>
      <c r="H15" s="190">
        <v>0</v>
      </c>
      <c r="I15" s="190">
        <v>0</v>
      </c>
      <c r="J15" s="190">
        <v>0</v>
      </c>
      <c r="K15" s="190">
        <v>0</v>
      </c>
      <c r="L15" s="190">
        <v>0</v>
      </c>
      <c r="M15" s="190">
        <v>0</v>
      </c>
      <c r="N15" s="190">
        <v>0</v>
      </c>
      <c r="O15" s="190">
        <v>0</v>
      </c>
      <c r="P15" s="190">
        <v>0</v>
      </c>
      <c r="Q15" s="190">
        <v>0</v>
      </c>
      <c r="R15" s="190">
        <v>0</v>
      </c>
      <c r="S15" s="190">
        <v>0</v>
      </c>
      <c r="T15" s="190">
        <v>0</v>
      </c>
      <c r="U15" s="190">
        <v>121465749.28</v>
      </c>
      <c r="V15" s="190">
        <v>137001176.63</v>
      </c>
      <c r="W15" s="190">
        <v>137001176.63</v>
      </c>
      <c r="X15" s="190">
        <v>0</v>
      </c>
      <c r="Y15" s="190">
        <v>0</v>
      </c>
      <c r="Z15" s="190">
        <v>0</v>
      </c>
      <c r="AA15" s="190">
        <v>0</v>
      </c>
      <c r="AB15" s="190">
        <v>0</v>
      </c>
      <c r="AC15" s="190">
        <v>0</v>
      </c>
      <c r="AD15" s="190">
        <v>1325000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180000</v>
      </c>
      <c r="S16" s="190">
        <v>0</v>
      </c>
      <c r="T16" s="190">
        <v>0</v>
      </c>
      <c r="U16" s="190">
        <v>0</v>
      </c>
      <c r="V16" s="190">
        <v>0</v>
      </c>
      <c r="W16" s="190">
        <v>0</v>
      </c>
      <c r="X16" s="190">
        <v>0</v>
      </c>
      <c r="Y16" s="190">
        <v>0</v>
      </c>
      <c r="Z16" s="190">
        <v>0</v>
      </c>
      <c r="AA16" s="190">
        <v>0</v>
      </c>
      <c r="AB16" s="190">
        <v>0</v>
      </c>
      <c r="AC16" s="190">
        <v>0</v>
      </c>
      <c r="AD16" s="190">
        <v>30105116.780000001</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70577512.049999997</v>
      </c>
      <c r="AT16" s="190">
        <v>70577512.049999997</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-5080330.91</v>
      </c>
      <c r="F17" s="47">
        <f t="shared" ref="F17:AV17" si="54">F16-F15</f>
        <v>-6800000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180000</v>
      </c>
      <c r="S17" s="47">
        <f t="shared" si="54"/>
        <v>0</v>
      </c>
      <c r="T17" s="47">
        <f t="shared" si="54"/>
        <v>0</v>
      </c>
      <c r="U17" s="47">
        <f t="shared" si="54"/>
        <v>-121465749.28</v>
      </c>
      <c r="V17" s="47">
        <f t="shared" si="54"/>
        <v>-137001176.63</v>
      </c>
      <c r="W17" s="47">
        <f t="shared" si="54"/>
        <v>-137001176.63</v>
      </c>
      <c r="X17" s="47">
        <f t="shared" si="54"/>
        <v>0</v>
      </c>
      <c r="Y17" s="47">
        <f t="shared" si="54"/>
        <v>0</v>
      </c>
      <c r="Z17" s="47">
        <f t="shared" si="54"/>
        <v>0</v>
      </c>
      <c r="AA17" s="47">
        <f t="shared" si="54"/>
        <v>0</v>
      </c>
      <c r="AB17" s="47">
        <f t="shared" si="54"/>
        <v>0</v>
      </c>
      <c r="AC17" s="47">
        <f t="shared" si="54"/>
        <v>0</v>
      </c>
      <c r="AD17" s="47">
        <f t="shared" si="54"/>
        <v>28780116.780000001</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70577512.049999997</v>
      </c>
      <c r="AT17" s="47">
        <f t="shared" si="54"/>
        <v>70577512.049999997</v>
      </c>
      <c r="AU17" s="47">
        <f t="shared" si="54"/>
        <v>0</v>
      </c>
      <c r="AV17" s="47">
        <f t="shared" si="54"/>
        <v>0</v>
      </c>
    </row>
    <row r="18" spans="1:74" s="48" customFormat="1" x14ac:dyDescent="0.25">
      <c r="A18" s="46" t="s">
        <v>294</v>
      </c>
    </row>
    <row r="19" spans="1:74" s="193" customFormat="1" x14ac:dyDescent="0.25">
      <c r="A19" s="193" t="s">
        <v>299</v>
      </c>
      <c r="E19" s="193">
        <f>E5+E17</f>
        <v>29161759.959999997</v>
      </c>
      <c r="F19" s="193">
        <f t="shared" ref="F19:AS19" si="55">F5+F17</f>
        <v>15150838.719999999</v>
      </c>
      <c r="G19" s="193">
        <f t="shared" si="55"/>
        <v>7615733.9299999997</v>
      </c>
      <c r="H19" s="193">
        <f t="shared" si="55"/>
        <v>3732330.75</v>
      </c>
      <c r="I19" s="193">
        <f t="shared" si="55"/>
        <v>17253604.059999999</v>
      </c>
      <c r="J19" s="193">
        <f t="shared" si="55"/>
        <v>-2066133.42</v>
      </c>
      <c r="K19" s="193">
        <f t="shared" si="55"/>
        <v>-3249308.9200000009</v>
      </c>
      <c r="L19" s="193">
        <f t="shared" si="55"/>
        <v>8723460.3900000006</v>
      </c>
      <c r="M19" s="193">
        <f t="shared" si="55"/>
        <v>-57722933.649999991</v>
      </c>
      <c r="N19" s="193">
        <f t="shared" si="55"/>
        <v>25646720.859999996</v>
      </c>
      <c r="O19" s="193">
        <f t="shared" si="55"/>
        <v>43862538.390000001</v>
      </c>
      <c r="P19" s="193">
        <f t="shared" si="55"/>
        <v>33061516.189999998</v>
      </c>
      <c r="Q19" s="193">
        <f t="shared" si="55"/>
        <v>140527628.81999999</v>
      </c>
      <c r="R19" s="193">
        <f t="shared" si="55"/>
        <v>103856427.30999999</v>
      </c>
      <c r="S19" s="193">
        <f t="shared" si="55"/>
        <v>71167635.040000007</v>
      </c>
      <c r="T19" s="193">
        <f t="shared" si="55"/>
        <v>32886759.190000001</v>
      </c>
      <c r="U19" s="193">
        <f t="shared" si="55"/>
        <v>111979410.24000001</v>
      </c>
      <c r="V19" s="193">
        <f t="shared" si="55"/>
        <v>3950446.5699999928</v>
      </c>
      <c r="W19" s="193">
        <f t="shared" si="55"/>
        <v>-47387605.849999994</v>
      </c>
      <c r="X19" s="193">
        <f t="shared" si="55"/>
        <v>43308773.280000001</v>
      </c>
      <c r="Y19" s="193">
        <f t="shared" si="55"/>
        <v>198729516.5</v>
      </c>
      <c r="Z19" s="193">
        <f t="shared" si="55"/>
        <v>158338318.78</v>
      </c>
      <c r="AA19" s="193">
        <f t="shared" si="55"/>
        <v>124158473.95</v>
      </c>
      <c r="AB19" s="193">
        <f t="shared" si="55"/>
        <v>61401790.859999999</v>
      </c>
      <c r="AC19" s="193">
        <f t="shared" si="55"/>
        <v>144078361.98000002</v>
      </c>
      <c r="AD19" s="193">
        <f t="shared" si="55"/>
        <v>121154781.08999999</v>
      </c>
      <c r="AE19" s="193">
        <f t="shared" si="55"/>
        <v>60557745.700000003</v>
      </c>
      <c r="AF19" s="193">
        <f t="shared" si="55"/>
        <v>30768766.550000001</v>
      </c>
      <c r="AG19" s="193">
        <f t="shared" si="55"/>
        <v>360737187.24000001</v>
      </c>
      <c r="AH19" s="193">
        <f t="shared" si="55"/>
        <v>225546705.84</v>
      </c>
      <c r="AI19" s="193">
        <f t="shared" si="55"/>
        <v>148102591.75</v>
      </c>
      <c r="AJ19" s="193">
        <f t="shared" si="55"/>
        <v>133581340.59</v>
      </c>
      <c r="AK19" s="193">
        <f t="shared" si="55"/>
        <v>295772840.66999996</v>
      </c>
      <c r="AL19" s="193">
        <f t="shared" si="55"/>
        <v>190309168.29999998</v>
      </c>
      <c r="AM19" s="193">
        <f t="shared" si="55"/>
        <v>151090684.30000001</v>
      </c>
      <c r="AN19" s="193">
        <f t="shared" si="55"/>
        <v>100814320.05</v>
      </c>
      <c r="AO19" s="193">
        <f t="shared" si="55"/>
        <v>264406089</v>
      </c>
      <c r="AP19" s="193">
        <f t="shared" si="55"/>
        <v>148018740.40000001</v>
      </c>
      <c r="AQ19" s="193">
        <f t="shared" si="55"/>
        <v>91984979.679999992</v>
      </c>
      <c r="AR19" s="193">
        <f t="shared" si="55"/>
        <v>5252474.2399999993</v>
      </c>
      <c r="AS19" s="193">
        <f t="shared" si="55"/>
        <v>70577512.049999997</v>
      </c>
    </row>
    <row r="20" spans="1:74" s="193" customFormat="1" x14ac:dyDescent="0.25">
      <c r="A20" s="193" t="s">
        <v>300</v>
      </c>
      <c r="B20" s="190">
        <v>418462966.54000002</v>
      </c>
      <c r="C20" s="190">
        <v>223587114.34</v>
      </c>
      <c r="D20" s="190">
        <v>126015945.56999999</v>
      </c>
      <c r="E20" s="190">
        <v>48903264.689999998</v>
      </c>
      <c r="F20" s="190">
        <v>120905521.88</v>
      </c>
      <c r="G20" s="190">
        <v>-57994580.619999997</v>
      </c>
      <c r="H20" s="190">
        <v>-104764499.26000001</v>
      </c>
      <c r="I20" s="190">
        <v>1006736608.98</v>
      </c>
      <c r="J20" s="190">
        <v>203602292.47</v>
      </c>
      <c r="K20" s="190">
        <v>-69033758.090000004</v>
      </c>
      <c r="L20" s="190">
        <v>8117766.2300000004</v>
      </c>
      <c r="M20" s="190">
        <v>861246226.23000002</v>
      </c>
      <c r="N20" s="190">
        <v>814998734.32000005</v>
      </c>
      <c r="O20" s="190">
        <v>608470328.47000003</v>
      </c>
      <c r="P20" s="190">
        <v>64968851.619999997</v>
      </c>
      <c r="Q20" s="190">
        <v>595413906.90999997</v>
      </c>
      <c r="R20" s="190">
        <v>518721185.00999999</v>
      </c>
      <c r="S20" s="190">
        <v>499704781.44999999</v>
      </c>
      <c r="T20" s="190">
        <v>44173476.140000001</v>
      </c>
      <c r="U20" s="190">
        <v>245433702.03999999</v>
      </c>
      <c r="V20" s="190">
        <v>253823337.63</v>
      </c>
      <c r="W20" s="190">
        <v>183265232.28</v>
      </c>
      <c r="X20" s="190">
        <v>123397117.39</v>
      </c>
      <c r="Y20" s="190">
        <v>302406650.51999998</v>
      </c>
      <c r="Z20" s="190">
        <v>189075563.99000001</v>
      </c>
      <c r="AA20" s="190">
        <v>78029705.329999998</v>
      </c>
      <c r="AB20" s="190">
        <v>90777528.180000007</v>
      </c>
      <c r="AC20" s="190">
        <v>412168730.76999998</v>
      </c>
      <c r="AD20" s="190">
        <v>481386033.88</v>
      </c>
      <c r="AE20" s="190">
        <v>255666572.18000001</v>
      </c>
      <c r="AF20" s="190">
        <v>62849198.890000001</v>
      </c>
      <c r="AG20" s="190">
        <v>549521760.94000006</v>
      </c>
      <c r="AH20" s="190">
        <v>516106257.75999999</v>
      </c>
      <c r="AI20" s="190">
        <v>370602344.81999999</v>
      </c>
      <c r="AJ20" s="190">
        <v>-47905577.490000002</v>
      </c>
      <c r="AK20" s="190">
        <v>783304115.17999995</v>
      </c>
      <c r="AL20" s="190">
        <v>492894679.19</v>
      </c>
      <c r="AM20" s="190">
        <v>350152097.42000002</v>
      </c>
      <c r="AN20" s="190">
        <v>26874808.469999999</v>
      </c>
      <c r="AO20" s="190">
        <v>953289406.25</v>
      </c>
      <c r="AP20" s="190">
        <v>498215235.54000002</v>
      </c>
      <c r="AQ20" s="190">
        <v>91054826.609999999</v>
      </c>
      <c r="AR20" s="190">
        <v>-55422451.43</v>
      </c>
      <c r="AS20" s="190">
        <v>424585863.75999999</v>
      </c>
      <c r="AT20" s="190">
        <v>277278388.02999997</v>
      </c>
      <c r="AU20" s="190">
        <v>132172817.68000001</v>
      </c>
      <c r="AV20" s="190">
        <v>-3550226.26</v>
      </c>
      <c r="AW20" s="190">
        <v>31916755.969999999</v>
      </c>
      <c r="AX20" s="190">
        <v>7741977.7999999998</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1.6769654766063029</v>
      </c>
      <c r="F21" s="221">
        <f t="shared" ref="F21:AS21" si="56">F20/F19</f>
        <v>7.9801207124195432</v>
      </c>
      <c r="G21" s="221">
        <f t="shared" si="56"/>
        <v>-7.6151006788127118</v>
      </c>
      <c r="H21" s="221">
        <f t="shared" si="56"/>
        <v>-28.069457472385054</v>
      </c>
      <c r="I21" s="221">
        <f t="shared" si="56"/>
        <v>58.349351560348723</v>
      </c>
      <c r="J21" s="221">
        <f t="shared" si="56"/>
        <v>-98.542664524539759</v>
      </c>
      <c r="K21" s="221">
        <f t="shared" si="56"/>
        <v>21.245674015507269</v>
      </c>
      <c r="L21" s="221">
        <f t="shared" si="56"/>
        <v>0.93056721382098229</v>
      </c>
      <c r="M21" s="221">
        <f t="shared" si="56"/>
        <v>-14.920347455867745</v>
      </c>
      <c r="N21" s="221">
        <f t="shared" si="56"/>
        <v>31.777892338319006</v>
      </c>
      <c r="O21" s="221">
        <f t="shared" si="56"/>
        <v>13.872209653254407</v>
      </c>
      <c r="P21" s="221">
        <f t="shared" si="56"/>
        <v>1.9650899023091657</v>
      </c>
      <c r="Q21" s="221">
        <f t="shared" si="56"/>
        <v>4.2369882129916094</v>
      </c>
      <c r="R21" s="221">
        <f t="shared" si="56"/>
        <v>4.9945987787705661</v>
      </c>
      <c r="S21" s="221">
        <f t="shared" si="56"/>
        <v>7.0215173114736666</v>
      </c>
      <c r="T21" s="221">
        <f t="shared" si="56"/>
        <v>1.3431994282194881</v>
      </c>
      <c r="U21" s="221">
        <f t="shared" si="56"/>
        <v>2.1917752693461585</v>
      </c>
      <c r="V21" s="221">
        <f t="shared" si="56"/>
        <v>64.251808784747197</v>
      </c>
      <c r="W21" s="221">
        <f t="shared" si="56"/>
        <v>-3.8673663501824711</v>
      </c>
      <c r="X21" s="221">
        <f t="shared" si="56"/>
        <v>2.8492406513620834</v>
      </c>
      <c r="Y21" s="221">
        <f t="shared" si="56"/>
        <v>1.5216997245600403</v>
      </c>
      <c r="Z21" s="221">
        <f t="shared" si="56"/>
        <v>1.1941238573633415</v>
      </c>
      <c r="AA21" s="221">
        <f t="shared" si="56"/>
        <v>0.62846862439227003</v>
      </c>
      <c r="AB21" s="221">
        <f t="shared" si="56"/>
        <v>1.4784182498353926</v>
      </c>
      <c r="AC21" s="221">
        <f t="shared" si="56"/>
        <v>2.8607261014475891</v>
      </c>
      <c r="AD21" s="221">
        <f t="shared" si="56"/>
        <v>3.9733143797470256</v>
      </c>
      <c r="AE21" s="221">
        <f t="shared" si="56"/>
        <v>4.2218640939271292</v>
      </c>
      <c r="AF21" s="221">
        <f t="shared" si="56"/>
        <v>2.0426297813358398</v>
      </c>
      <c r="AG21" s="221">
        <f t="shared" si="56"/>
        <v>1.5233299487208145</v>
      </c>
      <c r="AH21" s="221">
        <f t="shared" si="56"/>
        <v>2.2882456023371023</v>
      </c>
      <c r="AI21" s="221">
        <f t="shared" si="56"/>
        <v>2.5023353098748187</v>
      </c>
      <c r="AJ21" s="221">
        <f t="shared" si="56"/>
        <v>-0.35862476958541806</v>
      </c>
      <c r="AK21" s="221">
        <f t="shared" si="56"/>
        <v>2.6483300948309485</v>
      </c>
      <c r="AL21" s="221">
        <f t="shared" si="56"/>
        <v>2.5899681218353581</v>
      </c>
      <c r="AM21" s="221">
        <f t="shared" si="56"/>
        <v>2.3174962708140967</v>
      </c>
      <c r="AN21" s="221">
        <f t="shared" si="56"/>
        <v>0.2665772923595689</v>
      </c>
      <c r="AO21" s="221">
        <f t="shared" si="56"/>
        <v>3.6053988387914924</v>
      </c>
      <c r="AP21" s="221">
        <f t="shared" si="56"/>
        <v>3.3658929551328622</v>
      </c>
      <c r="AQ21" s="221">
        <f t="shared" si="56"/>
        <v>0.98988798961269719</v>
      </c>
      <c r="AR21" s="221">
        <f t="shared" si="56"/>
        <v>-10.551684577133692</v>
      </c>
      <c r="AS21" s="221">
        <f t="shared" si="56"/>
        <v>6.0158802914334242</v>
      </c>
    </row>
    <row r="22" spans="1:74" s="193" customFormat="1" x14ac:dyDescent="0.25">
      <c r="A22" s="193" t="s">
        <v>301</v>
      </c>
      <c r="E22" s="193">
        <f>I35</f>
        <v>1463191779.0700002</v>
      </c>
      <c r="F22" s="193">
        <f t="shared" ref="F22:Y22" si="57">J35</f>
        <v>1516818184.3899999</v>
      </c>
      <c r="G22" s="193">
        <f t="shared" si="57"/>
        <v>1508191087.4299998</v>
      </c>
      <c r="H22" s="193">
        <f t="shared" si="57"/>
        <v>1746141228.3500001</v>
      </c>
      <c r="I22" s="193">
        <f t="shared" si="57"/>
        <v>1708783135.04</v>
      </c>
      <c r="J22" s="193">
        <f t="shared" si="57"/>
        <v>1030796813.6999998</v>
      </c>
      <c r="K22" s="193">
        <f t="shared" si="57"/>
        <v>1001974020.0599999</v>
      </c>
      <c r="L22" s="193">
        <f t="shared" si="57"/>
        <v>978232874.46999991</v>
      </c>
      <c r="M22" s="193">
        <f t="shared" si="57"/>
        <v>1522374310.1800001</v>
      </c>
      <c r="N22" s="193">
        <f t="shared" si="57"/>
        <v>568839784.13999999</v>
      </c>
      <c r="O22" s="193">
        <f t="shared" si="57"/>
        <v>427495525.22999996</v>
      </c>
      <c r="P22" s="193">
        <f t="shared" si="57"/>
        <v>1002115118.53</v>
      </c>
      <c r="Q22" s="193">
        <f t="shared" si="57"/>
        <v>1065323285.92</v>
      </c>
      <c r="R22" s="193">
        <f t="shared" si="57"/>
        <v>860492619.50999999</v>
      </c>
      <c r="S22" s="193">
        <f t="shared" si="57"/>
        <v>1029960090.52</v>
      </c>
      <c r="T22" s="193">
        <f t="shared" si="57"/>
        <v>1474798249.8399999</v>
      </c>
      <c r="U22" s="193">
        <f t="shared" si="57"/>
        <v>1493314664.8600001</v>
      </c>
      <c r="V22" s="193">
        <f t="shared" si="57"/>
        <v>1418814736.1700001</v>
      </c>
      <c r="W22" s="193">
        <f t="shared" si="57"/>
        <v>1339383001.26</v>
      </c>
      <c r="X22" s="193">
        <f t="shared" si="57"/>
        <v>1562123311.26</v>
      </c>
      <c r="Y22" s="193">
        <f t="shared" si="57"/>
        <v>1533179291.0999999</v>
      </c>
      <c r="Z22" s="193">
        <f t="shared" ref="Z22" si="58">AD35</f>
        <v>2035870212.6200001</v>
      </c>
      <c r="AA22" s="193">
        <f t="shared" ref="AA22" si="59">AE35</f>
        <v>2031002383.01</v>
      </c>
      <c r="AB22" s="193">
        <f t="shared" ref="AB22" si="60">AF35</f>
        <v>2321145059.6900001</v>
      </c>
      <c r="AC22" s="193">
        <f t="shared" ref="AC22" si="61">AG35</f>
        <v>2293198872.3800001</v>
      </c>
      <c r="AD22" s="193">
        <f t="shared" ref="AD22" si="62">AH35</f>
        <v>2387988865.8800001</v>
      </c>
      <c r="AE22" s="193">
        <f t="shared" ref="AE22" si="63">AI35</f>
        <v>2319899469.7800002</v>
      </c>
      <c r="AF22" s="193">
        <f t="shared" ref="AF22" si="64">AJ35</f>
        <v>2387307098.2800002</v>
      </c>
      <c r="AG22" s="193">
        <f t="shared" ref="AG22" si="65">AK35</f>
        <v>2568785393.6199999</v>
      </c>
      <c r="AH22" s="193">
        <f t="shared" ref="AH22" si="66">AL35</f>
        <v>2383853084.0700002</v>
      </c>
      <c r="AI22" s="193">
        <f t="shared" ref="AI22" si="67">AM35</f>
        <v>2280313469.0999999</v>
      </c>
      <c r="AJ22" s="193">
        <f t="shared" ref="AJ22" si="68">AN35</f>
        <v>2313246919.6999998</v>
      </c>
      <c r="AK22" s="193">
        <f t="shared" ref="AK22" si="69">AO35</f>
        <v>2387071627.4099998</v>
      </c>
      <c r="AL22" s="193">
        <f t="shared" ref="AL22" si="70">AP35</f>
        <v>2048213197.51</v>
      </c>
      <c r="AM22" s="193">
        <f t="shared" ref="AM22" si="71">AQ35</f>
        <v>1827087947.0699999</v>
      </c>
      <c r="AN22" s="193">
        <f t="shared" ref="AN22" si="72">AR35</f>
        <v>394625422.69999999</v>
      </c>
      <c r="AO22" s="193">
        <f t="shared" ref="AO22" si="73">AS35</f>
        <v>450300348.37</v>
      </c>
      <c r="AP22" s="193">
        <f t="shared" ref="AP22" si="74">AT35</f>
        <v>186674964.63</v>
      </c>
      <c r="AQ22" s="193">
        <f t="shared" ref="AQ22" si="75">AU35</f>
        <v>64488694.780000001</v>
      </c>
      <c r="AR22" s="193">
        <f t="shared" ref="AR22" si="76">AV35</f>
        <v>0</v>
      </c>
      <c r="AS22" s="193">
        <f t="shared" ref="AS22" si="77">AW35</f>
        <v>0</v>
      </c>
    </row>
    <row r="23" spans="1:74" s="193" customFormat="1" x14ac:dyDescent="0.25">
      <c r="A23" s="193" t="s">
        <v>302</v>
      </c>
      <c r="E23" s="193">
        <f>E20+E22-E19</f>
        <v>1482933283.8000002</v>
      </c>
      <c r="F23" s="193">
        <f t="shared" ref="F23:AS23" si="78">F20+F22-F19</f>
        <v>1622572867.55</v>
      </c>
      <c r="G23" s="193">
        <f t="shared" si="78"/>
        <v>1442580772.8799999</v>
      </c>
      <c r="H23" s="193">
        <f t="shared" si="78"/>
        <v>1637644398.3400002</v>
      </c>
      <c r="I23" s="193">
        <f t="shared" si="78"/>
        <v>2698266139.96</v>
      </c>
      <c r="J23" s="193">
        <f t="shared" si="78"/>
        <v>1236465239.5899999</v>
      </c>
      <c r="K23" s="193">
        <f t="shared" si="78"/>
        <v>936189570.88999987</v>
      </c>
      <c r="L23" s="193">
        <f t="shared" si="78"/>
        <v>977627180.30999994</v>
      </c>
      <c r="M23" s="193">
        <f t="shared" si="78"/>
        <v>2441343470.0599999</v>
      </c>
      <c r="N23" s="193">
        <f t="shared" si="78"/>
        <v>1358191797.6000001</v>
      </c>
      <c r="O23" s="193">
        <f t="shared" si="78"/>
        <v>992103315.31000006</v>
      </c>
      <c r="P23" s="193">
        <f t="shared" si="78"/>
        <v>1034022453.96</v>
      </c>
      <c r="Q23" s="193">
        <f t="shared" si="78"/>
        <v>1520209564.01</v>
      </c>
      <c r="R23" s="193">
        <f t="shared" si="78"/>
        <v>1275357377.21</v>
      </c>
      <c r="S23" s="193">
        <f t="shared" si="78"/>
        <v>1458497236.9300001</v>
      </c>
      <c r="T23" s="193">
        <f t="shared" si="78"/>
        <v>1486084966.79</v>
      </c>
      <c r="U23" s="193">
        <f t="shared" si="78"/>
        <v>1626768956.6600001</v>
      </c>
      <c r="V23" s="193">
        <f t="shared" si="78"/>
        <v>1668687627.2300003</v>
      </c>
      <c r="W23" s="193">
        <f t="shared" si="78"/>
        <v>1570035839.3899999</v>
      </c>
      <c r="X23" s="193">
        <f t="shared" si="78"/>
        <v>1642211655.3700001</v>
      </c>
      <c r="Y23" s="193">
        <f t="shared" si="78"/>
        <v>1636856425.1199999</v>
      </c>
      <c r="Z23" s="193">
        <f t="shared" si="78"/>
        <v>2066607457.8300002</v>
      </c>
      <c r="AA23" s="193">
        <f t="shared" si="78"/>
        <v>1984873614.3899999</v>
      </c>
      <c r="AB23" s="193">
        <f t="shared" si="78"/>
        <v>2350520797.0099998</v>
      </c>
      <c r="AC23" s="193">
        <f t="shared" si="78"/>
        <v>2561289241.1700001</v>
      </c>
      <c r="AD23" s="193">
        <f t="shared" si="78"/>
        <v>2748220118.6700001</v>
      </c>
      <c r="AE23" s="193">
        <f t="shared" si="78"/>
        <v>2515008296.2600002</v>
      </c>
      <c r="AF23" s="193">
        <f t="shared" si="78"/>
        <v>2419387530.6199999</v>
      </c>
      <c r="AG23" s="193">
        <f t="shared" si="78"/>
        <v>2757569967.3199997</v>
      </c>
      <c r="AH23" s="193">
        <f t="shared" si="78"/>
        <v>2674412635.9899998</v>
      </c>
      <c r="AI23" s="193">
        <f t="shared" si="78"/>
        <v>2502813222.1700001</v>
      </c>
      <c r="AJ23" s="193">
        <f t="shared" si="78"/>
        <v>2131760001.6200001</v>
      </c>
      <c r="AK23" s="193">
        <f t="shared" si="78"/>
        <v>2874602901.9199996</v>
      </c>
      <c r="AL23" s="193">
        <f t="shared" si="78"/>
        <v>2350798708.3999996</v>
      </c>
      <c r="AM23" s="193">
        <f t="shared" si="78"/>
        <v>2026149360.1899998</v>
      </c>
      <c r="AN23" s="193">
        <f t="shared" si="78"/>
        <v>320685911.11999995</v>
      </c>
      <c r="AO23" s="193">
        <f t="shared" si="78"/>
        <v>1139183665.6199999</v>
      </c>
      <c r="AP23" s="193">
        <f t="shared" si="78"/>
        <v>536871459.7700001</v>
      </c>
      <c r="AQ23" s="193">
        <f t="shared" si="78"/>
        <v>63558541.709999993</v>
      </c>
      <c r="AR23" s="193">
        <f t="shared" si="78"/>
        <v>-60674925.670000002</v>
      </c>
      <c r="AS23" s="193">
        <f t="shared" si="78"/>
        <v>354008351.70999998</v>
      </c>
    </row>
    <row r="24" spans="1:74" s="221" customFormat="1" x14ac:dyDescent="0.25">
      <c r="A24" s="221" t="s">
        <v>303</v>
      </c>
      <c r="B24" s="190">
        <v>-668550546.96000004</v>
      </c>
      <c r="C24" s="190">
        <v>-609738412.95000005</v>
      </c>
      <c r="D24" s="190">
        <v>29014305.899999999</v>
      </c>
      <c r="E24" s="190">
        <v>-782659501.05999994</v>
      </c>
      <c r="F24" s="190">
        <v>-158512451.34999999</v>
      </c>
      <c r="G24" s="190">
        <v>-135372451.34999999</v>
      </c>
      <c r="H24" s="190">
        <v>-107648973.98999999</v>
      </c>
      <c r="I24" s="190">
        <v>-811387405.54999995</v>
      </c>
      <c r="J24" s="190">
        <v>-470129278.20999998</v>
      </c>
      <c r="K24" s="190">
        <v>-397008324.25</v>
      </c>
      <c r="L24" s="190">
        <v>-93890038.260000005</v>
      </c>
      <c r="M24" s="190">
        <v>-233461476.46000001</v>
      </c>
      <c r="N24" s="190">
        <v>-543984600</v>
      </c>
      <c r="O24" s="190">
        <v>-543984600</v>
      </c>
      <c r="P24" s="190">
        <v>0</v>
      </c>
      <c r="Q24" s="190">
        <v>-457441077.56</v>
      </c>
      <c r="R24" s="190">
        <v>-456422300</v>
      </c>
      <c r="S24" s="190">
        <v>-391135000</v>
      </c>
      <c r="T24" s="190">
        <v>0</v>
      </c>
      <c r="U24" s="190">
        <v>-441900399.99000001</v>
      </c>
      <c r="V24" s="190">
        <v>-443900400</v>
      </c>
      <c r="W24" s="190">
        <v>-322248237.99000001</v>
      </c>
      <c r="X24" s="190">
        <v>0</v>
      </c>
      <c r="Y24" s="190">
        <v>-145113500</v>
      </c>
      <c r="Z24" s="190">
        <v>-146438500</v>
      </c>
      <c r="AA24" s="190">
        <v>-146438500</v>
      </c>
      <c r="AB24" s="190">
        <v>0</v>
      </c>
      <c r="AC24" s="190">
        <v>-993455000</v>
      </c>
      <c r="AD24" s="190">
        <v>-621661988.23000002</v>
      </c>
      <c r="AE24" s="190">
        <v>-462115000</v>
      </c>
      <c r="AF24" s="190">
        <v>0</v>
      </c>
      <c r="AG24" s="190">
        <v>-471370000</v>
      </c>
      <c r="AH24" s="190">
        <v>-471370000</v>
      </c>
      <c r="AI24" s="190">
        <v>-471370000</v>
      </c>
      <c r="AJ24" s="190">
        <v>0</v>
      </c>
      <c r="AK24" s="190">
        <v>-306014400</v>
      </c>
      <c r="AL24" s="190">
        <v>-306014400</v>
      </c>
      <c r="AM24" s="190">
        <v>-306014400</v>
      </c>
      <c r="AN24" s="190">
        <v>0</v>
      </c>
      <c r="AO24" s="190">
        <v>1247718333.53</v>
      </c>
      <c r="AP24" s="190">
        <v>1242716935.77</v>
      </c>
      <c r="AQ24" s="190">
        <v>1377718333.53</v>
      </c>
      <c r="AR24" s="190">
        <v>0</v>
      </c>
      <c r="AS24" s="190">
        <v>528853.18000000005</v>
      </c>
      <c r="AT24" s="190">
        <v>-9728141.3000000007</v>
      </c>
      <c r="AU24" s="190">
        <v>-25794416.289999999</v>
      </c>
      <c r="AV24" s="190">
        <v>0</v>
      </c>
      <c r="AW24" s="190">
        <v>0</v>
      </c>
      <c r="AX24" s="190">
        <v>3512242.5</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4" t="s">
        <v>743</v>
      </c>
      <c r="B25" s="275"/>
      <c r="C25" s="275"/>
      <c r="D25" s="275"/>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5"/>
      <c r="AI25" s="275"/>
      <c r="AJ25" s="275"/>
      <c r="AK25" s="275"/>
    </row>
    <row r="26" spans="1:74" s="26" customFormat="1" x14ac:dyDescent="0.25">
      <c r="A26" s="17" t="s">
        <v>631</v>
      </c>
      <c r="E26" s="26">
        <f>现金流量表!E15</f>
        <v>2918812.89</v>
      </c>
      <c r="F26" s="26">
        <f>现金流量表!F15</f>
        <v>0</v>
      </c>
      <c r="G26" s="26">
        <f>现金流量表!G15</f>
        <v>0</v>
      </c>
      <c r="H26" s="26">
        <f>现金流量表!H15</f>
        <v>0</v>
      </c>
      <c r="I26" s="26">
        <f>现金流量表!I15</f>
        <v>25330084.149999999</v>
      </c>
      <c r="J26" s="26">
        <f>现金流量表!J15</f>
        <v>20757680</v>
      </c>
      <c r="K26" s="26">
        <f>现金流量表!K15</f>
        <v>0</v>
      </c>
      <c r="L26" s="26">
        <f>现金流量表!L15</f>
        <v>0</v>
      </c>
      <c r="M26" s="26">
        <f>现金流量表!M15</f>
        <v>2772000</v>
      </c>
      <c r="N26" s="26">
        <f>现金流量表!N15</f>
        <v>0</v>
      </c>
      <c r="O26" s="26">
        <f>现金流量表!O15</f>
        <v>0</v>
      </c>
      <c r="P26" s="26">
        <f>现金流量表!P15</f>
        <v>0</v>
      </c>
      <c r="Q26" s="26">
        <f>现金流量表!Q15</f>
        <v>0</v>
      </c>
      <c r="R26" s="26">
        <f>现金流量表!R15</f>
        <v>50000000</v>
      </c>
      <c r="S26" s="26">
        <f>现金流量表!S15</f>
        <v>50000000</v>
      </c>
      <c r="T26" s="26">
        <f>现金流量表!T15</f>
        <v>50000000</v>
      </c>
      <c r="U26" s="26">
        <f>现金流量表!U15</f>
        <v>100000000</v>
      </c>
      <c r="V26" s="26">
        <f>现金流量表!V15</f>
        <v>50000000</v>
      </c>
      <c r="W26" s="26">
        <f>现金流量表!W15</f>
        <v>0</v>
      </c>
      <c r="X26" s="26">
        <f>现金流量表!X15</f>
        <v>0</v>
      </c>
      <c r="Y26" s="26">
        <f>现金流量表!Y15</f>
        <v>0</v>
      </c>
      <c r="Z26" s="26">
        <f>现金流量表!Z15</f>
        <v>53604144.600000001</v>
      </c>
      <c r="AA26" s="26">
        <f>现金流量表!AA15</f>
        <v>23104388.890000001</v>
      </c>
      <c r="AB26" s="26">
        <f>现金流量表!AB15</f>
        <v>0</v>
      </c>
      <c r="AC26" s="26">
        <f>现金流量表!AC15</f>
        <v>352627436.99000001</v>
      </c>
      <c r="AD26" s="26">
        <f>现金流量表!AD15</f>
        <v>352716135.62</v>
      </c>
      <c r="AE26" s="26">
        <f>现金流量表!AE15</f>
        <v>251302436.99000001</v>
      </c>
      <c r="AF26" s="26">
        <f>现金流量表!AF15</f>
        <v>0</v>
      </c>
      <c r="AG26" s="26">
        <f>现金流量表!AG15</f>
        <v>300653445.42000002</v>
      </c>
      <c r="AH26" s="26">
        <f>现金流量表!AH15</f>
        <v>0</v>
      </c>
      <c r="AI26" s="26">
        <f>现金流量表!AI15</f>
        <v>0</v>
      </c>
      <c r="AJ26" s="26">
        <f>现金流量表!AJ15</f>
        <v>0</v>
      </c>
      <c r="AK26" s="26">
        <f>现金流量表!AK15</f>
        <v>10000000</v>
      </c>
      <c r="AL26" s="26">
        <f>现金流量表!AL15</f>
        <v>10000000</v>
      </c>
      <c r="AM26" s="26">
        <f>现金流量表!AM15</f>
        <v>10000000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131305415.27</v>
      </c>
      <c r="F27" s="26">
        <f>现金流量表!F22</f>
        <v>47918310.380000003</v>
      </c>
      <c r="G27" s="26">
        <f>现金流量表!G22</f>
        <v>29500000</v>
      </c>
      <c r="H27" s="26">
        <f>现金流量表!H22</f>
        <v>12500000</v>
      </c>
      <c r="I27" s="26">
        <f>现金流量表!I22</f>
        <v>363648036.38999999</v>
      </c>
      <c r="J27" s="26">
        <f>现金流量表!J22</f>
        <v>356450119.37</v>
      </c>
      <c r="K27" s="26">
        <f>现金流量表!K22</f>
        <v>347383393.87</v>
      </c>
      <c r="L27" s="26">
        <f>现金流量表!L22</f>
        <v>279050670.13</v>
      </c>
      <c r="M27" s="26">
        <f>现金流量表!M22</f>
        <v>216343320.31</v>
      </c>
      <c r="N27" s="26">
        <f>现金流量表!N22</f>
        <v>87267000</v>
      </c>
      <c r="O27" s="26">
        <f>现金流量表!O22</f>
        <v>2967000</v>
      </c>
      <c r="P27" s="26">
        <f>现金流量表!P22</f>
        <v>195000</v>
      </c>
      <c r="Q27" s="26">
        <f>现金流量表!Q22</f>
        <v>10680000</v>
      </c>
      <c r="R27" s="26">
        <f>现金流量表!R22</f>
        <v>536000000</v>
      </c>
      <c r="S27" s="26">
        <f>现金流量表!S22</f>
        <v>741897600</v>
      </c>
      <c r="T27" s="26">
        <f>现金流量表!T22</f>
        <v>129500000</v>
      </c>
      <c r="U27" s="26">
        <f>现金流量表!U22</f>
        <v>0</v>
      </c>
      <c r="V27" s="26">
        <f>现金流量表!V22</f>
        <v>500070000</v>
      </c>
      <c r="W27" s="26">
        <f>现金流量表!W22</f>
        <v>380570000</v>
      </c>
      <c r="X27" s="26">
        <f>现金流量表!X22</f>
        <v>100000000</v>
      </c>
      <c r="Y27" s="26">
        <f>现金流量表!Y22</f>
        <v>0</v>
      </c>
      <c r="Z27" s="26">
        <f>现金流量表!Z22</f>
        <v>103000000</v>
      </c>
      <c r="AA27" s="26">
        <f>现金流量表!AA22</f>
        <v>73000000</v>
      </c>
      <c r="AB27" s="26">
        <f>现金流量表!AB22</f>
        <v>0</v>
      </c>
      <c r="AC27" s="26">
        <f>现金流量表!AC22</f>
        <v>385749586.00999999</v>
      </c>
      <c r="AD27" s="26">
        <f>现金流量表!AD22</f>
        <v>349461135.89999998</v>
      </c>
      <c r="AE27" s="26">
        <f>现金流量表!AE22</f>
        <v>249461135.90000001</v>
      </c>
      <c r="AF27" s="26">
        <f>现金流量表!AF22</f>
        <v>100000000</v>
      </c>
      <c r="AG27" s="26">
        <f>现金流量表!AG22</f>
        <v>300000000</v>
      </c>
      <c r="AH27" s="26">
        <f>现金流量表!AH22</f>
        <v>40000000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10000000</v>
      </c>
      <c r="AP27" s="26">
        <f>现金流量表!AP22</f>
        <v>0</v>
      </c>
      <c r="AQ27" s="26">
        <f>现金流量表!AQ22</f>
        <v>0</v>
      </c>
      <c r="AR27" s="26">
        <f>现金流量表!AR22</f>
        <v>0</v>
      </c>
      <c r="AS27" s="26">
        <f>现金流量表!AS22</f>
        <v>0</v>
      </c>
      <c r="AT27" s="26">
        <f>现金流量表!AT22</f>
        <v>0</v>
      </c>
      <c r="AU27" s="26">
        <f>现金流量表!AU22</f>
        <v>46734487.060000002</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128386602.38</v>
      </c>
      <c r="F28" s="26">
        <f t="shared" ref="F28:BQ28" si="79">F27-F26</f>
        <v>47918310.380000003</v>
      </c>
      <c r="G28" s="26">
        <f t="shared" si="79"/>
        <v>29500000</v>
      </c>
      <c r="H28" s="26">
        <f t="shared" si="79"/>
        <v>12500000</v>
      </c>
      <c r="I28" s="26">
        <f t="shared" si="79"/>
        <v>338317952.24000001</v>
      </c>
      <c r="J28" s="26">
        <f t="shared" si="79"/>
        <v>335692439.37</v>
      </c>
      <c r="K28" s="26">
        <f t="shared" si="79"/>
        <v>347383393.87</v>
      </c>
      <c r="L28" s="26">
        <f t="shared" si="79"/>
        <v>279050670.13</v>
      </c>
      <c r="M28" s="26">
        <f t="shared" si="79"/>
        <v>213571320.31</v>
      </c>
      <c r="N28" s="26">
        <f t="shared" si="79"/>
        <v>87267000</v>
      </c>
      <c r="O28" s="26">
        <f t="shared" si="79"/>
        <v>2967000</v>
      </c>
      <c r="P28" s="26">
        <f t="shared" si="79"/>
        <v>195000</v>
      </c>
      <c r="Q28" s="26">
        <f t="shared" si="79"/>
        <v>10680000</v>
      </c>
      <c r="R28" s="26">
        <f t="shared" si="79"/>
        <v>486000000</v>
      </c>
      <c r="S28" s="26">
        <f t="shared" si="79"/>
        <v>691897600</v>
      </c>
      <c r="T28" s="26">
        <f t="shared" si="79"/>
        <v>79500000</v>
      </c>
      <c r="U28" s="26">
        <f t="shared" si="79"/>
        <v>-100000000</v>
      </c>
      <c r="V28" s="26">
        <f t="shared" si="79"/>
        <v>450070000</v>
      </c>
      <c r="W28" s="26">
        <f t="shared" si="79"/>
        <v>380570000</v>
      </c>
      <c r="X28" s="26">
        <f t="shared" si="79"/>
        <v>100000000</v>
      </c>
      <c r="Y28" s="26">
        <f t="shared" si="79"/>
        <v>0</v>
      </c>
      <c r="Z28" s="26">
        <f t="shared" si="79"/>
        <v>49395855.399999999</v>
      </c>
      <c r="AA28" s="26">
        <f t="shared" si="79"/>
        <v>49895611.109999999</v>
      </c>
      <c r="AB28" s="26">
        <f t="shared" si="79"/>
        <v>0</v>
      </c>
      <c r="AC28" s="26">
        <f t="shared" si="79"/>
        <v>33122149.019999981</v>
      </c>
      <c r="AD28" s="26">
        <f t="shared" si="79"/>
        <v>-3254999.7200000286</v>
      </c>
      <c r="AE28" s="26">
        <f t="shared" si="79"/>
        <v>-1841301.0900000036</v>
      </c>
      <c r="AF28" s="26">
        <f t="shared" si="79"/>
        <v>100000000</v>
      </c>
      <c r="AG28" s="26">
        <f t="shared" si="79"/>
        <v>-653445.42000001669</v>
      </c>
      <c r="AH28" s="26">
        <f t="shared" si="79"/>
        <v>40000000</v>
      </c>
      <c r="AI28" s="26">
        <f t="shared" si="79"/>
        <v>0</v>
      </c>
      <c r="AJ28" s="26">
        <f t="shared" si="79"/>
        <v>0</v>
      </c>
      <c r="AK28" s="26">
        <f t="shared" si="79"/>
        <v>-10000000</v>
      </c>
      <c r="AL28" s="26">
        <f t="shared" si="79"/>
        <v>-10000000</v>
      </c>
      <c r="AM28" s="26">
        <f t="shared" si="79"/>
        <v>-10000000</v>
      </c>
      <c r="AN28" s="26">
        <f t="shared" si="79"/>
        <v>0</v>
      </c>
      <c r="AO28" s="26">
        <f t="shared" si="79"/>
        <v>10000000</v>
      </c>
      <c r="AP28" s="26">
        <f t="shared" si="79"/>
        <v>0</v>
      </c>
      <c r="AQ28" s="26">
        <f t="shared" si="79"/>
        <v>0</v>
      </c>
      <c r="AR28" s="26">
        <f t="shared" si="79"/>
        <v>0</v>
      </c>
      <c r="AS28" s="26">
        <f t="shared" si="79"/>
        <v>0</v>
      </c>
      <c r="AT28" s="26">
        <f t="shared" si="79"/>
        <v>0</v>
      </c>
      <c r="AU28" s="26">
        <f t="shared" si="79"/>
        <v>46734487.060000002</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-2.0512449951081528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1828942969.8599999</v>
      </c>
      <c r="C31" s="190">
        <v>1689415117</v>
      </c>
      <c r="D31" s="190">
        <v>1702411113.6099999</v>
      </c>
      <c r="E31" s="190">
        <v>1759325465.54</v>
      </c>
      <c r="F31" s="190">
        <v>1796457905.9300001</v>
      </c>
      <c r="G31" s="190">
        <v>1766518057.49</v>
      </c>
      <c r="H31" s="190">
        <v>1756396802.75</v>
      </c>
      <c r="I31" s="190">
        <v>1785488191.48</v>
      </c>
      <c r="J31" s="190">
        <v>1755686026.71</v>
      </c>
      <c r="K31" s="190">
        <v>1781332270.1500001</v>
      </c>
      <c r="L31" s="190">
        <v>1738495540.5</v>
      </c>
      <c r="M31" s="190">
        <v>1513108012.1300001</v>
      </c>
      <c r="N31" s="190">
        <v>1365625233.1800001</v>
      </c>
      <c r="O31" s="190">
        <v>1374633144.51</v>
      </c>
      <c r="P31" s="190">
        <v>1396946838.3</v>
      </c>
      <c r="Q31" s="190">
        <v>1434360282.02</v>
      </c>
      <c r="R31" s="190">
        <v>1415735568.9400001</v>
      </c>
      <c r="S31" s="190">
        <v>1434013045.6900001</v>
      </c>
      <c r="T31" s="190">
        <v>1332062520.3900001</v>
      </c>
      <c r="U31" s="190">
        <v>1318392716.8699999</v>
      </c>
      <c r="V31" s="190">
        <v>1350553948.3800001</v>
      </c>
      <c r="W31" s="190">
        <v>1205230453.29</v>
      </c>
      <c r="X31" s="190">
        <v>1102747674.49</v>
      </c>
      <c r="Y31" s="190">
        <v>1100794431.5699999</v>
      </c>
      <c r="Z31" s="190">
        <v>1095346454.4300001</v>
      </c>
      <c r="AA31" s="190">
        <v>1093898023.79</v>
      </c>
      <c r="AB31" s="190">
        <v>979314220</v>
      </c>
      <c r="AC31" s="190">
        <v>986335846.16999996</v>
      </c>
      <c r="AD31" s="190">
        <v>1092176730.27</v>
      </c>
      <c r="AE31" s="190">
        <v>1040114232.65</v>
      </c>
      <c r="AF31" s="190">
        <v>1161073766.47</v>
      </c>
      <c r="AG31" s="190">
        <v>1034333727.02</v>
      </c>
      <c r="AH31" s="190">
        <v>830296330.75</v>
      </c>
      <c r="AI31" s="190">
        <v>717449016</v>
      </c>
      <c r="AJ31" s="190">
        <v>734154990.48000002</v>
      </c>
      <c r="AK31" s="190">
        <v>734966177.35000002</v>
      </c>
      <c r="AL31" s="190">
        <v>632921621.99000001</v>
      </c>
      <c r="AM31" s="190">
        <v>573926710.39999998</v>
      </c>
      <c r="AN31" s="190">
        <v>524091313.76999998</v>
      </c>
      <c r="AO31" s="190">
        <v>467857980.01999998</v>
      </c>
      <c r="AP31" s="190">
        <v>307332681.16000003</v>
      </c>
      <c r="AQ31" s="190">
        <v>227942709.5</v>
      </c>
      <c r="AR31" s="190">
        <v>205400925.84999999</v>
      </c>
      <c r="AS31" s="190">
        <v>187820781.28</v>
      </c>
      <c r="AT31" s="190">
        <v>127162066.33</v>
      </c>
      <c r="AU31" s="190">
        <v>5837715.5099999998</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462387197.86000001</v>
      </c>
      <c r="C33" s="190">
        <v>409800888.24000001</v>
      </c>
      <c r="D33" s="190">
        <v>412965740.73000002</v>
      </c>
      <c r="E33" s="190">
        <v>411227879.31</v>
      </c>
      <c r="F33" s="190">
        <v>451587782.93000001</v>
      </c>
      <c r="G33" s="190">
        <v>447169472.55000001</v>
      </c>
      <c r="H33" s="190">
        <v>447169472.55000001</v>
      </c>
      <c r="I33" s="190">
        <v>447169472.55000001</v>
      </c>
      <c r="J33" s="190">
        <v>455643959.68000001</v>
      </c>
      <c r="K33" s="190">
        <v>473334914.18000001</v>
      </c>
      <c r="L33" s="190">
        <v>459676670.48000002</v>
      </c>
      <c r="M33" s="190">
        <v>193302865.31</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1348097586.23</v>
      </c>
      <c r="F34" s="49">
        <f t="shared" ref="F34:BP34" si="81">F31-F32-F33</f>
        <v>1344870123</v>
      </c>
      <c r="G34" s="49">
        <f t="shared" si="81"/>
        <v>1319348584.9400001</v>
      </c>
      <c r="H34" s="49">
        <f t="shared" si="81"/>
        <v>1309227330.2</v>
      </c>
      <c r="I34" s="49">
        <f t="shared" si="81"/>
        <v>1338318718.9300001</v>
      </c>
      <c r="J34" s="49">
        <f t="shared" si="81"/>
        <v>1300042067.03</v>
      </c>
      <c r="K34" s="49">
        <f t="shared" si="81"/>
        <v>1307997355.97</v>
      </c>
      <c r="L34" s="49">
        <f t="shared" si="81"/>
        <v>1278818870.02</v>
      </c>
      <c r="M34" s="49">
        <f t="shared" si="81"/>
        <v>1319805146.8200002</v>
      </c>
      <c r="N34" s="49">
        <f t="shared" si="81"/>
        <v>1365625233.1800001</v>
      </c>
      <c r="O34" s="49">
        <f t="shared" si="81"/>
        <v>1374633144.51</v>
      </c>
      <c r="P34" s="49">
        <f t="shared" si="81"/>
        <v>1396946838.3</v>
      </c>
      <c r="Q34" s="49">
        <f t="shared" si="81"/>
        <v>1434360282.02</v>
      </c>
      <c r="R34" s="49">
        <f t="shared" si="81"/>
        <v>1415735568.9400001</v>
      </c>
      <c r="S34" s="49">
        <f t="shared" si="81"/>
        <v>1434013045.6900001</v>
      </c>
      <c r="T34" s="49">
        <f t="shared" si="81"/>
        <v>1332062520.3900001</v>
      </c>
      <c r="U34" s="49">
        <f t="shared" si="81"/>
        <v>1318392716.8699999</v>
      </c>
      <c r="V34" s="49">
        <f t="shared" si="81"/>
        <v>1350553948.3800001</v>
      </c>
      <c r="W34" s="49">
        <f t="shared" si="81"/>
        <v>1205230453.29</v>
      </c>
      <c r="X34" s="49">
        <f t="shared" si="81"/>
        <v>1102747674.49</v>
      </c>
      <c r="Y34" s="49">
        <f t="shared" si="81"/>
        <v>1100794431.5699999</v>
      </c>
      <c r="Z34" s="49">
        <f t="shared" si="81"/>
        <v>1095346454.4300001</v>
      </c>
      <c r="AA34" s="49">
        <f t="shared" si="81"/>
        <v>1093898023.79</v>
      </c>
      <c r="AB34" s="49">
        <f t="shared" si="81"/>
        <v>979314220</v>
      </c>
      <c r="AC34" s="49">
        <f t="shared" si="81"/>
        <v>986335846.16999996</v>
      </c>
      <c r="AD34" s="49">
        <f t="shared" si="81"/>
        <v>1092176730.27</v>
      </c>
      <c r="AE34" s="49">
        <f t="shared" si="81"/>
        <v>1040114232.65</v>
      </c>
      <c r="AF34" s="49">
        <f t="shared" si="81"/>
        <v>1161073766.47</v>
      </c>
      <c r="AG34" s="49">
        <f t="shared" si="81"/>
        <v>1034333727.02</v>
      </c>
      <c r="AH34" s="49">
        <f t="shared" si="81"/>
        <v>830296330.75</v>
      </c>
      <c r="AI34" s="49">
        <f t="shared" si="81"/>
        <v>717449016</v>
      </c>
      <c r="AJ34" s="49">
        <f t="shared" si="81"/>
        <v>734154990.48000002</v>
      </c>
      <c r="AK34" s="49">
        <f t="shared" si="81"/>
        <v>734966177.35000002</v>
      </c>
      <c r="AL34" s="49">
        <f t="shared" si="81"/>
        <v>632921621.99000001</v>
      </c>
      <c r="AM34" s="49">
        <f t="shared" si="81"/>
        <v>573926710.39999998</v>
      </c>
      <c r="AN34" s="49">
        <f t="shared" si="81"/>
        <v>524091313.76999998</v>
      </c>
      <c r="AO34" s="49">
        <f t="shared" si="81"/>
        <v>467857980.01999998</v>
      </c>
      <c r="AP34" s="49">
        <f t="shared" si="81"/>
        <v>307332681.16000003</v>
      </c>
      <c r="AQ34" s="49">
        <f t="shared" si="81"/>
        <v>227942709.5</v>
      </c>
      <c r="AR34" s="49">
        <f t="shared" si="81"/>
        <v>205400925.84999999</v>
      </c>
      <c r="AS34" s="49">
        <f t="shared" si="81"/>
        <v>187820781.28</v>
      </c>
      <c r="AT34" s="49">
        <f t="shared" si="81"/>
        <v>127162066.33</v>
      </c>
      <c r="AU34" s="49">
        <f t="shared" si="81"/>
        <v>5837715.5099999998</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307332681.16000003</v>
      </c>
      <c r="BR34" s="49">
        <f>AQ31-AQ32-AQ33</f>
        <v>227942709.5</v>
      </c>
      <c r="BS34" s="49">
        <f>AR31-AR32-AR33</f>
        <v>205400925.84999999</v>
      </c>
      <c r="BT34" s="49"/>
      <c r="BU34" s="50"/>
    </row>
    <row r="35" spans="1:74" s="106" customFormat="1" ht="15" thickBot="1" x14ac:dyDescent="0.3">
      <c r="A35" s="140" t="s">
        <v>317</v>
      </c>
      <c r="B35" s="33">
        <f>SUM(B22:B31)</f>
        <v>1160435795.8999999</v>
      </c>
      <c r="C35" s="33">
        <f>SUM(C22:C31)</f>
        <v>1079719985.05</v>
      </c>
      <c r="D35" s="33">
        <f>SUM(D22:D31)</f>
        <v>1731468609.51</v>
      </c>
      <c r="E35" s="33">
        <f>资产资本表!E17</f>
        <v>1459010640.3200002</v>
      </c>
      <c r="F35" s="33">
        <f>资产资本表!F17</f>
        <v>1513212442.1800001</v>
      </c>
      <c r="G35" s="33">
        <f>资产资本表!G17</f>
        <v>1704127346.8600001</v>
      </c>
      <c r="H35" s="33">
        <f>资产资本表!H17</f>
        <v>1442980208.0999999</v>
      </c>
      <c r="I35" s="33">
        <f>资产资本表!I17</f>
        <v>1463191779.0700002</v>
      </c>
      <c r="J35" s="33">
        <f>资产资本表!J17</f>
        <v>1516818184.3899999</v>
      </c>
      <c r="K35" s="33">
        <f>资产资本表!K17</f>
        <v>1508191087.4299998</v>
      </c>
      <c r="L35" s="33">
        <f>资产资本表!L17</f>
        <v>1746141228.3500001</v>
      </c>
      <c r="M35" s="33">
        <f>资产资本表!M17</f>
        <v>1708783135.04</v>
      </c>
      <c r="N35" s="33">
        <f>资产资本表!N17</f>
        <v>1030796813.6999998</v>
      </c>
      <c r="O35" s="33">
        <f>资产资本表!O17</f>
        <v>1001974020.0599999</v>
      </c>
      <c r="P35" s="33">
        <f>资产资本表!P17</f>
        <v>978232874.46999991</v>
      </c>
      <c r="Q35" s="33">
        <f>资产资本表!Q17</f>
        <v>1522374310.1800001</v>
      </c>
      <c r="R35" s="33">
        <f>资产资本表!R17</f>
        <v>568839784.13999999</v>
      </c>
      <c r="S35" s="33">
        <f>资产资本表!S17</f>
        <v>427495525.22999996</v>
      </c>
      <c r="T35" s="33">
        <f>资产资本表!T17</f>
        <v>1002115118.53</v>
      </c>
      <c r="U35" s="33">
        <f>资产资本表!U17</f>
        <v>1065323285.92</v>
      </c>
      <c r="V35" s="33">
        <f>资产资本表!V17</f>
        <v>860492619.50999999</v>
      </c>
      <c r="W35" s="33">
        <f>资产资本表!W17</f>
        <v>1029960090.52</v>
      </c>
      <c r="X35" s="33">
        <f>资产资本表!X17</f>
        <v>1474798249.8399999</v>
      </c>
      <c r="Y35" s="33">
        <f>资产资本表!Y17</f>
        <v>1493314664.8600001</v>
      </c>
      <c r="Z35" s="33">
        <f>资产资本表!Z17</f>
        <v>1418814736.1700001</v>
      </c>
      <c r="AA35" s="33">
        <f>资产资本表!AA17</f>
        <v>1339383001.26</v>
      </c>
      <c r="AB35" s="33">
        <f>资产资本表!AB17</f>
        <v>1562123311.26</v>
      </c>
      <c r="AC35" s="33">
        <f>资产资本表!AC17</f>
        <v>1533179291.0999999</v>
      </c>
      <c r="AD35" s="33">
        <f>资产资本表!AD17</f>
        <v>2035870212.6200001</v>
      </c>
      <c r="AE35" s="33">
        <f>资产资本表!AE17</f>
        <v>2031002383.01</v>
      </c>
      <c r="AF35" s="33">
        <f>资产资本表!AF17</f>
        <v>2321145059.6900001</v>
      </c>
      <c r="AG35" s="33">
        <f>资产资本表!AG17</f>
        <v>2293198872.3800001</v>
      </c>
      <c r="AH35" s="33">
        <f>资产资本表!AH17</f>
        <v>2387988865.8800001</v>
      </c>
      <c r="AI35" s="33">
        <f>资产资本表!AI17</f>
        <v>2319899469.7800002</v>
      </c>
      <c r="AJ35" s="33">
        <f>资产资本表!AJ17</f>
        <v>2387307098.2800002</v>
      </c>
      <c r="AK35" s="33">
        <f>资产资本表!AK17</f>
        <v>2568785393.6199999</v>
      </c>
      <c r="AL35" s="33">
        <f>资产资本表!AL17</f>
        <v>2383853084.0700002</v>
      </c>
      <c r="AM35" s="33">
        <f>资产资本表!AM17</f>
        <v>2280313469.0999999</v>
      </c>
      <c r="AN35" s="33">
        <f>资产资本表!AN17</f>
        <v>2313246919.6999998</v>
      </c>
      <c r="AO35" s="33">
        <f>资产资本表!AO17</f>
        <v>2387071627.4099998</v>
      </c>
      <c r="AP35" s="33">
        <f>资产资本表!AP17</f>
        <v>2048213197.51</v>
      </c>
      <c r="AQ35" s="33">
        <f>资产资本表!AQ17</f>
        <v>1827087947.0699999</v>
      </c>
      <c r="AR35" s="33">
        <f>资产资本表!AR17</f>
        <v>394625422.69999999</v>
      </c>
      <c r="AS35" s="33">
        <f>资产资本表!AS17</f>
        <v>450300348.37</v>
      </c>
      <c r="AT35" s="33">
        <f>资产资本表!AT17</f>
        <v>186674964.63</v>
      </c>
      <c r="AU35" s="33">
        <f>资产资本表!AU17</f>
        <v>64488694.780000001</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24500000</v>
      </c>
      <c r="C40" s="190">
        <v>0</v>
      </c>
      <c r="D40" s="190">
        <v>0</v>
      </c>
      <c r="E40" s="190">
        <v>800000</v>
      </c>
      <c r="F40" s="190">
        <v>800000</v>
      </c>
      <c r="G40" s="190">
        <v>500000</v>
      </c>
      <c r="H40" s="190">
        <v>0</v>
      </c>
      <c r="I40" s="190">
        <v>800000</v>
      </c>
      <c r="J40" s="190">
        <v>800000</v>
      </c>
      <c r="K40" s="190">
        <v>800000</v>
      </c>
      <c r="L40" s="190">
        <v>0</v>
      </c>
      <c r="M40" s="190">
        <v>6468000</v>
      </c>
      <c r="N40" s="190">
        <v>0</v>
      </c>
      <c r="O40" s="190">
        <v>0</v>
      </c>
      <c r="P40" s="190">
        <v>0</v>
      </c>
      <c r="Q40" s="190">
        <v>30652700</v>
      </c>
      <c r="R40" s="190">
        <v>30652700</v>
      </c>
      <c r="S40" s="190">
        <v>0</v>
      </c>
      <c r="T40" s="190">
        <v>0</v>
      </c>
      <c r="U40" s="190">
        <v>7095000</v>
      </c>
      <c r="V40" s="190">
        <v>7095000</v>
      </c>
      <c r="W40" s="190">
        <v>6095000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1458738333.53</v>
      </c>
      <c r="AP40" s="190">
        <v>1453738333.53</v>
      </c>
      <c r="AQ40" s="190">
        <v>1458738333.53</v>
      </c>
      <c r="AR40" s="190">
        <v>0</v>
      </c>
      <c r="AS40" s="190">
        <v>120728853.18000001</v>
      </c>
      <c r="AT40" s="190">
        <v>110471858.7</v>
      </c>
      <c r="AU40" s="190">
        <v>94405583.709999993</v>
      </c>
      <c r="AV40" s="190">
        <v>0</v>
      </c>
      <c r="AW40" s="190">
        <v>0</v>
      </c>
      <c r="AX40" s="190">
        <v>3512242.5</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0</v>
      </c>
      <c r="I41" s="53">
        <v>537308100</v>
      </c>
      <c r="M41" s="53">
        <v>460653000</v>
      </c>
      <c r="Q41" s="53">
        <v>380475000</v>
      </c>
      <c r="U41" s="53">
        <v>380474999.99000001</v>
      </c>
      <c r="Y41" s="53">
        <v>631588500</v>
      </c>
      <c r="AC41" s="53">
        <v>380475000</v>
      </c>
      <c r="AG41" s="53">
        <v>355110000</v>
      </c>
      <c r="AK41" s="53">
        <v>213600000</v>
      </c>
    </row>
    <row r="42" spans="1:74" s="26" customFormat="1" x14ac:dyDescent="0.25">
      <c r="A42" s="17" t="s">
        <v>322</v>
      </c>
      <c r="E42" s="26">
        <f>E40-E41</f>
        <v>800000</v>
      </c>
      <c r="F42" s="26">
        <f t="shared" ref="F42:Y42" si="82">F40-F41</f>
        <v>800000</v>
      </c>
      <c r="G42" s="26">
        <f t="shared" si="82"/>
        <v>500000</v>
      </c>
      <c r="H42" s="26">
        <f t="shared" si="82"/>
        <v>0</v>
      </c>
      <c r="I42" s="26">
        <f>I40-I41</f>
        <v>-536508100</v>
      </c>
      <c r="J42" s="26">
        <f t="shared" si="82"/>
        <v>800000</v>
      </c>
      <c r="K42" s="26">
        <f t="shared" si="82"/>
        <v>800000</v>
      </c>
      <c r="L42" s="26">
        <f t="shared" si="82"/>
        <v>0</v>
      </c>
      <c r="M42" s="26">
        <f t="shared" si="82"/>
        <v>-454185000</v>
      </c>
      <c r="N42" s="26">
        <f t="shared" si="82"/>
        <v>0</v>
      </c>
      <c r="O42" s="26">
        <f t="shared" si="82"/>
        <v>0</v>
      </c>
      <c r="P42" s="26">
        <f t="shared" si="82"/>
        <v>0</v>
      </c>
      <c r="Q42" s="26">
        <f t="shared" si="82"/>
        <v>-349822300</v>
      </c>
      <c r="R42" s="26">
        <f t="shared" si="82"/>
        <v>30652700</v>
      </c>
      <c r="S42" s="26">
        <f t="shared" si="82"/>
        <v>0</v>
      </c>
      <c r="T42" s="26">
        <f t="shared" si="82"/>
        <v>0</v>
      </c>
      <c r="U42" s="26">
        <f t="shared" si="82"/>
        <v>-373379999.99000001</v>
      </c>
      <c r="V42" s="26">
        <f t="shared" si="82"/>
        <v>7095000</v>
      </c>
      <c r="W42" s="26">
        <f t="shared" si="82"/>
        <v>6095000</v>
      </c>
      <c r="X42" s="26">
        <f t="shared" si="82"/>
        <v>0</v>
      </c>
      <c r="Y42" s="26">
        <f t="shared" si="82"/>
        <v>-631588500</v>
      </c>
      <c r="Z42" s="26">
        <f t="shared" ref="Z42:BQ42" si="83">Z40-Z41</f>
        <v>0</v>
      </c>
      <c r="AA42" s="26">
        <f t="shared" si="83"/>
        <v>0</v>
      </c>
      <c r="AB42" s="26">
        <f t="shared" si="83"/>
        <v>0</v>
      </c>
      <c r="AC42" s="26">
        <f t="shared" si="83"/>
        <v>-380475000</v>
      </c>
      <c r="AD42" s="26">
        <f t="shared" si="83"/>
        <v>0</v>
      </c>
      <c r="AE42" s="26">
        <f t="shared" si="83"/>
        <v>0</v>
      </c>
      <c r="AF42" s="26">
        <f t="shared" si="83"/>
        <v>0</v>
      </c>
      <c r="AG42" s="26">
        <f t="shared" si="83"/>
        <v>-355110000</v>
      </c>
      <c r="AH42" s="26">
        <f t="shared" si="83"/>
        <v>0</v>
      </c>
      <c r="AI42" s="26">
        <f t="shared" si="83"/>
        <v>0</v>
      </c>
      <c r="AJ42" s="26">
        <f t="shared" si="83"/>
        <v>0</v>
      </c>
      <c r="AK42" s="26">
        <f t="shared" si="83"/>
        <v>-213600000</v>
      </c>
      <c r="AL42" s="193">
        <f t="shared" si="83"/>
        <v>0</v>
      </c>
      <c r="AM42" s="193">
        <f t="shared" si="83"/>
        <v>0</v>
      </c>
      <c r="AN42" s="193">
        <f t="shared" si="83"/>
        <v>0</v>
      </c>
      <c r="AO42" s="193">
        <f t="shared" si="83"/>
        <v>1458738333.53</v>
      </c>
      <c r="AP42" s="193">
        <f t="shared" si="83"/>
        <v>1453738333.53</v>
      </c>
      <c r="AQ42" s="193">
        <f t="shared" si="83"/>
        <v>1458738333.53</v>
      </c>
      <c r="AR42" s="193">
        <f t="shared" si="83"/>
        <v>0</v>
      </c>
      <c r="AS42" s="193">
        <f t="shared" si="83"/>
        <v>120728853.18000001</v>
      </c>
      <c r="AT42" s="193">
        <f t="shared" si="83"/>
        <v>110471858.7</v>
      </c>
      <c r="AU42" s="193">
        <f t="shared" si="83"/>
        <v>94405583.709999993</v>
      </c>
      <c r="AV42" s="193">
        <f t="shared" si="83"/>
        <v>0</v>
      </c>
      <c r="AW42" s="193">
        <f t="shared" si="83"/>
        <v>0</v>
      </c>
      <c r="AX42" s="193">
        <f t="shared" si="83"/>
        <v>3512242.5</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1307132.52</v>
      </c>
      <c r="F45" s="193">
        <f>股权价值增加表!F53</f>
        <v>0</v>
      </c>
      <c r="G45" s="193">
        <f>股权价值增加表!G53</f>
        <v>0</v>
      </c>
      <c r="H45" s="193">
        <f>股权价值增加表!H53</f>
        <v>0</v>
      </c>
      <c r="I45" s="193">
        <f>股权价值增加表!I53</f>
        <v>8260393</v>
      </c>
      <c r="J45" s="193">
        <f>股权价值增加表!J53</f>
        <v>0</v>
      </c>
      <c r="K45" s="193">
        <f>股权价值增加表!K53</f>
        <v>0</v>
      </c>
      <c r="L45" s="193">
        <f>股权价值增加表!L53</f>
        <v>0</v>
      </c>
      <c r="M45" s="193">
        <f>股权价值增加表!M53</f>
        <v>5953879.04</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-1307132.52</v>
      </c>
      <c r="F49" s="193">
        <f t="shared" ref="F49:BQ49" si="85">F44+F48-F45-F46-F47</f>
        <v>0</v>
      </c>
      <c r="G49" s="193">
        <f t="shared" si="85"/>
        <v>0</v>
      </c>
      <c r="H49" s="193">
        <f t="shared" si="85"/>
        <v>0</v>
      </c>
      <c r="I49" s="193">
        <f t="shared" si="85"/>
        <v>-8260393</v>
      </c>
      <c r="J49" s="193">
        <f t="shared" si="85"/>
        <v>0</v>
      </c>
      <c r="K49" s="193">
        <f t="shared" si="85"/>
        <v>0</v>
      </c>
      <c r="L49" s="193">
        <f t="shared" si="85"/>
        <v>0</v>
      </c>
      <c r="M49" s="193">
        <f t="shared" si="85"/>
        <v>-5953879.04</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0</v>
      </c>
      <c r="AM49" s="193">
        <f t="shared" si="85"/>
        <v>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6" t="s">
        <v>668</v>
      </c>
      <c r="B51" s="277"/>
      <c r="C51" s="277"/>
      <c r="D51" s="277"/>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77"/>
      <c r="AI51" s="277"/>
      <c r="AJ51" s="277"/>
      <c r="AK51" s="277"/>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7.21875" bestFit="1" customWidth="1"/>
    <col min="46" max="46" width="17.21875" hidden="1" customWidth="1"/>
    <col min="47" max="47" width="16.1093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1307132.52</v>
      </c>
      <c r="F3" s="26">
        <f>股权价值增加表!F53</f>
        <v>0</v>
      </c>
      <c r="G3" s="26">
        <f>股权价值增加表!G53</f>
        <v>0</v>
      </c>
      <c r="H3" s="26">
        <f>股权价值增加表!H53</f>
        <v>0</v>
      </c>
      <c r="I3" s="26">
        <f>股权价值增加表!I53</f>
        <v>8260393</v>
      </c>
      <c r="J3" s="26">
        <f>股权价值增加表!J53</f>
        <v>0</v>
      </c>
      <c r="K3" s="26">
        <f>股权价值增加表!K53</f>
        <v>0</v>
      </c>
      <c r="L3" s="26">
        <f>股权价值增加表!L53</f>
        <v>0</v>
      </c>
      <c r="M3" s="26">
        <f>股权价值增加表!M53</f>
        <v>5953879.04</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5274285.7</v>
      </c>
      <c r="F4" s="26">
        <f>资产资本表!F89</f>
        <v>6022857.1299999999</v>
      </c>
      <c r="G4" s="26">
        <f>资产资本表!G89</f>
        <v>15284738.559999999</v>
      </c>
      <c r="H4" s="26">
        <f>资产资本表!H89</f>
        <v>16145629.99</v>
      </c>
      <c r="I4" s="26">
        <f>资产资本表!I89</f>
        <v>16894201.420000002</v>
      </c>
      <c r="J4" s="26">
        <f>资产资本表!J89</f>
        <v>17642772.850000001</v>
      </c>
      <c r="K4" s="26">
        <f>资产资本表!K89</f>
        <v>27123054.280000001</v>
      </c>
      <c r="L4" s="26">
        <f>资产资本表!L89</f>
        <v>29455065.710000001</v>
      </c>
      <c r="M4" s="26">
        <f>资产资本表!M89</f>
        <v>30203637.140000001</v>
      </c>
      <c r="N4" s="26">
        <f>资产资本表!N89</f>
        <v>42089528.57</v>
      </c>
      <c r="O4" s="26">
        <f>资产资本表!O89</f>
        <v>42838100</v>
      </c>
      <c r="P4" s="26">
        <f>资产资本表!P89</f>
        <v>44161271.43</v>
      </c>
      <c r="Q4" s="26">
        <f>资产资本表!Q89</f>
        <v>44909842.859999999</v>
      </c>
      <c r="R4" s="26">
        <f>资产资本表!R89</f>
        <v>15005714.279999999</v>
      </c>
      <c r="S4" s="26">
        <f>资产资本表!S89</f>
        <v>15754285.710000001</v>
      </c>
      <c r="T4" s="26">
        <f>资产资本表!T89</f>
        <v>17251428.57</v>
      </c>
      <c r="U4" s="26">
        <f>资产资本表!U89</f>
        <v>17251428.57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0.11792708387580758</v>
      </c>
      <c r="F5" s="63">
        <f t="shared" ref="F5:BQ5" si="0">IF(F4+J4=0,0,F3/((F4+J4)/2))</f>
        <v>0</v>
      </c>
      <c r="G5" s="63">
        <f t="shared" si="0"/>
        <v>0</v>
      </c>
      <c r="H5" s="63">
        <f t="shared" si="0"/>
        <v>0</v>
      </c>
      <c r="I5" s="63">
        <f t="shared" si="0"/>
        <v>0.35077588494753204</v>
      </c>
      <c r="J5" s="63">
        <f t="shared" si="0"/>
        <v>0</v>
      </c>
      <c r="K5" s="63">
        <f t="shared" si="0"/>
        <v>0</v>
      </c>
      <c r="L5" s="63">
        <f t="shared" si="0"/>
        <v>0</v>
      </c>
      <c r="M5" s="63">
        <f t="shared" si="0"/>
        <v>0.15853024091015355</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0.14160537386758124</v>
      </c>
      <c r="F6" s="63">
        <f>股权价值增加表!F41</f>
        <v>0.17917645024608028</v>
      </c>
      <c r="G6" s="63">
        <f>股权价值增加表!G41</f>
        <v>0.18440090680845267</v>
      </c>
      <c r="H6" s="63">
        <f>股权价值增加表!H41</f>
        <v>0.19309862005751968</v>
      </c>
      <c r="I6" s="63">
        <f>股权价值增加表!I41</f>
        <v>0.14071002937886834</v>
      </c>
      <c r="J6" s="63">
        <f>股权价值增加表!J41</f>
        <v>0.15577398310181437</v>
      </c>
      <c r="K6" s="63">
        <f>股权价值增加表!K41</f>
        <v>0.17180799514770839</v>
      </c>
      <c r="L6" s="63">
        <f>股权价值增加表!L41</f>
        <v>0.19998953216722248</v>
      </c>
      <c r="M6" s="63">
        <f>股权价值增加表!M41</f>
        <v>0.15063397487293298</v>
      </c>
      <c r="N6" s="63">
        <f>股权价值增加表!N41</f>
        <v>0.16428560112912893</v>
      </c>
      <c r="O6" s="63">
        <f>股权价值增加表!O41</f>
        <v>0.16510143757795881</v>
      </c>
      <c r="P6" s="63">
        <f>股权价值增加表!P41</f>
        <v>0.20506912962232079</v>
      </c>
      <c r="Q6" s="63">
        <f>股权价值增加表!Q41</f>
        <v>0.18650161829840414</v>
      </c>
      <c r="R6" s="63">
        <f>股权价值增加表!R41</f>
        <v>0.22213522145361059</v>
      </c>
      <c r="S6" s="63">
        <f>股权价值增加表!S41</f>
        <v>0.21852655228881804</v>
      </c>
      <c r="T6" s="63">
        <f>股权价值增加表!T41</f>
        <v>0.20701567914906169</v>
      </c>
      <c r="U6" s="63">
        <f>股权价值增加表!U41</f>
        <v>0.18126492967465571</v>
      </c>
      <c r="V6" s="63">
        <f>股权价值增加表!V41</f>
        <v>0.18441121604020339</v>
      </c>
      <c r="W6" s="63">
        <f>股权价值增加表!W41</f>
        <v>0.18679646204402317</v>
      </c>
      <c r="X6" s="63">
        <f>股权价值增加表!X41</f>
        <v>0.20045152282049725</v>
      </c>
      <c r="Y6" s="63">
        <f>股权价值增加表!Y41</f>
        <v>0.21102206355286768</v>
      </c>
      <c r="Z6" s="63">
        <f>股权价值增加表!Z41</f>
        <v>0.21030850726063988</v>
      </c>
      <c r="AA6" s="63">
        <f>股权价值增加表!AA41</f>
        <v>0.22245270245944435</v>
      </c>
      <c r="AB6" s="63">
        <f>股权价值增加表!AB41</f>
        <v>0.21430350109934906</v>
      </c>
      <c r="AC6" s="63">
        <f>股权价值增加表!AC41</f>
        <v>0.22432786978975597</v>
      </c>
      <c r="AD6" s="63">
        <f>股权价值增加表!AD41</f>
        <v>0.21081463174684917</v>
      </c>
      <c r="AE6" s="63">
        <f>股权价值增加表!AE41</f>
        <v>0.21828074440532075</v>
      </c>
      <c r="AF6" s="63">
        <f>股权价值增加表!AF41</f>
        <v>0.21782236012281625</v>
      </c>
      <c r="AG6" s="63">
        <f>股权价值增加表!AG41</f>
        <v>0.18567309121561074</v>
      </c>
      <c r="AH6" s="63">
        <f>股权价值增加表!AH41</f>
        <v>0.20231403116309318</v>
      </c>
      <c r="AI6" s="63">
        <f>股权价值增加表!AI41</f>
        <v>0.20353598804271572</v>
      </c>
      <c r="AJ6" s="63">
        <f>股权价值增加表!AJ41</f>
        <v>0.17911342823441281</v>
      </c>
      <c r="AK6" s="63">
        <f>股权价值增加表!AK41</f>
        <v>9.0808961006172487E-2</v>
      </c>
      <c r="AL6" s="63">
        <f>股权价值增加表!AL41</f>
        <v>0.14521214550075556</v>
      </c>
      <c r="AM6" s="63">
        <f>股权价值增加表!AM41</f>
        <v>0.14560682963057242</v>
      </c>
      <c r="AN6" s="63">
        <f>股权价值增加表!AN41</f>
        <v>0.15365192449895212</v>
      </c>
      <c r="AO6" s="63">
        <f>股权价值增加表!AO41</f>
        <v>0.12781140428359286</v>
      </c>
      <c r="AP6" s="63">
        <f>股权价值增加表!AP41</f>
        <v>0.14190756488249898</v>
      </c>
      <c r="AQ6" s="63">
        <f>股权价值增加表!AQ41</f>
        <v>0.15073127823896834</v>
      </c>
      <c r="AR6" s="63">
        <f>股权价值增加表!AR41</f>
        <v>0.16353900409499919</v>
      </c>
      <c r="AS6" s="63">
        <f>股权价值增加表!AS41</f>
        <v>0.12622255108941913</v>
      </c>
      <c r="AT6" s="63">
        <f>股权价值增加表!AT41</f>
        <v>0.12524967616014562</v>
      </c>
      <c r="AU6" s="63">
        <f>股权价值增加表!AU41</f>
        <v>0.11654404935057472</v>
      </c>
      <c r="AV6" s="63">
        <f>股权价值增加表!AV41</f>
        <v>0.10005347880430349</v>
      </c>
      <c r="AW6" s="63">
        <f>股权价值增加表!AW41</f>
        <v>0</v>
      </c>
      <c r="AX6" s="63">
        <f>股权价值增加表!AX41</f>
        <v>0.11571981039308439</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0.10122797507446024</v>
      </c>
      <c r="F7" s="63">
        <f t="shared" ref="F7:BQ7" si="2">F5*(1-F6)</f>
        <v>0</v>
      </c>
      <c r="G7" s="63">
        <f t="shared" si="2"/>
        <v>0</v>
      </c>
      <c r="H7" s="63">
        <f t="shared" si="2"/>
        <v>0</v>
      </c>
      <c r="I7" s="63">
        <f t="shared" si="2"/>
        <v>0.30141819987116625</v>
      </c>
      <c r="J7" s="63">
        <f t="shared" si="2"/>
        <v>0</v>
      </c>
      <c r="K7" s="63">
        <f t="shared" si="2"/>
        <v>0</v>
      </c>
      <c r="L7" s="63">
        <f t="shared" si="2"/>
        <v>0</v>
      </c>
      <c r="M7" s="63">
        <f t="shared" si="2"/>
        <v>0.13465020058429347</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3582217691.6399999</v>
      </c>
      <c r="F8" s="26">
        <f>资产资本表!F107</f>
        <v>4055963877.5</v>
      </c>
      <c r="G8" s="26">
        <f>资产资本表!G107</f>
        <v>3883565149.8899999</v>
      </c>
      <c r="H8" s="26">
        <f>资产资本表!H107</f>
        <v>3655253550.6300001</v>
      </c>
      <c r="I8" s="26">
        <f>资产资本表!I107</f>
        <v>3513891765.25</v>
      </c>
      <c r="J8" s="26">
        <f>资产资本表!J107</f>
        <v>3349773040.3599997</v>
      </c>
      <c r="K8" s="26">
        <f>资产资本表!K107</f>
        <v>3200642380.9700003</v>
      </c>
      <c r="L8" s="26">
        <f>资产资本表!L107</f>
        <v>3497021467.1800003</v>
      </c>
      <c r="M8" s="26">
        <f>资产资本表!M107</f>
        <v>3358587193.2200003</v>
      </c>
      <c r="N8" s="26">
        <f>资产资本表!N107</f>
        <v>3210010480.9300003</v>
      </c>
      <c r="O8" s="26">
        <f>资产资本表!O107</f>
        <v>3007484954.3899999</v>
      </c>
      <c r="P8" s="26">
        <f>资产资本表!P107</f>
        <v>3341821962.3299999</v>
      </c>
      <c r="Q8" s="26">
        <f>资产资本表!Q107</f>
        <v>3216542064.1700001</v>
      </c>
      <c r="R8" s="26">
        <f>资产资本表!R107</f>
        <v>3141139306.7999997</v>
      </c>
      <c r="S8" s="26">
        <f>资产资本表!S107</f>
        <v>2928424915.8199997</v>
      </c>
      <c r="T8" s="26">
        <f>资产资本表!T107</f>
        <v>2828695897.2800002</v>
      </c>
      <c r="U8" s="26">
        <f>资产资本表!U107</f>
        <v>3087051456.0500002</v>
      </c>
      <c r="V8" s="26">
        <f>资产资本表!V107</f>
        <v>2995579695.4900002</v>
      </c>
      <c r="W8" s="26">
        <f>资产资本表!W107</f>
        <v>2815673583.1999998</v>
      </c>
      <c r="X8" s="26">
        <f>资产资本表!X107</f>
        <v>3087420030.0599999</v>
      </c>
      <c r="Y8" s="26">
        <f>资产资本表!Y107</f>
        <v>2954860930.27</v>
      </c>
      <c r="Z8" s="26">
        <f>资产资本表!Z107</f>
        <v>2886539002.1100001</v>
      </c>
      <c r="AA8" s="26">
        <f>资产资本表!AA107</f>
        <v>2731515154.73</v>
      </c>
      <c r="AB8" s="26">
        <f>资产资本表!AB107</f>
        <v>2728125039.6399999</v>
      </c>
      <c r="AC8" s="26">
        <f>资产资本表!AC107</f>
        <v>2590054892.5</v>
      </c>
      <c r="AD8" s="26">
        <f>资产资本表!AD107</f>
        <v>2528986636.1700001</v>
      </c>
      <c r="AE8" s="26">
        <f>资产资本表!AE107</f>
        <v>2874207724.2000003</v>
      </c>
      <c r="AF8" s="26">
        <f>资产资本表!AF107</f>
        <v>3161669736.7800002</v>
      </c>
      <c r="AG8" s="26">
        <f>资产资本表!AG107</f>
        <v>3029482738.6900001</v>
      </c>
      <c r="AH8" s="26">
        <f>资产资本表!AH107</f>
        <v>2881186459.52</v>
      </c>
      <c r="AI8" s="26">
        <f>资产资本表!AI107</f>
        <v>2659783724.2999997</v>
      </c>
      <c r="AJ8" s="26">
        <f>资产资本表!AJ107</f>
        <v>2909931326.8999996</v>
      </c>
      <c r="AK8" s="26">
        <f>资产资本表!AK107</f>
        <v>2825127109.5</v>
      </c>
      <c r="AL8" s="26">
        <f>资产资本表!AL107</f>
        <v>2668898392.1700001</v>
      </c>
      <c r="AM8" s="26">
        <f>资产资本表!AM107</f>
        <v>2478759414.3700004</v>
      </c>
      <c r="AN8" s="26">
        <f>资产资本表!AN107</f>
        <v>2562880521.2799997</v>
      </c>
      <c r="AO8" s="26">
        <f>资产资本表!AO107</f>
        <v>2417045444.6099997</v>
      </c>
      <c r="AP8" s="26">
        <f>资产资本表!AP107</f>
        <v>2225872120.29</v>
      </c>
      <c r="AQ8" s="26">
        <f>资产资本表!AQ107</f>
        <v>2171852002.2800002</v>
      </c>
      <c r="AR8" s="26">
        <f>资产资本表!AR107</f>
        <v>571003985.20999992</v>
      </c>
      <c r="AS8" s="26">
        <f>资产资本表!AS107</f>
        <v>461487114.06999999</v>
      </c>
      <c r="AT8" s="26">
        <f>资产资本表!AT107</f>
        <v>247869109.48999998</v>
      </c>
      <c r="AU8" s="26">
        <f>资产资本表!AU107</f>
        <v>73850314.379999995</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0.18232122977456253</v>
      </c>
      <c r="F9" s="63">
        <f>股东权益回报率分析表!F14</f>
        <v>0.12551139817442827</v>
      </c>
      <c r="G9" s="63">
        <f>股东权益回报率分析表!G14</f>
        <v>8.5244829606985456E-2</v>
      </c>
      <c r="H9" s="63">
        <f>股东权益回报率分析表!H14</f>
        <v>3.8471456872195067E-2</v>
      </c>
      <c r="I9" s="63">
        <f>股东权益回报率分析表!I14</f>
        <v>0.20975662656119423</v>
      </c>
      <c r="J9" s="63">
        <f>股东权益回报率分析表!J14</f>
        <v>0.16960190736353403</v>
      </c>
      <c r="K9" s="63">
        <f>股东权益回报率分析表!K14</f>
        <v>0.11766063060311947</v>
      </c>
      <c r="L9" s="63">
        <f>股东权益回报率分析表!L14</f>
        <v>4.0334945173712215E-2</v>
      </c>
      <c r="M9" s="63">
        <f>股东权益回报率分析表!M14</f>
        <v>0.20086356828307309</v>
      </c>
      <c r="N9" s="63">
        <f>股东权益回报率分析表!N14</f>
        <v>0.16714342032445834</v>
      </c>
      <c r="O9" s="63">
        <f>股东权益回报率分析表!O14</f>
        <v>0.11149021368521161</v>
      </c>
      <c r="P9" s="63">
        <f>股东权益回报率分析表!P14</f>
        <v>3.7004977992238258E-2</v>
      </c>
      <c r="Q9" s="63">
        <f>股东权益回报率分析表!Q14</f>
        <v>0.19123015359935019</v>
      </c>
      <c r="R9" s="63">
        <f>股东权益回报率分析表!R14</f>
        <v>0.16252388095135972</v>
      </c>
      <c r="S9" s="63">
        <f>股东权益回报率分析表!S14</f>
        <v>0.1121587437655132</v>
      </c>
      <c r="T9" s="63">
        <f>股东权益回报率分析表!T14</f>
        <v>4.314550194573967E-2</v>
      </c>
      <c r="U9" s="63">
        <f>股东权益回报率分析表!U14</f>
        <v>0.18414226058847807</v>
      </c>
      <c r="V9" s="63">
        <f>股东权益回报率分析表!V14</f>
        <v>0.15974342659968044</v>
      </c>
      <c r="W9" s="63">
        <f>股东权益回报率分析表!W14</f>
        <v>0.10641079090548759</v>
      </c>
      <c r="X9" s="63">
        <f>股东权益回报率分析表!X14</f>
        <v>4.293523346333411E-2</v>
      </c>
      <c r="Y9" s="63">
        <f>股东权益回报率分析表!Y14</f>
        <v>0.1743396311355094</v>
      </c>
      <c r="Z9" s="63">
        <f>股东权益回报率分析表!Z14</f>
        <v>0.15463765058560247</v>
      </c>
      <c r="AA9" s="63">
        <f>股东权益回报率分析表!AA14</f>
        <v>0.10666013026707818</v>
      </c>
      <c r="AB9" s="63">
        <f>股东权益回报率分析表!AB14</f>
        <v>5.0609904287312137E-2</v>
      </c>
      <c r="AC9" s="63">
        <f>股东权益回报率分析表!AC14</f>
        <v>0.21376280932238978</v>
      </c>
      <c r="AD9" s="63">
        <f>股东权益回报率分析表!AD14</f>
        <v>0.194923488495201</v>
      </c>
      <c r="AE9" s="63">
        <f>股东权益回报率分析表!AE14</f>
        <v>0.10675637078228402</v>
      </c>
      <c r="AF9" s="63">
        <f>股东权益回报率分析表!AF14</f>
        <v>4.1809236604398045E-2</v>
      </c>
      <c r="AG9" s="63">
        <f>股东权益回报率分析表!AG14</f>
        <v>0.22283168128296058</v>
      </c>
      <c r="AH9" s="63">
        <f>股东权益回报率分析表!AH14</f>
        <v>0.18305977673790266</v>
      </c>
      <c r="AI9" s="63">
        <f>股东权益回报率分析表!AI14</f>
        <v>0.1150569544448731</v>
      </c>
      <c r="AJ9" s="63">
        <f>股东权益回报率分析表!AJ14</f>
        <v>2.9143030495617738E-2</v>
      </c>
      <c r="AK9" s="63">
        <f>股东权益回报率分析表!AK14</f>
        <v>0.25276599501973679</v>
      </c>
      <c r="AL9" s="63">
        <f>股东权益回报率分析表!AL14</f>
        <v>0.20902532265621948</v>
      </c>
      <c r="AM9" s="63">
        <f>股东权益回报率分析表!AM14</f>
        <v>0.14835177937325608</v>
      </c>
      <c r="AN9" s="63">
        <f>股东权益回报率分析表!AN14</f>
        <v>5.6902799587849856E-2</v>
      </c>
      <c r="AO9" s="63">
        <f>股东权益回报率分析表!AO14</f>
        <v>0.26471161245097607</v>
      </c>
      <c r="AP9" s="63">
        <f>股东权益回报率分析表!AP14</f>
        <v>0.20909129119662254</v>
      </c>
      <c r="AQ9" s="63">
        <f>股东权益回报率分析表!AQ14</f>
        <v>0.12502318250274286</v>
      </c>
      <c r="AR9" s="63">
        <f>股东权益回报率分析表!AR14</f>
        <v>0.19731850188149397</v>
      </c>
      <c r="AS9" s="63">
        <f>股东权益回报率分析表!AS14</f>
        <v>0.78590322676915902</v>
      </c>
      <c r="AT9" s="63">
        <f>股东权益回报率分析表!AT14</f>
        <v>0.85892520337871792</v>
      </c>
      <c r="AU9" s="63">
        <f>股东权益回报率分析表!AU14</f>
        <v>1.7407010847446573</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3587491977.3399997</v>
      </c>
      <c r="F10" s="26">
        <f>资产资本表!F70</f>
        <v>4061986734.6300001</v>
      </c>
      <c r="G10" s="26">
        <f>资产资本表!G70</f>
        <v>3898849888.4500003</v>
      </c>
      <c r="H10" s="26">
        <f>资产资本表!H70</f>
        <v>3671399180.6199999</v>
      </c>
      <c r="I10" s="26">
        <f>资产资本表!I70</f>
        <v>3530785966.6700001</v>
      </c>
      <c r="J10" s="26">
        <f>资产资本表!J70</f>
        <v>3367415813.2099996</v>
      </c>
      <c r="K10" s="26">
        <f>资产资本表!K70</f>
        <v>3230629835.25</v>
      </c>
      <c r="L10" s="26">
        <f>资产资本表!L70</f>
        <v>3526476532.8900003</v>
      </c>
      <c r="M10" s="26">
        <f>资产资本表!M70</f>
        <v>3388790830.3599997</v>
      </c>
      <c r="N10" s="26">
        <f>资产资本表!N70</f>
        <v>3256183009.4999995</v>
      </c>
      <c r="O10" s="26">
        <f>资产资本表!O70</f>
        <v>3054406054.3900003</v>
      </c>
      <c r="P10" s="26">
        <f>资产资本表!P70</f>
        <v>3385983233.7600002</v>
      </c>
      <c r="Q10" s="26">
        <f>资产资本表!Q70</f>
        <v>3261451907.0300007</v>
      </c>
      <c r="R10" s="26">
        <f>资产资本表!R70</f>
        <v>3156145021.0799999</v>
      </c>
      <c r="S10" s="26">
        <f>资产资本表!S70</f>
        <v>3040119201.5299997</v>
      </c>
      <c r="T10" s="26">
        <f>资产资本表!T70</f>
        <v>3226422325.8500004</v>
      </c>
      <c r="U10" s="26">
        <f>资产资本表!U70</f>
        <v>3104302884.6200004</v>
      </c>
      <c r="V10" s="26">
        <f>资产资本表!V70</f>
        <v>2995579695.4899998</v>
      </c>
      <c r="W10" s="26">
        <f>资产资本表!W70</f>
        <v>2938325745.1999998</v>
      </c>
      <c r="X10" s="26">
        <f>资产资本表!X70</f>
        <v>3087420030.0600004</v>
      </c>
      <c r="Y10" s="26">
        <f>资产资本表!Y70</f>
        <v>2954860930.27</v>
      </c>
      <c r="Z10" s="26">
        <f>资产资本表!Z70</f>
        <v>2886539002.1100001</v>
      </c>
      <c r="AA10" s="26">
        <f>资产资本表!AA70</f>
        <v>2731515154.73</v>
      </c>
      <c r="AB10" s="26">
        <f>资产资本表!AB70</f>
        <v>2728125039.6399994</v>
      </c>
      <c r="AC10" s="26">
        <f>资产资本表!AC70</f>
        <v>2590054892.5</v>
      </c>
      <c r="AD10" s="26">
        <f>资产资本表!AD70</f>
        <v>2915336966.9700003</v>
      </c>
      <c r="AE10" s="26">
        <f>资产资本表!AE70</f>
        <v>2874207724.1999998</v>
      </c>
      <c r="AF10" s="26">
        <f>资产资本表!AF70</f>
        <v>3161669736.7800002</v>
      </c>
      <c r="AG10" s="26">
        <f>资产资本表!AG70</f>
        <v>3029482738.6900001</v>
      </c>
      <c r="AH10" s="26">
        <f>资产资本表!AH70</f>
        <v>2881186459.52</v>
      </c>
      <c r="AI10" s="26">
        <f>资产资本表!AI70</f>
        <v>2659783724.3000002</v>
      </c>
      <c r="AJ10" s="26">
        <f>资产资本表!AJ70</f>
        <v>2909931326.9000001</v>
      </c>
      <c r="AK10" s="26">
        <f>资产资本表!AK70</f>
        <v>2825127109.5</v>
      </c>
      <c r="AL10" s="26">
        <f>资产资本表!AL70</f>
        <v>2668898392.1700001</v>
      </c>
      <c r="AM10" s="26">
        <f>资产资本表!AM70</f>
        <v>2478759414.3699999</v>
      </c>
      <c r="AN10" s="26">
        <f>资产资本表!AN70</f>
        <v>2562880521.2799997</v>
      </c>
      <c r="AO10" s="26">
        <f>资产资本表!AO70</f>
        <v>2417045444.6099997</v>
      </c>
      <c r="AP10" s="26">
        <f>资产资本表!AP70</f>
        <v>2225872120.29</v>
      </c>
      <c r="AQ10" s="26">
        <f>资产资本表!AQ70</f>
        <v>2171852002.2799997</v>
      </c>
      <c r="AR10" s="26">
        <f>资产资本表!AR70</f>
        <v>571003985.20999992</v>
      </c>
      <c r="AS10" s="26">
        <f>资产资本表!AS70</f>
        <v>461487114.07000005</v>
      </c>
      <c r="AT10" s="26">
        <f>资产资本表!AT70</f>
        <v>247869109.48999995</v>
      </c>
      <c r="AU10" s="26">
        <f>资产资本表!AU70</f>
        <v>73850314.38000001</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1.4701874550004427E-3</v>
      </c>
      <c r="F11" s="63">
        <f t="shared" ref="F11:BQ11" si="3">F4/F10</f>
        <v>1.4827367796779898E-3</v>
      </c>
      <c r="G11" s="63">
        <f t="shared" si="3"/>
        <v>3.920319837211402E-3</v>
      </c>
      <c r="H11" s="63">
        <f t="shared" si="3"/>
        <v>4.3976776143621193E-3</v>
      </c>
      <c r="I11" s="63">
        <f t="shared" si="3"/>
        <v>4.7848273952253969E-3</v>
      </c>
      <c r="J11" s="63">
        <f t="shared" si="3"/>
        <v>5.2392617451012006E-3</v>
      </c>
      <c r="K11" s="63">
        <f t="shared" si="3"/>
        <v>8.39559332488524E-3</v>
      </c>
      <c r="L11" s="63">
        <f t="shared" si="3"/>
        <v>8.3525483397619924E-3</v>
      </c>
      <c r="M11" s="63">
        <f t="shared" si="3"/>
        <v>8.9128065590260673E-3</v>
      </c>
      <c r="N11" s="63">
        <f t="shared" si="3"/>
        <v>1.2926032857245031E-2</v>
      </c>
      <c r="O11" s="63">
        <f t="shared" si="3"/>
        <v>1.4025018035316609E-2</v>
      </c>
      <c r="P11" s="63">
        <f t="shared" si="3"/>
        <v>1.3042377466518243E-2</v>
      </c>
      <c r="Q11" s="63">
        <f t="shared" si="3"/>
        <v>1.3769892716552908E-2</v>
      </c>
      <c r="R11" s="63">
        <f t="shared" si="3"/>
        <v>4.7544438483581464E-3</v>
      </c>
      <c r="S11" s="63">
        <f t="shared" si="3"/>
        <v>5.1821276290980123E-3</v>
      </c>
      <c r="T11" s="63">
        <f t="shared" si="3"/>
        <v>5.3469220169294219E-3</v>
      </c>
      <c r="U11" s="63">
        <f t="shared" si="3"/>
        <v>5.557263324874228E-3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0.99852981254499962</v>
      </c>
      <c r="F12" s="63">
        <f t="shared" ref="F12:BQ12" si="4">F8/F10</f>
        <v>0.99851726322032197</v>
      </c>
      <c r="G12" s="63">
        <f t="shared" si="4"/>
        <v>0.99607968016278847</v>
      </c>
      <c r="H12" s="63">
        <f t="shared" si="4"/>
        <v>0.99560232238563795</v>
      </c>
      <c r="I12" s="63">
        <f t="shared" si="4"/>
        <v>0.99521517260477455</v>
      </c>
      <c r="J12" s="63">
        <f t="shared" si="4"/>
        <v>0.99476073825489886</v>
      </c>
      <c r="K12" s="63">
        <f t="shared" si="4"/>
        <v>0.99071776842001491</v>
      </c>
      <c r="L12" s="63">
        <f t="shared" si="4"/>
        <v>0.99164745166023804</v>
      </c>
      <c r="M12" s="63">
        <f t="shared" si="4"/>
        <v>0.99108719344097407</v>
      </c>
      <c r="N12" s="63">
        <f t="shared" si="4"/>
        <v>0.98582004499277542</v>
      </c>
      <c r="O12" s="63">
        <f t="shared" si="4"/>
        <v>0.98463822453057204</v>
      </c>
      <c r="P12" s="63">
        <f t="shared" si="4"/>
        <v>0.98695762253348163</v>
      </c>
      <c r="Q12" s="63">
        <f t="shared" si="4"/>
        <v>0.98623010728344696</v>
      </c>
      <c r="R12" s="63">
        <f t="shared" si="4"/>
        <v>0.99524555615164179</v>
      </c>
      <c r="S12" s="63">
        <f t="shared" si="4"/>
        <v>0.96325989926520394</v>
      </c>
      <c r="T12" s="63">
        <f t="shared" si="4"/>
        <v>0.87672834229312513</v>
      </c>
      <c r="U12" s="63">
        <f t="shared" si="4"/>
        <v>0.99444273667512573</v>
      </c>
      <c r="V12" s="63">
        <f t="shared" si="4"/>
        <v>1.0000000000000002</v>
      </c>
      <c r="W12" s="63">
        <f t="shared" si="4"/>
        <v>0.95825780643947922</v>
      </c>
      <c r="X12" s="63">
        <f t="shared" si="4"/>
        <v>0.99999999999999989</v>
      </c>
      <c r="Y12" s="63">
        <f t="shared" si="4"/>
        <v>1</v>
      </c>
      <c r="Z12" s="63">
        <f t="shared" si="4"/>
        <v>1</v>
      </c>
      <c r="AA12" s="63">
        <f t="shared" si="4"/>
        <v>1</v>
      </c>
      <c r="AB12" s="63">
        <f t="shared" si="4"/>
        <v>1.0000000000000002</v>
      </c>
      <c r="AC12" s="63">
        <f t="shared" si="4"/>
        <v>1</v>
      </c>
      <c r="AD12" s="63">
        <f t="shared" si="4"/>
        <v>0.86747661242002294</v>
      </c>
      <c r="AE12" s="63">
        <f t="shared" si="4"/>
        <v>1.0000000000000002</v>
      </c>
      <c r="AF12" s="63">
        <f t="shared" si="4"/>
        <v>1</v>
      </c>
      <c r="AG12" s="63">
        <f t="shared" si="4"/>
        <v>1</v>
      </c>
      <c r="AH12" s="63">
        <f t="shared" si="4"/>
        <v>1</v>
      </c>
      <c r="AI12" s="63">
        <f t="shared" si="4"/>
        <v>0.99999999999999978</v>
      </c>
      <c r="AJ12" s="63">
        <f t="shared" si="4"/>
        <v>0.99999999999999989</v>
      </c>
      <c r="AK12" s="63">
        <f t="shared" si="4"/>
        <v>1</v>
      </c>
      <c r="AL12" s="63">
        <f t="shared" si="4"/>
        <v>1</v>
      </c>
      <c r="AM12" s="63">
        <f t="shared" si="4"/>
        <v>1.0000000000000002</v>
      </c>
      <c r="AN12" s="63">
        <f t="shared" si="4"/>
        <v>1</v>
      </c>
      <c r="AO12" s="63">
        <f t="shared" si="4"/>
        <v>1</v>
      </c>
      <c r="AP12" s="63">
        <f t="shared" si="4"/>
        <v>1</v>
      </c>
      <c r="AQ12" s="63">
        <f t="shared" si="4"/>
        <v>1.0000000000000002</v>
      </c>
      <c r="AR12" s="63">
        <f t="shared" si="4"/>
        <v>1</v>
      </c>
      <c r="AS12" s="63">
        <f t="shared" si="4"/>
        <v>0.99999999999999989</v>
      </c>
      <c r="AT12" s="63">
        <f t="shared" si="4"/>
        <v>1.0000000000000002</v>
      </c>
      <c r="AU12" s="63">
        <f t="shared" si="4"/>
        <v>0.99999999999999978</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0.18220200748881729</v>
      </c>
      <c r="F13" s="63">
        <f t="shared" ref="F13:J13" si="5">F5*F11*(1-F6)+F9*F12</f>
        <v>0.12532529780808624</v>
      </c>
      <c r="G13" s="63">
        <f t="shared" si="5"/>
        <v>8.4910642610457471E-2</v>
      </c>
      <c r="H13" s="63">
        <f t="shared" si="5"/>
        <v>3.8302271807516317E-2</v>
      </c>
      <c r="I13" s="63">
        <f t="shared" si="5"/>
        <v>0.21019521136825725</v>
      </c>
      <c r="J13" s="63">
        <f t="shared" si="5"/>
        <v>0.16871331857838809</v>
      </c>
      <c r="K13" s="63">
        <f t="shared" ref="K13" si="6">K5*K11*(1-K6)+K9*K12</f>
        <v>0.11656847738201424</v>
      </c>
      <c r="L13" s="63">
        <f t="shared" ref="L13" si="7">L5*L11*(1-L6)+L9*L12</f>
        <v>3.9998045594367135E-2</v>
      </c>
      <c r="M13" s="63">
        <f t="shared" ref="M13" si="8">M5*M11*(1-M6)+M9*M12</f>
        <v>0.20027342134515225</v>
      </c>
      <c r="N13" s="63">
        <f t="shared" ref="N13:O13" si="9">N5*N11*(1-N6)+N9*N12</f>
        <v>0.1647733341445039</v>
      </c>
      <c r="O13" s="63">
        <f t="shared" si="9"/>
        <v>0.10977752605554085</v>
      </c>
      <c r="P13" s="63">
        <f t="shared" ref="P13" si="10">P5*P11*(1-P6)+P9*P12</f>
        <v>3.6522345101123281E-2</v>
      </c>
      <c r="Q13" s="63">
        <f t="shared" ref="Q13" si="11">Q5*Q11*(1-Q6)+Q9*Q12</f>
        <v>0.18859693490011717</v>
      </c>
      <c r="R13" s="63">
        <f t="shared" ref="R13" si="12">R5*R11*(1-R6)+R9*R12</f>
        <v>0.16175117028535924</v>
      </c>
      <c r="S13" s="63">
        <f t="shared" ref="S13:T13" si="13">S5*S11*(1-S6)+S9*S12</f>
        <v>0.10803802022128006</v>
      </c>
      <c r="T13" s="63">
        <f t="shared" si="13"/>
        <v>3.7826884398293147E-2</v>
      </c>
      <c r="U13" s="63">
        <f t="shared" ref="U13" si="14">U5*U11*(1-U6)+U9*U12</f>
        <v>0.18311893355715028</v>
      </c>
      <c r="V13" s="63">
        <f t="shared" ref="V13" si="15">V5*V11*(1-V6)+V9*V12</f>
        <v>0.15974342659968047</v>
      </c>
      <c r="W13" s="63">
        <f t="shared" ref="W13" si="16">W5*W11*(1-W6)+W9*W12</f>
        <v>0.10196897107458262</v>
      </c>
      <c r="X13" s="63">
        <f t="shared" ref="X13:Y13" si="17">X5*X11*(1-X6)+X9*X12</f>
        <v>4.2935233463334103E-2</v>
      </c>
      <c r="Y13" s="63">
        <f t="shared" si="17"/>
        <v>0.1743396311355094</v>
      </c>
      <c r="Z13" s="63">
        <f t="shared" ref="Z13" si="18">Z5*Z11*(1-Z6)+Z9*Z12</f>
        <v>0.15463765058560247</v>
      </c>
      <c r="AA13" s="63">
        <f t="shared" ref="AA13" si="19">AA5*AA11*(1-AA6)+AA9*AA12</f>
        <v>0.10666013026707818</v>
      </c>
      <c r="AB13" s="63">
        <f t="shared" ref="AB13" si="20">AB5*AB11*(1-AB6)+AB9*AB12</f>
        <v>5.060990428731215E-2</v>
      </c>
      <c r="AC13" s="63">
        <f t="shared" ref="AC13:AD13" si="21">AC5*AC11*(1-AC6)+AC9*AC12</f>
        <v>0.21376280932238978</v>
      </c>
      <c r="AD13" s="63">
        <f t="shared" si="21"/>
        <v>0.16909156748091028</v>
      </c>
      <c r="AE13" s="63">
        <f t="shared" ref="AE13" si="22">AE5*AE11*(1-AE6)+AE9*AE12</f>
        <v>0.10675637078228405</v>
      </c>
      <c r="AF13" s="63">
        <f t="shared" ref="AF13" si="23">AF5*AF11*(1-AF6)+AF9*AF12</f>
        <v>4.1809236604398045E-2</v>
      </c>
      <c r="AG13" s="63">
        <f t="shared" ref="AG13" si="24">AG5*AG11*(1-AG6)+AG9*AG12</f>
        <v>0.22283168128296058</v>
      </c>
      <c r="AH13" s="63">
        <f t="shared" ref="AH13:AI13" si="25">AH5*AH11*(1-AH6)+AH9*AH12</f>
        <v>0.18305977673790266</v>
      </c>
      <c r="AI13" s="63">
        <f t="shared" si="25"/>
        <v>0.11505695444487307</v>
      </c>
      <c r="AJ13" s="63">
        <f t="shared" ref="AJ13" si="26">AJ5*AJ11*(1-AJ6)+AJ9*AJ12</f>
        <v>2.9143030495617735E-2</v>
      </c>
      <c r="AK13" s="63">
        <f t="shared" ref="AK13" si="27">AK5*AK11*(1-AK6)+AK9*AK12</f>
        <v>0.25276599501973679</v>
      </c>
      <c r="AL13" s="63">
        <f t="shared" ref="AL13" si="28">AL5*AL11*(1-AL6)+AL9*AL12</f>
        <v>0.20902532265621948</v>
      </c>
      <c r="AM13" s="63">
        <f t="shared" ref="AM13:AN13" si="29">AM5*AM11*(1-AM6)+AM9*AM12</f>
        <v>0.14835177937325611</v>
      </c>
      <c r="AN13" s="63">
        <f t="shared" si="29"/>
        <v>5.6902799587849856E-2</v>
      </c>
      <c r="AO13" s="63">
        <f t="shared" ref="AO13" si="30">AO5*AO11*(1-AO6)+AO9*AO12</f>
        <v>0.26471161245097607</v>
      </c>
      <c r="AP13" s="63">
        <f t="shared" ref="AP13" si="31">AP5*AP11*(1-AP6)+AP9*AP12</f>
        <v>0.20909129119662254</v>
      </c>
      <c r="AQ13" s="63">
        <f t="shared" ref="AQ13" si="32">AQ5*AQ11*(1-AQ6)+AQ9*AQ12</f>
        <v>0.12502318250274289</v>
      </c>
      <c r="AR13" s="63">
        <f t="shared" ref="AR13:AS13" si="33">AR5*AR11*(1-AR6)+AR9*AR12</f>
        <v>0.19731850188149397</v>
      </c>
      <c r="AS13" s="63">
        <f t="shared" si="33"/>
        <v>0.78590322676915891</v>
      </c>
      <c r="AT13" s="63">
        <f t="shared" ref="AT13" si="34">AT5*AT11*(1-AT6)+AT9*AT12</f>
        <v>0.85892520337871814</v>
      </c>
      <c r="AU13" s="63">
        <f t="shared" ref="AU13" si="35">AU5*AU11*(1-AU6)+AU9*AU12</f>
        <v>1.7407010847446569</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8" t="s">
        <v>669</v>
      </c>
      <c r="B14" s="277"/>
      <c r="C14" s="277"/>
      <c r="D14" s="277"/>
      <c r="E14" s="277"/>
      <c r="F14" s="277"/>
      <c r="G14" s="277"/>
      <c r="H14" s="277"/>
      <c r="I14" s="277"/>
      <c r="J14" s="277"/>
      <c r="K14" s="277"/>
      <c r="L14" s="277"/>
      <c r="M14" s="277"/>
      <c r="N14" s="277"/>
      <c r="O14" s="277"/>
      <c r="P14" s="277"/>
      <c r="Q14" s="277"/>
      <c r="R14" s="277"/>
      <c r="S14" s="277"/>
      <c r="T14" s="277"/>
      <c r="U14" s="277"/>
      <c r="V14" s="277"/>
      <c r="W14" s="277"/>
      <c r="X14" s="277"/>
      <c r="Y14" s="277"/>
      <c r="Z14" s="277"/>
      <c r="AA14" s="277"/>
      <c r="AB14" s="277"/>
      <c r="AC14" s="277"/>
      <c r="AD14" s="277"/>
      <c r="AE14" s="277"/>
      <c r="AF14" s="277"/>
      <c r="AG14" s="277"/>
    </row>
    <row r="16" spans="1:74" s="45" customFormat="1" x14ac:dyDescent="0.25">
      <c r="A16" s="46" t="s">
        <v>334</v>
      </c>
      <c r="E16" s="45">
        <f>(股东权益回报率分析表!E14+股东权益回报率分析表!I14+股东权益回报率分析表!M14)/3</f>
        <v>0.19764714153960994</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3" width="21.44140625" hidden="1" customWidth="1"/>
    <col min="44" max="44" width="19" hidden="1" customWidth="1"/>
    <col min="45" max="46" width="19" bestFit="1" customWidth="1"/>
    <col min="47" max="47" width="17.77734375" bestFit="1" customWidth="1"/>
    <col min="48" max="48" width="9.5546875" hidden="1" customWidth="1"/>
    <col min="49" max="90" width="8.5546875" bestFit="1" customWidth="1"/>
  </cols>
  <sheetData>
    <row r="1" spans="1:90"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1459010640.3200002</v>
      </c>
      <c r="F2" s="26">
        <f>资产资本表!F17</f>
        <v>1513212442.1800001</v>
      </c>
      <c r="G2" s="26">
        <f>资产资本表!G17</f>
        <v>1704127346.8600001</v>
      </c>
      <c r="H2" s="26">
        <f>资产资本表!H17</f>
        <v>1442980208.0999999</v>
      </c>
      <c r="I2" s="26">
        <f>资产资本表!I17</f>
        <v>1463191779.0700002</v>
      </c>
      <c r="J2" s="26">
        <f>资产资本表!J17</f>
        <v>1516818184.3899999</v>
      </c>
      <c r="K2" s="26">
        <f>资产资本表!K17</f>
        <v>1508191087.4299998</v>
      </c>
      <c r="L2" s="26">
        <f>资产资本表!L17</f>
        <v>1746141228.3500001</v>
      </c>
      <c r="M2" s="26">
        <f>资产资本表!M17</f>
        <v>1708783135.04</v>
      </c>
      <c r="N2" s="26">
        <f>资产资本表!N17</f>
        <v>1030796813.6999998</v>
      </c>
      <c r="O2" s="26">
        <f>资产资本表!O17</f>
        <v>1001974020.0599999</v>
      </c>
      <c r="P2" s="26">
        <f>资产资本表!P17</f>
        <v>978232874.46999991</v>
      </c>
      <c r="Q2" s="26">
        <f>资产资本表!Q17</f>
        <v>1522374310.1800001</v>
      </c>
      <c r="R2" s="26">
        <f>资产资本表!R17</f>
        <v>568839784.13999999</v>
      </c>
      <c r="S2" s="26">
        <f>资产资本表!S17</f>
        <v>427495525.22999996</v>
      </c>
      <c r="T2" s="26">
        <f>资产资本表!T17</f>
        <v>1002115118.53</v>
      </c>
      <c r="U2" s="26">
        <f>资产资本表!U17</f>
        <v>1065323285.92</v>
      </c>
      <c r="V2" s="26">
        <f>资产资本表!V17</f>
        <v>860492619.50999999</v>
      </c>
      <c r="W2" s="26">
        <f>资产资本表!W17</f>
        <v>1029960090.52</v>
      </c>
      <c r="X2" s="26">
        <f>资产资本表!X17</f>
        <v>1474798249.8399999</v>
      </c>
      <c r="Y2" s="26">
        <f>资产资本表!Y17</f>
        <v>1493314664.8600001</v>
      </c>
      <c r="Z2" s="26">
        <f>资产资本表!Z17</f>
        <v>1418814736.1700001</v>
      </c>
      <c r="AA2" s="26">
        <f>资产资本表!AA17</f>
        <v>1339383001.26</v>
      </c>
      <c r="AB2" s="26">
        <f>资产资本表!AB17</f>
        <v>1562123311.26</v>
      </c>
      <c r="AC2" s="26">
        <f>资产资本表!AC17</f>
        <v>1533179291.0999999</v>
      </c>
      <c r="AD2" s="26">
        <f>资产资本表!AD17</f>
        <v>2035870212.6200001</v>
      </c>
      <c r="AE2" s="26">
        <f>资产资本表!AE17</f>
        <v>2031002383.01</v>
      </c>
      <c r="AF2" s="26">
        <f>资产资本表!AF17</f>
        <v>2321145059.6900001</v>
      </c>
      <c r="AG2" s="26">
        <f>资产资本表!AG17</f>
        <v>2293198872.3800001</v>
      </c>
      <c r="AH2" s="26">
        <f>资产资本表!AH17</f>
        <v>2387988865.8800001</v>
      </c>
      <c r="AI2" s="26">
        <f>资产资本表!AI17</f>
        <v>2319899469.7800002</v>
      </c>
      <c r="AJ2" s="26">
        <f>资产资本表!AJ17</f>
        <v>2387307098.2800002</v>
      </c>
      <c r="AK2" s="26">
        <f>资产资本表!AK17</f>
        <v>2568785393.6199999</v>
      </c>
      <c r="AL2" s="26">
        <f>资产资本表!AL17</f>
        <v>2383853084.0700002</v>
      </c>
      <c r="AM2" s="26">
        <f>资产资本表!AM17</f>
        <v>2280313469.0999999</v>
      </c>
      <c r="AN2" s="26">
        <f>资产资本表!AN17</f>
        <v>2313246919.6999998</v>
      </c>
      <c r="AO2" s="26">
        <f>资产资本表!AO17</f>
        <v>2387071627.4099998</v>
      </c>
      <c r="AP2" s="26">
        <f>资产资本表!AP17</f>
        <v>2048213197.51</v>
      </c>
      <c r="AQ2" s="26">
        <f>资产资本表!AQ17</f>
        <v>1827087947.0699999</v>
      </c>
      <c r="AR2" s="26">
        <f>资产资本表!AR17</f>
        <v>394625422.69999999</v>
      </c>
      <c r="AS2" s="26">
        <f>资产资本表!AS17</f>
        <v>450300348.37</v>
      </c>
      <c r="AT2" s="26">
        <f>资产资本表!AT17</f>
        <v>186674964.63</v>
      </c>
      <c r="AU2" s="26">
        <f>资产资本表!AU17</f>
        <v>64488694.780000001</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263724302.63999999</v>
      </c>
      <c r="F3" s="26">
        <f>资产资本表!F19</f>
        <v>246102586.19999999</v>
      </c>
      <c r="G3" s="26">
        <f>资产资本表!G19</f>
        <v>228090662.22999999</v>
      </c>
      <c r="H3" s="26">
        <f>资产资本表!H19</f>
        <v>198388057.11000001</v>
      </c>
      <c r="I3" s="26">
        <f>资产资本表!I19</f>
        <v>186628691.03999999</v>
      </c>
      <c r="J3" s="26">
        <f>资产资本表!J19</f>
        <v>167836224.56</v>
      </c>
      <c r="K3" s="26">
        <f>资产资本表!K19</f>
        <v>169970007.18000001</v>
      </c>
      <c r="L3" s="26">
        <f>资产资本表!L19</f>
        <v>115326523.59</v>
      </c>
      <c r="M3" s="26">
        <f>资产资本表!M19</f>
        <v>112772922.45999999</v>
      </c>
      <c r="N3" s="26">
        <f>资产资本表!N19</f>
        <v>179190503.27000001</v>
      </c>
      <c r="O3" s="26">
        <f>资产资本表!O19</f>
        <v>93358175.609999999</v>
      </c>
      <c r="P3" s="26">
        <f>资产资本表!P19</f>
        <v>93448970.349999994</v>
      </c>
      <c r="Q3" s="26">
        <f>资产资本表!Q19</f>
        <v>94632389.900000006</v>
      </c>
      <c r="R3" s="26">
        <f>资产资本表!R19</f>
        <v>87564084.150000006</v>
      </c>
      <c r="S3" s="26">
        <f>资产资本表!S19</f>
        <v>82702800.319999993</v>
      </c>
      <c r="T3" s="26">
        <f>资产资本表!T19</f>
        <v>85000072.510000005</v>
      </c>
      <c r="U3" s="26">
        <f>资产资本表!U19</f>
        <v>88946778.510000005</v>
      </c>
      <c r="V3" s="26">
        <f>资产资本表!V19</f>
        <v>93464896.390000001</v>
      </c>
      <c r="W3" s="26">
        <f>资产资本表!W19</f>
        <v>94255221.620000005</v>
      </c>
      <c r="X3" s="26">
        <f>资产资本表!X19</f>
        <v>38367823.380000003</v>
      </c>
      <c r="Y3" s="26">
        <f>资产资本表!Y19</f>
        <v>38941816.920000002</v>
      </c>
      <c r="Z3" s="26">
        <f>资产资本表!Z19</f>
        <v>38924400.689999998</v>
      </c>
      <c r="AA3" s="26">
        <f>资产资本表!AA19</f>
        <v>40024581.68</v>
      </c>
      <c r="AB3" s="26">
        <f>资产资本表!AB19</f>
        <v>39593170.829999998</v>
      </c>
      <c r="AC3" s="26">
        <f>资产资本表!AC19</f>
        <v>39578252.299999997</v>
      </c>
      <c r="AD3" s="26">
        <f>资产资本表!AD19</f>
        <v>31701416.859999999</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1004041679.29</v>
      </c>
      <c r="F4" s="26">
        <f>资产资本表!F50</f>
        <v>1461808875.4499998</v>
      </c>
      <c r="G4" s="26">
        <f>资产资本表!G50</f>
        <v>1136763030.22</v>
      </c>
      <c r="H4" s="26">
        <f>资产资本表!H50</f>
        <v>1170409044.4200001</v>
      </c>
      <c r="I4" s="26">
        <f>资产资本表!I50</f>
        <v>984519957.14000034</v>
      </c>
      <c r="J4" s="26">
        <f>资产资本表!J50</f>
        <v>808240696.0999999</v>
      </c>
      <c r="K4" s="26">
        <f>资产资本表!K50</f>
        <v>675619550.63999987</v>
      </c>
      <c r="L4" s="26">
        <f>资产资本表!L50</f>
        <v>767644005.30000019</v>
      </c>
      <c r="M4" s="26">
        <f>资产资本表!M50</f>
        <v>630877182.62999964</v>
      </c>
      <c r="N4" s="26">
        <f>资产资本表!N50</f>
        <v>1134834889.7899997</v>
      </c>
      <c r="O4" s="26">
        <f>资产资本表!O50</f>
        <v>957289110.86000013</v>
      </c>
      <c r="P4" s="26">
        <f>资产资本表!P50</f>
        <v>1293826131.7499998</v>
      </c>
      <c r="Q4" s="26">
        <f>资产资本表!Q50</f>
        <v>589884207.63000035</v>
      </c>
      <c r="R4" s="26">
        <f>资产资本表!R50</f>
        <v>1175892709.75</v>
      </c>
      <c r="S4" s="26">
        <f>资产资本表!S50</f>
        <v>1181407724.5299997</v>
      </c>
      <c r="T4" s="26">
        <f>资产资本表!T50</f>
        <v>893778306.5400002</v>
      </c>
      <c r="U4" s="26">
        <f>资产资本表!U50</f>
        <v>721421203.38000011</v>
      </c>
      <c r="V4" s="26">
        <f>资产资本表!V50</f>
        <v>785867322.6099999</v>
      </c>
      <c r="W4" s="26">
        <f>资产资本表!W50</f>
        <v>704398043.46000004</v>
      </c>
      <c r="X4" s="26">
        <f>资产资本表!X50</f>
        <v>511051635.98000002</v>
      </c>
      <c r="Y4" s="26">
        <f>资产资本表!Y50</f>
        <v>361677496.28999972</v>
      </c>
      <c r="Z4" s="26">
        <f>资产资本表!Z50</f>
        <v>423511790.25000012</v>
      </c>
      <c r="AA4" s="26">
        <f>资产资本表!AA50</f>
        <v>348941183.03999996</v>
      </c>
      <c r="AB4" s="26">
        <f>资产资本表!AB50</f>
        <v>187655386.3599999</v>
      </c>
      <c r="AC4" s="26">
        <f>资产资本表!AC50</f>
        <v>71522408.970000029</v>
      </c>
      <c r="AD4" s="26">
        <f>资产资本表!AD50</f>
        <v>-212709975.91999996</v>
      </c>
      <c r="AE4" s="26">
        <f>资产资本表!AE50</f>
        <v>-196908891.46000016</v>
      </c>
      <c r="AF4" s="26">
        <f>资产资本表!AF50</f>
        <v>-220549089.38</v>
      </c>
      <c r="AG4" s="26">
        <f>资产资本表!AG50</f>
        <v>-298049860.71000004</v>
      </c>
      <c r="AH4" s="26">
        <f>资产资本表!AH50</f>
        <v>-297098737.11000013</v>
      </c>
      <c r="AI4" s="26">
        <f>资产资本表!AI50</f>
        <v>-377564761.48000002</v>
      </c>
      <c r="AJ4" s="26">
        <f>资产资本表!AJ50</f>
        <v>-211530761.86000001</v>
      </c>
      <c r="AK4" s="26">
        <f>资产资本表!AK50</f>
        <v>-478624461.47000003</v>
      </c>
      <c r="AL4" s="26">
        <f>资产资本表!AL50</f>
        <v>-347876313.88999999</v>
      </c>
      <c r="AM4" s="26">
        <f>资产资本表!AM50</f>
        <v>-375480765.12999988</v>
      </c>
      <c r="AN4" s="26">
        <f>资产资本表!AN50</f>
        <v>-263998712.18999994</v>
      </c>
      <c r="AO4" s="26">
        <f>资产资本表!AO50</f>
        <v>-427593203.91000009</v>
      </c>
      <c r="AP4" s="26">
        <f>资产资本表!AP50</f>
        <v>-129673758.38</v>
      </c>
      <c r="AQ4" s="26">
        <f>资产资本表!AQ50</f>
        <v>116821345.71000004</v>
      </c>
      <c r="AR4" s="26">
        <f>资产资本表!AR50</f>
        <v>-29022363.340000033</v>
      </c>
      <c r="AS4" s="26">
        <f>资产资本表!AS50</f>
        <v>-176634015.57999998</v>
      </c>
      <c r="AT4" s="26">
        <f>资产资本表!AT50</f>
        <v>-65967921.470000029</v>
      </c>
      <c r="AU4" s="26">
        <f>资产资本表!AU50</f>
        <v>3523904.0900000036</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2766474322.5799999</v>
      </c>
      <c r="F5" s="26">
        <f>资产资本表!F33</f>
        <v>2820892723.46</v>
      </c>
      <c r="G5" s="26">
        <f>资产资本表!G33</f>
        <v>2421346818.3299999</v>
      </c>
      <c r="H5" s="26">
        <f>资产资本表!H33</f>
        <v>2439008874.4400001</v>
      </c>
      <c r="I5" s="26">
        <f>资产资本表!I33</f>
        <v>3044395742.6400003</v>
      </c>
      <c r="J5" s="26">
        <f>资产资本表!J33</f>
        <v>2329625401.0799999</v>
      </c>
      <c r="K5" s="26">
        <f>资产资本表!K33</f>
        <v>2071433890.7599998</v>
      </c>
      <c r="L5" s="26">
        <f>资产资本表!L33</f>
        <v>2619437046.1700001</v>
      </c>
      <c r="M5" s="26">
        <f>资产资本表!M33</f>
        <v>3130320160.9200001</v>
      </c>
      <c r="N5" s="26">
        <f>资产资本表!N33</f>
        <v>3069992293.9299998</v>
      </c>
      <c r="O5" s="26">
        <f>资产资本表!O33</f>
        <v>2560648754.2000003</v>
      </c>
      <c r="P5" s="26">
        <f>资产资本表!P33</f>
        <v>2441215494.3799996</v>
      </c>
      <c r="Q5" s="26">
        <f>资产资本表!Q33</f>
        <v>2292403158.3500004</v>
      </c>
      <c r="R5" s="26">
        <f>资产资本表!R33</f>
        <v>2754821391.8999996</v>
      </c>
      <c r="S5" s="26">
        <f>资产资本表!S33</f>
        <v>2763463980.9099998</v>
      </c>
      <c r="T5" s="26">
        <f>资产资本表!T33</f>
        <v>2038508735.8400002</v>
      </c>
      <c r="U5" s="26">
        <f>资产资本表!U33</f>
        <v>2149218534.3400002</v>
      </c>
      <c r="V5" s="26">
        <f>资产资本表!V33</f>
        <v>1976127174.0299997</v>
      </c>
      <c r="W5" s="26">
        <f>资产资本表!W33</f>
        <v>1860258949.3800001</v>
      </c>
      <c r="X5" s="26">
        <f>资产资本表!X33</f>
        <v>1519722575.1300001</v>
      </c>
      <c r="Y5" s="26">
        <f>资产资本表!Y33</f>
        <v>1666850976.1699998</v>
      </c>
      <c r="Z5" s="26">
        <f>资产资本表!Z33</f>
        <v>1464782175.97</v>
      </c>
      <c r="AA5" s="26">
        <f>资产资本表!AA33</f>
        <v>1362655911.27</v>
      </c>
      <c r="AB5" s="26">
        <f>资产资本表!AB33</f>
        <v>1199576808.3799999</v>
      </c>
      <c r="AC5" s="26">
        <f>资产资本表!AC33</f>
        <v>1347555083.3899999</v>
      </c>
      <c r="AD5" s="26">
        <f>资产资本表!AD33</f>
        <v>964111649.56000006</v>
      </c>
      <c r="AE5" s="26">
        <f>资产资本表!AE33</f>
        <v>857476888.63999999</v>
      </c>
      <c r="AF5" s="26">
        <f>资产资本表!AF33</f>
        <v>832578560.24000001</v>
      </c>
      <c r="AG5" s="26">
        <f>资产资本表!AG33</f>
        <v>1005408390.5699999</v>
      </c>
      <c r="AH5" s="26">
        <f>资产资本表!AH33</f>
        <v>1116966134.0799999</v>
      </c>
      <c r="AI5" s="26">
        <f>资产资本表!AI33</f>
        <v>968322501.55999994</v>
      </c>
      <c r="AJ5" s="26">
        <f>资产资本表!AJ33</f>
        <v>556766457.30999994</v>
      </c>
      <c r="AK5" s="26">
        <f>资产资本表!AK33</f>
        <v>701651718.5</v>
      </c>
      <c r="AL5" s="26">
        <f>资产资本表!AL33</f>
        <v>551248520.55999994</v>
      </c>
      <c r="AM5" s="26">
        <f>资产资本表!AM33</f>
        <v>714792723.73000002</v>
      </c>
      <c r="AN5" s="26">
        <f>资产资本表!AN33</f>
        <v>613555963.93999994</v>
      </c>
      <c r="AO5" s="26">
        <f>资产资本表!AO33</f>
        <v>831469739.47000003</v>
      </c>
      <c r="AP5" s="26">
        <f>资产资本表!AP33</f>
        <v>765519912.35000002</v>
      </c>
      <c r="AQ5" s="26">
        <f>资产资本表!AQ33</f>
        <v>727671874.30999994</v>
      </c>
      <c r="AR5" s="26">
        <f>资产资本表!AR33</f>
        <v>526309715.02999997</v>
      </c>
      <c r="AS5" s="26">
        <f>资产资本表!AS33</f>
        <v>508880383.60999995</v>
      </c>
      <c r="AT5" s="26">
        <f>资产资本表!AT33</f>
        <v>323308282.80000001</v>
      </c>
      <c r="AU5" s="26">
        <f>资产资本表!AU33</f>
        <v>152018377.84999999</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1762432643.29</v>
      </c>
      <c r="F6" s="26">
        <f>资产资本表!F49</f>
        <v>1359083848.0100002</v>
      </c>
      <c r="G6" s="26">
        <f>资产资本表!G49</f>
        <v>1284583788.1099999</v>
      </c>
      <c r="H6" s="26">
        <f>资产资本表!H49</f>
        <v>1268599830.02</v>
      </c>
      <c r="I6" s="26">
        <f>资产资本表!I49</f>
        <v>2059875785.5</v>
      </c>
      <c r="J6" s="26">
        <f>资产资本表!J49</f>
        <v>1521384704.98</v>
      </c>
      <c r="K6" s="26">
        <f>资产资本表!K49</f>
        <v>1395814340.1199999</v>
      </c>
      <c r="L6" s="26">
        <f>资产资本表!L49</f>
        <v>1851793040.8699999</v>
      </c>
      <c r="M6" s="26">
        <f>资产资本表!M49</f>
        <v>2499442978.2900004</v>
      </c>
      <c r="N6" s="26">
        <f>资产资本表!N49</f>
        <v>1935157404.1400001</v>
      </c>
      <c r="O6" s="26">
        <f>资产资本表!O49</f>
        <v>1603359643.3400002</v>
      </c>
      <c r="P6" s="26">
        <f>资产资本表!P49</f>
        <v>1147389362.6299999</v>
      </c>
      <c r="Q6" s="26">
        <f>资产资本表!Q49</f>
        <v>1702518950.72</v>
      </c>
      <c r="R6" s="26">
        <f>资产资本表!R49</f>
        <v>1578928682.1499996</v>
      </c>
      <c r="S6" s="26">
        <f>资产资本表!S49</f>
        <v>1582056256.3800001</v>
      </c>
      <c r="T6" s="26">
        <f>资产资本表!T49</f>
        <v>1144730429.3</v>
      </c>
      <c r="U6" s="26">
        <f>资产资本表!U49</f>
        <v>1427797330.96</v>
      </c>
      <c r="V6" s="26">
        <f>资产资本表!V49</f>
        <v>1190259851.4199998</v>
      </c>
      <c r="W6" s="26">
        <f>资产资本表!W49</f>
        <v>1155860905.9200001</v>
      </c>
      <c r="X6" s="26">
        <f>资产资本表!X49</f>
        <v>1008670939.1500001</v>
      </c>
      <c r="Y6" s="26">
        <f>资产资本表!Y49</f>
        <v>1305173479.8800001</v>
      </c>
      <c r="Z6" s="26">
        <f>资产资本表!Z49</f>
        <v>1041270385.7199999</v>
      </c>
      <c r="AA6" s="26">
        <f>资产资本表!AA49</f>
        <v>1013714728.23</v>
      </c>
      <c r="AB6" s="26">
        <f>资产资本表!AB49</f>
        <v>1011921422.02</v>
      </c>
      <c r="AC6" s="26">
        <f>资产资本表!AC49</f>
        <v>1276032674.4199998</v>
      </c>
      <c r="AD6" s="26">
        <f>资产资本表!AD49</f>
        <v>1176821625.48</v>
      </c>
      <c r="AE6" s="26">
        <f>资产资本表!AE49</f>
        <v>1054385780.1000001</v>
      </c>
      <c r="AF6" s="26">
        <f>资产资本表!AF49</f>
        <v>1053127649.62</v>
      </c>
      <c r="AG6" s="26">
        <f>资产资本表!AG49</f>
        <v>1303458251.28</v>
      </c>
      <c r="AH6" s="26">
        <f>资产资本表!AH49</f>
        <v>1414064871.1900001</v>
      </c>
      <c r="AI6" s="26">
        <f>资产资本表!AI49</f>
        <v>1345887263.04</v>
      </c>
      <c r="AJ6" s="26">
        <f>资产资本表!AJ49</f>
        <v>768297219.16999996</v>
      </c>
      <c r="AK6" s="26">
        <f>资产资本表!AK49</f>
        <v>1180276179.97</v>
      </c>
      <c r="AL6" s="26">
        <f>资产资本表!AL49</f>
        <v>899124834.44999993</v>
      </c>
      <c r="AM6" s="26">
        <f>资产资本表!AM49</f>
        <v>1090273488.8599999</v>
      </c>
      <c r="AN6" s="26">
        <f>资产资本表!AN49</f>
        <v>877554676.12999988</v>
      </c>
      <c r="AO6" s="26">
        <f>资产资本表!AO49</f>
        <v>1259062943.3800001</v>
      </c>
      <c r="AP6" s="26">
        <f>资产资本表!AP49</f>
        <v>895193670.73000002</v>
      </c>
      <c r="AQ6" s="26">
        <f>资产资本表!AQ49</f>
        <v>610850528.5999999</v>
      </c>
      <c r="AR6" s="26">
        <f>资产资本表!AR49</f>
        <v>555332078.37</v>
      </c>
      <c r="AS6" s="26">
        <f>资产资本表!AS49</f>
        <v>685514399.18999994</v>
      </c>
      <c r="AT6" s="26">
        <f>资产资本表!AT49</f>
        <v>389276204.27000004</v>
      </c>
      <c r="AU6" s="26">
        <f>资产资本表!AU49</f>
        <v>148494473.75999999</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860715355.08999979</v>
      </c>
      <c r="F7" s="26">
        <f>资产资本表!F68</f>
        <v>840862830.80000007</v>
      </c>
      <c r="G7" s="26">
        <f>资产资本表!G68</f>
        <v>829868849.1400001</v>
      </c>
      <c r="H7" s="26">
        <f>资产资本表!H68</f>
        <v>859621870.98999989</v>
      </c>
      <c r="I7" s="26">
        <f>资产资本表!I68</f>
        <v>896445539.41999984</v>
      </c>
      <c r="J7" s="26">
        <f>资产资本表!J68</f>
        <v>874520708.15999985</v>
      </c>
      <c r="K7" s="26">
        <f>资产资本表!K68</f>
        <v>876849190</v>
      </c>
      <c r="L7" s="26">
        <f>资产资本表!L68</f>
        <v>897364775.6500001</v>
      </c>
      <c r="M7" s="26">
        <f>资产资本表!M68</f>
        <v>936357590.23000014</v>
      </c>
      <c r="N7" s="26">
        <f>资产资本表!N68</f>
        <v>911360802.73999989</v>
      </c>
      <c r="O7" s="26">
        <f>资产资本表!O68</f>
        <v>1001784747.86</v>
      </c>
      <c r="P7" s="26">
        <f>资产资本表!P68</f>
        <v>1020475257.1900002</v>
      </c>
      <c r="Q7" s="26">
        <f>资产资本表!Q68</f>
        <v>1054560999.3199998</v>
      </c>
      <c r="R7" s="26">
        <f>资产资本表!R68</f>
        <v>1323848443.04</v>
      </c>
      <c r="S7" s="26">
        <f>资产资本表!S68</f>
        <v>1348513151.45</v>
      </c>
      <c r="T7" s="26">
        <f>资产资本表!T68</f>
        <v>1245528828.27</v>
      </c>
      <c r="U7" s="26">
        <f>资产资本表!U68</f>
        <v>1228611616.8100002</v>
      </c>
      <c r="V7" s="26">
        <f>资产资本表!V68</f>
        <v>1255754856.98</v>
      </c>
      <c r="W7" s="26">
        <f>资产资本表!W68</f>
        <v>1109712389.5999999</v>
      </c>
      <c r="X7" s="26">
        <f>资产资本表!X68</f>
        <v>1063202320.86</v>
      </c>
      <c r="Y7" s="26">
        <f>资产资本表!Y68</f>
        <v>1060926952.2</v>
      </c>
      <c r="Z7" s="26">
        <f>资产资本表!Z68</f>
        <v>1005288075</v>
      </c>
      <c r="AA7" s="26">
        <f>资产资本表!AA68</f>
        <v>1003166388.75</v>
      </c>
      <c r="AB7" s="26">
        <f>资产资本表!AB68</f>
        <v>938753171.18999994</v>
      </c>
      <c r="AC7" s="26">
        <f>资产资本表!AC68</f>
        <v>945774940.12999988</v>
      </c>
      <c r="AD7" s="26">
        <f>资产资本表!AD68</f>
        <v>1060475313.41</v>
      </c>
      <c r="AE7" s="26">
        <f>资产资本表!AE68</f>
        <v>1040114232.6499999</v>
      </c>
      <c r="AF7" s="26">
        <f>资产资本表!AF68</f>
        <v>1061073766.47</v>
      </c>
      <c r="AG7" s="26">
        <f>资产资本表!AG68</f>
        <v>1034333727.02</v>
      </c>
      <c r="AH7" s="26">
        <f>资产资本表!AH68</f>
        <v>790296330.75</v>
      </c>
      <c r="AI7" s="26">
        <f>资产资本表!AI68</f>
        <v>717449016</v>
      </c>
      <c r="AJ7" s="26">
        <f>资产资本表!AJ68</f>
        <v>734154990.48000002</v>
      </c>
      <c r="AK7" s="26">
        <f>资产资本表!AK68</f>
        <v>734966177.3499999</v>
      </c>
      <c r="AL7" s="26">
        <f>资产资本表!AL68</f>
        <v>632921621.98999989</v>
      </c>
      <c r="AM7" s="26">
        <f>资产资本表!AM68</f>
        <v>573926710.39999998</v>
      </c>
      <c r="AN7" s="26">
        <f>资产资本表!AN68</f>
        <v>513632313.76999998</v>
      </c>
      <c r="AO7" s="26">
        <f>资产资本表!AO68</f>
        <v>457567021.10999995</v>
      </c>
      <c r="AP7" s="26">
        <f>资产资本表!AP68</f>
        <v>307332681.16000003</v>
      </c>
      <c r="AQ7" s="26">
        <f>资产资本表!AQ68</f>
        <v>227942709.50000003</v>
      </c>
      <c r="AR7" s="26">
        <f>资产资本表!AR68</f>
        <v>205400925.84999999</v>
      </c>
      <c r="AS7" s="26">
        <f>资产资本表!AS68</f>
        <v>187820781.28</v>
      </c>
      <c r="AT7" s="26">
        <f>资产资本表!AT68</f>
        <v>127162066.33</v>
      </c>
      <c r="AU7" s="26">
        <f>资产资本表!AU68</f>
        <v>5837715.5099999998</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1864757034.3799996</v>
      </c>
      <c r="F8" s="26">
        <f>资产资本表!F69</f>
        <v>2302671706.25</v>
      </c>
      <c r="G8" s="26">
        <f>资产资本表!G69</f>
        <v>1966631879.3600001</v>
      </c>
      <c r="H8" s="26">
        <f>资产资本表!H69</f>
        <v>2030030915.4099998</v>
      </c>
      <c r="I8" s="26">
        <f>资产资本表!I69</f>
        <v>1880965496.5600002</v>
      </c>
      <c r="J8" s="26">
        <f>资产资本表!J69</f>
        <v>1682761404.2599998</v>
      </c>
      <c r="K8" s="26">
        <f>资产资本表!K69</f>
        <v>1552468740.6399999</v>
      </c>
      <c r="L8" s="26">
        <f>资产资本表!L69</f>
        <v>1665008780.9500003</v>
      </c>
      <c r="M8" s="26">
        <f>资产资本表!M69</f>
        <v>1567234772.8599997</v>
      </c>
      <c r="N8" s="26">
        <f>资产资本表!N69</f>
        <v>2046195692.5299997</v>
      </c>
      <c r="O8" s="26">
        <f>资产资本表!O69</f>
        <v>1959073858.7200003</v>
      </c>
      <c r="P8" s="26">
        <f>资产资本表!P69</f>
        <v>2314301388.9400001</v>
      </c>
      <c r="Q8" s="26">
        <f>资产资本表!Q69</f>
        <v>1644445206.9500003</v>
      </c>
      <c r="R8" s="26">
        <f>资产资本表!R69</f>
        <v>2499741152.79</v>
      </c>
      <c r="S8" s="26">
        <f>资产资本表!S69</f>
        <v>2529920875.9799995</v>
      </c>
      <c r="T8" s="26">
        <f>资产资本表!T69</f>
        <v>2139307134.8100002</v>
      </c>
      <c r="U8" s="26">
        <f>资产资本表!U69</f>
        <v>1950032820.1900003</v>
      </c>
      <c r="V8" s="26">
        <f>资产资本表!V69</f>
        <v>2041622179.5899999</v>
      </c>
      <c r="W8" s="26">
        <f>资产资本表!W69</f>
        <v>1814110433.0599999</v>
      </c>
      <c r="X8" s="26">
        <f>资产资本表!X69</f>
        <v>1574253956.8400002</v>
      </c>
      <c r="Y8" s="26">
        <f>资产资本表!Y69</f>
        <v>1422604448.4899998</v>
      </c>
      <c r="Z8" s="26">
        <f>资产资本表!Z69</f>
        <v>1428799865.25</v>
      </c>
      <c r="AA8" s="26">
        <f>资产资本表!AA69</f>
        <v>1352107571.79</v>
      </c>
      <c r="AB8" s="26">
        <f>资产资本表!AB69</f>
        <v>1126408557.5499997</v>
      </c>
      <c r="AC8" s="26">
        <f>资产资本表!AC69</f>
        <v>1017297349.0999999</v>
      </c>
      <c r="AD8" s="26">
        <f>资产资本表!AD69</f>
        <v>847765337.49000001</v>
      </c>
      <c r="AE8" s="26">
        <f>资产资本表!AE69</f>
        <v>843205341.1899997</v>
      </c>
      <c r="AF8" s="26">
        <f>资产资本表!AF69</f>
        <v>840524677.09000003</v>
      </c>
      <c r="AG8" s="26">
        <f>资产资本表!AG69</f>
        <v>736283866.30999994</v>
      </c>
      <c r="AH8" s="26">
        <f>资产资本表!AH69</f>
        <v>493197593.63999987</v>
      </c>
      <c r="AI8" s="26">
        <f>资产资本表!AI69</f>
        <v>339884254.51999998</v>
      </c>
      <c r="AJ8" s="26">
        <f>资产资本表!AJ69</f>
        <v>522624228.62</v>
      </c>
      <c r="AK8" s="26">
        <f>资产资本表!AK69</f>
        <v>256341715.87999988</v>
      </c>
      <c r="AL8" s="26">
        <f>资产资本表!AL69</f>
        <v>285045308.0999999</v>
      </c>
      <c r="AM8" s="26">
        <f>资产资本表!AM69</f>
        <v>198445945.2700001</v>
      </c>
      <c r="AN8" s="26">
        <f>资产资本表!AN69</f>
        <v>249633601.58000004</v>
      </c>
      <c r="AO8" s="26">
        <f>资产资本表!AO69</f>
        <v>29973817.199999869</v>
      </c>
      <c r="AP8" s="26">
        <f>资产资本表!AP69</f>
        <v>177658922.78000003</v>
      </c>
      <c r="AQ8" s="26">
        <f>资产资本表!AQ69</f>
        <v>344764055.21000004</v>
      </c>
      <c r="AR8" s="26">
        <f>资产资本表!AR69</f>
        <v>176378562.50999996</v>
      </c>
      <c r="AS8" s="26">
        <f>资产资本表!AS69</f>
        <v>11186765.700000018</v>
      </c>
      <c r="AT8" s="26">
        <f>资产资本表!AT69</f>
        <v>61194144.85999997</v>
      </c>
      <c r="AU8" s="26">
        <f>资产资本表!AU69</f>
        <v>9361619.6000000034</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3587491977.3399997</v>
      </c>
      <c r="F9" s="48">
        <f>资产资本表!F70</f>
        <v>4061986734.6300001</v>
      </c>
      <c r="G9" s="48">
        <f>资产资本表!G70</f>
        <v>3898849888.4500003</v>
      </c>
      <c r="H9" s="48">
        <f>资产资本表!H70</f>
        <v>3671399180.6199999</v>
      </c>
      <c r="I9" s="48">
        <f>资产资本表!I70</f>
        <v>3530785966.6700001</v>
      </c>
      <c r="J9" s="48">
        <f>资产资本表!J70</f>
        <v>3367415813.2099996</v>
      </c>
      <c r="K9" s="48">
        <f>资产资本表!K70</f>
        <v>3230629835.25</v>
      </c>
      <c r="L9" s="48">
        <f>资产资本表!L70</f>
        <v>3526476532.8900003</v>
      </c>
      <c r="M9" s="48">
        <f>资产资本表!M70</f>
        <v>3388790830.3599997</v>
      </c>
      <c r="N9" s="48">
        <f>资产资本表!N70</f>
        <v>3256183009.4999995</v>
      </c>
      <c r="O9" s="48">
        <f>资产资本表!O70</f>
        <v>3054406054.3900003</v>
      </c>
      <c r="P9" s="48">
        <f>资产资本表!P70</f>
        <v>3385983233.7600002</v>
      </c>
      <c r="Q9" s="48">
        <f>资产资本表!Q70</f>
        <v>3261451907.0300007</v>
      </c>
      <c r="R9" s="48">
        <f>资产资本表!R70</f>
        <v>3156145021.0799999</v>
      </c>
      <c r="S9" s="48">
        <f>资产资本表!S70</f>
        <v>3040119201.5299997</v>
      </c>
      <c r="T9" s="48">
        <f>资产资本表!T70</f>
        <v>3226422325.8500004</v>
      </c>
      <c r="U9" s="48">
        <f>资产资本表!U70</f>
        <v>3104302884.6200004</v>
      </c>
      <c r="V9" s="48">
        <f>资产资本表!V70</f>
        <v>2995579695.4899998</v>
      </c>
      <c r="W9" s="48">
        <f>资产资本表!W70</f>
        <v>2938325745.1999998</v>
      </c>
      <c r="X9" s="48">
        <f>资产资本表!X70</f>
        <v>3087420030.0600004</v>
      </c>
      <c r="Y9" s="48">
        <f>资产资本表!Y70</f>
        <v>2954860930.27</v>
      </c>
      <c r="Z9" s="48">
        <f>资产资本表!Z70</f>
        <v>2886539002.1100001</v>
      </c>
      <c r="AA9" s="48">
        <f>资产资本表!AA70</f>
        <v>2731515154.73</v>
      </c>
      <c r="AB9" s="48">
        <f>资产资本表!AB70</f>
        <v>2728125039.6399994</v>
      </c>
      <c r="AC9" s="48">
        <f>资产资本表!AC70</f>
        <v>2590054892.5</v>
      </c>
      <c r="AD9" s="48">
        <f>资产资本表!AD70</f>
        <v>2915336966.9700003</v>
      </c>
      <c r="AE9" s="48">
        <f>资产资本表!AE70</f>
        <v>2874207724.1999998</v>
      </c>
      <c r="AF9" s="48">
        <f>资产资本表!AF70</f>
        <v>3161669736.7800002</v>
      </c>
      <c r="AG9" s="48">
        <f>资产资本表!AG70</f>
        <v>3029482738.6900001</v>
      </c>
      <c r="AH9" s="48">
        <f>资产资本表!AH70</f>
        <v>2881186459.52</v>
      </c>
      <c r="AI9" s="48">
        <f>资产资本表!AI70</f>
        <v>2659783724.3000002</v>
      </c>
      <c r="AJ9" s="48">
        <f>资产资本表!AJ70</f>
        <v>2909931326.9000001</v>
      </c>
      <c r="AK9" s="48">
        <f>资产资本表!AK70</f>
        <v>2825127109.5</v>
      </c>
      <c r="AL9" s="48">
        <f>资产资本表!AL70</f>
        <v>2668898392.1700001</v>
      </c>
      <c r="AM9" s="48">
        <f>资产资本表!AM70</f>
        <v>2478759414.3699999</v>
      </c>
      <c r="AN9" s="48">
        <f>资产资本表!AN70</f>
        <v>2562880521.2799997</v>
      </c>
      <c r="AO9" s="48">
        <f>资产资本表!AO70</f>
        <v>2417045444.6099997</v>
      </c>
      <c r="AP9" s="48">
        <f>资产资本表!AP70</f>
        <v>2225872120.29</v>
      </c>
      <c r="AQ9" s="48">
        <f>资产资本表!AQ70</f>
        <v>2171852002.2799997</v>
      </c>
      <c r="AR9" s="48">
        <f>资产资本表!AR70</f>
        <v>571003985.20999992</v>
      </c>
      <c r="AS9" s="48">
        <f>资产资本表!AS70</f>
        <v>461487114.07000005</v>
      </c>
      <c r="AT9" s="48">
        <f>资产资本表!AT70</f>
        <v>247869109.48999995</v>
      </c>
      <c r="AU9" s="48">
        <f>资产资本表!AU70</f>
        <v>73850314.38000001</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0</v>
      </c>
      <c r="F10" s="26">
        <f>资产资本表!F72</f>
        <v>0</v>
      </c>
      <c r="G10" s="26">
        <f>资产资本表!G72</f>
        <v>8513310</v>
      </c>
      <c r="H10" s="26">
        <f>资产资本表!H72</f>
        <v>8625630</v>
      </c>
      <c r="I10" s="26">
        <f>资产资本表!I72</f>
        <v>8625630</v>
      </c>
      <c r="J10" s="26">
        <f>资产资本表!J72</f>
        <v>8625630</v>
      </c>
      <c r="K10" s="26">
        <f>资产资本表!K72</f>
        <v>8678670</v>
      </c>
      <c r="L10" s="26">
        <f>资产资本表!L72</f>
        <v>8970390</v>
      </c>
      <c r="M10" s="26">
        <f>资产资本表!M72</f>
        <v>8970390</v>
      </c>
      <c r="N10" s="26">
        <f>资产资本表!N72</f>
        <v>21054670</v>
      </c>
      <c r="O10" s="26">
        <f>资产资本表!O72</f>
        <v>12031240</v>
      </c>
      <c r="P10" s="26">
        <f>资产资本表!P72</f>
        <v>12261080</v>
      </c>
      <c r="Q10" s="26">
        <f>资产资本表!Q72</f>
        <v>12261080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5274285.7</v>
      </c>
      <c r="F11" s="26">
        <f>资产资本表!F81</f>
        <v>6022857.1299999999</v>
      </c>
      <c r="G11" s="26">
        <f>资产资本表!G81</f>
        <v>6771428.5599999996</v>
      </c>
      <c r="H11" s="26">
        <f>资产资本表!H81</f>
        <v>7519999.9900000002</v>
      </c>
      <c r="I11" s="26">
        <f>资产资本表!I81</f>
        <v>8268571.4199999999</v>
      </c>
      <c r="J11" s="26">
        <f>资产资本表!J81</f>
        <v>9017142.8499999996</v>
      </c>
      <c r="K11" s="26">
        <f>资产资本表!K81</f>
        <v>18444384.280000001</v>
      </c>
      <c r="L11" s="26">
        <f>资产资本表!L81</f>
        <v>20484675.710000001</v>
      </c>
      <c r="M11" s="26">
        <f>资产资本表!M81</f>
        <v>21233247.140000001</v>
      </c>
      <c r="N11" s="26">
        <f>资产资本表!N81</f>
        <v>21034858.57</v>
      </c>
      <c r="O11" s="26">
        <f>资产资本表!O81</f>
        <v>30806860</v>
      </c>
      <c r="P11" s="26">
        <f>资产资本表!P81</f>
        <v>31900191.43</v>
      </c>
      <c r="Q11" s="26">
        <f>资产资本表!Q81</f>
        <v>32648762.859999999</v>
      </c>
      <c r="R11" s="26">
        <f>资产资本表!R81</f>
        <v>15005714.279999999</v>
      </c>
      <c r="S11" s="26">
        <f>资产资本表!S81</f>
        <v>15754285.710000001</v>
      </c>
      <c r="T11" s="26">
        <f>资产资本表!T81</f>
        <v>17251428.57</v>
      </c>
      <c r="U11" s="26">
        <f>资产资本表!U81</f>
        <v>17251428.57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5274285.7</v>
      </c>
      <c r="F12" s="26">
        <f>资产资本表!F89</f>
        <v>6022857.1299999999</v>
      </c>
      <c r="G12" s="26">
        <f>资产资本表!G89</f>
        <v>15284738.559999999</v>
      </c>
      <c r="H12" s="26">
        <f>资产资本表!H89</f>
        <v>16145629.99</v>
      </c>
      <c r="I12" s="26">
        <f>资产资本表!I89</f>
        <v>16894201.420000002</v>
      </c>
      <c r="J12" s="26">
        <f>资产资本表!J89</f>
        <v>17642772.850000001</v>
      </c>
      <c r="K12" s="26">
        <f>资产资本表!K89</f>
        <v>27123054.280000001</v>
      </c>
      <c r="L12" s="26">
        <f>资产资本表!L89</f>
        <v>29455065.710000001</v>
      </c>
      <c r="M12" s="26">
        <f>资产资本表!M89</f>
        <v>30203637.140000001</v>
      </c>
      <c r="N12" s="26">
        <f>资产资本表!N89</f>
        <v>42089528.57</v>
      </c>
      <c r="O12" s="26">
        <f>资产资本表!O89</f>
        <v>42838100</v>
      </c>
      <c r="P12" s="26">
        <f>资产资本表!P89</f>
        <v>44161271.43</v>
      </c>
      <c r="Q12" s="26">
        <f>资产资本表!Q89</f>
        <v>44909842.859999999</v>
      </c>
      <c r="R12" s="26">
        <f>资产资本表!R89</f>
        <v>15005714.279999999</v>
      </c>
      <c r="S12" s="26">
        <f>资产资本表!S89</f>
        <v>15754285.710000001</v>
      </c>
      <c r="T12" s="26">
        <f>资产资本表!T89</f>
        <v>17251428.57</v>
      </c>
      <c r="U12" s="26">
        <f>资产资本表!U89</f>
        <v>17251428.57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3582217691.6399999</v>
      </c>
      <c r="F13" s="26">
        <f t="shared" ref="F13:BQ13" si="0">F9-F12</f>
        <v>4055963877.5</v>
      </c>
      <c r="G13" s="26">
        <f t="shared" si="0"/>
        <v>3883565149.8900003</v>
      </c>
      <c r="H13" s="26">
        <f t="shared" si="0"/>
        <v>3655253550.6300001</v>
      </c>
      <c r="I13" s="26">
        <f t="shared" si="0"/>
        <v>3513891765.25</v>
      </c>
      <c r="J13" s="26">
        <f t="shared" si="0"/>
        <v>3349773040.3599997</v>
      </c>
      <c r="K13" s="26">
        <f t="shared" si="0"/>
        <v>3203506780.9699998</v>
      </c>
      <c r="L13" s="26">
        <f t="shared" si="0"/>
        <v>3497021467.1800003</v>
      </c>
      <c r="M13" s="26">
        <f t="shared" si="0"/>
        <v>3358587193.2199998</v>
      </c>
      <c r="N13" s="26">
        <f t="shared" si="0"/>
        <v>3214093480.9299994</v>
      </c>
      <c r="O13" s="26">
        <f t="shared" si="0"/>
        <v>3011567954.3900003</v>
      </c>
      <c r="P13" s="26">
        <f t="shared" si="0"/>
        <v>3341821962.3300004</v>
      </c>
      <c r="Q13" s="26">
        <f t="shared" si="0"/>
        <v>3216542064.1700006</v>
      </c>
      <c r="R13" s="26">
        <f t="shared" si="0"/>
        <v>3141139306.7999997</v>
      </c>
      <c r="S13" s="26">
        <f t="shared" si="0"/>
        <v>3024364915.8199997</v>
      </c>
      <c r="T13" s="26">
        <f t="shared" si="0"/>
        <v>3209170897.2800002</v>
      </c>
      <c r="U13" s="26">
        <f t="shared" si="0"/>
        <v>3087051456.0500002</v>
      </c>
      <c r="V13" s="26">
        <f t="shared" si="0"/>
        <v>2995579695.4899998</v>
      </c>
      <c r="W13" s="26">
        <f t="shared" si="0"/>
        <v>2938325745.1999998</v>
      </c>
      <c r="X13" s="26">
        <f t="shared" si="0"/>
        <v>3087420030.0600004</v>
      </c>
      <c r="Y13" s="26">
        <f t="shared" si="0"/>
        <v>2954860930.27</v>
      </c>
      <c r="Z13" s="26">
        <f t="shared" si="0"/>
        <v>2886539002.1100001</v>
      </c>
      <c r="AA13" s="26">
        <f t="shared" si="0"/>
        <v>2731515154.73</v>
      </c>
      <c r="AB13" s="26">
        <f t="shared" si="0"/>
        <v>2728125039.6399994</v>
      </c>
      <c r="AC13" s="26">
        <f t="shared" si="0"/>
        <v>2590054892.5</v>
      </c>
      <c r="AD13" s="26">
        <f t="shared" si="0"/>
        <v>2915336966.9700003</v>
      </c>
      <c r="AE13" s="26">
        <f t="shared" si="0"/>
        <v>2874207724.1999998</v>
      </c>
      <c r="AF13" s="26">
        <f t="shared" si="0"/>
        <v>3161669736.7800002</v>
      </c>
      <c r="AG13" s="26">
        <f t="shared" si="0"/>
        <v>3029482738.6900001</v>
      </c>
      <c r="AH13" s="26">
        <f t="shared" si="0"/>
        <v>2881186459.52</v>
      </c>
      <c r="AI13" s="26">
        <f t="shared" si="0"/>
        <v>2659783724.3000002</v>
      </c>
      <c r="AJ13" s="26">
        <f t="shared" si="0"/>
        <v>2909931326.9000001</v>
      </c>
      <c r="AK13" s="26">
        <f t="shared" si="0"/>
        <v>2825127109.5</v>
      </c>
      <c r="AL13" s="26">
        <f t="shared" si="0"/>
        <v>2668898392.1700001</v>
      </c>
      <c r="AM13" s="26">
        <f t="shared" si="0"/>
        <v>2478759414.3699999</v>
      </c>
      <c r="AN13" s="26">
        <f t="shared" si="0"/>
        <v>2562880521.2799997</v>
      </c>
      <c r="AO13" s="26">
        <f t="shared" si="0"/>
        <v>2417045444.6099997</v>
      </c>
      <c r="AP13" s="26">
        <f t="shared" si="0"/>
        <v>2225872120.29</v>
      </c>
      <c r="AQ13" s="26">
        <f t="shared" si="0"/>
        <v>2171852002.2799997</v>
      </c>
      <c r="AR13" s="26">
        <f t="shared" si="0"/>
        <v>571003985.20999992</v>
      </c>
      <c r="AS13" s="26">
        <f t="shared" si="0"/>
        <v>461487114.07000005</v>
      </c>
      <c r="AT13" s="26">
        <f t="shared" si="0"/>
        <v>247869109.48999995</v>
      </c>
      <c r="AU13" s="26">
        <f t="shared" si="0"/>
        <v>73850314.38000001</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3587491977.3399997</v>
      </c>
      <c r="F14" s="48">
        <f t="shared" ref="F14:BQ14" si="2">F9</f>
        <v>4061986734.6300001</v>
      </c>
      <c r="G14" s="48">
        <f t="shared" si="2"/>
        <v>3898849888.4500003</v>
      </c>
      <c r="H14" s="48">
        <f t="shared" si="2"/>
        <v>3671399180.6199999</v>
      </c>
      <c r="I14" s="48">
        <f t="shared" si="2"/>
        <v>3530785966.6700001</v>
      </c>
      <c r="J14" s="48">
        <f t="shared" si="2"/>
        <v>3367415813.2099996</v>
      </c>
      <c r="K14" s="48">
        <f t="shared" si="2"/>
        <v>3230629835.25</v>
      </c>
      <c r="L14" s="48">
        <f t="shared" si="2"/>
        <v>3526476532.8900003</v>
      </c>
      <c r="M14" s="48">
        <f t="shared" si="2"/>
        <v>3388790830.3599997</v>
      </c>
      <c r="N14" s="48">
        <f t="shared" si="2"/>
        <v>3256183009.4999995</v>
      </c>
      <c r="O14" s="48">
        <f t="shared" si="2"/>
        <v>3054406054.3900003</v>
      </c>
      <c r="P14" s="48">
        <f t="shared" si="2"/>
        <v>3385983233.7600002</v>
      </c>
      <c r="Q14" s="48">
        <f t="shared" si="2"/>
        <v>3261451907.0300007</v>
      </c>
      <c r="R14" s="48">
        <f t="shared" si="2"/>
        <v>3156145021.0799999</v>
      </c>
      <c r="S14" s="48">
        <f t="shared" si="2"/>
        <v>3040119201.5299997</v>
      </c>
      <c r="T14" s="48">
        <f t="shared" si="2"/>
        <v>3226422325.8500004</v>
      </c>
      <c r="U14" s="48">
        <f t="shared" si="2"/>
        <v>3104302884.6200004</v>
      </c>
      <c r="V14" s="48">
        <f t="shared" si="2"/>
        <v>2995579695.4899998</v>
      </c>
      <c r="W14" s="48">
        <f t="shared" si="2"/>
        <v>2938325745.1999998</v>
      </c>
      <c r="X14" s="48">
        <f t="shared" si="2"/>
        <v>3087420030.0600004</v>
      </c>
      <c r="Y14" s="48">
        <f t="shared" si="2"/>
        <v>2954860930.27</v>
      </c>
      <c r="Z14" s="48">
        <f t="shared" si="2"/>
        <v>2886539002.1100001</v>
      </c>
      <c r="AA14" s="48">
        <f t="shared" si="2"/>
        <v>2731515154.73</v>
      </c>
      <c r="AB14" s="48">
        <f t="shared" si="2"/>
        <v>2728125039.6399994</v>
      </c>
      <c r="AC14" s="48">
        <f t="shared" si="2"/>
        <v>2590054892.5</v>
      </c>
      <c r="AD14" s="48">
        <f t="shared" si="2"/>
        <v>2915336966.9700003</v>
      </c>
      <c r="AE14" s="48">
        <f t="shared" si="2"/>
        <v>2874207724.1999998</v>
      </c>
      <c r="AF14" s="48">
        <f t="shared" si="2"/>
        <v>3161669736.7800002</v>
      </c>
      <c r="AG14" s="48">
        <f t="shared" si="2"/>
        <v>3029482738.6900001</v>
      </c>
      <c r="AH14" s="48">
        <f t="shared" si="2"/>
        <v>2881186459.52</v>
      </c>
      <c r="AI14" s="48">
        <f t="shared" si="2"/>
        <v>2659783724.3000002</v>
      </c>
      <c r="AJ14" s="48">
        <f t="shared" si="2"/>
        <v>2909931326.9000001</v>
      </c>
      <c r="AK14" s="48">
        <f t="shared" si="2"/>
        <v>2825127109.5</v>
      </c>
      <c r="AL14" s="48">
        <f t="shared" si="2"/>
        <v>2668898392.1700001</v>
      </c>
      <c r="AM14" s="48">
        <f t="shared" si="2"/>
        <v>2478759414.3699999</v>
      </c>
      <c r="AN14" s="48">
        <f t="shared" si="2"/>
        <v>2562880521.2799997</v>
      </c>
      <c r="AO14" s="48">
        <f t="shared" si="2"/>
        <v>2417045444.6099997</v>
      </c>
      <c r="AP14" s="48">
        <f t="shared" si="2"/>
        <v>2225872120.29</v>
      </c>
      <c r="AQ14" s="48">
        <f t="shared" si="2"/>
        <v>2171852002.2799997</v>
      </c>
      <c r="AR14" s="48">
        <f t="shared" si="2"/>
        <v>571003985.20999992</v>
      </c>
      <c r="AS14" s="48">
        <f t="shared" si="2"/>
        <v>461487114.07000005</v>
      </c>
      <c r="AT14" s="48">
        <f t="shared" si="2"/>
        <v>247869109.48999995</v>
      </c>
      <c r="AU14" s="48">
        <f t="shared" si="2"/>
        <v>73850314.38000001</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1459010640.3200002</v>
      </c>
      <c r="F15" s="58">
        <f t="shared" ref="F15:BQ15" si="4">F11+F13-F3-F4-F7</f>
        <v>1513212442.1800003</v>
      </c>
      <c r="G15" s="58">
        <f t="shared" si="4"/>
        <v>1695614036.8599999</v>
      </c>
      <c r="H15" s="58">
        <f t="shared" si="4"/>
        <v>1434354578.0999999</v>
      </c>
      <c r="I15" s="58">
        <f t="shared" si="4"/>
        <v>1454566149.0699999</v>
      </c>
      <c r="J15" s="58">
        <f t="shared" si="4"/>
        <v>1508192554.3899999</v>
      </c>
      <c r="K15" s="58">
        <f t="shared" si="4"/>
        <v>1499512417.4300003</v>
      </c>
      <c r="L15" s="58">
        <f t="shared" si="4"/>
        <v>1737170838.3499999</v>
      </c>
      <c r="M15" s="58">
        <f t="shared" si="4"/>
        <v>1699812745.04</v>
      </c>
      <c r="N15" s="58">
        <f t="shared" si="4"/>
        <v>1009742143.6999999</v>
      </c>
      <c r="O15" s="58">
        <f t="shared" si="4"/>
        <v>989942780.06000006</v>
      </c>
      <c r="P15" s="58">
        <f t="shared" si="4"/>
        <v>965971794.47000039</v>
      </c>
      <c r="Q15" s="58">
        <f t="shared" si="4"/>
        <v>1510113230.1800003</v>
      </c>
      <c r="R15" s="58">
        <f t="shared" si="4"/>
        <v>568839784.13999987</v>
      </c>
      <c r="S15" s="58">
        <f t="shared" si="4"/>
        <v>427495525.22999978</v>
      </c>
      <c r="T15" s="58">
        <f t="shared" si="4"/>
        <v>1002115118.5300002</v>
      </c>
      <c r="U15" s="58">
        <f t="shared" si="4"/>
        <v>1065323285.9199998</v>
      </c>
      <c r="V15" s="58">
        <f t="shared" si="4"/>
        <v>860492619.50999999</v>
      </c>
      <c r="W15" s="58">
        <f t="shared" si="4"/>
        <v>1029960090.52</v>
      </c>
      <c r="X15" s="58">
        <f t="shared" si="4"/>
        <v>1474798249.8400002</v>
      </c>
      <c r="Y15" s="58">
        <f t="shared" si="4"/>
        <v>1493314664.8600004</v>
      </c>
      <c r="Z15" s="58">
        <f t="shared" si="4"/>
        <v>1418814736.1700001</v>
      </c>
      <c r="AA15" s="58">
        <f t="shared" si="4"/>
        <v>1339383001.2600002</v>
      </c>
      <c r="AB15" s="58">
        <f t="shared" si="4"/>
        <v>1562123311.2599998</v>
      </c>
      <c r="AC15" s="58">
        <f t="shared" si="4"/>
        <v>1533179291.0999997</v>
      </c>
      <c r="AD15" s="58">
        <f t="shared" si="4"/>
        <v>2035870212.6200004</v>
      </c>
      <c r="AE15" s="58">
        <f t="shared" si="4"/>
        <v>2031002383.01</v>
      </c>
      <c r="AF15" s="58">
        <f t="shared" si="4"/>
        <v>2321145059.6900005</v>
      </c>
      <c r="AG15" s="58">
        <f t="shared" si="4"/>
        <v>2293198872.3800001</v>
      </c>
      <c r="AH15" s="58">
        <f t="shared" si="4"/>
        <v>2387988865.8800001</v>
      </c>
      <c r="AI15" s="58">
        <f t="shared" si="4"/>
        <v>2319899469.7800002</v>
      </c>
      <c r="AJ15" s="58">
        <f t="shared" si="4"/>
        <v>2387307098.2800002</v>
      </c>
      <c r="AK15" s="58">
        <f t="shared" si="4"/>
        <v>2568785393.6200004</v>
      </c>
      <c r="AL15" s="58">
        <f t="shared" si="4"/>
        <v>2383853084.0700002</v>
      </c>
      <c r="AM15" s="58">
        <f t="shared" si="4"/>
        <v>2280313469.0999999</v>
      </c>
      <c r="AN15" s="58">
        <f t="shared" si="4"/>
        <v>2313246919.6999998</v>
      </c>
      <c r="AO15" s="58">
        <f t="shared" si="4"/>
        <v>2387071627.4099994</v>
      </c>
      <c r="AP15" s="58">
        <f t="shared" si="4"/>
        <v>2048213197.51</v>
      </c>
      <c r="AQ15" s="58">
        <f t="shared" si="4"/>
        <v>1827087947.0699997</v>
      </c>
      <c r="AR15" s="58">
        <f t="shared" si="4"/>
        <v>394625422.69999993</v>
      </c>
      <c r="AS15" s="58">
        <f t="shared" si="4"/>
        <v>450300348.37000012</v>
      </c>
      <c r="AT15" s="58">
        <f t="shared" si="4"/>
        <v>186674964.63</v>
      </c>
      <c r="AU15" s="58">
        <f t="shared" si="4"/>
        <v>64488694.780000009</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-1459010640.3200002</v>
      </c>
      <c r="F16" s="58">
        <f t="shared" ref="F16:BQ16" si="6">F10-F2</f>
        <v>-1513212442.1800001</v>
      </c>
      <c r="G16" s="58">
        <f t="shared" si="6"/>
        <v>-1695614036.8600001</v>
      </c>
      <c r="H16" s="58">
        <f t="shared" si="6"/>
        <v>-1434354578.0999999</v>
      </c>
      <c r="I16" s="58">
        <f t="shared" si="6"/>
        <v>-1454566149.0700002</v>
      </c>
      <c r="J16" s="58">
        <f t="shared" si="6"/>
        <v>-1508192554.3899999</v>
      </c>
      <c r="K16" s="58">
        <f t="shared" si="6"/>
        <v>-1499512417.4299998</v>
      </c>
      <c r="L16" s="58">
        <f t="shared" si="6"/>
        <v>-1737170838.3500001</v>
      </c>
      <c r="M16" s="58">
        <f t="shared" si="6"/>
        <v>-1699812745.04</v>
      </c>
      <c r="N16" s="58">
        <f t="shared" si="6"/>
        <v>-1009742143.6999998</v>
      </c>
      <c r="O16" s="58">
        <f t="shared" si="6"/>
        <v>-989942780.05999994</v>
      </c>
      <c r="P16" s="58">
        <f t="shared" si="6"/>
        <v>-965971794.46999991</v>
      </c>
      <c r="Q16" s="58">
        <f t="shared" si="6"/>
        <v>-1510113230.1800001</v>
      </c>
      <c r="R16" s="58">
        <f t="shared" si="6"/>
        <v>-568839784.13999999</v>
      </c>
      <c r="S16" s="58">
        <f t="shared" si="6"/>
        <v>-427495525.22999996</v>
      </c>
      <c r="T16" s="58">
        <f t="shared" si="6"/>
        <v>-1002115118.53</v>
      </c>
      <c r="U16" s="58">
        <f t="shared" si="6"/>
        <v>-1065323285.92</v>
      </c>
      <c r="V16" s="58">
        <f t="shared" si="6"/>
        <v>-860492619.50999999</v>
      </c>
      <c r="W16" s="58">
        <f t="shared" si="6"/>
        <v>-1029960090.52</v>
      </c>
      <c r="X16" s="58">
        <f t="shared" si="6"/>
        <v>-1474798249.8399999</v>
      </c>
      <c r="Y16" s="58">
        <f t="shared" si="6"/>
        <v>-1493314664.8600001</v>
      </c>
      <c r="Z16" s="58">
        <f t="shared" si="6"/>
        <v>-1418814736.1700001</v>
      </c>
      <c r="AA16" s="58">
        <f t="shared" si="6"/>
        <v>-1339383001.26</v>
      </c>
      <c r="AB16" s="58">
        <f t="shared" si="6"/>
        <v>-1562123311.26</v>
      </c>
      <c r="AC16" s="58">
        <f t="shared" si="6"/>
        <v>-1533179291.0999999</v>
      </c>
      <c r="AD16" s="58">
        <f t="shared" si="6"/>
        <v>-2035870212.6200001</v>
      </c>
      <c r="AE16" s="58">
        <f t="shared" si="6"/>
        <v>-2031002383.01</v>
      </c>
      <c r="AF16" s="58">
        <f t="shared" si="6"/>
        <v>-2321145059.6900001</v>
      </c>
      <c r="AG16" s="58">
        <f t="shared" si="6"/>
        <v>-2293198872.3800001</v>
      </c>
      <c r="AH16" s="58">
        <f t="shared" si="6"/>
        <v>-2387988865.8800001</v>
      </c>
      <c r="AI16" s="58">
        <f t="shared" si="6"/>
        <v>-2319899469.7800002</v>
      </c>
      <c r="AJ16" s="58">
        <f t="shared" si="6"/>
        <v>-2387307098.2800002</v>
      </c>
      <c r="AK16" s="58">
        <f t="shared" si="6"/>
        <v>-2568785393.6199999</v>
      </c>
      <c r="AL16" s="58">
        <f t="shared" si="6"/>
        <v>-2383853084.0700002</v>
      </c>
      <c r="AM16" s="58">
        <f t="shared" si="6"/>
        <v>-2280313469.0999999</v>
      </c>
      <c r="AN16" s="58">
        <f t="shared" si="6"/>
        <v>-2313246919.6999998</v>
      </c>
      <c r="AO16" s="58">
        <f t="shared" si="6"/>
        <v>-2387071627.4099998</v>
      </c>
      <c r="AP16" s="58">
        <f t="shared" si="6"/>
        <v>-2048213197.51</v>
      </c>
      <c r="AQ16" s="58">
        <f t="shared" si="6"/>
        <v>-1827087947.0699999</v>
      </c>
      <c r="AR16" s="58">
        <f t="shared" si="6"/>
        <v>-394625422.69999999</v>
      </c>
      <c r="AS16" s="58">
        <f t="shared" si="6"/>
        <v>-450300348.37</v>
      </c>
      <c r="AT16" s="58">
        <f t="shared" si="6"/>
        <v>-186674964.63</v>
      </c>
      <c r="AU16" s="58">
        <f t="shared" si="6"/>
        <v>-64488694.780000001</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2.4531375244817801</v>
      </c>
      <c r="F17" s="59">
        <f t="shared" ref="F17:BQ17" si="8">(F11+F13-F7-F3)/F4</f>
        <v>2.0351643553362448</v>
      </c>
      <c r="G17" s="59">
        <f t="shared" si="8"/>
        <v>2.491616099207453</v>
      </c>
      <c r="H17" s="59">
        <f t="shared" si="8"/>
        <v>2.225515630572386</v>
      </c>
      <c r="I17" s="59">
        <f t="shared" si="8"/>
        <v>2.4774369361647772</v>
      </c>
      <c r="J17" s="59">
        <f t="shared" si="8"/>
        <v>2.8660190728671231</v>
      </c>
      <c r="K17" s="59">
        <f t="shared" si="8"/>
        <v>3.2194627375858862</v>
      </c>
      <c r="L17" s="59">
        <f t="shared" si="8"/>
        <v>3.2629901703864701</v>
      </c>
      <c r="M17" s="59">
        <f t="shared" si="8"/>
        <v>3.6943639615460868</v>
      </c>
      <c r="N17" s="59">
        <f t="shared" si="8"/>
        <v>1.8897700914772297</v>
      </c>
      <c r="O17" s="59">
        <f t="shared" si="8"/>
        <v>2.0341105616156701</v>
      </c>
      <c r="P17" s="59">
        <f t="shared" si="8"/>
        <v>1.7466009309639225</v>
      </c>
      <c r="Q17" s="59">
        <f t="shared" si="8"/>
        <v>3.5600163738019677</v>
      </c>
      <c r="R17" s="59">
        <f t="shared" si="8"/>
        <v>1.4837514336328674</v>
      </c>
      <c r="S17" s="59">
        <f t="shared" si="8"/>
        <v>1.3618526579382837</v>
      </c>
      <c r="T17" s="59">
        <f t="shared" si="8"/>
        <v>2.1212121744254389</v>
      </c>
      <c r="U17" s="59">
        <f t="shared" si="8"/>
        <v>2.4767008246066946</v>
      </c>
      <c r="V17" s="59">
        <f t="shared" si="8"/>
        <v>2.0949591550036164</v>
      </c>
      <c r="W17" s="59">
        <f t="shared" si="8"/>
        <v>2.4621847690843102</v>
      </c>
      <c r="X17" s="59">
        <f t="shared" si="8"/>
        <v>3.885810642229734</v>
      </c>
      <c r="Y17" s="59">
        <f t="shared" si="8"/>
        <v>5.1288570070796791</v>
      </c>
      <c r="Z17" s="59">
        <f t="shared" si="8"/>
        <v>4.3501186244011532</v>
      </c>
      <c r="AA17" s="59">
        <f t="shared" si="8"/>
        <v>4.8384205314809838</v>
      </c>
      <c r="AB17" s="59">
        <f t="shared" si="8"/>
        <v>9.324425648316895</v>
      </c>
      <c r="AC17" s="59">
        <f t="shared" si="8"/>
        <v>22.436348595907752</v>
      </c>
      <c r="AD17" s="59">
        <f t="shared" si="8"/>
        <v>-8.5711082840124515</v>
      </c>
      <c r="AE17" s="59">
        <f t="shared" si="8"/>
        <v>-9.3144269816915592</v>
      </c>
      <c r="AF17" s="59">
        <f t="shared" si="8"/>
        <v>-9.5243919447372161</v>
      </c>
      <c r="AG17" s="59">
        <f t="shared" si="8"/>
        <v>-6.6940108843441566</v>
      </c>
      <c r="AH17" s="59">
        <f t="shared" si="8"/>
        <v>-7.0376944348836217</v>
      </c>
      <c r="AI17" s="59">
        <f t="shared" si="8"/>
        <v>-5.1443749694392169</v>
      </c>
      <c r="AJ17" s="59">
        <f t="shared" si="8"/>
        <v>-10.285862525565056</v>
      </c>
      <c r="AK17" s="59">
        <f t="shared" si="8"/>
        <v>-4.3670165242505279</v>
      </c>
      <c r="AL17" s="59">
        <f t="shared" si="8"/>
        <v>-5.8525880863041024</v>
      </c>
      <c r="AM17" s="59">
        <f t="shared" si="8"/>
        <v>-5.073050022443903</v>
      </c>
      <c r="AN17" s="59">
        <f t="shared" si="8"/>
        <v>-7.7623416815577313</v>
      </c>
      <c r="AO17" s="59">
        <f t="shared" si="8"/>
        <v>-4.5825761625351538</v>
      </c>
      <c r="AP17" s="59">
        <f t="shared" si="8"/>
        <v>-14.795124804726123</v>
      </c>
      <c r="AQ17" s="59">
        <f t="shared" si="8"/>
        <v>16.640017977584375</v>
      </c>
      <c r="AR17" s="59">
        <f t="shared" si="8"/>
        <v>-12.597287652866918</v>
      </c>
      <c r="AS17" s="59">
        <f t="shared" si="8"/>
        <v>-1.549341059203021</v>
      </c>
      <c r="AT17" s="59">
        <f t="shared" si="8"/>
        <v>-1.8297839384691454</v>
      </c>
      <c r="AU17" s="59">
        <f t="shared" si="8"/>
        <v>19.30035470119731</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6" t="s">
        <v>745</v>
      </c>
      <c r="B18" s="278"/>
      <c r="C18" s="278"/>
      <c r="D18" s="278"/>
      <c r="E18" s="278"/>
      <c r="F18" s="278"/>
      <c r="G18" s="278"/>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278"/>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2.9355454142223847E-2</v>
      </c>
      <c r="F20" s="115"/>
      <c r="G20" s="115"/>
      <c r="H20" s="115"/>
      <c r="I20" s="115">
        <f>POWER(E9/Y9,1/6)-1</f>
        <v>3.2862037729081139E-2</v>
      </c>
      <c r="M20" s="115">
        <f>POWER(E9/AC9,1/7)-1</f>
        <v>4.7639127055102426E-2</v>
      </c>
    </row>
    <row r="21" spans="1:90" s="63" customFormat="1" ht="14.25" customHeight="1" x14ac:dyDescent="0.25">
      <c r="A21" s="113" t="s">
        <v>574</v>
      </c>
      <c r="B21" s="115"/>
      <c r="C21" s="115"/>
      <c r="D21" s="115"/>
      <c r="E21" s="115">
        <f>POWER(E4/U4,1/5)-1</f>
        <v>6.8347573046478205E-2</v>
      </c>
      <c r="F21" s="115"/>
      <c r="G21" s="115"/>
      <c r="H21" s="115"/>
      <c r="I21" s="115">
        <f>POWER(E4/Y4,1/6)-1</f>
        <v>0.18550951031080309</v>
      </c>
      <c r="M21" s="115">
        <f>POWER(E4/AC4,1/7)-1</f>
        <v>0.4584830039033172</v>
      </c>
    </row>
    <row r="22" spans="1:90" s="63" customFormat="1" ht="14.25" customHeight="1" x14ac:dyDescent="0.25">
      <c r="A22" s="113" t="s">
        <v>577</v>
      </c>
      <c r="B22" s="115"/>
      <c r="C22" s="115"/>
      <c r="D22" s="115"/>
      <c r="E22" s="115">
        <f>POWER(E5/U5,1/5)-1</f>
        <v>5.1790425976359966E-2</v>
      </c>
      <c r="F22" s="115"/>
      <c r="G22" s="115"/>
      <c r="H22" s="115"/>
      <c r="I22" s="115">
        <f>POWER(E5/Y5,1/6)-1</f>
        <v>8.8107102152676919E-2</v>
      </c>
      <c r="M22" s="115">
        <f>POWER(E5/AC5,1/7)-1</f>
        <v>0.10821935542406691</v>
      </c>
    </row>
    <row r="23" spans="1:90" s="63" customFormat="1" ht="14.25" customHeight="1" x14ac:dyDescent="0.25">
      <c r="A23" s="113" t="s">
        <v>578</v>
      </c>
      <c r="B23" s="115"/>
      <c r="C23" s="115"/>
      <c r="D23" s="115"/>
      <c r="E23" s="115">
        <f>POWER(E6/U6,1/5)-1</f>
        <v>4.3011729552328015E-2</v>
      </c>
      <c r="F23" s="115"/>
      <c r="G23" s="115"/>
      <c r="H23" s="115"/>
      <c r="I23" s="115">
        <f>POWER(E6/Y6,1/6)-1</f>
        <v>5.1334011873019225E-2</v>
      </c>
      <c r="M23" s="115">
        <f>POWER(E6/AC6,1/7)-1</f>
        <v>4.721491486704088E-2</v>
      </c>
    </row>
    <row r="24" spans="1:90" s="63" customFormat="1" ht="14.25" customHeight="1" x14ac:dyDescent="0.25">
      <c r="A24" s="113" t="s">
        <v>579</v>
      </c>
      <c r="B24" s="115"/>
      <c r="C24" s="115"/>
      <c r="D24" s="115"/>
      <c r="E24" s="115">
        <f>POWER(E7/U7,1/5)-1</f>
        <v>-6.8701321514627933E-2</v>
      </c>
      <c r="F24" s="115"/>
      <c r="G24" s="115"/>
      <c r="H24" s="115"/>
      <c r="I24" s="115">
        <f>POWER(E7/Y7,1/6)-1</f>
        <v>-3.425527488481539E-2</v>
      </c>
      <c r="M24" s="115">
        <f>POWER(E7/AC7,1/7)-1</f>
        <v>-1.3372748449025251E-2</v>
      </c>
    </row>
    <row r="25" spans="1:90" s="107" customFormat="1" x14ac:dyDescent="0.25">
      <c r="A25" s="143" t="s">
        <v>555</v>
      </c>
      <c r="B25" s="108"/>
      <c r="C25" s="108"/>
      <c r="D25" s="108"/>
      <c r="E25" s="108">
        <f>(E2-I2)/I2</f>
        <v>-2.8575466386624435E-3</v>
      </c>
      <c r="F25" s="108">
        <f t="shared" ref="F25:BQ25" si="10">(F2-J2)/J2</f>
        <v>-2.3771749621065339E-3</v>
      </c>
      <c r="G25" s="108">
        <f t="shared" si="10"/>
        <v>0.12991474426750607</v>
      </c>
      <c r="H25" s="108">
        <f t="shared" si="10"/>
        <v>-0.17361769788602346</v>
      </c>
      <c r="I25" s="108">
        <f t="shared" si="10"/>
        <v>-0.14372295169231694</v>
      </c>
      <c r="J25" s="107">
        <f t="shared" si="10"/>
        <v>0.47150065292251703</v>
      </c>
      <c r="K25" s="107">
        <f t="shared" si="10"/>
        <v>0.50521975344199721</v>
      </c>
      <c r="L25" s="107">
        <f t="shared" si="10"/>
        <v>0.78499544834459578</v>
      </c>
      <c r="M25" s="108">
        <f t="shared" si="10"/>
        <v>0.12244611828608667</v>
      </c>
      <c r="N25" s="108">
        <f t="shared" si="10"/>
        <v>0.81210393935158598</v>
      </c>
      <c r="O25" s="108">
        <f t="shared" si="10"/>
        <v>1.3438234108320095</v>
      </c>
      <c r="P25" s="108">
        <f t="shared" si="10"/>
        <v>-2.3831836900168577E-2</v>
      </c>
      <c r="Q25" s="108">
        <f t="shared" si="10"/>
        <v>0.42902565850261737</v>
      </c>
      <c r="R25" s="108">
        <f t="shared" si="10"/>
        <v>-0.3389370562365534</v>
      </c>
      <c r="S25" s="108">
        <f t="shared" si="10"/>
        <v>-0.58493971837863279</v>
      </c>
      <c r="T25" s="108">
        <f t="shared" si="10"/>
        <v>-0.32050697874185918</v>
      </c>
      <c r="U25" s="108">
        <f t="shared" si="10"/>
        <v>-0.28660495273454295</v>
      </c>
      <c r="V25" s="107">
        <f t="shared" si="10"/>
        <v>-0.39351305172312706</v>
      </c>
      <c r="W25" s="107">
        <f t="shared" si="10"/>
        <v>-0.23101899191561792</v>
      </c>
      <c r="X25" s="107">
        <f t="shared" si="10"/>
        <v>-5.5901516090662628E-2</v>
      </c>
      <c r="Y25" s="107">
        <f t="shared" si="10"/>
        <v>-2.6001281436170694E-2</v>
      </c>
      <c r="Z25" s="107">
        <f t="shared" si="10"/>
        <v>-0.30309175537074123</v>
      </c>
      <c r="AA25" s="107">
        <f t="shared" si="10"/>
        <v>-0.3405310537966979</v>
      </c>
      <c r="AB25" s="107">
        <f t="shared" si="10"/>
        <v>-0.32700315099279964</v>
      </c>
      <c r="AC25" s="107">
        <f t="shared" si="10"/>
        <v>-0.33142331894277127</v>
      </c>
      <c r="AD25" s="107">
        <f t="shared" si="10"/>
        <v>-0.14745405989581128</v>
      </c>
      <c r="AE25" s="107">
        <f t="shared" si="10"/>
        <v>-0.12453000249937417</v>
      </c>
      <c r="AF25" s="107">
        <f t="shared" si="10"/>
        <v>-2.7714087826265995E-2</v>
      </c>
      <c r="AG25" s="107">
        <f t="shared" si="10"/>
        <v>-0.10728281230672836</v>
      </c>
      <c r="AH25" s="107">
        <f t="shared" si="10"/>
        <v>1.7349147217322804E-3</v>
      </c>
      <c r="AI25" s="107">
        <f t="shared" si="10"/>
        <v>1.7359894249813036E-2</v>
      </c>
      <c r="AJ25" s="107">
        <f t="shared" si="10"/>
        <v>3.2015682350764831E-2</v>
      </c>
      <c r="AK25" s="107">
        <f t="shared" si="10"/>
        <v>7.612413642030573E-2</v>
      </c>
      <c r="AL25" s="107">
        <f t="shared" si="10"/>
        <v>0.16386960447673879</v>
      </c>
      <c r="AM25" s="107">
        <f t="shared" si="10"/>
        <v>0.24805895236560052</v>
      </c>
      <c r="AN25" s="107">
        <f t="shared" si="10"/>
        <v>4.8618801188046215</v>
      </c>
      <c r="AO25" s="107">
        <f t="shared" si="10"/>
        <v>4.3010654689714025</v>
      </c>
      <c r="AP25" s="107">
        <f t="shared" si="10"/>
        <v>9.9720829548283074</v>
      </c>
      <c r="AQ25" s="107">
        <f t="shared" si="10"/>
        <v>27.331910783789628</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0.40669377089500997</v>
      </c>
      <c r="F26" s="108">
        <f t="shared" ref="F26:BQ26" si="12">F2/F9</f>
        <v>0.37253012898325877</v>
      </c>
      <c r="G26" s="108">
        <f t="shared" si="12"/>
        <v>0.43708462639413931</v>
      </c>
      <c r="H26" s="108">
        <f t="shared" si="12"/>
        <v>0.39303277500223216</v>
      </c>
      <c r="I26" s="108">
        <f t="shared" si="12"/>
        <v>0.41440965067899155</v>
      </c>
      <c r="J26" s="108">
        <f t="shared" si="12"/>
        <v>0.45043982345146982</v>
      </c>
      <c r="K26" s="108">
        <f t="shared" si="12"/>
        <v>0.46684119330969082</v>
      </c>
      <c r="L26" s="108">
        <f t="shared" si="12"/>
        <v>0.49515180721166213</v>
      </c>
      <c r="M26" s="108">
        <f t="shared" si="12"/>
        <v>0.5042456795300263</v>
      </c>
      <c r="N26" s="108">
        <f t="shared" si="12"/>
        <v>0.31656599481436487</v>
      </c>
      <c r="O26" s="108">
        <f t="shared" si="12"/>
        <v>0.32804217979462641</v>
      </c>
      <c r="P26" s="108">
        <f t="shared" si="12"/>
        <v>0.28890659136067576</v>
      </c>
      <c r="Q26" s="108">
        <f t="shared" si="12"/>
        <v>0.46677809563849454</v>
      </c>
      <c r="R26" s="108">
        <f t="shared" si="12"/>
        <v>0.18023246091060446</v>
      </c>
      <c r="S26" s="108">
        <f t="shared" si="12"/>
        <v>0.14061801425906406</v>
      </c>
      <c r="T26" s="108">
        <f t="shared" si="12"/>
        <v>0.31059638736723438</v>
      </c>
      <c r="U26" s="108">
        <f t="shared" si="12"/>
        <v>0.34317633475716941</v>
      </c>
      <c r="V26" s="108">
        <f t="shared" si="12"/>
        <v>0.28725412340239725</v>
      </c>
      <c r="W26" s="108">
        <f t="shared" si="12"/>
        <v>0.35052617709337558</v>
      </c>
      <c r="X26" s="108">
        <f t="shared" si="12"/>
        <v>0.47767982181917079</v>
      </c>
      <c r="Y26" s="108">
        <f t="shared" si="12"/>
        <v>0.50537561668716124</v>
      </c>
      <c r="Z26" s="108">
        <f t="shared" si="12"/>
        <v>0.49152799776232919</v>
      </c>
      <c r="AA26" s="108">
        <f t="shared" si="12"/>
        <v>0.49034434201863064</v>
      </c>
      <c r="AB26" s="108">
        <f t="shared" si="12"/>
        <v>0.57259960176390456</v>
      </c>
      <c r="AC26" s="108">
        <f t="shared" si="12"/>
        <v>0.59194857048768124</v>
      </c>
      <c r="AD26" s="108">
        <f t="shared" si="12"/>
        <v>0.69833101136708153</v>
      </c>
      <c r="AE26" s="108">
        <f t="shared" si="12"/>
        <v>0.70663034056639185</v>
      </c>
      <c r="AF26" s="108">
        <f t="shared" si="12"/>
        <v>0.73415165179585395</v>
      </c>
      <c r="AG26" s="108">
        <f t="shared" si="12"/>
        <v>0.7569605342500213</v>
      </c>
      <c r="AH26" s="108">
        <f t="shared" si="12"/>
        <v>0.82882135517110345</v>
      </c>
      <c r="AI26" s="108">
        <f t="shared" si="12"/>
        <v>0.87221357457947057</v>
      </c>
      <c r="AJ26" s="108">
        <f t="shared" si="12"/>
        <v>0.82039980676218893</v>
      </c>
      <c r="AK26" s="108">
        <f t="shared" si="12"/>
        <v>0.90926365223780381</v>
      </c>
      <c r="AL26" s="108">
        <f t="shared" si="12"/>
        <v>0.89319739225132577</v>
      </c>
      <c r="AM26" s="108">
        <f t="shared" si="12"/>
        <v>0.91994142548907398</v>
      </c>
      <c r="AN26" s="108">
        <f t="shared" si="12"/>
        <v>0.90259647318427338</v>
      </c>
      <c r="AO26" s="108">
        <f t="shared" si="12"/>
        <v>0.98759898484042108</v>
      </c>
      <c r="AP26" s="108">
        <f t="shared" si="12"/>
        <v>0.92018457791867514</v>
      </c>
      <c r="AQ26" s="108">
        <f t="shared" si="12"/>
        <v>0.84125803468741511</v>
      </c>
      <c r="AR26" s="108">
        <f t="shared" si="12"/>
        <v>0.69110800085723989</v>
      </c>
      <c r="AS26" s="108">
        <f t="shared" si="12"/>
        <v>0.97575931080428135</v>
      </c>
      <c r="AT26" s="108">
        <f t="shared" si="12"/>
        <v>0.75311911602898318</v>
      </c>
      <c r="AU26" s="108">
        <f t="shared" si="12"/>
        <v>0.87323520991624504</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0.41309624565429837</v>
      </c>
      <c r="F27" s="109">
        <f t="shared" ref="F27:BQ27" si="14">(F3-J3)/J3</f>
        <v>0.46632579972043187</v>
      </c>
      <c r="G27" s="109">
        <f t="shared" si="14"/>
        <v>0.34194653524047691</v>
      </c>
      <c r="H27" s="109">
        <f t="shared" si="14"/>
        <v>0.72022923204807587</v>
      </c>
      <c r="I27" s="109">
        <f t="shared" si="14"/>
        <v>0.65490693128216382</v>
      </c>
      <c r="J27" s="109">
        <f t="shared" si="14"/>
        <v>-6.336428830099132E-2</v>
      </c>
      <c r="K27" s="109">
        <f t="shared" si="14"/>
        <v>0.8206226296670881</v>
      </c>
      <c r="L27" s="109">
        <f t="shared" si="14"/>
        <v>0.2341122984882627</v>
      </c>
      <c r="M27" s="109">
        <f t="shared" si="14"/>
        <v>0.19169475249615339</v>
      </c>
      <c r="N27" s="109">
        <f t="shared" si="14"/>
        <v>1.0463927078029058</v>
      </c>
      <c r="O27" s="109">
        <f t="shared" si="14"/>
        <v>0.12883935306629782</v>
      </c>
      <c r="P27" s="109">
        <f t="shared" si="14"/>
        <v>9.9398713324697477E-2</v>
      </c>
      <c r="Q27" s="109">
        <f t="shared" si="14"/>
        <v>6.3921498734895554E-2</v>
      </c>
      <c r="R27" s="109">
        <f t="shared" si="14"/>
        <v>-6.3133994343477759E-2</v>
      </c>
      <c r="S27" s="109">
        <f t="shared" si="14"/>
        <v>-0.12256531894407752</v>
      </c>
      <c r="T27" s="109">
        <f t="shared" si="14"/>
        <v>1.2153999112263427</v>
      </c>
      <c r="U27" s="109">
        <f t="shared" si="14"/>
        <v>1.2840942088739089</v>
      </c>
      <c r="V27" s="109">
        <f t="shared" si="14"/>
        <v>1.401190377582664</v>
      </c>
      <c r="W27" s="109">
        <f t="shared" si="14"/>
        <v>1.3549333350584067</v>
      </c>
      <c r="X27" s="109">
        <f t="shared" si="14"/>
        <v>-3.0948454602467503E-2</v>
      </c>
      <c r="Y27" s="109">
        <f t="shared" si="14"/>
        <v>-1.6080431626335236E-2</v>
      </c>
      <c r="Z27" s="109">
        <f t="shared" si="14"/>
        <v>0.22784419579409293</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7.3512165129785839E-2</v>
      </c>
      <c r="F28" s="109">
        <f t="shared" ref="F28:BQ28" si="16">F3/F9</f>
        <v>6.0586752807900809E-2</v>
      </c>
      <c r="G28" s="109">
        <f t="shared" si="16"/>
        <v>5.850203746127762E-2</v>
      </c>
      <c r="H28" s="109">
        <f t="shared" si="16"/>
        <v>5.4036090152555311E-2</v>
      </c>
      <c r="I28" s="109">
        <f t="shared" si="16"/>
        <v>5.2857548659630486E-2</v>
      </c>
      <c r="J28" s="109">
        <f t="shared" si="16"/>
        <v>4.9841253314068627E-2</v>
      </c>
      <c r="K28" s="109">
        <f t="shared" si="16"/>
        <v>5.2612034138181295E-2</v>
      </c>
      <c r="L28" s="109">
        <f t="shared" si="16"/>
        <v>3.2703045806315965E-2</v>
      </c>
      <c r="M28" s="109">
        <f t="shared" si="16"/>
        <v>3.3278218723231098E-2</v>
      </c>
      <c r="N28" s="109">
        <f t="shared" si="16"/>
        <v>5.5030845240334157E-2</v>
      </c>
      <c r="O28" s="109">
        <f t="shared" si="16"/>
        <v>3.0565083341103017E-2</v>
      </c>
      <c r="P28" s="109">
        <f t="shared" si="16"/>
        <v>2.7598769367274338E-2</v>
      </c>
      <c r="Q28" s="109">
        <f t="shared" si="16"/>
        <v>2.9015417856084771E-2</v>
      </c>
      <c r="R28" s="109">
        <f t="shared" si="16"/>
        <v>2.7743998949717616E-2</v>
      </c>
      <c r="S28" s="109">
        <f t="shared" si="16"/>
        <v>2.7203801837236575E-2</v>
      </c>
      <c r="T28" s="109">
        <f t="shared" si="16"/>
        <v>2.634499266539967E-2</v>
      </c>
      <c r="U28" s="109">
        <f t="shared" si="16"/>
        <v>2.8652738413728607E-2</v>
      </c>
      <c r="V28" s="109">
        <f t="shared" si="16"/>
        <v>3.1200938012337393E-2</v>
      </c>
      <c r="W28" s="109">
        <f t="shared" si="16"/>
        <v>3.2077866715075336E-2</v>
      </c>
      <c r="X28" s="109">
        <f t="shared" si="16"/>
        <v>1.2427147264201162E-2</v>
      </c>
      <c r="Y28" s="109">
        <f t="shared" si="16"/>
        <v>1.3178900069737529E-2</v>
      </c>
      <c r="Z28" s="109">
        <f t="shared" si="16"/>
        <v>1.3484799845609938E-2</v>
      </c>
      <c r="AA28" s="109">
        <f t="shared" si="16"/>
        <v>1.4652886552978426E-2</v>
      </c>
      <c r="AB28" s="109">
        <f t="shared" si="16"/>
        <v>1.4512960459915236E-2</v>
      </c>
      <c r="AC28" s="109">
        <f t="shared" si="16"/>
        <v>1.5280854631539435E-2</v>
      </c>
      <c r="AD28" s="109">
        <f t="shared" si="16"/>
        <v>1.0874014640217821E-2</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1.9828670824215296E-2</v>
      </c>
      <c r="F29" s="108">
        <f t="shared" ref="F29:BQ29" si="18">(F4-J4)/J4</f>
        <v>0.8086306251388472</v>
      </c>
      <c r="G29" s="108">
        <f t="shared" si="18"/>
        <v>0.68254904575092423</v>
      </c>
      <c r="H29" s="108">
        <f t="shared" si="18"/>
        <v>0.5246768506484939</v>
      </c>
      <c r="I29" s="108">
        <f t="shared" si="18"/>
        <v>0.56055724354419567</v>
      </c>
      <c r="J29" s="108">
        <f t="shared" si="18"/>
        <v>-0.28779005353848064</v>
      </c>
      <c r="K29" s="108">
        <f t="shared" si="18"/>
        <v>-0.29423667001388609</v>
      </c>
      <c r="L29" s="108">
        <f t="shared" si="18"/>
        <v>-0.40668689056256546</v>
      </c>
      <c r="M29" s="108">
        <f t="shared" si="18"/>
        <v>6.9493257269419503E-2</v>
      </c>
      <c r="N29" s="108">
        <f t="shared" si="18"/>
        <v>-3.4916297736661155E-2</v>
      </c>
      <c r="O29" s="108">
        <f t="shared" si="18"/>
        <v>-0.18970471329799446</v>
      </c>
      <c r="P29" s="108">
        <f t="shared" si="18"/>
        <v>0.44759178230524194</v>
      </c>
      <c r="Q29" s="108">
        <f t="shared" si="18"/>
        <v>-0.18233037112538844</v>
      </c>
      <c r="R29" s="108">
        <f t="shared" si="18"/>
        <v>0.49629928095834169</v>
      </c>
      <c r="S29" s="108">
        <f t="shared" si="18"/>
        <v>0.67718768599488188</v>
      </c>
      <c r="T29" s="108">
        <f t="shared" si="18"/>
        <v>0.74890019640789918</v>
      </c>
      <c r="U29" s="108">
        <f t="shared" si="18"/>
        <v>0.99465327751979127</v>
      </c>
      <c r="V29" s="108">
        <f t="shared" si="18"/>
        <v>0.85559727191089618</v>
      </c>
      <c r="W29" s="108">
        <f t="shared" si="18"/>
        <v>1.0186727096046246</v>
      </c>
      <c r="X29" s="108">
        <f t="shared" si="18"/>
        <v>1.7233518093618354</v>
      </c>
      <c r="Y29" s="108">
        <f t="shared" si="18"/>
        <v>4.0568416458358501</v>
      </c>
      <c r="Z29" s="108">
        <f t="shared" si="18"/>
        <v>-2.9910292802124268</v>
      </c>
      <c r="AA29" s="108">
        <f t="shared" si="18"/>
        <v>-2.7720945989423917</v>
      </c>
      <c r="AB29" s="108">
        <f t="shared" si="18"/>
        <v>-1.8508554122237832</v>
      </c>
      <c r="AC29" s="108">
        <f t="shared" si="18"/>
        <v>-1.2399679328808368</v>
      </c>
      <c r="AD29" s="108">
        <f t="shared" si="18"/>
        <v>-0.2840428135470513</v>
      </c>
      <c r="AE29" s="108">
        <f t="shared" si="18"/>
        <v>-0.47847651171643935</v>
      </c>
      <c r="AF29" s="108">
        <f t="shared" si="18"/>
        <v>4.2633645530803177E-2</v>
      </c>
      <c r="AG29" s="108">
        <f t="shared" si="18"/>
        <v>-0.37727825319541952</v>
      </c>
      <c r="AH29" s="108">
        <f t="shared" si="18"/>
        <v>-0.14596445561986707</v>
      </c>
      <c r="AI29" s="108">
        <f t="shared" si="18"/>
        <v>5.5502080093999401E-3</v>
      </c>
      <c r="AJ29" s="108">
        <f t="shared" si="18"/>
        <v>-0.19874320558139211</v>
      </c>
      <c r="AK29" s="108">
        <f t="shared" si="18"/>
        <v>0.11934534294128074</v>
      </c>
      <c r="AL29" s="108">
        <f t="shared" si="18"/>
        <v>1.6827040276766905</v>
      </c>
      <c r="AM29" s="108">
        <f t="shared" si="18"/>
        <v>-4.2141451791019584</v>
      </c>
      <c r="AN29" s="108">
        <f t="shared" si="18"/>
        <v>8.0963891912325447</v>
      </c>
      <c r="AO29" s="108">
        <f t="shared" si="18"/>
        <v>1.42078629365892</v>
      </c>
      <c r="AP29" s="108">
        <f t="shared" si="18"/>
        <v>0.96570932493259198</v>
      </c>
      <c r="AQ29" s="108">
        <f t="shared" si="18"/>
        <v>32.151113857358112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-9.1289518037164272E-2</v>
      </c>
      <c r="F30" s="108">
        <f t="shared" ref="F30:BQ30" si="20">(F5-J5)/J5</f>
        <v>0.2108782477012191</v>
      </c>
      <c r="G30" s="108">
        <f t="shared" si="20"/>
        <v>0.1689230484887059</v>
      </c>
      <c r="H30" s="108">
        <f t="shared" si="20"/>
        <v>-6.8880514610500904E-2</v>
      </c>
      <c r="I30" s="108">
        <f t="shared" si="20"/>
        <v>-2.7449083117027422E-2</v>
      </c>
      <c r="J30" s="108">
        <f t="shared" si="20"/>
        <v>-0.2411624596953732</v>
      </c>
      <c r="K30" s="108">
        <f t="shared" si="20"/>
        <v>-0.19105113992599948</v>
      </c>
      <c r="L30" s="108">
        <f t="shared" si="20"/>
        <v>7.3005251769165808E-2</v>
      </c>
      <c r="M30" s="108">
        <f t="shared" si="20"/>
        <v>0.36551904036509264</v>
      </c>
      <c r="N30" s="108">
        <f t="shared" si="20"/>
        <v>0.11440701853002053</v>
      </c>
      <c r="O30" s="108">
        <f t="shared" si="20"/>
        <v>-7.3391666441483039E-2</v>
      </c>
      <c r="P30" s="108">
        <f t="shared" si="20"/>
        <v>0.19754968495342637</v>
      </c>
      <c r="Q30" s="108">
        <f t="shared" si="20"/>
        <v>6.6621714694066955E-2</v>
      </c>
      <c r="R30" s="108">
        <f t="shared" si="20"/>
        <v>0.39405066035399727</v>
      </c>
      <c r="S30" s="108">
        <f t="shared" si="20"/>
        <v>0.48552650792569824</v>
      </c>
      <c r="T30" s="108">
        <f t="shared" si="20"/>
        <v>0.34136899010375105</v>
      </c>
      <c r="U30" s="108">
        <f t="shared" si="20"/>
        <v>0.28938853266796438</v>
      </c>
      <c r="V30" s="108">
        <f t="shared" si="20"/>
        <v>0.34909285929928768</v>
      </c>
      <c r="W30" s="108">
        <f t="shared" si="20"/>
        <v>0.36517145230466319</v>
      </c>
      <c r="X30" s="108">
        <f t="shared" si="20"/>
        <v>0.26688225757077577</v>
      </c>
      <c r="Y30" s="108">
        <f t="shared" si="20"/>
        <v>0.23694459448496741</v>
      </c>
      <c r="Z30" s="108">
        <f t="shared" si="20"/>
        <v>0.51930762027250188</v>
      </c>
      <c r="AA30" s="108">
        <f t="shared" si="20"/>
        <v>0.5891459342201496</v>
      </c>
      <c r="AB30" s="108">
        <f t="shared" si="20"/>
        <v>0.44079713995302561</v>
      </c>
      <c r="AC30" s="108">
        <f t="shared" si="20"/>
        <v>0.34030618406319985</v>
      </c>
      <c r="AD30" s="108">
        <f t="shared" si="20"/>
        <v>-0.13684791316067962</v>
      </c>
      <c r="AE30" s="108">
        <f t="shared" si="20"/>
        <v>-0.1144717929630097</v>
      </c>
      <c r="AF30" s="108">
        <f t="shared" si="20"/>
        <v>0.49538203910949985</v>
      </c>
      <c r="AG30" s="108">
        <f t="shared" si="20"/>
        <v>0.43291659388987863</v>
      </c>
      <c r="AH30" s="108">
        <f t="shared" si="20"/>
        <v>1.0262478581263152</v>
      </c>
      <c r="AI30" s="108">
        <f t="shared" si="20"/>
        <v>0.35468992536326682</v>
      </c>
      <c r="AJ30" s="108">
        <f t="shared" si="20"/>
        <v>-9.2557989764000537E-2</v>
      </c>
      <c r="AK30" s="108">
        <f t="shared" si="20"/>
        <v>-0.15613078240556216</v>
      </c>
      <c r="AL30" s="108">
        <f t="shared" si="20"/>
        <v>-0.27990309374478295</v>
      </c>
      <c r="AM30" s="108">
        <f t="shared" si="20"/>
        <v>-1.7699118290386468E-2</v>
      </c>
      <c r="AN30" s="108">
        <f t="shared" si="20"/>
        <v>0.16576978615153792</v>
      </c>
      <c r="AO30" s="108">
        <f t="shared" si="20"/>
        <v>0.63391980954649807</v>
      </c>
      <c r="AP30" s="108">
        <f t="shared" si="20"/>
        <v>1.3677708029013107</v>
      </c>
      <c r="AQ30" s="108">
        <f t="shared" si="20"/>
        <v>3.7867362130913564</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-0.14439858184837137</v>
      </c>
      <c r="F31" s="108">
        <f t="shared" ref="F31:BQ31" si="22">(F6-J6)/J6</f>
        <v>-0.10667969543714677</v>
      </c>
      <c r="G31" s="108">
        <f t="shared" si="22"/>
        <v>-7.9688643978566204E-2</v>
      </c>
      <c r="H31" s="108">
        <f t="shared" si="22"/>
        <v>-0.31493433552164507</v>
      </c>
      <c r="I31" s="108">
        <f t="shared" si="22"/>
        <v>-0.17586606160174589</v>
      </c>
      <c r="J31" s="108">
        <f t="shared" si="22"/>
        <v>-0.21381862698858034</v>
      </c>
      <c r="K31" s="108">
        <f t="shared" si="22"/>
        <v>-0.12944401094420541</v>
      </c>
      <c r="L31" s="108">
        <f t="shared" si="22"/>
        <v>0.61391860616991789</v>
      </c>
      <c r="M31" s="108">
        <f t="shared" si="22"/>
        <v>0.46808526109678777</v>
      </c>
      <c r="N31" s="108">
        <f t="shared" si="22"/>
        <v>0.22561419398938909</v>
      </c>
      <c r="O31" s="108">
        <f t="shared" si="22"/>
        <v>1.3465631752404067E-2</v>
      </c>
      <c r="P31" s="108">
        <f t="shared" si="22"/>
        <v>2.322759369317941E-3</v>
      </c>
      <c r="Q31" s="108">
        <f t="shared" si="22"/>
        <v>0.19240939438882895</v>
      </c>
      <c r="R31" s="108">
        <f t="shared" si="22"/>
        <v>0.32654115844226067</v>
      </c>
      <c r="S31" s="108">
        <f t="shared" si="22"/>
        <v>0.36872546538873774</v>
      </c>
      <c r="T31" s="108">
        <f t="shared" si="22"/>
        <v>0.13488986830993291</v>
      </c>
      <c r="U31" s="108">
        <f t="shared" si="22"/>
        <v>9.3952147335443992E-2</v>
      </c>
      <c r="V31" s="108">
        <f t="shared" si="22"/>
        <v>0.14308432059841905</v>
      </c>
      <c r="W31" s="108">
        <f t="shared" si="22"/>
        <v>0.14022305657746029</v>
      </c>
      <c r="X31" s="108">
        <f t="shared" si="22"/>
        <v>-3.2121890092130512E-3</v>
      </c>
      <c r="Y31" s="108">
        <f t="shared" si="22"/>
        <v>2.2837037047852841E-2</v>
      </c>
      <c r="Z31" s="108">
        <f t="shared" si="22"/>
        <v>-0.11518418494791995</v>
      </c>
      <c r="AA31" s="108">
        <f t="shared" si="22"/>
        <v>-3.8573217353275381E-2</v>
      </c>
      <c r="AB31" s="108">
        <f t="shared" si="22"/>
        <v>-3.9127476725987077E-2</v>
      </c>
      <c r="AC31" s="108">
        <f t="shared" si="22"/>
        <v>-2.1040625453917019E-2</v>
      </c>
      <c r="AD31" s="108">
        <f t="shared" si="22"/>
        <v>-0.16777394767635309</v>
      </c>
      <c r="AE31" s="108">
        <f t="shared" si="22"/>
        <v>-0.21658685013600307</v>
      </c>
      <c r="AF31" s="108">
        <f t="shared" si="22"/>
        <v>0.3707294824751618</v>
      </c>
      <c r="AG31" s="108">
        <f t="shared" si="22"/>
        <v>0.10436715863665989</v>
      </c>
      <c r="AH31" s="108">
        <f t="shared" si="22"/>
        <v>0.57271250554990183</v>
      </c>
      <c r="AI31" s="108">
        <f t="shared" si="22"/>
        <v>0.23444922470532803</v>
      </c>
      <c r="AJ31" s="108">
        <f t="shared" si="22"/>
        <v>-0.12450216485863116</v>
      </c>
      <c r="AK31" s="108">
        <f t="shared" si="22"/>
        <v>-6.2575714601284485E-2</v>
      </c>
      <c r="AL31" s="108">
        <f t="shared" si="22"/>
        <v>4.3914114325609328E-3</v>
      </c>
      <c r="AM31" s="108">
        <f t="shared" si="22"/>
        <v>0.78484496257829717</v>
      </c>
      <c r="AN31" s="108">
        <f t="shared" si="22"/>
        <v>0.58023408031061596</v>
      </c>
      <c r="AO31" s="108">
        <f t="shared" si="22"/>
        <v>0.83666885023524229</v>
      </c>
      <c r="AP31" s="108">
        <f t="shared" si="22"/>
        <v>1.2996362503295942</v>
      </c>
      <c r="AQ31" s="108">
        <f t="shared" si="22"/>
        <v>3.1136246564115906</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-3.9857618515361758E-2</v>
      </c>
      <c r="F32" s="109">
        <f t="shared" ref="F32:BQ32" si="24">(F7-J7)/J7</f>
        <v>-3.8487227398898628E-2</v>
      </c>
      <c r="G32" s="109">
        <f t="shared" si="24"/>
        <v>-5.357858728249483E-2</v>
      </c>
      <c r="H32" s="109">
        <f t="shared" si="24"/>
        <v>-4.2059712710097619E-2</v>
      </c>
      <c r="I32" s="109">
        <f t="shared" si="24"/>
        <v>-4.262479551236039E-2</v>
      </c>
      <c r="J32" s="109">
        <f t="shared" si="24"/>
        <v>-4.0423172106196094E-2</v>
      </c>
      <c r="K32" s="109">
        <f t="shared" si="24"/>
        <v>-0.12471297664182429</v>
      </c>
      <c r="L32" s="109">
        <f t="shared" si="24"/>
        <v>-0.12064033956001972</v>
      </c>
      <c r="M32" s="109">
        <f t="shared" si="24"/>
        <v>-0.11208778739799727</v>
      </c>
      <c r="N32" s="109">
        <f t="shared" si="24"/>
        <v>-0.31158222262420776</v>
      </c>
      <c r="O32" s="109">
        <f t="shared" si="24"/>
        <v>-0.25711903752453391</v>
      </c>
      <c r="P32" s="109">
        <f t="shared" si="24"/>
        <v>-0.18068917071360932</v>
      </c>
      <c r="Q32" s="109">
        <f t="shared" si="24"/>
        <v>-0.14166447322214812</v>
      </c>
      <c r="R32" s="109">
        <f t="shared" si="24"/>
        <v>5.4225222129548528E-2</v>
      </c>
      <c r="S32" s="109">
        <f t="shared" si="24"/>
        <v>0.21519157944706446</v>
      </c>
      <c r="T32" s="109">
        <f t="shared" si="24"/>
        <v>0.17148806377935691</v>
      </c>
      <c r="U32" s="109">
        <f t="shared" si="24"/>
        <v>0.15805486349675577</v>
      </c>
      <c r="V32" s="109">
        <f t="shared" si="24"/>
        <v>0.24914926199636858</v>
      </c>
      <c r="W32" s="109">
        <f t="shared" si="24"/>
        <v>0.1062096996518813</v>
      </c>
      <c r="X32" s="109">
        <f t="shared" si="24"/>
        <v>0.13256855315039151</v>
      </c>
      <c r="Y32" s="109">
        <f t="shared" si="24"/>
        <v>0.12175413746337173</v>
      </c>
      <c r="Z32" s="109">
        <f t="shared" si="24"/>
        <v>-5.2040097220691764E-2</v>
      </c>
      <c r="AA32" s="109">
        <f t="shared" si="24"/>
        <v>-3.5522871181047348E-2</v>
      </c>
      <c r="AB32" s="109">
        <f t="shared" si="24"/>
        <v>-0.11528001082049039</v>
      </c>
      <c r="AC32" s="109">
        <f t="shared" si="24"/>
        <v>-8.5619161955730869E-2</v>
      </c>
      <c r="AD32" s="109">
        <f t="shared" si="24"/>
        <v>0.34187047585504682</v>
      </c>
      <c r="AE32" s="109">
        <f t="shared" si="24"/>
        <v>0.44973957654713664</v>
      </c>
      <c r="AF32" s="109">
        <f t="shared" si="24"/>
        <v>0.44529939894061921</v>
      </c>
      <c r="AG32" s="109">
        <f t="shared" si="24"/>
        <v>0.40732153246752412</v>
      </c>
      <c r="AH32" s="109">
        <f t="shared" si="24"/>
        <v>0.24864802100644084</v>
      </c>
      <c r="AI32" s="109">
        <f t="shared" si="24"/>
        <v>0.25007078952636952</v>
      </c>
      <c r="AJ32" s="109">
        <f t="shared" si="24"/>
        <v>0.42933956995694034</v>
      </c>
      <c r="AK32" s="109">
        <f t="shared" si="24"/>
        <v>0.606248141675649</v>
      </c>
      <c r="AL32" s="109">
        <f t="shared" si="24"/>
        <v>1.0594022724856114</v>
      </c>
      <c r="AM32" s="109">
        <f t="shared" si="24"/>
        <v>1.5178550858631428</v>
      </c>
      <c r="AN32" s="109">
        <f t="shared" si="24"/>
        <v>1.5006329043769495</v>
      </c>
      <c r="AO32" s="109">
        <f t="shared" si="24"/>
        <v>1.4361895312737885</v>
      </c>
      <c r="AP32" s="109">
        <f t="shared" si="24"/>
        <v>1.4168581875858861</v>
      </c>
      <c r="AQ32" s="109">
        <f t="shared" si="24"/>
        <v>38.046560098643802</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0.23992119300241341</v>
      </c>
      <c r="F33" s="109">
        <f t="shared" ref="F33:BQ33" si="26">F7/F9</f>
        <v>0.20700777371607859</v>
      </c>
      <c r="G33" s="109">
        <f t="shared" si="26"/>
        <v>0.21284965384238402</v>
      </c>
      <c r="H33" s="109">
        <f t="shared" si="26"/>
        <v>0.23414012715578181</v>
      </c>
      <c r="I33" s="109">
        <f t="shared" si="26"/>
        <v>0.25389404735441018</v>
      </c>
      <c r="J33" s="109">
        <f t="shared" si="26"/>
        <v>0.25970083787376419</v>
      </c>
      <c r="K33" s="109">
        <f t="shared" si="26"/>
        <v>0.27141741230534561</v>
      </c>
      <c r="L33" s="109">
        <f t="shared" si="26"/>
        <v>0.25446497864955198</v>
      </c>
      <c r="M33" s="109">
        <f t="shared" si="26"/>
        <v>0.27631023486053535</v>
      </c>
      <c r="N33" s="109">
        <f t="shared" si="26"/>
        <v>0.27988623492017517</v>
      </c>
      <c r="O33" s="109">
        <f t="shared" si="26"/>
        <v>0.32798021285354867</v>
      </c>
      <c r="P33" s="109">
        <f t="shared" si="26"/>
        <v>0.30138225346638908</v>
      </c>
      <c r="Q33" s="109">
        <f t="shared" si="26"/>
        <v>0.32334096266969709</v>
      </c>
      <c r="R33" s="109">
        <f t="shared" si="26"/>
        <v>0.41945108168286666</v>
      </c>
      <c r="S33" s="109">
        <f t="shared" si="26"/>
        <v>0.44357245951781571</v>
      </c>
      <c r="T33" s="109">
        <f t="shared" si="26"/>
        <v>0.38604023357105477</v>
      </c>
      <c r="U33" s="109">
        <f t="shared" si="26"/>
        <v>0.39577697875328144</v>
      </c>
      <c r="V33" s="109">
        <f t="shared" si="26"/>
        <v>0.4192026200707008</v>
      </c>
      <c r="W33" s="109">
        <f t="shared" si="26"/>
        <v>0.37766826615898785</v>
      </c>
      <c r="X33" s="109">
        <f t="shared" si="26"/>
        <v>0.34436594648877039</v>
      </c>
      <c r="Y33" s="109">
        <f t="shared" si="26"/>
        <v>0.35904463094412298</v>
      </c>
      <c r="Z33" s="109">
        <f t="shared" si="26"/>
        <v>0.34826762232041736</v>
      </c>
      <c r="AA33" s="109">
        <f t="shared" si="26"/>
        <v>0.36725638772784303</v>
      </c>
      <c r="AB33" s="109">
        <f t="shared" si="26"/>
        <v>0.34410195923933051</v>
      </c>
      <c r="AC33" s="109">
        <f t="shared" si="26"/>
        <v>0.36515633041935613</v>
      </c>
      <c r="AD33" s="109">
        <f t="shared" si="26"/>
        <v>0.36375737193501329</v>
      </c>
      <c r="AE33" s="109">
        <f t="shared" si="26"/>
        <v>0.36187858792965383</v>
      </c>
      <c r="AF33" s="109">
        <f t="shared" si="26"/>
        <v>0.33560550430882441</v>
      </c>
      <c r="AG33" s="109">
        <f t="shared" si="26"/>
        <v>0.34142255171497149</v>
      </c>
      <c r="AH33" s="109">
        <f t="shared" si="26"/>
        <v>0.27429544802236155</v>
      </c>
      <c r="AI33" s="109">
        <f t="shared" si="26"/>
        <v>0.26973960681288767</v>
      </c>
      <c r="AJ33" s="109">
        <f t="shared" si="26"/>
        <v>0.25229289217010764</v>
      </c>
      <c r="AK33" s="109">
        <f t="shared" si="26"/>
        <v>0.26015331305927564</v>
      </c>
      <c r="AL33" s="109">
        <f t="shared" si="26"/>
        <v>0.23714714050068822</v>
      </c>
      <c r="AM33" s="109">
        <f t="shared" si="26"/>
        <v>0.23153788426291014</v>
      </c>
      <c r="AN33" s="109">
        <f t="shared" si="26"/>
        <v>0.20041211812459853</v>
      </c>
      <c r="AO33" s="109">
        <f t="shared" si="26"/>
        <v>0.18930840631497944</v>
      </c>
      <c r="AP33" s="109">
        <f t="shared" si="26"/>
        <v>0.13807292807097959</v>
      </c>
      <c r="AQ33" s="109">
        <f t="shared" si="26"/>
        <v>0.10495315024260718</v>
      </c>
      <c r="AR33" s="109">
        <f t="shared" si="26"/>
        <v>0.35971890069113799</v>
      </c>
      <c r="AS33" s="109">
        <f t="shared" si="26"/>
        <v>0.40699030493733496</v>
      </c>
      <c r="AT33" s="109">
        <f t="shared" si="26"/>
        <v>0.51302103191333825</v>
      </c>
      <c r="AU33" s="109">
        <f t="shared" si="26"/>
        <v>7.9047943925624753E-2</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-1</v>
      </c>
      <c r="F34" s="108">
        <f t="shared" ref="F34:BQ34" si="28">(F10-J10)/J10</f>
        <v>-1</v>
      </c>
      <c r="G34" s="108">
        <f t="shared" si="28"/>
        <v>-1.9053610749112479E-2</v>
      </c>
      <c r="H34" s="108">
        <f t="shared" si="28"/>
        <v>-3.8433111603843315E-2</v>
      </c>
      <c r="I34" s="108">
        <f t="shared" si="28"/>
        <v>-3.8433111603843315E-2</v>
      </c>
      <c r="J34" s="108">
        <f t="shared" si="28"/>
        <v>-0.59032224204891359</v>
      </c>
      <c r="K34" s="108">
        <f t="shared" si="28"/>
        <v>-0.2786554004408523</v>
      </c>
      <c r="L34" s="108">
        <f t="shared" si="28"/>
        <v>-0.26838500360490269</v>
      </c>
      <c r="M34" s="108">
        <f t="shared" si="28"/>
        <v>-0.26838500360490269</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v>
      </c>
      <c r="F35" s="108">
        <f t="shared" ref="F35:BQ35" si="30">F10/F12</f>
        <v>0</v>
      </c>
      <c r="G35" s="108">
        <f t="shared" si="30"/>
        <v>0.55698106752569809</v>
      </c>
      <c r="H35" s="108">
        <f t="shared" si="30"/>
        <v>0.5342392960412442</v>
      </c>
      <c r="I35" s="108">
        <f t="shared" si="30"/>
        <v>0.5105674891379387</v>
      </c>
      <c r="J35" s="108">
        <f t="shared" si="30"/>
        <v>0.48890444111793907</v>
      </c>
      <c r="K35" s="108">
        <f t="shared" si="30"/>
        <v>0.31997391998730312</v>
      </c>
      <c r="L35" s="108">
        <f t="shared" si="30"/>
        <v>0.30454489860311362</v>
      </c>
      <c r="M35" s="108">
        <f t="shared" si="30"/>
        <v>0.2969970125922391</v>
      </c>
      <c r="N35" s="108">
        <f t="shared" si="30"/>
        <v>0.50023534868021924</v>
      </c>
      <c r="O35" s="108">
        <f t="shared" si="30"/>
        <v>0.2808537260055885</v>
      </c>
      <c r="P35" s="108">
        <f t="shared" si="30"/>
        <v>0.27764327436620634</v>
      </c>
      <c r="Q35" s="108">
        <f t="shared" si="30"/>
        <v>0.27301542867166467</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-0.3621285428771201</v>
      </c>
      <c r="F36" s="108">
        <f t="shared" ref="F36:BQ36" si="32">(F11-J11)/J11</f>
        <v>-0.33206590710714978</v>
      </c>
      <c r="G36" s="108">
        <f t="shared" si="32"/>
        <v>-0.63287315763950247</v>
      </c>
      <c r="H36" s="108">
        <f t="shared" si="32"/>
        <v>-0.63289631251868128</v>
      </c>
      <c r="I36" s="108">
        <f t="shared" si="32"/>
        <v>-0.61058375266478437</v>
      </c>
      <c r="J36" s="108">
        <f t="shared" si="32"/>
        <v>-0.5713238185085644</v>
      </c>
      <c r="K36" s="108">
        <f t="shared" si="32"/>
        <v>-0.40128970365691274</v>
      </c>
      <c r="L36" s="108">
        <f t="shared" si="32"/>
        <v>-0.35785100992417457</v>
      </c>
      <c r="M36" s="108">
        <f t="shared" si="32"/>
        <v>-0.34964619544545888</v>
      </c>
      <c r="N36" s="108">
        <f t="shared" si="32"/>
        <v>0.40178989000448978</v>
      </c>
      <c r="O36" s="108">
        <f t="shared" si="32"/>
        <v>0.95545901395233734</v>
      </c>
      <c r="P36" s="108">
        <f t="shared" si="32"/>
        <v>0.84913332252808316</v>
      </c>
      <c r="Q36" s="108">
        <f t="shared" si="32"/>
        <v>0.89252517422097755</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1</v>
      </c>
      <c r="F37" s="108">
        <f t="shared" ref="F37:BQ37" si="34">F11/F12</f>
        <v>1</v>
      </c>
      <c r="G37" s="108">
        <f t="shared" si="34"/>
        <v>0.44301893247430202</v>
      </c>
      <c r="H37" s="108">
        <f t="shared" si="34"/>
        <v>0.46576070395875585</v>
      </c>
      <c r="I37" s="108">
        <f t="shared" si="34"/>
        <v>0.48943251086206113</v>
      </c>
      <c r="J37" s="108">
        <f t="shared" si="34"/>
        <v>0.51109555888206082</v>
      </c>
      <c r="K37" s="108">
        <f t="shared" si="34"/>
        <v>0.68002608001269682</v>
      </c>
      <c r="L37" s="108">
        <f t="shared" si="34"/>
        <v>0.69545510139688638</v>
      </c>
      <c r="M37" s="108">
        <f t="shared" si="34"/>
        <v>0.7030029874077609</v>
      </c>
      <c r="N37" s="108">
        <f t="shared" si="34"/>
        <v>0.49976465131978076</v>
      </c>
      <c r="O37" s="110">
        <f t="shared" si="34"/>
        <v>0.71914627399441156</v>
      </c>
      <c r="P37" s="110">
        <f t="shared" si="34"/>
        <v>0.72235672563379361</v>
      </c>
      <c r="Q37" s="110">
        <f t="shared" si="34"/>
        <v>0.72698457132833527</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0.40669377089500997</v>
      </c>
      <c r="F39" s="224">
        <f t="shared" ref="F39:U39" si="37">F2/F9</f>
        <v>0.37253012898325877</v>
      </c>
      <c r="G39" s="224">
        <f t="shared" si="37"/>
        <v>0.43708462639413931</v>
      </c>
      <c r="H39" s="224">
        <f t="shared" si="37"/>
        <v>0.39303277500223216</v>
      </c>
      <c r="I39" s="224">
        <f t="shared" si="37"/>
        <v>0.41440965067899155</v>
      </c>
      <c r="J39" s="224">
        <f t="shared" si="37"/>
        <v>0.45043982345146982</v>
      </c>
      <c r="K39" s="224">
        <f t="shared" si="37"/>
        <v>0.46684119330969082</v>
      </c>
      <c r="L39" s="224">
        <f t="shared" si="37"/>
        <v>0.49515180721166213</v>
      </c>
      <c r="M39" s="224">
        <f t="shared" si="37"/>
        <v>0.5042456795300263</v>
      </c>
      <c r="N39" s="224">
        <f t="shared" si="37"/>
        <v>0.31656599481436487</v>
      </c>
      <c r="O39" s="224">
        <f t="shared" si="37"/>
        <v>0.32804217979462641</v>
      </c>
      <c r="P39" s="224">
        <f t="shared" si="37"/>
        <v>0.28890659136067576</v>
      </c>
      <c r="Q39" s="224">
        <f t="shared" si="37"/>
        <v>0.46677809563849454</v>
      </c>
      <c r="R39" s="224">
        <f t="shared" si="37"/>
        <v>0.18023246091060446</v>
      </c>
      <c r="S39" s="224">
        <f t="shared" si="37"/>
        <v>0.14061801425906406</v>
      </c>
      <c r="T39" s="224">
        <f t="shared" si="37"/>
        <v>0.31059638736723438</v>
      </c>
      <c r="U39" s="224">
        <f t="shared" si="37"/>
        <v>0.34317633475716941</v>
      </c>
    </row>
    <row r="40" spans="1:89" s="225" customFormat="1" x14ac:dyDescent="0.25">
      <c r="A40" s="222" t="s">
        <v>554</v>
      </c>
      <c r="B40" s="223"/>
      <c r="C40" s="223"/>
      <c r="D40" s="223"/>
      <c r="E40" s="224">
        <f>E3/E9</f>
        <v>7.3512165129785839E-2</v>
      </c>
      <c r="F40" s="224">
        <f t="shared" ref="F40:U40" si="38">F3/F9</f>
        <v>6.0586752807900809E-2</v>
      </c>
      <c r="G40" s="224">
        <f t="shared" si="38"/>
        <v>5.850203746127762E-2</v>
      </c>
      <c r="H40" s="224">
        <f t="shared" si="38"/>
        <v>5.4036090152555311E-2</v>
      </c>
      <c r="I40" s="224">
        <f t="shared" si="38"/>
        <v>5.2857548659630486E-2</v>
      </c>
      <c r="J40" s="224">
        <f t="shared" si="38"/>
        <v>4.9841253314068627E-2</v>
      </c>
      <c r="K40" s="224">
        <f t="shared" si="38"/>
        <v>5.2612034138181295E-2</v>
      </c>
      <c r="L40" s="224">
        <f t="shared" si="38"/>
        <v>3.2703045806315965E-2</v>
      </c>
      <c r="M40" s="224">
        <f t="shared" si="38"/>
        <v>3.3278218723231098E-2</v>
      </c>
      <c r="N40" s="224">
        <f t="shared" si="38"/>
        <v>5.5030845240334157E-2</v>
      </c>
      <c r="O40" s="224">
        <f t="shared" si="38"/>
        <v>3.0565083341103017E-2</v>
      </c>
      <c r="P40" s="224">
        <f t="shared" si="38"/>
        <v>2.7598769367274338E-2</v>
      </c>
      <c r="Q40" s="224">
        <f t="shared" si="38"/>
        <v>2.9015417856084771E-2</v>
      </c>
      <c r="R40" s="224">
        <f t="shared" si="38"/>
        <v>2.7743998949717616E-2</v>
      </c>
      <c r="S40" s="224">
        <f t="shared" si="38"/>
        <v>2.7203801837236575E-2</v>
      </c>
      <c r="T40" s="224">
        <f t="shared" si="38"/>
        <v>2.634499266539967E-2</v>
      </c>
      <c r="U40" s="224">
        <f t="shared" si="38"/>
        <v>2.8652738413728607E-2</v>
      </c>
    </row>
    <row r="41" spans="1:89" x14ac:dyDescent="0.25">
      <c r="A41" s="184" t="s">
        <v>559</v>
      </c>
      <c r="B41" s="64"/>
      <c r="C41" s="64"/>
      <c r="D41" s="64"/>
      <c r="E41" s="90">
        <f>E4/E9</f>
        <v>0.27987287097279084</v>
      </c>
      <c r="F41" s="90">
        <f t="shared" ref="F41:U41" si="39">F4/F9</f>
        <v>0.35987534449276176</v>
      </c>
      <c r="G41" s="90">
        <f t="shared" si="39"/>
        <v>0.29156368230219903</v>
      </c>
      <c r="H41" s="90">
        <f t="shared" si="39"/>
        <v>0.31879100768943075</v>
      </c>
      <c r="I41" s="90">
        <f t="shared" si="39"/>
        <v>0.27883875330696789</v>
      </c>
      <c r="J41" s="90">
        <f t="shared" si="39"/>
        <v>0.24001808536069738</v>
      </c>
      <c r="K41" s="90">
        <f t="shared" si="39"/>
        <v>0.20912936024678219</v>
      </c>
      <c r="L41" s="90">
        <f t="shared" si="39"/>
        <v>0.21768016833246992</v>
      </c>
      <c r="M41" s="90">
        <f t="shared" si="39"/>
        <v>0.18616586688620732</v>
      </c>
      <c r="N41" s="214">
        <f t="shared" si="39"/>
        <v>0.34851692502512577</v>
      </c>
      <c r="O41" s="214">
        <f t="shared" si="39"/>
        <v>0.31341252401072184</v>
      </c>
      <c r="P41" s="214">
        <f t="shared" si="39"/>
        <v>0.3821123858056607</v>
      </c>
      <c r="Q41" s="214">
        <f t="shared" si="39"/>
        <v>0.18086552383572346</v>
      </c>
      <c r="R41" s="214">
        <f t="shared" si="39"/>
        <v>0.37257245845681125</v>
      </c>
      <c r="S41" s="214">
        <f t="shared" si="39"/>
        <v>0.38860572438588364</v>
      </c>
      <c r="T41" s="214">
        <f t="shared" si="39"/>
        <v>0.2770183863963111</v>
      </c>
      <c r="U41" s="214">
        <f t="shared" si="39"/>
        <v>0.23239394807582048</v>
      </c>
    </row>
    <row r="42" spans="1:89" x14ac:dyDescent="0.25">
      <c r="A42" s="184" t="s">
        <v>335</v>
      </c>
      <c r="B42" s="64"/>
      <c r="C42" s="64"/>
      <c r="D42" s="64"/>
      <c r="E42" s="90">
        <f>E5/E9</f>
        <v>0.7711443928109476</v>
      </c>
      <c r="F42" s="90">
        <f t="shared" ref="F42:U42" si="40">F5/F9</f>
        <v>0.69446133327093462</v>
      </c>
      <c r="G42" s="90">
        <f t="shared" si="40"/>
        <v>0.62104130387349021</v>
      </c>
      <c r="H42" s="90">
        <f t="shared" si="40"/>
        <v>0.66432680143163225</v>
      </c>
      <c r="I42" s="90">
        <f t="shared" si="40"/>
        <v>0.86224307317933224</v>
      </c>
      <c r="J42" s="90">
        <f t="shared" si="40"/>
        <v>0.69181399931102572</v>
      </c>
      <c r="K42" s="90">
        <f t="shared" si="40"/>
        <v>0.64118577379500463</v>
      </c>
      <c r="L42" s="90">
        <f t="shared" si="40"/>
        <v>0.74279157162668885</v>
      </c>
      <c r="M42" s="90">
        <f t="shared" si="40"/>
        <v>0.92372775943431673</v>
      </c>
      <c r="N42" s="214">
        <f t="shared" si="40"/>
        <v>0.94281933324177924</v>
      </c>
      <c r="O42" s="214">
        <f t="shared" si="40"/>
        <v>0.83834588741718263</v>
      </c>
      <c r="P42" s="214">
        <f t="shared" si="40"/>
        <v>0.72097684065290735</v>
      </c>
      <c r="Q42" s="214">
        <f t="shared" si="40"/>
        <v>0.70287811186446347</v>
      </c>
      <c r="R42" s="214">
        <f t="shared" si="40"/>
        <v>0.87284372977174807</v>
      </c>
      <c r="S42" s="214">
        <f t="shared" si="40"/>
        <v>0.90899856147720537</v>
      </c>
      <c r="T42" s="214">
        <f t="shared" si="40"/>
        <v>0.63181708095295785</v>
      </c>
      <c r="U42" s="214">
        <f t="shared" si="40"/>
        <v>0.69233532107582585</v>
      </c>
    </row>
    <row r="43" spans="1:89" x14ac:dyDescent="0.25">
      <c r="A43" s="184" t="s">
        <v>336</v>
      </c>
      <c r="B43" s="64"/>
      <c r="C43" s="64"/>
      <c r="D43" s="64"/>
      <c r="E43" s="90">
        <f>E6/E9</f>
        <v>0.49127152183815681</v>
      </c>
      <c r="F43" s="90">
        <f t="shared" ref="F43:U43" si="41">F6/F9</f>
        <v>0.33458598877817286</v>
      </c>
      <c r="G43" s="90">
        <f t="shared" si="41"/>
        <v>0.32947762157129112</v>
      </c>
      <c r="H43" s="90">
        <f t="shared" si="41"/>
        <v>0.3455357937422015</v>
      </c>
      <c r="I43" s="90">
        <f t="shared" si="41"/>
        <v>0.58340431987236441</v>
      </c>
      <c r="J43" s="90">
        <f t="shared" si="41"/>
        <v>0.45179591395032836</v>
      </c>
      <c r="K43" s="90">
        <f t="shared" si="41"/>
        <v>0.4320564135482225</v>
      </c>
      <c r="L43" s="90">
        <f t="shared" si="41"/>
        <v>0.5251114032942189</v>
      </c>
      <c r="M43" s="90">
        <f t="shared" si="41"/>
        <v>0.73756189254810933</v>
      </c>
      <c r="N43" s="214">
        <f t="shared" si="41"/>
        <v>0.59430240821665348</v>
      </c>
      <c r="O43" s="214">
        <f t="shared" si="41"/>
        <v>0.5249333634064608</v>
      </c>
      <c r="P43" s="214">
        <f t="shared" si="41"/>
        <v>0.3388644548472467</v>
      </c>
      <c r="Q43" s="214">
        <f t="shared" si="41"/>
        <v>0.52201258802873995</v>
      </c>
      <c r="R43" s="214">
        <f t="shared" si="41"/>
        <v>0.50027127131493676</v>
      </c>
      <c r="S43" s="214">
        <f t="shared" si="41"/>
        <v>0.52039283709132167</v>
      </c>
      <c r="T43" s="214">
        <f t="shared" si="41"/>
        <v>0.3547986945566467</v>
      </c>
      <c r="U43" s="214">
        <f t="shared" si="41"/>
        <v>0.45994137300000532</v>
      </c>
    </row>
    <row r="44" spans="1:89" x14ac:dyDescent="0.25">
      <c r="A44" s="184" t="s">
        <v>337</v>
      </c>
      <c r="B44" s="64"/>
      <c r="C44" s="64"/>
      <c r="D44" s="64"/>
      <c r="E44" s="90">
        <f>E7/E9</f>
        <v>0.23992119300241341</v>
      </c>
      <c r="F44" s="90">
        <f t="shared" ref="F44:U44" si="42">F7/F9</f>
        <v>0.20700777371607859</v>
      </c>
      <c r="G44" s="90">
        <f t="shared" si="42"/>
        <v>0.21284965384238402</v>
      </c>
      <c r="H44" s="90">
        <f t="shared" si="42"/>
        <v>0.23414012715578181</v>
      </c>
      <c r="I44" s="90">
        <f t="shared" si="42"/>
        <v>0.25389404735441018</v>
      </c>
      <c r="J44" s="90">
        <f t="shared" si="42"/>
        <v>0.25970083787376419</v>
      </c>
      <c r="K44" s="90">
        <f t="shared" si="42"/>
        <v>0.27141741230534561</v>
      </c>
      <c r="L44" s="90">
        <f t="shared" si="42"/>
        <v>0.25446497864955198</v>
      </c>
      <c r="M44" s="90">
        <f t="shared" si="42"/>
        <v>0.27631023486053535</v>
      </c>
      <c r="N44" s="214">
        <f t="shared" si="42"/>
        <v>0.27988623492017517</v>
      </c>
      <c r="O44" s="214">
        <f t="shared" si="42"/>
        <v>0.32798021285354867</v>
      </c>
      <c r="P44" s="214">
        <f t="shared" si="42"/>
        <v>0.30138225346638908</v>
      </c>
      <c r="Q44" s="214">
        <f t="shared" si="42"/>
        <v>0.32334096266969709</v>
      </c>
      <c r="R44" s="214">
        <f t="shared" si="42"/>
        <v>0.41945108168286666</v>
      </c>
      <c r="S44" s="214">
        <f t="shared" si="42"/>
        <v>0.44357245951781571</v>
      </c>
      <c r="T44" s="214">
        <f t="shared" si="42"/>
        <v>0.38604023357105477</v>
      </c>
      <c r="U44" s="214">
        <f t="shared" si="42"/>
        <v>0.39577697875328144</v>
      </c>
    </row>
    <row r="45" spans="1:89" s="225" customFormat="1" x14ac:dyDescent="0.25">
      <c r="A45" s="222" t="s">
        <v>338</v>
      </c>
      <c r="B45" s="223"/>
      <c r="C45" s="223"/>
      <c r="D45" s="223"/>
      <c r="E45" s="224">
        <f>E8/E9</f>
        <v>0.51979406397520422</v>
      </c>
      <c r="F45" s="224">
        <f t="shared" ref="F45:U45" si="43">F8/F9</f>
        <v>0.56688311820884041</v>
      </c>
      <c r="G45" s="224">
        <f t="shared" si="43"/>
        <v>0.50441333614458306</v>
      </c>
      <c r="H45" s="224">
        <f t="shared" si="43"/>
        <v>0.5529311348452125</v>
      </c>
      <c r="I45" s="224">
        <f t="shared" si="43"/>
        <v>0.53273280066137807</v>
      </c>
      <c r="J45" s="224">
        <f t="shared" si="43"/>
        <v>0.49971892323446154</v>
      </c>
      <c r="K45" s="224">
        <f t="shared" si="43"/>
        <v>0.4805467725521278</v>
      </c>
      <c r="L45" s="224">
        <f t="shared" si="43"/>
        <v>0.47214514698202192</v>
      </c>
      <c r="M45" s="224">
        <f t="shared" si="43"/>
        <v>0.46247610174674264</v>
      </c>
      <c r="N45" s="224">
        <f t="shared" si="43"/>
        <v>0.62840315994530094</v>
      </c>
      <c r="O45" s="224">
        <f t="shared" si="43"/>
        <v>0.64139273686427056</v>
      </c>
      <c r="P45" s="224">
        <f t="shared" si="43"/>
        <v>0.68349463927204979</v>
      </c>
      <c r="Q45" s="224">
        <f t="shared" si="43"/>
        <v>0.50420648650542055</v>
      </c>
      <c r="R45" s="224">
        <f t="shared" si="43"/>
        <v>0.79202354013967791</v>
      </c>
      <c r="S45" s="224">
        <f t="shared" si="43"/>
        <v>0.83217818390369924</v>
      </c>
      <c r="T45" s="224">
        <f t="shared" si="43"/>
        <v>0.66305861996736593</v>
      </c>
      <c r="U45" s="224">
        <f t="shared" si="43"/>
        <v>0.62817092682910192</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v>
      </c>
      <c r="F47" s="90">
        <f t="shared" ref="F47:U47" si="45">F10/F14</f>
        <v>0</v>
      </c>
      <c r="G47" s="90">
        <f t="shared" si="45"/>
        <v>2.1835439279721774E-3</v>
      </c>
      <c r="H47" s="90">
        <f t="shared" si="45"/>
        <v>2.3494121929131567E-3</v>
      </c>
      <c r="I47" s="90">
        <f t="shared" si="45"/>
        <v>2.4429773091386546E-3</v>
      </c>
      <c r="J47" s="90">
        <f t="shared" si="45"/>
        <v>2.5614983353593008E-3</v>
      </c>
      <c r="K47" s="90">
        <f t="shared" si="45"/>
        <v>2.6863709067827661E-3</v>
      </c>
      <c r="L47" s="90">
        <f t="shared" si="45"/>
        <v>2.5437259872104212E-3</v>
      </c>
      <c r="M47" s="90">
        <f t="shared" si="45"/>
        <v>2.6470769218432562E-3</v>
      </c>
      <c r="N47" s="214">
        <f t="shared" si="45"/>
        <v>6.4660585533959387E-3</v>
      </c>
      <c r="O47" s="214">
        <f t="shared" si="45"/>
        <v>3.9389785725142479E-3</v>
      </c>
      <c r="P47" s="214">
        <f t="shared" si="45"/>
        <v>3.6211283853241519E-3</v>
      </c>
      <c r="Q47" s="214">
        <f t="shared" si="45"/>
        <v>3.7593931627725257E-3</v>
      </c>
      <c r="R47" s="214">
        <f t="shared" si="45"/>
        <v>0</v>
      </c>
      <c r="S47" s="214">
        <f t="shared" si="45"/>
        <v>0</v>
      </c>
      <c r="T47" s="214">
        <f t="shared" si="45"/>
        <v>0</v>
      </c>
      <c r="U47" s="214">
        <f t="shared" si="45"/>
        <v>0</v>
      </c>
    </row>
    <row r="48" spans="1:89" x14ac:dyDescent="0.25">
      <c r="A48" s="184" t="s">
        <v>341</v>
      </c>
      <c r="B48" s="64"/>
      <c r="C48" s="64"/>
      <c r="D48" s="64"/>
      <c r="E48" s="90">
        <f>E11/E14</f>
        <v>1.4701874550004427E-3</v>
      </c>
      <c r="F48" s="90">
        <f t="shared" ref="F48:U48" si="46">F11/F14</f>
        <v>1.4827367796779898E-3</v>
      </c>
      <c r="G48" s="90">
        <f t="shared" si="46"/>
        <v>1.7367759092392248E-3</v>
      </c>
      <c r="H48" s="90">
        <f t="shared" si="46"/>
        <v>2.0482654214489626E-3</v>
      </c>
      <c r="I48" s="90">
        <f t="shared" si="46"/>
        <v>2.3418500860867418E-3</v>
      </c>
      <c r="J48" s="90">
        <f t="shared" si="46"/>
        <v>2.6777634097418994E-3</v>
      </c>
      <c r="K48" s="90">
        <f t="shared" si="46"/>
        <v>5.7092224181024736E-3</v>
      </c>
      <c r="L48" s="90">
        <f t="shared" si="46"/>
        <v>5.8088223525515712E-3</v>
      </c>
      <c r="M48" s="90">
        <f t="shared" si="46"/>
        <v>6.265729637182812E-3</v>
      </c>
      <c r="N48" s="214">
        <f t="shared" si="46"/>
        <v>6.459974303849092E-3</v>
      </c>
      <c r="O48" s="214">
        <f t="shared" si="46"/>
        <v>1.0086039462802362E-2</v>
      </c>
      <c r="P48" s="214">
        <f t="shared" si="46"/>
        <v>9.421249081194091E-3</v>
      </c>
      <c r="Q48" s="214">
        <f t="shared" si="46"/>
        <v>1.0010499553780382E-2</v>
      </c>
      <c r="R48" s="214">
        <f t="shared" si="46"/>
        <v>4.7544438483581464E-3</v>
      </c>
      <c r="S48" s="214">
        <f t="shared" si="46"/>
        <v>5.1821276290980123E-3</v>
      </c>
      <c r="T48" s="214">
        <f t="shared" si="46"/>
        <v>5.3469220169294219E-3</v>
      </c>
      <c r="U48" s="214">
        <f t="shared" si="46"/>
        <v>5.557263324874228E-3</v>
      </c>
    </row>
    <row r="49" spans="1:21" x14ac:dyDescent="0.25">
      <c r="A49" s="184" t="s">
        <v>342</v>
      </c>
      <c r="B49" s="64"/>
      <c r="C49" s="64"/>
      <c r="D49" s="64"/>
      <c r="E49" s="90">
        <f>E12/E14</f>
        <v>1.4701874550004427E-3</v>
      </c>
      <c r="F49" s="90">
        <f t="shared" ref="F49:U49" si="47">F12/F14</f>
        <v>1.4827367796779898E-3</v>
      </c>
      <c r="G49" s="90">
        <f t="shared" si="47"/>
        <v>3.920319837211402E-3</v>
      </c>
      <c r="H49" s="90">
        <f t="shared" si="47"/>
        <v>4.3976776143621193E-3</v>
      </c>
      <c r="I49" s="90">
        <f t="shared" si="47"/>
        <v>4.7848273952253969E-3</v>
      </c>
      <c r="J49" s="90">
        <f t="shared" si="47"/>
        <v>5.2392617451012006E-3</v>
      </c>
      <c r="K49" s="90">
        <f t="shared" si="47"/>
        <v>8.39559332488524E-3</v>
      </c>
      <c r="L49" s="90">
        <f t="shared" si="47"/>
        <v>8.3525483397619924E-3</v>
      </c>
      <c r="M49" s="90">
        <f t="shared" si="47"/>
        <v>8.9128065590260673E-3</v>
      </c>
      <c r="N49" s="214">
        <f t="shared" si="47"/>
        <v>1.2926032857245031E-2</v>
      </c>
      <c r="O49" s="214">
        <f t="shared" si="47"/>
        <v>1.4025018035316609E-2</v>
      </c>
      <c r="P49" s="214">
        <f t="shared" si="47"/>
        <v>1.3042377466518243E-2</v>
      </c>
      <c r="Q49" s="214">
        <f t="shared" si="47"/>
        <v>1.3769892716552908E-2</v>
      </c>
      <c r="R49" s="214">
        <f t="shared" si="47"/>
        <v>4.7544438483581464E-3</v>
      </c>
      <c r="S49" s="214">
        <f t="shared" si="47"/>
        <v>5.1821276290980123E-3</v>
      </c>
      <c r="T49" s="214">
        <f t="shared" si="47"/>
        <v>5.3469220169294219E-3</v>
      </c>
      <c r="U49" s="214">
        <f t="shared" si="47"/>
        <v>5.557263324874228E-3</v>
      </c>
    </row>
    <row r="50" spans="1:21" x14ac:dyDescent="0.25">
      <c r="A50" s="184" t="s">
        <v>346</v>
      </c>
      <c r="B50" s="64"/>
      <c r="C50" s="64"/>
      <c r="D50" s="64"/>
      <c r="E50" s="90">
        <f>E13/E14</f>
        <v>0.99852981254499962</v>
      </c>
      <c r="F50" s="90">
        <f t="shared" ref="F50:U50" si="48">F13/F14</f>
        <v>0.99851726322032197</v>
      </c>
      <c r="G50" s="90">
        <f t="shared" si="48"/>
        <v>0.99607968016278858</v>
      </c>
      <c r="H50" s="90">
        <f t="shared" si="48"/>
        <v>0.99560232238563795</v>
      </c>
      <c r="I50" s="90">
        <f t="shared" si="48"/>
        <v>0.99521517260477455</v>
      </c>
      <c r="J50" s="90">
        <f t="shared" si="48"/>
        <v>0.99476073825489886</v>
      </c>
      <c r="K50" s="90">
        <f t="shared" si="48"/>
        <v>0.99160440667511474</v>
      </c>
      <c r="L50" s="90">
        <f t="shared" si="48"/>
        <v>0.99164745166023804</v>
      </c>
      <c r="M50" s="90">
        <f t="shared" si="48"/>
        <v>0.99108719344097396</v>
      </c>
      <c r="N50" s="214">
        <f t="shared" si="48"/>
        <v>0.98707396714275497</v>
      </c>
      <c r="O50" s="214">
        <f t="shared" si="48"/>
        <v>0.98597498196468336</v>
      </c>
      <c r="P50" s="214">
        <f t="shared" si="48"/>
        <v>0.98695762253348185</v>
      </c>
      <c r="Q50" s="214">
        <f t="shared" si="48"/>
        <v>0.98623010728344707</v>
      </c>
      <c r="R50" s="214">
        <f t="shared" si="48"/>
        <v>0.99524555615164179</v>
      </c>
      <c r="S50" s="214">
        <f t="shared" si="48"/>
        <v>0.99481787237090202</v>
      </c>
      <c r="T50" s="214">
        <f t="shared" si="48"/>
        <v>0.99465307798307057</v>
      </c>
      <c r="U50" s="214">
        <f t="shared" si="48"/>
        <v>0.99444273667512573</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0.40669377089500997</v>
      </c>
      <c r="F55" s="214">
        <f t="shared" ref="F55:U55" si="51">F2/F9</f>
        <v>0.37253012898325877</v>
      </c>
      <c r="G55" s="214">
        <f t="shared" si="51"/>
        <v>0.43708462639413931</v>
      </c>
      <c r="H55" s="214">
        <f t="shared" si="51"/>
        <v>0.39303277500223216</v>
      </c>
      <c r="I55" s="214">
        <f t="shared" si="51"/>
        <v>0.41440965067899155</v>
      </c>
      <c r="J55" s="214">
        <f t="shared" si="51"/>
        <v>0.45043982345146982</v>
      </c>
      <c r="K55" s="214">
        <f t="shared" si="51"/>
        <v>0.46684119330969082</v>
      </c>
      <c r="L55" s="214">
        <f t="shared" si="51"/>
        <v>0.49515180721166213</v>
      </c>
      <c r="M55" s="214">
        <f t="shared" si="51"/>
        <v>0.5042456795300263</v>
      </c>
      <c r="N55" s="214">
        <f t="shared" si="51"/>
        <v>0.31656599481436487</v>
      </c>
      <c r="O55" s="214">
        <f t="shared" si="51"/>
        <v>0.32804217979462641</v>
      </c>
      <c r="P55" s="214">
        <f t="shared" si="51"/>
        <v>0.28890659136067576</v>
      </c>
      <c r="Q55" s="214">
        <f t="shared" si="51"/>
        <v>0.46677809563849454</v>
      </c>
      <c r="R55" s="214">
        <f t="shared" si="51"/>
        <v>0.18023246091060446</v>
      </c>
      <c r="S55" s="214">
        <f t="shared" si="51"/>
        <v>0.14061801425906406</v>
      </c>
      <c r="T55" s="214">
        <f t="shared" si="51"/>
        <v>0.31059638736723438</v>
      </c>
      <c r="U55" s="214">
        <f t="shared" si="51"/>
        <v>0.34317633475716941</v>
      </c>
    </row>
    <row r="56" spans="1:21" x14ac:dyDescent="0.25">
      <c r="A56" s="184" t="s">
        <v>647</v>
      </c>
      <c r="B56" s="64"/>
      <c r="C56" s="64"/>
      <c r="D56" s="64"/>
      <c r="E56" s="214">
        <f>E4/E9</f>
        <v>0.27987287097279084</v>
      </c>
      <c r="F56" s="214">
        <f t="shared" ref="F56:U56" si="52">F4/F9</f>
        <v>0.35987534449276176</v>
      </c>
      <c r="G56" s="214">
        <f t="shared" si="52"/>
        <v>0.29156368230219903</v>
      </c>
      <c r="H56" s="214">
        <f t="shared" si="52"/>
        <v>0.31879100768943075</v>
      </c>
      <c r="I56" s="214">
        <f t="shared" si="52"/>
        <v>0.27883875330696789</v>
      </c>
      <c r="J56" s="214">
        <f t="shared" si="52"/>
        <v>0.24001808536069738</v>
      </c>
      <c r="K56" s="214">
        <f t="shared" si="52"/>
        <v>0.20912936024678219</v>
      </c>
      <c r="L56" s="214">
        <f t="shared" si="52"/>
        <v>0.21768016833246992</v>
      </c>
      <c r="M56" s="214">
        <f t="shared" si="52"/>
        <v>0.18616586688620732</v>
      </c>
      <c r="N56" s="214">
        <f t="shared" si="52"/>
        <v>0.34851692502512577</v>
      </c>
      <c r="O56" s="214">
        <f t="shared" si="52"/>
        <v>0.31341252401072184</v>
      </c>
      <c r="P56" s="214">
        <f t="shared" si="52"/>
        <v>0.3821123858056607</v>
      </c>
      <c r="Q56" s="214">
        <f t="shared" si="52"/>
        <v>0.18086552383572346</v>
      </c>
      <c r="R56" s="214">
        <f t="shared" si="52"/>
        <v>0.37257245845681125</v>
      </c>
      <c r="S56" s="214">
        <f t="shared" si="52"/>
        <v>0.38860572438588364</v>
      </c>
      <c r="T56" s="214">
        <f t="shared" si="52"/>
        <v>0.2770183863963111</v>
      </c>
      <c r="U56" s="214">
        <f t="shared" si="52"/>
        <v>0.23239394807582048</v>
      </c>
    </row>
    <row r="57" spans="1:21" x14ac:dyDescent="0.25">
      <c r="A57" s="184" t="s">
        <v>648</v>
      </c>
      <c r="B57" s="64"/>
      <c r="C57" s="64"/>
      <c r="D57" s="64"/>
      <c r="E57" s="214">
        <f>E5/E9</f>
        <v>0.7711443928109476</v>
      </c>
      <c r="F57" s="214">
        <f t="shared" ref="F57:U57" si="53">F5/F9</f>
        <v>0.69446133327093462</v>
      </c>
      <c r="G57" s="214">
        <f t="shared" si="53"/>
        <v>0.62104130387349021</v>
      </c>
      <c r="H57" s="214">
        <f t="shared" si="53"/>
        <v>0.66432680143163225</v>
      </c>
      <c r="I57" s="214">
        <f t="shared" si="53"/>
        <v>0.86224307317933224</v>
      </c>
      <c r="J57" s="214">
        <f t="shared" si="53"/>
        <v>0.69181399931102572</v>
      </c>
      <c r="K57" s="214">
        <f t="shared" si="53"/>
        <v>0.64118577379500463</v>
      </c>
      <c r="L57" s="214">
        <f t="shared" si="53"/>
        <v>0.74279157162668885</v>
      </c>
      <c r="M57" s="214">
        <f t="shared" si="53"/>
        <v>0.92372775943431673</v>
      </c>
      <c r="N57" s="214">
        <f t="shared" si="53"/>
        <v>0.94281933324177924</v>
      </c>
      <c r="O57" s="214">
        <f t="shared" si="53"/>
        <v>0.83834588741718263</v>
      </c>
      <c r="P57" s="214">
        <f t="shared" si="53"/>
        <v>0.72097684065290735</v>
      </c>
      <c r="Q57" s="214">
        <f t="shared" si="53"/>
        <v>0.70287811186446347</v>
      </c>
      <c r="R57" s="214">
        <f t="shared" si="53"/>
        <v>0.87284372977174807</v>
      </c>
      <c r="S57" s="214">
        <f t="shared" si="53"/>
        <v>0.90899856147720537</v>
      </c>
      <c r="T57" s="214">
        <f t="shared" si="53"/>
        <v>0.63181708095295785</v>
      </c>
      <c r="U57" s="214">
        <f t="shared" si="53"/>
        <v>0.69233532107582585</v>
      </c>
    </row>
    <row r="58" spans="1:21" x14ac:dyDescent="0.25">
      <c r="A58" s="184" t="s">
        <v>649</v>
      </c>
      <c r="B58" s="64"/>
      <c r="C58" s="64"/>
      <c r="D58" s="64"/>
      <c r="E58" s="214">
        <f>E6/E9</f>
        <v>0.49127152183815681</v>
      </c>
      <c r="F58" s="214">
        <f t="shared" ref="F58:U58" si="54">F6/F9</f>
        <v>0.33458598877817286</v>
      </c>
      <c r="G58" s="214">
        <f t="shared" si="54"/>
        <v>0.32947762157129112</v>
      </c>
      <c r="H58" s="214">
        <f t="shared" si="54"/>
        <v>0.3455357937422015</v>
      </c>
      <c r="I58" s="214">
        <f t="shared" si="54"/>
        <v>0.58340431987236441</v>
      </c>
      <c r="J58" s="214">
        <f t="shared" si="54"/>
        <v>0.45179591395032836</v>
      </c>
      <c r="K58" s="214">
        <f t="shared" si="54"/>
        <v>0.4320564135482225</v>
      </c>
      <c r="L58" s="214">
        <f t="shared" si="54"/>
        <v>0.5251114032942189</v>
      </c>
      <c r="M58" s="214">
        <f t="shared" si="54"/>
        <v>0.73756189254810933</v>
      </c>
      <c r="N58" s="214">
        <f t="shared" si="54"/>
        <v>0.59430240821665348</v>
      </c>
      <c r="O58" s="214">
        <f t="shared" si="54"/>
        <v>0.5249333634064608</v>
      </c>
      <c r="P58" s="214">
        <f t="shared" si="54"/>
        <v>0.3388644548472467</v>
      </c>
      <c r="Q58" s="214">
        <f t="shared" si="54"/>
        <v>0.52201258802873995</v>
      </c>
      <c r="R58" s="214">
        <f t="shared" si="54"/>
        <v>0.50027127131493676</v>
      </c>
      <c r="S58" s="214">
        <f t="shared" si="54"/>
        <v>0.52039283709132167</v>
      </c>
      <c r="T58" s="214">
        <f t="shared" si="54"/>
        <v>0.3547986945566467</v>
      </c>
      <c r="U58" s="214">
        <f t="shared" si="54"/>
        <v>0.45994137300000532</v>
      </c>
    </row>
    <row r="59" spans="1:21" s="225" customFormat="1" x14ac:dyDescent="0.25">
      <c r="A59" s="227" t="s">
        <v>643</v>
      </c>
      <c r="B59" s="223"/>
      <c r="C59" s="223"/>
      <c r="D59" s="223"/>
      <c r="E59" s="224">
        <f>E55+E56</f>
        <v>0.68656664186780081</v>
      </c>
      <c r="F59" s="224">
        <f t="shared" ref="F59:U59" si="55">F55+F56</f>
        <v>0.73240547347602059</v>
      </c>
      <c r="G59" s="224">
        <f t="shared" si="55"/>
        <v>0.72864830869633834</v>
      </c>
      <c r="H59" s="224">
        <f t="shared" si="55"/>
        <v>0.71182378269166291</v>
      </c>
      <c r="I59" s="224">
        <f t="shared" si="55"/>
        <v>0.69324840398595944</v>
      </c>
      <c r="J59" s="224">
        <f t="shared" si="55"/>
        <v>0.69045790881216718</v>
      </c>
      <c r="K59" s="224">
        <f t="shared" si="55"/>
        <v>0.67597055355647306</v>
      </c>
      <c r="L59" s="224">
        <f t="shared" si="55"/>
        <v>0.71283197554413202</v>
      </c>
      <c r="M59" s="224">
        <f t="shared" si="55"/>
        <v>0.69041154641623359</v>
      </c>
      <c r="N59" s="224">
        <f t="shared" si="55"/>
        <v>0.66508291983949064</v>
      </c>
      <c r="O59" s="224">
        <f t="shared" si="55"/>
        <v>0.64145470380534819</v>
      </c>
      <c r="P59" s="224">
        <f t="shared" si="55"/>
        <v>0.67101897716633641</v>
      </c>
      <c r="Q59" s="224">
        <f t="shared" si="55"/>
        <v>0.647643619474218</v>
      </c>
      <c r="R59" s="224">
        <f t="shared" si="55"/>
        <v>0.55280491936741571</v>
      </c>
      <c r="S59" s="224">
        <f t="shared" si="55"/>
        <v>0.52922373864494765</v>
      </c>
      <c r="T59" s="224">
        <f t="shared" si="55"/>
        <v>0.58761477376354554</v>
      </c>
      <c r="U59" s="224">
        <f t="shared" si="55"/>
        <v>0.57557028283298983</v>
      </c>
    </row>
    <row r="60" spans="1:21" x14ac:dyDescent="0.25">
      <c r="A60" s="184" t="s">
        <v>650</v>
      </c>
      <c r="B60" s="64"/>
      <c r="C60" s="64"/>
      <c r="D60" s="64"/>
      <c r="E60" s="214">
        <f>E3/E9</f>
        <v>7.3512165129785839E-2</v>
      </c>
      <c r="F60" s="214">
        <f t="shared" ref="F60:U60" si="56">F3/F9</f>
        <v>6.0586752807900809E-2</v>
      </c>
      <c r="G60" s="214">
        <f t="shared" si="56"/>
        <v>5.850203746127762E-2</v>
      </c>
      <c r="H60" s="214">
        <f t="shared" si="56"/>
        <v>5.4036090152555311E-2</v>
      </c>
      <c r="I60" s="214">
        <f t="shared" si="56"/>
        <v>5.2857548659630486E-2</v>
      </c>
      <c r="J60" s="214">
        <f t="shared" si="56"/>
        <v>4.9841253314068627E-2</v>
      </c>
      <c r="K60" s="214">
        <f t="shared" si="56"/>
        <v>5.2612034138181295E-2</v>
      </c>
      <c r="L60" s="214">
        <f t="shared" si="56"/>
        <v>3.2703045806315965E-2</v>
      </c>
      <c r="M60" s="214">
        <f t="shared" si="56"/>
        <v>3.3278218723231098E-2</v>
      </c>
      <c r="N60" s="214">
        <f t="shared" si="56"/>
        <v>5.5030845240334157E-2</v>
      </c>
      <c r="O60" s="214">
        <f t="shared" si="56"/>
        <v>3.0565083341103017E-2</v>
      </c>
      <c r="P60" s="214">
        <f t="shared" si="56"/>
        <v>2.7598769367274338E-2</v>
      </c>
      <c r="Q60" s="214">
        <f t="shared" si="56"/>
        <v>2.9015417856084771E-2</v>
      </c>
      <c r="R60" s="214">
        <f t="shared" si="56"/>
        <v>2.7743998949717616E-2</v>
      </c>
      <c r="S60" s="214">
        <f t="shared" si="56"/>
        <v>2.7203801837236575E-2</v>
      </c>
      <c r="T60" s="214">
        <f t="shared" si="56"/>
        <v>2.634499266539967E-2</v>
      </c>
      <c r="U60" s="214">
        <f t="shared" si="56"/>
        <v>2.8652738413728607E-2</v>
      </c>
    </row>
    <row r="61" spans="1:21" x14ac:dyDescent="0.25">
      <c r="A61" s="184" t="s">
        <v>651</v>
      </c>
      <c r="B61" s="64"/>
      <c r="C61" s="64"/>
      <c r="D61" s="64"/>
      <c r="E61" s="214">
        <f>E7/E9</f>
        <v>0.23992119300241341</v>
      </c>
      <c r="F61" s="214">
        <f t="shared" ref="F61:U61" si="57">F7/F9</f>
        <v>0.20700777371607859</v>
      </c>
      <c r="G61" s="214">
        <f t="shared" si="57"/>
        <v>0.21284965384238402</v>
      </c>
      <c r="H61" s="214">
        <f t="shared" si="57"/>
        <v>0.23414012715578181</v>
      </c>
      <c r="I61" s="214">
        <f t="shared" si="57"/>
        <v>0.25389404735441018</v>
      </c>
      <c r="J61" s="214">
        <f t="shared" si="57"/>
        <v>0.25970083787376419</v>
      </c>
      <c r="K61" s="214">
        <f t="shared" si="57"/>
        <v>0.27141741230534561</v>
      </c>
      <c r="L61" s="214">
        <f t="shared" si="57"/>
        <v>0.25446497864955198</v>
      </c>
      <c r="M61" s="214">
        <f t="shared" si="57"/>
        <v>0.27631023486053535</v>
      </c>
      <c r="N61" s="214">
        <f t="shared" si="57"/>
        <v>0.27988623492017517</v>
      </c>
      <c r="O61" s="214">
        <f t="shared" si="57"/>
        <v>0.32798021285354867</v>
      </c>
      <c r="P61" s="214">
        <f t="shared" si="57"/>
        <v>0.30138225346638908</v>
      </c>
      <c r="Q61" s="214">
        <f t="shared" si="57"/>
        <v>0.32334096266969709</v>
      </c>
      <c r="R61" s="214">
        <f t="shared" si="57"/>
        <v>0.41945108168286666</v>
      </c>
      <c r="S61" s="214">
        <f t="shared" si="57"/>
        <v>0.44357245951781571</v>
      </c>
      <c r="T61" s="214">
        <f t="shared" si="57"/>
        <v>0.38604023357105477</v>
      </c>
      <c r="U61" s="214">
        <f t="shared" si="57"/>
        <v>0.39577697875328144</v>
      </c>
    </row>
    <row r="62" spans="1:21" s="225" customFormat="1" x14ac:dyDescent="0.25">
      <c r="A62" s="227" t="s">
        <v>644</v>
      </c>
      <c r="B62" s="223"/>
      <c r="C62" s="223"/>
      <c r="D62" s="223"/>
      <c r="E62" s="224">
        <f>E60+E61</f>
        <v>0.31343335813219925</v>
      </c>
      <c r="F62" s="224">
        <f t="shared" ref="F62:M62" si="58">F60+F61</f>
        <v>0.26759452652397941</v>
      </c>
      <c r="G62" s="224">
        <f t="shared" si="58"/>
        <v>0.27135169130366166</v>
      </c>
      <c r="H62" s="224">
        <f t="shared" si="58"/>
        <v>0.28817621730833709</v>
      </c>
      <c r="I62" s="224">
        <f t="shared" si="58"/>
        <v>0.30675159601404067</v>
      </c>
      <c r="J62" s="224">
        <f t="shared" si="58"/>
        <v>0.30954209118783282</v>
      </c>
      <c r="K62" s="224">
        <f t="shared" si="58"/>
        <v>0.32402944644352688</v>
      </c>
      <c r="L62" s="224">
        <f t="shared" si="58"/>
        <v>0.28716802445586792</v>
      </c>
      <c r="M62" s="224">
        <f t="shared" si="58"/>
        <v>0.30958845358376647</v>
      </c>
      <c r="N62" s="224">
        <f t="shared" ref="N62" si="59">N60+N61</f>
        <v>0.33491708016050931</v>
      </c>
      <c r="O62" s="224">
        <f t="shared" ref="O62" si="60">O60+O61</f>
        <v>0.3585452961946517</v>
      </c>
      <c r="P62" s="224">
        <f t="shared" ref="P62" si="61">P60+P61</f>
        <v>0.32898102283366343</v>
      </c>
      <c r="Q62" s="224">
        <f t="shared" ref="Q62" si="62">Q60+Q61</f>
        <v>0.35235638052578183</v>
      </c>
      <c r="R62" s="224">
        <f t="shared" ref="R62" si="63">R60+R61</f>
        <v>0.44719508063258429</v>
      </c>
      <c r="S62" s="224">
        <f t="shared" ref="S62" si="64">S60+S61</f>
        <v>0.47077626135505229</v>
      </c>
      <c r="T62" s="224">
        <f t="shared" ref="T62" si="65">T60+T61</f>
        <v>0.41238522623645446</v>
      </c>
      <c r="U62" s="224">
        <f t="shared" ref="U62" si="66">U60+U61</f>
        <v>0.42442971716701006</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0" t="s">
        <v>701</v>
      </c>
      <c r="B64" s="281"/>
      <c r="C64" s="281"/>
      <c r="D64" s="281"/>
      <c r="E64" s="281"/>
      <c r="F64" s="281"/>
      <c r="G64" s="281"/>
      <c r="H64" s="281"/>
      <c r="I64" s="281"/>
      <c r="J64" s="281"/>
      <c r="K64" s="281"/>
      <c r="L64" s="281"/>
      <c r="M64" s="281"/>
      <c r="N64" s="281"/>
      <c r="O64" s="281"/>
      <c r="P64" s="281"/>
      <c r="Q64" s="281"/>
      <c r="R64" s="281"/>
      <c r="S64" s="281"/>
      <c r="T64" s="281"/>
      <c r="U64" s="281"/>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0</v>
      </c>
      <c r="F67" s="193">
        <f t="shared" ref="F67:U67" si="68">F10</f>
        <v>0</v>
      </c>
      <c r="G67" s="193">
        <f t="shared" si="68"/>
        <v>8513310</v>
      </c>
      <c r="H67" s="193">
        <f t="shared" si="68"/>
        <v>8625630</v>
      </c>
      <c r="I67" s="193">
        <f t="shared" si="68"/>
        <v>8625630</v>
      </c>
      <c r="J67" s="193">
        <f t="shared" si="68"/>
        <v>8625630</v>
      </c>
      <c r="K67" s="193">
        <f t="shared" si="68"/>
        <v>8678670</v>
      </c>
      <c r="L67" s="193">
        <f t="shared" si="68"/>
        <v>8970390</v>
      </c>
      <c r="M67" s="193">
        <f t="shared" si="68"/>
        <v>8970390</v>
      </c>
      <c r="N67" s="193">
        <f t="shared" si="68"/>
        <v>21054670</v>
      </c>
      <c r="O67" s="193">
        <f t="shared" si="68"/>
        <v>12031240</v>
      </c>
      <c r="P67" s="193">
        <f t="shared" si="68"/>
        <v>12261080</v>
      </c>
      <c r="Q67" s="193">
        <f t="shared" si="68"/>
        <v>12261080</v>
      </c>
      <c r="R67" s="193">
        <f t="shared" si="68"/>
        <v>0</v>
      </c>
      <c r="S67" s="193">
        <f t="shared" si="68"/>
        <v>0</v>
      </c>
      <c r="T67" s="193">
        <f t="shared" si="68"/>
        <v>0</v>
      </c>
      <c r="U67" s="193">
        <f t="shared" si="68"/>
        <v>0</v>
      </c>
    </row>
    <row r="68" spans="1:21" x14ac:dyDescent="0.25">
      <c r="A68" s="17" t="s">
        <v>654</v>
      </c>
      <c r="E68" s="193">
        <f>E11</f>
        <v>5274285.7</v>
      </c>
      <c r="F68" s="193">
        <f t="shared" ref="F68:U68" si="69">F11</f>
        <v>6022857.1299999999</v>
      </c>
      <c r="G68" s="193">
        <f t="shared" si="69"/>
        <v>6771428.5599999996</v>
      </c>
      <c r="H68" s="193">
        <f t="shared" si="69"/>
        <v>7519999.9900000002</v>
      </c>
      <c r="I68" s="193">
        <f t="shared" si="69"/>
        <v>8268571.4199999999</v>
      </c>
      <c r="J68" s="193">
        <f t="shared" si="69"/>
        <v>9017142.8499999996</v>
      </c>
      <c r="K68" s="193">
        <f t="shared" si="69"/>
        <v>18444384.280000001</v>
      </c>
      <c r="L68" s="193">
        <f t="shared" si="69"/>
        <v>20484675.710000001</v>
      </c>
      <c r="M68" s="193">
        <f t="shared" si="69"/>
        <v>21233247.140000001</v>
      </c>
      <c r="N68" s="193">
        <f t="shared" si="69"/>
        <v>21034858.57</v>
      </c>
      <c r="O68" s="193">
        <f t="shared" si="69"/>
        <v>30806860</v>
      </c>
      <c r="P68" s="193">
        <f t="shared" si="69"/>
        <v>31900191.43</v>
      </c>
      <c r="Q68" s="193">
        <f t="shared" si="69"/>
        <v>32648762.859999999</v>
      </c>
      <c r="R68" s="193">
        <f t="shared" si="69"/>
        <v>15005714.279999999</v>
      </c>
      <c r="S68" s="193">
        <f t="shared" si="69"/>
        <v>15754285.710000001</v>
      </c>
      <c r="T68" s="193">
        <f t="shared" si="69"/>
        <v>17251428.57</v>
      </c>
      <c r="U68" s="193">
        <f t="shared" si="69"/>
        <v>17251428.57</v>
      </c>
    </row>
    <row r="69" spans="1:21" x14ac:dyDescent="0.25">
      <c r="A69" s="17" t="s">
        <v>655</v>
      </c>
      <c r="E69" s="193">
        <f>E12</f>
        <v>5274285.7</v>
      </c>
      <c r="F69" s="193">
        <f t="shared" ref="F69:U69" si="70">F12</f>
        <v>6022857.1299999999</v>
      </c>
      <c r="G69" s="193">
        <f t="shared" si="70"/>
        <v>15284738.559999999</v>
      </c>
      <c r="H69" s="193">
        <f t="shared" si="70"/>
        <v>16145629.99</v>
      </c>
      <c r="I69" s="193">
        <f t="shared" si="70"/>
        <v>16894201.420000002</v>
      </c>
      <c r="J69" s="193">
        <f t="shared" si="70"/>
        <v>17642772.850000001</v>
      </c>
      <c r="K69" s="193">
        <f t="shared" si="70"/>
        <v>27123054.280000001</v>
      </c>
      <c r="L69" s="193">
        <f t="shared" si="70"/>
        <v>29455065.710000001</v>
      </c>
      <c r="M69" s="193">
        <f t="shared" si="70"/>
        <v>30203637.140000001</v>
      </c>
      <c r="N69" s="193">
        <f t="shared" si="70"/>
        <v>42089528.57</v>
      </c>
      <c r="O69" s="193">
        <f t="shared" si="70"/>
        <v>42838100</v>
      </c>
      <c r="P69" s="193">
        <f t="shared" si="70"/>
        <v>44161271.43</v>
      </c>
      <c r="Q69" s="193">
        <f t="shared" si="70"/>
        <v>44909842.859999999</v>
      </c>
      <c r="R69" s="193">
        <f t="shared" si="70"/>
        <v>15005714.279999999</v>
      </c>
      <c r="S69" s="193">
        <f t="shared" si="70"/>
        <v>15754285.710000001</v>
      </c>
      <c r="T69" s="193">
        <f t="shared" si="70"/>
        <v>17251428.57</v>
      </c>
      <c r="U69" s="193">
        <f t="shared" si="70"/>
        <v>17251428.57</v>
      </c>
    </row>
    <row r="70" spans="1:21" s="234" customFormat="1" x14ac:dyDescent="0.25">
      <c r="A70" s="234" t="s">
        <v>658</v>
      </c>
      <c r="E70" s="234">
        <f>E69/E74</f>
        <v>1.4701874550004427E-3</v>
      </c>
      <c r="F70" s="234">
        <f t="shared" ref="F70:U70" si="71">F69/F74</f>
        <v>1.4827367796779898E-3</v>
      </c>
      <c r="G70" s="234">
        <f t="shared" si="71"/>
        <v>3.920319837211402E-3</v>
      </c>
      <c r="H70" s="234">
        <f t="shared" si="71"/>
        <v>4.3976776143621193E-3</v>
      </c>
      <c r="I70" s="234">
        <f t="shared" si="71"/>
        <v>4.7848273952253969E-3</v>
      </c>
      <c r="J70" s="234">
        <f t="shared" si="71"/>
        <v>5.2392617451012006E-3</v>
      </c>
      <c r="K70" s="234">
        <f t="shared" si="71"/>
        <v>8.39559332488524E-3</v>
      </c>
      <c r="L70" s="234">
        <f t="shared" si="71"/>
        <v>8.3525483397619924E-3</v>
      </c>
      <c r="M70" s="234">
        <f t="shared" si="71"/>
        <v>8.9128065590260673E-3</v>
      </c>
      <c r="N70" s="234">
        <f t="shared" si="71"/>
        <v>1.2926032857245031E-2</v>
      </c>
      <c r="O70" s="234">
        <f t="shared" si="71"/>
        <v>1.4025018035316609E-2</v>
      </c>
      <c r="P70" s="234">
        <f t="shared" si="71"/>
        <v>1.3042377466518243E-2</v>
      </c>
      <c r="Q70" s="234">
        <f t="shared" si="71"/>
        <v>1.3769892716552908E-2</v>
      </c>
      <c r="R70" s="234">
        <f t="shared" si="71"/>
        <v>4.7544438483581464E-3</v>
      </c>
      <c r="S70" s="234">
        <f t="shared" si="71"/>
        <v>5.1821276290980123E-3</v>
      </c>
      <c r="T70" s="234">
        <f t="shared" si="71"/>
        <v>5.3469220169294219E-3</v>
      </c>
      <c r="U70" s="234">
        <f t="shared" si="71"/>
        <v>5.557263324874228E-3</v>
      </c>
    </row>
    <row r="71" spans="1:21" x14ac:dyDescent="0.25">
      <c r="A71" s="17" t="s">
        <v>656</v>
      </c>
      <c r="E71" s="193">
        <f>E13</f>
        <v>3582217691.6399999</v>
      </c>
      <c r="F71" s="193">
        <f t="shared" ref="F71:U71" si="72">F13</f>
        <v>4055963877.5</v>
      </c>
      <c r="G71" s="193">
        <f t="shared" si="72"/>
        <v>3883565149.8900003</v>
      </c>
      <c r="H71" s="193">
        <f t="shared" si="72"/>
        <v>3655253550.6300001</v>
      </c>
      <c r="I71" s="193">
        <f t="shared" si="72"/>
        <v>3513891765.25</v>
      </c>
      <c r="J71" s="193">
        <f t="shared" si="72"/>
        <v>3349773040.3599997</v>
      </c>
      <c r="K71" s="193">
        <f t="shared" si="72"/>
        <v>3203506780.9699998</v>
      </c>
      <c r="L71" s="193">
        <f t="shared" si="72"/>
        <v>3497021467.1800003</v>
      </c>
      <c r="M71" s="193">
        <f t="shared" si="72"/>
        <v>3358587193.2199998</v>
      </c>
      <c r="N71" s="193">
        <f t="shared" si="72"/>
        <v>3214093480.9299994</v>
      </c>
      <c r="O71" s="193">
        <f t="shared" si="72"/>
        <v>3011567954.3900003</v>
      </c>
      <c r="P71" s="193">
        <f t="shared" si="72"/>
        <v>3341821962.3300004</v>
      </c>
      <c r="Q71" s="193">
        <f t="shared" si="72"/>
        <v>3216542064.1700006</v>
      </c>
      <c r="R71" s="193">
        <f t="shared" si="72"/>
        <v>3141139306.7999997</v>
      </c>
      <c r="S71" s="193">
        <f t="shared" si="72"/>
        <v>3024364915.8199997</v>
      </c>
      <c r="T71" s="193">
        <f t="shared" si="72"/>
        <v>3209170897.2800002</v>
      </c>
      <c r="U71" s="193">
        <f t="shared" si="72"/>
        <v>3087051456.0500002</v>
      </c>
    </row>
    <row r="72" spans="1:21" s="234" customFormat="1" x14ac:dyDescent="0.25">
      <c r="A72" s="234" t="s">
        <v>659</v>
      </c>
      <c r="E72" s="234">
        <f>E71/E74</f>
        <v>0.99852981254499962</v>
      </c>
      <c r="F72" s="234">
        <f t="shared" ref="F72:U72" si="73">F71/F74</f>
        <v>0.99851726322032197</v>
      </c>
      <c r="G72" s="234">
        <f t="shared" si="73"/>
        <v>0.99607968016278858</v>
      </c>
      <c r="H72" s="234">
        <f t="shared" si="73"/>
        <v>0.99560232238563795</v>
      </c>
      <c r="I72" s="234">
        <f t="shared" si="73"/>
        <v>0.99521517260477455</v>
      </c>
      <c r="J72" s="234">
        <f t="shared" si="73"/>
        <v>0.99476073825489886</v>
      </c>
      <c r="K72" s="234">
        <f t="shared" si="73"/>
        <v>0.99160440667511474</v>
      </c>
      <c r="L72" s="234">
        <f t="shared" si="73"/>
        <v>0.99164745166023804</v>
      </c>
      <c r="M72" s="234">
        <f t="shared" si="73"/>
        <v>0.99108719344097396</v>
      </c>
      <c r="N72" s="234">
        <f t="shared" si="73"/>
        <v>0.98707396714275497</v>
      </c>
      <c r="O72" s="234">
        <f t="shared" si="73"/>
        <v>0.98597498196468336</v>
      </c>
      <c r="P72" s="234">
        <f t="shared" si="73"/>
        <v>0.98695762253348185</v>
      </c>
      <c r="Q72" s="234">
        <f t="shared" si="73"/>
        <v>0.98623010728344707</v>
      </c>
      <c r="R72" s="234">
        <f t="shared" si="73"/>
        <v>0.99524555615164179</v>
      </c>
      <c r="S72" s="234">
        <f t="shared" si="73"/>
        <v>0.99481787237090202</v>
      </c>
      <c r="T72" s="234">
        <f t="shared" si="73"/>
        <v>0.99465307798307057</v>
      </c>
      <c r="U72" s="234">
        <f t="shared" si="73"/>
        <v>0.99444273667512573</v>
      </c>
    </row>
    <row r="73" spans="1:21" s="236" customFormat="1" x14ac:dyDescent="0.25">
      <c r="A73" s="235" t="s">
        <v>660</v>
      </c>
      <c r="E73" s="237">
        <f>E74/E71</f>
        <v>1.0014723520885704</v>
      </c>
      <c r="F73" s="237">
        <f t="shared" ref="F73:U73" si="74">F74/F71</f>
        <v>1.0014849385526856</v>
      </c>
      <c r="G73" s="237">
        <f t="shared" si="74"/>
        <v>1.0039357492330039</v>
      </c>
      <c r="H73" s="237">
        <f t="shared" si="74"/>
        <v>1.0044171026076198</v>
      </c>
      <c r="I73" s="237">
        <f t="shared" si="74"/>
        <v>1.0048078320416902</v>
      </c>
      <c r="J73" s="237">
        <f t="shared" si="74"/>
        <v>1.0052668561832188</v>
      </c>
      <c r="K73" s="237">
        <f t="shared" si="74"/>
        <v>1.0084666760941856</v>
      </c>
      <c r="L73" s="237">
        <f t="shared" si="74"/>
        <v>1.0084229010277574</v>
      </c>
      <c r="M73" s="237">
        <f t="shared" si="74"/>
        <v>1.0089929590635527</v>
      </c>
      <c r="N73" s="237">
        <f t="shared" si="74"/>
        <v>1.0130953031763785</v>
      </c>
      <c r="O73" s="237">
        <f t="shared" si="74"/>
        <v>1.0142245171448163</v>
      </c>
      <c r="P73" s="237">
        <f t="shared" si="74"/>
        <v>1.0132147289495965</v>
      </c>
      <c r="Q73" s="237">
        <f t="shared" si="74"/>
        <v>1.0139621500244824</v>
      </c>
      <c r="R73" s="237">
        <f t="shared" si="74"/>
        <v>1.00477715657103</v>
      </c>
      <c r="S73" s="237">
        <f t="shared" si="74"/>
        <v>1.0052091219639507</v>
      </c>
      <c r="T73" s="237">
        <f t="shared" si="74"/>
        <v>1.0053756652799706</v>
      </c>
      <c r="U73" s="237">
        <f t="shared" si="74"/>
        <v>1.0055883190855763</v>
      </c>
    </row>
    <row r="74" spans="1:21" x14ac:dyDescent="0.25">
      <c r="A74" s="17" t="s">
        <v>657</v>
      </c>
      <c r="E74" s="193">
        <f>E14</f>
        <v>3587491977.3399997</v>
      </c>
      <c r="F74" s="193">
        <f t="shared" ref="F74:U74" si="75">F14</f>
        <v>4061986734.6300001</v>
      </c>
      <c r="G74" s="193">
        <f t="shared" si="75"/>
        <v>3898849888.4500003</v>
      </c>
      <c r="H74" s="193">
        <f t="shared" si="75"/>
        <v>3671399180.6199999</v>
      </c>
      <c r="I74" s="193">
        <f t="shared" si="75"/>
        <v>3530785966.6700001</v>
      </c>
      <c r="J74" s="193">
        <f t="shared" si="75"/>
        <v>3367415813.2099996</v>
      </c>
      <c r="K74" s="193">
        <f t="shared" si="75"/>
        <v>3230629835.25</v>
      </c>
      <c r="L74" s="193">
        <f t="shared" si="75"/>
        <v>3526476532.8900003</v>
      </c>
      <c r="M74" s="193">
        <f t="shared" si="75"/>
        <v>3388790830.3599997</v>
      </c>
      <c r="N74" s="193">
        <f t="shared" si="75"/>
        <v>3256183009.4999995</v>
      </c>
      <c r="O74" s="193">
        <f t="shared" si="75"/>
        <v>3054406054.3900003</v>
      </c>
      <c r="P74" s="193">
        <f t="shared" si="75"/>
        <v>3385983233.7600002</v>
      </c>
      <c r="Q74" s="193">
        <f t="shared" si="75"/>
        <v>3261451907.0300007</v>
      </c>
      <c r="R74" s="193">
        <f t="shared" si="75"/>
        <v>3156145021.0799999</v>
      </c>
      <c r="S74" s="193">
        <f t="shared" si="75"/>
        <v>3040119201.5299997</v>
      </c>
      <c r="T74" s="193">
        <f t="shared" si="75"/>
        <v>3226422325.8500004</v>
      </c>
      <c r="U74" s="193">
        <f t="shared" si="75"/>
        <v>3104302884.6200004</v>
      </c>
    </row>
    <row r="75" spans="1:21" ht="83.4" customHeight="1" x14ac:dyDescent="0.25">
      <c r="A75" s="278" t="s">
        <v>702</v>
      </c>
      <c r="B75" s="277"/>
      <c r="C75" s="277"/>
      <c r="D75" s="277"/>
      <c r="E75" s="277"/>
      <c r="F75" s="277"/>
      <c r="G75" s="277"/>
      <c r="H75" s="277"/>
      <c r="I75" s="277"/>
      <c r="J75" s="277"/>
      <c r="K75" s="277"/>
      <c r="L75" s="277"/>
      <c r="M75" s="277"/>
      <c r="N75" s="277"/>
      <c r="O75" s="277"/>
      <c r="P75" s="277"/>
      <c r="Q75" s="277"/>
      <c r="R75" s="277"/>
      <c r="S75" s="277"/>
      <c r="T75" s="277"/>
      <c r="U75" s="277"/>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0</v>
      </c>
      <c r="F78" s="89">
        <f t="shared" ref="F78:U78" si="77">F10</f>
        <v>0</v>
      </c>
      <c r="G78" s="89">
        <f t="shared" si="77"/>
        <v>8513310</v>
      </c>
      <c r="H78" s="89">
        <f t="shared" si="77"/>
        <v>8625630</v>
      </c>
      <c r="I78" s="89">
        <f t="shared" si="77"/>
        <v>8625630</v>
      </c>
      <c r="J78" s="89">
        <f t="shared" si="77"/>
        <v>8625630</v>
      </c>
      <c r="K78" s="89">
        <f t="shared" si="77"/>
        <v>8678670</v>
      </c>
      <c r="L78" s="89">
        <f t="shared" si="77"/>
        <v>8970390</v>
      </c>
      <c r="M78" s="89">
        <f t="shared" si="77"/>
        <v>8970390</v>
      </c>
      <c r="N78" s="89">
        <f t="shared" si="77"/>
        <v>21054670</v>
      </c>
      <c r="O78" s="89">
        <f t="shared" si="77"/>
        <v>12031240</v>
      </c>
      <c r="P78" s="89">
        <f t="shared" si="77"/>
        <v>12261080</v>
      </c>
      <c r="Q78" s="89">
        <f t="shared" si="77"/>
        <v>12261080</v>
      </c>
      <c r="R78" s="89">
        <f t="shared" si="77"/>
        <v>0</v>
      </c>
      <c r="S78" s="89">
        <f t="shared" si="77"/>
        <v>0</v>
      </c>
      <c r="T78" s="89">
        <f t="shared" si="77"/>
        <v>0</v>
      </c>
      <c r="U78" s="89">
        <f t="shared" si="77"/>
        <v>0</v>
      </c>
    </row>
    <row r="79" spans="1:21" x14ac:dyDescent="0.25">
      <c r="A79" s="184" t="s">
        <v>662</v>
      </c>
      <c r="B79" s="64"/>
      <c r="C79" s="64"/>
      <c r="D79" s="64"/>
      <c r="E79" s="89">
        <f>E78</f>
        <v>0</v>
      </c>
      <c r="F79" s="89">
        <f t="shared" ref="F79:U79" si="78">F78</f>
        <v>0</v>
      </c>
      <c r="G79" s="89">
        <f t="shared" si="78"/>
        <v>8513310</v>
      </c>
      <c r="H79" s="89">
        <f t="shared" si="78"/>
        <v>8625630</v>
      </c>
      <c r="I79" s="89">
        <f t="shared" si="78"/>
        <v>8625630</v>
      </c>
      <c r="J79" s="89">
        <f t="shared" si="78"/>
        <v>8625630</v>
      </c>
      <c r="K79" s="89">
        <f t="shared" si="78"/>
        <v>8678670</v>
      </c>
      <c r="L79" s="89">
        <f t="shared" si="78"/>
        <v>8970390</v>
      </c>
      <c r="M79" s="89">
        <f t="shared" si="78"/>
        <v>8970390</v>
      </c>
      <c r="N79" s="89">
        <f t="shared" si="78"/>
        <v>21054670</v>
      </c>
      <c r="O79" s="89">
        <f t="shared" si="78"/>
        <v>12031240</v>
      </c>
      <c r="P79" s="89">
        <f t="shared" si="78"/>
        <v>12261080</v>
      </c>
      <c r="Q79" s="89">
        <f t="shared" si="78"/>
        <v>12261080</v>
      </c>
      <c r="R79" s="89">
        <f t="shared" si="78"/>
        <v>0</v>
      </c>
      <c r="S79" s="89">
        <f t="shared" si="78"/>
        <v>0</v>
      </c>
      <c r="T79" s="89">
        <f t="shared" si="78"/>
        <v>0</v>
      </c>
      <c r="U79" s="89">
        <f t="shared" si="78"/>
        <v>0</v>
      </c>
    </row>
    <row r="80" spans="1:21" s="220" customFormat="1" x14ac:dyDescent="0.25">
      <c r="A80" s="224" t="s">
        <v>663</v>
      </c>
      <c r="B80" s="224"/>
      <c r="C80" s="224"/>
      <c r="D80" s="224"/>
      <c r="E80" s="224">
        <f>E79/E85</f>
        <v>0</v>
      </c>
      <c r="F80" s="224">
        <f t="shared" ref="F80:U80" si="79">F79/F85</f>
        <v>0</v>
      </c>
      <c r="G80" s="224">
        <f t="shared" si="79"/>
        <v>2.1835439279721774E-3</v>
      </c>
      <c r="H80" s="224">
        <f t="shared" si="79"/>
        <v>2.3494121929131567E-3</v>
      </c>
      <c r="I80" s="224">
        <f t="shared" si="79"/>
        <v>2.4429773091386546E-3</v>
      </c>
      <c r="J80" s="224">
        <f t="shared" si="79"/>
        <v>2.5614983353593008E-3</v>
      </c>
      <c r="K80" s="224">
        <f t="shared" si="79"/>
        <v>2.6863709067827661E-3</v>
      </c>
      <c r="L80" s="224">
        <f t="shared" si="79"/>
        <v>2.5437259872104212E-3</v>
      </c>
      <c r="M80" s="224">
        <f t="shared" si="79"/>
        <v>2.6470769218432562E-3</v>
      </c>
      <c r="N80" s="224">
        <f t="shared" si="79"/>
        <v>6.4660585533959387E-3</v>
      </c>
      <c r="O80" s="224">
        <f t="shared" si="79"/>
        <v>3.9389785725142479E-3</v>
      </c>
      <c r="P80" s="224">
        <f t="shared" si="79"/>
        <v>3.6211283853241519E-3</v>
      </c>
      <c r="Q80" s="224">
        <f t="shared" si="79"/>
        <v>3.7593931627725257E-3</v>
      </c>
      <c r="R80" s="224">
        <f t="shared" si="79"/>
        <v>0</v>
      </c>
      <c r="S80" s="224">
        <f t="shared" si="79"/>
        <v>0</v>
      </c>
      <c r="T80" s="224">
        <f t="shared" si="79"/>
        <v>0</v>
      </c>
      <c r="U80" s="224">
        <f t="shared" si="79"/>
        <v>0</v>
      </c>
    </row>
    <row r="81" spans="1:21" x14ac:dyDescent="0.25">
      <c r="A81" s="184" t="s">
        <v>654</v>
      </c>
      <c r="B81" s="64"/>
      <c r="C81" s="64"/>
      <c r="D81" s="64"/>
      <c r="E81" s="89">
        <f>E11</f>
        <v>5274285.7</v>
      </c>
      <c r="F81" s="89">
        <f t="shared" ref="F81:U81" si="80">F11</f>
        <v>6022857.1299999999</v>
      </c>
      <c r="G81" s="89">
        <f t="shared" si="80"/>
        <v>6771428.5599999996</v>
      </c>
      <c r="H81" s="89">
        <f t="shared" si="80"/>
        <v>7519999.9900000002</v>
      </c>
      <c r="I81" s="89">
        <f t="shared" si="80"/>
        <v>8268571.4199999999</v>
      </c>
      <c r="J81" s="89">
        <f t="shared" si="80"/>
        <v>9017142.8499999996</v>
      </c>
      <c r="K81" s="89">
        <f t="shared" si="80"/>
        <v>18444384.280000001</v>
      </c>
      <c r="L81" s="89">
        <f t="shared" si="80"/>
        <v>20484675.710000001</v>
      </c>
      <c r="M81" s="89">
        <f t="shared" si="80"/>
        <v>21233247.140000001</v>
      </c>
      <c r="N81" s="89">
        <f t="shared" si="80"/>
        <v>21034858.57</v>
      </c>
      <c r="O81" s="89">
        <f t="shared" si="80"/>
        <v>30806860</v>
      </c>
      <c r="P81" s="89">
        <f t="shared" si="80"/>
        <v>31900191.43</v>
      </c>
      <c r="Q81" s="89">
        <f t="shared" si="80"/>
        <v>32648762.859999999</v>
      </c>
      <c r="R81" s="89">
        <f t="shared" si="80"/>
        <v>15005714.279999999</v>
      </c>
      <c r="S81" s="89">
        <f t="shared" si="80"/>
        <v>15754285.710000001</v>
      </c>
      <c r="T81" s="89">
        <f t="shared" si="80"/>
        <v>17251428.57</v>
      </c>
      <c r="U81" s="89">
        <f t="shared" si="80"/>
        <v>17251428.57</v>
      </c>
    </row>
    <row r="82" spans="1:21" x14ac:dyDescent="0.25">
      <c r="A82" s="184" t="s">
        <v>656</v>
      </c>
      <c r="B82" s="64"/>
      <c r="C82" s="64"/>
      <c r="D82" s="64"/>
      <c r="E82" s="89">
        <f>E13</f>
        <v>3582217691.6399999</v>
      </c>
      <c r="F82" s="89">
        <f t="shared" ref="F82:U82" si="81">F13</f>
        <v>4055963877.5</v>
      </c>
      <c r="G82" s="89">
        <f t="shared" si="81"/>
        <v>3883565149.8900003</v>
      </c>
      <c r="H82" s="89">
        <f t="shared" si="81"/>
        <v>3655253550.6300001</v>
      </c>
      <c r="I82" s="89">
        <f t="shared" si="81"/>
        <v>3513891765.25</v>
      </c>
      <c r="J82" s="89">
        <f t="shared" si="81"/>
        <v>3349773040.3599997</v>
      </c>
      <c r="K82" s="89">
        <f t="shared" si="81"/>
        <v>3203506780.9699998</v>
      </c>
      <c r="L82" s="89">
        <f t="shared" si="81"/>
        <v>3497021467.1800003</v>
      </c>
      <c r="M82" s="89">
        <f t="shared" si="81"/>
        <v>3358587193.2199998</v>
      </c>
      <c r="N82" s="89">
        <f t="shared" si="81"/>
        <v>3214093480.9299994</v>
      </c>
      <c r="O82" s="89">
        <f t="shared" si="81"/>
        <v>3011567954.3900003</v>
      </c>
      <c r="P82" s="89">
        <f t="shared" si="81"/>
        <v>3341821962.3300004</v>
      </c>
      <c r="Q82" s="89">
        <f t="shared" si="81"/>
        <v>3216542064.1700006</v>
      </c>
      <c r="R82" s="89">
        <f t="shared" si="81"/>
        <v>3141139306.7999997</v>
      </c>
      <c r="S82" s="89">
        <f t="shared" si="81"/>
        <v>3024364915.8199997</v>
      </c>
      <c r="T82" s="89">
        <f t="shared" si="81"/>
        <v>3209170897.2800002</v>
      </c>
      <c r="U82" s="89">
        <f t="shared" si="81"/>
        <v>3087051456.0500002</v>
      </c>
    </row>
    <row r="83" spans="1:21" x14ac:dyDescent="0.25">
      <c r="A83" s="184" t="s">
        <v>664</v>
      </c>
      <c r="B83" s="64"/>
      <c r="C83" s="64"/>
      <c r="D83" s="64"/>
      <c r="E83" s="89">
        <f>E81+E82</f>
        <v>3587491977.3399997</v>
      </c>
      <c r="F83" s="89">
        <f t="shared" ref="F83:U83" si="82">F81+F82</f>
        <v>4061986734.6300001</v>
      </c>
      <c r="G83" s="89">
        <f t="shared" si="82"/>
        <v>3890336578.4500003</v>
      </c>
      <c r="H83" s="89">
        <f t="shared" si="82"/>
        <v>3662773550.6199999</v>
      </c>
      <c r="I83" s="89">
        <f t="shared" si="82"/>
        <v>3522160336.6700001</v>
      </c>
      <c r="J83" s="89">
        <f t="shared" si="82"/>
        <v>3358790183.2099996</v>
      </c>
      <c r="K83" s="89">
        <f t="shared" si="82"/>
        <v>3221951165.25</v>
      </c>
      <c r="L83" s="89">
        <f t="shared" si="82"/>
        <v>3517506142.8900003</v>
      </c>
      <c r="M83" s="89">
        <f t="shared" si="82"/>
        <v>3379820440.3599997</v>
      </c>
      <c r="N83" s="89">
        <f t="shared" si="82"/>
        <v>3235128339.4999995</v>
      </c>
      <c r="O83" s="89">
        <f t="shared" si="82"/>
        <v>3042374814.3900003</v>
      </c>
      <c r="P83" s="89">
        <f t="shared" si="82"/>
        <v>3373722153.7600002</v>
      </c>
      <c r="Q83" s="89">
        <f t="shared" si="82"/>
        <v>3249190827.0300007</v>
      </c>
      <c r="R83" s="89">
        <f t="shared" si="82"/>
        <v>3156145021.0799999</v>
      </c>
      <c r="S83" s="89">
        <f t="shared" si="82"/>
        <v>3040119201.5299997</v>
      </c>
      <c r="T83" s="89">
        <f t="shared" si="82"/>
        <v>3226422325.8500004</v>
      </c>
      <c r="U83" s="89">
        <f t="shared" si="82"/>
        <v>3104302884.6200004</v>
      </c>
    </row>
    <row r="84" spans="1:21" s="220" customFormat="1" x14ac:dyDescent="0.25">
      <c r="A84" s="224" t="s">
        <v>665</v>
      </c>
      <c r="B84" s="224"/>
      <c r="C84" s="224"/>
      <c r="D84" s="224"/>
      <c r="E84" s="224">
        <f>E83/E85</f>
        <v>1</v>
      </c>
      <c r="F84" s="224">
        <f t="shared" ref="F84:U84" si="83">F83/F85</f>
        <v>1</v>
      </c>
      <c r="G84" s="224">
        <f t="shared" si="83"/>
        <v>0.99781645607202785</v>
      </c>
      <c r="H84" s="224">
        <f t="shared" si="83"/>
        <v>0.99765058780708682</v>
      </c>
      <c r="I84" s="224">
        <f t="shared" si="83"/>
        <v>0.99755702269086133</v>
      </c>
      <c r="J84" s="224">
        <f t="shared" si="83"/>
        <v>0.99743850166464065</v>
      </c>
      <c r="K84" s="224">
        <f t="shared" si="83"/>
        <v>0.99731362909321719</v>
      </c>
      <c r="L84" s="224">
        <f t="shared" si="83"/>
        <v>0.99745627401278958</v>
      </c>
      <c r="M84" s="224">
        <f t="shared" si="83"/>
        <v>0.99735292307815671</v>
      </c>
      <c r="N84" s="224">
        <f t="shared" si="83"/>
        <v>0.99353394144660401</v>
      </c>
      <c r="O84" s="224">
        <f t="shared" si="83"/>
        <v>0.99606102142748576</v>
      </c>
      <c r="P84" s="224">
        <f t="shared" si="83"/>
        <v>0.99637887161467587</v>
      </c>
      <c r="Q84" s="224">
        <f t="shared" si="83"/>
        <v>0.99624060683722748</v>
      </c>
      <c r="R84" s="224">
        <f t="shared" si="83"/>
        <v>1</v>
      </c>
      <c r="S84" s="224">
        <f t="shared" si="83"/>
        <v>1</v>
      </c>
      <c r="T84" s="224">
        <f t="shared" si="83"/>
        <v>1</v>
      </c>
      <c r="U84" s="224">
        <f t="shared" si="83"/>
        <v>1</v>
      </c>
    </row>
    <row r="85" spans="1:21" x14ac:dyDescent="0.25">
      <c r="A85" s="184" t="s">
        <v>657</v>
      </c>
      <c r="B85" s="64"/>
      <c r="C85" s="64"/>
      <c r="D85" s="64"/>
      <c r="E85" s="89">
        <f>E14</f>
        <v>3587491977.3399997</v>
      </c>
      <c r="F85" s="89">
        <f t="shared" ref="F85:U85" si="84">F14</f>
        <v>4061986734.6300001</v>
      </c>
      <c r="G85" s="89">
        <f t="shared" si="84"/>
        <v>3898849888.4500003</v>
      </c>
      <c r="H85" s="89">
        <f t="shared" si="84"/>
        <v>3671399180.6199999</v>
      </c>
      <c r="I85" s="89">
        <f t="shared" si="84"/>
        <v>3530785966.6700001</v>
      </c>
      <c r="J85" s="89">
        <f t="shared" si="84"/>
        <v>3367415813.2099996</v>
      </c>
      <c r="K85" s="89">
        <f t="shared" si="84"/>
        <v>3230629835.25</v>
      </c>
      <c r="L85" s="89">
        <f t="shared" si="84"/>
        <v>3526476532.8900003</v>
      </c>
      <c r="M85" s="89">
        <f t="shared" si="84"/>
        <v>3388790830.3599997</v>
      </c>
      <c r="N85" s="89">
        <f t="shared" si="84"/>
        <v>3256183009.4999995</v>
      </c>
      <c r="O85" s="89">
        <f t="shared" si="84"/>
        <v>3054406054.3900003</v>
      </c>
      <c r="P85" s="89">
        <f t="shared" si="84"/>
        <v>3385983233.7600002</v>
      </c>
      <c r="Q85" s="89">
        <f t="shared" si="84"/>
        <v>3261451907.0300007</v>
      </c>
      <c r="R85" s="89">
        <f t="shared" si="84"/>
        <v>3156145021.0799999</v>
      </c>
      <c r="S85" s="89">
        <f t="shared" si="84"/>
        <v>3040119201.5299997</v>
      </c>
      <c r="T85" s="89">
        <f t="shared" si="84"/>
        <v>3226422325.8500004</v>
      </c>
      <c r="U85" s="89">
        <f t="shared" si="84"/>
        <v>3104302884.6200004</v>
      </c>
    </row>
    <row r="87" spans="1:21" s="56" customFormat="1" ht="85.8" customHeight="1" x14ac:dyDescent="0.25">
      <c r="A87" s="276" t="s">
        <v>703</v>
      </c>
      <c r="B87" s="279"/>
      <c r="C87" s="279"/>
      <c r="D87" s="279"/>
      <c r="E87" s="279"/>
      <c r="F87" s="279"/>
      <c r="G87" s="279"/>
      <c r="H87" s="279"/>
      <c r="I87" s="279"/>
      <c r="J87" s="279"/>
      <c r="K87" s="279"/>
      <c r="L87" s="279"/>
      <c r="M87" s="279"/>
      <c r="N87" s="279"/>
      <c r="O87" s="279"/>
      <c r="P87" s="279"/>
      <c r="Q87" s="279"/>
      <c r="R87" s="279"/>
      <c r="S87" s="279"/>
      <c r="T87" s="279"/>
      <c r="U87" s="279"/>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7247524855.71</v>
      </c>
      <c r="F2" s="26">
        <f>股权价值增加表!F4</f>
        <v>5065883183.1800003</v>
      </c>
      <c r="G2" s="26">
        <f>股权价值增加表!G4</f>
        <v>3268813950.4499998</v>
      </c>
      <c r="H2" s="26">
        <f>股权价值增加表!H4</f>
        <v>1485448286.03</v>
      </c>
      <c r="I2" s="26">
        <f>股权价值增加表!I4</f>
        <v>7314804589.3299999</v>
      </c>
      <c r="J2" s="26">
        <f>股权价值增加表!J4</f>
        <v>5034289662.0600004</v>
      </c>
      <c r="K2" s="26">
        <f>股权价值增加表!K4</f>
        <v>3310004420.3299999</v>
      </c>
      <c r="L2" s="26">
        <f>股权价值增加表!L4</f>
        <v>1642780841.9100001</v>
      </c>
      <c r="M2" s="26">
        <f>股权价值增加表!M4</f>
        <v>7060089115.1000004</v>
      </c>
      <c r="N2" s="26">
        <f>股权价值增加表!N4</f>
        <v>5015787441.9099998</v>
      </c>
      <c r="O2" s="26">
        <f>股权价值增加表!O4</f>
        <v>3166625456.5</v>
      </c>
      <c r="P2" s="26">
        <f>股权价值增加表!P4</f>
        <v>1416951061.4000001</v>
      </c>
      <c r="Q2" s="26">
        <f>股权价值增加表!Q4</f>
        <v>5943513348.3800001</v>
      </c>
      <c r="R2" s="26">
        <f>股权价值增加表!R4</f>
        <v>4174603890.3899999</v>
      </c>
      <c r="S2" s="26">
        <f>股权价值增加表!S4</f>
        <v>2634286922.3299999</v>
      </c>
      <c r="T2" s="26">
        <f>股权价值增加表!T4</f>
        <v>1162870526.8900001</v>
      </c>
      <c r="U2" s="26">
        <f>股权价值增加表!U4</f>
        <v>5328121623.6099997</v>
      </c>
      <c r="V2" s="26">
        <f>股权价值增加表!V4</f>
        <v>3762579364.75</v>
      </c>
      <c r="W2" s="26">
        <f>股权价值增加表!W4</f>
        <v>2487358094.9200001</v>
      </c>
      <c r="X2" s="26">
        <f>股权价值增加表!X4</f>
        <v>1165556678.8900001</v>
      </c>
      <c r="Y2" s="26">
        <f>股权价值增加表!Y4</f>
        <v>4941836029.1599998</v>
      </c>
      <c r="Z2" s="26">
        <f>股权价值增加表!Z4</f>
        <v>3677657774.5300002</v>
      </c>
      <c r="AA2" s="26">
        <f>股权价值增加表!AA4</f>
        <v>2479065462.6300001</v>
      </c>
      <c r="AB2" s="26">
        <f>股权价值增加表!AB4</f>
        <v>1256355671.4000001</v>
      </c>
      <c r="AC2" s="26">
        <f>股权价值增加表!AC4</f>
        <v>5199331120.79</v>
      </c>
      <c r="AD2" s="26">
        <f>股权价值增加表!AD4</f>
        <v>4006626750.1300001</v>
      </c>
      <c r="AE2" s="26">
        <f>股权价值增加表!AE4</f>
        <v>2596159695.6900001</v>
      </c>
      <c r="AF2" s="26">
        <f>股权价值增加表!AF4</f>
        <v>1224631597.8399999</v>
      </c>
      <c r="AG2" s="26">
        <f>股权价值增加表!AG4</f>
        <v>5346505242.0600004</v>
      </c>
      <c r="AH2" s="26">
        <f>股权价值增加表!AH4</f>
        <v>3998717868.4699998</v>
      </c>
      <c r="AI2" s="26">
        <f>股权价值增加表!AI4</f>
        <v>2407587167.1900001</v>
      </c>
      <c r="AJ2" s="26">
        <f>股权价值增加表!AJ4</f>
        <v>846299087.34000003</v>
      </c>
      <c r="AK2" s="26">
        <f>股权价值增加表!AK4</f>
        <v>4636424794.75</v>
      </c>
      <c r="AL2" s="26">
        <f>股权价值增加表!AL4</f>
        <v>3364435349.9299998</v>
      </c>
      <c r="AM2" s="26">
        <f>股权价值增加表!AM4</f>
        <v>2181122166.0999999</v>
      </c>
      <c r="AN2" s="26">
        <f>股权价值增加表!AN4</f>
        <v>963326920.47000003</v>
      </c>
      <c r="AO2" s="26">
        <f>股权价值增加表!AO4</f>
        <v>4323444775.4799995</v>
      </c>
      <c r="AP2" s="26">
        <f>股权价值增加表!AP4</f>
        <v>2734495961.9400001</v>
      </c>
      <c r="AQ2" s="26">
        <f>股权价值增加表!AQ4</f>
        <v>1614051367.5599999</v>
      </c>
      <c r="AR2" s="26">
        <f>股权价值增加表!AR4</f>
        <v>701754356.17999995</v>
      </c>
      <c r="AS2" s="26">
        <f>股权价值增加表!AS4</f>
        <v>1942805380.28</v>
      </c>
      <c r="AT2" s="26">
        <f>股权价值增加表!AT4</f>
        <v>1197849805.04</v>
      </c>
      <c r="AU2" s="26">
        <f>股权价值增加表!AU4</f>
        <v>701639224.75</v>
      </c>
      <c r="AV2" s="26">
        <f>股权价值增加表!AV4</f>
        <v>328138362.51999998</v>
      </c>
      <c r="AW2" s="26">
        <f>股权价值增加表!AW4</f>
        <v>933814768.39999998</v>
      </c>
      <c r="AX2" s="26">
        <f>股权价值增加表!AX4</f>
        <v>750377431.16999996</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-9.1977485930574091E-3</v>
      </c>
      <c r="F3" s="66">
        <f t="shared" ref="F3:BQ3" si="0">(F2-J2)/J2</f>
        <v>6.2756661298412481E-3</v>
      </c>
      <c r="G3" s="66">
        <f t="shared" si="0"/>
        <v>-1.2444234100416554E-2</v>
      </c>
      <c r="H3" s="66">
        <f t="shared" si="0"/>
        <v>-9.5772090753794892E-2</v>
      </c>
      <c r="I3" s="66">
        <f t="shared" si="0"/>
        <v>3.6078223670749192E-2</v>
      </c>
      <c r="J3" s="66">
        <f t="shared" si="0"/>
        <v>3.6887966972848777E-3</v>
      </c>
      <c r="K3" s="66">
        <f t="shared" si="0"/>
        <v>4.5278156763279946E-2</v>
      </c>
      <c r="L3" s="66">
        <f t="shared" si="0"/>
        <v>0.15937726196899971</v>
      </c>
      <c r="M3" s="66">
        <f t="shared" si="0"/>
        <v>0.18786460150280321</v>
      </c>
      <c r="N3" s="66">
        <f t="shared" si="0"/>
        <v>0.20150020782963793</v>
      </c>
      <c r="O3" s="66">
        <f t="shared" si="0"/>
        <v>0.20208069578812321</v>
      </c>
      <c r="P3" s="66">
        <f t="shared" si="0"/>
        <v>0.21849425936481262</v>
      </c>
      <c r="Q3" s="66">
        <f t="shared" si="0"/>
        <v>0.11549881332345596</v>
      </c>
      <c r="R3" s="66">
        <f t="shared" si="0"/>
        <v>0.10950586969675159</v>
      </c>
      <c r="S3" s="66">
        <f t="shared" si="0"/>
        <v>5.9070235086004154E-2</v>
      </c>
      <c r="T3" s="66">
        <f t="shared" si="0"/>
        <v>-2.3046086463664002E-3</v>
      </c>
      <c r="U3" s="66">
        <f t="shared" si="0"/>
        <v>7.8166412679552141E-2</v>
      </c>
      <c r="V3" s="66">
        <f t="shared" si="0"/>
        <v>2.3091216047380226E-2</v>
      </c>
      <c r="W3" s="66">
        <f t="shared" si="0"/>
        <v>3.3450638617676695E-3</v>
      </c>
      <c r="X3" s="66">
        <f t="shared" si="0"/>
        <v>-7.2271725735770009E-2</v>
      </c>
      <c r="Y3" s="66">
        <f t="shared" si="0"/>
        <v>-4.9524657239155723E-2</v>
      </c>
      <c r="Z3" s="66">
        <f t="shared" si="0"/>
        <v>-8.2106219549731227E-2</v>
      </c>
      <c r="AA3" s="66">
        <f t="shared" si="0"/>
        <v>-4.5102862221608815E-2</v>
      </c>
      <c r="AB3" s="66">
        <f t="shared" si="0"/>
        <v>2.590499348208471E-2</v>
      </c>
      <c r="AC3" s="66">
        <f t="shared" si="0"/>
        <v>-2.7527162998402764E-2</v>
      </c>
      <c r="AD3" s="66">
        <f t="shared" si="0"/>
        <v>1.9778543823664265E-3</v>
      </c>
      <c r="AE3" s="66">
        <f t="shared" si="0"/>
        <v>7.8324278792402446E-2</v>
      </c>
      <c r="AF3" s="66">
        <f t="shared" si="0"/>
        <v>0.44704350525667658</v>
      </c>
      <c r="AG3" s="66">
        <f t="shared" si="0"/>
        <v>0.15315258604303289</v>
      </c>
      <c r="AH3" s="66">
        <f t="shared" si="0"/>
        <v>0.18852569675716813</v>
      </c>
      <c r="AI3" s="66">
        <f t="shared" si="0"/>
        <v>0.10382958121733067</v>
      </c>
      <c r="AJ3" s="66">
        <f t="shared" si="0"/>
        <v>-0.12148298842609213</v>
      </c>
      <c r="AK3" s="66">
        <f t="shared" si="0"/>
        <v>7.2391353544062009E-2</v>
      </c>
      <c r="AL3" s="66">
        <f t="shared" si="0"/>
        <v>0.23036764243128979</v>
      </c>
      <c r="AM3" s="66">
        <f t="shared" si="0"/>
        <v>0.35133379887237076</v>
      </c>
      <c r="AN3" s="66">
        <f t="shared" si="0"/>
        <v>0.37274091993367936</v>
      </c>
      <c r="AO3" s="66">
        <f t="shared" si="0"/>
        <v>1.2253617471745413</v>
      </c>
      <c r="AP3" s="66">
        <f t="shared" si="0"/>
        <v>1.2828370889526393</v>
      </c>
      <c r="AQ3" s="66">
        <f t="shared" si="0"/>
        <v>1.3004007054125291</v>
      </c>
      <c r="AR3" s="66">
        <f t="shared" si="0"/>
        <v>1.1385928508655496</v>
      </c>
      <c r="AS3" s="66">
        <f t="shared" si="0"/>
        <v>1.0805040207372245</v>
      </c>
      <c r="AT3" s="66">
        <f t="shared" si="0"/>
        <v>0.5963297339210939</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4855286572.2700005</v>
      </c>
      <c r="F4" s="26">
        <f>股权价值增加表!F5</f>
        <v>3404461141.1799998</v>
      </c>
      <c r="G4" s="26">
        <f>股权价值增加表!G5</f>
        <v>2215185411.7199998</v>
      </c>
      <c r="H4" s="26">
        <f>股权价值增加表!H5</f>
        <v>1030828261.85</v>
      </c>
      <c r="I4" s="26">
        <f>股权价值增加表!I5</f>
        <v>4922954425.0900002</v>
      </c>
      <c r="J4" s="26">
        <f>股权价值增加表!J5</f>
        <v>3391675578.0500002</v>
      </c>
      <c r="K4" s="26">
        <f>股权价值增加表!K5</f>
        <v>2228368230.21</v>
      </c>
      <c r="L4" s="26">
        <f>股权价值增加表!L5</f>
        <v>1125309842.8900001</v>
      </c>
      <c r="M4" s="26">
        <f>股权价值增加表!M5</f>
        <v>4808845747.7200003</v>
      </c>
      <c r="N4" s="26">
        <f>股权价值增加表!N5</f>
        <v>3411770783.0500002</v>
      </c>
      <c r="O4" s="26">
        <f>股权价值增加表!O5</f>
        <v>2154103694.21</v>
      </c>
      <c r="P4" s="26">
        <f>股权价值增加表!P5</f>
        <v>987438850.91999996</v>
      </c>
      <c r="Q4" s="26">
        <f>股权价值增加表!Q5</f>
        <v>4003145392.2800002</v>
      </c>
      <c r="R4" s="26">
        <f>股权价值增加表!R5</f>
        <v>2790202683.0900002</v>
      </c>
      <c r="S4" s="26">
        <f>股权价值增加表!S5</f>
        <v>1755559819.53</v>
      </c>
      <c r="T4" s="26">
        <f>股权价值增加表!T5</f>
        <v>787048352.84000003</v>
      </c>
      <c r="U4" s="26">
        <f>股权价值增加表!U5</f>
        <v>3495965363.6199999</v>
      </c>
      <c r="V4" s="26">
        <f>股权价值增加表!V5</f>
        <v>2461632548.9200001</v>
      </c>
      <c r="W4" s="26">
        <f>股权价值增加表!W5</f>
        <v>1655145048.3299999</v>
      </c>
      <c r="X4" s="26">
        <f>股权价值增加表!X5</f>
        <v>787580375.60000002</v>
      </c>
      <c r="Y4" s="26">
        <f>股权价值增加表!Y5</f>
        <v>3209849474.6999998</v>
      </c>
      <c r="Z4" s="26">
        <f>股权价值增加表!Z5</f>
        <v>2395190775.0100002</v>
      </c>
      <c r="AA4" s="26">
        <f>股权价值增加表!AA5</f>
        <v>1626994711.9100001</v>
      </c>
      <c r="AB4" s="26">
        <f>股权价值增加表!AB5</f>
        <v>840133226.70000005</v>
      </c>
      <c r="AC4" s="26">
        <f>股权价值增加表!AC5</f>
        <v>3358923758.2399998</v>
      </c>
      <c r="AD4" s="26">
        <f>股权价值增加表!AD5</f>
        <v>2589836378.29</v>
      </c>
      <c r="AE4" s="26">
        <f>股权价值增加表!AE5</f>
        <v>1667249617.6400001</v>
      </c>
      <c r="AF4" s="26">
        <f>股权价值增加表!AF5</f>
        <v>801738909.25</v>
      </c>
      <c r="AG4" s="26">
        <f>股权价值增加表!AG5</f>
        <v>3402944132.3800001</v>
      </c>
      <c r="AH4" s="26">
        <f>股权价值增加表!AH5</f>
        <v>2516794574.5300002</v>
      </c>
      <c r="AI4" s="26">
        <f>股权价值增加表!AI5</f>
        <v>1513989553.8900001</v>
      </c>
      <c r="AJ4" s="26">
        <f>股权价值增加表!AJ5</f>
        <v>560025855.28999996</v>
      </c>
      <c r="AK4" s="26">
        <f>股权价值增加表!AK5</f>
        <v>2844982800</v>
      </c>
      <c r="AL4" s="26">
        <f>股权价值增加表!AL5</f>
        <v>2039137472.8900001</v>
      </c>
      <c r="AM4" s="26">
        <f>股权价值增加表!AM5</f>
        <v>1311971737.1700001</v>
      </c>
      <c r="AN4" s="26">
        <f>股权价值增加表!AN5</f>
        <v>594809286.71000004</v>
      </c>
      <c r="AO4" s="26">
        <f>股权价值增加表!AO5</f>
        <v>2674227267.21</v>
      </c>
      <c r="AP4" s="26">
        <f>股权价值增加表!AP5</f>
        <v>1691095566.23</v>
      </c>
      <c r="AQ4" s="26">
        <f>股权价值增加表!AQ5</f>
        <v>1023390799.78</v>
      </c>
      <c r="AR4" s="26">
        <f>股权价值增加表!AR5</f>
        <v>457592573.97000003</v>
      </c>
      <c r="AS4" s="26">
        <f>股权价值增加表!AS5</f>
        <v>1235544296.72</v>
      </c>
      <c r="AT4" s="26">
        <f>股权价值增加表!AT5</f>
        <v>772816650.86000001</v>
      </c>
      <c r="AU4" s="26">
        <f>股权价值增加表!AU5</f>
        <v>443017497.97000003</v>
      </c>
      <c r="AV4" s="26">
        <f>股权价值增加表!AV5</f>
        <v>210822487.97999999</v>
      </c>
      <c r="AW4" s="26">
        <f>股权价值增加表!AW5</f>
        <v>784073264.45000005</v>
      </c>
      <c r="AX4" s="26">
        <f>股权价值增加表!AX5</f>
        <v>620793406.78999996</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0.66992341094832364</v>
      </c>
      <c r="F5" s="66">
        <f t="shared" si="2"/>
        <v>0.67203704034938327</v>
      </c>
      <c r="G5" s="66">
        <f t="shared" si="2"/>
        <v>0.67767252749733498</v>
      </c>
      <c r="H5" s="66">
        <f t="shared" si="2"/>
        <v>0.6939509584712541</v>
      </c>
      <c r="I5" s="66">
        <f t="shared" si="2"/>
        <v>0.67301243183871828</v>
      </c>
      <c r="J5" s="66">
        <f t="shared" si="2"/>
        <v>0.67371482487603773</v>
      </c>
      <c r="K5" s="66">
        <f t="shared" si="2"/>
        <v>0.67322213122236152</v>
      </c>
      <c r="L5" s="66">
        <f t="shared" si="2"/>
        <v>0.68500302303358018</v>
      </c>
      <c r="M5" s="66">
        <f t="shared" si="2"/>
        <v>0.68113102672244197</v>
      </c>
      <c r="N5" s="66">
        <f t="shared" si="2"/>
        <v>0.6802064127643348</v>
      </c>
      <c r="O5" s="66">
        <f t="shared" si="2"/>
        <v>0.68025212447792371</v>
      </c>
      <c r="P5" s="66">
        <f t="shared" si="2"/>
        <v>0.69687576220478198</v>
      </c>
      <c r="Q5" s="66">
        <f t="shared" si="2"/>
        <v>0.67353182497202968</v>
      </c>
      <c r="R5" s="66">
        <f t="shared" si="2"/>
        <v>0.66837543305919112</v>
      </c>
      <c r="S5" s="66">
        <f t="shared" si="2"/>
        <v>0.66642695776556682</v>
      </c>
      <c r="T5" s="66">
        <f t="shared" si="2"/>
        <v>0.67681511796923344</v>
      </c>
      <c r="U5" s="66">
        <f t="shared" si="2"/>
        <v>0.65613467758105604</v>
      </c>
      <c r="V5" s="66">
        <f t="shared" si="2"/>
        <v>0.65424069774633453</v>
      </c>
      <c r="W5" s="66">
        <f t="shared" si="2"/>
        <v>0.6654229046112613</v>
      </c>
      <c r="X5" s="66">
        <f t="shared" si="2"/>
        <v>0.67571177778333358</v>
      </c>
      <c r="Y5" s="66">
        <f t="shared" si="2"/>
        <v>0.64952569364095258</v>
      </c>
      <c r="Z5" s="66">
        <f t="shared" si="2"/>
        <v>0.65128158242404777</v>
      </c>
      <c r="AA5" s="66">
        <f t="shared" si="2"/>
        <v>0.65629356563418373</v>
      </c>
      <c r="AB5" s="66">
        <f t="shared" si="2"/>
        <v>0.66870651824559435</v>
      </c>
      <c r="AC5" s="66">
        <f t="shared" si="2"/>
        <v>0.64602997581920429</v>
      </c>
      <c r="AD5" s="66">
        <f t="shared" si="2"/>
        <v>0.64638823124863565</v>
      </c>
      <c r="AE5" s="66">
        <f t="shared" si="2"/>
        <v>0.64219840574825782</v>
      </c>
      <c r="AF5" s="66">
        <f t="shared" si="2"/>
        <v>0.65467762767521576</v>
      </c>
      <c r="AG5" s="66">
        <f t="shared" si="2"/>
        <v>0.6364800890139688</v>
      </c>
      <c r="AH5" s="66">
        <f t="shared" si="2"/>
        <v>0.62940038715284086</v>
      </c>
      <c r="AI5" s="66">
        <f t="shared" si="2"/>
        <v>0.62884101332748144</v>
      </c>
      <c r="AJ5" s="66">
        <f t="shared" si="2"/>
        <v>0.66173515210824041</v>
      </c>
      <c r="AK5" s="66">
        <f t="shared" ref="AK5:BP5" si="3">AK4/AK2</f>
        <v>0.61361564695743198</v>
      </c>
      <c r="AL5" s="66">
        <f t="shared" si="3"/>
        <v>0.60608609195965857</v>
      </c>
      <c r="AM5" s="66">
        <f t="shared" si="3"/>
        <v>0.6015122662825888</v>
      </c>
      <c r="AN5" s="66">
        <f t="shared" si="3"/>
        <v>0.6174531969061936</v>
      </c>
      <c r="AO5" s="66">
        <f t="shared" si="3"/>
        <v>0.61854086407593833</v>
      </c>
      <c r="AP5" s="66">
        <f t="shared" si="3"/>
        <v>0.61843044925553481</v>
      </c>
      <c r="AQ5" s="66">
        <f t="shared" si="3"/>
        <v>0.63405094803586348</v>
      </c>
      <c r="AR5" s="66">
        <f t="shared" si="3"/>
        <v>0.65206944558335955</v>
      </c>
      <c r="AS5" s="66">
        <f t="shared" si="3"/>
        <v>0.63595886096523557</v>
      </c>
      <c r="AT5" s="66">
        <f t="shared" si="3"/>
        <v>0.64516990995727819</v>
      </c>
      <c r="AU5" s="66">
        <f t="shared" si="3"/>
        <v>0.63140355091728362</v>
      </c>
      <c r="AV5" s="66">
        <f t="shared" si="3"/>
        <v>0.64248046574301532</v>
      </c>
      <c r="AW5" s="66">
        <f t="shared" si="3"/>
        <v>0.83964538898162078</v>
      </c>
      <c r="AX5" s="66">
        <f t="shared" si="3"/>
        <v>0.82730820651421966</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-1.374537462202133E-2</v>
      </c>
      <c r="F6" s="66">
        <f t="shared" ref="F6:BQ6" si="5">(F4-J4)/J4</f>
        <v>3.7696892983351111E-3</v>
      </c>
      <c r="G6" s="66">
        <f t="shared" si="5"/>
        <v>-5.9159066761411815E-3</v>
      </c>
      <c r="H6" s="66">
        <f t="shared" si="5"/>
        <v>-8.3960503533279524E-2</v>
      </c>
      <c r="I6" s="66">
        <f t="shared" si="5"/>
        <v>2.372891195857172E-2</v>
      </c>
      <c r="J6" s="66">
        <f t="shared" si="5"/>
        <v>-5.8899633878790681E-3</v>
      </c>
      <c r="K6" s="66">
        <f t="shared" si="5"/>
        <v>3.4475840786873498E-2</v>
      </c>
      <c r="L6" s="66">
        <f t="shared" si="5"/>
        <v>0.13962484040560619</v>
      </c>
      <c r="M6" s="66">
        <f t="shared" si="5"/>
        <v>0.20126682308211435</v>
      </c>
      <c r="N6" s="66">
        <f t="shared" si="5"/>
        <v>0.22276808194867287</v>
      </c>
      <c r="O6" s="66">
        <f t="shared" si="5"/>
        <v>0.22701811140032732</v>
      </c>
      <c r="P6" s="66">
        <f t="shared" si="5"/>
        <v>0.25461014861019288</v>
      </c>
      <c r="Q6" s="66">
        <f t="shared" si="5"/>
        <v>0.14507581623601268</v>
      </c>
      <c r="R6" s="66">
        <f t="shared" si="5"/>
        <v>0.13347651513389142</v>
      </c>
      <c r="S6" s="66">
        <f t="shared" si="5"/>
        <v>6.0668260646591698E-2</v>
      </c>
      <c r="T6" s="66">
        <f t="shared" si="5"/>
        <v>-6.7551551115615485E-4</v>
      </c>
      <c r="U6" s="66">
        <f t="shared" si="5"/>
        <v>8.913685553642392E-2</v>
      </c>
      <c r="V6" s="66">
        <f t="shared" si="5"/>
        <v>2.7739658403503346E-2</v>
      </c>
      <c r="W6" s="66">
        <f t="shared" si="5"/>
        <v>1.7302045430100339E-2</v>
      </c>
      <c r="X6" s="66">
        <f t="shared" si="5"/>
        <v>-6.255299686982374E-2</v>
      </c>
      <c r="Y6" s="66">
        <f t="shared" si="5"/>
        <v>-4.4381562151952957E-2</v>
      </c>
      <c r="Z6" s="66">
        <f t="shared" si="5"/>
        <v>-7.5157490608931454E-2</v>
      </c>
      <c r="AA6" s="66">
        <f t="shared" si="5"/>
        <v>-2.4144498402693313E-2</v>
      </c>
      <c r="AB6" s="66">
        <f t="shared" si="5"/>
        <v>4.7888803957284114E-2</v>
      </c>
      <c r="AC6" s="66">
        <f t="shared" si="5"/>
        <v>-1.2935967335206511E-2</v>
      </c>
      <c r="AD6" s="66">
        <f t="shared" si="5"/>
        <v>2.9021758271089715E-2</v>
      </c>
      <c r="AE6" s="66">
        <f t="shared" si="5"/>
        <v>0.10122927424183219</v>
      </c>
      <c r="AF6" s="66">
        <f t="shared" si="5"/>
        <v>0.43161052597264998</v>
      </c>
      <c r="AG6" s="66">
        <f t="shared" si="5"/>
        <v>0.19612116192055717</v>
      </c>
      <c r="AH6" s="66">
        <f t="shared" si="5"/>
        <v>0.23424467844388783</v>
      </c>
      <c r="AI6" s="66">
        <f t="shared" si="5"/>
        <v>0.15398031146293159</v>
      </c>
      <c r="AJ6" s="66">
        <f t="shared" si="5"/>
        <v>-5.8478292449658367E-2</v>
      </c>
      <c r="AK6" s="66">
        <f t="shared" si="5"/>
        <v>6.3852289176659194E-2</v>
      </c>
      <c r="AL6" s="66">
        <f t="shared" si="5"/>
        <v>0.20580853832873458</v>
      </c>
      <c r="AM6" s="66">
        <f t="shared" si="5"/>
        <v>0.28198508082351026</v>
      </c>
      <c r="AN6" s="66">
        <f t="shared" si="5"/>
        <v>0.29986656371962017</v>
      </c>
      <c r="AO6" s="66">
        <f t="shared" si="5"/>
        <v>1.164412295301166</v>
      </c>
      <c r="AP6" s="66">
        <f t="shared" si="5"/>
        <v>1.1882235124568392</v>
      </c>
      <c r="AQ6" s="66">
        <f t="shared" si="5"/>
        <v>1.3100460014997</v>
      </c>
      <c r="AR6" s="66">
        <f t="shared" si="5"/>
        <v>1.1705112123210037</v>
      </c>
      <c r="AS6" s="66">
        <f t="shared" si="5"/>
        <v>0.575802100058457</v>
      </c>
      <c r="AT6" s="66">
        <f t="shared" si="5"/>
        <v>0.24488540375466003</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2392238283.4399996</v>
      </c>
      <c r="F7" s="27">
        <f>股权价值增加表!F6</f>
        <v>1661422042.0000005</v>
      </c>
      <c r="G7" s="27">
        <f>股权价值增加表!G6</f>
        <v>1053628538.73</v>
      </c>
      <c r="H7" s="27">
        <f>股权价值增加表!H6</f>
        <v>454620024.17999995</v>
      </c>
      <c r="I7" s="27">
        <f>股权价值增加表!I6</f>
        <v>2391850164.2399998</v>
      </c>
      <c r="J7" s="27">
        <f>股权价值增加表!J6</f>
        <v>1642614084.0100002</v>
      </c>
      <c r="K7" s="27">
        <f>股权价值增加表!K6</f>
        <v>1081636190.1199999</v>
      </c>
      <c r="L7" s="27">
        <f>股权价值增加表!L6</f>
        <v>517470999.01999998</v>
      </c>
      <c r="M7" s="27">
        <f>股权价值增加表!M6</f>
        <v>2251243367.3800001</v>
      </c>
      <c r="N7" s="27">
        <f>股权价值增加表!N6</f>
        <v>1604016658.8599997</v>
      </c>
      <c r="O7" s="27">
        <f>股权价值增加表!O6</f>
        <v>1012521762.29</v>
      </c>
      <c r="P7" s="27">
        <f>股权价值增加表!P6</f>
        <v>429512210.48000014</v>
      </c>
      <c r="Q7" s="27">
        <f>股权价值增加表!Q6</f>
        <v>1940367956.0999999</v>
      </c>
      <c r="R7" s="27">
        <f>股权价值增加表!R6</f>
        <v>1384401207.2999997</v>
      </c>
      <c r="S7" s="27">
        <f>股权价值增加表!S6</f>
        <v>878727102.79999995</v>
      </c>
      <c r="T7" s="27">
        <f>股权价值增加表!T6</f>
        <v>375822174.05000007</v>
      </c>
      <c r="U7" s="27">
        <f>股权价值增加表!U6</f>
        <v>1832156259.9899998</v>
      </c>
      <c r="V7" s="27">
        <f>股权价值增加表!V6</f>
        <v>1300946815.8299999</v>
      </c>
      <c r="W7" s="27">
        <f>股权价值增加表!W6</f>
        <v>832213046.59000015</v>
      </c>
      <c r="X7" s="27">
        <f>股权价值增加表!X6</f>
        <v>377976303.29000008</v>
      </c>
      <c r="Y7" s="27">
        <f>股权价值增加表!Y6</f>
        <v>1731986554.46</v>
      </c>
      <c r="Z7" s="27">
        <f>股权价值增加表!Z6</f>
        <v>1282466999.52</v>
      </c>
      <c r="AA7" s="27">
        <f>股权价值增加表!AA6</f>
        <v>852070750.72000003</v>
      </c>
      <c r="AB7" s="27">
        <f>股权价值增加表!AB6</f>
        <v>416222444.70000005</v>
      </c>
      <c r="AC7" s="27">
        <f>股权价值增加表!AC6</f>
        <v>1840407362.5500002</v>
      </c>
      <c r="AD7" s="27">
        <f>股权价值增加表!AD6</f>
        <v>1416790371.8400002</v>
      </c>
      <c r="AE7" s="27">
        <f>股权价值增加表!AE6</f>
        <v>928910078.04999995</v>
      </c>
      <c r="AF7" s="27">
        <f>股权价值增加表!AF6</f>
        <v>422892688.58999991</v>
      </c>
      <c r="AG7" s="27">
        <f>股权价值增加表!AG6</f>
        <v>1943561109.6800003</v>
      </c>
      <c r="AH7" s="27">
        <f>股权价值增加表!AH6</f>
        <v>1481923293.9399996</v>
      </c>
      <c r="AI7" s="27">
        <f>股权价值增加表!AI6</f>
        <v>893597613.29999995</v>
      </c>
      <c r="AJ7" s="27">
        <f>股权价值增加表!AJ6</f>
        <v>286273232.05000007</v>
      </c>
      <c r="AK7" s="27">
        <f>股权价值增加表!AK6</f>
        <v>1791441994.75</v>
      </c>
      <c r="AL7" s="27">
        <f>股权价值增加表!AL6</f>
        <v>1325297877.0399997</v>
      </c>
      <c r="AM7" s="27">
        <f>股权价值增加表!AM6</f>
        <v>869150428.92999983</v>
      </c>
      <c r="AN7" s="27">
        <f>股权价值增加表!AN6</f>
        <v>368517633.75999999</v>
      </c>
      <c r="AO7" s="27">
        <f>股权价值增加表!AO6</f>
        <v>1649217508.2699995</v>
      </c>
      <c r="AP7" s="27">
        <f>股权价值增加表!AP6</f>
        <v>1043400395.71</v>
      </c>
      <c r="AQ7" s="27">
        <f>股权价值增加表!AQ6</f>
        <v>590660567.77999997</v>
      </c>
      <c r="AR7" s="27">
        <f>股权价值增加表!AR6</f>
        <v>244161782.20999992</v>
      </c>
      <c r="AS7" s="27">
        <f>股权价值增加表!AS6</f>
        <v>707261083.55999994</v>
      </c>
      <c r="AT7" s="27">
        <f>股权价值增加表!AT6</f>
        <v>425033154.17999995</v>
      </c>
      <c r="AU7" s="27">
        <f>股权价值增加表!AU6</f>
        <v>258621726.77999997</v>
      </c>
      <c r="AV7" s="27">
        <f>股权价值增加表!AV6</f>
        <v>117315874.53999999</v>
      </c>
      <c r="AW7" s="27">
        <f>股权价值增加表!AW6</f>
        <v>149741503.94999993</v>
      </c>
      <c r="AX7" s="27">
        <f>股权价值增加表!AX6</f>
        <v>129584024.38</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0.33007658905167636</v>
      </c>
      <c r="F8" s="66">
        <f t="shared" ref="F8:BQ8" si="7">F7/F2</f>
        <v>0.32796295965061678</v>
      </c>
      <c r="G8" s="66">
        <f t="shared" si="7"/>
        <v>0.32232747250266497</v>
      </c>
      <c r="H8" s="66">
        <f t="shared" si="7"/>
        <v>0.30604904152874596</v>
      </c>
      <c r="I8" s="66">
        <f t="shared" si="7"/>
        <v>0.32698756816128172</v>
      </c>
      <c r="J8" s="66">
        <f t="shared" si="7"/>
        <v>0.32628517512396232</v>
      </c>
      <c r="K8" s="66">
        <f t="shared" si="7"/>
        <v>0.32677786877763842</v>
      </c>
      <c r="L8" s="66">
        <f t="shared" si="7"/>
        <v>0.31499697696641976</v>
      </c>
      <c r="M8" s="66">
        <f t="shared" si="7"/>
        <v>0.31886897327755798</v>
      </c>
      <c r="N8" s="66">
        <f t="shared" si="7"/>
        <v>0.3197935872356652</v>
      </c>
      <c r="O8" s="66">
        <f t="shared" si="7"/>
        <v>0.31974787552207629</v>
      </c>
      <c r="P8" s="66">
        <f t="shared" si="7"/>
        <v>0.30312423779521797</v>
      </c>
      <c r="Q8" s="66">
        <f t="shared" si="7"/>
        <v>0.32646817502797032</v>
      </c>
      <c r="R8" s="66">
        <f t="shared" si="7"/>
        <v>0.33162456694080888</v>
      </c>
      <c r="S8" s="66">
        <f t="shared" si="7"/>
        <v>0.33357304223443313</v>
      </c>
      <c r="T8" s="66">
        <f t="shared" si="7"/>
        <v>0.32318488203076656</v>
      </c>
      <c r="U8" s="66">
        <f t="shared" si="7"/>
        <v>0.34386532241894396</v>
      </c>
      <c r="V8" s="66">
        <f t="shared" si="7"/>
        <v>0.34575930225366547</v>
      </c>
      <c r="W8" s="66">
        <f t="shared" si="7"/>
        <v>0.33457709538873864</v>
      </c>
      <c r="X8" s="66">
        <f t="shared" si="7"/>
        <v>0.32428822221666642</v>
      </c>
      <c r="Y8" s="66">
        <f t="shared" si="7"/>
        <v>0.35047430635904742</v>
      </c>
      <c r="Z8" s="66">
        <f t="shared" si="7"/>
        <v>0.34871841757595229</v>
      </c>
      <c r="AA8" s="66">
        <f t="shared" si="7"/>
        <v>0.34370643436581627</v>
      </c>
      <c r="AB8" s="66">
        <f t="shared" si="7"/>
        <v>0.33129348175440571</v>
      </c>
      <c r="AC8" s="66">
        <f t="shared" si="7"/>
        <v>0.35397002418079576</v>
      </c>
      <c r="AD8" s="66">
        <f t="shared" si="7"/>
        <v>0.35361176875136435</v>
      </c>
      <c r="AE8" s="66">
        <f t="shared" si="7"/>
        <v>0.35780159425174224</v>
      </c>
      <c r="AF8" s="66">
        <f t="shared" si="7"/>
        <v>0.34532237232478424</v>
      </c>
      <c r="AG8" s="66">
        <f t="shared" si="7"/>
        <v>0.36351991098603115</v>
      </c>
      <c r="AH8" s="66">
        <f t="shared" si="7"/>
        <v>0.3705996128471592</v>
      </c>
      <c r="AI8" s="66">
        <f t="shared" si="7"/>
        <v>0.37115898667251856</v>
      </c>
      <c r="AJ8" s="66">
        <f t="shared" si="7"/>
        <v>0.33826484789175959</v>
      </c>
      <c r="AK8" s="66">
        <f t="shared" si="7"/>
        <v>0.38638435304256802</v>
      </c>
      <c r="AL8" s="66">
        <f t="shared" si="7"/>
        <v>0.39391390804034138</v>
      </c>
      <c r="AM8" s="66">
        <f t="shared" si="7"/>
        <v>0.3984877337174112</v>
      </c>
      <c r="AN8" s="66">
        <f t="shared" si="7"/>
        <v>0.3825468030938064</v>
      </c>
      <c r="AO8" s="66">
        <f t="shared" si="7"/>
        <v>0.38145913592406167</v>
      </c>
      <c r="AP8" s="66">
        <f t="shared" si="7"/>
        <v>0.38156955074446519</v>
      </c>
      <c r="AQ8" s="66">
        <f t="shared" si="7"/>
        <v>0.36594905196413646</v>
      </c>
      <c r="AR8" s="66">
        <f t="shared" si="7"/>
        <v>0.34793055441664039</v>
      </c>
      <c r="AS8" s="66">
        <f t="shared" si="7"/>
        <v>0.36404113903476448</v>
      </c>
      <c r="AT8" s="66">
        <f t="shared" si="7"/>
        <v>0.35483009004272181</v>
      </c>
      <c r="AU8" s="66">
        <f t="shared" si="7"/>
        <v>0.36859644908271638</v>
      </c>
      <c r="AV8" s="66">
        <f t="shared" si="7"/>
        <v>0.35751953425698468</v>
      </c>
      <c r="AW8" s="66">
        <f t="shared" si="7"/>
        <v>0.16035461101837928</v>
      </c>
      <c r="AX8" s="66">
        <f t="shared" si="7"/>
        <v>0.17269179348578034</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1.6226735512219365E-4</v>
      </c>
      <c r="F9" s="66">
        <f t="shared" ref="F9:BQ9" si="9">(F7-J7)/J7</f>
        <v>1.1450016271676961E-2</v>
      </c>
      <c r="G9" s="66">
        <f t="shared" si="9"/>
        <v>-2.5893781703894926E-2</v>
      </c>
      <c r="H9" s="66">
        <f t="shared" si="9"/>
        <v>-0.12145796568122434</v>
      </c>
      <c r="I9" s="66">
        <f t="shared" si="9"/>
        <v>6.2457395276476937E-2</v>
      </c>
      <c r="J9" s="66">
        <f t="shared" si="9"/>
        <v>2.4062982723279433E-2</v>
      </c>
      <c r="K9" s="66">
        <f t="shared" si="9"/>
        <v>6.8259696140935508E-2</v>
      </c>
      <c r="L9" s="66">
        <f t="shared" si="9"/>
        <v>0.20478763209479364</v>
      </c>
      <c r="M9" s="66">
        <f t="shared" si="9"/>
        <v>0.16021466974997745</v>
      </c>
      <c r="N9" s="66">
        <f t="shared" si="9"/>
        <v>0.15863569780346867</v>
      </c>
      <c r="O9" s="66">
        <f t="shared" si="9"/>
        <v>0.1522596253873052</v>
      </c>
      <c r="P9" s="66">
        <f t="shared" si="9"/>
        <v>0.14286021458344564</v>
      </c>
      <c r="Q9" s="66">
        <f t="shared" si="9"/>
        <v>5.906248199080507E-2</v>
      </c>
      <c r="R9" s="66">
        <f t="shared" si="9"/>
        <v>6.4148964780513462E-2</v>
      </c>
      <c r="S9" s="66">
        <f t="shared" si="9"/>
        <v>5.5892005539436719E-2</v>
      </c>
      <c r="T9" s="66">
        <f t="shared" si="9"/>
        <v>-5.6991118788398401E-3</v>
      </c>
      <c r="U9" s="66">
        <f t="shared" si="9"/>
        <v>5.7835151936979509E-2</v>
      </c>
      <c r="V9" s="66">
        <f t="shared" si="9"/>
        <v>1.4409584275397763E-2</v>
      </c>
      <c r="W9" s="66">
        <f t="shared" si="9"/>
        <v>-2.3305229188092785E-2</v>
      </c>
      <c r="X9" s="66">
        <f t="shared" si="9"/>
        <v>-9.1888704938933738E-2</v>
      </c>
      <c r="Y9" s="66">
        <f t="shared" si="9"/>
        <v>-5.891130968948978E-2</v>
      </c>
      <c r="Z9" s="66">
        <f t="shared" si="9"/>
        <v>-9.4808219331384239E-2</v>
      </c>
      <c r="AA9" s="66">
        <f t="shared" si="9"/>
        <v>-8.2719876924259111E-2</v>
      </c>
      <c r="AB9" s="66">
        <f t="shared" si="9"/>
        <v>-1.5772899532123991E-2</v>
      </c>
      <c r="AC9" s="66">
        <f t="shared" si="9"/>
        <v>-5.3074609599995534E-2</v>
      </c>
      <c r="AD9" s="66">
        <f t="shared" si="9"/>
        <v>-4.3951615017016221E-2</v>
      </c>
      <c r="AE9" s="66">
        <f t="shared" si="9"/>
        <v>3.9517187853259007E-2</v>
      </c>
      <c r="AF9" s="66">
        <f t="shared" si="9"/>
        <v>0.47723447826983029</v>
      </c>
      <c r="AG9" s="66">
        <f t="shared" si="9"/>
        <v>8.4914340166078836E-2</v>
      </c>
      <c r="AH9" s="66">
        <f t="shared" si="9"/>
        <v>0.11818129313676749</v>
      </c>
      <c r="AI9" s="66">
        <f t="shared" si="9"/>
        <v>2.8127679117752661E-2</v>
      </c>
      <c r="AJ9" s="66">
        <f t="shared" si="9"/>
        <v>-0.22317629924749335</v>
      </c>
      <c r="AK9" s="66">
        <f t="shared" si="9"/>
        <v>8.623755554789829E-2</v>
      </c>
      <c r="AL9" s="66">
        <f t="shared" si="9"/>
        <v>0.27017191337959728</v>
      </c>
      <c r="AM9" s="66">
        <f t="shared" si="9"/>
        <v>0.47148883189664254</v>
      </c>
      <c r="AN9" s="66">
        <f t="shared" si="9"/>
        <v>0.50931743053482237</v>
      </c>
      <c r="AO9" s="66">
        <f t="shared" si="9"/>
        <v>1.3318369221853126</v>
      </c>
      <c r="AP9" s="66">
        <f t="shared" si="9"/>
        <v>1.4548682507438557</v>
      </c>
      <c r="AQ9" s="66">
        <f t="shared" si="9"/>
        <v>1.2838783699037524</v>
      </c>
      <c r="AR9" s="66">
        <f t="shared" si="9"/>
        <v>1.0812339605988326</v>
      </c>
      <c r="AS9" s="66">
        <f t="shared" si="9"/>
        <v>3.7232134371787859</v>
      </c>
      <c r="AT9" s="66">
        <f t="shared" si="9"/>
        <v>2.2799811258647682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61130310.439999998</v>
      </c>
      <c r="F10" s="27">
        <f>股权价值增加表!F8</f>
        <v>39840991.350000001</v>
      </c>
      <c r="G10" s="27">
        <f>股权价值增加表!G8</f>
        <v>25865261.82</v>
      </c>
      <c r="H10" s="27">
        <f>股权价值增加表!H8</f>
        <v>11058972.09</v>
      </c>
      <c r="I10" s="27">
        <f>股权价值增加表!I8</f>
        <v>54388863.649999999</v>
      </c>
      <c r="J10" s="27">
        <f>股权价值增加表!J8</f>
        <v>31864279.68</v>
      </c>
      <c r="K10" s="27">
        <f>股权价值增加表!K8</f>
        <v>20018465.309999999</v>
      </c>
      <c r="L10" s="27">
        <f>股权价值增加表!L8</f>
        <v>11921552.17</v>
      </c>
      <c r="M10" s="27">
        <f>股权价值增加表!M8</f>
        <v>45672755.68</v>
      </c>
      <c r="N10" s="27">
        <f>股权价值增加表!N8</f>
        <v>32608840.350000001</v>
      </c>
      <c r="O10" s="27">
        <f>股权价值增加表!O8</f>
        <v>20653816.809999999</v>
      </c>
      <c r="P10" s="27">
        <f>股权价值增加表!P8</f>
        <v>10526313.689999999</v>
      </c>
      <c r="Q10" s="27">
        <f>股权价值增加表!Q8</f>
        <v>31830320.140000001</v>
      </c>
      <c r="R10" s="27">
        <f>股权价值增加表!R8</f>
        <v>23258170.02</v>
      </c>
      <c r="S10" s="27">
        <f>股权价值增加表!S8</f>
        <v>14099682.970000001</v>
      </c>
      <c r="T10" s="27">
        <f>股权价值增加表!T8</f>
        <v>6733916.8099999996</v>
      </c>
      <c r="U10" s="27">
        <f>股权价值增加表!U8</f>
        <v>33609379.689999998</v>
      </c>
      <c r="V10" s="27">
        <f>股权价值增加表!V8</f>
        <v>23169010.32</v>
      </c>
      <c r="W10" s="27">
        <f>股权价值增加表!W8</f>
        <v>15633570.029999999</v>
      </c>
      <c r="X10" s="27">
        <f>股权价值增加表!X8</f>
        <v>6433107.0300000003</v>
      </c>
      <c r="Y10" s="27">
        <f>股权价值增加表!Y8</f>
        <v>30734206.149999999</v>
      </c>
      <c r="Z10" s="27">
        <f>股权价值增加表!Z8</f>
        <v>21732450.719999999</v>
      </c>
      <c r="AA10" s="27">
        <f>股权价值增加表!AA8</f>
        <v>13878163.41</v>
      </c>
      <c r="AB10" s="27">
        <f>股权价值增加表!AB8</f>
        <v>7179150.4699999997</v>
      </c>
      <c r="AC10" s="27">
        <f>股权价值增加表!AC8</f>
        <v>39110012.380000003</v>
      </c>
      <c r="AD10" s="27">
        <f>股权价值增加表!AD8</f>
        <v>33183026.82</v>
      </c>
      <c r="AE10" s="27">
        <f>股权价值增加表!AE8</f>
        <v>24950579.550000001</v>
      </c>
      <c r="AF10" s="27">
        <f>股权价值增加表!AF8</f>
        <v>5547132.1200000001</v>
      </c>
      <c r="AG10" s="27">
        <f>股权价值增加表!AG8</f>
        <v>8974644.0399999991</v>
      </c>
      <c r="AH10" s="27">
        <f>股权价值增加表!AH8</f>
        <v>5560553.5800000001</v>
      </c>
      <c r="AI10" s="27">
        <f>股权价值增加表!AI8</f>
        <v>3452778.88</v>
      </c>
      <c r="AJ10" s="27">
        <f>股权价值增加表!AJ8</f>
        <v>1383151.24</v>
      </c>
      <c r="AK10" s="27">
        <f>股权价值增加表!AK8</f>
        <v>5294021.2699999996</v>
      </c>
      <c r="AL10" s="27">
        <f>股权价值增加表!AL8</f>
        <v>3796093.6</v>
      </c>
      <c r="AM10" s="27">
        <f>股权价值增加表!AM8</f>
        <v>1832760.97</v>
      </c>
      <c r="AN10" s="27">
        <f>股权价值增加表!AN8</f>
        <v>565146.41</v>
      </c>
      <c r="AO10" s="27">
        <f>股权价值增加表!AO8</f>
        <v>2627887.89</v>
      </c>
      <c r="AP10" s="27">
        <f>股权价值增加表!AP8</f>
        <v>1951181.07</v>
      </c>
      <c r="AQ10" s="27">
        <f>股权价值增加表!AQ8</f>
        <v>1112142.28</v>
      </c>
      <c r="AR10" s="27">
        <f>股权价值增加表!AR8</f>
        <v>577044.14</v>
      </c>
      <c r="AS10" s="27">
        <f>股权价值增加表!AS8</f>
        <v>1033905.85</v>
      </c>
      <c r="AT10" s="27">
        <f>股权价值增加表!AT8</f>
        <v>621821.49</v>
      </c>
      <c r="AU10" s="27">
        <f>股权价值增加表!AU8</f>
        <v>313250.71000000002</v>
      </c>
      <c r="AV10" s="27">
        <f>股权价值增加表!AV8</f>
        <v>92119.1</v>
      </c>
      <c r="AW10" s="27">
        <f>股权价值增加表!AW8</f>
        <v>0</v>
      </c>
      <c r="AX10" s="27">
        <f>股权价值增加表!AX8</f>
        <v>270516.59000000003</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8.4346465389267579E-3</v>
      </c>
      <c r="F11" s="57">
        <f t="shared" ref="F11:BQ11" si="11">F10/F2</f>
        <v>7.8645696928587028E-3</v>
      </c>
      <c r="G11" s="57">
        <f t="shared" si="11"/>
        <v>7.9127359990736924E-3</v>
      </c>
      <c r="H11" s="57">
        <f t="shared" si="11"/>
        <v>7.4448718235463731E-3</v>
      </c>
      <c r="I11" s="57">
        <f t="shared" si="11"/>
        <v>7.4354499817173856E-3</v>
      </c>
      <c r="J11" s="57">
        <f t="shared" si="11"/>
        <v>6.3294490025354111E-3</v>
      </c>
      <c r="K11" s="57">
        <f t="shared" si="11"/>
        <v>6.0478666394059386E-3</v>
      </c>
      <c r="L11" s="57">
        <f t="shared" si="11"/>
        <v>7.2569340144844003E-3</v>
      </c>
      <c r="M11" s="57">
        <f t="shared" si="11"/>
        <v>6.4691471928188379E-3</v>
      </c>
      <c r="N11" s="57">
        <f t="shared" si="11"/>
        <v>6.5012404787198547E-3</v>
      </c>
      <c r="O11" s="57">
        <f t="shared" si="11"/>
        <v>6.5223428200530537E-3</v>
      </c>
      <c r="P11" s="57">
        <f t="shared" si="11"/>
        <v>7.4288477398786181E-3</v>
      </c>
      <c r="Q11" s="57">
        <f t="shared" si="11"/>
        <v>5.3554721381547611E-3</v>
      </c>
      <c r="R11" s="57">
        <f t="shared" si="11"/>
        <v>5.5713477567394245E-3</v>
      </c>
      <c r="S11" s="57">
        <f t="shared" si="11"/>
        <v>5.3523717748744605E-3</v>
      </c>
      <c r="T11" s="57">
        <f t="shared" si="11"/>
        <v>5.7907709020790961E-3</v>
      </c>
      <c r="U11" s="57">
        <f t="shared" si="11"/>
        <v>6.3079227660776255E-3</v>
      </c>
      <c r="V11" s="57">
        <f t="shared" si="11"/>
        <v>6.1577466078351906E-3</v>
      </c>
      <c r="W11" s="57">
        <f t="shared" si="11"/>
        <v>6.2852108274754929E-3</v>
      </c>
      <c r="X11" s="57">
        <f t="shared" si="11"/>
        <v>5.519342942744295E-3</v>
      </c>
      <c r="Y11" s="57">
        <f t="shared" si="11"/>
        <v>6.2191877611172215E-3</v>
      </c>
      <c r="Z11" s="57">
        <f t="shared" si="11"/>
        <v>5.9093183902293291E-3</v>
      </c>
      <c r="AA11" s="57">
        <f t="shared" si="11"/>
        <v>5.5981431790336359E-3</v>
      </c>
      <c r="AB11" s="57">
        <f t="shared" si="11"/>
        <v>5.7142659785186685E-3</v>
      </c>
      <c r="AC11" s="57">
        <f t="shared" si="11"/>
        <v>7.5221238023512388E-3</v>
      </c>
      <c r="AD11" s="57">
        <f t="shared" si="11"/>
        <v>8.2820359592825389E-3</v>
      </c>
      <c r="AE11" s="57">
        <f t="shared" si="11"/>
        <v>9.6105719503394044E-3</v>
      </c>
      <c r="AF11" s="57">
        <f t="shared" si="11"/>
        <v>4.5296333442514537E-3</v>
      </c>
      <c r="AG11" s="57">
        <f t="shared" si="11"/>
        <v>1.6786000637197696E-3</v>
      </c>
      <c r="AH11" s="57">
        <f t="shared" si="11"/>
        <v>1.3905841229372839E-3</v>
      </c>
      <c r="AI11" s="57">
        <f t="shared" si="11"/>
        <v>1.4341241418186694E-3</v>
      </c>
      <c r="AJ11" s="57">
        <f t="shared" si="11"/>
        <v>1.6343527491532318E-3</v>
      </c>
      <c r="AK11" s="57">
        <f t="shared" si="11"/>
        <v>1.1418326629593174E-3</v>
      </c>
      <c r="AL11" s="57">
        <f t="shared" si="11"/>
        <v>1.1283003550889993E-3</v>
      </c>
      <c r="AM11" s="57">
        <f t="shared" si="11"/>
        <v>8.4028350107371826E-4</v>
      </c>
      <c r="AN11" s="57">
        <f t="shared" si="11"/>
        <v>5.8666107838475988E-4</v>
      </c>
      <c r="AO11" s="57">
        <f t="shared" si="11"/>
        <v>6.0782270306858387E-4</v>
      </c>
      <c r="AP11" s="57">
        <f t="shared" si="11"/>
        <v>7.1354322593905975E-4</v>
      </c>
      <c r="AQ11" s="57">
        <f t="shared" si="11"/>
        <v>6.8903772355228827E-4</v>
      </c>
      <c r="AR11" s="57">
        <f t="shared" si="11"/>
        <v>8.2228793440077799E-4</v>
      </c>
      <c r="AS11" s="57">
        <f t="shared" si="11"/>
        <v>5.3217160117756727E-4</v>
      </c>
      <c r="AT11" s="57">
        <f t="shared" si="11"/>
        <v>5.1911473991452157E-4</v>
      </c>
      <c r="AU11" s="57">
        <f t="shared" si="11"/>
        <v>4.4645552721430862E-4</v>
      </c>
      <c r="AV11" s="57">
        <f t="shared" si="11"/>
        <v>2.8073249129590983E-4</v>
      </c>
      <c r="AW11" s="57">
        <f t="shared" si="11"/>
        <v>0</v>
      </c>
      <c r="AX11" s="57">
        <f t="shared" si="11"/>
        <v>3.6050736437822555E-4</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1092858447.2</v>
      </c>
      <c r="F12" s="27">
        <f>股权价值增加表!F9</f>
        <v>698552924.79999995</v>
      </c>
      <c r="G12" s="27">
        <f>股权价值增加表!G9</f>
        <v>427420749.60000002</v>
      </c>
      <c r="H12" s="27">
        <f>股权价值增加表!H9</f>
        <v>189669153.81</v>
      </c>
      <c r="I12" s="27">
        <f>股权价值增加表!I9</f>
        <v>1103306058.27</v>
      </c>
      <c r="J12" s="27">
        <f>股权价值增加表!J9</f>
        <v>657469710.71000004</v>
      </c>
      <c r="K12" s="27">
        <f>股权价值增加表!K9</f>
        <v>424011562.04000002</v>
      </c>
      <c r="L12" s="27">
        <f>股权价值增加表!L9</f>
        <v>213674019.49000001</v>
      </c>
      <c r="M12" s="27">
        <f>股权价值增加表!M9</f>
        <v>988915582.62</v>
      </c>
      <c r="N12" s="27">
        <f>股权价值增加表!N9</f>
        <v>622228389.66999996</v>
      </c>
      <c r="O12" s="27">
        <f>股权价值增加表!O9</f>
        <v>388296479.98000002</v>
      </c>
      <c r="P12" s="27">
        <f>股权价值增加表!P9</f>
        <v>175455583.53</v>
      </c>
      <c r="Q12" s="27">
        <f>股权价值增加表!Q9</f>
        <v>773397287.25999999</v>
      </c>
      <c r="R12" s="27">
        <f>股权价值增加表!R9</f>
        <v>487538972.50999999</v>
      </c>
      <c r="S12" s="27">
        <f>股权价值增加表!S9</f>
        <v>322719832.57999998</v>
      </c>
      <c r="T12" s="27">
        <f>股权价值增加表!T9</f>
        <v>151288487.80000001</v>
      </c>
      <c r="U12" s="27">
        <f>股权价值增加表!U9</f>
        <v>722082864.97000003</v>
      </c>
      <c r="V12" s="27">
        <f>股权价值增加表!V9</f>
        <v>474361482.44</v>
      </c>
      <c r="W12" s="27">
        <f>股权价值增加表!W9</f>
        <v>316982383.54000002</v>
      </c>
      <c r="X12" s="27">
        <f>股权价值增加表!X9</f>
        <v>128400491.31</v>
      </c>
      <c r="Y12" s="27">
        <f>股权价值增加表!Y9</f>
        <v>681720577.60000002</v>
      </c>
      <c r="Z12" s="27">
        <f>股权价值增加表!Z9</f>
        <v>465142540.25</v>
      </c>
      <c r="AA12" s="27">
        <f>股权价值增加表!AA9</f>
        <v>304591377.61000001</v>
      </c>
      <c r="AB12" s="27">
        <f>股权价值增加表!AB9</f>
        <v>151265271.63</v>
      </c>
      <c r="AC12" s="27">
        <f>股权价值增加表!AC9</f>
        <v>782929056.92999995</v>
      </c>
      <c r="AD12" s="27">
        <f>股权价值增加表!AD9</f>
        <v>550350961.41999996</v>
      </c>
      <c r="AE12" s="27">
        <f>股权价值增加表!AE9</f>
        <v>365824714.56999999</v>
      </c>
      <c r="AF12" s="27">
        <f>股权价值增加表!AF9</f>
        <v>152509627.34</v>
      </c>
      <c r="AG12" s="27">
        <f>股权价值增加表!AG9</f>
        <v>791432429.52999997</v>
      </c>
      <c r="AH12" s="27">
        <f>股权价值增加表!AH9</f>
        <v>585319953.14999998</v>
      </c>
      <c r="AI12" s="27">
        <f>股权价值增加表!AI9</f>
        <v>372224456.20999998</v>
      </c>
      <c r="AJ12" s="27">
        <f>股权价值增加表!AJ9</f>
        <v>113771443.88</v>
      </c>
      <c r="AK12" s="27">
        <f>股权价值增加表!AK9</f>
        <v>746007178.21000004</v>
      </c>
      <c r="AL12" s="27">
        <f>股权价值增加表!AL9</f>
        <v>466863171.10000002</v>
      </c>
      <c r="AM12" s="27">
        <f>股权价值增加表!AM9</f>
        <v>301937166.13</v>
      </c>
      <c r="AN12" s="27">
        <f>股权价值增加表!AN9</f>
        <v>127310710</v>
      </c>
      <c r="AO12" s="27">
        <f>股权价值增加表!AO9</f>
        <v>695847054.13</v>
      </c>
      <c r="AP12" s="27">
        <f>股权价值增加表!AP9</f>
        <v>343370690.61000001</v>
      </c>
      <c r="AQ12" s="27">
        <f>股权价值增加表!AQ9</f>
        <v>165435628.55000001</v>
      </c>
      <c r="AR12" s="27">
        <f>股权价值增加表!AR9</f>
        <v>69689588.629999995</v>
      </c>
      <c r="AS12" s="27">
        <f>股权价值增加表!AS9</f>
        <v>189673210.11000001</v>
      </c>
      <c r="AT12" s="27">
        <f>股权价值增加表!AT9</f>
        <v>116457932.08</v>
      </c>
      <c r="AU12" s="27">
        <f>股权价值增加表!AU9</f>
        <v>69133074.590000004</v>
      </c>
      <c r="AV12" s="27">
        <f>股权价值增加表!AV9</f>
        <v>26017359.829999998</v>
      </c>
      <c r="AW12" s="27">
        <f>股权价值增加表!AW9</f>
        <v>84171309.280000001</v>
      </c>
      <c r="AX12" s="27">
        <f>股权价值增加表!AX9</f>
        <v>66725970.329999998</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0.1507905759493858</v>
      </c>
      <c r="F13" s="57">
        <f t="shared" ref="F13:BQ13" si="13">F12/F2</f>
        <v>0.13789361095403274</v>
      </c>
      <c r="G13" s="57">
        <f t="shared" si="13"/>
        <v>0.13075713579268081</v>
      </c>
      <c r="H13" s="57">
        <f t="shared" si="13"/>
        <v>0.12768479091043192</v>
      </c>
      <c r="I13" s="57">
        <f t="shared" si="13"/>
        <v>0.15083192514525631</v>
      </c>
      <c r="J13" s="57">
        <f t="shared" si="13"/>
        <v>0.1305983077741632</v>
      </c>
      <c r="K13" s="57">
        <f t="shared" si="13"/>
        <v>0.12809999872982861</v>
      </c>
      <c r="L13" s="57">
        <f t="shared" si="13"/>
        <v>0.1300684875540484</v>
      </c>
      <c r="M13" s="57">
        <f t="shared" si="13"/>
        <v>0.14007126064526917</v>
      </c>
      <c r="N13" s="57">
        <f t="shared" si="13"/>
        <v>0.12405397893676628</v>
      </c>
      <c r="O13" s="57">
        <f t="shared" si="13"/>
        <v>0.12262153681072703</v>
      </c>
      <c r="P13" s="57">
        <f t="shared" si="13"/>
        <v>0.12382614213693689</v>
      </c>
      <c r="Q13" s="57">
        <f t="shared" si="13"/>
        <v>0.13012459835238729</v>
      </c>
      <c r="R13" s="57">
        <f t="shared" si="13"/>
        <v>0.11678688213564931</v>
      </c>
      <c r="S13" s="57">
        <f t="shared" si="13"/>
        <v>0.1225074724565529</v>
      </c>
      <c r="T13" s="57">
        <f t="shared" si="13"/>
        <v>0.13009916779351904</v>
      </c>
      <c r="U13" s="57">
        <f t="shared" si="13"/>
        <v>0.1355229696278521</v>
      </c>
      <c r="V13" s="57">
        <f t="shared" si="13"/>
        <v>0.1260734821660083</v>
      </c>
      <c r="W13" s="57">
        <f t="shared" si="13"/>
        <v>0.12743737388974344</v>
      </c>
      <c r="X13" s="57">
        <f t="shared" si="13"/>
        <v>0.11016237445636726</v>
      </c>
      <c r="Y13" s="57">
        <f t="shared" si="13"/>
        <v>0.13794884605183411</v>
      </c>
      <c r="Z13" s="57">
        <f t="shared" si="13"/>
        <v>0.12647792936890237</v>
      </c>
      <c r="AA13" s="57">
        <f t="shared" si="13"/>
        <v>0.12286540319385676</v>
      </c>
      <c r="AB13" s="57">
        <f t="shared" si="13"/>
        <v>0.12040003883728238</v>
      </c>
      <c r="AC13" s="57">
        <f t="shared" si="13"/>
        <v>0.1505826497180352</v>
      </c>
      <c r="AD13" s="57">
        <f t="shared" si="13"/>
        <v>0.13736017746153747</v>
      </c>
      <c r="AE13" s="57">
        <f t="shared" si="13"/>
        <v>0.14090994293506745</v>
      </c>
      <c r="AF13" s="57">
        <f t="shared" si="13"/>
        <v>0.12453510721836333</v>
      </c>
      <c r="AG13" s="57">
        <f t="shared" si="13"/>
        <v>0.14802799093956601</v>
      </c>
      <c r="AH13" s="57">
        <f t="shared" si="13"/>
        <v>0.14637690689939989</v>
      </c>
      <c r="AI13" s="57">
        <f t="shared" si="13"/>
        <v>0.15460476832680553</v>
      </c>
      <c r="AJ13" s="57">
        <f t="shared" si="13"/>
        <v>0.13443408551649827</v>
      </c>
      <c r="AK13" s="57">
        <f t="shared" si="13"/>
        <v>0.16090138657155237</v>
      </c>
      <c r="AL13" s="57">
        <f t="shared" si="13"/>
        <v>0.13876419741865853</v>
      </c>
      <c r="AM13" s="57">
        <f t="shared" si="13"/>
        <v>0.13843202862400181</v>
      </c>
      <c r="AN13" s="57">
        <f t="shared" si="13"/>
        <v>0.13215732613169998</v>
      </c>
      <c r="AO13" s="57">
        <f t="shared" si="13"/>
        <v>0.1609473672652024</v>
      </c>
      <c r="AP13" s="57">
        <f t="shared" si="13"/>
        <v>0.12557001194706252</v>
      </c>
      <c r="AQ13" s="57">
        <f t="shared" si="13"/>
        <v>0.10249712733746077</v>
      </c>
      <c r="AR13" s="57">
        <f t="shared" si="13"/>
        <v>9.9307668012715011E-2</v>
      </c>
      <c r="AS13" s="57">
        <f t="shared" si="13"/>
        <v>9.762851803646129E-2</v>
      </c>
      <c r="AT13" s="57">
        <f t="shared" si="13"/>
        <v>9.7222482810448096E-2</v>
      </c>
      <c r="AU13" s="57">
        <f t="shared" si="13"/>
        <v>9.8530800661312382E-2</v>
      </c>
      <c r="AV13" s="57">
        <f t="shared" si="13"/>
        <v>7.9287772481689778E-2</v>
      </c>
      <c r="AW13" s="57">
        <f t="shared" si="13"/>
        <v>9.0137050867399843E-2</v>
      </c>
      <c r="AX13" s="57">
        <f t="shared" si="13"/>
        <v>8.8923210584785112E-2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553312102.58000004</v>
      </c>
      <c r="F14" s="26">
        <f>股权价值增加表!F10</f>
        <v>339334927.26999998</v>
      </c>
      <c r="G14" s="26">
        <f>股权价值增加表!G10</f>
        <v>215955075.58000001</v>
      </c>
      <c r="H14" s="26">
        <f>股权价值增加表!H10</f>
        <v>88944349.689999998</v>
      </c>
      <c r="I14" s="26">
        <f>股权价值增加表!I10</f>
        <v>498750428.44</v>
      </c>
      <c r="J14" s="26">
        <f>股权价值增加表!J10</f>
        <v>351233073.04000002</v>
      </c>
      <c r="K14" s="26">
        <f>股权价值增加表!K10</f>
        <v>226940253.53</v>
      </c>
      <c r="L14" s="26">
        <f>股权价值增加表!L10</f>
        <v>109221086.76000001</v>
      </c>
      <c r="M14" s="26">
        <f>股权价值增加表!M10</f>
        <v>514830833.89999998</v>
      </c>
      <c r="N14" s="26">
        <f>股权价值增加表!N10</f>
        <v>370441467.47000003</v>
      </c>
      <c r="O14" s="26">
        <f>股权价值增加表!O10</f>
        <v>221357314.03999999</v>
      </c>
      <c r="P14" s="26">
        <f>股权价值增加表!P10</f>
        <v>94119168.939999998</v>
      </c>
      <c r="Q14" s="26">
        <f>股权价值增加表!Q10</f>
        <v>464607887.67000002</v>
      </c>
      <c r="R14" s="26">
        <f>股权价值增加表!R10</f>
        <v>272631206.55000001</v>
      </c>
      <c r="S14" s="26">
        <f>股权价值增加表!S10</f>
        <v>162816527.25999999</v>
      </c>
      <c r="T14" s="26">
        <f>股权价值增加表!T10</f>
        <v>72974067.900000006</v>
      </c>
      <c r="U14" s="26">
        <f>股权价值增加表!U10</f>
        <v>413571347.82999998</v>
      </c>
      <c r="V14" s="26">
        <f>股权价值增加表!V10</f>
        <v>257295534.18000001</v>
      </c>
      <c r="W14" s="26">
        <f>股权价值增加表!W10</f>
        <v>160202877.93000001</v>
      </c>
      <c r="X14" s="26">
        <f>股权价值增加表!X10</f>
        <v>84716598.069999993</v>
      </c>
      <c r="Y14" s="26">
        <f>股权价值增加表!Y10</f>
        <v>406273845.55000001</v>
      </c>
      <c r="Z14" s="26">
        <f>股权价值增加表!Z10</f>
        <v>260935873.47</v>
      </c>
      <c r="AA14" s="26">
        <f>股权价值增加表!AA10</f>
        <v>176522551.38999999</v>
      </c>
      <c r="AB14" s="26">
        <f>股权价值增加表!AB10</f>
        <v>91405848.239999995</v>
      </c>
      <c r="AC14" s="26">
        <f>股权价值增加表!AC10</f>
        <v>357366575.5</v>
      </c>
      <c r="AD14" s="26">
        <f>股权价值增加表!AD10</f>
        <v>240564563.61000001</v>
      </c>
      <c r="AE14" s="26">
        <f>股权价值增加表!AE10</f>
        <v>164702260.27000001</v>
      </c>
      <c r="AF14" s="26">
        <f>股权价值增加表!AF10</f>
        <v>97478529.370000005</v>
      </c>
      <c r="AG14" s="26">
        <f>股权价值增加表!AG10</f>
        <v>367015763.36000001</v>
      </c>
      <c r="AH14" s="26">
        <f>股权价值增加表!AH10</f>
        <v>257429492.86000001</v>
      </c>
      <c r="AI14" s="26">
        <f>股权价值增加表!AI10</f>
        <v>161035657.62</v>
      </c>
      <c r="AJ14" s="26">
        <f>股权价值增加表!AJ10</f>
        <v>74607600.349999994</v>
      </c>
      <c r="AK14" s="26">
        <f>股权价值增加表!AK10</f>
        <v>326751472.08999997</v>
      </c>
      <c r="AL14" s="26">
        <f>股权价值增加表!AL10</f>
        <v>262241857.12</v>
      </c>
      <c r="AM14" s="26">
        <f>股权价值增加表!AM10</f>
        <v>184470099.34</v>
      </c>
      <c r="AN14" s="26">
        <f>股权价值增加表!AN10</f>
        <v>70163375.519999996</v>
      </c>
      <c r="AO14" s="26">
        <f>股权价值增加表!AO10</f>
        <v>240520537.77000001</v>
      </c>
      <c r="AP14" s="26">
        <f>股权价值增加表!AP10</f>
        <v>162086989.16</v>
      </c>
      <c r="AQ14" s="26">
        <f>股权价值增加表!AQ10</f>
        <v>102522212.84</v>
      </c>
      <c r="AR14" s="26">
        <f>股权价值增加表!AR10</f>
        <v>39750224.039999999</v>
      </c>
      <c r="AS14" s="26">
        <f>股权价值增加表!AS10</f>
        <v>107431254.12</v>
      </c>
      <c r="AT14" s="26">
        <f>股权价值增加表!AT10</f>
        <v>69889280.019999996</v>
      </c>
      <c r="AU14" s="26">
        <f>股权价值增加表!AU10</f>
        <v>39369740.509999998</v>
      </c>
      <c r="AV14" s="26">
        <f>股权价值增加表!AV10</f>
        <v>16903079.18</v>
      </c>
      <c r="AW14" s="26">
        <f>股权价值增加表!AW10</f>
        <v>23765817.559999999</v>
      </c>
      <c r="AX14" s="26">
        <f>股权价值增加表!AX10</f>
        <v>18775634.920000002</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7.6344974814963246E-2</v>
      </c>
      <c r="F15" s="57">
        <f t="shared" ref="F15:BQ15" si="15">F14/F2</f>
        <v>6.6984356922535612E-2</v>
      </c>
      <c r="G15" s="57">
        <f t="shared" si="15"/>
        <v>6.6065269805358803E-2</v>
      </c>
      <c r="H15" s="57">
        <f t="shared" si="15"/>
        <v>5.987710950726674E-2</v>
      </c>
      <c r="I15" s="57">
        <f t="shared" si="15"/>
        <v>6.8183698190313932E-2</v>
      </c>
      <c r="J15" s="57">
        <f t="shared" si="15"/>
        <v>6.9768149355211639E-2</v>
      </c>
      <c r="K15" s="57">
        <f t="shared" si="15"/>
        <v>6.8561918569091995E-2</v>
      </c>
      <c r="L15" s="57">
        <f t="shared" si="15"/>
        <v>6.6485488492191519E-2</v>
      </c>
      <c r="M15" s="57">
        <f t="shared" si="15"/>
        <v>7.2921293981812269E-2</v>
      </c>
      <c r="N15" s="57">
        <f t="shared" si="15"/>
        <v>7.3855096883638435E-2</v>
      </c>
      <c r="O15" s="57">
        <f t="shared" si="15"/>
        <v>6.9903219398943783E-2</v>
      </c>
      <c r="P15" s="57">
        <f t="shared" si="15"/>
        <v>6.6423725916833556E-2</v>
      </c>
      <c r="Q15" s="57">
        <f t="shared" si="15"/>
        <v>7.817058033471673E-2</v>
      </c>
      <c r="R15" s="57">
        <f t="shared" si="15"/>
        <v>6.5307083907433977E-2</v>
      </c>
      <c r="S15" s="57">
        <f t="shared" si="15"/>
        <v>6.1806679401494515E-2</v>
      </c>
      <c r="T15" s="57">
        <f t="shared" si="15"/>
        <v>6.2753390177634857E-2</v>
      </c>
      <c r="U15" s="57">
        <f t="shared" si="15"/>
        <v>7.762047810571375E-2</v>
      </c>
      <c r="V15" s="57">
        <f t="shared" si="15"/>
        <v>6.8382752691010865E-2</v>
      </c>
      <c r="W15" s="57">
        <f t="shared" si="15"/>
        <v>6.4406841241390511E-2</v>
      </c>
      <c r="X15" s="57">
        <f t="shared" si="15"/>
        <v>7.2683379199266859E-2</v>
      </c>
      <c r="Y15" s="57">
        <f t="shared" si="15"/>
        <v>8.2211114078395958E-2</v>
      </c>
      <c r="Z15" s="57">
        <f t="shared" si="15"/>
        <v>7.0951646256249945E-2</v>
      </c>
      <c r="AA15" s="57">
        <f t="shared" si="15"/>
        <v>7.1205280397368009E-2</v>
      </c>
      <c r="AB15" s="57">
        <f t="shared" si="15"/>
        <v>7.2754754342887099E-2</v>
      </c>
      <c r="AC15" s="57">
        <f t="shared" si="15"/>
        <v>6.8733182634019424E-2</v>
      </c>
      <c r="AD15" s="57">
        <f t="shared" si="15"/>
        <v>6.0041670615361059E-2</v>
      </c>
      <c r="AE15" s="57">
        <f t="shared" si="15"/>
        <v>6.3440727680746892E-2</v>
      </c>
      <c r="AF15" s="57">
        <f t="shared" si="15"/>
        <v>7.9598247784829518E-2</v>
      </c>
      <c r="AG15" s="57">
        <f t="shared" si="15"/>
        <v>6.8645918547456511E-2</v>
      </c>
      <c r="AH15" s="57">
        <f t="shared" si="15"/>
        <v>6.4378008483628874E-2</v>
      </c>
      <c r="AI15" s="57">
        <f t="shared" si="15"/>
        <v>6.6886740307704723E-2</v>
      </c>
      <c r="AJ15" s="57">
        <f t="shared" si="15"/>
        <v>8.8157486479749025E-2</v>
      </c>
      <c r="AK15" s="57">
        <f t="shared" si="15"/>
        <v>7.0474878069842331E-2</v>
      </c>
      <c r="AL15" s="57">
        <f t="shared" si="15"/>
        <v>7.7945280513550722E-2</v>
      </c>
      <c r="AM15" s="57">
        <f t="shared" si="15"/>
        <v>8.457577581261555E-2</v>
      </c>
      <c r="AN15" s="57">
        <f t="shared" si="15"/>
        <v>7.2834438682319605E-2</v>
      </c>
      <c r="AO15" s="57">
        <f t="shared" si="15"/>
        <v>5.5631689604106672E-2</v>
      </c>
      <c r="AP15" s="57">
        <f t="shared" si="15"/>
        <v>5.9274905290043534E-2</v>
      </c>
      <c r="AQ15" s="57">
        <f t="shared" si="15"/>
        <v>6.351855641062111E-2</v>
      </c>
      <c r="AR15" s="57">
        <f t="shared" si="15"/>
        <v>5.6644071661172656E-2</v>
      </c>
      <c r="AS15" s="57">
        <f t="shared" si="15"/>
        <v>5.5296971693848639E-2</v>
      </c>
      <c r="AT15" s="57">
        <f t="shared" si="15"/>
        <v>5.8345612050808134E-2</v>
      </c>
      <c r="AU15" s="57">
        <f t="shared" si="15"/>
        <v>5.6111088321819193E-2</v>
      </c>
      <c r="AV15" s="57">
        <f t="shared" si="15"/>
        <v>5.1512048302397924E-2</v>
      </c>
      <c r="AW15" s="57">
        <f t="shared" si="15"/>
        <v>2.5450248126531985E-2</v>
      </c>
      <c r="AX15" s="57">
        <f t="shared" si="15"/>
        <v>2.5021587990359393E-2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12499680.91</v>
      </c>
      <c r="F16" s="26">
        <f>股权价值增加表!F11</f>
        <v>17763765.609999999</v>
      </c>
      <c r="G16" s="26">
        <f>股权价值增加表!G11</f>
        <v>7885111.1299999999</v>
      </c>
      <c r="H16" s="26">
        <f>股权价值增加表!H11</f>
        <v>4248604.33</v>
      </c>
      <c r="I16" s="26">
        <f>股权价值增加表!I11</f>
        <v>23237429.84</v>
      </c>
      <c r="J16" s="26">
        <f>股权价值增加表!J11</f>
        <v>17718066.960000001</v>
      </c>
      <c r="K16" s="26">
        <f>股权价值增加表!K11</f>
        <v>8684764.5800000001</v>
      </c>
      <c r="L16" s="26">
        <f>股权价值增加表!L11</f>
        <v>8013368.2999999998</v>
      </c>
      <c r="M16" s="26">
        <f>股权价值增加表!M11</f>
        <v>4105865.98</v>
      </c>
      <c r="N16" s="26">
        <f>股权价值增加表!N11</f>
        <v>14842373.15</v>
      </c>
      <c r="O16" s="26">
        <f>股权价值增加表!O11</f>
        <v>7070760.6100000003</v>
      </c>
      <c r="P16" s="26">
        <f>股权价值增加表!P11</f>
        <v>5837765.7199999997</v>
      </c>
      <c r="Q16" s="26">
        <f>股权价值增加表!Q11</f>
        <v>4822014.63</v>
      </c>
      <c r="R16" s="26">
        <f>股权价值增加表!R11</f>
        <v>7021488.2000000002</v>
      </c>
      <c r="S16" s="26">
        <f>股权价值增加表!S11</f>
        <v>4969388.33</v>
      </c>
      <c r="T16" s="26">
        <f>股权价值增加表!T11</f>
        <v>150556.34</v>
      </c>
      <c r="U16" s="26">
        <f>股权价值增加表!U11</f>
        <v>19241546.960000001</v>
      </c>
      <c r="V16" s="26">
        <f>股权价值增加表!V11</f>
        <v>4236783.92</v>
      </c>
      <c r="W16" s="26">
        <f>股权价值增加表!W11</f>
        <v>3737473.88</v>
      </c>
      <c r="X16" s="26">
        <f>股权价值增加表!X11</f>
        <v>837103.87</v>
      </c>
      <c r="Y16" s="26">
        <f>股权价值增加表!Y11</f>
        <v>10657854.109999999</v>
      </c>
      <c r="Z16" s="26">
        <f>股权价值增加表!Z11</f>
        <v>2671080.7200000002</v>
      </c>
      <c r="AA16" s="26">
        <f>股权价值增加表!AA11</f>
        <v>3248436.38</v>
      </c>
      <c r="AB16" s="26">
        <f>股权价值增加表!AB11</f>
        <v>665133.52</v>
      </c>
      <c r="AC16" s="26">
        <f>股权价值增加表!AC11</f>
        <v>5119568.22</v>
      </c>
      <c r="AD16" s="26">
        <f>股权价值增加表!AD11</f>
        <v>2743077.72</v>
      </c>
      <c r="AE16" s="26">
        <f>股权价值增加表!AE11</f>
        <v>2795623.48</v>
      </c>
      <c r="AF16" s="26">
        <f>股权价值增加表!AF11</f>
        <v>1309429.52</v>
      </c>
      <c r="AG16" s="26">
        <f>股权价值增加表!AG11</f>
        <v>4515424.5999999996</v>
      </c>
      <c r="AH16" s="26">
        <f>股权价值增加表!AH11</f>
        <v>-1679006.93</v>
      </c>
      <c r="AI16" s="26">
        <f>股权价值增加表!AI11</f>
        <v>-7280003.8399999999</v>
      </c>
      <c r="AJ16" s="26">
        <f>股权价值增加表!AJ11</f>
        <v>87320.63</v>
      </c>
      <c r="AK16" s="26">
        <f>股权价值增加表!AK11</f>
        <v>23753238.050000001</v>
      </c>
      <c r="AL16" s="26">
        <f>股权价值增加表!AL11</f>
        <v>-2392377.17</v>
      </c>
      <c r="AM16" s="26">
        <f>股权价值增加表!AM11</f>
        <v>49660.29</v>
      </c>
      <c r="AN16" s="26">
        <f>股权价值增加表!AN11</f>
        <v>1453231.61</v>
      </c>
      <c r="AO16" s="26">
        <f>股权价值增加表!AO11</f>
        <v>-180915.31</v>
      </c>
      <c r="AP16" s="26">
        <f>股权价值增加表!AP11</f>
        <v>-3731075.73</v>
      </c>
      <c r="AQ16" s="26">
        <f>股权价值增加表!AQ11</f>
        <v>3622460.35</v>
      </c>
      <c r="AR16" s="26">
        <f>股权价值增加表!AR11</f>
        <v>-377163.56</v>
      </c>
      <c r="AS16" s="26">
        <f>股权价值增加表!AS11</f>
        <v>6163252.0099999998</v>
      </c>
      <c r="AT16" s="26">
        <f>股权价值增加表!AT11</f>
        <v>266989.83</v>
      </c>
      <c r="AU16" s="26">
        <f>股权价值增加表!AU11</f>
        <v>6370358.5300000003</v>
      </c>
      <c r="AV16" s="26">
        <f>股权价值增加表!AV11</f>
        <v>976105.67</v>
      </c>
      <c r="AW16" s="26">
        <f>股权价值增加表!AW11</f>
        <v>1040126.17</v>
      </c>
      <c r="AX16" s="26">
        <f>股权价值增加表!AX11</f>
        <v>503674.36</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1.7246827239443079E-3</v>
      </c>
      <c r="F17" s="57">
        <f t="shared" ref="F17:BQ17" si="17">F16/F2</f>
        <v>3.5065486051830304E-3</v>
      </c>
      <c r="G17" s="57">
        <f t="shared" si="17"/>
        <v>2.4122238981862214E-3</v>
      </c>
      <c r="H17" s="57">
        <f t="shared" si="17"/>
        <v>2.860149605985136E-3</v>
      </c>
      <c r="I17" s="57">
        <f t="shared" si="17"/>
        <v>3.1767670012533356E-3</v>
      </c>
      <c r="J17" s="57">
        <f t="shared" si="17"/>
        <v>3.5194770562228389E-3</v>
      </c>
      <c r="K17" s="57">
        <f t="shared" si="17"/>
        <v>2.6237924416832497E-3</v>
      </c>
      <c r="L17" s="57">
        <f t="shared" si="17"/>
        <v>4.8779289942796969E-3</v>
      </c>
      <c r="M17" s="57">
        <f t="shared" si="17"/>
        <v>5.815600785007717E-4</v>
      </c>
      <c r="N17" s="57">
        <f t="shared" si="17"/>
        <v>2.9591312075912175E-3</v>
      </c>
      <c r="O17" s="57">
        <f t="shared" si="17"/>
        <v>2.232900829962743E-3</v>
      </c>
      <c r="P17" s="57">
        <f t="shared" si="17"/>
        <v>4.1199487258452459E-3</v>
      </c>
      <c r="Q17" s="57">
        <f t="shared" si="17"/>
        <v>8.113071086673537E-4</v>
      </c>
      <c r="R17" s="57">
        <f t="shared" si="17"/>
        <v>1.6819531587568273E-3</v>
      </c>
      <c r="S17" s="57">
        <f t="shared" si="17"/>
        <v>1.8864263751515065E-3</v>
      </c>
      <c r="T17" s="57">
        <f t="shared" si="17"/>
        <v>1.294695639097934E-4</v>
      </c>
      <c r="U17" s="57">
        <f t="shared" si="17"/>
        <v>3.6113190199594468E-3</v>
      </c>
      <c r="V17" s="57">
        <f t="shared" si="17"/>
        <v>1.1260317748225115E-3</v>
      </c>
      <c r="W17" s="57">
        <f t="shared" si="17"/>
        <v>1.5025877808398983E-3</v>
      </c>
      <c r="X17" s="57">
        <f t="shared" si="17"/>
        <v>7.1820091220034272E-4</v>
      </c>
      <c r="Y17" s="57">
        <f t="shared" si="17"/>
        <v>2.1566587897922612E-3</v>
      </c>
      <c r="Z17" s="57">
        <f t="shared" si="17"/>
        <v>7.2629942309989975E-4</v>
      </c>
      <c r="AA17" s="57">
        <f t="shared" si="17"/>
        <v>1.3103471566070655E-3</v>
      </c>
      <c r="AB17" s="57">
        <f t="shared" si="17"/>
        <v>5.2941498585254844E-4</v>
      </c>
      <c r="AC17" s="57">
        <f t="shared" si="17"/>
        <v>9.8465900729594611E-4</v>
      </c>
      <c r="AD17" s="57">
        <f t="shared" si="17"/>
        <v>6.8463520339422622E-4</v>
      </c>
      <c r="AE17" s="57">
        <f t="shared" si="17"/>
        <v>1.0768303215865876E-3</v>
      </c>
      <c r="AF17" s="57">
        <f t="shared" si="17"/>
        <v>1.069243617680261E-3</v>
      </c>
      <c r="AG17" s="57">
        <f t="shared" si="17"/>
        <v>8.4455628407094081E-4</v>
      </c>
      <c r="AH17" s="57">
        <f t="shared" si="17"/>
        <v>-4.1988631987243102E-4</v>
      </c>
      <c r="AI17" s="57">
        <f t="shared" si="17"/>
        <v>-3.0237758114057445E-3</v>
      </c>
      <c r="AJ17" s="57">
        <f t="shared" si="17"/>
        <v>1.0317939757498404E-4</v>
      </c>
      <c r="AK17" s="57">
        <f t="shared" si="17"/>
        <v>5.1231798425581485E-3</v>
      </c>
      <c r="AL17" s="57">
        <f t="shared" si="17"/>
        <v>-7.1107835971637124E-4</v>
      </c>
      <c r="AM17" s="57">
        <f t="shared" si="17"/>
        <v>2.2768229479229997E-5</v>
      </c>
      <c r="AN17" s="57">
        <f t="shared" si="17"/>
        <v>1.5085549662527641E-3</v>
      </c>
      <c r="AO17" s="57">
        <f t="shared" si="17"/>
        <v>-4.1845176565234218E-5</v>
      </c>
      <c r="AP17" s="57">
        <f t="shared" si="17"/>
        <v>-1.3644473357908972E-3</v>
      </c>
      <c r="AQ17" s="57">
        <f t="shared" si="17"/>
        <v>2.2443277969995219E-3</v>
      </c>
      <c r="AR17" s="57">
        <f t="shared" si="17"/>
        <v>-5.3745809581160267E-4</v>
      </c>
      <c r="AS17" s="57">
        <f t="shared" si="17"/>
        <v>3.1723465832237622E-3</v>
      </c>
      <c r="AT17" s="57">
        <f t="shared" si="17"/>
        <v>2.2289090742147293E-4</v>
      </c>
      <c r="AU17" s="57">
        <f t="shared" si="17"/>
        <v>9.0792508532712285E-3</v>
      </c>
      <c r="AV17" s="57">
        <f t="shared" si="17"/>
        <v>2.9746770920163488E-3</v>
      </c>
      <c r="AW17" s="57">
        <f t="shared" si="17"/>
        <v>1.1138463485452839E-3</v>
      </c>
      <c r="AX17" s="57">
        <f t="shared" si="17"/>
        <v>6.7122802349567367E-4</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806274.08</v>
      </c>
      <c r="F18" s="26">
        <f>股权价值增加表!F12</f>
        <v>1204</v>
      </c>
      <c r="G18" s="26">
        <f>股权价值增加表!G12</f>
        <v>868</v>
      </c>
      <c r="H18" s="26">
        <f>股权价值增加表!H12</f>
        <v>644</v>
      </c>
      <c r="I18" s="26">
        <f>股权价值增加表!I12</f>
        <v>684423.53</v>
      </c>
      <c r="J18" s="26">
        <f>股权价值增加表!J12</f>
        <v>0</v>
      </c>
      <c r="K18" s="26">
        <f>股权价值增加表!K12</f>
        <v>0</v>
      </c>
      <c r="L18" s="26">
        <f>股权价值增加表!L12</f>
        <v>0</v>
      </c>
      <c r="M18" s="26">
        <f>股权价值增加表!M12</f>
        <v>1001210.46</v>
      </c>
      <c r="N18" s="26">
        <f>股权价值增加表!N12</f>
        <v>0</v>
      </c>
      <c r="O18" s="26">
        <f>股权价值增加表!O12</f>
        <v>0</v>
      </c>
      <c r="P18" s="26">
        <f>股权价值增加表!P12</f>
        <v>0</v>
      </c>
      <c r="Q18" s="26">
        <f>股权价值增加表!Q12</f>
        <v>798717.86</v>
      </c>
      <c r="R18" s="26">
        <f>股权价值增加表!R12</f>
        <v>0</v>
      </c>
      <c r="S18" s="26">
        <f>股权价值增加表!S12</f>
        <v>0</v>
      </c>
      <c r="T18" s="26">
        <f>股权价值增加表!T12</f>
        <v>0</v>
      </c>
      <c r="U18" s="26">
        <f>股权价值增加表!U12</f>
        <v>599197.73</v>
      </c>
      <c r="V18" s="26">
        <f>股权价值增加表!V12</f>
        <v>0</v>
      </c>
      <c r="W18" s="26">
        <f>股权价值增加表!W12</f>
        <v>0</v>
      </c>
      <c r="X18" s="26">
        <f>股权价值增加表!X12</f>
        <v>0</v>
      </c>
      <c r="Y18" s="26">
        <f>股权价值增加表!Y12</f>
        <v>406522.63</v>
      </c>
      <c r="Z18" s="26">
        <f>股权价值增加表!Z12</f>
        <v>0</v>
      </c>
      <c r="AA18" s="26">
        <f>股权价值增加表!AA12</f>
        <v>0</v>
      </c>
      <c r="AB18" s="26">
        <f>股权价值增加表!AB12</f>
        <v>0</v>
      </c>
      <c r="AC18" s="26">
        <f>股权价值增加表!AC12</f>
        <v>796057.08</v>
      </c>
      <c r="AD18" s="26">
        <f>股权价值增加表!AD12</f>
        <v>0</v>
      </c>
      <c r="AE18" s="26">
        <f>股权价值增加表!AE12</f>
        <v>0</v>
      </c>
      <c r="AF18" s="26">
        <f>股权价值增加表!AF12</f>
        <v>0</v>
      </c>
      <c r="AG18" s="26">
        <f>股权价值增加表!AG12</f>
        <v>573679.79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1.1124819797820669E-4</v>
      </c>
      <c r="F19" s="57">
        <f t="shared" ref="F19:BQ19" si="19">F18/F2</f>
        <v>2.3766833076561679E-7</v>
      </c>
      <c r="G19" s="57">
        <f t="shared" si="19"/>
        <v>2.6553973800818709E-7</v>
      </c>
      <c r="H19" s="57">
        <f t="shared" si="19"/>
        <v>4.3353915855337548E-7</v>
      </c>
      <c r="I19" s="57">
        <f t="shared" si="19"/>
        <v>9.3566891861794748E-5</v>
      </c>
      <c r="J19" s="57">
        <f t="shared" si="19"/>
        <v>0</v>
      </c>
      <c r="K19" s="57">
        <f t="shared" si="19"/>
        <v>0</v>
      </c>
      <c r="L19" s="57">
        <f t="shared" si="19"/>
        <v>0</v>
      </c>
      <c r="M19" s="57">
        <f t="shared" si="19"/>
        <v>1.4181272271176121E-4</v>
      </c>
      <c r="N19" s="57">
        <f t="shared" si="19"/>
        <v>0</v>
      </c>
      <c r="O19" s="57">
        <f t="shared" si="19"/>
        <v>0</v>
      </c>
      <c r="P19" s="57">
        <f t="shared" si="19"/>
        <v>0</v>
      </c>
      <c r="Q19" s="57">
        <f t="shared" si="19"/>
        <v>1.3438480124179471E-4</v>
      </c>
      <c r="R19" s="57">
        <f t="shared" si="19"/>
        <v>0</v>
      </c>
      <c r="S19" s="57">
        <f t="shared" si="19"/>
        <v>0</v>
      </c>
      <c r="T19" s="57">
        <f t="shared" si="19"/>
        <v>0</v>
      </c>
      <c r="U19" s="57">
        <f t="shared" si="19"/>
        <v>1.1245946927052716E-4</v>
      </c>
      <c r="V19" s="57">
        <f t="shared" si="19"/>
        <v>0</v>
      </c>
      <c r="W19" s="57">
        <f t="shared" si="19"/>
        <v>0</v>
      </c>
      <c r="X19" s="57">
        <f t="shared" si="19"/>
        <v>0</v>
      </c>
      <c r="Y19" s="57">
        <f t="shared" si="19"/>
        <v>8.2261456592500426E-5</v>
      </c>
      <c r="Z19" s="57">
        <f t="shared" si="19"/>
        <v>0</v>
      </c>
      <c r="AA19" s="57">
        <f t="shared" si="19"/>
        <v>0</v>
      </c>
      <c r="AB19" s="57">
        <f t="shared" si="19"/>
        <v>0</v>
      </c>
      <c r="AC19" s="57">
        <f t="shared" si="19"/>
        <v>1.5310759432437244E-4</v>
      </c>
      <c r="AD19" s="57">
        <f t="shared" si="19"/>
        <v>0</v>
      </c>
      <c r="AE19" s="57">
        <f t="shared" si="19"/>
        <v>0</v>
      </c>
      <c r="AF19" s="57">
        <f t="shared" si="19"/>
        <v>0</v>
      </c>
      <c r="AG19" s="57">
        <f t="shared" si="19"/>
        <v>1.0729995838907325E-4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9874930.7899999991</v>
      </c>
      <c r="F20" s="26">
        <f>股权价值增加表!F13-股权价值增加表!F14</f>
        <v>5852493.3200000003</v>
      </c>
      <c r="G20" s="26">
        <f>股权价值增加表!G13-股权价值增加表!G14</f>
        <v>1884572.7800000003</v>
      </c>
      <c r="H20" s="26">
        <f>股权价值增加表!H13-股权价值增加表!H14</f>
        <v>3796321.2700000005</v>
      </c>
      <c r="I20" s="26">
        <f>股权价值增加表!I13-股权价值增加表!I14</f>
        <v>97710416.919999987</v>
      </c>
      <c r="J20" s="26">
        <f>股权价值增加表!J13-股权价值增加表!J14</f>
        <v>66190912.660000004</v>
      </c>
      <c r="K20" s="26">
        <f>股权价值增加表!K13-股权价值增加表!K14</f>
        <v>47950871.950000003</v>
      </c>
      <c r="L20" s="26">
        <f>股权价值增加表!L13-股权价值增加表!L14</f>
        <v>116693.55999999982</v>
      </c>
      <c r="M20" s="26">
        <f>股权价值增加表!M13-股权价值增加表!M14</f>
        <v>44890887.840000004</v>
      </c>
      <c r="N20" s="26">
        <f>股权价值增加表!N13-股权价值增加表!N14</f>
        <v>41358915.82</v>
      </c>
      <c r="O20" s="26">
        <f>股权价值增加表!O13-股权价值增加表!O14</f>
        <v>-2369383.64</v>
      </c>
      <c r="P20" s="26">
        <f>股权价值增加表!P13-股权价值增加表!P14</f>
        <v>-748263.91999999993</v>
      </c>
      <c r="Q20" s="26">
        <f>股权价值增加表!Q13-股权价值增加表!Q14</f>
        <v>44095536.859999999</v>
      </c>
      <c r="R20" s="26">
        <f>股权价值增加表!R13-股权价值增加表!R14</f>
        <v>30239879.340000004</v>
      </c>
      <c r="S20" s="26">
        <f>股权价值增加表!S13-股权价值增加表!S14</f>
        <v>32907395.509999998</v>
      </c>
      <c r="T20" s="26">
        <f>股权价值增加表!T13-股权价值增加表!T14</f>
        <v>3608741.18</v>
      </c>
      <c r="U20" s="26">
        <f>股权价值增加表!U13-股权价值增加表!U14</f>
        <v>5193034.17</v>
      </c>
      <c r="V20" s="26">
        <f>股权价值增加表!V13-股权价值增加表!V14</f>
        <v>8044854.5899999999</v>
      </c>
      <c r="W20" s="26">
        <f>股权价值增加表!W13-股权价值增加表!W14</f>
        <v>7439883.6600000011</v>
      </c>
      <c r="X20" s="26">
        <f>股权价值增加表!X13-股权价值增加表!X14</f>
        <v>2210839.08</v>
      </c>
      <c r="Y20" s="26">
        <f>股权价值增加表!Y13-股权价值增加表!Y14</f>
        <v>16353737.33</v>
      </c>
      <c r="Z20" s="26">
        <f>股权价值增加表!Z13-股权价值增加表!Z14</f>
        <v>7521912.21</v>
      </c>
      <c r="AA20" s="26">
        <f>股权价值增加表!AA13-股权价值增加表!AA14</f>
        <v>2523366.6500000004</v>
      </c>
      <c r="AB20" s="26">
        <f>股权价值增加表!AB13-股权价值增加表!AB14</f>
        <v>1635630.64</v>
      </c>
      <c r="AC20" s="26">
        <f>股权价值增加表!AC13-股权价值增加表!AC14</f>
        <v>13832847.450000001</v>
      </c>
      <c r="AD20" s="26">
        <f>股权价值增加表!AD13-股权价值增加表!AD14</f>
        <v>1345416.5</v>
      </c>
      <c r="AE20" s="26">
        <f>股权价值增加表!AE13-股权价值增加表!AE14</f>
        <v>951332.98</v>
      </c>
      <c r="AF20" s="26">
        <f>股权价值增加表!AF13-股权价值增加表!AF14</f>
        <v>286408.21999999997</v>
      </c>
      <c r="AG20" s="26">
        <f>股权价值增加表!AG13-股权价值增加表!AG14</f>
        <v>15793549.560000002</v>
      </c>
      <c r="AH20" s="26">
        <f>股权价值增加表!AH13-股权价值增加表!AH14</f>
        <v>-1630050.5099999988</v>
      </c>
      <c r="AI20" s="26">
        <f>股权价值增加表!AI13-股权价值增加表!AI14</f>
        <v>1054667.7700000005</v>
      </c>
      <c r="AJ20" s="26">
        <f>股权价值增加表!AJ13-股权价值增加表!AJ14</f>
        <v>3086298.55</v>
      </c>
      <c r="AK20" s="26">
        <f>股权价值增加表!AK13-股权价值增加表!AK14</f>
        <v>52699466.799999997</v>
      </c>
      <c r="AL20" s="26">
        <f>股权价值增加表!AL13-股权价值增加表!AL14</f>
        <v>26085094.32</v>
      </c>
      <c r="AM20" s="26">
        <f>股权价值增加表!AM13-股权价值增加表!AM14</f>
        <v>21226985.609999999</v>
      </c>
      <c r="AN20" s="26">
        <f>股权价值增加表!AN13-股权价值增加表!AN14</f>
        <v>743785.69000000006</v>
      </c>
      <c r="AO20" s="26">
        <f>股权价值增加表!AO13-股权价值增加表!AO14</f>
        <v>-889924.5</v>
      </c>
      <c r="AP20" s="26">
        <f>股权价值增加表!AP13-股权价值增加表!AP14</f>
        <v>-3261691.8499999996</v>
      </c>
      <c r="AQ20" s="26">
        <f>股权价值增加表!AQ13-股权价值增加表!AQ14</f>
        <v>-254227.46999999974</v>
      </c>
      <c r="AR20" s="26">
        <f>股权价值增加表!AR13-股权价值增加表!AR14</f>
        <v>-344166.02999999991</v>
      </c>
      <c r="AS20" s="26">
        <f>股权价值增加表!AS13-股权价值增加表!AS14</f>
        <v>9476568.3599999994</v>
      </c>
      <c r="AT20" s="26">
        <f>股权价值增加表!AT13-股权价值增加表!AT14</f>
        <v>3708072.6599999992</v>
      </c>
      <c r="AU20" s="26">
        <f>股权价值增加表!AU13-股权价值增加表!AU14</f>
        <v>1116608.98</v>
      </c>
      <c r="AV20" s="26">
        <f>股权价值增加表!AV13-股权价值增加表!AV14</f>
        <v>1798630.02</v>
      </c>
      <c r="AW20" s="26">
        <f>股权价值增加表!AW13-股权价值增加表!AW14</f>
        <v>282996.77000000008</v>
      </c>
      <c r="AX20" s="26">
        <f>股权价值增加表!AX13-股权价值增加表!AX14</f>
        <v>-389670.71</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1.3625245841302612E-3</v>
      </c>
      <c r="F21" s="57">
        <f t="shared" ref="F21:BQ21" si="21">F20/F2</f>
        <v>1.1552760117785074E-3</v>
      </c>
      <c r="G21" s="57">
        <f t="shared" si="21"/>
        <v>5.7653106250986276E-4</v>
      </c>
      <c r="H21" s="57">
        <f t="shared" si="21"/>
        <v>2.5556738027858413E-3</v>
      </c>
      <c r="I21" s="57">
        <f t="shared" si="21"/>
        <v>1.3357898454666686E-2</v>
      </c>
      <c r="J21" s="57">
        <f t="shared" si="21"/>
        <v>1.3148014338315823E-2</v>
      </c>
      <c r="K21" s="57">
        <f t="shared" si="21"/>
        <v>1.4486648916686162E-2</v>
      </c>
      <c r="L21" s="57">
        <f t="shared" si="21"/>
        <v>7.1034161723194052E-5</v>
      </c>
      <c r="M21" s="57">
        <f t="shared" si="21"/>
        <v>6.3584024377239265E-3</v>
      </c>
      <c r="N21" s="57">
        <f t="shared" si="21"/>
        <v>8.2457473126593701E-3</v>
      </c>
      <c r="O21" s="57">
        <f t="shared" si="21"/>
        <v>-7.482361499799306E-4</v>
      </c>
      <c r="P21" s="57">
        <f t="shared" si="21"/>
        <v>-5.2808028476346064E-4</v>
      </c>
      <c r="Q21" s="57">
        <f t="shared" si="21"/>
        <v>7.4191028563970404E-3</v>
      </c>
      <c r="R21" s="57">
        <f t="shared" si="21"/>
        <v>7.2437721359893941E-3</v>
      </c>
      <c r="S21" s="57">
        <f t="shared" si="21"/>
        <v>1.2491955690572135E-2</v>
      </c>
      <c r="T21" s="57">
        <f t="shared" si="21"/>
        <v>3.1033043632563949E-3</v>
      </c>
      <c r="U21" s="57">
        <f t="shared" si="21"/>
        <v>9.7464632695105913E-4</v>
      </c>
      <c r="V21" s="57">
        <f t="shared" si="21"/>
        <v>2.1381222321497878E-3</v>
      </c>
      <c r="W21" s="57">
        <f t="shared" si="21"/>
        <v>2.9910786368857302E-3</v>
      </c>
      <c r="X21" s="57">
        <f t="shared" si="21"/>
        <v>1.8968095846745596E-3</v>
      </c>
      <c r="Y21" s="57">
        <f t="shared" si="21"/>
        <v>3.3092432111268906E-3</v>
      </c>
      <c r="Z21" s="57">
        <f t="shared" si="21"/>
        <v>2.045299663849579E-3</v>
      </c>
      <c r="AA21" s="57">
        <f t="shared" si="21"/>
        <v>1.01787011599242E-3</v>
      </c>
      <c r="AB21" s="57">
        <f t="shared" si="21"/>
        <v>1.3018850292428423E-3</v>
      </c>
      <c r="AC21" s="57">
        <f t="shared" si="21"/>
        <v>2.6605051935792469E-3</v>
      </c>
      <c r="AD21" s="57">
        <f t="shared" si="21"/>
        <v>3.3579781294984523E-4</v>
      </c>
      <c r="AE21" s="57">
        <f t="shared" si="21"/>
        <v>3.6643854443135765E-4</v>
      </c>
      <c r="AF21" s="57">
        <f t="shared" si="21"/>
        <v>2.3387296269765175E-4</v>
      </c>
      <c r="AG21" s="57">
        <f t="shared" si="21"/>
        <v>2.9539949639916132E-3</v>
      </c>
      <c r="AH21" s="57">
        <f t="shared" si="21"/>
        <v>-4.0764329057896081E-4</v>
      </c>
      <c r="AI21" s="57">
        <f t="shared" si="21"/>
        <v>4.380600562973382E-4</v>
      </c>
      <c r="AJ21" s="57">
        <f t="shared" si="21"/>
        <v>3.6468177694726519E-3</v>
      </c>
      <c r="AK21" s="57">
        <f t="shared" si="21"/>
        <v>1.1366401728261312E-2</v>
      </c>
      <c r="AL21" s="57">
        <f t="shared" si="21"/>
        <v>7.7531863765914616E-3</v>
      </c>
      <c r="AM21" s="57">
        <f t="shared" si="21"/>
        <v>9.7321396939243181E-3</v>
      </c>
      <c r="AN21" s="57">
        <f t="shared" si="21"/>
        <v>7.7210101181135124E-4</v>
      </c>
      <c r="AO21" s="57">
        <f t="shared" si="21"/>
        <v>-2.0583690696065348E-4</v>
      </c>
      <c r="AP21" s="57">
        <f t="shared" si="21"/>
        <v>-1.1927945388831287E-3</v>
      </c>
      <c r="AQ21" s="57">
        <f t="shared" si="21"/>
        <v>-1.5750890901590169E-4</v>
      </c>
      <c r="AR21" s="57">
        <f t="shared" si="21"/>
        <v>-4.9043661356584637E-4</v>
      </c>
      <c r="AS21" s="57">
        <f t="shared" si="21"/>
        <v>4.8777754355581529E-3</v>
      </c>
      <c r="AT21" s="57">
        <f t="shared" si="21"/>
        <v>3.0956073494340761E-3</v>
      </c>
      <c r="AU21" s="57">
        <f t="shared" si="21"/>
        <v>1.5914289575213775E-3</v>
      </c>
      <c r="AV21" s="57">
        <f t="shared" si="21"/>
        <v>5.4813158881731596E-3</v>
      </c>
      <c r="AW21" s="57">
        <f t="shared" si="21"/>
        <v>3.030545024308057E-4</v>
      </c>
      <c r="AX21" s="57">
        <f t="shared" si="21"/>
        <v>-5.1929961351905205E-4</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0.23876865280932855</v>
      </c>
      <c r="F22" s="66">
        <f t="shared" ref="F22:BQ22" si="23">F11+F13+F15+F17+F19+F21</f>
        <v>0.21740459985471938</v>
      </c>
      <c r="G22" s="66">
        <f t="shared" si="23"/>
        <v>0.20772416209754738</v>
      </c>
      <c r="H22" s="66">
        <f t="shared" si="23"/>
        <v>0.20042302918917454</v>
      </c>
      <c r="I22" s="66">
        <f t="shared" si="23"/>
        <v>0.24307930566506947</v>
      </c>
      <c r="J22" s="66">
        <f t="shared" si="23"/>
        <v>0.22336339752644893</v>
      </c>
      <c r="K22" s="66">
        <f t="shared" si="23"/>
        <v>0.21982022529669595</v>
      </c>
      <c r="L22" s="66">
        <f t="shared" si="23"/>
        <v>0.2087598732167272</v>
      </c>
      <c r="M22" s="66">
        <f t="shared" si="23"/>
        <v>0.22654347705883673</v>
      </c>
      <c r="N22" s="66">
        <f t="shared" si="23"/>
        <v>0.21561519481937519</v>
      </c>
      <c r="O22" s="66">
        <f t="shared" si="23"/>
        <v>0.20053176370970668</v>
      </c>
      <c r="P22" s="66">
        <f t="shared" si="23"/>
        <v>0.20127058423473085</v>
      </c>
      <c r="Q22" s="66">
        <f t="shared" si="23"/>
        <v>0.222015445591565</v>
      </c>
      <c r="R22" s="66">
        <f t="shared" si="23"/>
        <v>0.19659103909456893</v>
      </c>
      <c r="S22" s="66">
        <f t="shared" si="23"/>
        <v>0.2040449056986455</v>
      </c>
      <c r="T22" s="66">
        <f t="shared" si="23"/>
        <v>0.20187610280039919</v>
      </c>
      <c r="U22" s="66">
        <f t="shared" si="23"/>
        <v>0.22414979531582452</v>
      </c>
      <c r="V22" s="66">
        <f t="shared" si="23"/>
        <v>0.20387813547182668</v>
      </c>
      <c r="W22" s="66">
        <f t="shared" si="23"/>
        <v>0.20262309237633505</v>
      </c>
      <c r="X22" s="66">
        <f t="shared" si="23"/>
        <v>0.19098010709525332</v>
      </c>
      <c r="Y22" s="66">
        <f t="shared" si="23"/>
        <v>0.23192731134885894</v>
      </c>
      <c r="Z22" s="66">
        <f t="shared" si="23"/>
        <v>0.20611049310233112</v>
      </c>
      <c r="AA22" s="66">
        <f t="shared" si="23"/>
        <v>0.2019970440428579</v>
      </c>
      <c r="AB22" s="66">
        <f t="shared" si="23"/>
        <v>0.20070035917378351</v>
      </c>
      <c r="AC22" s="66">
        <f t="shared" si="23"/>
        <v>0.23063622794960542</v>
      </c>
      <c r="AD22" s="66">
        <f t="shared" si="23"/>
        <v>0.20670431705252515</v>
      </c>
      <c r="AE22" s="66">
        <f t="shared" si="23"/>
        <v>0.21540451143217168</v>
      </c>
      <c r="AF22" s="66">
        <f t="shared" si="23"/>
        <v>0.20996610492782222</v>
      </c>
      <c r="AG22" s="66">
        <f t="shared" si="23"/>
        <v>0.22225836075719393</v>
      </c>
      <c r="AH22" s="66">
        <f t="shared" si="23"/>
        <v>0.21131796989551463</v>
      </c>
      <c r="AI22" s="66">
        <f t="shared" si="23"/>
        <v>0.22033991702122052</v>
      </c>
      <c r="AJ22" s="66">
        <f t="shared" si="23"/>
        <v>0.22797592191244817</v>
      </c>
      <c r="AK22" s="66">
        <f t="shared" si="23"/>
        <v>0.24900767887517347</v>
      </c>
      <c r="AL22" s="66">
        <f t="shared" si="23"/>
        <v>0.22487988630417338</v>
      </c>
      <c r="AM22" s="66">
        <f t="shared" si="23"/>
        <v>0.23360299586109459</v>
      </c>
      <c r="AN22" s="66">
        <f t="shared" si="23"/>
        <v>0.20785908187046845</v>
      </c>
      <c r="AO22" s="66">
        <f t="shared" si="23"/>
        <v>0.21693919748885174</v>
      </c>
      <c r="AP22" s="66">
        <f t="shared" si="23"/>
        <v>0.1830012185883711</v>
      </c>
      <c r="AQ22" s="66">
        <f t="shared" si="23"/>
        <v>0.1687915403596178</v>
      </c>
      <c r="AR22" s="66">
        <f t="shared" si="23"/>
        <v>0.15574613289891101</v>
      </c>
      <c r="AS22" s="66">
        <f t="shared" si="23"/>
        <v>0.16150778335026941</v>
      </c>
      <c r="AT22" s="66">
        <f t="shared" si="23"/>
        <v>0.1594057078580263</v>
      </c>
      <c r="AU22" s="66">
        <f t="shared" si="23"/>
        <v>0.16575902432113851</v>
      </c>
      <c r="AV22" s="66">
        <f t="shared" si="23"/>
        <v>0.13953654625557313</v>
      </c>
      <c r="AW22" s="66">
        <f t="shared" si="23"/>
        <v>0.11700419984490791</v>
      </c>
      <c r="AX22" s="66">
        <f t="shared" si="23"/>
        <v>0.11445723434949935</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585001430.59362328</v>
      </c>
      <c r="F23" s="27">
        <f>股权价值增加表!F17</f>
        <v>469331082.15093839</v>
      </c>
      <c r="G23" s="27">
        <f>股权价值增加表!G17</f>
        <v>308611315.48826373</v>
      </c>
      <c r="H23" s="27">
        <f>股权价值增加表!H17</f>
        <v>132730937.10567296</v>
      </c>
      <c r="I23" s="27">
        <f>股权价值增加表!I17</f>
        <v>695331753.51863873</v>
      </c>
      <c r="J23" s="27">
        <f>股权价值增加表!J17</f>
        <v>549185795.62270486</v>
      </c>
      <c r="K23" s="27">
        <f>股权价值增加表!K17</f>
        <v>372630098.8834703</v>
      </c>
      <c r="L23" s="27">
        <f>股权价值增加表!L17</f>
        <v>139807962.02202278</v>
      </c>
      <c r="M23" s="27">
        <f>股权价值增加表!M17</f>
        <v>629896644.75126266</v>
      </c>
      <c r="N23" s="27">
        <f>股权价值增加表!N17</f>
        <v>505819904.00767547</v>
      </c>
      <c r="O23" s="27">
        <f>股权价值增加表!O17</f>
        <v>311228482.72793257</v>
      </c>
      <c r="P23" s="27">
        <f>股权价值增加表!P17</f>
        <v>113536092.72436437</v>
      </c>
      <c r="Q23" s="27">
        <f>股权价值增加表!Q17</f>
        <v>576776263.01757383</v>
      </c>
      <c r="R23" s="27">
        <f>股权价值增加表!R17</f>
        <v>485536387.95401025</v>
      </c>
      <c r="S23" s="27">
        <f>股权价值增加表!S17</f>
        <v>318082408.44000614</v>
      </c>
      <c r="T23" s="27">
        <f>股权价值增加表!T17</f>
        <v>117586796.93418205</v>
      </c>
      <c r="U23" s="27">
        <f>股权价值增加表!U17</f>
        <v>530740880.4410699</v>
      </c>
      <c r="V23" s="27">
        <f>股权价值增加表!V17</f>
        <v>448515809.83293802</v>
      </c>
      <c r="W23" s="27">
        <f>股权价值增加表!W17</f>
        <v>279007389.20503867</v>
      </c>
      <c r="X23" s="27">
        <f>股权价值增加表!X17</f>
        <v>127767720.39658456</v>
      </c>
      <c r="Y23" s="27">
        <f>股权价值增加表!Y17</f>
        <v>488020161.10600972</v>
      </c>
      <c r="Z23" s="27">
        <f>股权价值增加表!Z17</f>
        <v>426044061.77394724</v>
      </c>
      <c r="AA23" s="27">
        <f>股权价值增加表!AA17</f>
        <v>277081769.76925802</v>
      </c>
      <c r="AB23" s="27">
        <f>股权价值增加表!AB17</f>
        <v>131480551.09851785</v>
      </c>
      <c r="AC23" s="27">
        <f>股权价值增加表!AC17</f>
        <v>518861779.04245472</v>
      </c>
      <c r="AD23" s="27">
        <f>股权价值增加表!AD17</f>
        <v>466640698.43483955</v>
      </c>
      <c r="AE23" s="27">
        <f>股权价值增加表!AE17</f>
        <v>290477677.01357728</v>
      </c>
      <c r="AF23" s="27">
        <f>股权价值增加表!AF17</f>
        <v>130103031.57428098</v>
      </c>
      <c r="AG23" s="27">
        <f>股权价值增加表!AG17</f>
        <v>640747198.18330133</v>
      </c>
      <c r="AH23" s="27">
        <f>股权价值增加表!AH17</f>
        <v>505463486.42084205</v>
      </c>
      <c r="AI23" s="27">
        <f>股权价值增加表!AI17</f>
        <v>290884102.35621285</v>
      </c>
      <c r="AJ23" s="27">
        <f>股权价值增加表!AJ17</f>
        <v>81686434.659248948</v>
      </c>
      <c r="AK23" s="27">
        <f>股权价值增加表!AK17</f>
        <v>674924831.74129331</v>
      </c>
      <c r="AL23" s="27">
        <f>股权价值增加表!AL17</f>
        <v>530715748.1633181</v>
      </c>
      <c r="AM23" s="27">
        <f>股权价值增加表!AM17</f>
        <v>343541008.5302251</v>
      </c>
      <c r="AN23" s="27">
        <f>股权价值增加表!AN17</f>
        <v>143683629.11425072</v>
      </c>
      <c r="AO23" s="27">
        <f>股权价值增加表!AO17</f>
        <v>618829163.93705273</v>
      </c>
      <c r="AP23" s="27">
        <f>股权价值增加表!AP17</f>
        <v>460333056.11555934</v>
      </c>
      <c r="AQ23" s="27">
        <f>股权价值增加表!AQ17</f>
        <v>269824474.58792526</v>
      </c>
      <c r="AR23" s="27">
        <f>股权价值增加表!AR17</f>
        <v>112234599.04249217</v>
      </c>
      <c r="AS23" s="27">
        <f>股权价值增加表!AS17</f>
        <v>360377301.98366559</v>
      </c>
      <c r="AT23" s="27">
        <f>股权价值增加表!AT17</f>
        <v>211256754.90065488</v>
      </c>
      <c r="AU23" s="27">
        <f>股权价值增加表!AU17</f>
        <v>127705246.32174757</v>
      </c>
      <c r="AV23" s="27">
        <f>股权价值增加表!AV17</f>
        <v>67609239.061862782</v>
      </c>
      <c r="AW23" s="27">
        <f>股权价值增加表!AW17</f>
        <v>41047247.709999926</v>
      </c>
      <c r="AX23" s="27">
        <f>股权价值增加表!AX17</f>
        <v>37952030.137226894</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8.0717409355654274E-2</v>
      </c>
      <c r="F24" s="57">
        <f t="shared" ref="F24:BQ24" si="25">F23/F2</f>
        <v>9.2645460856506726E-2</v>
      </c>
      <c r="G24" s="57">
        <f t="shared" si="25"/>
        <v>9.4410792466722945E-2</v>
      </c>
      <c r="H24" s="57">
        <f t="shared" si="25"/>
        <v>8.9354128550923062E-2</v>
      </c>
      <c r="I24" s="57">
        <f t="shared" si="25"/>
        <v>9.5058144756581628E-2</v>
      </c>
      <c r="J24" s="57">
        <f t="shared" si="25"/>
        <v>0.10908903390314284</v>
      </c>
      <c r="K24" s="57">
        <f t="shared" si="25"/>
        <v>0.11257691880856156</v>
      </c>
      <c r="L24" s="57">
        <f t="shared" si="25"/>
        <v>8.5104451217895422E-2</v>
      </c>
      <c r="M24" s="57">
        <f t="shared" si="25"/>
        <v>8.9219361750555004E-2</v>
      </c>
      <c r="N24" s="57">
        <f t="shared" si="25"/>
        <v>0.100845562110794</v>
      </c>
      <c r="O24" s="57">
        <f t="shared" si="25"/>
        <v>9.8283957797751814E-2</v>
      </c>
      <c r="P24" s="57">
        <f t="shared" si="25"/>
        <v>8.0127038835192024E-2</v>
      </c>
      <c r="Q24" s="57">
        <f t="shared" si="25"/>
        <v>9.7042982695543775E-2</v>
      </c>
      <c r="R24" s="57">
        <f t="shared" si="25"/>
        <v>0.11630717565125694</v>
      </c>
      <c r="S24" s="57">
        <f t="shared" si="25"/>
        <v>0.12074706279856011</v>
      </c>
      <c r="T24" s="57">
        <f t="shared" si="25"/>
        <v>0.10111770331703057</v>
      </c>
      <c r="U24" s="57">
        <f t="shared" si="25"/>
        <v>9.9611254759885401E-2</v>
      </c>
      <c r="V24" s="57">
        <f t="shared" si="25"/>
        <v>0.11920434530494989</v>
      </c>
      <c r="W24" s="57">
        <f t="shared" si="25"/>
        <v>0.11217017355678024</v>
      </c>
      <c r="X24" s="57">
        <f t="shared" si="25"/>
        <v>0.10961948287084775</v>
      </c>
      <c r="Y24" s="57">
        <f t="shared" si="25"/>
        <v>9.8752803254980134E-2</v>
      </c>
      <c r="Z24" s="57">
        <f t="shared" si="25"/>
        <v>0.11584657624332517</v>
      </c>
      <c r="AA24" s="57">
        <f t="shared" si="25"/>
        <v>0.11176863779761043</v>
      </c>
      <c r="AB24" s="57">
        <f t="shared" si="25"/>
        <v>0.1046523322109929</v>
      </c>
      <c r="AC24" s="57">
        <f t="shared" si="25"/>
        <v>9.9793947911441638E-2</v>
      </c>
      <c r="AD24" s="57">
        <f t="shared" si="25"/>
        <v>0.11646722480942323</v>
      </c>
      <c r="AE24" s="57">
        <f t="shared" si="25"/>
        <v>0.11188744571291673</v>
      </c>
      <c r="AF24" s="57">
        <f t="shared" si="25"/>
        <v>0.10623850617912861</v>
      </c>
      <c r="AG24" s="57">
        <f t="shared" si="25"/>
        <v>0.1198441167031237</v>
      </c>
      <c r="AH24" s="57">
        <f t="shared" si="25"/>
        <v>0.12640638900944615</v>
      </c>
      <c r="AI24" s="57">
        <f t="shared" si="25"/>
        <v>0.12081975943397155</v>
      </c>
      <c r="AJ24" s="57">
        <f t="shared" si="25"/>
        <v>9.6521945824138033E-2</v>
      </c>
      <c r="AK24" s="57">
        <f t="shared" si="25"/>
        <v>0.14557010231364831</v>
      </c>
      <c r="AL24" s="57">
        <f t="shared" si="25"/>
        <v>0.15774288787399648</v>
      </c>
      <c r="AM24" s="57">
        <f t="shared" si="25"/>
        <v>0.15750654129773053</v>
      </c>
      <c r="AN24" s="57">
        <f t="shared" si="25"/>
        <v>0.1491535490819135</v>
      </c>
      <c r="AO24" s="57">
        <f t="shared" si="25"/>
        <v>0.14313335686549825</v>
      </c>
      <c r="AP24" s="57">
        <f t="shared" si="25"/>
        <v>0.1683429277361134</v>
      </c>
      <c r="AQ24" s="57">
        <f t="shared" si="25"/>
        <v>0.16717217308630355</v>
      </c>
      <c r="AR24" s="57">
        <f t="shared" si="25"/>
        <v>0.15993431042372325</v>
      </c>
      <c r="AS24" s="57">
        <f t="shared" si="25"/>
        <v>0.1854932592021788</v>
      </c>
      <c r="AT24" s="57">
        <f t="shared" si="25"/>
        <v>0.17636330866506286</v>
      </c>
      <c r="AU24" s="57">
        <f t="shared" si="25"/>
        <v>0.1820098446851372</v>
      </c>
      <c r="AV24" s="57">
        <f t="shared" si="25"/>
        <v>0.20603881406198585</v>
      </c>
      <c r="AW24" s="57">
        <f t="shared" si="25"/>
        <v>4.3956520178332965E-2</v>
      </c>
      <c r="AX24" s="57">
        <f t="shared" si="25"/>
        <v>5.0577254273294854E-2</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671</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601</v>
      </c>
      <c r="B26" s="152"/>
      <c r="C26" s="152"/>
      <c r="D26" s="152"/>
      <c r="E26" s="153">
        <f>POWER(E2/Y2,1/6)-1</f>
        <v>6.5901067164586102E-2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681506399.01999927</v>
      </c>
      <c r="F28" s="26">
        <f>股权价值增加表!F15</f>
        <v>571780722.29000056</v>
      </c>
      <c r="G28" s="26">
        <f>股权价值增加表!G15</f>
        <v>378386045.38000005</v>
      </c>
      <c r="H28" s="26">
        <f>股权价值增加表!H15</f>
        <v>164494621.52999991</v>
      </c>
      <c r="I28" s="26">
        <f>股权价值增加表!I15</f>
        <v>809193377.42999971</v>
      </c>
      <c r="J28" s="26">
        <f>股权价值增加表!J15</f>
        <v>650519866.28000021</v>
      </c>
      <c r="K28" s="26">
        <f>股权价值增加表!K15</f>
        <v>449932016.60999984</v>
      </c>
      <c r="L28" s="26">
        <f>股权价值增加表!L15</f>
        <v>174757665.85999995</v>
      </c>
      <c r="M28" s="26">
        <f>股权价值增加表!M15</f>
        <v>741608006.58000028</v>
      </c>
      <c r="N28" s="26">
        <f>股权价值增加表!N15</f>
        <v>605254504.0399996</v>
      </c>
      <c r="O28" s="26">
        <f>股权价值增加表!O15</f>
        <v>372774007.20999992</v>
      </c>
      <c r="P28" s="26">
        <f>股权价值增加表!P15</f>
        <v>142825114.68000016</v>
      </c>
      <c r="Q28" s="26">
        <f>股权价值增加表!Q15</f>
        <v>709007265.39999998</v>
      </c>
      <c r="R28" s="26">
        <f>股权价值增加表!R15</f>
        <v>624191249.35999966</v>
      </c>
      <c r="S28" s="26">
        <f>股权价值增加表!S15</f>
        <v>407029067.16999996</v>
      </c>
      <c r="T28" s="26">
        <f>股权价值增加表!T15</f>
        <v>148283886.38000005</v>
      </c>
      <c r="U28" s="26">
        <f>股权价值增加表!U15</f>
        <v>648244956.97999978</v>
      </c>
      <c r="V28" s="26">
        <f>股权价值增加表!V15</f>
        <v>549928859.55999982</v>
      </c>
      <c r="W28" s="26">
        <f>股权价值增加表!W15</f>
        <v>343096624.87000012</v>
      </c>
      <c r="X28" s="26">
        <f>股权价值增加表!X15</f>
        <v>159799842.09000006</v>
      </c>
      <c r="Y28" s="26">
        <f>股权价值增加表!Y15</f>
        <v>618547285.75</v>
      </c>
      <c r="Z28" s="26">
        <f>股权价值增加表!Z15</f>
        <v>539506966.56999981</v>
      </c>
      <c r="AA28" s="26">
        <f>股权价值增加表!AA15</f>
        <v>356353588.58000004</v>
      </c>
      <c r="AB28" s="26">
        <f>股权价值增加表!AB15</f>
        <v>167342671.48000005</v>
      </c>
      <c r="AC28" s="26">
        <f>股权价值增加表!AC15</f>
        <v>668918939.89000034</v>
      </c>
      <c r="AD28" s="26">
        <f>股权价值增加表!AD15</f>
        <v>591294158.7700001</v>
      </c>
      <c r="AE28" s="26">
        <f>股权价值增加表!AE15</f>
        <v>371588233.15999997</v>
      </c>
      <c r="AF28" s="26">
        <f>股权价值增加表!AF15</f>
        <v>166334378.45999989</v>
      </c>
      <c r="AG28" s="26">
        <f>股权价值增加表!AG15</f>
        <v>786842717.92000067</v>
      </c>
      <c r="AH28" s="26">
        <f>股权价值增加表!AH15</f>
        <v>633662250.7699995</v>
      </c>
      <c r="AI28" s="26">
        <f>股权价值增加表!AI15</f>
        <v>365219392.19999999</v>
      </c>
      <c r="AJ28" s="26">
        <f>股权价值增加表!AJ15</f>
        <v>99510014.500000104</v>
      </c>
      <c r="AK28" s="26">
        <f>股权价值增加表!AK15</f>
        <v>742335551.93000019</v>
      </c>
      <c r="AL28" s="26">
        <f>股权价值增加表!AL15</f>
        <v>620874226.70999968</v>
      </c>
      <c r="AM28" s="26">
        <f>股权价值增加表!AM15</f>
        <v>402087727.8099997</v>
      </c>
      <c r="AN28" s="26">
        <f>股权价值增加表!AN15</f>
        <v>169768955.90999997</v>
      </c>
      <c r="AO28" s="26">
        <f>股权价值增加表!AO15</f>
        <v>709513019.28999949</v>
      </c>
      <c r="AP28" s="26">
        <f>股权价值增加表!AP15</f>
        <v>536460918.75</v>
      </c>
      <c r="AQ28" s="26">
        <f>股权价值增加表!AQ15</f>
        <v>317713896.28999996</v>
      </c>
      <c r="AR28" s="26">
        <f>股权价值增加表!AR15</f>
        <v>134177922.9299999</v>
      </c>
      <c r="AS28" s="26">
        <f>股权价值增加表!AS15</f>
        <v>412436029.82999992</v>
      </c>
      <c r="AT28" s="26">
        <f>股权价值增加表!AT15</f>
        <v>241505203.41999996</v>
      </c>
      <c r="AU28" s="26">
        <f>股权价值增加表!AU15</f>
        <v>144551911.41999996</v>
      </c>
      <c r="AV28" s="26">
        <f>股权价值增加表!AV15</f>
        <v>75125840.779999986</v>
      </c>
      <c r="AW28" s="26">
        <f>股权价值增加表!AW15</f>
        <v>41047247.709999926</v>
      </c>
      <c r="AX28" s="26">
        <f>股权价值增加表!AX15</f>
        <v>42918557.469999991</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0.88592561220752541</v>
      </c>
      <c r="F29" s="59">
        <f t="shared" si="27"/>
        <v>0.91940869821009419</v>
      </c>
      <c r="G29" s="59">
        <f t="shared" si="27"/>
        <v>0.93119506290031673</v>
      </c>
      <c r="H29" s="59">
        <f t="shared" si="27"/>
        <v>0.9499779994158517</v>
      </c>
      <c r="I29" s="59">
        <f t="shared" si="27"/>
        <v>0.94033386300795119</v>
      </c>
      <c r="J29" s="59">
        <f t="shared" si="27"/>
        <v>0.98025058543346399</v>
      </c>
      <c r="K29" s="59">
        <f t="shared" si="27"/>
        <v>0.99821625708747463</v>
      </c>
      <c r="L29" s="59">
        <f t="shared" si="27"/>
        <v>0.99541962886395507</v>
      </c>
      <c r="M29" s="59">
        <f t="shared" si="27"/>
        <v>0.92962249140527164</v>
      </c>
      <c r="N29" s="59">
        <f t="shared" si="27"/>
        <v>0.95725012753090732</v>
      </c>
      <c r="O29" s="59">
        <f t="shared" si="27"/>
        <v>0.9424701040731559</v>
      </c>
      <c r="P29" s="59">
        <f t="shared" si="27"/>
        <v>0.95741990028179957</v>
      </c>
      <c r="Q29" s="59">
        <f t="shared" si="27"/>
        <v>0.93728618972789068</v>
      </c>
      <c r="R29" s="59">
        <f t="shared" si="27"/>
        <v>0.965789110763005</v>
      </c>
      <c r="S29" s="59">
        <f t="shared" si="27"/>
        <v>0.98909439682592537</v>
      </c>
      <c r="T29" s="59">
        <f t="shared" si="27"/>
        <v>0.98541327917204591</v>
      </c>
      <c r="U29" s="59">
        <f t="shared" si="27"/>
        <v>0.93158702991319609</v>
      </c>
      <c r="V29" s="59">
        <f t="shared" si="27"/>
        <v>0.96275877591127601</v>
      </c>
      <c r="W29" s="59">
        <f t="shared" si="27"/>
        <v>0.96604531145187233</v>
      </c>
      <c r="X29" s="59">
        <f t="shared" si="27"/>
        <v>1.0028868706992378</v>
      </c>
      <c r="Y29" s="59">
        <f t="shared" si="27"/>
        <v>0.94800483973977367</v>
      </c>
      <c r="Z29" s="59">
        <f t="shared" si="27"/>
        <v>0.99947379080983301</v>
      </c>
      <c r="AA29" s="59">
        <f t="shared" si="27"/>
        <v>0.99845695818338376</v>
      </c>
      <c r="AB29" s="59">
        <f t="shared" si="27"/>
        <v>0.99991085836023863</v>
      </c>
      <c r="AC29" s="59">
        <f t="shared" si="27"/>
        <v>0.93666793456786046</v>
      </c>
      <c r="AD29" s="59">
        <f t="shared" si="27"/>
        <v>0.99186222132491464</v>
      </c>
      <c r="AE29" s="59">
        <f t="shared" si="27"/>
        <v>0.99506921407890769</v>
      </c>
      <c r="AF29" s="59">
        <f t="shared" si="27"/>
        <v>0.99985178081946147</v>
      </c>
      <c r="AG29" s="59">
        <f t="shared" si="27"/>
        <v>0.94840797863801762</v>
      </c>
      <c r="AH29" s="59">
        <f t="shared" si="27"/>
        <v>0.99993947274220585</v>
      </c>
      <c r="AI29" s="59">
        <f t="shared" si="27"/>
        <v>1</v>
      </c>
      <c r="AJ29" s="59">
        <f t="shared" si="27"/>
        <v>1</v>
      </c>
      <c r="AK29" s="59">
        <f t="shared" ref="AK29:BP29" si="28">AK28/AK34</f>
        <v>0.99969089596908234</v>
      </c>
      <c r="AL29" s="59">
        <f t="shared" si="28"/>
        <v>0.99963044844348137</v>
      </c>
      <c r="AM29" s="59">
        <f t="shared" si="28"/>
        <v>0.99942987792135007</v>
      </c>
      <c r="AN29" s="59">
        <f t="shared" si="28"/>
        <v>0.99912093142794856</v>
      </c>
      <c r="AO29" s="59">
        <f t="shared" si="28"/>
        <v>0.99963561500349063</v>
      </c>
      <c r="AP29" s="59">
        <f t="shared" si="28"/>
        <v>1</v>
      </c>
      <c r="AQ29" s="59">
        <f t="shared" si="28"/>
        <v>1</v>
      </c>
      <c r="AR29" s="59">
        <f t="shared" si="28"/>
        <v>1</v>
      </c>
      <c r="AS29" s="59">
        <f t="shared" si="28"/>
        <v>1</v>
      </c>
      <c r="AT29" s="59">
        <f t="shared" si="28"/>
        <v>1</v>
      </c>
      <c r="AU29" s="59">
        <f t="shared" si="28"/>
        <v>1</v>
      </c>
      <c r="AV29" s="59">
        <f t="shared" si="28"/>
        <v>1</v>
      </c>
      <c r="AW29" s="59">
        <f t="shared" si="28"/>
        <v>1</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31970911.600000001</v>
      </c>
      <c r="F30" s="26">
        <f>股权价值增加表!F20</f>
        <v>24733193.379999999</v>
      </c>
      <c r="G30" s="26">
        <f>股权价值增加表!G20</f>
        <v>12461971.189999999</v>
      </c>
      <c r="H30" s="26">
        <f>股权价值增加表!H20</f>
        <v>-740633.93</v>
      </c>
      <c r="I30" s="26">
        <f>股权价值增加表!I20</f>
        <v>-10595576.42</v>
      </c>
      <c r="J30" s="26">
        <f>股权价值增加表!J20</f>
        <v>-18639907.309999999</v>
      </c>
      <c r="K30" s="26">
        <f>股权价值增加表!K20</f>
        <v>-10154260.279999999</v>
      </c>
      <c r="L30" s="26">
        <f>股权价值增加表!L20</f>
        <v>-6501993.4299999997</v>
      </c>
      <c r="M30" s="26">
        <f>股权价值增加表!M20</f>
        <v>-4092683.54</v>
      </c>
      <c r="N30" s="26">
        <f>股权价值增加表!N20</f>
        <v>143346.99</v>
      </c>
      <c r="O30" s="26">
        <f>股权价值增加表!O20</f>
        <v>-1388980.67</v>
      </c>
      <c r="P30" s="26">
        <f>股权价值增加表!P20</f>
        <v>-1378419.55</v>
      </c>
      <c r="Q30" s="26">
        <f>股权价值增加表!Q20</f>
        <v>1784517.63</v>
      </c>
      <c r="R30" s="26">
        <f>股权价值增加表!R20</f>
        <v>-40051.870000000003</v>
      </c>
      <c r="S30" s="26">
        <f>股权价值增加表!S20</f>
        <v>-4721335.7</v>
      </c>
      <c r="T30" s="26">
        <f>股权价值增加表!T20</f>
        <v>0</v>
      </c>
      <c r="U30" s="26">
        <f>股权价值增加表!U20</f>
        <v>-6120634.4100000001</v>
      </c>
      <c r="V30" s="26">
        <f>股权价值增加表!V20</f>
        <v>0</v>
      </c>
      <c r="W30" s="26">
        <f>股权价值增加表!W20</f>
        <v>-377191.3</v>
      </c>
      <c r="X30" s="26">
        <f>股权价值增加表!X20</f>
        <v>0</v>
      </c>
      <c r="Y30" s="26">
        <f>股权价值增加表!Y20</f>
        <v>-636435.38</v>
      </c>
      <c r="Z30" s="26">
        <f>股权价值增加表!Z20</f>
        <v>0</v>
      </c>
      <c r="AA30" s="26">
        <f>股权价值增加表!AA20</f>
        <v>0</v>
      </c>
      <c r="AB30" s="26">
        <f>股权价值增加表!AB20</f>
        <v>0</v>
      </c>
      <c r="AC30" s="26">
        <f>股权价值增加表!AC20</f>
        <v>1913925.91</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4.1560650747802436E-2</v>
      </c>
      <c r="F31" s="59">
        <f t="shared" ref="F31:BQ31" si="30">F30/F34</f>
        <v>3.9770338945689217E-2</v>
      </c>
      <c r="G31" s="59">
        <f t="shared" si="30"/>
        <v>3.0668483121463846E-2</v>
      </c>
      <c r="H31" s="59">
        <f t="shared" si="30"/>
        <v>-4.2772580196038966E-3</v>
      </c>
      <c r="I31" s="59">
        <f t="shared" si="30"/>
        <v>-1.2312729668473408E-2</v>
      </c>
      <c r="J31" s="59">
        <f t="shared" si="30"/>
        <v>-2.8087966256188656E-2</v>
      </c>
      <c r="K31" s="59">
        <f t="shared" si="30"/>
        <v>-2.2528176071052092E-2</v>
      </c>
      <c r="L31" s="59">
        <f t="shared" si="30"/>
        <v>-3.7035353242537726E-2</v>
      </c>
      <c r="M31" s="59">
        <f t="shared" si="30"/>
        <v>-5.1302718352970256E-3</v>
      </c>
      <c r="N31" s="59">
        <f t="shared" si="30"/>
        <v>2.2671276883154474E-4</v>
      </c>
      <c r="O31" s="59">
        <f t="shared" si="30"/>
        <v>-3.5117061042108651E-3</v>
      </c>
      <c r="P31" s="59">
        <f t="shared" si="30"/>
        <v>-9.2401557741741119E-3</v>
      </c>
      <c r="Q31" s="59">
        <f t="shared" si="30"/>
        <v>2.3590784065961783E-3</v>
      </c>
      <c r="R31" s="59">
        <f t="shared" si="30"/>
        <v>-6.1970846197150061E-5</v>
      </c>
      <c r="S31" s="59">
        <f t="shared" si="30"/>
        <v>-1.14730054019798E-2</v>
      </c>
      <c r="T31" s="59">
        <f t="shared" si="30"/>
        <v>0</v>
      </c>
      <c r="U31" s="59">
        <f t="shared" si="30"/>
        <v>-8.7959089689799586E-3</v>
      </c>
      <c r="V31" s="59">
        <f t="shared" si="30"/>
        <v>0</v>
      </c>
      <c r="W31" s="59">
        <f t="shared" si="30"/>
        <v>-1.0620445101245234E-3</v>
      </c>
      <c r="X31" s="59">
        <f t="shared" si="30"/>
        <v>0</v>
      </c>
      <c r="Y31" s="59">
        <f t="shared" si="30"/>
        <v>-9.7542069025500036E-4</v>
      </c>
      <c r="Z31" s="59">
        <f t="shared" si="30"/>
        <v>0</v>
      </c>
      <c r="AA31" s="59">
        <f t="shared" si="30"/>
        <v>0</v>
      </c>
      <c r="AB31" s="59">
        <f t="shared" si="30"/>
        <v>0</v>
      </c>
      <c r="AC31" s="59">
        <f t="shared" si="30"/>
        <v>2.6800153533257909E-3</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55781857</v>
      </c>
      <c r="F32" s="26">
        <f>股权价值增加表!F27</f>
        <v>25386576.899999999</v>
      </c>
      <c r="G32" s="26">
        <f>股权价值增加表!G27</f>
        <v>15496540.5</v>
      </c>
      <c r="H32" s="26">
        <f>股权价值增加表!H27</f>
        <v>9402255.629999999</v>
      </c>
      <c r="I32" s="26">
        <f>股权价值增加表!I27</f>
        <v>61940577.18</v>
      </c>
      <c r="J32" s="26">
        <f>股权价值增加表!J27</f>
        <v>31746134.140000001</v>
      </c>
      <c r="K32" s="26">
        <f>股权价值增加表!K27</f>
        <v>10958257.449999999</v>
      </c>
      <c r="L32" s="26">
        <f>股权价值增加表!L27</f>
        <v>7306131.6499999994</v>
      </c>
      <c r="M32" s="26">
        <f>股权价值增加表!M27</f>
        <v>60236467</v>
      </c>
      <c r="N32" s="26">
        <f>股权价值增加表!N27</f>
        <v>26886738.580000002</v>
      </c>
      <c r="O32" s="26">
        <f>股权价值增加表!O27</f>
        <v>24143707.579999998</v>
      </c>
      <c r="P32" s="26">
        <f>股权价值增加表!P27</f>
        <v>7730394.9199999999</v>
      </c>
      <c r="Q32" s="26">
        <f>股权价值增加表!Q27</f>
        <v>45655151.930000007</v>
      </c>
      <c r="R32" s="26">
        <f>股权价值增加表!R27</f>
        <v>22150611.470000003</v>
      </c>
      <c r="S32" s="26">
        <f>股权价值增加表!S27</f>
        <v>9209175.7899999991</v>
      </c>
      <c r="T32" s="26">
        <f>股权价值增加表!T27</f>
        <v>2194993.41</v>
      </c>
      <c r="U32" s="26">
        <f>股权价值增加表!U27</f>
        <v>53725808.619999997</v>
      </c>
      <c r="V32" s="26">
        <f>股权价值增加表!V27</f>
        <v>21272227.690000001</v>
      </c>
      <c r="W32" s="26">
        <f>股权价值增加表!W27</f>
        <v>12436396.91</v>
      </c>
      <c r="X32" s="26">
        <f>股权价值增加表!X27</f>
        <v>-459993.54</v>
      </c>
      <c r="Y32" s="26">
        <f>股权价值增加表!Y27</f>
        <v>34561858.439999998</v>
      </c>
      <c r="Z32" s="26">
        <f>股权价值增加表!Z27</f>
        <v>284042.99</v>
      </c>
      <c r="AA32" s="26">
        <f>股权价值增加表!AA27</f>
        <v>550718.27</v>
      </c>
      <c r="AB32" s="26">
        <f>股权价值增加表!AB27</f>
        <v>14918.53</v>
      </c>
      <c r="AC32" s="26">
        <f>股权价值增加表!AC27</f>
        <v>43314501.910000004</v>
      </c>
      <c r="AD32" s="26">
        <f>股权价值增加表!AD27</f>
        <v>4851299.8</v>
      </c>
      <c r="AE32" s="26">
        <f>股权价值增加表!AE27</f>
        <v>1841301.09</v>
      </c>
      <c r="AF32" s="26">
        <f>股权价值增加表!AF27</f>
        <v>24657.599999999999</v>
      </c>
      <c r="AG32" s="26">
        <f>股权价值增加表!AG27</f>
        <v>42803105.020000003</v>
      </c>
      <c r="AH32" s="26">
        <f>股权价值增加表!AH27</f>
        <v>38356.160000000003</v>
      </c>
      <c r="AI32" s="26">
        <f>股权价值增加表!AI27</f>
        <v>0</v>
      </c>
      <c r="AJ32" s="26">
        <f>股权价值增加表!AJ27</f>
        <v>0</v>
      </c>
      <c r="AK32" s="26">
        <f>股权价值增加表!AK27</f>
        <v>229529.86</v>
      </c>
      <c r="AL32" s="26">
        <f>股权价值增加表!AL27</f>
        <v>229529.86</v>
      </c>
      <c r="AM32" s="26">
        <f>股权价值增加表!AM27</f>
        <v>229369.86</v>
      </c>
      <c r="AN32" s="26">
        <f>股权价值增加表!AN27</f>
        <v>149369.85999999999</v>
      </c>
      <c r="AO32" s="26">
        <f>股权价值增加表!AO27</f>
        <v>258630.14</v>
      </c>
      <c r="AP32" s="26">
        <f>股权价值增加表!AP27</f>
        <v>0</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7.251373704467215E-2</v>
      </c>
      <c r="F33" s="59">
        <f t="shared" ref="F33:BQ33" si="32">F32/F34</f>
        <v>4.0820962844216609E-2</v>
      </c>
      <c r="G33" s="59">
        <f t="shared" si="32"/>
        <v>3.8136453978219388E-2</v>
      </c>
      <c r="H33" s="59">
        <f t="shared" si="32"/>
        <v>5.4299258603752308E-2</v>
      </c>
      <c r="I33" s="59">
        <f t="shared" si="32"/>
        <v>7.1978866660522181E-2</v>
      </c>
      <c r="J33" s="59">
        <f t="shared" si="32"/>
        <v>4.7837380822724637E-2</v>
      </c>
      <c r="K33" s="59">
        <f t="shared" si="32"/>
        <v>2.4311918983577437E-2</v>
      </c>
      <c r="L33" s="59">
        <f t="shared" si="32"/>
        <v>4.1615724378582616E-2</v>
      </c>
      <c r="M33" s="59">
        <f t="shared" si="32"/>
        <v>7.5507780430025317E-2</v>
      </c>
      <c r="N33" s="59">
        <f t="shared" si="32"/>
        <v>4.2523159700261E-2</v>
      </c>
      <c r="O33" s="59">
        <f t="shared" si="32"/>
        <v>6.1041602031054999E-2</v>
      </c>
      <c r="P33" s="59">
        <f t="shared" si="32"/>
        <v>5.1820255492374734E-2</v>
      </c>
      <c r="Q33" s="59">
        <f t="shared" si="32"/>
        <v>6.0354731865513073E-2</v>
      </c>
      <c r="R33" s="59">
        <f t="shared" si="32"/>
        <v>3.4272860083192073E-2</v>
      </c>
      <c r="S33" s="59">
        <f t="shared" si="32"/>
        <v>2.2378608576054351E-2</v>
      </c>
      <c r="T33" s="59">
        <f t="shared" si="32"/>
        <v>1.4586720827954133E-2</v>
      </c>
      <c r="U33" s="59">
        <f t="shared" si="32"/>
        <v>7.7208879055783816E-2</v>
      </c>
      <c r="V33" s="59">
        <f t="shared" si="32"/>
        <v>3.7241224088723941E-2</v>
      </c>
      <c r="W33" s="59">
        <f t="shared" si="32"/>
        <v>3.5016733058252099E-2</v>
      </c>
      <c r="X33" s="59">
        <f t="shared" si="32"/>
        <v>-2.8868706992379012E-3</v>
      </c>
      <c r="Y33" s="59">
        <f t="shared" si="32"/>
        <v>5.2970580950481426E-2</v>
      </c>
      <c r="Z33" s="59">
        <f t="shared" si="32"/>
        <v>5.2620919016700945E-4</v>
      </c>
      <c r="AA33" s="59">
        <f t="shared" si="32"/>
        <v>1.543041816616285E-3</v>
      </c>
      <c r="AB33" s="59">
        <f t="shared" si="32"/>
        <v>8.9141639761355186E-5</v>
      </c>
      <c r="AC33" s="59">
        <f t="shared" si="32"/>
        <v>6.0652050078813823E-2</v>
      </c>
      <c r="AD33" s="59">
        <f t="shared" si="32"/>
        <v>8.1377786750854789E-3</v>
      </c>
      <c r="AE33" s="59">
        <f t="shared" si="32"/>
        <v>4.930785921092422E-3</v>
      </c>
      <c r="AF33" s="59">
        <f t="shared" si="32"/>
        <v>1.482191805385724E-4</v>
      </c>
      <c r="AG33" s="59">
        <f t="shared" si="32"/>
        <v>5.1592021361982425E-2</v>
      </c>
      <c r="AH33" s="59">
        <f t="shared" si="32"/>
        <v>6.0527257794210924E-5</v>
      </c>
      <c r="AI33" s="59">
        <f t="shared" si="32"/>
        <v>0</v>
      </c>
      <c r="AJ33" s="59">
        <f t="shared" si="32"/>
        <v>0</v>
      </c>
      <c r="AK33" s="59">
        <f t="shared" si="32"/>
        <v>3.0910403091767216E-4</v>
      </c>
      <c r="AL33" s="59">
        <f t="shared" si="32"/>
        <v>3.6955155651861122E-4</v>
      </c>
      <c r="AM33" s="59">
        <f t="shared" si="32"/>
        <v>5.701220786498625E-4</v>
      </c>
      <c r="AN33" s="59">
        <f t="shared" si="32"/>
        <v>8.7906857205140884E-4</v>
      </c>
      <c r="AO33" s="59">
        <f t="shared" si="32"/>
        <v>3.643849965093698E-4</v>
      </c>
      <c r="AP33" s="59">
        <f t="shared" si="32"/>
        <v>0</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769259167.61999929</v>
      </c>
      <c r="F34" s="58">
        <f>股权价值增加表!F31</f>
        <v>621900492.57000053</v>
      </c>
      <c r="G34" s="58">
        <f>股权价值增加表!G31</f>
        <v>406344557.07000005</v>
      </c>
      <c r="H34" s="58">
        <f>股权价值增加表!H31</f>
        <v>173156243.2299999</v>
      </c>
      <c r="I34" s="58">
        <f>股权价值增加表!I31</f>
        <v>860538378.1899997</v>
      </c>
      <c r="J34" s="58">
        <f>股权价值增加表!J31</f>
        <v>663626093.11000025</v>
      </c>
      <c r="K34" s="58">
        <f>股权价值增加表!K31</f>
        <v>450736013.77999985</v>
      </c>
      <c r="L34" s="58">
        <f>股权价值增加表!L31</f>
        <v>175561804.07999995</v>
      </c>
      <c r="M34" s="58">
        <f>股权价值增加表!M31</f>
        <v>797751790.04000032</v>
      </c>
      <c r="N34" s="58">
        <f>股权价值增加表!N31</f>
        <v>632284589.60999966</v>
      </c>
      <c r="O34" s="58">
        <f>股权价值增加表!O31</f>
        <v>395528734.11999989</v>
      </c>
      <c r="P34" s="58">
        <f>股权价值增加表!P31</f>
        <v>149177090.05000013</v>
      </c>
      <c r="Q34" s="58">
        <f>股权价值增加表!Q31</f>
        <v>756446934.96000004</v>
      </c>
      <c r="R34" s="58">
        <f>股权价值增加表!R31</f>
        <v>646301808.95999968</v>
      </c>
      <c r="S34" s="58">
        <f>股权价值增加表!S31</f>
        <v>411516907.25999999</v>
      </c>
      <c r="T34" s="58">
        <f>股权价值增加表!T31</f>
        <v>150478879.79000005</v>
      </c>
      <c r="U34" s="58">
        <f>股权价值增加表!U31</f>
        <v>695850131.18999982</v>
      </c>
      <c r="V34" s="58">
        <f>股权价值增加表!V31</f>
        <v>571201087.24999988</v>
      </c>
      <c r="W34" s="58">
        <f>股权价值增加表!W31</f>
        <v>355155830.48000014</v>
      </c>
      <c r="X34" s="58">
        <f>股权价值增加表!X31</f>
        <v>159339848.55000007</v>
      </c>
      <c r="Y34" s="58">
        <f>股权价值增加表!Y31</f>
        <v>652472708.80999994</v>
      </c>
      <c r="Z34" s="58">
        <f>股权价值增加表!Z31</f>
        <v>539791009.55999982</v>
      </c>
      <c r="AA34" s="58">
        <f>股权价值增加表!AA31</f>
        <v>356904306.85000002</v>
      </c>
      <c r="AB34" s="58">
        <f>股权价值增加表!AB31</f>
        <v>167357590.01000005</v>
      </c>
      <c r="AC34" s="58">
        <f>股权价值增加表!AC31</f>
        <v>714147367.71000028</v>
      </c>
      <c r="AD34" s="58">
        <f>股权价值增加表!AD31</f>
        <v>596145458.57000005</v>
      </c>
      <c r="AE34" s="58">
        <f>股权价值增加表!AE31</f>
        <v>373429534.24999994</v>
      </c>
      <c r="AF34" s="58">
        <f>股权价值增加表!AF31</f>
        <v>166359036.05999988</v>
      </c>
      <c r="AG34" s="58">
        <f>股权价值增加表!AG31</f>
        <v>829645822.94000065</v>
      </c>
      <c r="AH34" s="58">
        <f>股权价值增加表!AH31</f>
        <v>633700606.92999947</v>
      </c>
      <c r="AI34" s="58">
        <f>股权价值增加表!AI31</f>
        <v>365219392.19999999</v>
      </c>
      <c r="AJ34" s="58">
        <f>股权价值增加表!AJ31</f>
        <v>99510014.500000104</v>
      </c>
      <c r="AK34" s="58">
        <f>股权价值增加表!AK31</f>
        <v>742565081.7900002</v>
      </c>
      <c r="AL34" s="58">
        <f>股权价值增加表!AL31</f>
        <v>621103756.56999969</v>
      </c>
      <c r="AM34" s="58">
        <f>股权价值增加表!AM31</f>
        <v>402317097.66999972</v>
      </c>
      <c r="AN34" s="58">
        <f>股权价值增加表!AN31</f>
        <v>169918325.76999998</v>
      </c>
      <c r="AO34" s="58">
        <f>股权价值增加表!AO31</f>
        <v>709771649.42999947</v>
      </c>
      <c r="AP34" s="58">
        <f>股权价值增加表!AP31</f>
        <v>536460918.75</v>
      </c>
      <c r="AQ34" s="58">
        <f>股权价值增加表!AQ31</f>
        <v>317713896.28999996</v>
      </c>
      <c r="AR34" s="58">
        <f>股权价值增加表!AR31</f>
        <v>134177922.9299999</v>
      </c>
      <c r="AS34" s="58">
        <f>股权价值增加表!AS31</f>
        <v>412436029.82999992</v>
      </c>
      <c r="AT34" s="58">
        <f>股权价值增加表!AT31</f>
        <v>241505203.41999996</v>
      </c>
      <c r="AU34" s="58">
        <f>股权价值增加表!AU31</f>
        <v>144551911.41999996</v>
      </c>
      <c r="AV34" s="58">
        <f>股权价值增加表!AV31</f>
        <v>75125840.779999986</v>
      </c>
      <c r="AW34" s="58">
        <f>股权价值增加表!AW31</f>
        <v>41047247.709999926</v>
      </c>
      <c r="AX34" s="58">
        <f>股权价值增加表!AX31</f>
        <v>42918557.469999991</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678</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769259167.61999929</v>
      </c>
      <c r="F39" s="26">
        <f>股权价值增加表!F31</f>
        <v>621900492.57000053</v>
      </c>
      <c r="G39" s="26">
        <f>股权价值增加表!G31</f>
        <v>406344557.07000005</v>
      </c>
      <c r="H39" s="26">
        <f>股权价值增加表!H31</f>
        <v>173156243.2299999</v>
      </c>
      <c r="I39" s="26">
        <f>股权价值增加表!I31</f>
        <v>860538378.1899997</v>
      </c>
      <c r="J39" s="26">
        <f>股权价值增加表!J31</f>
        <v>663626093.11000025</v>
      </c>
      <c r="K39" s="26">
        <f>股权价值增加表!K31</f>
        <v>450736013.77999985</v>
      </c>
      <c r="L39" s="26">
        <f>股权价值增加表!L31</f>
        <v>175561804.07999995</v>
      </c>
      <c r="M39" s="26">
        <f>股权价值增加表!M31</f>
        <v>797751790.04000032</v>
      </c>
      <c r="N39" s="26">
        <f>股权价值增加表!N31</f>
        <v>632284589.60999966</v>
      </c>
      <c r="O39" s="26">
        <f>股权价值增加表!O31</f>
        <v>395528734.11999989</v>
      </c>
      <c r="P39" s="26">
        <f>股权价值增加表!P31</f>
        <v>149177090.05000013</v>
      </c>
      <c r="Q39" s="26">
        <f>股权价值增加表!Q31</f>
        <v>756446934.96000004</v>
      </c>
      <c r="R39" s="26">
        <f>股权价值增加表!R31</f>
        <v>646301808.95999968</v>
      </c>
      <c r="S39" s="26">
        <f>股权价值增加表!S31</f>
        <v>411516907.25999999</v>
      </c>
      <c r="T39" s="26">
        <f>股权价值增加表!T31</f>
        <v>150478879.79000005</v>
      </c>
      <c r="U39" s="26">
        <f>股权价值增加表!U31</f>
        <v>695850131.18999982</v>
      </c>
      <c r="V39" s="26">
        <f>股权价值增加表!V31</f>
        <v>571201087.24999988</v>
      </c>
      <c r="W39" s="26">
        <f>股权价值增加表!W31</f>
        <v>355155830.48000014</v>
      </c>
      <c r="X39" s="26">
        <f>股权价值增加表!X31</f>
        <v>159339848.55000007</v>
      </c>
      <c r="Y39" s="26">
        <f>股权价值增加表!Y31</f>
        <v>652472708.80999994</v>
      </c>
      <c r="Z39" s="26">
        <f>股权价值增加表!Z31</f>
        <v>539791009.55999982</v>
      </c>
      <c r="AA39" s="26">
        <f>股权价值增加表!AA31</f>
        <v>356904306.85000002</v>
      </c>
      <c r="AB39" s="26">
        <f>股权价值增加表!AB31</f>
        <v>167357590.01000005</v>
      </c>
      <c r="AC39" s="26">
        <f>股权价值增加表!AC31</f>
        <v>714147367.71000028</v>
      </c>
      <c r="AD39" s="26">
        <f>股权价值增加表!AD31</f>
        <v>596145458.57000005</v>
      </c>
      <c r="AE39" s="26">
        <f>股权价值增加表!AE31</f>
        <v>373429534.24999994</v>
      </c>
      <c r="AF39" s="26">
        <f>股权价值增加表!AF31</f>
        <v>166359036.05999988</v>
      </c>
      <c r="AG39" s="26">
        <f>股权价值增加表!AG31</f>
        <v>829645822.94000065</v>
      </c>
      <c r="AH39" s="26">
        <f>股权价值增加表!AH31</f>
        <v>633700606.92999947</v>
      </c>
      <c r="AI39" s="26">
        <f>股权价值增加表!AI31</f>
        <v>365219392.19999999</v>
      </c>
      <c r="AJ39" s="26">
        <f>股权价值增加表!AJ31</f>
        <v>99510014.500000104</v>
      </c>
      <c r="AK39" s="26">
        <f>股权价值增加表!AK31</f>
        <v>742565081.7900002</v>
      </c>
      <c r="AL39" s="26">
        <f>股权价值增加表!AL31</f>
        <v>621103756.56999969</v>
      </c>
      <c r="AM39" s="26">
        <f>股权价值增加表!AM31</f>
        <v>402317097.66999972</v>
      </c>
      <c r="AN39" s="26">
        <f>股权价值增加表!AN31</f>
        <v>169918325.76999998</v>
      </c>
      <c r="AO39" s="26">
        <f>股权价值增加表!AO31</f>
        <v>709771649.42999947</v>
      </c>
      <c r="AP39" s="26">
        <f>股权价值增加表!AP31</f>
        <v>536460918.75</v>
      </c>
      <c r="AQ39" s="26">
        <f>股权价值增加表!AQ31</f>
        <v>317713896.28999996</v>
      </c>
      <c r="AR39" s="26">
        <f>股权价值增加表!AR31</f>
        <v>134177922.9299999</v>
      </c>
      <c r="AS39" s="26">
        <f>股权价值增加表!AS31</f>
        <v>412436029.82999992</v>
      </c>
      <c r="AT39" s="26">
        <f>股权价值增加表!AT31</f>
        <v>241505203.41999996</v>
      </c>
      <c r="AU39" s="26">
        <f>股权价值增加表!AU31</f>
        <v>144551911.41999996</v>
      </c>
      <c r="AV39" s="26">
        <f>股权价值增加表!AV31</f>
        <v>75125840.779999986</v>
      </c>
      <c r="AW39" s="26">
        <f>股权价值增加表!AW31</f>
        <v>41047247.709999926</v>
      </c>
      <c r="AX39" s="26">
        <f>股权价值增加表!AX31</f>
        <v>42918557.469999991</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760855572.68999934</v>
      </c>
      <c r="F40" s="26">
        <f>股权价值增加表!F38</f>
        <v>620193825.29000056</v>
      </c>
      <c r="G40" s="26">
        <f>股权价值增加表!G38</f>
        <v>405902669.87000006</v>
      </c>
      <c r="H40" s="26">
        <f>股权价值增加表!H38</f>
        <v>174275237.12999991</v>
      </c>
      <c r="I40" s="26">
        <f>股权价值增加表!I38</f>
        <v>857757111.07999969</v>
      </c>
      <c r="J40" s="26">
        <f>股权价值增加表!J38</f>
        <v>672957105.6900003</v>
      </c>
      <c r="K40" s="26">
        <f>股权价值增加表!K38</f>
        <v>454712915.20999986</v>
      </c>
      <c r="L40" s="26">
        <f>股权价值增加表!L38</f>
        <v>176312904.41999996</v>
      </c>
      <c r="M40" s="26">
        <f>股权价值增加表!M38</f>
        <v>794260410.78000033</v>
      </c>
      <c r="N40" s="26">
        <f>股权价值增加表!N38</f>
        <v>642004172.45999968</v>
      </c>
      <c r="O40" s="26">
        <f>股权价值增加表!O38</f>
        <v>401611830.83999991</v>
      </c>
      <c r="P40" s="26">
        <f>股权价值增加表!P38</f>
        <v>155565789.15000013</v>
      </c>
      <c r="Q40" s="26">
        <f>股权价值增加表!Q38</f>
        <v>756116848.94000006</v>
      </c>
      <c r="R40" s="26">
        <f>股权价值增加表!R38</f>
        <v>656296781.6899997</v>
      </c>
      <c r="S40" s="26">
        <f>股权价值增加表!S38</f>
        <v>420293818.98000002</v>
      </c>
      <c r="T40" s="26">
        <f>股权价值增加表!T38</f>
        <v>153906579.40000007</v>
      </c>
      <c r="U40" s="26">
        <f>股权价值增加表!U38</f>
        <v>694310839.08999979</v>
      </c>
      <c r="V40" s="26">
        <f>股权价值增加表!V38</f>
        <v>586722346.62999988</v>
      </c>
      <c r="W40" s="26">
        <f>股权价值增加表!W38</f>
        <v>368441649.52000016</v>
      </c>
      <c r="X40" s="26">
        <f>股权价值增加表!X38</f>
        <v>165792448.58000007</v>
      </c>
      <c r="Y40" s="26">
        <f>股权价值增加表!Y38</f>
        <v>652932535.67999995</v>
      </c>
      <c r="Z40" s="26">
        <f>股权价值增加表!Z38</f>
        <v>565243026.81999981</v>
      </c>
      <c r="AA40" s="26">
        <f>股权价值增加表!AA38</f>
        <v>374695871.43000001</v>
      </c>
      <c r="AB40" s="26">
        <f>股权价值增加表!AB38</f>
        <v>175729619.94000006</v>
      </c>
      <c r="AC40" s="26">
        <f>股权价值增加表!AC38</f>
        <v>713777624.02000022</v>
      </c>
      <c r="AD40" s="26">
        <f>股权价值增加表!AD38</f>
        <v>624642723.13</v>
      </c>
      <c r="AE40" s="26">
        <f>股权价值增加表!AE38</f>
        <v>392519415.77999997</v>
      </c>
      <c r="AF40" s="26">
        <f>股权价值增加表!AF38</f>
        <v>168998692.04999989</v>
      </c>
      <c r="AG40" s="26">
        <f>股权价值增加表!AG38</f>
        <v>828984925.83000064</v>
      </c>
      <c r="AH40" s="26">
        <f>股权价值增加表!AH38</f>
        <v>661199232.05999947</v>
      </c>
      <c r="AI40" s="26">
        <f>股权价值增加表!AI38</f>
        <v>384231566.27999997</v>
      </c>
      <c r="AJ40" s="26">
        <f>股权价值增加表!AJ38</f>
        <v>103308082.1600001</v>
      </c>
      <c r="AK40" s="26">
        <f>股权价值增加表!AK38</f>
        <v>785419163.0400002</v>
      </c>
      <c r="AL40" s="26">
        <f>股权价值增加表!AL38</f>
        <v>652638364.73999965</v>
      </c>
      <c r="AM40" s="26">
        <f>股权价值增加表!AM38</f>
        <v>430397131.56999969</v>
      </c>
      <c r="AN40" s="26">
        <f>股权价值增加表!AN38</f>
        <v>172310992.23999998</v>
      </c>
      <c r="AO40" s="26">
        <f>股权价值增加表!AO38</f>
        <v>733579870.3999995</v>
      </c>
      <c r="AP40" s="26">
        <f>股权价值增加表!AP38</f>
        <v>542378019.69000006</v>
      </c>
      <c r="AQ40" s="26">
        <f>股权价值增加表!AQ38</f>
        <v>319724301.96999997</v>
      </c>
      <c r="AR40" s="26">
        <f>股权价值增加表!AR38</f>
        <v>134698033.11999992</v>
      </c>
      <c r="AS40" s="26">
        <f>股权价值增加表!AS38</f>
        <v>415076187.31999993</v>
      </c>
      <c r="AT40" s="26">
        <f>股权价值增加表!AT38</f>
        <v>243384905.92999995</v>
      </c>
      <c r="AU40" s="26">
        <f>股权价值增加表!AU38</f>
        <v>145509600.39999995</v>
      </c>
      <c r="AV40" s="26">
        <f>股权价值增加表!AV38</f>
        <v>75517787.889999986</v>
      </c>
      <c r="AW40" s="26">
        <f>股权价值增加表!AW38</f>
        <v>43339516.789999925</v>
      </c>
      <c r="AX40" s="26">
        <f>股权价值增加表!AX38</f>
        <v>43121133.909999989</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1.0924270107822931E-2</v>
      </c>
      <c r="F41" s="59">
        <f t="shared" ref="F41:BQ41" si="34">1-F40/F39</f>
        <v>2.7442770996163324E-3</v>
      </c>
      <c r="G41" s="59">
        <f t="shared" si="34"/>
        <v>1.0874692236221284E-3</v>
      </c>
      <c r="H41" s="59">
        <f t="shared" si="34"/>
        <v>-6.4623364374662984E-3</v>
      </c>
      <c r="I41" s="59">
        <f t="shared" si="34"/>
        <v>3.2320082177508258E-3</v>
      </c>
      <c r="J41" s="59">
        <f t="shared" si="34"/>
        <v>-1.406064751955638E-2</v>
      </c>
      <c r="K41" s="59">
        <f t="shared" si="34"/>
        <v>-8.82312774754479E-3</v>
      </c>
      <c r="L41" s="59">
        <f t="shared" si="34"/>
        <v>-4.2782673824526274E-3</v>
      </c>
      <c r="M41" s="59">
        <f t="shared" si="34"/>
        <v>4.3765232539620946E-3</v>
      </c>
      <c r="N41" s="59">
        <f t="shared" si="34"/>
        <v>-1.5372164701966229E-2</v>
      </c>
      <c r="O41" s="59">
        <f t="shared" si="34"/>
        <v>-1.5379658151851272E-2</v>
      </c>
      <c r="P41" s="59">
        <f t="shared" si="34"/>
        <v>-4.2826275119448143E-2</v>
      </c>
      <c r="Q41" s="59">
        <f t="shared" si="34"/>
        <v>4.3636374839362002E-4</v>
      </c>
      <c r="R41" s="59">
        <f t="shared" si="34"/>
        <v>-1.5464868876173377E-2</v>
      </c>
      <c r="S41" s="59">
        <f t="shared" si="34"/>
        <v>-2.1328192269035151E-2</v>
      </c>
      <c r="T41" s="59">
        <f t="shared" si="34"/>
        <v>-2.2778609295759811E-2</v>
      </c>
      <c r="U41" s="59">
        <f t="shared" si="34"/>
        <v>2.2121029098142175E-3</v>
      </c>
      <c r="V41" s="59">
        <f t="shared" si="34"/>
        <v>-2.7173021421800447E-2</v>
      </c>
      <c r="W41" s="59">
        <f t="shared" si="34"/>
        <v>-3.7408421599172348E-2</v>
      </c>
      <c r="X41" s="59">
        <f t="shared" si="34"/>
        <v>-4.0495833833902539E-2</v>
      </c>
      <c r="Y41" s="59">
        <f t="shared" si="34"/>
        <v>-7.0474498594541579E-4</v>
      </c>
      <c r="Z41" s="59">
        <f t="shared" si="34"/>
        <v>-4.7151613882466581E-2</v>
      </c>
      <c r="AA41" s="59">
        <f t="shared" si="34"/>
        <v>-4.9849677458438268E-2</v>
      </c>
      <c r="AB41" s="59">
        <f t="shared" si="34"/>
        <v>-5.0024799768565886E-2</v>
      </c>
      <c r="AC41" s="59">
        <f t="shared" si="34"/>
        <v>5.1774144485849938E-4</v>
      </c>
      <c r="AD41" s="59">
        <f t="shared" si="34"/>
        <v>-4.7802535690463221E-2</v>
      </c>
      <c r="AE41" s="59">
        <f t="shared" si="34"/>
        <v>-5.1120438473995833E-2</v>
      </c>
      <c r="AF41" s="59">
        <f t="shared" si="34"/>
        <v>-1.5867223401366592E-2</v>
      </c>
      <c r="AG41" s="59">
        <f t="shared" si="34"/>
        <v>7.9660150358862314E-4</v>
      </c>
      <c r="AH41" s="59">
        <f t="shared" si="34"/>
        <v>-4.3393717520989528E-2</v>
      </c>
      <c r="AI41" s="59">
        <f t="shared" si="34"/>
        <v>-5.2056858113351812E-2</v>
      </c>
      <c r="AJ41" s="59">
        <f t="shared" si="34"/>
        <v>-3.8167692760209482E-2</v>
      </c>
      <c r="AK41" s="59">
        <f t="shared" si="34"/>
        <v>-5.7710875855753407E-2</v>
      </c>
      <c r="AL41" s="59">
        <f t="shared" si="34"/>
        <v>-5.077188446604719E-2</v>
      </c>
      <c r="AM41" s="59">
        <f t="shared" si="34"/>
        <v>-6.9795775677007343E-2</v>
      </c>
      <c r="AN41" s="59">
        <f t="shared" si="34"/>
        <v>-1.4081273807033057E-2</v>
      </c>
      <c r="AO41" s="59">
        <f t="shared" si="34"/>
        <v>-3.3543493867527419E-2</v>
      </c>
      <c r="AP41" s="59">
        <f t="shared" si="34"/>
        <v>-1.1029882575206873E-2</v>
      </c>
      <c r="AQ41" s="59">
        <f t="shared" si="34"/>
        <v>-6.327723475352709E-3</v>
      </c>
      <c r="AR41" s="59">
        <f t="shared" si="34"/>
        <v>-3.8762724794252357E-3</v>
      </c>
      <c r="AS41" s="59">
        <f t="shared" si="34"/>
        <v>-6.401374513977931E-3</v>
      </c>
      <c r="AT41" s="59">
        <f t="shared" si="34"/>
        <v>-7.7832795458696591E-3</v>
      </c>
      <c r="AU41" s="59">
        <f t="shared" si="34"/>
        <v>-6.6252252951355395E-3</v>
      </c>
      <c r="AV41" s="59">
        <f t="shared" si="34"/>
        <v>-5.2172076336260975E-3</v>
      </c>
      <c r="AW41" s="59">
        <f t="shared" si="34"/>
        <v>-5.5844647519242896E-2</v>
      </c>
      <c r="AX41" s="59">
        <f t="shared" si="34"/>
        <v>-4.7200197756320783E-3</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91.539296459164774</v>
      </c>
      <c r="F42" s="29">
        <f t="shared" ref="F42:BQ42" si="36">F39/(F39-F40)</f>
        <v>364.39468891089945</v>
      </c>
      <c r="G42" s="29">
        <f t="shared" si="36"/>
        <v>919.56625371816835</v>
      </c>
      <c r="H42" s="29">
        <f t="shared" si="36"/>
        <v>-154.74279460325832</v>
      </c>
      <c r="I42" s="29">
        <f t="shared" si="36"/>
        <v>309.40515389404482</v>
      </c>
      <c r="J42" s="29">
        <f t="shared" si="36"/>
        <v>-71.120479950097462</v>
      </c>
      <c r="K42" s="29">
        <f t="shared" si="36"/>
        <v>-113.33849272195792</v>
      </c>
      <c r="L42" s="29">
        <f t="shared" si="36"/>
        <v>-233.73948157179521</v>
      </c>
      <c r="M42" s="29">
        <f t="shared" si="36"/>
        <v>228.49187402230331</v>
      </c>
      <c r="N42" s="29">
        <f t="shared" si="36"/>
        <v>-65.05264674090391</v>
      </c>
      <c r="O42" s="29">
        <f t="shared" si="36"/>
        <v>-65.020951059281856</v>
      </c>
      <c r="P42" s="29">
        <f t="shared" si="36"/>
        <v>-23.350151214665953</v>
      </c>
      <c r="Q42" s="29">
        <f t="shared" si="36"/>
        <v>2291.6660783151124</v>
      </c>
      <c r="R42" s="29">
        <f t="shared" si="36"/>
        <v>-64.662688575439304</v>
      </c>
      <c r="S42" s="29">
        <f t="shared" si="36"/>
        <v>-46.886299006776227</v>
      </c>
      <c r="T42" s="29">
        <f t="shared" si="36"/>
        <v>-43.900836395053716</v>
      </c>
      <c r="U42" s="29">
        <f t="shared" si="36"/>
        <v>452.058534692661</v>
      </c>
      <c r="V42" s="29">
        <f t="shared" si="36"/>
        <v>-36.801207509361269</v>
      </c>
      <c r="W42" s="29">
        <f t="shared" si="36"/>
        <v>-26.731948509212842</v>
      </c>
      <c r="X42" s="29">
        <f t="shared" si="36"/>
        <v>-24.693898243992049</v>
      </c>
      <c r="Y42" s="29">
        <f t="shared" si="36"/>
        <v>-1418.9529829128801</v>
      </c>
      <c r="Z42" s="29">
        <f t="shared" si="36"/>
        <v>-21.208181813090601</v>
      </c>
      <c r="AA42" s="29">
        <f t="shared" si="36"/>
        <v>-20.060310336686552</v>
      </c>
      <c r="AB42" s="29">
        <f t="shared" si="36"/>
        <v>-19.990085010362584</v>
      </c>
      <c r="AC42" s="29">
        <f t="shared" si="36"/>
        <v>1931.466004761</v>
      </c>
      <c r="AD42" s="29">
        <f t="shared" si="36"/>
        <v>-20.919392361847141</v>
      </c>
      <c r="AE42" s="29">
        <f t="shared" si="36"/>
        <v>-19.561647549417732</v>
      </c>
      <c r="AF42" s="29">
        <f t="shared" si="36"/>
        <v>-63.022998712797907</v>
      </c>
      <c r="AG42" s="29">
        <f t="shared" si="36"/>
        <v>1255.3328050412911</v>
      </c>
      <c r="AH42" s="29">
        <f t="shared" si="36"/>
        <v>-23.044810565407332</v>
      </c>
      <c r="AI42" s="29">
        <f t="shared" si="36"/>
        <v>-19.209764788772663</v>
      </c>
      <c r="AJ42" s="29">
        <f t="shared" si="36"/>
        <v>-26.200168982771675</v>
      </c>
      <c r="AK42" s="29">
        <f t="shared" si="36"/>
        <v>-17.327756426699736</v>
      </c>
      <c r="AL42" s="29">
        <f t="shared" si="36"/>
        <v>-19.695940194395018</v>
      </c>
      <c r="AM42" s="29">
        <f t="shared" si="36"/>
        <v>-14.327514671198458</v>
      </c>
      <c r="AN42" s="29">
        <f t="shared" si="36"/>
        <v>-71.016302481139405</v>
      </c>
      <c r="AO42" s="29">
        <f t="shared" si="36"/>
        <v>-29.812040568858961</v>
      </c>
      <c r="AP42" s="29">
        <f t="shared" si="36"/>
        <v>-90.662796560302525</v>
      </c>
      <c r="AQ42" s="29">
        <f t="shared" si="36"/>
        <v>-158.03471878869684</v>
      </c>
      <c r="AR42" s="29">
        <f t="shared" si="36"/>
        <v>-257.97980026116517</v>
      </c>
      <c r="AS42" s="29">
        <f t="shared" si="36"/>
        <v>-156.21644973535211</v>
      </c>
      <c r="AT42" s="29">
        <f t="shared" si="36"/>
        <v>-128.48054526458083</v>
      </c>
      <c r="AU42" s="29">
        <f t="shared" si="36"/>
        <v>-150.93826329713178</v>
      </c>
      <c r="AV42" s="29">
        <f t="shared" si="36"/>
        <v>-191.67341425224464</v>
      </c>
      <c r="AW42" s="29">
        <f t="shared" si="36"/>
        <v>-17.906819085131122</v>
      </c>
      <c r="AX42" s="29">
        <f t="shared" si="36"/>
        <v>-211.863519123944</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700</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653114334.8599993</v>
      </c>
      <c r="F47" s="26">
        <f>股权价值增加表!F42</f>
        <v>509069697.21000057</v>
      </c>
      <c r="G47" s="26">
        <f>股权价值增加表!G42</f>
        <v>331053849.47000003</v>
      </c>
      <c r="H47" s="26">
        <f>股权价值增加表!H42</f>
        <v>140622929.32999992</v>
      </c>
      <c r="I47" s="26">
        <f>股权价值增加表!I42</f>
        <v>737062082.77999973</v>
      </c>
      <c r="J47" s="26">
        <f>股权价值增加表!J42</f>
        <v>568127896.88000035</v>
      </c>
      <c r="K47" s="26">
        <f>股权价值增加表!K42</f>
        <v>376589600.87999988</v>
      </c>
      <c r="L47" s="26">
        <f>股权价值增加表!L42</f>
        <v>141052169.14999995</v>
      </c>
      <c r="M47" s="26">
        <f>股权价值增加表!M42</f>
        <v>674617808.02000034</v>
      </c>
      <c r="N47" s="26">
        <f>股权价值增加表!N42</f>
        <v>536532131.0599997</v>
      </c>
      <c r="O47" s="26">
        <f>股权价值增加表!O42</f>
        <v>335305140.21999991</v>
      </c>
      <c r="P47" s="26">
        <f>股权价值增加表!P42</f>
        <v>123664048.17000012</v>
      </c>
      <c r="Q47" s="26">
        <f>股权价值增加表!Q42</f>
        <v>615099832.99000001</v>
      </c>
      <c r="R47" s="26">
        <f>股权价值增加表!R42</f>
        <v>510510150.7499997</v>
      </c>
      <c r="S47" s="26">
        <f>股权价值增加表!S42</f>
        <v>328448459.77000004</v>
      </c>
      <c r="T47" s="26">
        <f>股权价值增加表!T42</f>
        <v>122045504.34000006</v>
      </c>
      <c r="U47" s="26">
        <f>股权价值增加表!U42</f>
        <v>568456633.66999984</v>
      </c>
      <c r="V47" s="26">
        <f>股权价值增加表!V42</f>
        <v>478524165.20999986</v>
      </c>
      <c r="W47" s="26">
        <f>股权价值增加表!W42</f>
        <v>299618052.9200002</v>
      </c>
      <c r="X47" s="26">
        <f>股权价值增加表!X42</f>
        <v>132559099.79000008</v>
      </c>
      <c r="Y47" s="26">
        <f>股权价值增加表!Y42</f>
        <v>515149364.63999999</v>
      </c>
      <c r="Z47" s="26">
        <f>股权价值增加表!Z42</f>
        <v>446367609.60999984</v>
      </c>
      <c r="AA47" s="26">
        <f>股权价值增加表!AA42</f>
        <v>291343762.23000002</v>
      </c>
      <c r="AB47" s="26">
        <f>股权价值增加表!AB42</f>
        <v>138070147.14000005</v>
      </c>
      <c r="AC47" s="26">
        <f>股权价值增加表!AC42</f>
        <v>553657410.12000024</v>
      </c>
      <c r="AD47" s="26">
        <f>股权价值增加表!AD42</f>
        <v>492958897.48000002</v>
      </c>
      <c r="AE47" s="26">
        <f>股权价值增加表!AE42</f>
        <v>306839985.50999999</v>
      </c>
      <c r="AF47" s="26">
        <f>股权价值增加表!AF42</f>
        <v>132186998.08999988</v>
      </c>
      <c r="AG47" s="26">
        <f>股权价值增加表!AG42</f>
        <v>675064732.08000064</v>
      </c>
      <c r="AH47" s="26">
        <f>股权价值增加表!AH42</f>
        <v>527429350.01999944</v>
      </c>
      <c r="AI47" s="26">
        <f>股权价值增加表!AI42</f>
        <v>306026614.79999995</v>
      </c>
      <c r="AJ47" s="26">
        <f>股权价值增加表!AJ42</f>
        <v>84804217.400000095</v>
      </c>
      <c r="AK47" s="26">
        <f>股权价值增加表!AK42</f>
        <v>714096064.89000022</v>
      </c>
      <c r="AL47" s="26">
        <f>股权价值增加表!AL42</f>
        <v>557867347.5599997</v>
      </c>
      <c r="AM47" s="26">
        <f>股权价值增加表!AM42</f>
        <v>367728369.75999969</v>
      </c>
      <c r="AN47" s="26">
        <f>股权价值增加表!AN42</f>
        <v>145835076.66999999</v>
      </c>
      <c r="AO47" s="26">
        <f>股权价值增加表!AO42</f>
        <v>639819997.00999951</v>
      </c>
      <c r="AP47" s="26">
        <f>股权价值增加表!AP42</f>
        <v>465410475.67000008</v>
      </c>
      <c r="AQ47" s="26">
        <f>股权价值增加表!AQ42</f>
        <v>271531849.25</v>
      </c>
      <c r="AR47" s="26">
        <f>股权价值增加表!AR42</f>
        <v>112669650.92999992</v>
      </c>
      <c r="AS47" s="26">
        <f>股权价值增加表!AS42</f>
        <v>362684212.05999994</v>
      </c>
      <c r="AT47" s="26">
        <f>股权价值增加表!AT42</f>
        <v>212901025.27999994</v>
      </c>
      <c r="AU47" s="26">
        <f>股权价值增加表!AU42</f>
        <v>128551322.34999995</v>
      </c>
      <c r="AV47" s="26">
        <f>股权价值增加表!AV42</f>
        <v>67961970.499999985</v>
      </c>
      <c r="AW47" s="26">
        <f>股权价值增加表!AW42</f>
        <v>43339516.789999925</v>
      </c>
      <c r="AX47" s="26">
        <f>股权价值增加表!AX42</f>
        <v>38131164.469999991</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9.0115501203895804E-2</v>
      </c>
      <c r="F48" s="63">
        <f>股权价值增加表!F43</f>
        <v>0.10048982157745748</v>
      </c>
      <c r="G48" s="63">
        <f>股权价值增加表!G43</f>
        <v>0.10127644292035209</v>
      </c>
      <c r="H48" s="63">
        <f>股权价值增加表!H43</f>
        <v>9.4666997600992162E-2</v>
      </c>
      <c r="I48" s="63">
        <f>股权价值增加表!I43</f>
        <v>0.10076305850400182</v>
      </c>
      <c r="J48" s="63">
        <f>股权价值增加表!J43</f>
        <v>0.11285165038507655</v>
      </c>
      <c r="K48" s="63">
        <f>股权价值增加表!K43</f>
        <v>0.1137731413792054</v>
      </c>
      <c r="L48" s="63">
        <f>股权价值增加表!L43</f>
        <v>8.5861829862834194E-2</v>
      </c>
      <c r="M48" s="63">
        <f>股权价值增加表!M43</f>
        <v>9.5553724184180483E-2</v>
      </c>
      <c r="N48" s="63">
        <f>股权价值增加表!N43</f>
        <v>0.10696867386702685</v>
      </c>
      <c r="O48" s="63">
        <f>股权价值增加表!O43</f>
        <v>0.10588721174199274</v>
      </c>
      <c r="P48" s="63">
        <f>股权价值增加表!P43</f>
        <v>8.7274748958383552E-2</v>
      </c>
      <c r="Q48" s="63">
        <f>股权价值增加表!Q43</f>
        <v>0.10349094835593417</v>
      </c>
      <c r="R48" s="63">
        <f>股权价值增加表!R43</f>
        <v>0.12228948282379597</v>
      </c>
      <c r="S48" s="63">
        <f>股权价值增加表!S43</f>
        <v>0.12468211301732111</v>
      </c>
      <c r="T48" s="63">
        <f>股权价值增加表!T43</f>
        <v>0.10495192845449489</v>
      </c>
      <c r="U48" s="63">
        <f>股权价值增加表!U43</f>
        <v>0.10668987568734391</v>
      </c>
      <c r="V48" s="63">
        <f>股权价值增加表!V43</f>
        <v>0.12717981969844636</v>
      </c>
      <c r="W48" s="63">
        <f>股权价值增加表!W43</f>
        <v>0.12045634021571658</v>
      </c>
      <c r="X48" s="63">
        <f>股权价值增加表!X43</f>
        <v>0.11373029059062206</v>
      </c>
      <c r="Y48" s="63">
        <f>股权价值增加表!Y43</f>
        <v>0.1042425045267161</v>
      </c>
      <c r="Z48" s="63">
        <f>股权价值增加表!Z43</f>
        <v>0.121372796757046</v>
      </c>
      <c r="AA48" s="63">
        <f>股权价值增加表!AA43</f>
        <v>0.11752160909898611</v>
      </c>
      <c r="AB48" s="63">
        <f>股权价值增加表!AB43</f>
        <v>0.10989734060430814</v>
      </c>
      <c r="AC48" s="63">
        <f>股权价值增加表!AC43</f>
        <v>0.10648627626468155</v>
      </c>
      <c r="AD48" s="63">
        <f>股权价值增加表!AD43</f>
        <v>0.12303589234110847</v>
      </c>
      <c r="AE48" s="63">
        <f>股权价值增加表!AE43</f>
        <v>0.11818995034065072</v>
      </c>
      <c r="AF48" s="63">
        <f>股权价值增加表!AF43</f>
        <v>0.10794021510072968</v>
      </c>
      <c r="AG48" s="63">
        <f>股权价值增加表!AG43</f>
        <v>0.12626280187090946</v>
      </c>
      <c r="AH48" s="63">
        <f>股权价值增加表!AH43</f>
        <v>0.1318996156690109</v>
      </c>
      <c r="AI48" s="63">
        <f>股权价值增加表!AI43</f>
        <v>0.12710925650811511</v>
      </c>
      <c r="AJ48" s="63">
        <f>股权价值增加表!AJ43</f>
        <v>0.10020596579697133</v>
      </c>
      <c r="AK48" s="63">
        <f>股权价值增加表!AK43</f>
        <v>0.15401868821394415</v>
      </c>
      <c r="AL48" s="63">
        <f>股权价值增加表!AL43</f>
        <v>0.16581306802985726</v>
      </c>
      <c r="AM48" s="63">
        <f>股权价值增加表!AM43</f>
        <v>0.16859595279686873</v>
      </c>
      <c r="AN48" s="63">
        <f>股权价值增加表!AN43</f>
        <v>0.15138690051228729</v>
      </c>
      <c r="AO48" s="63">
        <f>股权价值增加表!AO43</f>
        <v>0.1479884745235274</v>
      </c>
      <c r="AP48" s="63">
        <f>股权价值增加表!AP43</f>
        <v>0.17019973046140927</v>
      </c>
      <c r="AQ48" s="63">
        <f>股权价值增加表!AQ43</f>
        <v>0.16822999237036748</v>
      </c>
      <c r="AR48" s="63">
        <f>股权价值增加表!AR43</f>
        <v>0.16055425938973461</v>
      </c>
      <c r="AS48" s="63">
        <f>股权价值增加表!AS43</f>
        <v>0.18668067102415031</v>
      </c>
      <c r="AT48" s="63">
        <f>股权价值增加表!AT43</f>
        <v>0.17773599359803754</v>
      </c>
      <c r="AU48" s="63">
        <f>股权价值增加表!AU43</f>
        <v>0.1832157009121089</v>
      </c>
      <c r="AV48" s="63">
        <f>股权价值增加表!AV43</f>
        <v>0.2071137613355333</v>
      </c>
      <c r="AW48" s="63">
        <f>股权价值增加表!AW43</f>
        <v>4.6411256553864466E-2</v>
      </c>
      <c r="AX48" s="63">
        <f>股权价值增加表!AX43</f>
        <v>5.0815979913661977E-2</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-0.11389508412014919</v>
      </c>
      <c r="F49" s="59">
        <f t="shared" ref="F49:BQ49" si="38">(F47-J47)/J47</f>
        <v>-0.10395229664716503</v>
      </c>
      <c r="G49" s="59">
        <f t="shared" si="38"/>
        <v>-0.12091611479338166</v>
      </c>
      <c r="H49" s="59">
        <f t="shared" si="38"/>
        <v>-3.0431281035001568E-3</v>
      </c>
      <c r="I49" s="59">
        <f t="shared" si="38"/>
        <v>9.2562446495850756E-2</v>
      </c>
      <c r="J49" s="59">
        <f t="shared" si="38"/>
        <v>5.8888860500448455E-2</v>
      </c>
      <c r="K49" s="59">
        <f t="shared" si="38"/>
        <v>0.1231250455418383</v>
      </c>
      <c r="L49" s="59">
        <f t="shared" si="38"/>
        <v>0.14060772906363614</v>
      </c>
      <c r="M49" s="59">
        <f t="shared" si="38"/>
        <v>9.6761487872112528E-2</v>
      </c>
      <c r="N49" s="59">
        <f t="shared" si="38"/>
        <v>5.0972503233815511E-2</v>
      </c>
      <c r="O49" s="59">
        <f t="shared" si="38"/>
        <v>2.0875970783365345E-2</v>
      </c>
      <c r="P49" s="59">
        <f t="shared" si="38"/>
        <v>1.3261806231641625E-2</v>
      </c>
      <c r="Q49" s="59">
        <f t="shared" si="38"/>
        <v>8.2052344114392828E-2</v>
      </c>
      <c r="R49" s="59">
        <f t="shared" si="38"/>
        <v>6.684298905983739E-2</v>
      </c>
      <c r="S49" s="59">
        <f t="shared" si="38"/>
        <v>9.6223864246583746E-2</v>
      </c>
      <c r="T49" s="59">
        <f t="shared" si="38"/>
        <v>-7.9312513940239776E-2</v>
      </c>
      <c r="U49" s="59">
        <f t="shared" si="38"/>
        <v>0.10347924832878787</v>
      </c>
      <c r="V49" s="59">
        <f t="shared" si="38"/>
        <v>7.2040521999559598E-2</v>
      </c>
      <c r="W49" s="59">
        <f t="shared" si="38"/>
        <v>2.8400438803519244E-2</v>
      </c>
      <c r="X49" s="59">
        <f t="shared" si="38"/>
        <v>-3.9914836509965371E-2</v>
      </c>
      <c r="Y49" s="59">
        <f t="shared" si="38"/>
        <v>-6.9552117927318968E-2</v>
      </c>
      <c r="Z49" s="59">
        <f t="shared" si="38"/>
        <v>-9.4513534714910891E-2</v>
      </c>
      <c r="AA49" s="59">
        <f t="shared" si="38"/>
        <v>-5.0502620296515907E-2</v>
      </c>
      <c r="AB49" s="59">
        <f t="shared" si="38"/>
        <v>4.4506261092294434E-2</v>
      </c>
      <c r="AC49" s="59">
        <f t="shared" si="38"/>
        <v>-0.1798454521330447</v>
      </c>
      <c r="AD49" s="59">
        <f t="shared" si="38"/>
        <v>-6.5355582768938339E-2</v>
      </c>
      <c r="AE49" s="59">
        <f t="shared" si="38"/>
        <v>2.6578430458788914E-3</v>
      </c>
      <c r="AF49" s="59">
        <f t="shared" si="38"/>
        <v>0.55873141858626163</v>
      </c>
      <c r="AG49" s="59">
        <f t="shared" si="38"/>
        <v>-5.4658378233763259E-2</v>
      </c>
      <c r="AH49" s="59">
        <f t="shared" si="38"/>
        <v>-5.4561353470730954E-2</v>
      </c>
      <c r="AI49" s="59">
        <f t="shared" si="38"/>
        <v>-0.1677916637225183</v>
      </c>
      <c r="AJ49" s="59">
        <f t="shared" si="38"/>
        <v>-0.41849231792226749</v>
      </c>
      <c r="AK49" s="59">
        <f t="shared" si="38"/>
        <v>0.11608900663797146</v>
      </c>
      <c r="AL49" s="59">
        <f t="shared" si="38"/>
        <v>0.19865661974389312</v>
      </c>
      <c r="AM49" s="59">
        <f t="shared" si="38"/>
        <v>0.35427343339540007</v>
      </c>
      <c r="AN49" s="59">
        <f t="shared" si="38"/>
        <v>0.29435988721226525</v>
      </c>
      <c r="AO49" s="59">
        <f t="shared" si="38"/>
        <v>0.76412420429305083</v>
      </c>
      <c r="AP49" s="59">
        <f t="shared" si="38"/>
        <v>1.1860414953751801</v>
      </c>
      <c r="AQ49" s="59">
        <f t="shared" si="38"/>
        <v>1.112244699519422</v>
      </c>
      <c r="AR49" s="59">
        <f t="shared" si="38"/>
        <v>0.65783378705889561</v>
      </c>
      <c r="AS49" s="59">
        <f t="shared" si="38"/>
        <v>7.368441526871961</v>
      </c>
      <c r="AT49" s="59">
        <f t="shared" si="38"/>
        <v>4.5833864042495103</v>
      </c>
      <c r="AU49" s="59" t="e">
        <f t="shared" si="38"/>
        <v>#DIV/0!</v>
      </c>
      <c r="AV49" s="59">
        <f t="shared" si="38"/>
        <v>-1.2445326832670283</v>
      </c>
      <c r="AW49" s="59">
        <f t="shared" si="38"/>
        <v>-1.1153876930715829</v>
      </c>
      <c r="AX49" s="59">
        <f t="shared" si="38"/>
        <v>-1.1011680504638999</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366536919.5287993</v>
      </c>
      <c r="F50" s="26">
        <f>股权价值增加表!F47</f>
        <v>184592587.01000059</v>
      </c>
      <c r="G50" s="26">
        <f>股权价值增加表!G47</f>
        <v>20368637.478800058</v>
      </c>
      <c r="H50" s="26">
        <f>股权价值增加表!H47</f>
        <v>-151797354.72040009</v>
      </c>
      <c r="I50" s="26">
        <f>股权价值增加表!I47</f>
        <v>455950741.5599997</v>
      </c>
      <c r="J50" s="26">
        <f>股权价值增加表!J47</f>
        <v>300146053.65120029</v>
      </c>
      <c r="K50" s="26">
        <f>股权价值增加表!K47</f>
        <v>120538210.4023999</v>
      </c>
      <c r="L50" s="26">
        <f>股权价值增加表!L47</f>
        <v>-138709548.22440007</v>
      </c>
      <c r="M50" s="26">
        <f>股权价值增加表!M47</f>
        <v>405930832.56240034</v>
      </c>
      <c r="N50" s="26">
        <f>股权价值增加表!N47</f>
        <v>279731292.58559972</v>
      </c>
      <c r="O50" s="26">
        <f>股权价值增加表!O47</f>
        <v>94706343.868799925</v>
      </c>
      <c r="P50" s="26">
        <f>股权价值增加表!P47</f>
        <v>-143681708.81639987</v>
      </c>
      <c r="Q50" s="26">
        <f>股权价值增加表!Q47</f>
        <v>357776467.85640001</v>
      </c>
      <c r="R50" s="26">
        <f>股权价值增加表!R47</f>
        <v>259219006.20599967</v>
      </c>
      <c r="S50" s="26">
        <f>股权价值增加表!S47</f>
        <v>94174466.504400015</v>
      </c>
      <c r="T50" s="26">
        <f>股权价值增加表!T47</f>
        <v>-104250167.44239995</v>
      </c>
      <c r="U50" s="26">
        <f>股权价值增加表!U47</f>
        <v>321492517.18599981</v>
      </c>
      <c r="V50" s="26">
        <f>股权价值增加表!V47</f>
        <v>238877789.57079989</v>
      </c>
      <c r="W50" s="26">
        <f>股权价值增加表!W47</f>
        <v>74364166.264000207</v>
      </c>
      <c r="X50" s="26">
        <f>股权价值增加表!X47</f>
        <v>-114434502.61479992</v>
      </c>
      <c r="Y50" s="26">
        <f>股权价值增加表!Y47</f>
        <v>278760490.2184</v>
      </c>
      <c r="Z50" s="26">
        <f>股权价值增加表!Z47</f>
        <v>215444489.44119981</v>
      </c>
      <c r="AA50" s="26">
        <f>股权价值增加表!AA47</f>
        <v>72822549.851600021</v>
      </c>
      <c r="AB50" s="26">
        <f>股权价值增加表!AB47</f>
        <v>-80179856.031199962</v>
      </c>
      <c r="AC50" s="26">
        <f>股权价值增加表!AC47</f>
        <v>346453018.72000027</v>
      </c>
      <c r="AD50" s="26">
        <f>股权价值增加表!AD47</f>
        <v>290639966.58640003</v>
      </c>
      <c r="AE50" s="26">
        <f>股权价值增加表!AE47</f>
        <v>76903367.574000001</v>
      </c>
      <c r="AF50" s="26">
        <f>股权价值增加表!AF47</f>
        <v>-120746580.85240012</v>
      </c>
      <c r="AG50" s="26">
        <f>股权价值增加表!AG47</f>
        <v>432706112.98480064</v>
      </c>
      <c r="AH50" s="26">
        <f>股权价值增加表!AH47</f>
        <v>296934433.25839943</v>
      </c>
      <c r="AI50" s="26">
        <f>股权价值增加表!AI47</f>
        <v>93243916.855999947</v>
      </c>
      <c r="AJ50" s="26">
        <f>股权价值增加表!AJ47</f>
        <v>-147990288.75199991</v>
      </c>
      <c r="AK50" s="26">
        <f>股权价值增加表!AK47</f>
        <v>488085896.13000023</v>
      </c>
      <c r="AL50" s="26">
        <f>股权价值增加表!AL47</f>
        <v>344355476.1863997</v>
      </c>
      <c r="AM50" s="26">
        <f>股权价值增加表!AM47</f>
        <v>169427616.61039969</v>
      </c>
      <c r="AN50" s="26">
        <f>股权价值增加表!AN47</f>
        <v>-59195365.032400042</v>
      </c>
      <c r="AO50" s="26">
        <f>股权价值增加表!AO47</f>
        <v>446456361.44119954</v>
      </c>
      <c r="AP50" s="26">
        <f>股权价值增加表!AP47</f>
        <v>287340706.04680008</v>
      </c>
      <c r="AQ50" s="26">
        <f>股权价值增加表!AQ47</f>
        <v>97783689.067599982</v>
      </c>
      <c r="AR50" s="26">
        <f>股权价值增加表!AR47</f>
        <v>66989332.113199912</v>
      </c>
      <c r="AS50" s="26">
        <f>股权价值增加表!AS47</f>
        <v>325765242.93439996</v>
      </c>
      <c r="AT50" s="26">
        <f>股权价值增加表!AT47</f>
        <v>193071496.52079993</v>
      </c>
      <c r="AU50" s="26">
        <f>股权价值增加表!AU47</f>
        <v>122643297.19959995</v>
      </c>
      <c r="AV50" s="26">
        <f>股权价值增加表!AV47</f>
        <v>67961970.499999985</v>
      </c>
      <c r="AW50" s="26">
        <f>股权价值增加表!AW47</f>
        <v>43339516.789999925</v>
      </c>
      <c r="AX50" s="26">
        <f>股权价值增加表!AX47</f>
        <v>38131164.469999991</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685</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769259167.61999929</v>
      </c>
      <c r="F54" s="193">
        <f t="shared" ref="F54:AC54" si="41">F39</f>
        <v>621900492.57000053</v>
      </c>
      <c r="G54" s="193">
        <f t="shared" si="41"/>
        <v>406344557.07000005</v>
      </c>
      <c r="H54" s="193">
        <f t="shared" si="41"/>
        <v>173156243.2299999</v>
      </c>
      <c r="I54" s="193">
        <f t="shared" si="41"/>
        <v>860538378.1899997</v>
      </c>
      <c r="J54" s="193">
        <f t="shared" si="41"/>
        <v>663626093.11000025</v>
      </c>
      <c r="K54" s="193">
        <f t="shared" si="41"/>
        <v>450736013.77999985</v>
      </c>
      <c r="L54" s="193">
        <f t="shared" si="41"/>
        <v>175561804.07999995</v>
      </c>
      <c r="M54" s="193">
        <f t="shared" si="41"/>
        <v>797751790.04000032</v>
      </c>
      <c r="N54" s="193">
        <f t="shared" si="41"/>
        <v>632284589.60999966</v>
      </c>
      <c r="O54" s="193">
        <f t="shared" si="41"/>
        <v>395528734.11999989</v>
      </c>
      <c r="P54" s="193">
        <f t="shared" si="41"/>
        <v>149177090.05000013</v>
      </c>
      <c r="Q54" s="193">
        <f t="shared" si="41"/>
        <v>756446934.96000004</v>
      </c>
      <c r="R54" s="193">
        <f t="shared" si="41"/>
        <v>646301808.95999968</v>
      </c>
      <c r="S54" s="193">
        <f t="shared" si="41"/>
        <v>411516907.25999999</v>
      </c>
      <c r="T54" s="193">
        <f t="shared" si="41"/>
        <v>150478879.79000005</v>
      </c>
      <c r="U54" s="193">
        <f t="shared" si="41"/>
        <v>695850131.18999982</v>
      </c>
      <c r="V54" s="193">
        <f t="shared" si="41"/>
        <v>571201087.24999988</v>
      </c>
      <c r="W54" s="193">
        <f t="shared" si="41"/>
        <v>355155830.48000014</v>
      </c>
      <c r="X54" s="193">
        <f t="shared" si="41"/>
        <v>159339848.55000007</v>
      </c>
      <c r="Y54" s="193">
        <f t="shared" si="41"/>
        <v>652472708.80999994</v>
      </c>
      <c r="Z54" s="193">
        <f t="shared" si="41"/>
        <v>539791009.55999982</v>
      </c>
      <c r="AA54" s="193">
        <f t="shared" si="41"/>
        <v>356904306.85000002</v>
      </c>
      <c r="AB54" s="193">
        <f t="shared" si="41"/>
        <v>167357590.01000005</v>
      </c>
      <c r="AC54" s="193">
        <f t="shared" si="41"/>
        <v>714147367.71000028</v>
      </c>
    </row>
    <row r="55" spans="1:88" s="63" customFormat="1" x14ac:dyDescent="0.25">
      <c r="A55" s="63" t="s">
        <v>674</v>
      </c>
      <c r="E55" s="63">
        <f>E54/E2</f>
        <v>0.10614094921163802</v>
      </c>
      <c r="F55" s="63">
        <f t="shared" ref="F55:AC55" si="42">F54/F2</f>
        <v>0.12276250163739776</v>
      </c>
      <c r="G55" s="63">
        <f t="shared" si="42"/>
        <v>0.12430947837030028</v>
      </c>
      <c r="H55" s="63">
        <f t="shared" si="42"/>
        <v>0.1165683415965804</v>
      </c>
      <c r="I55" s="63">
        <f t="shared" si="42"/>
        <v>0.11764338577755784</v>
      </c>
      <c r="J55" s="63">
        <f t="shared" si="42"/>
        <v>0.13182119775731152</v>
      </c>
      <c r="K55" s="63">
        <f t="shared" si="42"/>
        <v>0.13617384043706579</v>
      </c>
      <c r="L55" s="63">
        <f t="shared" si="42"/>
        <v>0.10686867024567975</v>
      </c>
      <c r="M55" s="63">
        <f t="shared" si="42"/>
        <v>0.11299457797689581</v>
      </c>
      <c r="N55" s="63">
        <f t="shared" si="42"/>
        <v>0.12605888844628296</v>
      </c>
      <c r="O55" s="63">
        <f t="shared" si="42"/>
        <v>0.12490543626121446</v>
      </c>
      <c r="P55" s="63">
        <f t="shared" si="42"/>
        <v>0.10528034038282709</v>
      </c>
      <c r="Q55" s="63">
        <f t="shared" si="42"/>
        <v>0.12727269051497661</v>
      </c>
      <c r="R55" s="63">
        <f t="shared" si="42"/>
        <v>0.15481751704581986</v>
      </c>
      <c r="S55" s="63">
        <f t="shared" si="42"/>
        <v>0.15621567406788683</v>
      </c>
      <c r="T55" s="63">
        <f t="shared" si="42"/>
        <v>0.12940295270226104</v>
      </c>
      <c r="U55" s="63">
        <f t="shared" si="42"/>
        <v>0.13059952087177312</v>
      </c>
      <c r="V55" s="63">
        <f t="shared" si="42"/>
        <v>0.151811040213886</v>
      </c>
      <c r="W55" s="63">
        <f t="shared" si="42"/>
        <v>0.14278435871591819</v>
      </c>
      <c r="X55" s="63">
        <f t="shared" si="42"/>
        <v>0.13670707863108375</v>
      </c>
      <c r="Y55" s="63">
        <f t="shared" si="42"/>
        <v>0.13203042451428837</v>
      </c>
      <c r="Z55" s="63">
        <f t="shared" si="42"/>
        <v>0.14677575855436534</v>
      </c>
      <c r="AA55" s="63">
        <f t="shared" si="42"/>
        <v>0.14396727808525317</v>
      </c>
      <c r="AB55" s="63">
        <f t="shared" si="42"/>
        <v>0.13320876708703655</v>
      </c>
      <c r="AC55" s="63">
        <f t="shared" si="42"/>
        <v>0.13735370014316203</v>
      </c>
    </row>
    <row r="56" spans="1:88" x14ac:dyDescent="0.25">
      <c r="A56" s="17" t="s">
        <v>675</v>
      </c>
      <c r="E56" s="193">
        <f>E23</f>
        <v>585001430.59362328</v>
      </c>
      <c r="F56" s="193">
        <f t="shared" ref="F56:AC56" si="43">F23</f>
        <v>469331082.15093839</v>
      </c>
      <c r="G56" s="193">
        <f t="shared" si="43"/>
        <v>308611315.48826373</v>
      </c>
      <c r="H56" s="193">
        <f t="shared" si="43"/>
        <v>132730937.10567296</v>
      </c>
      <c r="I56" s="193">
        <f t="shared" si="43"/>
        <v>695331753.51863873</v>
      </c>
      <c r="J56" s="193">
        <f t="shared" si="43"/>
        <v>549185795.62270486</v>
      </c>
      <c r="K56" s="193">
        <f t="shared" si="43"/>
        <v>372630098.8834703</v>
      </c>
      <c r="L56" s="193">
        <f t="shared" si="43"/>
        <v>139807962.02202278</v>
      </c>
      <c r="M56" s="193">
        <f t="shared" si="43"/>
        <v>629896644.75126266</v>
      </c>
      <c r="N56" s="193">
        <f t="shared" si="43"/>
        <v>505819904.00767547</v>
      </c>
      <c r="O56" s="193">
        <f t="shared" si="43"/>
        <v>311228482.72793257</v>
      </c>
      <c r="P56" s="193">
        <f t="shared" si="43"/>
        <v>113536092.72436437</v>
      </c>
      <c r="Q56" s="193">
        <f t="shared" si="43"/>
        <v>576776263.01757383</v>
      </c>
      <c r="R56" s="193">
        <f t="shared" si="43"/>
        <v>485536387.95401025</v>
      </c>
      <c r="S56" s="193">
        <f t="shared" si="43"/>
        <v>318082408.44000614</v>
      </c>
      <c r="T56" s="193">
        <f t="shared" si="43"/>
        <v>117586796.93418205</v>
      </c>
      <c r="U56" s="193">
        <f t="shared" si="43"/>
        <v>530740880.4410699</v>
      </c>
      <c r="V56" s="193">
        <f t="shared" si="43"/>
        <v>448515809.83293802</v>
      </c>
      <c r="W56" s="193">
        <f t="shared" si="43"/>
        <v>279007389.20503867</v>
      </c>
      <c r="X56" s="193">
        <f t="shared" si="43"/>
        <v>127767720.39658456</v>
      </c>
      <c r="Y56" s="193">
        <f t="shared" si="43"/>
        <v>488020161.10600972</v>
      </c>
      <c r="Z56" s="193">
        <f t="shared" si="43"/>
        <v>426044061.77394724</v>
      </c>
      <c r="AA56" s="193">
        <f t="shared" si="43"/>
        <v>277081769.76925802</v>
      </c>
      <c r="AB56" s="193">
        <f t="shared" si="43"/>
        <v>131480551.09851785</v>
      </c>
      <c r="AC56" s="193">
        <f t="shared" si="43"/>
        <v>518861779.04245472</v>
      </c>
    </row>
    <row r="57" spans="1:88" s="63" customFormat="1" x14ac:dyDescent="0.25">
      <c r="A57" s="63" t="s">
        <v>676</v>
      </c>
      <c r="E57" s="63">
        <f>E56/E2</f>
        <v>8.0717409355654274E-2</v>
      </c>
      <c r="F57" s="63">
        <f t="shared" ref="F57:AC57" si="44">F56/F2</f>
        <v>9.2645460856506726E-2</v>
      </c>
      <c r="G57" s="63">
        <f t="shared" si="44"/>
        <v>9.4410792466722945E-2</v>
      </c>
      <c r="H57" s="63">
        <f t="shared" si="44"/>
        <v>8.9354128550923062E-2</v>
      </c>
      <c r="I57" s="63">
        <f t="shared" si="44"/>
        <v>9.5058144756581628E-2</v>
      </c>
      <c r="J57" s="63">
        <f t="shared" si="44"/>
        <v>0.10908903390314284</v>
      </c>
      <c r="K57" s="63">
        <f t="shared" si="44"/>
        <v>0.11257691880856156</v>
      </c>
      <c r="L57" s="63">
        <f t="shared" si="44"/>
        <v>8.5104451217895422E-2</v>
      </c>
      <c r="M57" s="63">
        <f t="shared" si="44"/>
        <v>8.9219361750555004E-2</v>
      </c>
      <c r="N57" s="63">
        <f t="shared" si="44"/>
        <v>0.100845562110794</v>
      </c>
      <c r="O57" s="63">
        <f t="shared" si="44"/>
        <v>9.8283957797751814E-2</v>
      </c>
      <c r="P57" s="63">
        <f t="shared" si="44"/>
        <v>8.0127038835192024E-2</v>
      </c>
      <c r="Q57" s="63">
        <f t="shared" si="44"/>
        <v>9.7042982695543775E-2</v>
      </c>
      <c r="R57" s="63">
        <f t="shared" si="44"/>
        <v>0.11630717565125694</v>
      </c>
      <c r="S57" s="63">
        <f t="shared" si="44"/>
        <v>0.12074706279856011</v>
      </c>
      <c r="T57" s="63">
        <f t="shared" si="44"/>
        <v>0.10111770331703057</v>
      </c>
      <c r="U57" s="63">
        <f t="shared" si="44"/>
        <v>9.9611254759885401E-2</v>
      </c>
      <c r="V57" s="63">
        <f t="shared" si="44"/>
        <v>0.11920434530494989</v>
      </c>
      <c r="W57" s="63">
        <f t="shared" si="44"/>
        <v>0.11217017355678024</v>
      </c>
      <c r="X57" s="63">
        <f t="shared" si="44"/>
        <v>0.10961948287084775</v>
      </c>
      <c r="Y57" s="63">
        <f t="shared" si="44"/>
        <v>9.8752803254980134E-2</v>
      </c>
      <c r="Z57" s="63">
        <f t="shared" si="44"/>
        <v>0.11584657624332517</v>
      </c>
      <c r="AA57" s="63">
        <f t="shared" si="44"/>
        <v>0.11176863779761043</v>
      </c>
      <c r="AB57" s="63">
        <f t="shared" si="44"/>
        <v>0.1046523322109929</v>
      </c>
      <c r="AC57" s="63">
        <f t="shared" si="44"/>
        <v>9.9793947911441638E-2</v>
      </c>
    </row>
    <row r="58" spans="1:88" ht="93" customHeight="1" x14ac:dyDescent="0.25">
      <c r="A58" s="278" t="s">
        <v>677</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760855572.68999934</v>
      </c>
      <c r="F61" s="89">
        <f>股权价值增加表!F38</f>
        <v>620193825.29000056</v>
      </c>
      <c r="G61" s="89">
        <f>股权价值增加表!G38</f>
        <v>405902669.87000006</v>
      </c>
      <c r="H61" s="89">
        <f>股权价值增加表!H38</f>
        <v>174275237.12999991</v>
      </c>
      <c r="I61" s="89">
        <f>股权价值增加表!I38</f>
        <v>857757111.07999969</v>
      </c>
      <c r="J61" s="89">
        <f>股权价值增加表!J38</f>
        <v>672957105.6900003</v>
      </c>
      <c r="K61" s="89">
        <f>股权价值增加表!K38</f>
        <v>454712915.20999986</v>
      </c>
      <c r="L61" s="89">
        <f>股权价值增加表!L38</f>
        <v>176312904.41999996</v>
      </c>
      <c r="M61" s="89">
        <f>股权价值增加表!M38</f>
        <v>794260410.78000033</v>
      </c>
      <c r="N61" s="89">
        <f>股权价值增加表!N38</f>
        <v>642004172.45999968</v>
      </c>
      <c r="O61" s="89">
        <f>股权价值增加表!O38</f>
        <v>401611830.83999991</v>
      </c>
      <c r="P61" s="89">
        <f>股权价值增加表!P38</f>
        <v>155565789.15000013</v>
      </c>
      <c r="Q61" s="89">
        <f>股权价值增加表!Q38</f>
        <v>756116848.94000006</v>
      </c>
      <c r="R61" s="89">
        <f>股权价值增加表!R38</f>
        <v>656296781.6899997</v>
      </c>
      <c r="S61" s="89">
        <f>股权价值增加表!S38</f>
        <v>420293818.98000002</v>
      </c>
      <c r="T61" s="89">
        <f>股权价值增加表!T38</f>
        <v>153906579.40000007</v>
      </c>
      <c r="U61" s="89">
        <f>股权价值增加表!U38</f>
        <v>694310839.08999979</v>
      </c>
      <c r="V61" s="89">
        <f>股权价值增加表!V38</f>
        <v>586722346.62999988</v>
      </c>
      <c r="W61" s="89">
        <f>股权价值增加表!W38</f>
        <v>368441649.52000016</v>
      </c>
      <c r="X61" s="89">
        <f>股权价值增加表!X38</f>
        <v>165792448.58000007</v>
      </c>
      <c r="Y61" s="89">
        <f>股权价值增加表!Y38</f>
        <v>652932535.67999995</v>
      </c>
      <c r="Z61" s="89">
        <f>股权价值增加表!Z38</f>
        <v>565243026.81999981</v>
      </c>
      <c r="AA61" s="89">
        <f>股权价值增加表!AA38</f>
        <v>374695871.43000001</v>
      </c>
      <c r="AB61" s="89">
        <f>股权价值增加表!AB38</f>
        <v>175729619.94000006</v>
      </c>
      <c r="AC61" s="89">
        <f>股权价值增加表!AC38</f>
        <v>713777624.02000022</v>
      </c>
    </row>
    <row r="62" spans="1:88" s="193" customFormat="1" x14ac:dyDescent="0.25">
      <c r="A62" s="89" t="s">
        <v>681</v>
      </c>
      <c r="B62" s="89"/>
      <c r="C62" s="89"/>
      <c r="D62" s="89"/>
      <c r="E62" s="89">
        <f>股权价值增加表!E40</f>
        <v>107741237.83</v>
      </c>
      <c r="F62" s="89">
        <f>股权价值增加表!F40</f>
        <v>111124128.08</v>
      </c>
      <c r="G62" s="89">
        <f>股权价值增加表!G40</f>
        <v>74848820.400000006</v>
      </c>
      <c r="H62" s="89">
        <f>股权价值增加表!H40</f>
        <v>33652307.799999997</v>
      </c>
      <c r="I62" s="89">
        <f>股权价值增加表!I40</f>
        <v>120695028.3</v>
      </c>
      <c r="J62" s="89">
        <f>股权价值增加表!J40</f>
        <v>104829208.81</v>
      </c>
      <c r="K62" s="89">
        <f>股权价值增加表!K40</f>
        <v>78123314.329999998</v>
      </c>
      <c r="L62" s="89">
        <f>股权价值增加表!L40</f>
        <v>35260735.270000003</v>
      </c>
      <c r="M62" s="89">
        <f>股权价值增加表!M40</f>
        <v>119642602.76000001</v>
      </c>
      <c r="N62" s="89">
        <f>股权价值增加表!N40</f>
        <v>105472041.40000001</v>
      </c>
      <c r="O62" s="89">
        <f>股权价值增加表!O40</f>
        <v>66306690.619999997</v>
      </c>
      <c r="P62" s="89">
        <f>股权价值增加表!P40</f>
        <v>31901740.98</v>
      </c>
      <c r="Q62" s="89">
        <f>股权价值增加表!Q40</f>
        <v>141017015.94999999</v>
      </c>
      <c r="R62" s="89">
        <f>股权价值增加表!R40</f>
        <v>145786630.94</v>
      </c>
      <c r="S62" s="89">
        <f>股权价值增加表!S40</f>
        <v>91845359.209999993</v>
      </c>
      <c r="T62" s="89">
        <f>股权价值增加表!T40</f>
        <v>31861075.059999999</v>
      </c>
      <c r="U62" s="89">
        <f>股权价值增加表!U40</f>
        <v>125854205.42</v>
      </c>
      <c r="V62" s="89">
        <f>股权价值增加表!V40</f>
        <v>108198181.42</v>
      </c>
      <c r="W62" s="89">
        <f>股权价值增加表!W40</f>
        <v>68823596.599999994</v>
      </c>
      <c r="X62" s="89">
        <f>股权价值增加表!X40</f>
        <v>33233348.789999999</v>
      </c>
      <c r="Y62" s="89">
        <f>股权价值增加表!Y40</f>
        <v>137783171.03999999</v>
      </c>
      <c r="Z62" s="89">
        <f>股权价值增加表!Z40</f>
        <v>118875417.20999999</v>
      </c>
      <c r="AA62" s="89">
        <f>股权价值增加表!AA40</f>
        <v>83352109.200000003</v>
      </c>
      <c r="AB62" s="89">
        <f>股权价值增加表!AB40</f>
        <v>37659472.799999997</v>
      </c>
      <c r="AC62" s="89">
        <f>股权价值增加表!AC40</f>
        <v>160120213.90000001</v>
      </c>
    </row>
    <row r="63" spans="1:88" x14ac:dyDescent="0.25">
      <c r="A63" s="184" t="s">
        <v>682</v>
      </c>
      <c r="B63" s="64"/>
      <c r="C63" s="64"/>
      <c r="D63" s="64"/>
      <c r="E63" s="64">
        <f>股权价值增加表!E42</f>
        <v>653114334.8599993</v>
      </c>
      <c r="F63" s="64">
        <f>股权价值增加表!F42</f>
        <v>509069697.21000057</v>
      </c>
      <c r="G63" s="64">
        <f>股权价值增加表!G42</f>
        <v>331053849.47000003</v>
      </c>
      <c r="H63" s="64">
        <f>股权价值增加表!H42</f>
        <v>140622929.32999992</v>
      </c>
      <c r="I63" s="64">
        <f>股权价值增加表!I42</f>
        <v>737062082.77999973</v>
      </c>
      <c r="J63" s="64">
        <f>股权价值增加表!J42</f>
        <v>568127896.88000035</v>
      </c>
      <c r="K63" s="64">
        <f>股权价值增加表!K42</f>
        <v>376589600.87999988</v>
      </c>
      <c r="L63" s="64">
        <f>股权价值增加表!L42</f>
        <v>141052169.14999995</v>
      </c>
      <c r="M63" s="64">
        <f>股权价值增加表!M42</f>
        <v>674617808.02000034</v>
      </c>
      <c r="N63" s="64">
        <f>股权价值增加表!N42</f>
        <v>536532131.0599997</v>
      </c>
      <c r="O63" s="64">
        <f>股权价值增加表!O42</f>
        <v>335305140.21999991</v>
      </c>
      <c r="P63" s="64">
        <f>股权价值增加表!P42</f>
        <v>123664048.17000012</v>
      </c>
      <c r="Q63" s="64">
        <f>股权价值增加表!Q42</f>
        <v>615099832.99000001</v>
      </c>
      <c r="R63" s="64">
        <f>股权价值增加表!R42</f>
        <v>510510150.7499997</v>
      </c>
      <c r="S63" s="64">
        <f>股权价值增加表!S42</f>
        <v>328448459.77000004</v>
      </c>
      <c r="T63" s="64">
        <f>股权价值增加表!T42</f>
        <v>122045504.34000006</v>
      </c>
      <c r="U63" s="64">
        <f>股权价值增加表!U42</f>
        <v>568456633.66999984</v>
      </c>
      <c r="V63" s="64">
        <f>股权价值增加表!V42</f>
        <v>478524165.20999986</v>
      </c>
      <c r="W63" s="64">
        <f>股权价值增加表!W42</f>
        <v>299618052.9200002</v>
      </c>
      <c r="X63" s="64">
        <f>股权价值增加表!X42</f>
        <v>132559099.79000008</v>
      </c>
      <c r="Y63" s="64">
        <f>股权价值增加表!Y42</f>
        <v>515149364.63999999</v>
      </c>
      <c r="Z63" s="64">
        <f>股权价值增加表!Z42</f>
        <v>446367609.60999984</v>
      </c>
      <c r="AA63" s="64">
        <f>股权价值增加表!AA42</f>
        <v>291343762.23000002</v>
      </c>
      <c r="AB63" s="64">
        <f>股权价值增加表!AB42</f>
        <v>138070147.14000005</v>
      </c>
      <c r="AC63" s="64">
        <f>股权价值增加表!AC42</f>
        <v>553657410.12000024</v>
      </c>
    </row>
    <row r="64" spans="1:88" s="63" customFormat="1" x14ac:dyDescent="0.25">
      <c r="A64" s="214" t="s">
        <v>683</v>
      </c>
      <c r="B64" s="214"/>
      <c r="C64" s="214"/>
      <c r="D64" s="214"/>
      <c r="E64" s="214">
        <f>1-E63/E61</f>
        <v>0.14160537386758132</v>
      </c>
      <c r="F64" s="214">
        <f t="shared" ref="F64:AC64" si="46">1-F63/F61</f>
        <v>0.17917645024608031</v>
      </c>
      <c r="G64" s="214">
        <f t="shared" si="46"/>
        <v>0.18440090680845278</v>
      </c>
      <c r="H64" s="214">
        <f t="shared" si="46"/>
        <v>0.19309862005751954</v>
      </c>
      <c r="I64" s="214">
        <f t="shared" si="46"/>
        <v>0.14071002937886834</v>
      </c>
      <c r="J64" s="214">
        <f t="shared" si="46"/>
        <v>0.15577398310181423</v>
      </c>
      <c r="K64" s="214">
        <f t="shared" si="46"/>
        <v>0.17180799514770839</v>
      </c>
      <c r="L64" s="214">
        <f t="shared" si="46"/>
        <v>0.19998953216722248</v>
      </c>
      <c r="M64" s="214">
        <f t="shared" si="46"/>
        <v>0.15063397487293295</v>
      </c>
      <c r="N64" s="214">
        <f t="shared" si="46"/>
        <v>0.16428560112912893</v>
      </c>
      <c r="O64" s="214">
        <f t="shared" si="46"/>
        <v>0.16510143757795881</v>
      </c>
      <c r="P64" s="214">
        <f t="shared" si="46"/>
        <v>0.20506912962232082</v>
      </c>
      <c r="Q64" s="214">
        <f t="shared" si="46"/>
        <v>0.18650161829840417</v>
      </c>
      <c r="R64" s="214">
        <f t="shared" si="46"/>
        <v>0.22213522145361053</v>
      </c>
      <c r="S64" s="214">
        <f t="shared" si="46"/>
        <v>0.21852655228881801</v>
      </c>
      <c r="T64" s="214">
        <f t="shared" si="46"/>
        <v>0.20701567914906172</v>
      </c>
      <c r="U64" s="214">
        <f t="shared" si="46"/>
        <v>0.18126492967465568</v>
      </c>
      <c r="V64" s="214">
        <f t="shared" si="46"/>
        <v>0.18441121604020339</v>
      </c>
      <c r="W64" s="214">
        <f t="shared" si="46"/>
        <v>0.18679646204402311</v>
      </c>
      <c r="X64" s="214">
        <f t="shared" si="46"/>
        <v>0.20045152282049716</v>
      </c>
      <c r="Y64" s="214">
        <f t="shared" si="46"/>
        <v>0.21102206355286768</v>
      </c>
      <c r="Z64" s="214">
        <f t="shared" si="46"/>
        <v>0.21030850726063988</v>
      </c>
      <c r="AA64" s="214">
        <f t="shared" si="46"/>
        <v>0.22245270245944426</v>
      </c>
      <c r="AB64" s="214">
        <f t="shared" si="46"/>
        <v>0.21430350109934915</v>
      </c>
      <c r="AC64" s="214">
        <f t="shared" si="46"/>
        <v>0.22432786978975594</v>
      </c>
    </row>
    <row r="65" spans="1:29" ht="42.6" customHeight="1" x14ac:dyDescent="0.25">
      <c r="A65" s="280" t="s">
        <v>684</v>
      </c>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8" spans="1:29" ht="55.8" customHeight="1" x14ac:dyDescent="0.25">
      <c r="A68" s="278" t="s">
        <v>736</v>
      </c>
      <c r="B68" s="277"/>
      <c r="C68" s="277"/>
      <c r="D68" s="277"/>
      <c r="E68" s="277"/>
      <c r="F68" s="277"/>
      <c r="G68" s="277"/>
      <c r="H68" s="277"/>
      <c r="I68" s="277"/>
      <c r="J68" s="277"/>
      <c r="K68" s="277"/>
      <c r="L68" s="277"/>
      <c r="M68" s="277"/>
      <c r="N68" s="277"/>
      <c r="O68" s="277"/>
      <c r="P68" s="277"/>
      <c r="Q68" s="277"/>
      <c r="R68" s="277"/>
      <c r="S68" s="277"/>
      <c r="T68" s="277"/>
      <c r="U68" s="277"/>
      <c r="V68" s="277"/>
      <c r="W68" s="277"/>
      <c r="X68" s="277"/>
      <c r="Y68" s="277"/>
      <c r="Z68" s="277"/>
      <c r="AA68" s="277"/>
      <c r="AB68" s="277"/>
      <c r="AC68" s="277"/>
    </row>
    <row r="69" spans="1:29" x14ac:dyDescent="0.25">
      <c r="A69" s="285" t="s">
        <v>704</v>
      </c>
      <c r="B69" s="285"/>
      <c r="C69" s="285"/>
      <c r="D69" s="285"/>
      <c r="E69" s="285"/>
      <c r="F69" s="257"/>
      <c r="G69" s="257"/>
      <c r="H69" s="257"/>
      <c r="I69" s="257" t="s">
        <v>708</v>
      </c>
      <c r="J69" s="257"/>
      <c r="K69" s="257"/>
      <c r="L69" s="257"/>
      <c r="M69" s="257" t="s">
        <v>709</v>
      </c>
    </row>
    <row r="70" spans="1:29" ht="57.6" x14ac:dyDescent="0.25">
      <c r="A70" s="286" t="s">
        <v>705</v>
      </c>
      <c r="B70" s="65"/>
      <c r="C70" s="65"/>
      <c r="D70" s="65"/>
      <c r="E70" s="65" t="s">
        <v>706</v>
      </c>
      <c r="F70" s="65"/>
      <c r="G70" s="65"/>
      <c r="H70" s="65"/>
      <c r="I70" s="258" t="s">
        <v>710</v>
      </c>
      <c r="J70" s="259"/>
      <c r="K70" s="259"/>
      <c r="L70" s="259"/>
      <c r="M70" s="258" t="s">
        <v>711</v>
      </c>
    </row>
    <row r="71" spans="1:29" ht="54.6" customHeight="1" x14ac:dyDescent="0.25">
      <c r="A71" s="286"/>
      <c r="B71" s="65"/>
      <c r="C71" s="65"/>
      <c r="D71" s="65"/>
      <c r="E71" s="65" t="s">
        <v>707</v>
      </c>
      <c r="F71" s="65"/>
      <c r="G71" s="65"/>
      <c r="H71" s="65"/>
      <c r="I71" s="258" t="s">
        <v>712</v>
      </c>
      <c r="J71" s="259"/>
      <c r="K71" s="259"/>
      <c r="L71" s="259"/>
      <c r="M71" s="258" t="s">
        <v>713</v>
      </c>
    </row>
    <row r="72" spans="1:29" ht="57.6" x14ac:dyDescent="0.25">
      <c r="A72" s="286" t="s">
        <v>721</v>
      </c>
      <c r="B72" s="65"/>
      <c r="C72" s="65"/>
      <c r="D72" s="65"/>
      <c r="E72" s="65" t="s">
        <v>714</v>
      </c>
      <c r="F72" s="65"/>
      <c r="G72" s="65"/>
      <c r="H72" s="65"/>
      <c r="I72" s="258" t="s">
        <v>722</v>
      </c>
      <c r="J72" s="259"/>
      <c r="K72" s="259"/>
      <c r="L72" s="259"/>
      <c r="M72" s="258" t="s">
        <v>723</v>
      </c>
    </row>
    <row r="73" spans="1:29" ht="43.2" x14ac:dyDescent="0.25">
      <c r="A73" s="286"/>
      <c r="B73" s="65"/>
      <c r="C73" s="65"/>
      <c r="D73" s="65"/>
      <c r="E73" s="65" t="s">
        <v>715</v>
      </c>
      <c r="F73" s="65"/>
      <c r="G73" s="65"/>
      <c r="H73" s="65"/>
      <c r="I73" s="258" t="s">
        <v>724</v>
      </c>
      <c r="J73" s="259"/>
      <c r="K73" s="259"/>
      <c r="L73" s="259"/>
      <c r="M73" s="258" t="s">
        <v>725</v>
      </c>
    </row>
    <row r="74" spans="1:29" ht="72" x14ac:dyDescent="0.25">
      <c r="A74" s="286"/>
      <c r="B74" s="65"/>
      <c r="C74" s="65"/>
      <c r="D74" s="65"/>
      <c r="E74" s="65" t="s">
        <v>716</v>
      </c>
      <c r="F74" s="65"/>
      <c r="G74" s="65"/>
      <c r="H74" s="65"/>
      <c r="I74" s="258" t="s">
        <v>726</v>
      </c>
      <c r="J74" s="259"/>
      <c r="K74" s="259"/>
      <c r="L74" s="259"/>
      <c r="M74" s="258" t="s">
        <v>727</v>
      </c>
    </row>
    <row r="75" spans="1:29" ht="72" x14ac:dyDescent="0.25">
      <c r="A75" s="286"/>
      <c r="B75" s="65"/>
      <c r="C75" s="65"/>
      <c r="D75" s="65"/>
      <c r="E75" s="65" t="s">
        <v>717</v>
      </c>
      <c r="F75" s="65"/>
      <c r="G75" s="65"/>
      <c r="H75" s="65"/>
      <c r="I75" s="258" t="s">
        <v>728</v>
      </c>
      <c r="J75" s="259"/>
      <c r="K75" s="259"/>
      <c r="L75" s="259"/>
      <c r="M75" s="258" t="s">
        <v>729</v>
      </c>
    </row>
    <row r="76" spans="1:29" x14ac:dyDescent="0.25">
      <c r="A76" s="286"/>
      <c r="B76" s="65"/>
      <c r="C76" s="65"/>
      <c r="D76" s="65"/>
      <c r="E76" s="65" t="s">
        <v>718</v>
      </c>
      <c r="F76" s="65"/>
      <c r="G76" s="65"/>
      <c r="H76" s="65"/>
      <c r="I76" s="258" t="s">
        <v>730</v>
      </c>
      <c r="J76" s="259"/>
      <c r="K76" s="259"/>
      <c r="L76" s="259"/>
      <c r="M76" s="258" t="s">
        <v>731</v>
      </c>
    </row>
    <row r="77" spans="1:29" ht="57.6" x14ac:dyDescent="0.25">
      <c r="A77" s="286"/>
      <c r="B77" s="65"/>
      <c r="C77" s="65"/>
      <c r="D77" s="65"/>
      <c r="E77" s="65" t="s">
        <v>719</v>
      </c>
      <c r="F77" s="65"/>
      <c r="G77" s="65"/>
      <c r="H77" s="65"/>
      <c r="I77" s="258" t="s">
        <v>732</v>
      </c>
      <c r="J77" s="259"/>
      <c r="K77" s="259"/>
      <c r="L77" s="259"/>
      <c r="M77" s="258" t="s">
        <v>733</v>
      </c>
    </row>
    <row r="78" spans="1:29" ht="57.6" x14ac:dyDescent="0.25">
      <c r="A78" s="286"/>
      <c r="B78" s="65"/>
      <c r="C78" s="65"/>
      <c r="D78" s="65"/>
      <c r="E78" s="65" t="s">
        <v>720</v>
      </c>
      <c r="F78" s="65"/>
      <c r="G78" s="65"/>
      <c r="H78" s="65"/>
      <c r="I78" s="258" t="s">
        <v>734</v>
      </c>
      <c r="J78" s="259"/>
      <c r="K78" s="259"/>
      <c r="L78" s="259"/>
      <c r="M78" s="258" t="s">
        <v>735</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653114334.8599993</v>
      </c>
      <c r="F2" s="26">
        <f>股权价值增加表!F42</f>
        <v>509069697.21000057</v>
      </c>
      <c r="G2" s="26">
        <f>股权价值增加表!G42</f>
        <v>331053849.47000003</v>
      </c>
      <c r="H2" s="26">
        <f>股权价值增加表!H42</f>
        <v>140622929.32999992</v>
      </c>
      <c r="I2" s="26">
        <f>股权价值增加表!I42</f>
        <v>737062082.77999973</v>
      </c>
      <c r="J2" s="26">
        <f>股权价值增加表!J42</f>
        <v>568127896.88000035</v>
      </c>
      <c r="K2" s="26">
        <f>股权价值增加表!K42</f>
        <v>376589600.87999988</v>
      </c>
      <c r="L2" s="26">
        <f>股权价值增加表!L42</f>
        <v>141052169.14999995</v>
      </c>
      <c r="M2" s="26">
        <f>股权价值增加表!M42</f>
        <v>674617808.02000034</v>
      </c>
      <c r="N2" s="26">
        <f>股权价值增加表!N42</f>
        <v>536532131.0599997</v>
      </c>
      <c r="O2" s="26">
        <f>股权价值增加表!O42</f>
        <v>335305140.21999991</v>
      </c>
      <c r="P2" s="26">
        <f>股权价值增加表!P42</f>
        <v>123664048.17000012</v>
      </c>
      <c r="Q2" s="26">
        <f>股权价值增加表!Q42</f>
        <v>615099832.99000001</v>
      </c>
      <c r="R2" s="26">
        <f>股权价值增加表!R42</f>
        <v>510510150.7499997</v>
      </c>
      <c r="S2" s="26">
        <f>股权价值增加表!S42</f>
        <v>328448459.77000004</v>
      </c>
      <c r="T2" s="26">
        <f>股权价值增加表!T42</f>
        <v>122045504.34000006</v>
      </c>
      <c r="U2" s="26">
        <f>股权价值增加表!U42</f>
        <v>568456633.66999984</v>
      </c>
      <c r="V2" s="26">
        <f>股权价值增加表!V42</f>
        <v>478524165.20999986</v>
      </c>
      <c r="W2" s="26">
        <f>股权价值增加表!W42</f>
        <v>299618052.9200002</v>
      </c>
      <c r="X2" s="26">
        <f>股权价值增加表!X42</f>
        <v>132559099.79000008</v>
      </c>
      <c r="Y2" s="26">
        <f>股权价值增加表!Y42</f>
        <v>515149364.63999999</v>
      </c>
      <c r="Z2" s="26">
        <f>股权价值增加表!Z42</f>
        <v>446367609.60999984</v>
      </c>
      <c r="AA2" s="26">
        <f>股权价值增加表!AA42</f>
        <v>291343762.23000002</v>
      </c>
      <c r="AB2" s="26">
        <f>股权价值增加表!AB42</f>
        <v>138070147.14000005</v>
      </c>
      <c r="AC2" s="26">
        <f>股权价值增加表!AC42</f>
        <v>553657410.12000024</v>
      </c>
      <c r="AD2" s="26">
        <f>股权价值增加表!AD42</f>
        <v>492958897.48000002</v>
      </c>
      <c r="AE2" s="26">
        <f>股权价值增加表!AE42</f>
        <v>306839985.50999999</v>
      </c>
      <c r="AF2" s="26">
        <f>股权价值增加表!AF42</f>
        <v>132186998.08999988</v>
      </c>
      <c r="AG2" s="26">
        <f>股权价值增加表!AG42</f>
        <v>675064732.08000064</v>
      </c>
      <c r="AH2" s="26">
        <f>股权价值增加表!AH42</f>
        <v>527429350.01999944</v>
      </c>
      <c r="AI2" s="26">
        <f>股权价值增加表!AI42</f>
        <v>306026614.79999995</v>
      </c>
      <c r="AJ2" s="26">
        <f>股权价值增加表!AJ42</f>
        <v>84804217.400000095</v>
      </c>
      <c r="AK2" s="26">
        <f>股权价值增加表!AK42</f>
        <v>714096064.89000022</v>
      </c>
      <c r="AL2" s="26">
        <f>股权价值增加表!AL42</f>
        <v>557867347.5599997</v>
      </c>
      <c r="AM2" s="26">
        <f>股权价值增加表!AM42</f>
        <v>367728369.75999969</v>
      </c>
      <c r="AN2" s="26">
        <f>股权价值增加表!AN42</f>
        <v>145835076.66999999</v>
      </c>
      <c r="AO2" s="26">
        <f>股权价值增加表!AO42</f>
        <v>639819997.00999951</v>
      </c>
      <c r="AP2" s="26">
        <f>股权价值增加表!AP42</f>
        <v>465410475.67000008</v>
      </c>
      <c r="AQ2" s="26">
        <f>股权价值增加表!AQ42</f>
        <v>271531849.25</v>
      </c>
      <c r="AR2" s="26">
        <f>股权价值增加表!AR42</f>
        <v>112669650.92999992</v>
      </c>
      <c r="AS2" s="26">
        <f>股权价值增加表!AS42</f>
        <v>362684212.05999994</v>
      </c>
      <c r="AT2" s="26">
        <f>股权价值增加表!AT42</f>
        <v>212901025.27999994</v>
      </c>
      <c r="AU2" s="26">
        <f>股权价值增加表!AU42</f>
        <v>128551322.34999995</v>
      </c>
      <c r="AV2" s="26">
        <f>股权价值增加表!AV42</f>
        <v>67961970.499999985</v>
      </c>
      <c r="AW2" s="26">
        <f>股权价值增加表!AW42</f>
        <v>43339516.789999925</v>
      </c>
      <c r="AX2" s="26">
        <f>股权价值增加表!AX42</f>
        <v>38131164.469999991</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3582217691.6399999</v>
      </c>
      <c r="F3" s="26">
        <f>资产资本表!F107</f>
        <v>4055963877.5</v>
      </c>
      <c r="G3" s="26">
        <f>资产资本表!G107</f>
        <v>3883565149.8899999</v>
      </c>
      <c r="H3" s="26">
        <f>资产资本表!H107</f>
        <v>3655253550.6300001</v>
      </c>
      <c r="I3" s="26">
        <f>资产资本表!I107</f>
        <v>3513891765.25</v>
      </c>
      <c r="J3" s="26">
        <f>资产资本表!J107</f>
        <v>3349773040.3599997</v>
      </c>
      <c r="K3" s="26">
        <f>资产资本表!K107</f>
        <v>3200642380.9700003</v>
      </c>
      <c r="L3" s="26">
        <f>资产资本表!L107</f>
        <v>3497021467.1800003</v>
      </c>
      <c r="M3" s="26">
        <f>资产资本表!M107</f>
        <v>3358587193.2200003</v>
      </c>
      <c r="N3" s="26">
        <f>资产资本表!N107</f>
        <v>3210010480.9300003</v>
      </c>
      <c r="O3" s="26">
        <f>资产资本表!O107</f>
        <v>3007484954.3899999</v>
      </c>
      <c r="P3" s="26">
        <f>资产资本表!P107</f>
        <v>3341821962.3299999</v>
      </c>
      <c r="Q3" s="26">
        <f>资产资本表!Q107</f>
        <v>3216542064.1700001</v>
      </c>
      <c r="R3" s="26">
        <f>资产资本表!R107</f>
        <v>3141139306.7999997</v>
      </c>
      <c r="S3" s="26">
        <f>资产资本表!S107</f>
        <v>2928424915.8199997</v>
      </c>
      <c r="T3" s="26">
        <f>资产资本表!T107</f>
        <v>2828695897.2800002</v>
      </c>
      <c r="U3" s="26">
        <f>资产资本表!U107</f>
        <v>3087051456.0500002</v>
      </c>
      <c r="V3" s="26">
        <f>资产资本表!V107</f>
        <v>2995579695.4900002</v>
      </c>
      <c r="W3" s="26">
        <f>资产资本表!W107</f>
        <v>2815673583.1999998</v>
      </c>
      <c r="X3" s="26">
        <f>资产资本表!X107</f>
        <v>3087420030.0599999</v>
      </c>
      <c r="Y3" s="26">
        <f>资产资本表!Y107</f>
        <v>2954860930.27</v>
      </c>
      <c r="Z3" s="26">
        <f>资产资本表!Z107</f>
        <v>2886539002.1100001</v>
      </c>
      <c r="AA3" s="26">
        <f>资产资本表!AA107</f>
        <v>2731515154.73</v>
      </c>
      <c r="AB3" s="26">
        <f>资产资本表!AB107</f>
        <v>2728125039.6399999</v>
      </c>
      <c r="AC3" s="26">
        <f>资产资本表!AC107</f>
        <v>2590054892.5</v>
      </c>
      <c r="AD3" s="26">
        <f>资产资本表!AD107</f>
        <v>2528986636.1700001</v>
      </c>
      <c r="AE3" s="26">
        <f>资产资本表!AE107</f>
        <v>2874207724.2000003</v>
      </c>
      <c r="AF3" s="26">
        <f>资产资本表!AF107</f>
        <v>3161669736.7800002</v>
      </c>
      <c r="AG3" s="26">
        <f>资产资本表!AG107</f>
        <v>3029482738.6900001</v>
      </c>
      <c r="AH3" s="26">
        <f>资产资本表!AH107</f>
        <v>2881186459.52</v>
      </c>
      <c r="AI3" s="26">
        <f>资产资本表!AI107</f>
        <v>2659783724.2999997</v>
      </c>
      <c r="AJ3" s="26">
        <f>资产资本表!AJ107</f>
        <v>2909931326.8999996</v>
      </c>
      <c r="AK3" s="26">
        <f>资产资本表!AK107</f>
        <v>2825127109.5</v>
      </c>
      <c r="AL3" s="26">
        <f>资产资本表!AL107</f>
        <v>2668898392.1700001</v>
      </c>
      <c r="AM3" s="26">
        <f>资产资本表!AM107</f>
        <v>2478759414.3700004</v>
      </c>
      <c r="AN3" s="26">
        <f>资产资本表!AN107</f>
        <v>2562880521.2799997</v>
      </c>
      <c r="AO3" s="26">
        <f>资产资本表!AO107</f>
        <v>2417045444.6099997</v>
      </c>
      <c r="AP3" s="26">
        <f>资产资本表!AP107</f>
        <v>2225872120.29</v>
      </c>
      <c r="AQ3" s="26">
        <f>资产资本表!AQ107</f>
        <v>2171852002.2800002</v>
      </c>
      <c r="AR3" s="26">
        <f>资产资本表!AR107</f>
        <v>571003985.20999992</v>
      </c>
      <c r="AS3" s="26">
        <f>资产资本表!AS107</f>
        <v>461487114.06999999</v>
      </c>
      <c r="AT3" s="26">
        <f>资产资本表!AT107</f>
        <v>247869109.48999998</v>
      </c>
      <c r="AU3" s="26">
        <f>资产资本表!AU107</f>
        <v>73850314.379999995</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0.1823212297745625</v>
      </c>
      <c r="F4" s="59">
        <f t="shared" ref="F4:BQ4" si="0">F2/F3</f>
        <v>0.12551139817442827</v>
      </c>
      <c r="G4" s="59">
        <f t="shared" si="0"/>
        <v>8.524482960698547E-2</v>
      </c>
      <c r="H4" s="59">
        <f t="shared" si="0"/>
        <v>3.847145687219506E-2</v>
      </c>
      <c r="I4" s="59">
        <f t="shared" si="0"/>
        <v>0.2097566265611942</v>
      </c>
      <c r="J4" s="59">
        <f t="shared" si="0"/>
        <v>0.169601907363534</v>
      </c>
      <c r="K4" s="59">
        <f t="shared" si="0"/>
        <v>0.11766063060311943</v>
      </c>
      <c r="L4" s="59">
        <f t="shared" si="0"/>
        <v>4.0334945173712208E-2</v>
      </c>
      <c r="M4" s="59">
        <f t="shared" si="0"/>
        <v>0.20086356828307309</v>
      </c>
      <c r="N4" s="59">
        <f t="shared" si="0"/>
        <v>0.16714342032445834</v>
      </c>
      <c r="O4" s="59">
        <f t="shared" si="0"/>
        <v>0.11149021368521159</v>
      </c>
      <c r="P4" s="59">
        <f t="shared" si="0"/>
        <v>3.7004977992238258E-2</v>
      </c>
      <c r="Q4" s="59">
        <f t="shared" si="0"/>
        <v>0.19123015359935019</v>
      </c>
      <c r="R4" s="59">
        <f t="shared" si="0"/>
        <v>0.16252388095135969</v>
      </c>
      <c r="S4" s="59">
        <f t="shared" si="0"/>
        <v>0.11215874376551324</v>
      </c>
      <c r="T4" s="59">
        <f t="shared" si="0"/>
        <v>4.314550194573967E-2</v>
      </c>
      <c r="U4" s="59">
        <f t="shared" si="0"/>
        <v>0.18414226058847807</v>
      </c>
      <c r="V4" s="59">
        <f t="shared" si="0"/>
        <v>0.15974342659968041</v>
      </c>
      <c r="W4" s="59">
        <f t="shared" si="0"/>
        <v>0.10641079090548759</v>
      </c>
      <c r="X4" s="59">
        <f t="shared" si="0"/>
        <v>4.2935233463334097E-2</v>
      </c>
      <c r="Y4" s="59">
        <f t="shared" si="0"/>
        <v>0.1743396311355094</v>
      </c>
      <c r="Z4" s="59">
        <f t="shared" si="0"/>
        <v>0.15463765058560247</v>
      </c>
      <c r="AA4" s="59">
        <f t="shared" si="0"/>
        <v>0.10666013026707818</v>
      </c>
      <c r="AB4" s="59">
        <f t="shared" si="0"/>
        <v>5.0609904287312144E-2</v>
      </c>
      <c r="AC4" s="59">
        <f t="shared" si="0"/>
        <v>0.21376280932238978</v>
      </c>
      <c r="AD4" s="59">
        <f t="shared" si="0"/>
        <v>0.19492348849520097</v>
      </c>
      <c r="AE4" s="59">
        <f t="shared" si="0"/>
        <v>0.10675637078228403</v>
      </c>
      <c r="AF4" s="59">
        <f t="shared" si="0"/>
        <v>4.1809236604398038E-2</v>
      </c>
      <c r="AG4" s="59">
        <f t="shared" si="0"/>
        <v>0.22283168128296058</v>
      </c>
      <c r="AH4" s="59">
        <f t="shared" si="0"/>
        <v>0.18305977673790266</v>
      </c>
      <c r="AI4" s="59">
        <f t="shared" si="0"/>
        <v>0.11505695444487309</v>
      </c>
      <c r="AJ4" s="59">
        <f t="shared" si="0"/>
        <v>2.9143030495617745E-2</v>
      </c>
      <c r="AK4" s="59">
        <f t="shared" si="0"/>
        <v>0.25276599501973673</v>
      </c>
      <c r="AL4" s="59">
        <f t="shared" si="0"/>
        <v>0.20902532265621951</v>
      </c>
      <c r="AM4" s="59">
        <f t="shared" si="0"/>
        <v>0.14835177937325605</v>
      </c>
      <c r="AN4" s="59">
        <f t="shared" si="0"/>
        <v>5.6902799587849856E-2</v>
      </c>
      <c r="AO4" s="59">
        <f t="shared" si="0"/>
        <v>0.26471161245097613</v>
      </c>
      <c r="AP4" s="59">
        <f t="shared" si="0"/>
        <v>0.20909129119662256</v>
      </c>
      <c r="AQ4" s="59">
        <f t="shared" si="0"/>
        <v>0.12502318250274289</v>
      </c>
      <c r="AR4" s="59">
        <f t="shared" si="0"/>
        <v>0.19731850188149397</v>
      </c>
      <c r="AS4" s="59">
        <f t="shared" si="0"/>
        <v>0.78590322676915902</v>
      </c>
      <c r="AT4" s="59">
        <f t="shared" si="0"/>
        <v>0.85892520337871792</v>
      </c>
      <c r="AU4" s="59">
        <f t="shared" si="0"/>
        <v>1.7407010847446571</v>
      </c>
      <c r="AV4" s="59" t="e">
        <f t="shared" si="0"/>
        <v>#DIV/0!</v>
      </c>
      <c r="AW4" s="59">
        <f t="shared" si="0"/>
        <v>5.2246698440798116E-3</v>
      </c>
      <c r="AX4" s="59">
        <f t="shared" si="0"/>
        <v>4.6845994179020049E-3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366536919.5287993</v>
      </c>
      <c r="F5" s="26">
        <f>股权价值增加表!F47</f>
        <v>184592587.01000059</v>
      </c>
      <c r="G5" s="26">
        <f>股权价值增加表!G47</f>
        <v>20368637.478800058</v>
      </c>
      <c r="H5" s="26">
        <f>股权价值增加表!H47</f>
        <v>-151797354.72040009</v>
      </c>
      <c r="I5" s="26">
        <f>股权价值增加表!I47</f>
        <v>455950741.5599997</v>
      </c>
      <c r="J5" s="26">
        <f>股权价值增加表!J47</f>
        <v>300146053.65120029</v>
      </c>
      <c r="K5" s="26">
        <f>股权价值增加表!K47</f>
        <v>120538210.4023999</v>
      </c>
      <c r="L5" s="26">
        <f>股权价值增加表!L47</f>
        <v>-138709548.22440007</v>
      </c>
      <c r="M5" s="26">
        <f>股权价值增加表!M47</f>
        <v>405930832.56240034</v>
      </c>
      <c r="N5" s="26">
        <f>股权价值增加表!N47</f>
        <v>279731292.58559972</v>
      </c>
      <c r="O5" s="26">
        <f>股权价值增加表!O47</f>
        <v>94706343.868799925</v>
      </c>
      <c r="P5" s="26">
        <f>股权价值增加表!P47</f>
        <v>-143681708.81639987</v>
      </c>
      <c r="Q5" s="26">
        <f>股权价值增加表!Q47</f>
        <v>357776467.85640001</v>
      </c>
      <c r="R5" s="26">
        <f>股权价值增加表!R47</f>
        <v>259219006.20599967</v>
      </c>
      <c r="S5" s="26">
        <f>股权价值增加表!S47</f>
        <v>94174466.504400015</v>
      </c>
      <c r="T5" s="26">
        <f>股权价值增加表!T47</f>
        <v>-104250167.44239995</v>
      </c>
      <c r="U5" s="26">
        <f>股权价值增加表!U47</f>
        <v>321492517.18599981</v>
      </c>
      <c r="V5" s="26">
        <f>股权价值增加表!V47</f>
        <v>238877789.57079989</v>
      </c>
      <c r="W5" s="26">
        <f>股权价值增加表!W47</f>
        <v>74364166.264000207</v>
      </c>
      <c r="X5" s="26">
        <f>股权价值增加表!X47</f>
        <v>-114434502.61479992</v>
      </c>
      <c r="Y5" s="26">
        <f>股权价值增加表!Y47</f>
        <v>278760490.2184</v>
      </c>
      <c r="Z5" s="26">
        <f>股权价值增加表!Z47</f>
        <v>215444489.44119981</v>
      </c>
      <c r="AA5" s="26">
        <f>股权价值增加表!AA47</f>
        <v>72822549.851600021</v>
      </c>
      <c r="AB5" s="26">
        <f>股权价值增加表!AB47</f>
        <v>-80179856.031199962</v>
      </c>
      <c r="AC5" s="26">
        <f>股权价值增加表!AC47</f>
        <v>346453018.72000027</v>
      </c>
      <c r="AD5" s="26">
        <f>股权价值增加表!AD47</f>
        <v>290639966.58640003</v>
      </c>
      <c r="AE5" s="26">
        <f>股权价值增加表!AE47</f>
        <v>76903367.574000001</v>
      </c>
      <c r="AF5" s="26">
        <f>股权价值增加表!AF47</f>
        <v>-120746580.85240012</v>
      </c>
      <c r="AG5" s="26">
        <f>股权价值增加表!AG47</f>
        <v>432706112.98480064</v>
      </c>
      <c r="AH5" s="26">
        <f>股权价值增加表!AH47</f>
        <v>296934433.25839943</v>
      </c>
      <c r="AI5" s="26">
        <f>股权价值增加表!AI47</f>
        <v>93243916.855999947</v>
      </c>
      <c r="AJ5" s="26">
        <f>股权价值增加表!AJ47</f>
        <v>-147990288.75199991</v>
      </c>
      <c r="AK5" s="26">
        <f>股权价值增加表!AK47</f>
        <v>488085896.13000023</v>
      </c>
      <c r="AL5" s="26">
        <f>股权价值增加表!AL47</f>
        <v>344355476.1863997</v>
      </c>
      <c r="AM5" s="26">
        <f>股权价值增加表!AM47</f>
        <v>169427616.61039969</v>
      </c>
      <c r="AN5" s="26">
        <f>股权价值增加表!AN47</f>
        <v>-59195365.032400042</v>
      </c>
      <c r="AO5" s="26">
        <f>股权价值增加表!AO47</f>
        <v>446456361.44119954</v>
      </c>
      <c r="AP5" s="26">
        <f>股权价值增加表!AP47</f>
        <v>287340706.04680008</v>
      </c>
      <c r="AQ5" s="26">
        <f>股权价值增加表!AQ47</f>
        <v>97783689.067599982</v>
      </c>
      <c r="AR5" s="26">
        <f>股权价值增加表!AR47</f>
        <v>66989332.113199912</v>
      </c>
      <c r="AS5" s="26">
        <f>股权价值增加表!AS47</f>
        <v>325765242.93439996</v>
      </c>
      <c r="AT5" s="26">
        <f>股权价值增加表!AT47</f>
        <v>193071496.52079993</v>
      </c>
      <c r="AU5" s="26">
        <f>股权价值增加表!AU47</f>
        <v>122643297.19959995</v>
      </c>
      <c r="AV5" s="26">
        <f>股权价值增加表!AV47</f>
        <v>67961970.499999985</v>
      </c>
      <c r="AW5" s="26">
        <f>股权价值增加表!AW47</f>
        <v>43339516.789999925</v>
      </c>
      <c r="AX5" s="26">
        <f>股权价值增加表!AX47</f>
        <v>38131164.469999991</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0.10614094921163802</v>
      </c>
      <c r="F6" s="158">
        <f>股权价值增加表!F31/股权价值增加表!F4</f>
        <v>0.12276250163739776</v>
      </c>
      <c r="G6" s="158">
        <f>股权价值增加表!G31/股权价值增加表!G4</f>
        <v>0.12430947837030028</v>
      </c>
      <c r="H6" s="158">
        <f>股权价值增加表!H31/股权价值增加表!H4</f>
        <v>0.1165683415965804</v>
      </c>
      <c r="I6" s="158">
        <f>股权价值增加表!I31/股权价值增加表!I4</f>
        <v>0.11764338577755784</v>
      </c>
      <c r="J6" s="158">
        <f>股权价值增加表!J31/股权价值增加表!J4</f>
        <v>0.13182119775731152</v>
      </c>
      <c r="K6" s="158">
        <f>股权价值增加表!K31/股权价值增加表!K4</f>
        <v>0.13617384043706579</v>
      </c>
      <c r="L6" s="158">
        <f>股权价值增加表!L31/股权价值增加表!L4</f>
        <v>0.10686867024567975</v>
      </c>
      <c r="M6" s="158">
        <f>股权价值增加表!M31/股权价值增加表!M4</f>
        <v>0.11299457797689581</v>
      </c>
      <c r="N6" s="158">
        <f>股权价值增加表!N31/股权价值增加表!N4</f>
        <v>0.12605888844628296</v>
      </c>
      <c r="O6" s="158">
        <f>股权价值增加表!O31/股权价值增加表!O4</f>
        <v>0.12490543626121446</v>
      </c>
      <c r="P6" s="158">
        <f>股权价值增加表!P31/股权价值增加表!P4</f>
        <v>0.10528034038282709</v>
      </c>
      <c r="Q6" s="158">
        <f>股权价值增加表!Q31/股权价值增加表!Q4</f>
        <v>0.12727269051497661</v>
      </c>
      <c r="R6" s="158">
        <f>股权价值增加表!R31/股权价值增加表!R4</f>
        <v>0.15481751704581986</v>
      </c>
      <c r="S6" s="158">
        <f>股权价值增加表!S31/股权价值增加表!S4</f>
        <v>0.15621567406788683</v>
      </c>
      <c r="T6" s="158">
        <f>股权价值增加表!T31/股权价值增加表!T4</f>
        <v>0.12940295270226104</v>
      </c>
      <c r="U6" s="158">
        <f>股权价值增加表!U31/股权价值增加表!U4</f>
        <v>0.13059952087177312</v>
      </c>
      <c r="V6" s="158">
        <f>股权价值增加表!V31/股权价值增加表!V4</f>
        <v>0.151811040213886</v>
      </c>
      <c r="W6" s="158">
        <f>股权价值增加表!W31/股权价值增加表!W4</f>
        <v>0.14278435871591819</v>
      </c>
      <c r="X6" s="158">
        <f>股权价值增加表!X31/股权价值增加表!X4</f>
        <v>0.13670707863108375</v>
      </c>
      <c r="Y6" s="158">
        <f>股权价值增加表!Y31/股权价值增加表!Y4</f>
        <v>0.13203042451428837</v>
      </c>
      <c r="Z6" s="158">
        <f>股权价值增加表!Z31/股权价值增加表!Z4</f>
        <v>0.14677575855436534</v>
      </c>
      <c r="AA6" s="158">
        <f>股权价值增加表!AA31/股权价值增加表!AA4</f>
        <v>0.14396727808525317</v>
      </c>
      <c r="AB6" s="158">
        <f>股权价值增加表!AB31/股权价值增加表!AB4</f>
        <v>0.13320876708703655</v>
      </c>
      <c r="AC6" s="158">
        <f>股权价值增加表!AC31/股权价值增加表!AC4</f>
        <v>0.13735370014316203</v>
      </c>
      <c r="AD6" s="158">
        <f>股权价值增加表!AD31/股权价值增加表!AD4</f>
        <v>0.14878986632599539</v>
      </c>
      <c r="AE6" s="158">
        <f>股权价值增加表!AE31/股权价值增加表!AE4</f>
        <v>0.14383920021173846</v>
      </c>
      <c r="AF6" s="158">
        <f>股权价值增加表!AF31/股权价值增加表!AF4</f>
        <v>0.13584414803065939</v>
      </c>
      <c r="AG6" s="158">
        <f>股权价值增加表!AG31/股权价值增加表!AG4</f>
        <v>0.15517535013588415</v>
      </c>
      <c r="AH6" s="158">
        <f>股权价值增加表!AH31/股权价值增加表!AH4</f>
        <v>0.15847594848507471</v>
      </c>
      <c r="AI6" s="158">
        <f>股权价值增加表!AI31/股权价值增加表!AI4</f>
        <v>0.15169518976389273</v>
      </c>
      <c r="AJ6" s="158">
        <f>股权价值增加表!AJ31/股权价值增加表!AJ4</f>
        <v>0.11758256151825676</v>
      </c>
      <c r="AK6" s="158">
        <f>股权价值增加表!AK31/股权价值增加表!AK4</f>
        <v>0.16015898341127735</v>
      </c>
      <c r="AL6" s="158">
        <f>股权价值增加表!AL31/股权价值增加表!AL4</f>
        <v>0.1846086168910698</v>
      </c>
      <c r="AM6" s="158">
        <f>股权价值增加表!AM31/股权价值增加表!AM4</f>
        <v>0.18445417864390926</v>
      </c>
      <c r="AN6" s="158">
        <f>股权价值增加表!AN31/股权价值增加表!AN4</f>
        <v>0.17638697949715565</v>
      </c>
      <c r="AO6" s="158">
        <f>股权价值增加表!AO31/股权价值增加表!AO4</f>
        <v>0.16416808500837132</v>
      </c>
      <c r="AP6" s="158">
        <f>股权价值增加表!AP31/股权价值增加表!AP4</f>
        <v>0.19618274307832784</v>
      </c>
      <c r="AQ6" s="158">
        <f>股权价值增加表!AQ31/股权价值增加表!AQ4</f>
        <v>0.19684249378648688</v>
      </c>
      <c r="AR6" s="158">
        <f>股权价值增加表!AR31/股权价值增加表!AR4</f>
        <v>0.19120354829059769</v>
      </c>
      <c r="AS6" s="158">
        <f>股权价值增加表!AS31/股权价值增加表!AS4</f>
        <v>0.21228890655561136</v>
      </c>
      <c r="AT6" s="158">
        <f>股权价值增加表!AT31/股权价值增加表!AT4</f>
        <v>0.20161559688356367</v>
      </c>
      <c r="AU6" s="158">
        <f>股权价值增加表!AU31/股权价值增加表!AU4</f>
        <v>0.20602028267662065</v>
      </c>
      <c r="AV6" s="158">
        <f>股权价值增加表!AV31/股权价值增加表!AV4</f>
        <v>0.22894561977775785</v>
      </c>
      <c r="AW6" s="158">
        <f>股权价值增加表!AW31/股权价值增加表!AW4</f>
        <v>4.3956520178332965E-2</v>
      </c>
      <c r="AX6" s="158">
        <f>股权价值增加表!AX31/股权价值增加表!AX4</f>
        <v>5.7195959909242901E-2</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2.0202205054361646</v>
      </c>
      <c r="F7" s="61">
        <f>股权价值增加表!F4/资产资本表!F70</f>
        <v>1.2471441967034005</v>
      </c>
      <c r="G7" s="61">
        <f>股权价值增加表!G4/资产资本表!G70</f>
        <v>0.83840466906242617</v>
      </c>
      <c r="H7" s="61">
        <f>股权价值增加表!H4/资产资本表!H70</f>
        <v>0.40460004836062202</v>
      </c>
      <c r="I7" s="61">
        <f>股权价值增加表!I4/资产资本表!I70</f>
        <v>2.0717213273136554</v>
      </c>
      <c r="J7" s="61">
        <f>股权价值增加表!J4/资产资本表!J70</f>
        <v>1.4950008972194759</v>
      </c>
      <c r="K7" s="61">
        <f>股权价值增加表!K4/资产资本表!K70</f>
        <v>1.0245693840296803</v>
      </c>
      <c r="L7" s="61">
        <f>股权价值增加表!L4/资产资本表!L70</f>
        <v>0.46584198890548595</v>
      </c>
      <c r="M7" s="61">
        <f>股权价值增加表!M4/资产资本表!M70</f>
        <v>2.083365267590148</v>
      </c>
      <c r="N7" s="61">
        <f>股权价值增加表!N4/资产资本表!N70</f>
        <v>1.5403886781781946</v>
      </c>
      <c r="O7" s="61">
        <f>股权价值增加表!O4/资产资本表!O70</f>
        <v>1.0367401714479678</v>
      </c>
      <c r="P7" s="61">
        <f>股权价值增加表!P4/资产资本表!P70</f>
        <v>0.41847551023651469</v>
      </c>
      <c r="Q7" s="61">
        <f>股权价值增加表!Q4/资产资本表!Q70</f>
        <v>1.8223519824311571</v>
      </c>
      <c r="R7" s="61">
        <f>股权价值增加表!R4/资产资本表!R70</f>
        <v>1.3226907707052997</v>
      </c>
      <c r="S7" s="61">
        <f>股权价值增加表!S4/资产资本表!S70</f>
        <v>0.86650777410446378</v>
      </c>
      <c r="T7" s="61">
        <f>股权价值增加表!T4/资产资本表!T70</f>
        <v>0.36042105138348313</v>
      </c>
      <c r="U7" s="61">
        <f>股权价值增加表!U4/资产资本表!U70</f>
        <v>1.7163665472231193</v>
      </c>
      <c r="V7" s="61">
        <f>股权价值增加表!V4/资产资本表!V70</f>
        <v>1.2560438203045501</v>
      </c>
      <c r="W7" s="61">
        <f>股权价值增加表!W4/资产资本表!W70</f>
        <v>0.84652224110390317</v>
      </c>
      <c r="X7" s="61">
        <f>股权价值增加表!X4/资产资本表!X70</f>
        <v>0.37751801424548925</v>
      </c>
      <c r="Y7" s="61">
        <f>股权价值增加表!Y4/资产资本表!Y70</f>
        <v>1.6724428478292006</v>
      </c>
      <c r="Z7" s="61">
        <f>股权价值增加表!Z4/资产资本表!Z70</f>
        <v>1.2740717419171224</v>
      </c>
      <c r="AA7" s="61">
        <f>股权价值增加表!AA4/资产资本表!AA70</f>
        <v>0.90757887919353186</v>
      </c>
      <c r="AB7" s="61">
        <f>股权价值增加表!AB4/资产资本表!AB70</f>
        <v>0.46051982704054778</v>
      </c>
      <c r="AC7" s="61">
        <f>股权价值增加表!AC4/资产资本表!AC70</f>
        <v>2.0074212078846898</v>
      </c>
      <c r="AD7" s="61">
        <f>股权价值增加表!AD4/资产资本表!AD70</f>
        <v>1.374327151723463</v>
      </c>
      <c r="AE7" s="61">
        <f>股权价值增加表!AE4/资产资本表!AE70</f>
        <v>0.90326098348114658</v>
      </c>
      <c r="AF7" s="61">
        <f>股权价值增加表!AF4/资产资本表!AF70</f>
        <v>0.38733697691246682</v>
      </c>
      <c r="AG7" s="61">
        <f>股权价值增加表!AG4/资产资本表!AG70</f>
        <v>1.7648244612121211</v>
      </c>
      <c r="AH7" s="61">
        <f>股权价值增加表!AH4/资产资本表!AH70</f>
        <v>1.3878719495079741</v>
      </c>
      <c r="AI7" s="61">
        <f>股权价值增加表!AI4/资产资本表!AI70</f>
        <v>0.90518155487383734</v>
      </c>
      <c r="AJ7" s="61">
        <f>股权价值增加表!AJ4/资产资本表!AJ70</f>
        <v>0.2908312919678338</v>
      </c>
      <c r="AK7" s="61">
        <f>股权价值增加表!AK4/资产资本表!AK70</f>
        <v>1.6411384744987878</v>
      </c>
      <c r="AL7" s="61">
        <f>股权价值增加表!AL4/资产资本表!AL70</f>
        <v>1.2606082568750321</v>
      </c>
      <c r="AM7" s="61">
        <f>股权价值增加表!AM4/资产资本表!AM70</f>
        <v>0.87992491463894362</v>
      </c>
      <c r="AN7" s="61">
        <f>股权价值增加表!AN4/资产资本表!AN70</f>
        <v>0.37587664055009401</v>
      </c>
      <c r="AO7" s="61">
        <f>股权价值增加表!AO4/资产资本表!AO70</f>
        <v>1.7887312731836555</v>
      </c>
      <c r="AP7" s="61">
        <f>股权价值增加表!AP4/资产资本表!AP70</f>
        <v>1.2285054190731017</v>
      </c>
      <c r="AQ7" s="61">
        <f>股权价值增加表!AQ4/资产资本表!AQ70</f>
        <v>0.74316821121585475</v>
      </c>
      <c r="AR7" s="61">
        <f>股权价值增加表!AR4/资产资本表!AR70</f>
        <v>1.2289832897084134</v>
      </c>
      <c r="AS7" s="61">
        <f>股权价值增加表!AS4/资产资本表!AS70</f>
        <v>4.2098800184165235</v>
      </c>
      <c r="AT7" s="61">
        <f>股权价值增加表!AT4/资产资本表!AT70</f>
        <v>4.8325901017057795</v>
      </c>
      <c r="AU7" s="61">
        <f>股权价值增加表!AU4/资产资本表!AU70</f>
        <v>9.5008292197604582</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0.21442812206380965</v>
      </c>
      <c r="F8" s="63">
        <f>股权价值增加表!F31/资产资本表!F70</f>
        <v>0.15310254148987232</v>
      </c>
      <c r="G8" s="63">
        <f>股权价值增加表!G31/资产资本表!G70</f>
        <v>0.10422164707437444</v>
      </c>
      <c r="H8" s="63">
        <f>股权价值增加表!H31/资产资本表!H70</f>
        <v>4.7163556647293936E-2</v>
      </c>
      <c r="I8" s="63">
        <f>股权价值增加表!I31/资产资本表!I70</f>
        <v>0.24372431133275452</v>
      </c>
      <c r="J8" s="63">
        <f>股权价值增加表!J31/资产资本表!J70</f>
        <v>0.19707280891972667</v>
      </c>
      <c r="K8" s="63">
        <f>股权价值增加表!K31/资产资本表!K70</f>
        <v>0.13951954781756046</v>
      </c>
      <c r="L8" s="63">
        <f>股权价值增加表!L31/资产资本表!L70</f>
        <v>4.9783913898931983E-2</v>
      </c>
      <c r="M8" s="63">
        <f>股权价值增加表!M31/资产资本表!M70</f>
        <v>0.23540897918307138</v>
      </c>
      <c r="N8" s="63">
        <f>股权价值增加表!N31/资产资本表!N70</f>
        <v>0.19417968454638229</v>
      </c>
      <c r="O8" s="63">
        <f>股权价值增加表!O31/资产资本表!O70</f>
        <v>0.12949448340423469</v>
      </c>
      <c r="P8" s="63">
        <f>股权价值增加表!P31/资产资本表!P70</f>
        <v>4.4057244159577506E-2</v>
      </c>
      <c r="Q8" s="63">
        <f>股权价值增加表!Q31/资产资本表!Q70</f>
        <v>0.23193563986931476</v>
      </c>
      <c r="R8" s="63">
        <f>股权价值增加表!R31/资产资本表!R70</f>
        <v>0.20477570094001635</v>
      </c>
      <c r="S8" s="63">
        <f>股权价值增加表!S31/资产资本表!S70</f>
        <v>0.13536209601679303</v>
      </c>
      <c r="T8" s="63">
        <f>股权价值增加表!T31/资产资本表!T70</f>
        <v>4.6639548265076061E-2</v>
      </c>
      <c r="U8" s="63">
        <f>股权价值增加表!U31/资产资本表!U70</f>
        <v>0.22415664870767893</v>
      </c>
      <c r="V8" s="63">
        <f>股权价值增加表!V31/资产资本表!V70</f>
        <v>0.19068131891465703</v>
      </c>
      <c r="W8" s="63">
        <f>股权价值增加表!W31/资产资本表!W70</f>
        <v>0.12087013533478268</v>
      </c>
      <c r="X8" s="63">
        <f>股权价值增加表!X31/资产资本表!X70</f>
        <v>5.1609384858108696E-2</v>
      </c>
      <c r="Y8" s="63">
        <f>股权价值增加表!Y31/资产资本表!Y70</f>
        <v>0.22081333917477475</v>
      </c>
      <c r="Z8" s="63">
        <f>股权价值增加表!Z31/资产资本表!Z70</f>
        <v>0.18700284637256723</v>
      </c>
      <c r="AA8" s="63">
        <f>股权价值增加表!AA31/资产资本表!AA70</f>
        <v>0.1306616608851576</v>
      </c>
      <c r="AB8" s="63">
        <f>股权价值增加表!AB31/资产资本表!AB70</f>
        <v>6.134527837920669E-2</v>
      </c>
      <c r="AC8" s="63">
        <f>股权价值增加表!AC31/资产资本表!AC70</f>
        <v>0.27572673064881781</v>
      </c>
      <c r="AD8" s="63">
        <f>股权价值增加表!AD31/资产资本表!AD70</f>
        <v>0.20448595319312005</v>
      </c>
      <c r="AE8" s="63">
        <f>股权价值增加表!AE31/资产资本表!AE70</f>
        <v>0.12992433744639645</v>
      </c>
      <c r="AF8" s="63">
        <f>股权价值增加表!AF31/资产资本表!AF70</f>
        <v>5.2617461629445236E-2</v>
      </c>
      <c r="AG8" s="63">
        <f>股权价值增加表!AG31/资产资本表!AG70</f>
        <v>0.27385725369696401</v>
      </c>
      <c r="AH8" s="63">
        <f>股权价值增加表!AH31/资产资本表!AH70</f>
        <v>0.2199443235741059</v>
      </c>
      <c r="AI8" s="63">
        <f>股权价值增加表!AI31/资产资本表!AI70</f>
        <v>0.13731168773736224</v>
      </c>
      <c r="AJ8" s="63">
        <f>股权价值增加表!AJ31/资产资本表!AJ70</f>
        <v>3.4196688279241917E-2</v>
      </c>
      <c r="AK8" s="63">
        <f>股权价值增加表!AK31/资产资本表!AK70</f>
        <v>0.26284306971286037</v>
      </c>
      <c r="AL8" s="63">
        <f>股权价值增加表!AL31/资产资本表!AL70</f>
        <v>0.23271914674316213</v>
      </c>
      <c r="AM8" s="63">
        <f>股权价值增加表!AM31/资产资本表!AM70</f>
        <v>0.16230582739803831</v>
      </c>
      <c r="AN8" s="63">
        <f>股权价值增加表!AN31/资产资本表!AN70</f>
        <v>6.6299745290169174E-2</v>
      </c>
      <c r="AO8" s="63">
        <f>股权价值增加表!AO31/资产资本表!AO70</f>
        <v>0.29365258771314667</v>
      </c>
      <c r="AP8" s="63">
        <f>股权价值增加表!AP31/资产资本表!AP70</f>
        <v>0.24101156300035181</v>
      </c>
      <c r="AQ8" s="63">
        <f>股权价值增加表!AQ31/资产资本表!AQ70</f>
        <v>0.14628708399857146</v>
      </c>
      <c r="AR8" s="63">
        <f>股权价值增加表!AR31/资产资本表!AR70</f>
        <v>0.23498596578210024</v>
      </c>
      <c r="AS8" s="63">
        <f>股权价值增加表!AS31/资产资本表!AS70</f>
        <v>0.89371082583996075</v>
      </c>
      <c r="AT8" s="63">
        <f>股权价值增加表!AT31/资产资本表!AT70</f>
        <v>0.97432553784901244</v>
      </c>
      <c r="AU8" s="63">
        <f>股权价值增加表!AU31/资产资本表!AU70</f>
        <v>1.9573635215173466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0.98907572989217707</v>
      </c>
      <c r="F9" s="158">
        <f>股权价值增加表!F38/股权价值增加表!F31</f>
        <v>0.99725572290038367</v>
      </c>
      <c r="G9" s="158">
        <f>股权价值增加表!G38/股权价值增加表!G31</f>
        <v>0.99891253077637787</v>
      </c>
      <c r="H9" s="158">
        <f>股权价值增加表!H38/股权价值增加表!H31</f>
        <v>1.0064623364374663</v>
      </c>
      <c r="I9" s="158">
        <f>股权价值增加表!I38/股权价值增加表!I31</f>
        <v>0.99676799178224917</v>
      </c>
      <c r="J9" s="158">
        <f>股权价值增加表!J38/股权价值增加表!J31</f>
        <v>1.0140606475195564</v>
      </c>
      <c r="K9" s="158">
        <f>股权价值增加表!K38/股权价值增加表!K31</f>
        <v>1.0088231277475448</v>
      </c>
      <c r="L9" s="158">
        <f>股权价值增加表!L38/股权价值增加表!L31</f>
        <v>1.0042782673824526</v>
      </c>
      <c r="M9" s="158">
        <f>股权价值增加表!M38/股权价值增加表!M31</f>
        <v>0.99562347674603791</v>
      </c>
      <c r="N9" s="158">
        <f>股权价值增加表!N38/股权价值增加表!N31</f>
        <v>1.0153721647019662</v>
      </c>
      <c r="O9" s="158">
        <f>股权价值增加表!O38/股权价值增加表!O31</f>
        <v>1.0153796581518513</v>
      </c>
      <c r="P9" s="158">
        <f>股权价值增加表!P38/股权价值增加表!P31</f>
        <v>1.0428262751194481</v>
      </c>
      <c r="Q9" s="158">
        <f>股权价值增加表!Q38/股权价值增加表!Q31</f>
        <v>0.99956363625160638</v>
      </c>
      <c r="R9" s="158">
        <f>股权价值增加表!R38/股权价值增加表!R31</f>
        <v>1.0154648688761734</v>
      </c>
      <c r="S9" s="158">
        <f>股权价值增加表!S38/股权价值增加表!S31</f>
        <v>1.0213281922690352</v>
      </c>
      <c r="T9" s="158">
        <f>股权价值增加表!T38/股权价值增加表!T31</f>
        <v>1.0227786092957598</v>
      </c>
      <c r="U9" s="158">
        <f>股权价值增加表!U38/股权价值增加表!U31</f>
        <v>0.99778789709018578</v>
      </c>
      <c r="V9" s="158">
        <f>股权价值增加表!V38/股权价值增加表!V31</f>
        <v>1.0271730214218004</v>
      </c>
      <c r="W9" s="158">
        <f>股权价值增加表!W38/股权价值增加表!W31</f>
        <v>1.0374084215991723</v>
      </c>
      <c r="X9" s="158">
        <f>股权价值增加表!X38/股权价值增加表!X31</f>
        <v>1.0404958338339025</v>
      </c>
      <c r="Y9" s="158">
        <f>股权价值增加表!Y38/股权价值增加表!Y31</f>
        <v>1.0007047449859454</v>
      </c>
      <c r="Z9" s="158">
        <f>股权价值增加表!Z38/股权价值增加表!Z31</f>
        <v>1.0471516138824666</v>
      </c>
      <c r="AA9" s="158">
        <f>股权价值增加表!AA38/股权价值增加表!AA31</f>
        <v>1.0498496774584383</v>
      </c>
      <c r="AB9" s="158">
        <f>股权价值增加表!AB38/股权价值增加表!AB31</f>
        <v>1.0500247997685659</v>
      </c>
      <c r="AC9" s="158">
        <f>股权价值增加表!AC38/股权价值增加表!AC31</f>
        <v>0.9994822585551415</v>
      </c>
      <c r="AD9" s="158">
        <f>股权价值增加表!AD38/股权价值增加表!AD31</f>
        <v>1.0478025356904632</v>
      </c>
      <c r="AE9" s="158">
        <f>股权价值增加表!AE38/股权价值增加表!AE31</f>
        <v>1.0511204384739958</v>
      </c>
      <c r="AF9" s="158">
        <f>股权价值增加表!AF38/股权价值增加表!AF31</f>
        <v>1.0158672234013666</v>
      </c>
      <c r="AG9" s="158">
        <f>股权价值增加表!AG38/股权价值增加表!AG31</f>
        <v>0.99920339849641138</v>
      </c>
      <c r="AH9" s="158">
        <f>股权价值增加表!AH38/股权价值增加表!AH31</f>
        <v>1.0433937175209895</v>
      </c>
      <c r="AI9" s="158">
        <f>股权价值增加表!AI38/股权价值增加表!AI31</f>
        <v>1.0520568581133518</v>
      </c>
      <c r="AJ9" s="158">
        <f>股权价值增加表!AJ38/股权价值增加表!AJ31</f>
        <v>1.0381676927602095</v>
      </c>
      <c r="AK9" s="158">
        <f>股权价值增加表!AK38/股权价值增加表!AK31</f>
        <v>1.0577108758557534</v>
      </c>
      <c r="AL9" s="158">
        <f>股权价值增加表!AL38/股权价值增加表!AL31</f>
        <v>1.0507718844660472</v>
      </c>
      <c r="AM9" s="158">
        <f>股权价值增加表!AM38/股权价值增加表!AM31</f>
        <v>1.0697957756770073</v>
      </c>
      <c r="AN9" s="158">
        <f>股权价值增加表!AN38/股权价值增加表!AN31</f>
        <v>1.0140812738070331</v>
      </c>
      <c r="AO9" s="158">
        <f>股权价值增加表!AO38/股权价值增加表!AO31</f>
        <v>1.0335434938675274</v>
      </c>
      <c r="AP9" s="158">
        <f>股权价值增加表!AP38/股权价值增加表!AP31</f>
        <v>1.0110298825752069</v>
      </c>
      <c r="AQ9" s="158">
        <f>股权价值增加表!AQ38/股权价值增加表!AQ31</f>
        <v>1.0063277234753527</v>
      </c>
      <c r="AR9" s="158">
        <f>股权价值增加表!AR38/股权价值增加表!AR31</f>
        <v>1.0038762724794252</v>
      </c>
      <c r="AS9" s="158">
        <f>股权价值增加表!AS38/股权价值增加表!AS31</f>
        <v>1.0064013745139779</v>
      </c>
      <c r="AT9" s="158">
        <f>股权价值增加表!AT38/股权价值增加表!AT31</f>
        <v>1.0077832795458697</v>
      </c>
      <c r="AU9" s="158">
        <f>股权价值增加表!AU38/股权价值增加表!AU31</f>
        <v>1.0066252252951355</v>
      </c>
      <c r="AV9" s="158">
        <f>股权价值增加表!AV38/股权价值增加表!AV31</f>
        <v>1.0052172076336261</v>
      </c>
      <c r="AW9" s="158">
        <f>股权价值增加表!AW38/股权价值增加表!AW31</f>
        <v>1.0558446475192429</v>
      </c>
      <c r="AX9" s="158">
        <f>股权价值增加表!AX38/股权价值增加表!AX31</f>
        <v>1.0047200197756321</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1.0014723520885704</v>
      </c>
      <c r="F10" s="61">
        <f>资产资本表!F70/资产资本表!F107</f>
        <v>1.0014849385526856</v>
      </c>
      <c r="G10" s="61">
        <f>资产资本表!G70/资产资本表!G107</f>
        <v>1.0039357492330039</v>
      </c>
      <c r="H10" s="61">
        <f>资产资本表!H70/资产资本表!H107</f>
        <v>1.0044171026076198</v>
      </c>
      <c r="I10" s="61">
        <f>资产资本表!I70/资产资本表!I107</f>
        <v>1.0048078320416902</v>
      </c>
      <c r="J10" s="61">
        <f>资产资本表!J70/资产资本表!J107</f>
        <v>1.0052668561832188</v>
      </c>
      <c r="K10" s="61">
        <f>资产资本表!K70/资产资本表!K107</f>
        <v>1.009369198651588</v>
      </c>
      <c r="L10" s="61">
        <f>资产资本表!L70/资产资本表!L107</f>
        <v>1.0084229010277574</v>
      </c>
      <c r="M10" s="61">
        <f>资产资本表!M70/资产资本表!M107</f>
        <v>1.0089929590635525</v>
      </c>
      <c r="N10" s="61">
        <f>资产资本表!N70/资产资本表!N107</f>
        <v>1.0143839183218561</v>
      </c>
      <c r="O10" s="61">
        <f>资产资本表!O70/资产资本表!O107</f>
        <v>1.0156014413077978</v>
      </c>
      <c r="P10" s="61">
        <f>资产资本表!P70/资产资本表!P107</f>
        <v>1.0132147289495967</v>
      </c>
      <c r="Q10" s="61">
        <f>资产资本表!Q70/资产资本表!Q107</f>
        <v>1.0139621500244826</v>
      </c>
      <c r="R10" s="61">
        <f>资产资本表!R70/资产资本表!R107</f>
        <v>1.00477715657103</v>
      </c>
      <c r="S10" s="61">
        <f>资产资本表!S70/资产资本表!S107</f>
        <v>1.0381414203610284</v>
      </c>
      <c r="T10" s="61">
        <f>资产资本表!T70/资产资本表!T107</f>
        <v>1.1406041663766131</v>
      </c>
      <c r="U10" s="61">
        <f>资产资本表!U70/资产资本表!U107</f>
        <v>1.0055883190855763</v>
      </c>
      <c r="V10" s="61">
        <f>资产资本表!V70/资产资本表!V107</f>
        <v>0.99999999999999989</v>
      </c>
      <c r="W10" s="61">
        <f>资产资本表!W70/资产资本表!W107</f>
        <v>1.0435605045740446</v>
      </c>
      <c r="X10" s="61">
        <f>资产资本表!X70/资产资本表!X107</f>
        <v>1.0000000000000002</v>
      </c>
      <c r="Y10" s="61">
        <f>资产资本表!Y70/资产资本表!Y107</f>
        <v>1</v>
      </c>
      <c r="Z10" s="61">
        <f>资产资本表!Z70/资产资本表!Z107</f>
        <v>1</v>
      </c>
      <c r="AA10" s="61">
        <f>资产资本表!AA70/资产资本表!AA107</f>
        <v>1</v>
      </c>
      <c r="AB10" s="61">
        <f>资产资本表!AB70/资产资本表!AB107</f>
        <v>0.99999999999999978</v>
      </c>
      <c r="AC10" s="61">
        <f>资产资本表!AC70/资产资本表!AC107</f>
        <v>1</v>
      </c>
      <c r="AD10" s="61">
        <f>资产资本表!AD70/资产资本表!AD107</f>
        <v>1.1527688305166788</v>
      </c>
      <c r="AE10" s="61">
        <f>资产资本表!AE70/资产资本表!AE107</f>
        <v>0.99999999999999989</v>
      </c>
      <c r="AF10" s="61">
        <f>资产资本表!AF70/资产资本表!AF107</f>
        <v>1</v>
      </c>
      <c r="AG10" s="61">
        <f>资产资本表!AG70/资产资本表!AG107</f>
        <v>1</v>
      </c>
      <c r="AH10" s="61">
        <f>资产资本表!AH70/资产资本表!AH107</f>
        <v>1</v>
      </c>
      <c r="AI10" s="61">
        <f>资产资本表!AI70/资产资本表!AI107</f>
        <v>1.0000000000000002</v>
      </c>
      <c r="AJ10" s="61">
        <f>资产资本表!AJ70/资产资本表!AJ107</f>
        <v>1.0000000000000002</v>
      </c>
      <c r="AK10" s="61">
        <f>资产资本表!AK70/资产资本表!AK107</f>
        <v>1</v>
      </c>
      <c r="AL10" s="61">
        <f>资产资本表!AL70/资产资本表!AL107</f>
        <v>1</v>
      </c>
      <c r="AM10" s="61">
        <f>资产资本表!AM70/资产资本表!AM107</f>
        <v>0.99999999999999978</v>
      </c>
      <c r="AN10" s="61">
        <f>资产资本表!AN70/资产资本表!AN107</f>
        <v>1</v>
      </c>
      <c r="AO10" s="61">
        <f>资产资本表!AO70/资产资本表!AO107</f>
        <v>1</v>
      </c>
      <c r="AP10" s="61">
        <f>资产资本表!AP70/资产资本表!AP107</f>
        <v>1</v>
      </c>
      <c r="AQ10" s="61">
        <f>资产资本表!AQ70/资产资本表!AQ107</f>
        <v>0.99999999999999978</v>
      </c>
      <c r="AR10" s="61">
        <f>资产资本表!AR70/资产资本表!AR107</f>
        <v>1</v>
      </c>
      <c r="AS10" s="61">
        <f>资产资本表!AS70/资产资本表!AS107</f>
        <v>1.0000000000000002</v>
      </c>
      <c r="AT10" s="61">
        <f>资产资本表!AT70/资产资本表!AT107</f>
        <v>0.99999999999999989</v>
      </c>
      <c r="AU10" s="61">
        <f>资产资本表!AU70/资产资本表!AU107</f>
        <v>1.0000000000000002</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0.99053199760883814</v>
      </c>
      <c r="F11" s="28">
        <f t="shared" ref="F11:BQ11" si="2">F9*F10</f>
        <v>0.99873658637020479</v>
      </c>
      <c r="G11" s="28">
        <f t="shared" si="2"/>
        <v>1.002844000003219</v>
      </c>
      <c r="H11" s="28">
        <f t="shared" si="2"/>
        <v>1.0109079838482153</v>
      </c>
      <c r="I11" s="28">
        <f t="shared" si="2"/>
        <v>1.001560284871271</v>
      </c>
      <c r="J11" s="28">
        <f t="shared" si="2"/>
        <v>1.0194015591111036</v>
      </c>
      <c r="K11" s="28">
        <f t="shared" si="2"/>
        <v>1.0182749920357279</v>
      </c>
      <c r="L11" s="28">
        <f t="shared" si="2"/>
        <v>1.0127372038329427</v>
      </c>
      <c r="M11" s="28">
        <f t="shared" si="2"/>
        <v>1.0045770779151268</v>
      </c>
      <c r="N11" s="28">
        <f t="shared" si="2"/>
        <v>1.0299771949853256</v>
      </c>
      <c r="O11" s="28">
        <f t="shared" si="2"/>
        <v>1.0312210442936391</v>
      </c>
      <c r="P11" s="28">
        <f t="shared" si="2"/>
        <v>1.0566069416866692</v>
      </c>
      <c r="Q11" s="28">
        <f t="shared" si="2"/>
        <v>1.0135196936999686</v>
      </c>
      <c r="R11" s="28">
        <f t="shared" si="2"/>
        <v>1.0203159035471752</v>
      </c>
      <c r="S11" s="28">
        <f t="shared" si="2"/>
        <v>1.0602831001769377</v>
      </c>
      <c r="T11" s="28">
        <f t="shared" si="2"/>
        <v>1.1665855430436218</v>
      </c>
      <c r="U11" s="28">
        <f t="shared" si="2"/>
        <v>1.0033638542388519</v>
      </c>
      <c r="V11" s="28">
        <f t="shared" si="2"/>
        <v>1.0271730214218002</v>
      </c>
      <c r="W11" s="28">
        <f t="shared" si="2"/>
        <v>1.0825984558933954</v>
      </c>
      <c r="X11" s="28">
        <f t="shared" si="2"/>
        <v>1.0404958338339028</v>
      </c>
      <c r="Y11" s="28">
        <f t="shared" si="2"/>
        <v>1.0007047449859454</v>
      </c>
      <c r="Z11" s="28">
        <f t="shared" si="2"/>
        <v>1.0471516138824666</v>
      </c>
      <c r="AA11" s="28">
        <f t="shared" si="2"/>
        <v>1.0498496774584383</v>
      </c>
      <c r="AB11" s="28">
        <f t="shared" si="2"/>
        <v>1.0500247997685657</v>
      </c>
      <c r="AC11" s="28">
        <f t="shared" si="2"/>
        <v>0.9994822585551415</v>
      </c>
      <c r="AD11" s="28">
        <f t="shared" si="2"/>
        <v>1.2078741036803058</v>
      </c>
      <c r="AE11" s="28">
        <f t="shared" si="2"/>
        <v>1.0511204384739956</v>
      </c>
      <c r="AF11" s="28">
        <f t="shared" si="2"/>
        <v>1.0158672234013666</v>
      </c>
      <c r="AG11" s="28">
        <f t="shared" si="2"/>
        <v>0.99920339849641138</v>
      </c>
      <c r="AH11" s="28">
        <f t="shared" si="2"/>
        <v>1.0433937175209895</v>
      </c>
      <c r="AI11" s="28">
        <f t="shared" si="2"/>
        <v>1.052056858113352</v>
      </c>
      <c r="AJ11" s="28">
        <f t="shared" si="2"/>
        <v>1.0381676927602097</v>
      </c>
      <c r="AK11" s="28">
        <f t="shared" si="2"/>
        <v>1.0577108758557534</v>
      </c>
      <c r="AL11" s="28">
        <f t="shared" si="2"/>
        <v>1.0507718844660472</v>
      </c>
      <c r="AM11" s="28">
        <f t="shared" si="2"/>
        <v>1.0697957756770071</v>
      </c>
      <c r="AN11" s="28">
        <f t="shared" si="2"/>
        <v>1.0140812738070331</v>
      </c>
      <c r="AO11" s="28">
        <f t="shared" si="2"/>
        <v>1.0335434938675274</v>
      </c>
      <c r="AP11" s="28">
        <f t="shared" si="2"/>
        <v>1.0110298825752069</v>
      </c>
      <c r="AQ11" s="28">
        <f t="shared" si="2"/>
        <v>1.0063277234753525</v>
      </c>
      <c r="AR11" s="28">
        <f t="shared" si="2"/>
        <v>1.0038762724794252</v>
      </c>
      <c r="AS11" s="28">
        <f t="shared" si="2"/>
        <v>1.0064013745139782</v>
      </c>
      <c r="AT11" s="28">
        <f t="shared" si="2"/>
        <v>1.0077832795458694</v>
      </c>
      <c r="AU11" s="28">
        <f t="shared" si="2"/>
        <v>1.0066252252951358</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0.85839462613241868</v>
      </c>
      <c r="F12" s="158">
        <f>F2/股权价值增加表!F38</f>
        <v>0.82082354975391969</v>
      </c>
      <c r="G12" s="158">
        <f>G2/股权价值增加表!G38</f>
        <v>0.81559909319154722</v>
      </c>
      <c r="H12" s="158">
        <f>H2/股权价值增加表!H38</f>
        <v>0.80690137994248046</v>
      </c>
      <c r="I12" s="158">
        <f>I2/股权价值增加表!I38</f>
        <v>0.85928997062113166</v>
      </c>
      <c r="J12" s="158">
        <f>J2/股权价值增加表!J38</f>
        <v>0.84422601689818577</v>
      </c>
      <c r="K12" s="158">
        <f>K2/股权价值增加表!K38</f>
        <v>0.82819200485229161</v>
      </c>
      <c r="L12" s="158">
        <f>L2/股权价值增加表!L38</f>
        <v>0.80001046783277752</v>
      </c>
      <c r="M12" s="158">
        <f>M2/股权价值增加表!M38</f>
        <v>0.84936602512706705</v>
      </c>
      <c r="N12" s="158">
        <f>N2/股权价值增加表!N38</f>
        <v>0.83571439887087107</v>
      </c>
      <c r="O12" s="158">
        <f>O2/股权价值增加表!O38</f>
        <v>0.83489856242204119</v>
      </c>
      <c r="P12" s="158">
        <f>P2/股权价值增加表!P38</f>
        <v>0.79493087037767918</v>
      </c>
      <c r="Q12" s="158">
        <f>Q2/股权价值增加表!Q38</f>
        <v>0.81349838170159583</v>
      </c>
      <c r="R12" s="158">
        <f>R2/股权价值增加表!R38</f>
        <v>0.77786477854638947</v>
      </c>
      <c r="S12" s="158">
        <f>S2/股权价值增加表!S38</f>
        <v>0.78147344771118199</v>
      </c>
      <c r="T12" s="158">
        <f>T2/股权价值增加表!T38</f>
        <v>0.79298432085093828</v>
      </c>
      <c r="U12" s="158">
        <f>U2/股权价值增加表!U38</f>
        <v>0.81873507032534432</v>
      </c>
      <c r="V12" s="158">
        <f>V2/股权价值增加表!V38</f>
        <v>0.81558878395979661</v>
      </c>
      <c r="W12" s="158">
        <f>W2/股权价值增加表!W38</f>
        <v>0.81320353795597689</v>
      </c>
      <c r="X12" s="158">
        <f>X2/股权价值增加表!X38</f>
        <v>0.79954847717950284</v>
      </c>
      <c r="Y12" s="158">
        <f>Y2/股权价值增加表!Y38</f>
        <v>0.78897793644713232</v>
      </c>
      <c r="Z12" s="158">
        <f>Z2/股权价值增加表!Z38</f>
        <v>0.78969149273936012</v>
      </c>
      <c r="AA12" s="158">
        <f>AA2/股权价值增加表!AA38</f>
        <v>0.77754729754055574</v>
      </c>
      <c r="AB12" s="158">
        <f>AB2/股权价值增加表!AB38</f>
        <v>0.78569649890065085</v>
      </c>
      <c r="AC12" s="158">
        <f>AC2/股权价值增加表!AC38</f>
        <v>0.77567213021024406</v>
      </c>
      <c r="AD12" s="158">
        <f>AD2/股权价值增加表!AD38</f>
        <v>0.78918536825315089</v>
      </c>
      <c r="AE12" s="158">
        <f>AE2/股权价值增加表!AE38</f>
        <v>0.78171925559467925</v>
      </c>
      <c r="AF12" s="158">
        <f>AF2/股权价值增加表!AF38</f>
        <v>0.78217763987718369</v>
      </c>
      <c r="AG12" s="158">
        <f>AG2/股权价值增加表!AG38</f>
        <v>0.81432690878438929</v>
      </c>
      <c r="AH12" s="158">
        <f>AH2/股权价值增加表!AH38</f>
        <v>0.79768596883690679</v>
      </c>
      <c r="AI12" s="158">
        <f>AI2/股权价值增加表!AI38</f>
        <v>0.79646401195728422</v>
      </c>
      <c r="AJ12" s="158">
        <f>AJ2/股权价值增加表!AJ38</f>
        <v>0.8208865717655871</v>
      </c>
      <c r="AK12" s="158">
        <f>AK2/股权价值增加表!AK38</f>
        <v>0.90919103899382758</v>
      </c>
      <c r="AL12" s="158">
        <f>AL2/股权价值增加表!AL38</f>
        <v>0.85478785449924455</v>
      </c>
      <c r="AM12" s="158">
        <f>AM2/股权价值增加表!AM38</f>
        <v>0.85439317036942763</v>
      </c>
      <c r="AN12" s="158">
        <f>AN2/股权价值增加表!AN38</f>
        <v>0.84634807550104796</v>
      </c>
      <c r="AO12" s="158">
        <f>AO2/股权价值增加表!AO38</f>
        <v>0.87218859571640717</v>
      </c>
      <c r="AP12" s="158">
        <f>AP2/股权价值增加表!AP38</f>
        <v>0.858092435117501</v>
      </c>
      <c r="AQ12" s="158">
        <f>AQ2/股权价值增加表!AQ38</f>
        <v>0.84926872176103174</v>
      </c>
      <c r="AR12" s="158">
        <f>AR2/股权价值增加表!AR38</f>
        <v>0.83646099590500089</v>
      </c>
      <c r="AS12" s="158">
        <f>AS2/股权价值增加表!AS38</f>
        <v>0.87377744891058085</v>
      </c>
      <c r="AT12" s="158">
        <f>AT2/股权价值增加表!AT38</f>
        <v>0.8747503238398544</v>
      </c>
      <c r="AU12" s="158">
        <f>AU2/股权价值增加表!AU38</f>
        <v>0.88345595064942528</v>
      </c>
      <c r="AV12" s="158">
        <f>AV2/股权价值增加表!AV38</f>
        <v>0.89994652119569651</v>
      </c>
      <c r="AW12" s="158">
        <f>AW2/股权价值增加表!AW38</f>
        <v>1</v>
      </c>
      <c r="AX12" s="158">
        <f>AX2/股权价值增加表!AX38</f>
        <v>0.88428018960691568</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0.14160537386758132</v>
      </c>
      <c r="F13" s="63">
        <f>1-F2/股权价值增加表!F38</f>
        <v>0.17917645024608031</v>
      </c>
      <c r="G13" s="63">
        <f>1-G2/股权价值增加表!G38</f>
        <v>0.18440090680845278</v>
      </c>
      <c r="H13" s="63">
        <f>1-H2/股权价值增加表!H38</f>
        <v>0.19309862005751954</v>
      </c>
      <c r="I13" s="63">
        <f>1-I2/股权价值增加表!I38</f>
        <v>0.14071002937886834</v>
      </c>
      <c r="J13" s="63">
        <f>1-J2/股权价值增加表!J38</f>
        <v>0.15577398310181423</v>
      </c>
      <c r="K13" s="63">
        <f>1-K2/股权价值增加表!K38</f>
        <v>0.17180799514770839</v>
      </c>
      <c r="L13" s="63">
        <f>1-L2/股权价值增加表!L38</f>
        <v>0.19998953216722248</v>
      </c>
      <c r="M13" s="63">
        <f>1-M2/股权价值增加表!M38</f>
        <v>0.15063397487293295</v>
      </c>
      <c r="N13" s="63">
        <f>1-N2/股权价值增加表!N38</f>
        <v>0.16428560112912893</v>
      </c>
      <c r="O13" s="63">
        <f>1-O2/股权价值增加表!O38</f>
        <v>0.16510143757795881</v>
      </c>
      <c r="P13" s="63">
        <f>1-P2/股权价值增加表!P38</f>
        <v>0.20506912962232082</v>
      </c>
      <c r="Q13" s="63">
        <f>1-Q2/股权价值增加表!Q38</f>
        <v>0.18650161829840417</v>
      </c>
      <c r="R13" s="63">
        <f>1-R2/股权价值增加表!R38</f>
        <v>0.22213522145361053</v>
      </c>
      <c r="S13" s="63">
        <f>1-S2/股权价值增加表!S38</f>
        <v>0.21852655228881801</v>
      </c>
      <c r="T13" s="63">
        <f>1-T2/股权价值增加表!T38</f>
        <v>0.20701567914906172</v>
      </c>
      <c r="U13" s="63">
        <f>1-U2/股权价值增加表!U38</f>
        <v>0.18126492967465568</v>
      </c>
      <c r="V13" s="63">
        <f>1-V2/股权价值增加表!V38</f>
        <v>0.18441121604020339</v>
      </c>
      <c r="W13" s="63">
        <f>1-W2/股权价值增加表!W38</f>
        <v>0.18679646204402311</v>
      </c>
      <c r="X13" s="63">
        <f>1-X2/股权价值增加表!X38</f>
        <v>0.20045152282049716</v>
      </c>
      <c r="Y13" s="63">
        <f>1-Y2/股权价值增加表!Y38</f>
        <v>0.21102206355286768</v>
      </c>
      <c r="Z13" s="63">
        <f>1-Z2/股权价值增加表!Z38</f>
        <v>0.21030850726063988</v>
      </c>
      <c r="AA13" s="63">
        <f>1-AA2/股权价值增加表!AA38</f>
        <v>0.22245270245944426</v>
      </c>
      <c r="AB13" s="63">
        <f>1-AB2/股权价值增加表!AB38</f>
        <v>0.21430350109934915</v>
      </c>
      <c r="AC13" s="63">
        <f>1-AC2/股权价值增加表!AC38</f>
        <v>0.22432786978975594</v>
      </c>
      <c r="AD13" s="63">
        <f>1-AD2/股权价值增加表!AD38</f>
        <v>0.21081463174684911</v>
      </c>
      <c r="AE13" s="63">
        <f>1-AE2/股权价值增加表!AE38</f>
        <v>0.21828074440532075</v>
      </c>
      <c r="AF13" s="63">
        <f>1-AF2/股权价值增加表!AF38</f>
        <v>0.21782236012281631</v>
      </c>
      <c r="AG13" s="63">
        <f>1-AG2/股权价值增加表!AG38</f>
        <v>0.18567309121561071</v>
      </c>
      <c r="AH13" s="63">
        <f>1-AH2/股权价值增加表!AH38</f>
        <v>0.20231403116309321</v>
      </c>
      <c r="AI13" s="63">
        <f>1-AI2/股权价值增加表!AI38</f>
        <v>0.20353598804271578</v>
      </c>
      <c r="AJ13" s="63">
        <f>1-AJ2/股权价值增加表!AJ38</f>
        <v>0.1791134282344129</v>
      </c>
      <c r="AK13" s="63">
        <f>1-AK2/股权价值增加表!AK38</f>
        <v>9.0808961006172417E-2</v>
      </c>
      <c r="AL13" s="63">
        <f>1-AL2/股权价值增加表!AL38</f>
        <v>0.14521214550075545</v>
      </c>
      <c r="AM13" s="63">
        <f>1-AM2/股权价值增加表!AM38</f>
        <v>0.14560682963057237</v>
      </c>
      <c r="AN13" s="63">
        <f>1-AN2/股权价值增加表!AN38</f>
        <v>0.15365192449895204</v>
      </c>
      <c r="AO13" s="63">
        <f>1-AO2/股权价值增加表!AO38</f>
        <v>0.12781140428359283</v>
      </c>
      <c r="AP13" s="63">
        <f>1-AP2/股权价值增加表!AP38</f>
        <v>0.141907564882499</v>
      </c>
      <c r="AQ13" s="63">
        <f>1-AQ2/股权价值增加表!AQ38</f>
        <v>0.15073127823896826</v>
      </c>
      <c r="AR13" s="63">
        <f>1-AR2/股权价值增加表!AR38</f>
        <v>0.16353900409499911</v>
      </c>
      <c r="AS13" s="63">
        <f>1-AS2/股权价值增加表!AS38</f>
        <v>0.12622255108941915</v>
      </c>
      <c r="AT13" s="63">
        <f>1-AT2/股权价值增加表!AT38</f>
        <v>0.1252496761601456</v>
      </c>
      <c r="AU13" s="63">
        <f>1-AU2/股权价值增加表!AU38</f>
        <v>0.11654404935057472</v>
      </c>
      <c r="AV13" s="63">
        <f>1-AV2/股权价值增加表!AV38</f>
        <v>0.10005347880430349</v>
      </c>
      <c r="AW13" s="63">
        <f>1-AW2/股权价值增加表!AW38</f>
        <v>0</v>
      </c>
      <c r="AX13" s="63">
        <f>1-AX2/股权价值增加表!AX38</f>
        <v>0.11571981039308432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0.18232122977456253</v>
      </c>
      <c r="F14" s="59">
        <f t="shared" ref="F14:BQ14" si="4">F6*F7*F9*F10*F12</f>
        <v>0.12551139817442827</v>
      </c>
      <c r="G14" s="59">
        <f t="shared" si="4"/>
        <v>8.5244829606985456E-2</v>
      </c>
      <c r="H14" s="59">
        <f t="shared" si="4"/>
        <v>3.8471456872195067E-2</v>
      </c>
      <c r="I14" s="59">
        <f t="shared" si="4"/>
        <v>0.20975662656119423</v>
      </c>
      <c r="J14" s="59">
        <f t="shared" si="4"/>
        <v>0.16960190736353403</v>
      </c>
      <c r="K14" s="59">
        <f t="shared" si="4"/>
        <v>0.11766063060311947</v>
      </c>
      <c r="L14" s="59">
        <f t="shared" si="4"/>
        <v>4.0334945173712215E-2</v>
      </c>
      <c r="M14" s="59">
        <f t="shared" si="4"/>
        <v>0.20086356828307309</v>
      </c>
      <c r="N14" s="59">
        <f t="shared" si="4"/>
        <v>0.16714342032445834</v>
      </c>
      <c r="O14" s="59">
        <f t="shared" si="4"/>
        <v>0.11149021368521161</v>
      </c>
      <c r="P14" s="59">
        <f t="shared" si="4"/>
        <v>3.7004977992238258E-2</v>
      </c>
      <c r="Q14" s="59">
        <f t="shared" si="4"/>
        <v>0.19123015359935019</v>
      </c>
      <c r="R14" s="59">
        <f t="shared" si="4"/>
        <v>0.16252388095135972</v>
      </c>
      <c r="S14" s="59">
        <f t="shared" si="4"/>
        <v>0.1121587437655132</v>
      </c>
      <c r="T14" s="59">
        <f t="shared" si="4"/>
        <v>4.314550194573967E-2</v>
      </c>
      <c r="U14" s="59">
        <f t="shared" si="4"/>
        <v>0.18414226058847807</v>
      </c>
      <c r="V14" s="59">
        <f t="shared" si="4"/>
        <v>0.15974342659968044</v>
      </c>
      <c r="W14" s="59">
        <f t="shared" si="4"/>
        <v>0.10641079090548759</v>
      </c>
      <c r="X14" s="59">
        <f t="shared" si="4"/>
        <v>4.293523346333411E-2</v>
      </c>
      <c r="Y14" s="59">
        <f t="shared" si="4"/>
        <v>0.1743396311355094</v>
      </c>
      <c r="Z14" s="59">
        <f t="shared" si="4"/>
        <v>0.15463765058560247</v>
      </c>
      <c r="AA14" s="59">
        <f t="shared" si="4"/>
        <v>0.10666013026707818</v>
      </c>
      <c r="AB14" s="59">
        <f t="shared" si="4"/>
        <v>5.0609904287312137E-2</v>
      </c>
      <c r="AC14" s="59">
        <f t="shared" si="4"/>
        <v>0.21376280932238978</v>
      </c>
      <c r="AD14" s="59">
        <f t="shared" si="4"/>
        <v>0.194923488495201</v>
      </c>
      <c r="AE14" s="59">
        <f t="shared" si="4"/>
        <v>0.10675637078228402</v>
      </c>
      <c r="AF14" s="59">
        <f t="shared" si="4"/>
        <v>4.1809236604398045E-2</v>
      </c>
      <c r="AG14" s="59">
        <f t="shared" si="4"/>
        <v>0.22283168128296058</v>
      </c>
      <c r="AH14" s="59">
        <f t="shared" si="4"/>
        <v>0.18305977673790266</v>
      </c>
      <c r="AI14" s="59">
        <f t="shared" si="4"/>
        <v>0.1150569544448731</v>
      </c>
      <c r="AJ14" s="59">
        <f t="shared" si="4"/>
        <v>2.9143030495617738E-2</v>
      </c>
      <c r="AK14" s="59">
        <f t="shared" si="4"/>
        <v>0.25276599501973679</v>
      </c>
      <c r="AL14" s="59">
        <f t="shared" si="4"/>
        <v>0.20902532265621948</v>
      </c>
      <c r="AM14" s="59">
        <f t="shared" si="4"/>
        <v>0.14835177937325608</v>
      </c>
      <c r="AN14" s="59">
        <f t="shared" si="4"/>
        <v>5.6902799587849856E-2</v>
      </c>
      <c r="AO14" s="59">
        <f t="shared" si="4"/>
        <v>0.26471161245097607</v>
      </c>
      <c r="AP14" s="59">
        <f t="shared" si="4"/>
        <v>0.20909129119662254</v>
      </c>
      <c r="AQ14" s="59">
        <f t="shared" si="4"/>
        <v>0.12502318250274286</v>
      </c>
      <c r="AR14" s="59">
        <f t="shared" si="4"/>
        <v>0.19731850188149397</v>
      </c>
      <c r="AS14" s="59">
        <f t="shared" si="4"/>
        <v>0.78590322676915902</v>
      </c>
      <c r="AT14" s="59">
        <f t="shared" si="4"/>
        <v>0.85892520337871792</v>
      </c>
      <c r="AU14" s="59">
        <f t="shared" si="4"/>
        <v>1.7407010847446573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8" t="s">
        <v>699</v>
      </c>
      <c r="B15" s="277"/>
      <c r="C15" s="277"/>
      <c r="D15" s="277"/>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7247524855.71</v>
      </c>
      <c r="F19" s="76">
        <f>股权价值增加表!F4</f>
        <v>5065883183.1800003</v>
      </c>
      <c r="G19" s="76">
        <f>股权价值增加表!G4</f>
        <v>3268813950.4499998</v>
      </c>
      <c r="H19" s="76">
        <f>股权价值增加表!H4</f>
        <v>1485448286.03</v>
      </c>
      <c r="I19" s="76">
        <f>股权价值增加表!I4</f>
        <v>7314804589.3299999</v>
      </c>
      <c r="J19" s="76">
        <f>股权价值增加表!J4</f>
        <v>5034289662.0600004</v>
      </c>
      <c r="K19" s="76">
        <f>股权价值增加表!K4</f>
        <v>3310004420.3299999</v>
      </c>
      <c r="L19" s="76">
        <f>股权价值增加表!L4</f>
        <v>1642780841.9100001</v>
      </c>
      <c r="M19" s="76">
        <f>股权价值增加表!M4</f>
        <v>7060089115.1000004</v>
      </c>
      <c r="N19" s="76">
        <f>股权价值增加表!N4</f>
        <v>5015787441.9099998</v>
      </c>
      <c r="O19" s="76">
        <f>股权价值增加表!O4</f>
        <v>3166625456.5</v>
      </c>
      <c r="P19" s="76">
        <f>股权价值增加表!P4</f>
        <v>1416951061.4000001</v>
      </c>
      <c r="Q19" s="76">
        <f>股权价值增加表!Q4</f>
        <v>5943513348.3800001</v>
      </c>
      <c r="R19" s="76">
        <f>股权价值增加表!R4</f>
        <v>4174603890.3899999</v>
      </c>
      <c r="S19" s="76">
        <f>股权价值增加表!S4</f>
        <v>2634286922.3299999</v>
      </c>
      <c r="T19" s="76">
        <f>股权价值增加表!T4</f>
        <v>1162870526.8900001</v>
      </c>
      <c r="U19" s="76">
        <f>股权价值增加表!U4</f>
        <v>5328121623.6099997</v>
      </c>
      <c r="V19" s="76">
        <f>股权价值增加表!V4</f>
        <v>3762579364.75</v>
      </c>
      <c r="W19" s="76">
        <f>股权价值增加表!W4</f>
        <v>2487358094.9200001</v>
      </c>
      <c r="X19" s="76">
        <f>股权价值增加表!X4</f>
        <v>1165556678.8900001</v>
      </c>
      <c r="Y19" s="76">
        <f>股权价值增加表!Y4</f>
        <v>4941836029.1599998</v>
      </c>
      <c r="Z19" s="76">
        <f>股权价值增加表!Z4</f>
        <v>3677657774.5300002</v>
      </c>
      <c r="AA19" s="76">
        <f>股权价值增加表!AA4</f>
        <v>2479065462.6300001</v>
      </c>
      <c r="AB19" s="76">
        <f>股权价值增加表!AB4</f>
        <v>1256355671.4000001</v>
      </c>
      <c r="AC19" s="76">
        <f>股权价值增加表!AC4</f>
        <v>5199331120.79</v>
      </c>
      <c r="AD19" s="76">
        <f>股权价值增加表!AD4</f>
        <v>4006626750.1300001</v>
      </c>
      <c r="AE19" s="76">
        <f>股权价值增加表!AE4</f>
        <v>2596159695.6900001</v>
      </c>
      <c r="AF19" s="76">
        <f>股权价值增加表!AF4</f>
        <v>1224631597.8399999</v>
      </c>
      <c r="AG19" s="76">
        <f>股权价值增加表!AG4</f>
        <v>5346505242.0600004</v>
      </c>
      <c r="AH19" s="76">
        <f>股权价值增加表!AH4</f>
        <v>3998717868.4699998</v>
      </c>
      <c r="AI19" s="76">
        <f>股权价值增加表!AI4</f>
        <v>2407587167.1900001</v>
      </c>
      <c r="AJ19" s="76">
        <f>股权价值增加表!AJ4</f>
        <v>846299087.34000003</v>
      </c>
      <c r="AK19" s="76">
        <f>股权价值增加表!AK4</f>
        <v>4636424794.75</v>
      </c>
      <c r="AL19" s="76">
        <f>股权价值增加表!AL4</f>
        <v>3364435349.9299998</v>
      </c>
      <c r="AM19" s="76">
        <f>股权价值增加表!AM4</f>
        <v>2181122166.0999999</v>
      </c>
      <c r="AN19" s="76">
        <f>股权价值增加表!AN4</f>
        <v>963326920.47000003</v>
      </c>
      <c r="AO19" s="76">
        <f>股权价值增加表!AO4</f>
        <v>4323444775.4799995</v>
      </c>
      <c r="AP19" s="76">
        <f>股权价值增加表!AP4</f>
        <v>2734495961.9400001</v>
      </c>
      <c r="AQ19" s="76">
        <f>股权价值增加表!AQ4</f>
        <v>1614051367.5599999</v>
      </c>
      <c r="AR19" s="76">
        <f>股权价值增加表!AR4</f>
        <v>701754356.17999995</v>
      </c>
      <c r="AS19" s="76">
        <f>股权价值增加表!AS4</f>
        <v>1942805380.28</v>
      </c>
      <c r="AT19" s="76">
        <f>股权价值增加表!AT4</f>
        <v>1197849805.04</v>
      </c>
      <c r="AU19" s="76">
        <f>股权价值增加表!AU4</f>
        <v>701639224.75</v>
      </c>
      <c r="AV19" s="76">
        <f>股权价值增加表!AV4</f>
        <v>328138362.51999998</v>
      </c>
      <c r="AW19" s="76">
        <f>股权价值增加表!AW4</f>
        <v>933814768.39999998</v>
      </c>
      <c r="AX19" s="76">
        <f>股权价值增加表!AX4</f>
        <v>750377431.16999996</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681506399.01999927</v>
      </c>
      <c r="F20" s="76">
        <f>股权价值增加表!F15</f>
        <v>571780722.29000056</v>
      </c>
      <c r="G20" s="76">
        <f>股权价值增加表!G15</f>
        <v>378386045.38000005</v>
      </c>
      <c r="H20" s="76">
        <f>股权价值增加表!H15</f>
        <v>164494621.52999991</v>
      </c>
      <c r="I20" s="76">
        <f>股权价值增加表!I15</f>
        <v>809193377.42999971</v>
      </c>
      <c r="J20" s="76">
        <f>股权价值增加表!J15</f>
        <v>650519866.28000021</v>
      </c>
      <c r="K20" s="76">
        <f>股权价值增加表!K15</f>
        <v>449932016.60999984</v>
      </c>
      <c r="L20" s="76">
        <f>股权价值增加表!L15</f>
        <v>174757665.85999995</v>
      </c>
      <c r="M20" s="76">
        <f>股权价值增加表!M15</f>
        <v>741608006.58000028</v>
      </c>
      <c r="N20" s="76">
        <f>股权价值增加表!N15</f>
        <v>605254504.0399996</v>
      </c>
      <c r="O20" s="76">
        <f>股权价值增加表!O15</f>
        <v>372774007.20999992</v>
      </c>
      <c r="P20" s="76">
        <f>股权价值增加表!P15</f>
        <v>142825114.68000016</v>
      </c>
      <c r="Q20" s="76">
        <f>股权价值增加表!Q15</f>
        <v>709007265.39999998</v>
      </c>
      <c r="R20" s="76">
        <f>股权价值增加表!R15</f>
        <v>624191249.35999966</v>
      </c>
      <c r="S20" s="76">
        <f>股权价值增加表!S15</f>
        <v>407029067.16999996</v>
      </c>
      <c r="T20" s="76">
        <f>股权价值增加表!T15</f>
        <v>148283886.38000005</v>
      </c>
      <c r="U20" s="76">
        <f>股权价值增加表!U15</f>
        <v>648244956.97999978</v>
      </c>
      <c r="V20" s="76">
        <f>股权价值增加表!V15</f>
        <v>549928859.55999982</v>
      </c>
      <c r="W20" s="76">
        <f>股权价值增加表!W15</f>
        <v>343096624.87000012</v>
      </c>
      <c r="X20" s="76">
        <f>股权价值增加表!X15</f>
        <v>159799842.09000006</v>
      </c>
      <c r="Y20" s="76">
        <f>股权价值增加表!Y15</f>
        <v>618547285.75</v>
      </c>
      <c r="Z20" s="76">
        <f>股权价值增加表!Z15</f>
        <v>539506966.56999981</v>
      </c>
      <c r="AA20" s="76">
        <f>股权价值增加表!AA15</f>
        <v>356353588.58000004</v>
      </c>
      <c r="AB20" s="76">
        <f>股权价值增加表!AB15</f>
        <v>167342671.48000005</v>
      </c>
      <c r="AC20" s="76">
        <f>股权价值增加表!AC15</f>
        <v>668918939.89000034</v>
      </c>
      <c r="AD20" s="76">
        <f>股权价值增加表!AD15</f>
        <v>591294158.7700001</v>
      </c>
      <c r="AE20" s="76">
        <f>股权价值增加表!AE15</f>
        <v>371588233.15999997</v>
      </c>
      <c r="AF20" s="76">
        <f>股权价值增加表!AF15</f>
        <v>166334378.45999989</v>
      </c>
      <c r="AG20" s="76">
        <f>股权价值增加表!AG15</f>
        <v>786842717.92000067</v>
      </c>
      <c r="AH20" s="76">
        <f>股权价值增加表!AH15</f>
        <v>633662250.7699995</v>
      </c>
      <c r="AI20" s="76">
        <f>股权价值增加表!AI15</f>
        <v>365219392.19999999</v>
      </c>
      <c r="AJ20" s="76">
        <f>股权价值增加表!AJ15</f>
        <v>99510014.500000104</v>
      </c>
      <c r="AK20" s="76">
        <f>股权价值增加表!AK15</f>
        <v>742335551.93000019</v>
      </c>
      <c r="AL20" s="76">
        <f>股权价值增加表!AL15</f>
        <v>620874226.70999968</v>
      </c>
      <c r="AM20" s="76">
        <f>股权价值增加表!AM15</f>
        <v>402087727.8099997</v>
      </c>
      <c r="AN20" s="76">
        <f>股权价值增加表!AN15</f>
        <v>169768955.90999997</v>
      </c>
      <c r="AO20" s="76">
        <f>股权价值增加表!AO15</f>
        <v>709513019.28999949</v>
      </c>
      <c r="AP20" s="76">
        <f>股权价值增加表!AP15</f>
        <v>536460918.75</v>
      </c>
      <c r="AQ20" s="76">
        <f>股权价值增加表!AQ15</f>
        <v>317713896.28999996</v>
      </c>
      <c r="AR20" s="76">
        <f>股权价值增加表!AR15</f>
        <v>134177922.9299999</v>
      </c>
      <c r="AS20" s="76">
        <f>股权价值增加表!AS15</f>
        <v>412436029.82999992</v>
      </c>
      <c r="AT20" s="76">
        <f>股权价值增加表!AT15</f>
        <v>241505203.41999996</v>
      </c>
      <c r="AU20" s="76">
        <f>股权价值增加表!AU15</f>
        <v>144551911.41999996</v>
      </c>
      <c r="AV20" s="76">
        <f>股权价值增加表!AV15</f>
        <v>75125840.779999986</v>
      </c>
      <c r="AW20" s="76">
        <f>股权价值增加表!AW15</f>
        <v>41047247.709999926</v>
      </c>
      <c r="AX20" s="76">
        <f>股权价值增加表!AX15</f>
        <v>42918557.469999991</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9.4032985410608269E-2</v>
      </c>
      <c r="F21" s="244">
        <f t="shared" ref="F21:BQ21" si="6">F20/F19</f>
        <v>0.11286891181945442</v>
      </c>
      <c r="G21" s="244">
        <f t="shared" si="6"/>
        <v>0.11575637253013733</v>
      </c>
      <c r="H21" s="244">
        <f t="shared" si="6"/>
        <v>0.11073735994514305</v>
      </c>
      <c r="I21" s="244">
        <f t="shared" si="6"/>
        <v>0.11062405940554564</v>
      </c>
      <c r="J21" s="244">
        <f t="shared" si="6"/>
        <v>0.12921780627414503</v>
      </c>
      <c r="K21" s="244">
        <f t="shared" si="6"/>
        <v>0.13593094131431482</v>
      </c>
      <c r="L21" s="244">
        <f t="shared" si="6"/>
        <v>0.10637917207313893</v>
      </c>
      <c r="M21" s="244">
        <f t="shared" si="6"/>
        <v>0.10504230109416912</v>
      </c>
      <c r="N21" s="244">
        <f t="shared" si="6"/>
        <v>0.12066988704160879</v>
      </c>
      <c r="O21" s="244">
        <f t="shared" si="6"/>
        <v>0.11771963951240974</v>
      </c>
      <c r="P21" s="244">
        <f t="shared" si="6"/>
        <v>0.10079749299096022</v>
      </c>
      <c r="Q21" s="244">
        <f t="shared" si="6"/>
        <v>0.11929093514919947</v>
      </c>
      <c r="R21" s="244">
        <f t="shared" si="6"/>
        <v>0.14952107211821875</v>
      </c>
      <c r="S21" s="244">
        <f t="shared" si="6"/>
        <v>0.15451204791693188</v>
      </c>
      <c r="T21" s="244">
        <f t="shared" si="6"/>
        <v>0.12751538795688019</v>
      </c>
      <c r="U21" s="244">
        <f t="shared" si="6"/>
        <v>0.12166481975702158</v>
      </c>
      <c r="V21" s="244">
        <f t="shared" si="6"/>
        <v>0.14615741124613837</v>
      </c>
      <c r="W21" s="244">
        <f t="shared" si="6"/>
        <v>0.13793616028617503</v>
      </c>
      <c r="X21" s="244">
        <f t="shared" si="6"/>
        <v>0.13710173429076222</v>
      </c>
      <c r="Y21" s="244">
        <f t="shared" si="6"/>
        <v>0.12516548143244224</v>
      </c>
      <c r="Z21" s="244">
        <f t="shared" si="6"/>
        <v>0.14669852380132029</v>
      </c>
      <c r="AA21" s="244">
        <f t="shared" si="6"/>
        <v>0.1437451305549432</v>
      </c>
      <c r="AB21" s="244">
        <f t="shared" si="6"/>
        <v>0.13319689263910783</v>
      </c>
      <c r="AC21" s="244">
        <f t="shared" si="6"/>
        <v>0.12865480661834883</v>
      </c>
      <c r="AD21" s="244">
        <f t="shared" si="6"/>
        <v>0.14757904732473889</v>
      </c>
      <c r="AE21" s="244">
        <f t="shared" si="6"/>
        <v>0.14312995990843325</v>
      </c>
      <c r="AF21" s="244">
        <f t="shared" si="6"/>
        <v>0.13582401332235733</v>
      </c>
      <c r="AG21" s="244">
        <f t="shared" si="6"/>
        <v>0.14716954015682052</v>
      </c>
      <c r="AH21" s="244">
        <f t="shared" si="6"/>
        <v>0.15846635637048659</v>
      </c>
      <c r="AI21" s="244">
        <f t="shared" si="6"/>
        <v>0.15169518976389273</v>
      </c>
      <c r="AJ21" s="244">
        <f t="shared" si="6"/>
        <v>0.11758256151825676</v>
      </c>
      <c r="AK21" s="244">
        <f t="shared" si="6"/>
        <v>0.16010947762391722</v>
      </c>
      <c r="AL21" s="244">
        <f t="shared" si="6"/>
        <v>0.18454039448935095</v>
      </c>
      <c r="AM21" s="244">
        <f t="shared" si="6"/>
        <v>0.18434901724416514</v>
      </c>
      <c r="AN21" s="244">
        <f t="shared" si="6"/>
        <v>0.1762319232469606</v>
      </c>
      <c r="AO21" s="244">
        <f t="shared" si="6"/>
        <v>0.16410826462128861</v>
      </c>
      <c r="AP21" s="244">
        <f t="shared" si="6"/>
        <v>0.19618274307832784</v>
      </c>
      <c r="AQ21" s="244">
        <f t="shared" si="6"/>
        <v>0.19684249378648688</v>
      </c>
      <c r="AR21" s="244">
        <f t="shared" si="6"/>
        <v>0.19120354829059769</v>
      </c>
      <c r="AS21" s="244">
        <f t="shared" si="6"/>
        <v>0.21228890655561136</v>
      </c>
      <c r="AT21" s="244">
        <f t="shared" si="6"/>
        <v>0.20161559688356367</v>
      </c>
      <c r="AU21" s="244">
        <f t="shared" si="6"/>
        <v>0.20602028267662065</v>
      </c>
      <c r="AV21" s="244">
        <f t="shared" si="6"/>
        <v>0.22894561977775785</v>
      </c>
      <c r="AW21" s="244">
        <f t="shared" si="6"/>
        <v>4.3956520178332965E-2</v>
      </c>
      <c r="AX21" s="244">
        <f t="shared" si="6"/>
        <v>5.7195959909242901E-2</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1864757034.3799996</v>
      </c>
      <c r="F22" s="193">
        <f>资产资本表!F69</f>
        <v>2302671706.25</v>
      </c>
      <c r="G22" s="193">
        <f>资产资本表!G69</f>
        <v>1966631879.3600001</v>
      </c>
      <c r="H22" s="193">
        <f>资产资本表!H69</f>
        <v>2030030915.4099998</v>
      </c>
      <c r="I22" s="193">
        <f>资产资本表!I69</f>
        <v>1880965496.5600002</v>
      </c>
      <c r="J22" s="193">
        <f>资产资本表!J69</f>
        <v>1682761404.2599998</v>
      </c>
      <c r="K22" s="193">
        <f>资产资本表!K69</f>
        <v>1552468740.6399999</v>
      </c>
      <c r="L22" s="193">
        <f>资产资本表!L69</f>
        <v>1665008780.9500003</v>
      </c>
      <c r="M22" s="193">
        <f>资产资本表!M69</f>
        <v>1567234772.8599997</v>
      </c>
      <c r="N22" s="193">
        <f>资产资本表!N69</f>
        <v>2046195692.5299997</v>
      </c>
      <c r="O22" s="193">
        <f>资产资本表!O69</f>
        <v>1959073858.7200003</v>
      </c>
      <c r="P22" s="193">
        <f>资产资本表!P69</f>
        <v>2314301388.9400001</v>
      </c>
      <c r="Q22" s="193">
        <f>资产资本表!Q69</f>
        <v>1644445206.9500003</v>
      </c>
      <c r="R22" s="193">
        <f>资产资本表!R69</f>
        <v>2499741152.79</v>
      </c>
      <c r="S22" s="193">
        <f>资产资本表!S69</f>
        <v>2529920875.9799995</v>
      </c>
      <c r="T22" s="193">
        <f>资产资本表!T69</f>
        <v>2139307134.8100002</v>
      </c>
      <c r="U22" s="193">
        <f>资产资本表!U69</f>
        <v>1950032820.1900003</v>
      </c>
      <c r="V22" s="193">
        <f>资产资本表!V69</f>
        <v>2041622179.5899999</v>
      </c>
      <c r="W22" s="193">
        <f>资产资本表!W69</f>
        <v>1814110433.0599999</v>
      </c>
      <c r="X22" s="193">
        <f>资产资本表!X69</f>
        <v>1574253956.8400002</v>
      </c>
      <c r="Y22" s="193">
        <f>资产资本表!Y69</f>
        <v>1422604448.4899998</v>
      </c>
      <c r="Z22" s="193">
        <f>资产资本表!Z69</f>
        <v>1428799865.25</v>
      </c>
      <c r="AA22" s="193">
        <f>资产资本表!AA69</f>
        <v>1352107571.79</v>
      </c>
      <c r="AB22" s="193">
        <f>资产资本表!AB69</f>
        <v>1126408557.5499997</v>
      </c>
      <c r="AC22" s="193">
        <f>资产资本表!AC69</f>
        <v>1017297349.0999999</v>
      </c>
      <c r="AD22" s="193">
        <f>资产资本表!AD69</f>
        <v>847765337.49000001</v>
      </c>
      <c r="AE22" s="193">
        <f>资产资本表!AE69</f>
        <v>843205341.1899997</v>
      </c>
      <c r="AF22" s="193">
        <f>资产资本表!AF69</f>
        <v>840524677.09000003</v>
      </c>
      <c r="AG22" s="193">
        <f>资产资本表!AG69</f>
        <v>736283866.30999994</v>
      </c>
      <c r="AH22" s="193">
        <f>资产资本表!AH69</f>
        <v>493197593.63999987</v>
      </c>
      <c r="AI22" s="193">
        <f>资产资本表!AI69</f>
        <v>339884254.51999998</v>
      </c>
      <c r="AJ22" s="193">
        <f>资产资本表!AJ69</f>
        <v>522624228.62</v>
      </c>
      <c r="AK22" s="193">
        <f>资产资本表!AK69</f>
        <v>256341715.87999988</v>
      </c>
      <c r="AL22" s="193">
        <f>资产资本表!AL69</f>
        <v>285045308.0999999</v>
      </c>
      <c r="AM22" s="193">
        <f>资产资本表!AM69</f>
        <v>198445945.2700001</v>
      </c>
      <c r="AN22" s="193">
        <f>资产资本表!AN69</f>
        <v>249633601.58000004</v>
      </c>
      <c r="AO22" s="193">
        <f>资产资本表!AO69</f>
        <v>29973817.199999869</v>
      </c>
      <c r="AP22" s="193">
        <f>资产资本表!AP69</f>
        <v>177658922.78000003</v>
      </c>
      <c r="AQ22" s="193">
        <f>资产资本表!AQ69</f>
        <v>344764055.21000004</v>
      </c>
      <c r="AR22" s="193">
        <f>资产资本表!AR69</f>
        <v>176378562.50999996</v>
      </c>
      <c r="AS22" s="193">
        <f>资产资本表!AS69</f>
        <v>11186765.700000018</v>
      </c>
      <c r="AT22" s="193">
        <f>资产资本表!AT69</f>
        <v>61194144.85999997</v>
      </c>
      <c r="AU22" s="193">
        <f>资产资本表!AU69</f>
        <v>9361619.6000000034</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3.8865786384442735</v>
      </c>
      <c r="F23" s="246">
        <f t="shared" ref="F23:BQ23" si="8">F19/F22</f>
        <v>2.2000023578827959</v>
      </c>
      <c r="G23" s="246">
        <f t="shared" si="8"/>
        <v>1.6621381890309681</v>
      </c>
      <c r="H23" s="246">
        <f t="shared" si="8"/>
        <v>0.73173678033863243</v>
      </c>
      <c r="I23" s="246">
        <f t="shared" si="8"/>
        <v>3.8888563361250723</v>
      </c>
      <c r="J23" s="246">
        <f t="shared" si="8"/>
        <v>2.9916835799272725</v>
      </c>
      <c r="K23" s="246">
        <f t="shared" si="8"/>
        <v>2.1320908651374597</v>
      </c>
      <c r="L23" s="246">
        <f t="shared" si="8"/>
        <v>0.9866499568685051</v>
      </c>
      <c r="M23" s="246">
        <f t="shared" si="8"/>
        <v>4.504806323443332</v>
      </c>
      <c r="N23" s="246">
        <f t="shared" si="8"/>
        <v>2.4512745580596329</v>
      </c>
      <c r="O23" s="246">
        <f t="shared" si="8"/>
        <v>1.6163890107588785</v>
      </c>
      <c r="P23" s="246">
        <f t="shared" si="8"/>
        <v>0.61225865748151076</v>
      </c>
      <c r="Q23" s="246">
        <f t="shared" si="8"/>
        <v>3.6142969819004214</v>
      </c>
      <c r="R23" s="246">
        <f t="shared" si="8"/>
        <v>1.6700144675902382</v>
      </c>
      <c r="S23" s="246">
        <f t="shared" si="8"/>
        <v>1.0412526918690976</v>
      </c>
      <c r="T23" s="246">
        <f t="shared" si="8"/>
        <v>0.54357343457992013</v>
      </c>
      <c r="U23" s="246">
        <f t="shared" si="8"/>
        <v>2.7323240760075298</v>
      </c>
      <c r="V23" s="246">
        <f t="shared" si="8"/>
        <v>1.842936172208711</v>
      </c>
      <c r="W23" s="246">
        <f t="shared" si="8"/>
        <v>1.3711172426941955</v>
      </c>
      <c r="X23" s="246">
        <f t="shared" si="8"/>
        <v>0.74038669162987014</v>
      </c>
      <c r="Y23" s="246">
        <f t="shared" si="8"/>
        <v>3.4737948657516364</v>
      </c>
      <c r="Z23" s="246">
        <f t="shared" si="8"/>
        <v>2.5739488531422228</v>
      </c>
      <c r="AA23" s="246">
        <f t="shared" si="8"/>
        <v>1.83348241985515</v>
      </c>
      <c r="AB23" s="246">
        <f t="shared" si="8"/>
        <v>1.1153641038848661</v>
      </c>
      <c r="AC23" s="246">
        <f t="shared" si="8"/>
        <v>5.1109256555026255</v>
      </c>
      <c r="AD23" s="246">
        <f t="shared" si="8"/>
        <v>4.7261035252898163</v>
      </c>
      <c r="AE23" s="246">
        <f t="shared" si="8"/>
        <v>3.0789175173227545</v>
      </c>
      <c r="AF23" s="246">
        <f t="shared" si="8"/>
        <v>1.4569847039825474</v>
      </c>
      <c r="AG23" s="246">
        <f t="shared" si="8"/>
        <v>7.2614727643766468</v>
      </c>
      <c r="AH23" s="246">
        <f t="shared" si="8"/>
        <v>8.1077400215151645</v>
      </c>
      <c r="AI23" s="246">
        <f t="shared" si="8"/>
        <v>7.0835501650116282</v>
      </c>
      <c r="AJ23" s="246">
        <f t="shared" si="8"/>
        <v>1.6193261639910383</v>
      </c>
      <c r="AK23" s="246">
        <f t="shared" si="8"/>
        <v>18.08689147154039</v>
      </c>
      <c r="AL23" s="246">
        <f t="shared" si="8"/>
        <v>11.803159898880654</v>
      </c>
      <c r="AM23" s="246">
        <f t="shared" si="8"/>
        <v>10.991014017103877</v>
      </c>
      <c r="AN23" s="246">
        <f t="shared" si="8"/>
        <v>3.858963354183242</v>
      </c>
      <c r="AO23" s="246">
        <f t="shared" si="8"/>
        <v>144.24071337433853</v>
      </c>
      <c r="AP23" s="246">
        <f t="shared" si="8"/>
        <v>15.391830138057305</v>
      </c>
      <c r="AQ23" s="246">
        <f t="shared" si="8"/>
        <v>4.6816115055174805</v>
      </c>
      <c r="AR23" s="246">
        <f t="shared" si="8"/>
        <v>3.9786828183284082</v>
      </c>
      <c r="AS23" s="246">
        <f t="shared" si="8"/>
        <v>173.6699804376878</v>
      </c>
      <c r="AT23" s="246">
        <f t="shared" si="8"/>
        <v>19.574581976436505</v>
      </c>
      <c r="AU23" s="246">
        <f t="shared" si="8"/>
        <v>74.948486985093879</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0.36546659240601215</v>
      </c>
      <c r="F24" s="161">
        <f t="shared" ref="F24:BQ24" si="10">F21*F23</f>
        <v>0.24831187213446509</v>
      </c>
      <c r="G24" s="161">
        <f t="shared" si="10"/>
        <v>0.19240308740603657</v>
      </c>
      <c r="H24" s="161">
        <f t="shared" si="10"/>
        <v>8.103059922945921E-2</v>
      </c>
      <c r="I24" s="161">
        <f t="shared" si="10"/>
        <v>0.43020107434713256</v>
      </c>
      <c r="J24" s="161">
        <f t="shared" si="10"/>
        <v>0.386578789264583</v>
      </c>
      <c r="K24" s="161">
        <f t="shared" si="10"/>
        <v>0.28981711826578677</v>
      </c>
      <c r="L24" s="161">
        <f t="shared" si="10"/>
        <v>0.10495900553766981</v>
      </c>
      <c r="M24" s="161">
        <f t="shared" si="10"/>
        <v>0.47319522219805149</v>
      </c>
      <c r="N24" s="161">
        <f t="shared" si="10"/>
        <v>0.29579502402902541</v>
      </c>
      <c r="O24" s="161">
        <f t="shared" si="10"/>
        <v>0.19028073165835577</v>
      </c>
      <c r="P24" s="161">
        <f t="shared" si="10"/>
        <v>6.1714137736147291E-2</v>
      </c>
      <c r="Q24" s="161">
        <f t="shared" si="10"/>
        <v>0.43115286687783055</v>
      </c>
      <c r="R24" s="161">
        <f t="shared" si="10"/>
        <v>0.2497023536470287</v>
      </c>
      <c r="S24" s="161">
        <f t="shared" si="10"/>
        <v>0.16088608581971231</v>
      </c>
      <c r="T24" s="161">
        <f t="shared" si="10"/>
        <v>6.9313977393512347E-2</v>
      </c>
      <c r="U24" s="161">
        <f t="shared" si="10"/>
        <v>0.33242771622522665</v>
      </c>
      <c r="V24" s="161">
        <f t="shared" si="10"/>
        <v>0.26935878002189267</v>
      </c>
      <c r="W24" s="161">
        <f t="shared" si="10"/>
        <v>0.18912664775940491</v>
      </c>
      <c r="X24" s="161">
        <f t="shared" si="10"/>
        <v>0.10150829946825496</v>
      </c>
      <c r="Y24" s="161">
        <f t="shared" si="10"/>
        <v>0.43479920676934963</v>
      </c>
      <c r="Z24" s="161">
        <f t="shared" si="10"/>
        <v>0.37759449709606541</v>
      </c>
      <c r="AA24" s="161">
        <f t="shared" si="10"/>
        <v>0.2635541698122717</v>
      </c>
      <c r="AB24" s="161">
        <f t="shared" si="10"/>
        <v>0.14856303279866723</v>
      </c>
      <c r="AC24" s="161">
        <f t="shared" si="10"/>
        <v>0.65754515184944795</v>
      </c>
      <c r="AD24" s="161">
        <f t="shared" si="10"/>
        <v>0.69747385582036114</v>
      </c>
      <c r="AE24" s="161">
        <f t="shared" si="10"/>
        <v>0.4406853408157787</v>
      </c>
      <c r="AF24" s="161">
        <f t="shared" si="10"/>
        <v>0.19789350984419637</v>
      </c>
      <c r="AG24" s="161">
        <f t="shared" si="10"/>
        <v>1.0686676075945873</v>
      </c>
      <c r="AH24" s="161">
        <f t="shared" si="10"/>
        <v>1.2848040196086787</v>
      </c>
      <c r="AI24" s="161">
        <f t="shared" si="10"/>
        <v>1.0745404864834927</v>
      </c>
      <c r="AJ24" s="161">
        <f t="shared" si="10"/>
        <v>0.19040451829559901</v>
      </c>
      <c r="AK24" s="161">
        <f t="shared" si="10"/>
        <v>2.8958827453488154</v>
      </c>
      <c r="AL24" s="161">
        <f t="shared" si="10"/>
        <v>2.1781597839603237</v>
      </c>
      <c r="AM24" s="161">
        <f t="shared" si="10"/>
        <v>2.0261826325699435</v>
      </c>
      <c r="AN24" s="161">
        <f t="shared" si="10"/>
        <v>0.68007253364725473</v>
      </c>
      <c r="AO24" s="161">
        <f t="shared" si="10"/>
        <v>23.671093159599391</v>
      </c>
      <c r="AP24" s="161">
        <f t="shared" si="10"/>
        <v>3.0196114574797597</v>
      </c>
      <c r="AQ24" s="161">
        <f t="shared" si="10"/>
        <v>0.92154008368557017</v>
      </c>
      <c r="AR24" s="161">
        <f t="shared" si="10"/>
        <v>0.76073827238722713</v>
      </c>
      <c r="AS24" s="161">
        <f t="shared" si="10"/>
        <v>36.86821024865116</v>
      </c>
      <c r="AT24" s="161">
        <f t="shared" si="10"/>
        <v>3.9465410289254934</v>
      </c>
      <c r="AU24" s="161">
        <f t="shared" si="10"/>
        <v>15.440908474854064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31970911.600000001</v>
      </c>
      <c r="F26" s="76">
        <f>利润表!F14</f>
        <v>24733193.379999999</v>
      </c>
      <c r="G26" s="76">
        <f>利润表!G14</f>
        <v>12461971.189999999</v>
      </c>
      <c r="H26" s="76">
        <f>利润表!H14</f>
        <v>-740633.93</v>
      </c>
      <c r="I26" s="76">
        <f>利润表!I14</f>
        <v>-10595576.42</v>
      </c>
      <c r="J26" s="76">
        <f>利润表!J14</f>
        <v>-18639907.309999999</v>
      </c>
      <c r="K26" s="76">
        <f>利润表!K14</f>
        <v>-10154260.279999999</v>
      </c>
      <c r="L26" s="76">
        <f>利润表!L14</f>
        <v>-6501993.4299999997</v>
      </c>
      <c r="M26" s="76">
        <f>利润表!M14</f>
        <v>-4092683.54</v>
      </c>
      <c r="N26" s="76">
        <f>利润表!N14</f>
        <v>143346.99</v>
      </c>
      <c r="O26" s="76">
        <f>利润表!O14</f>
        <v>-1388980.67</v>
      </c>
      <c r="P26" s="76">
        <f>利润表!P14</f>
        <v>-1378419.55</v>
      </c>
      <c r="Q26" s="76">
        <f>利润表!Q14</f>
        <v>1784517.63</v>
      </c>
      <c r="R26" s="76">
        <f>利润表!R14</f>
        <v>-40051.870000000003</v>
      </c>
      <c r="S26" s="76">
        <f>利润表!S14</f>
        <v>-4721335.7</v>
      </c>
      <c r="T26" s="76">
        <f>利润表!T14</f>
        <v>0</v>
      </c>
      <c r="U26" s="76">
        <f>利润表!U14</f>
        <v>-6120634.4100000001</v>
      </c>
      <c r="V26" s="76">
        <f>利润表!V14</f>
        <v>0</v>
      </c>
      <c r="W26" s="76">
        <f>利润表!W14</f>
        <v>-377191.3</v>
      </c>
      <c r="X26" s="76">
        <f>利润表!X14</f>
        <v>0</v>
      </c>
      <c r="Y26" s="76">
        <f>利润表!Y14</f>
        <v>-636435.38</v>
      </c>
      <c r="Z26" s="76">
        <f>利润表!Z14</f>
        <v>0</v>
      </c>
      <c r="AA26" s="76">
        <f>利润表!AA14</f>
        <v>0</v>
      </c>
      <c r="AB26" s="76">
        <f>利润表!AB14</f>
        <v>0</v>
      </c>
      <c r="AC26" s="76">
        <f>利润表!AC14</f>
        <v>1913925.91</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263724302.63999999</v>
      </c>
      <c r="F27" s="76">
        <f>资产资本表!F19</f>
        <v>246102586.19999999</v>
      </c>
      <c r="G27" s="76">
        <f>资产资本表!G19</f>
        <v>228090662.22999999</v>
      </c>
      <c r="H27" s="76">
        <f>资产资本表!H19</f>
        <v>198388057.11000001</v>
      </c>
      <c r="I27" s="76">
        <f>资产资本表!I19</f>
        <v>186628691.03999999</v>
      </c>
      <c r="J27" s="76">
        <f>资产资本表!J19</f>
        <v>167836224.56</v>
      </c>
      <c r="K27" s="76">
        <f>资产资本表!K19</f>
        <v>169970007.18000001</v>
      </c>
      <c r="L27" s="76">
        <f>资产资本表!L19</f>
        <v>115326523.59</v>
      </c>
      <c r="M27" s="76">
        <f>资产资本表!M19</f>
        <v>112772922.45999999</v>
      </c>
      <c r="N27" s="76">
        <f>资产资本表!N19</f>
        <v>179190503.27000001</v>
      </c>
      <c r="O27" s="76">
        <f>资产资本表!O19</f>
        <v>93358175.609999999</v>
      </c>
      <c r="P27" s="76">
        <f>资产资本表!P19</f>
        <v>93448970.349999994</v>
      </c>
      <c r="Q27" s="76">
        <f>资产资本表!Q19</f>
        <v>94632389.900000006</v>
      </c>
      <c r="R27" s="76">
        <f>资产资本表!R19</f>
        <v>87564084.150000006</v>
      </c>
      <c r="S27" s="76">
        <f>资产资本表!S19</f>
        <v>82702800.319999993</v>
      </c>
      <c r="T27" s="76">
        <f>资产资本表!T19</f>
        <v>85000072.510000005</v>
      </c>
      <c r="U27" s="76">
        <f>资产资本表!U19</f>
        <v>88946778.510000005</v>
      </c>
      <c r="V27" s="76">
        <f>资产资本表!V19</f>
        <v>93464896.390000001</v>
      </c>
      <c r="W27" s="76">
        <f>资产资本表!W19</f>
        <v>94255221.620000005</v>
      </c>
      <c r="X27" s="76">
        <f>资产资本表!X19</f>
        <v>38367823.380000003</v>
      </c>
      <c r="Y27" s="76">
        <f>资产资本表!Y19</f>
        <v>38941816.920000002</v>
      </c>
      <c r="Z27" s="76">
        <f>资产资本表!Z19</f>
        <v>38924400.689999998</v>
      </c>
      <c r="AA27" s="76">
        <f>资产资本表!AA19</f>
        <v>40024581.68</v>
      </c>
      <c r="AB27" s="76">
        <f>资产资本表!AB19</f>
        <v>39593170.829999998</v>
      </c>
      <c r="AC27" s="76">
        <f>资产资本表!AC19</f>
        <v>39578252.299999997</v>
      </c>
      <c r="AD27" s="76">
        <f>资产资本表!AD19</f>
        <v>31701416.859999999</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0.12122853783271645</v>
      </c>
      <c r="F28" s="110">
        <f t="shared" ref="F28:BQ28" si="12">F26/F27</f>
        <v>0.10049952648567494</v>
      </c>
      <c r="G28" s="110">
        <f t="shared" si="12"/>
        <v>5.4636042826837469E-2</v>
      </c>
      <c r="H28" s="110">
        <f t="shared" si="12"/>
        <v>-3.7332586486763242E-3</v>
      </c>
      <c r="I28" s="110">
        <f t="shared" si="12"/>
        <v>-5.6773566598766201E-2</v>
      </c>
      <c r="J28" s="110">
        <f t="shared" si="12"/>
        <v>-0.11106009658443189</v>
      </c>
      <c r="K28" s="110">
        <f t="shared" si="12"/>
        <v>-5.9741482914962354E-2</v>
      </c>
      <c r="L28" s="110">
        <f t="shared" si="12"/>
        <v>-5.6378994420358902E-2</v>
      </c>
      <c r="M28" s="110">
        <f t="shared" si="12"/>
        <v>-3.6291367206978738E-2</v>
      </c>
      <c r="N28" s="110">
        <f t="shared" si="12"/>
        <v>7.9996979406887509E-4</v>
      </c>
      <c r="O28" s="110">
        <f t="shared" si="12"/>
        <v>-1.4877975720117009E-2</v>
      </c>
      <c r="P28" s="110">
        <f t="shared" si="12"/>
        <v>-1.4750505488046826E-2</v>
      </c>
      <c r="Q28" s="110">
        <f t="shared" si="12"/>
        <v>1.8857366192333688E-2</v>
      </c>
      <c r="R28" s="110">
        <f t="shared" si="12"/>
        <v>-4.5740066134181113E-4</v>
      </c>
      <c r="S28" s="110">
        <f t="shared" si="12"/>
        <v>-5.7087978662534372E-2</v>
      </c>
      <c r="T28" s="110">
        <f t="shared" si="12"/>
        <v>0</v>
      </c>
      <c r="U28" s="110">
        <f t="shared" si="12"/>
        <v>-6.8812322520616934E-2</v>
      </c>
      <c r="V28" s="110">
        <f t="shared" si="12"/>
        <v>0</v>
      </c>
      <c r="W28" s="110">
        <f t="shared" si="12"/>
        <v>-4.0018080008414492E-3</v>
      </c>
      <c r="X28" s="110">
        <f t="shared" si="12"/>
        <v>0</v>
      </c>
      <c r="Y28" s="110">
        <f t="shared" si="12"/>
        <v>-1.6343237946690032E-2</v>
      </c>
      <c r="Z28" s="110">
        <f t="shared" si="12"/>
        <v>0</v>
      </c>
      <c r="AA28" s="110">
        <f t="shared" si="12"/>
        <v>0</v>
      </c>
      <c r="AB28" s="110">
        <f t="shared" si="12"/>
        <v>0</v>
      </c>
      <c r="AC28" s="110">
        <f t="shared" si="12"/>
        <v>4.8358019841113604E-2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89" t="s">
        <v>696</v>
      </c>
      <c r="B29" s="280"/>
      <c r="C29" s="280"/>
      <c r="D29" s="280"/>
      <c r="E29" s="280"/>
      <c r="F29" s="280"/>
      <c r="G29" s="280"/>
      <c r="H29" s="280"/>
      <c r="I29" s="280"/>
      <c r="J29" s="280"/>
      <c r="K29" s="280"/>
      <c r="L29" s="280"/>
      <c r="M29" s="280"/>
      <c r="N29" s="280"/>
      <c r="O29" s="280"/>
      <c r="P29" s="280"/>
      <c r="Q29" s="280"/>
      <c r="R29" s="280"/>
      <c r="S29" s="280"/>
      <c r="T29" s="280"/>
      <c r="U29" s="280"/>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47519880.168667406</v>
      </c>
      <c r="F32" s="76">
        <f>股权价值增加表!F29</f>
        <v>20798999.529982362</v>
      </c>
      <c r="G32" s="76">
        <f>股权价值增加表!G29</f>
        <v>12522876.772678584</v>
      </c>
      <c r="H32" s="76">
        <f>股权价值增加表!H29</f>
        <v>7587321.0223032152</v>
      </c>
      <c r="I32" s="76">
        <f>股权价值增加表!I29</f>
        <v>52974549.427079409</v>
      </c>
      <c r="J32" s="76">
        <f>股权价值增加表!J29</f>
        <v>26420728.890550483</v>
      </c>
      <c r="K32" s="76">
        <f>股权价值增加表!K29</f>
        <v>8664542.6950494163</v>
      </c>
      <c r="L32" s="76">
        <f>股权价值增加表!L29</f>
        <v>5844981.7993643619</v>
      </c>
      <c r="M32" s="76">
        <f>股权价值增加表!M29</f>
        <v>51348211.417108655</v>
      </c>
      <c r="N32" s="76">
        <f>股权价值增加表!N29</f>
        <v>22469634.569982961</v>
      </c>
      <c r="O32" s="76">
        <f>股权价值增加表!O29</f>
        <v>20157546.750080138</v>
      </c>
      <c r="P32" s="76">
        <f>股权价值增加表!P29</f>
        <v>6145129.5621187892</v>
      </c>
      <c r="Q32" s="76">
        <f>股权价值增加表!Q29</f>
        <v>37140392.211395495</v>
      </c>
      <c r="R32" s="76">
        <f>股权价值增加表!R29</f>
        <v>17230180.485778667</v>
      </c>
      <c r="S32" s="76">
        <f>股权价值增加表!S29</f>
        <v>7196726.3551896475</v>
      </c>
      <c r="T32" s="76">
        <f>股权价值增加表!T29</f>
        <v>1740595.3585011354</v>
      </c>
      <c r="U32" s="76">
        <f>股权价值增加表!U29</f>
        <v>43987203.698781684</v>
      </c>
      <c r="V32" s="76">
        <f>股权价值增加表!V29</f>
        <v>17349390.313803013</v>
      </c>
      <c r="W32" s="76">
        <f>股权价值增加表!W29</f>
        <v>10113321.966636777</v>
      </c>
      <c r="X32" s="76">
        <f>股权价值增加表!X29</f>
        <v>-367787.13441940869</v>
      </c>
      <c r="Y32" s="76">
        <f>股权价值增加表!Y29</f>
        <v>27268543.751769103</v>
      </c>
      <c r="Z32" s="76">
        <f>股权价值增加表!Z29</f>
        <v>224306.33277525112</v>
      </c>
      <c r="AA32" s="76">
        <f>股权价值增加表!AA29</f>
        <v>428209.50254471006</v>
      </c>
      <c r="AB32" s="76">
        <f>股权价值增加表!AB29</f>
        <v>11721.436789744328</v>
      </c>
      <c r="AC32" s="76">
        <f>股权价值增加表!AC29</f>
        <v>33597851.965525389</v>
      </c>
      <c r="AD32" s="76">
        <f>股权价值增加表!AD29</f>
        <v>3828574.8191694366</v>
      </c>
      <c r="AE32" s="76">
        <f>股权价值增加表!AE29</f>
        <v>1439380.5174004715</v>
      </c>
      <c r="AF32" s="76">
        <f>股权价值增加表!AF29</f>
        <v>19286.623373035647</v>
      </c>
      <c r="AG32" s="76">
        <f>股权价值增加表!AG29</f>
        <v>34855720.197310179</v>
      </c>
      <c r="AH32" s="76">
        <f>股权价值增加表!AH29</f>
        <v>30596.170650463413</v>
      </c>
      <c r="AI32" s="76">
        <f>股权价值增加表!AI29</f>
        <v>0</v>
      </c>
      <c r="AJ32" s="76">
        <f>股权价值增加表!AJ29</f>
        <v>0</v>
      </c>
      <c r="AK32" s="76">
        <f>股权价值增加表!AK29</f>
        <v>208686.49189350777</v>
      </c>
      <c r="AL32" s="76">
        <f>股权价值增加表!AL29</f>
        <v>196199.33657291194</v>
      </c>
      <c r="AM32" s="76">
        <f>股权价值增加表!AM29</f>
        <v>195972.04187259174</v>
      </c>
      <c r="AN32" s="76">
        <f>股权价值增加表!AN29</f>
        <v>126418.89354886094</v>
      </c>
      <c r="AO32" s="76">
        <f>股权价值增加表!AO29</f>
        <v>225574.25861653779</v>
      </c>
      <c r="AP32" s="76">
        <f>股权价值增加表!AP29</f>
        <v>0</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672959841.71000004</v>
      </c>
      <c r="F34" s="76">
        <f>资产资本表!F4</f>
        <v>799289202.25999999</v>
      </c>
      <c r="G34" s="76">
        <f>资产资本表!G4</f>
        <v>992564845.12</v>
      </c>
      <c r="H34" s="76">
        <f>资产资本表!H4</f>
        <v>737361954.00999999</v>
      </c>
      <c r="I34" s="76">
        <f>资产资本表!I4</f>
        <v>754332459.83000004</v>
      </c>
      <c r="J34" s="76">
        <f>资产资本表!J4</f>
        <v>800452847.65999997</v>
      </c>
      <c r="K34" s="76">
        <f>资产资本表!K4</f>
        <v>771816817.58000004</v>
      </c>
      <c r="L34" s="76">
        <f>资产资本表!L4</f>
        <v>924022563.13</v>
      </c>
      <c r="M34" s="76">
        <f>资产资本表!M4</f>
        <v>1148103354.75</v>
      </c>
      <c r="N34" s="76">
        <f>资产资本表!N4</f>
        <v>657506471.89999998</v>
      </c>
      <c r="O34" s="76">
        <f>资产资本表!O4</f>
        <v>713112016.25</v>
      </c>
      <c r="P34" s="76">
        <f>资产资本表!P4</f>
        <v>686005544</v>
      </c>
      <c r="Q34" s="76">
        <f>资产资本表!Q4</f>
        <v>1233508879.4400001</v>
      </c>
      <c r="R34" s="76">
        <f>资产资本表!R4</f>
        <v>551425835.47000003</v>
      </c>
      <c r="S34" s="76">
        <f>资产资本表!S4</f>
        <v>416232134.57999998</v>
      </c>
      <c r="T34" s="76">
        <f>资产资本表!T4</f>
        <v>997877972.28999996</v>
      </c>
      <c r="U34" s="76">
        <f>资产资本表!U4</f>
        <v>1061842321.49</v>
      </c>
      <c r="V34" s="76">
        <f>资产资本表!V4</f>
        <v>858315898.42999995</v>
      </c>
      <c r="W34" s="76">
        <f>资产资本表!W4</f>
        <v>1025077497.1</v>
      </c>
      <c r="X34" s="76">
        <f>资产资本表!X4</f>
        <v>1469263738.3199999</v>
      </c>
      <c r="Y34" s="76">
        <f>资产资本表!Y4</f>
        <v>1489224514.23</v>
      </c>
      <c r="Z34" s="76">
        <f>资产资本表!Z4</f>
        <v>1363528264.72</v>
      </c>
      <c r="AA34" s="76">
        <f>资产资本表!AA4</f>
        <v>1286059833.21</v>
      </c>
      <c r="AB34" s="76">
        <f>资产资本表!AB4</f>
        <v>1557853693.8199999</v>
      </c>
      <c r="AC34" s="76">
        <f>资产资本表!AC4</f>
        <v>1528705728.5799999</v>
      </c>
      <c r="AD34" s="76">
        <f>资产资本表!AD4</f>
        <v>2028391877.98</v>
      </c>
      <c r="AE34" s="76">
        <f>资产资本表!AE4</f>
        <v>2021463953.73</v>
      </c>
      <c r="AF34" s="76">
        <f>资产资本表!AF4</f>
        <v>2219007747.1500001</v>
      </c>
      <c r="AG34" s="76">
        <f>资产资本表!AG4</f>
        <v>2286766195.4200001</v>
      </c>
      <c r="AH34" s="76">
        <f>资产资本表!AH4</f>
        <v>2347988865.8800001</v>
      </c>
      <c r="AI34" s="76">
        <f>资产资本表!AI4</f>
        <v>2319899469.7800002</v>
      </c>
      <c r="AJ34" s="76">
        <f>资产资本表!AJ4</f>
        <v>2387307098.2800002</v>
      </c>
      <c r="AK34" s="76">
        <f>资产资本表!AK4</f>
        <v>2568785393.6199999</v>
      </c>
      <c r="AL34" s="76">
        <f>资产资本表!AL4</f>
        <v>2383853084.0700002</v>
      </c>
      <c r="AM34" s="76">
        <f>资产资本表!AM4</f>
        <v>2280313469.0999999</v>
      </c>
      <c r="AN34" s="76">
        <f>资产资本表!AN4</f>
        <v>2302838919.6999998</v>
      </c>
      <c r="AO34" s="76">
        <f>资产资本表!AO4</f>
        <v>2376812997.27</v>
      </c>
      <c r="AP34" s="76">
        <f>资产资本表!AP4</f>
        <v>2048213197.51</v>
      </c>
      <c r="AQ34" s="76">
        <f>资产资本表!AQ4</f>
        <v>1827087947.0699999</v>
      </c>
      <c r="AR34" s="76">
        <f>资产资本表!AR4</f>
        <v>394625422.69999999</v>
      </c>
      <c r="AS34" s="76">
        <f>资产资本表!AS4</f>
        <v>450300348.37</v>
      </c>
      <c r="AT34" s="76">
        <f>资产资本表!AT4</f>
        <v>186674964.63</v>
      </c>
      <c r="AU34" s="76">
        <f>资产资本表!AU4</f>
        <v>64488694.780000001</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2662794.52</v>
      </c>
      <c r="F36" s="76">
        <f>资产资本表!F13</f>
        <v>6148273.6100000003</v>
      </c>
      <c r="G36" s="76">
        <f>资产资本表!G13</f>
        <v>4178786.9</v>
      </c>
      <c r="H36" s="76">
        <f>资产资本表!H13</f>
        <v>8874743.6199999992</v>
      </c>
      <c r="I36" s="76">
        <f>资产资本表!I13</f>
        <v>8346576.5199999996</v>
      </c>
      <c r="J36" s="76">
        <f>资产资本表!J13</f>
        <v>3713179.79</v>
      </c>
      <c r="K36" s="76">
        <f>资产资本表!K13</f>
        <v>2263418.6</v>
      </c>
      <c r="L36" s="76">
        <f>资产资本表!L13</f>
        <v>8029992.0899999999</v>
      </c>
      <c r="M36" s="76">
        <f>资产资本表!M13</f>
        <v>9197172.5199999996</v>
      </c>
      <c r="N36" s="76">
        <f>资产资本表!N13</f>
        <v>11342859.810000001</v>
      </c>
      <c r="O36" s="76">
        <f>资产资本表!O13</f>
        <v>13015107.800000001</v>
      </c>
      <c r="P36" s="76">
        <f>资产资本表!P13</f>
        <v>12612694.65</v>
      </c>
      <c r="Q36" s="76">
        <f>资产资本表!Q13</f>
        <v>5483055.1100000003</v>
      </c>
      <c r="R36" s="76">
        <f>资产资本表!R13</f>
        <v>17413948.670000002</v>
      </c>
      <c r="S36" s="76">
        <f>资产资本表!S13</f>
        <v>11263390.65</v>
      </c>
      <c r="T36" s="76">
        <f>资产资本表!T13</f>
        <v>4237146.24</v>
      </c>
      <c r="U36" s="76">
        <f>资产资本表!U13</f>
        <v>3480964.43</v>
      </c>
      <c r="V36" s="76">
        <f>资产资本表!V13</f>
        <v>2176721.08</v>
      </c>
      <c r="W36" s="76">
        <f>资产资本表!W13</f>
        <v>4882593.42</v>
      </c>
      <c r="X36" s="76">
        <f>资产资本表!X13</f>
        <v>5534511.5199999996</v>
      </c>
      <c r="Y36" s="76">
        <f>资产资本表!Y13</f>
        <v>4090150.63</v>
      </c>
      <c r="Z36" s="76">
        <f>资产资本表!Z13</f>
        <v>5286471.45</v>
      </c>
      <c r="AA36" s="76">
        <f>资产资本表!AA13</f>
        <v>3323168.05</v>
      </c>
      <c r="AB36" s="76">
        <f>资产资本表!AB13</f>
        <v>4269617.4400000004</v>
      </c>
      <c r="AC36" s="76">
        <f>资产资本表!AC13</f>
        <v>4473562.5199999996</v>
      </c>
      <c r="AD36" s="76">
        <f>资产资本表!AD13</f>
        <v>7478334.6399999997</v>
      </c>
      <c r="AE36" s="76">
        <f>资产资本表!AE13</f>
        <v>9538429.2799999993</v>
      </c>
      <c r="AF36" s="76">
        <f>资产资本表!AF13</f>
        <v>2137312.54</v>
      </c>
      <c r="AG36" s="76">
        <f>资产资本表!AG13</f>
        <v>6432676.96</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411227879.31</v>
      </c>
      <c r="F38" s="76">
        <f>资产资本表!F8</f>
        <v>451587782.93000001</v>
      </c>
      <c r="G38" s="76">
        <f>资产资本表!G8</f>
        <v>447169472.55000001</v>
      </c>
      <c r="H38" s="76">
        <f>资产资本表!H8</f>
        <v>447169472.55000001</v>
      </c>
      <c r="I38" s="76">
        <f>资产资本表!I8</f>
        <v>447169472.55000001</v>
      </c>
      <c r="J38" s="76">
        <f>资产资本表!J8</f>
        <v>455643959.68000001</v>
      </c>
      <c r="K38" s="76">
        <f>资产资本表!K8</f>
        <v>473334914.18000001</v>
      </c>
      <c r="L38" s="76">
        <f>资产资本表!L8</f>
        <v>459676670.48000002</v>
      </c>
      <c r="M38" s="76">
        <f>资产资本表!M8</f>
        <v>193302865.31</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50000000</v>
      </c>
      <c r="AA39" s="76">
        <f>资产资本表!AA9</f>
        <v>50000000</v>
      </c>
      <c r="AB39" s="76">
        <f>资产资本表!AB9</f>
        <v>0</v>
      </c>
      <c r="AC39" s="76">
        <f>资产资本表!AC9</f>
        <v>0</v>
      </c>
      <c r="AD39" s="76">
        <f>资产资本表!AD9</f>
        <v>0</v>
      </c>
      <c r="AE39" s="76">
        <f>资产资本表!AE9</f>
        <v>0</v>
      </c>
      <c r="AF39" s="76">
        <f>资产资本表!AF9</f>
        <v>100000000</v>
      </c>
      <c r="AG39" s="76">
        <f>资产资本表!AG9</f>
        <v>0</v>
      </c>
      <c r="AH39" s="76">
        <f>资产资本表!AH9</f>
        <v>40000000</v>
      </c>
      <c r="AI39" s="76">
        <f>资产资本表!AI9</f>
        <v>0</v>
      </c>
      <c r="AJ39" s="76">
        <f>资产资本表!AJ9</f>
        <v>0</v>
      </c>
      <c r="AK39" s="76">
        <f>资产资本表!AK9</f>
        <v>0</v>
      </c>
      <c r="AL39" s="76">
        <f>资产资本表!AL9</f>
        <v>0</v>
      </c>
      <c r="AM39" s="76">
        <f>资产资本表!AM9</f>
        <v>0</v>
      </c>
      <c r="AN39" s="76">
        <f>资产资本表!AN9</f>
        <v>10408000</v>
      </c>
      <c r="AO39" s="76">
        <f>资产资本表!AO9</f>
        <v>10258630.140000001</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222836406.94999999</v>
      </c>
      <c r="F40" s="76">
        <f>资产资本表!F10</f>
        <v>256187183.38</v>
      </c>
      <c r="G40" s="76">
        <f>资产资本表!G10</f>
        <v>260214242.28999999</v>
      </c>
      <c r="H40" s="76">
        <f>资产资本表!H10</f>
        <v>249574037.91999999</v>
      </c>
      <c r="I40" s="76">
        <f>资产资本表!I10</f>
        <v>253343270.16999999</v>
      </c>
      <c r="J40" s="76">
        <f>资产资本表!J10</f>
        <v>257008197.25999999</v>
      </c>
      <c r="K40" s="76">
        <f>资产资本表!K10</f>
        <v>260775937.06999999</v>
      </c>
      <c r="L40" s="76">
        <f>资产资本表!L10</f>
        <v>264543676.88</v>
      </c>
      <c r="M40" s="76">
        <f>资产资本表!M10</f>
        <v>268311416.69</v>
      </c>
      <c r="N40" s="76">
        <f>资产资本表!N10</f>
        <v>272079156.19999999</v>
      </c>
      <c r="O40" s="76">
        <f>资产资本表!O10</f>
        <v>275846896.00999999</v>
      </c>
      <c r="P40" s="76">
        <f>资产资本表!P10</f>
        <v>279614635.81999999</v>
      </c>
      <c r="Q40" s="76">
        <f>资产资本表!Q10</f>
        <v>283382375.63</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149323717.83000001</v>
      </c>
      <c r="F42" s="76">
        <f>资产资本表!F6</f>
        <v>0</v>
      </c>
      <c r="G42" s="76">
        <f>资产资本表!G6</f>
        <v>0</v>
      </c>
      <c r="H42" s="76">
        <f>资产资本表!H6</f>
        <v>0</v>
      </c>
      <c r="I42" s="76">
        <f>资产资本表!I6</f>
        <v>0</v>
      </c>
      <c r="J42" s="76">
        <f>资产资本表!J6</f>
        <v>0</v>
      </c>
      <c r="K42" s="76">
        <f>资产资本表!K6</f>
        <v>0</v>
      </c>
      <c r="L42" s="76">
        <f>资产资本表!L6</f>
        <v>89868325.769999996</v>
      </c>
      <c r="M42" s="76">
        <f>资产资本表!M6</f>
        <v>89868325.769999996</v>
      </c>
      <c r="N42" s="76">
        <f>资产资本表!N6</f>
        <v>89868325.790000007</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1459010640.3199999</v>
      </c>
      <c r="F43" s="76">
        <f t="shared" ref="F43:BQ43" si="14">SUM(F34:F42)</f>
        <v>1513212442.1799998</v>
      </c>
      <c r="G43" s="76">
        <f t="shared" si="14"/>
        <v>1704127346.8599999</v>
      </c>
      <c r="H43" s="76">
        <f t="shared" si="14"/>
        <v>1442980208.1000001</v>
      </c>
      <c r="I43" s="76">
        <f t="shared" si="14"/>
        <v>1463191779.0700002</v>
      </c>
      <c r="J43" s="76">
        <f t="shared" si="14"/>
        <v>1516818184.3899999</v>
      </c>
      <c r="K43" s="76">
        <f t="shared" si="14"/>
        <v>1508191087.4300001</v>
      </c>
      <c r="L43" s="76">
        <f t="shared" si="14"/>
        <v>1746141228.3499999</v>
      </c>
      <c r="M43" s="76">
        <f t="shared" si="14"/>
        <v>1708783135.04</v>
      </c>
      <c r="N43" s="76">
        <f t="shared" si="14"/>
        <v>1030796813.6999998</v>
      </c>
      <c r="O43" s="76">
        <f t="shared" si="14"/>
        <v>1001974020.0599999</v>
      </c>
      <c r="P43" s="76">
        <f t="shared" si="14"/>
        <v>978232874.47000003</v>
      </c>
      <c r="Q43" s="76">
        <f t="shared" si="14"/>
        <v>1522374310.1799998</v>
      </c>
      <c r="R43" s="76">
        <f t="shared" si="14"/>
        <v>568839784.13999999</v>
      </c>
      <c r="S43" s="76">
        <f t="shared" si="14"/>
        <v>427495525.22999996</v>
      </c>
      <c r="T43" s="76">
        <f t="shared" si="14"/>
        <v>1002115118.53</v>
      </c>
      <c r="U43" s="76">
        <f t="shared" si="14"/>
        <v>1065323285.92</v>
      </c>
      <c r="V43" s="76">
        <f t="shared" si="14"/>
        <v>860492619.50999999</v>
      </c>
      <c r="W43" s="76">
        <f t="shared" si="14"/>
        <v>1029960090.52</v>
      </c>
      <c r="X43" s="76">
        <f t="shared" si="14"/>
        <v>1474798249.8399999</v>
      </c>
      <c r="Y43" s="76">
        <f t="shared" si="14"/>
        <v>1493314664.8600001</v>
      </c>
      <c r="Z43" s="76">
        <f t="shared" si="14"/>
        <v>1418814736.1700001</v>
      </c>
      <c r="AA43" s="76">
        <f t="shared" si="14"/>
        <v>1339383001.26</v>
      </c>
      <c r="AB43" s="76">
        <f t="shared" si="14"/>
        <v>1562123311.26</v>
      </c>
      <c r="AC43" s="76">
        <f t="shared" si="14"/>
        <v>1533179291.0999999</v>
      </c>
      <c r="AD43" s="76">
        <f t="shared" si="14"/>
        <v>2035870212.6200001</v>
      </c>
      <c r="AE43" s="76">
        <f t="shared" si="14"/>
        <v>2031002383.01</v>
      </c>
      <c r="AF43" s="76">
        <f t="shared" si="14"/>
        <v>2321145059.6900001</v>
      </c>
      <c r="AG43" s="76">
        <f t="shared" si="14"/>
        <v>2293198872.3800001</v>
      </c>
      <c r="AH43" s="76">
        <f t="shared" si="14"/>
        <v>2387988865.8800001</v>
      </c>
      <c r="AI43" s="76">
        <f t="shared" si="14"/>
        <v>2319899469.7800002</v>
      </c>
      <c r="AJ43" s="76">
        <f t="shared" si="14"/>
        <v>2387307098.2800002</v>
      </c>
      <c r="AK43" s="76">
        <f t="shared" si="14"/>
        <v>2568785393.6199999</v>
      </c>
      <c r="AL43" s="76">
        <f t="shared" si="14"/>
        <v>2383853084.0700002</v>
      </c>
      <c r="AM43" s="76">
        <f t="shared" si="14"/>
        <v>2280313469.0999999</v>
      </c>
      <c r="AN43" s="76">
        <f t="shared" si="14"/>
        <v>2313246919.6999998</v>
      </c>
      <c r="AO43" s="76">
        <f t="shared" si="14"/>
        <v>2387071627.4099998</v>
      </c>
      <c r="AP43" s="76">
        <f t="shared" si="14"/>
        <v>2048213197.51</v>
      </c>
      <c r="AQ43" s="76">
        <f t="shared" si="14"/>
        <v>1827087947.0699999</v>
      </c>
      <c r="AR43" s="76">
        <f t="shared" si="14"/>
        <v>394625422.69999999</v>
      </c>
      <c r="AS43" s="76">
        <f t="shared" si="14"/>
        <v>450300348.37</v>
      </c>
      <c r="AT43" s="76">
        <f t="shared" si="14"/>
        <v>186674964.63</v>
      </c>
      <c r="AU43" s="76">
        <f t="shared" si="14"/>
        <v>64488694.780000001</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3.2569933937044507E-2</v>
      </c>
      <c r="F44" s="110">
        <f t="shared" ref="F44:BQ44" si="16">F32/F43</f>
        <v>1.3744930288848548E-2</v>
      </c>
      <c r="G44" s="110">
        <f t="shared" si="16"/>
        <v>7.3485568996665964E-3</v>
      </c>
      <c r="H44" s="110">
        <f t="shared" si="16"/>
        <v>5.2580908453994579E-3</v>
      </c>
      <c r="I44" s="110">
        <f t="shared" si="16"/>
        <v>3.6204788862844665E-2</v>
      </c>
      <c r="J44" s="110">
        <f t="shared" si="16"/>
        <v>1.7418520665465113E-2</v>
      </c>
      <c r="K44" s="110">
        <f t="shared" si="16"/>
        <v>5.744989986523551E-3</v>
      </c>
      <c r="L44" s="110">
        <f t="shared" si="16"/>
        <v>3.3473705932065552E-3</v>
      </c>
      <c r="M44" s="110">
        <f t="shared" si="16"/>
        <v>3.0049577599504267E-2</v>
      </c>
      <c r="N44" s="110">
        <f t="shared" si="16"/>
        <v>2.1798315896349344E-2</v>
      </c>
      <c r="O44" s="110">
        <f t="shared" si="16"/>
        <v>2.0117833742708289E-2</v>
      </c>
      <c r="P44" s="110">
        <f t="shared" si="16"/>
        <v>6.2818677663518301E-3</v>
      </c>
      <c r="Q44" s="110">
        <f t="shared" si="16"/>
        <v>2.4396360318904853E-2</v>
      </c>
      <c r="R44" s="110">
        <f t="shared" si="16"/>
        <v>3.0290041178867442E-2</v>
      </c>
      <c r="S44" s="110">
        <f t="shared" si="16"/>
        <v>1.6834623827507163E-2</v>
      </c>
      <c r="T44" s="110">
        <f t="shared" si="16"/>
        <v>1.7369215635169842E-3</v>
      </c>
      <c r="U44" s="110">
        <f t="shared" si="16"/>
        <v>4.1290004902873101E-2</v>
      </c>
      <c r="V44" s="110">
        <f t="shared" si="16"/>
        <v>2.0162160511826902E-2</v>
      </c>
      <c r="W44" s="110">
        <f t="shared" si="16"/>
        <v>9.8191396537809783E-3</v>
      </c>
      <c r="X44" s="110">
        <f t="shared" si="16"/>
        <v>-2.4938132009534846E-4</v>
      </c>
      <c r="Y44" s="110">
        <f t="shared" si="16"/>
        <v>1.8260413825324322E-2</v>
      </c>
      <c r="Z44" s="110">
        <f t="shared" si="16"/>
        <v>1.5809416624805559E-4</v>
      </c>
      <c r="AA44" s="110">
        <f t="shared" si="16"/>
        <v>3.1970653811634148E-4</v>
      </c>
      <c r="AB44" s="110">
        <f t="shared" si="16"/>
        <v>7.5035285020424428E-6</v>
      </c>
      <c r="AC44" s="110">
        <f t="shared" si="16"/>
        <v>2.1913844101964203E-2</v>
      </c>
      <c r="AD44" s="110">
        <f t="shared" si="16"/>
        <v>1.8805593772317985E-3</v>
      </c>
      <c r="AE44" s="110">
        <f t="shared" si="16"/>
        <v>7.0870449460884975E-4</v>
      </c>
      <c r="AF44" s="110">
        <f t="shared" si="16"/>
        <v>8.3090986892527381E-6</v>
      </c>
      <c r="AG44" s="110">
        <f t="shared" si="16"/>
        <v>1.5199606373927402E-2</v>
      </c>
      <c r="AH44" s="110">
        <f t="shared" si="16"/>
        <v>1.2812526510331273E-5</v>
      </c>
      <c r="AI44" s="110">
        <f t="shared" si="16"/>
        <v>0</v>
      </c>
      <c r="AJ44" s="110">
        <f t="shared" si="16"/>
        <v>0</v>
      </c>
      <c r="AK44" s="110">
        <f t="shared" si="16"/>
        <v>8.1239364102511215E-5</v>
      </c>
      <c r="AL44" s="110">
        <f t="shared" si="16"/>
        <v>8.2303451451771882E-5</v>
      </c>
      <c r="AM44" s="110">
        <f t="shared" si="16"/>
        <v>8.5940834244135084E-5</v>
      </c>
      <c r="AN44" s="110">
        <f t="shared" si="16"/>
        <v>5.4649978120474899E-5</v>
      </c>
      <c r="AO44" s="110">
        <f t="shared" si="16"/>
        <v>9.4498320044668477E-5</v>
      </c>
      <c r="AP44" s="110">
        <f t="shared" si="16"/>
        <v>0</v>
      </c>
      <c r="AQ44" s="110">
        <f t="shared" si="16"/>
        <v>0</v>
      </c>
      <c r="AR44" s="110">
        <f t="shared" si="16"/>
        <v>0</v>
      </c>
      <c r="AS44" s="110">
        <f t="shared" si="16"/>
        <v>0</v>
      </c>
      <c r="AT44" s="110">
        <f t="shared" si="16"/>
        <v>0</v>
      </c>
      <c r="AU44" s="110">
        <f t="shared" si="16"/>
        <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8" t="s">
        <v>697</v>
      </c>
      <c r="B45" s="277"/>
      <c r="C45" s="277"/>
      <c r="D45" s="277"/>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row>
    <row r="46" spans="1:89" s="57" customFormat="1" x14ac:dyDescent="0.25">
      <c r="A46" s="57" t="s">
        <v>698</v>
      </c>
      <c r="E46" s="57">
        <f>E43/资产资本表!E70</f>
        <v>0.40669377089500991</v>
      </c>
      <c r="F46" s="57">
        <f>F43/资产资本表!F70</f>
        <v>0.37253012898325871</v>
      </c>
      <c r="G46" s="57">
        <f>G43/资产资本表!G70</f>
        <v>0.43708462639413925</v>
      </c>
      <c r="H46" s="57">
        <f>H43/资产资本表!H70</f>
        <v>0.39303277500223222</v>
      </c>
      <c r="I46" s="57">
        <f>I43/资产资本表!I70</f>
        <v>0.41440965067899155</v>
      </c>
      <c r="J46" s="57">
        <f>J43/资产资本表!J70</f>
        <v>0.45043982345146982</v>
      </c>
      <c r="K46" s="57">
        <f>K43/资产资本表!K70</f>
        <v>0.46684119330969087</v>
      </c>
      <c r="L46" s="57">
        <f>L43/资产资本表!L70</f>
        <v>0.49515180721166208</v>
      </c>
      <c r="M46" s="57">
        <f>M43/资产资本表!M70</f>
        <v>0.5042456795300263</v>
      </c>
      <c r="N46" s="57">
        <f>N43/资产资本表!N70</f>
        <v>0.31656599481436487</v>
      </c>
      <c r="O46" s="57">
        <f>O43/资产资本表!O70</f>
        <v>0.32804217979462641</v>
      </c>
      <c r="P46" s="57">
        <f>P43/资产资本表!P70</f>
        <v>0.28890659136067581</v>
      </c>
      <c r="Q46" s="57">
        <f>Q43/资产资本表!Q70</f>
        <v>0.46677809563849448</v>
      </c>
      <c r="R46" s="57">
        <f>R43/资产资本表!R70</f>
        <v>0.18023246091060446</v>
      </c>
      <c r="S46" s="57">
        <f>S43/资产资本表!S70</f>
        <v>0.14061801425906406</v>
      </c>
      <c r="T46" s="57">
        <f>T43/资产资本表!T70</f>
        <v>0.31059638736723438</v>
      </c>
      <c r="U46" s="57">
        <f>U43/资产资本表!U70</f>
        <v>0.34317633475716941</v>
      </c>
      <c r="V46" s="57">
        <f>V43/资产资本表!V70</f>
        <v>0.28725412340239725</v>
      </c>
      <c r="W46" s="57">
        <f>W43/资产资本表!W70</f>
        <v>0.35052617709337558</v>
      </c>
      <c r="X46" s="57">
        <f>X43/资产资本表!X70</f>
        <v>0.47767982181917079</v>
      </c>
      <c r="Y46" s="57">
        <f>Y43/资产资本表!Y70</f>
        <v>0.50537561668716124</v>
      </c>
      <c r="Z46" s="57">
        <f>Z43/资产资本表!Z70</f>
        <v>0.49152799776232919</v>
      </c>
      <c r="AA46" s="57">
        <f>AA43/资产资本表!AA70</f>
        <v>0.49034434201863064</v>
      </c>
      <c r="AB46" s="57">
        <f>AB43/资产资本表!AB70</f>
        <v>0.57259960176390456</v>
      </c>
      <c r="AC46" s="57">
        <f>AC43/资产资本表!AC70</f>
        <v>0.59194857048768124</v>
      </c>
      <c r="AD46" s="57">
        <f>AD43/资产资本表!AD70</f>
        <v>0.69833101136708153</v>
      </c>
      <c r="AE46" s="57">
        <f>AE43/资产资本表!AE70</f>
        <v>0.70663034056639185</v>
      </c>
      <c r="AF46" s="57">
        <f>AF43/资产资本表!AF70</f>
        <v>0.73415165179585395</v>
      </c>
      <c r="AG46" s="57">
        <f>AG43/资产资本表!AG70</f>
        <v>0.7569605342500213</v>
      </c>
      <c r="AH46" s="57">
        <f>AH43/资产资本表!AH70</f>
        <v>0.82882135517110345</v>
      </c>
      <c r="AI46" s="57">
        <f>AI43/资产资本表!AI70</f>
        <v>0.87221357457947057</v>
      </c>
      <c r="AJ46" s="57">
        <f>AJ43/资产资本表!AJ70</f>
        <v>0.82039980676218893</v>
      </c>
      <c r="AK46" s="57">
        <f>AK43/资产资本表!AK70</f>
        <v>0.90926365223780381</v>
      </c>
      <c r="AL46" s="57">
        <f>AL43/资产资本表!AL70</f>
        <v>0.89319739225132577</v>
      </c>
      <c r="AM46" s="57">
        <f>AM43/资产资本表!AM70</f>
        <v>0.91994142548907398</v>
      </c>
      <c r="AN46" s="57">
        <f>AN43/资产资本表!AN70</f>
        <v>0.90259647318427338</v>
      </c>
      <c r="AO46" s="57">
        <f>AO43/资产资本表!AO70</f>
        <v>0.98759898484042108</v>
      </c>
      <c r="AP46" s="57">
        <f>AP43/资产资本表!AP70</f>
        <v>0.92018457791867514</v>
      </c>
      <c r="AQ46" s="57">
        <f>AQ43/资产资本表!AQ70</f>
        <v>0.84125803468741511</v>
      </c>
      <c r="AR46" s="57">
        <f>AR43/资产资本表!AR70</f>
        <v>0.69110800085723989</v>
      </c>
      <c r="AS46" s="57">
        <f>AS43/资产资本表!AS70</f>
        <v>0.97575931080428135</v>
      </c>
      <c r="AT46" s="57">
        <f>AT43/资产资本表!AT70</f>
        <v>0.75311911602898318</v>
      </c>
      <c r="AU46" s="57">
        <f>AU43/资产资本表!AU70</f>
        <v>0.87323520991624504</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7247524855.71</v>
      </c>
      <c r="F49" s="76">
        <f>利润表!F4</f>
        <v>5065883183.1800003</v>
      </c>
      <c r="G49" s="76">
        <f>利润表!G4</f>
        <v>3268813950.4499998</v>
      </c>
      <c r="H49" s="76">
        <f>利润表!H4</f>
        <v>1485448286.03</v>
      </c>
      <c r="I49" s="76">
        <f>利润表!I4</f>
        <v>7314804589.3299999</v>
      </c>
      <c r="J49" s="76">
        <f>利润表!J4</f>
        <v>5034289662.0600004</v>
      </c>
      <c r="K49" s="76">
        <f>利润表!K4</f>
        <v>3310004420.3299999</v>
      </c>
      <c r="L49" s="76">
        <f>利润表!L4</f>
        <v>1642780841.9100001</v>
      </c>
      <c r="M49" s="76">
        <f>利润表!M4</f>
        <v>7060089115.1000004</v>
      </c>
      <c r="N49" s="76">
        <f>利润表!N4</f>
        <v>5015787441.9099998</v>
      </c>
      <c r="O49" s="76">
        <f>利润表!O4</f>
        <v>3166625456.5</v>
      </c>
      <c r="P49" s="76">
        <f>利润表!P4</f>
        <v>1416951061.4000001</v>
      </c>
      <c r="Q49" s="76">
        <f>利润表!Q4</f>
        <v>5943513348.3800001</v>
      </c>
      <c r="R49" s="76">
        <f>利润表!R4</f>
        <v>4174603890.3899999</v>
      </c>
      <c r="S49" s="76">
        <f>利润表!S4</f>
        <v>2634286922.3299999</v>
      </c>
      <c r="T49" s="76">
        <f>利润表!T4</f>
        <v>1162870526.8900001</v>
      </c>
      <c r="U49" s="76">
        <f>利润表!U4</f>
        <v>5328121623.6099997</v>
      </c>
      <c r="V49" s="76">
        <f>利润表!V4</f>
        <v>3762579364.75</v>
      </c>
      <c r="W49" s="76">
        <f>利润表!W4</f>
        <v>2487358094.9200001</v>
      </c>
      <c r="X49" s="76">
        <f>利润表!X4</f>
        <v>1165556678.8900001</v>
      </c>
      <c r="Y49" s="76">
        <f>利润表!Y4</f>
        <v>4941836029.1599998</v>
      </c>
      <c r="Z49" s="76">
        <f>利润表!Z4</f>
        <v>3677657774.5300002</v>
      </c>
      <c r="AA49" s="76">
        <f>利润表!AA4</f>
        <v>2479065462.6300001</v>
      </c>
      <c r="AB49" s="76">
        <f>利润表!AB4</f>
        <v>1256355671.4000001</v>
      </c>
      <c r="AC49" s="76">
        <f>利润表!AC4</f>
        <v>5199331120.79</v>
      </c>
      <c r="AD49" s="76">
        <f>利润表!AD4</f>
        <v>4006626750.1300001</v>
      </c>
      <c r="AE49" s="76">
        <f>利润表!AE4</f>
        <v>2596159695.6900001</v>
      </c>
      <c r="AF49" s="76">
        <f>利润表!AF4</f>
        <v>1224631597.8399999</v>
      </c>
      <c r="AG49" s="76">
        <f>利润表!AG4</f>
        <v>5346505242.0600004</v>
      </c>
      <c r="AH49" s="76">
        <f>利润表!AH4</f>
        <v>3998717868.4699998</v>
      </c>
      <c r="AI49" s="76">
        <f>利润表!AI4</f>
        <v>2407587167.1900001</v>
      </c>
      <c r="AJ49" s="76">
        <f>利润表!AJ4</f>
        <v>846299087.34000003</v>
      </c>
      <c r="AK49" s="76">
        <f>利润表!AK4</f>
        <v>4636424794.75</v>
      </c>
      <c r="AL49" s="76">
        <f>利润表!AL4</f>
        <v>3364435349.9299998</v>
      </c>
      <c r="AM49" s="76">
        <f>利润表!AM4</f>
        <v>2181122166.0999999</v>
      </c>
      <c r="AN49" s="76">
        <f>利润表!AN4</f>
        <v>963326920.47000003</v>
      </c>
      <c r="AO49" s="76">
        <f>利润表!AO4</f>
        <v>4323444775.4799995</v>
      </c>
      <c r="AP49" s="76">
        <f>利润表!AP4</f>
        <v>2734495961.9400001</v>
      </c>
      <c r="AQ49" s="76">
        <f>利润表!AQ4</f>
        <v>1614051367.5599999</v>
      </c>
      <c r="AR49" s="76">
        <f>利润表!AR4</f>
        <v>701754356.17999995</v>
      </c>
      <c r="AS49" s="76">
        <f>利润表!AS4</f>
        <v>1942805380.28</v>
      </c>
      <c r="AT49" s="76">
        <f>利润表!AT4</f>
        <v>1197849805.04</v>
      </c>
      <c r="AU49" s="76">
        <f>利润表!AU4</f>
        <v>701639224.75</v>
      </c>
      <c r="AV49" s="76">
        <f>利润表!AV4</f>
        <v>328138362.51999998</v>
      </c>
      <c r="AW49" s="76">
        <f>利润表!AW4</f>
        <v>933814768.39999998</v>
      </c>
      <c r="AX49" s="76">
        <f>利润表!AX4</f>
        <v>750377431.16999996</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1004041679.29</v>
      </c>
      <c r="F50" s="76">
        <f>资产资本表!F50</f>
        <v>1461808875.4499998</v>
      </c>
      <c r="G50" s="76">
        <f>资产资本表!G50</f>
        <v>1136763030.22</v>
      </c>
      <c r="H50" s="76">
        <f>资产资本表!H50</f>
        <v>1170409044.4200001</v>
      </c>
      <c r="I50" s="76">
        <f>资产资本表!I50</f>
        <v>984519957.14000034</v>
      </c>
      <c r="J50" s="76">
        <f>资产资本表!J50</f>
        <v>808240696.0999999</v>
      </c>
      <c r="K50" s="76">
        <f>资产资本表!K50</f>
        <v>675619550.63999987</v>
      </c>
      <c r="L50" s="76">
        <f>资产资本表!L50</f>
        <v>767644005.30000019</v>
      </c>
      <c r="M50" s="76">
        <f>资产资本表!M50</f>
        <v>630877182.62999964</v>
      </c>
      <c r="N50" s="76">
        <f>资产资本表!N50</f>
        <v>1134834889.7899997</v>
      </c>
      <c r="O50" s="76">
        <f>资产资本表!O50</f>
        <v>957289110.86000013</v>
      </c>
      <c r="P50" s="76">
        <f>资产资本表!P50</f>
        <v>1293826131.7499998</v>
      </c>
      <c r="Q50" s="76">
        <f>资产资本表!Q50</f>
        <v>589884207.63000035</v>
      </c>
      <c r="R50" s="76">
        <f>资产资本表!R50</f>
        <v>1175892709.75</v>
      </c>
      <c r="S50" s="76">
        <f>资产资本表!S50</f>
        <v>1181407724.5299997</v>
      </c>
      <c r="T50" s="76">
        <f>资产资本表!T50</f>
        <v>893778306.5400002</v>
      </c>
      <c r="U50" s="76">
        <f>资产资本表!U50</f>
        <v>721421203.38000011</v>
      </c>
      <c r="V50" s="76">
        <f>资产资本表!V50</f>
        <v>785867322.6099999</v>
      </c>
      <c r="W50" s="76">
        <f>资产资本表!W50</f>
        <v>704398043.46000004</v>
      </c>
      <c r="X50" s="76">
        <f>资产资本表!X50</f>
        <v>511051635.98000002</v>
      </c>
      <c r="Y50" s="76">
        <f>资产资本表!Y50</f>
        <v>361677496.28999972</v>
      </c>
      <c r="Z50" s="76">
        <f>资产资本表!Z50</f>
        <v>423511790.25000012</v>
      </c>
      <c r="AA50" s="76">
        <f>资产资本表!AA50</f>
        <v>348941183.03999996</v>
      </c>
      <c r="AB50" s="76">
        <f>资产资本表!AB50</f>
        <v>187655386.3599999</v>
      </c>
      <c r="AC50" s="76">
        <f>资产资本表!AC50</f>
        <v>71522408.970000029</v>
      </c>
      <c r="AD50" s="76">
        <f>资产资本表!AD50</f>
        <v>-212709975.91999996</v>
      </c>
      <c r="AE50" s="76">
        <f>资产资本表!AE50</f>
        <v>-196908891.46000016</v>
      </c>
      <c r="AF50" s="76">
        <f>资产资本表!AF50</f>
        <v>-220549089.38</v>
      </c>
      <c r="AG50" s="76">
        <f>资产资本表!AG50</f>
        <v>-298049860.71000004</v>
      </c>
      <c r="AH50" s="76">
        <f>资产资本表!AH50</f>
        <v>-297098737.11000013</v>
      </c>
      <c r="AI50" s="76">
        <f>资产资本表!AI50</f>
        <v>-377564761.48000002</v>
      </c>
      <c r="AJ50" s="76">
        <f>资产资本表!AJ50</f>
        <v>-211530761.86000001</v>
      </c>
      <c r="AK50" s="76">
        <f>资产资本表!AK50</f>
        <v>-478624461.47000003</v>
      </c>
      <c r="AL50" s="76">
        <f>资产资本表!AL50</f>
        <v>-347876313.88999999</v>
      </c>
      <c r="AM50" s="76">
        <f>资产资本表!AM50</f>
        <v>-375480765.12999988</v>
      </c>
      <c r="AN50" s="76">
        <f>资产资本表!AN50</f>
        <v>-263998712.18999994</v>
      </c>
      <c r="AO50" s="76">
        <f>资产资本表!AO50</f>
        <v>-427593203.91000009</v>
      </c>
      <c r="AP50" s="76">
        <f>资产资本表!AP50</f>
        <v>-129673758.38</v>
      </c>
      <c r="AQ50" s="76">
        <f>资产资本表!AQ50</f>
        <v>116821345.71000004</v>
      </c>
      <c r="AR50" s="76">
        <f>资产资本表!AR50</f>
        <v>-29022363.340000033</v>
      </c>
      <c r="AS50" s="76">
        <f>资产资本表!AS50</f>
        <v>-176634015.57999998</v>
      </c>
      <c r="AT50" s="76">
        <f>资产资本表!AT50</f>
        <v>-65967921.470000029</v>
      </c>
      <c r="AU50" s="76">
        <f>资产资本表!AU50</f>
        <v>3523904.0900000036</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7.2183505975917548</v>
      </c>
      <c r="F51" s="44">
        <f t="shared" ref="F51:BQ51" si="18">F49/F50</f>
        <v>3.46548941401148</v>
      </c>
      <c r="G51" s="44">
        <f t="shared" si="18"/>
        <v>2.8755456181728389</v>
      </c>
      <c r="H51" s="44">
        <f t="shared" si="18"/>
        <v>1.2691702043076047</v>
      </c>
      <c r="I51" s="44">
        <f t="shared" si="18"/>
        <v>7.4298184981229616</v>
      </c>
      <c r="J51" s="44">
        <f t="shared" si="18"/>
        <v>6.2287010371439289</v>
      </c>
      <c r="K51" s="44">
        <f t="shared" si="18"/>
        <v>4.8992134955160846</v>
      </c>
      <c r="L51" s="44">
        <f t="shared" si="18"/>
        <v>2.1400295326581635</v>
      </c>
      <c r="M51" s="44">
        <f t="shared" si="18"/>
        <v>11.190908958963952</v>
      </c>
      <c r="N51" s="44">
        <f t="shared" si="18"/>
        <v>4.4198389448866582</v>
      </c>
      <c r="O51" s="44">
        <f t="shared" si="18"/>
        <v>3.3079091996097163</v>
      </c>
      <c r="P51" s="44">
        <f t="shared" si="18"/>
        <v>1.0951634277810298</v>
      </c>
      <c r="Q51" s="44">
        <f t="shared" si="18"/>
        <v>10.075728882892923</v>
      </c>
      <c r="R51" s="44">
        <f t="shared" si="18"/>
        <v>3.5501571323437657</v>
      </c>
      <c r="S51" s="44">
        <f t="shared" si="18"/>
        <v>2.2297864383593735</v>
      </c>
      <c r="T51" s="44">
        <f t="shared" si="18"/>
        <v>1.3010726691182641</v>
      </c>
      <c r="U51" s="44">
        <f t="shared" si="18"/>
        <v>7.3855905518810685</v>
      </c>
      <c r="V51" s="44">
        <f t="shared" si="18"/>
        <v>4.7878048323142259</v>
      </c>
      <c r="W51" s="44">
        <f t="shared" si="18"/>
        <v>3.5311825721464363</v>
      </c>
      <c r="X51" s="44">
        <f t="shared" si="18"/>
        <v>2.2807023729704174</v>
      </c>
      <c r="Y51" s="44">
        <f t="shared" si="18"/>
        <v>13.663653613653485</v>
      </c>
      <c r="Z51" s="44">
        <f t="shared" si="18"/>
        <v>8.6837199322339274</v>
      </c>
      <c r="AA51" s="44">
        <f t="shared" si="18"/>
        <v>7.1045367618468207</v>
      </c>
      <c r="AB51" s="44">
        <f t="shared" si="18"/>
        <v>6.6950152392097895</v>
      </c>
      <c r="AC51" s="44">
        <f t="shared" si="18"/>
        <v>72.69513423367566</v>
      </c>
      <c r="AD51" s="44">
        <f t="shared" si="18"/>
        <v>-18.836101752166478</v>
      </c>
      <c r="AE51" s="44">
        <f t="shared" si="18"/>
        <v>-13.184573212720467</v>
      </c>
      <c r="AF51" s="44">
        <f t="shared" si="18"/>
        <v>-5.5526486247693976</v>
      </c>
      <c r="AG51" s="44">
        <f t="shared" si="18"/>
        <v>-17.938291362806925</v>
      </c>
      <c r="AH51" s="44">
        <f t="shared" si="18"/>
        <v>-13.459222032941472</v>
      </c>
      <c r="AI51" s="44">
        <f t="shared" si="18"/>
        <v>-6.3766204180512016</v>
      </c>
      <c r="AJ51" s="44">
        <f t="shared" si="18"/>
        <v>-4.000832218909685</v>
      </c>
      <c r="AK51" s="44">
        <f t="shared" si="18"/>
        <v>-9.6869783473041498</v>
      </c>
      <c r="AL51" s="44">
        <f t="shared" si="18"/>
        <v>-9.6713550638398704</v>
      </c>
      <c r="AM51" s="44">
        <f t="shared" si="18"/>
        <v>-5.8088785595843939</v>
      </c>
      <c r="AN51" s="44">
        <f t="shared" si="18"/>
        <v>-3.6489834078307677</v>
      </c>
      <c r="AO51" s="44">
        <f t="shared" si="18"/>
        <v>-10.111116678061139</v>
      </c>
      <c r="AP51" s="44">
        <f t="shared" si="18"/>
        <v>-21.087504488971071</v>
      </c>
      <c r="AQ51" s="44">
        <f t="shared" si="18"/>
        <v>13.816407932560182</v>
      </c>
      <c r="AR51" s="44">
        <f t="shared" si="18"/>
        <v>-24.179779846281779</v>
      </c>
      <c r="AS51" s="44">
        <f t="shared" si="18"/>
        <v>-10.999044402068053</v>
      </c>
      <c r="AT51" s="44">
        <f t="shared" si="18"/>
        <v>-18.158064985945348</v>
      </c>
      <c r="AU51" s="44">
        <f t="shared" si="18"/>
        <v>199.10849070526186</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860715355.08999979</v>
      </c>
      <c r="F52" s="76">
        <f>资产资本表!F68</f>
        <v>840862830.80000007</v>
      </c>
      <c r="G52" s="76">
        <f>资产资本表!G68</f>
        <v>829868849.1400001</v>
      </c>
      <c r="H52" s="76">
        <f>资产资本表!H68</f>
        <v>859621870.98999989</v>
      </c>
      <c r="I52" s="76">
        <f>资产资本表!I68</f>
        <v>896445539.41999984</v>
      </c>
      <c r="J52" s="76">
        <f>资产资本表!J68</f>
        <v>874520708.15999985</v>
      </c>
      <c r="K52" s="76">
        <f>资产资本表!K68</f>
        <v>876849190</v>
      </c>
      <c r="L52" s="76">
        <f>资产资本表!L68</f>
        <v>897364775.6500001</v>
      </c>
      <c r="M52" s="76">
        <f>资产资本表!M68</f>
        <v>936357590.23000014</v>
      </c>
      <c r="N52" s="76">
        <f>资产资本表!N68</f>
        <v>911360802.73999989</v>
      </c>
      <c r="O52" s="76">
        <f>资产资本表!O68</f>
        <v>1001784747.86</v>
      </c>
      <c r="P52" s="76">
        <f>资产资本表!P68</f>
        <v>1020475257.1900002</v>
      </c>
      <c r="Q52" s="76">
        <f>资产资本表!Q68</f>
        <v>1054560999.3199998</v>
      </c>
      <c r="R52" s="76">
        <f>资产资本表!R68</f>
        <v>1323848443.04</v>
      </c>
      <c r="S52" s="76">
        <f>资产资本表!S68</f>
        <v>1348513151.45</v>
      </c>
      <c r="T52" s="76">
        <f>资产资本表!T68</f>
        <v>1245528828.27</v>
      </c>
      <c r="U52" s="76">
        <f>资产资本表!U68</f>
        <v>1228611616.8100002</v>
      </c>
      <c r="V52" s="76">
        <f>资产资本表!V68</f>
        <v>1255754856.98</v>
      </c>
      <c r="W52" s="76">
        <f>资产资本表!W68</f>
        <v>1109712389.5999999</v>
      </c>
      <c r="X52" s="76">
        <f>资产资本表!X68</f>
        <v>1063202320.86</v>
      </c>
      <c r="Y52" s="76">
        <f>资产资本表!Y68</f>
        <v>1060926952.2</v>
      </c>
      <c r="Z52" s="76">
        <f>资产资本表!Z68</f>
        <v>1005288075</v>
      </c>
      <c r="AA52" s="76">
        <f>资产资本表!AA68</f>
        <v>1003166388.75</v>
      </c>
      <c r="AB52" s="76">
        <f>资产资本表!AB68</f>
        <v>938753171.18999994</v>
      </c>
      <c r="AC52" s="76">
        <f>资产资本表!AC68</f>
        <v>945774940.12999988</v>
      </c>
      <c r="AD52" s="76">
        <f>资产资本表!AD68</f>
        <v>1060475313.41</v>
      </c>
      <c r="AE52" s="76">
        <f>资产资本表!AE68</f>
        <v>1040114232.6499999</v>
      </c>
      <c r="AF52" s="76">
        <f>资产资本表!AF68</f>
        <v>1061073766.47</v>
      </c>
      <c r="AG52" s="76">
        <f>资产资本表!AG68</f>
        <v>1034333727.02</v>
      </c>
      <c r="AH52" s="76">
        <f>资产资本表!AH68</f>
        <v>790296330.75</v>
      </c>
      <c r="AI52" s="76">
        <f>资产资本表!AI68</f>
        <v>717449016</v>
      </c>
      <c r="AJ52" s="76">
        <f>资产资本表!AJ68</f>
        <v>734154990.48000002</v>
      </c>
      <c r="AK52" s="76">
        <f>资产资本表!AK68</f>
        <v>734966177.3499999</v>
      </c>
      <c r="AL52" s="76">
        <f>资产资本表!AL68</f>
        <v>632921621.98999989</v>
      </c>
      <c r="AM52" s="76">
        <f>资产资本表!AM68</f>
        <v>573926710.39999998</v>
      </c>
      <c r="AN52" s="76">
        <f>资产资本表!AN68</f>
        <v>513632313.76999998</v>
      </c>
      <c r="AO52" s="76">
        <f>资产资本表!AO68</f>
        <v>457567021.10999995</v>
      </c>
      <c r="AP52" s="76">
        <f>资产资本表!AP68</f>
        <v>307332681.16000003</v>
      </c>
      <c r="AQ52" s="76">
        <f>资产资本表!AQ68</f>
        <v>227942709.50000003</v>
      </c>
      <c r="AR52" s="76">
        <f>资产资本表!AR68</f>
        <v>205400925.84999999</v>
      </c>
      <c r="AS52" s="76">
        <f>资产资本表!AS68</f>
        <v>187820781.28</v>
      </c>
      <c r="AT52" s="76">
        <f>资产资本表!AT68</f>
        <v>127162066.33</v>
      </c>
      <c r="AU52" s="76">
        <f>资产资本表!AU68</f>
        <v>5837715.5099999998</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8.4203503665299078</v>
      </c>
      <c r="F53" s="44">
        <f t="shared" ref="F53:BQ53" si="20">F49/F52</f>
        <v>6.0246249419305409</v>
      </c>
      <c r="G53" s="44">
        <f t="shared" si="20"/>
        <v>3.9389524668114708</v>
      </c>
      <c r="H53" s="44">
        <f t="shared" si="20"/>
        <v>1.7280252354669097</v>
      </c>
      <c r="I53" s="44">
        <f t="shared" si="20"/>
        <v>8.159786922541528</v>
      </c>
      <c r="J53" s="44">
        <f t="shared" si="20"/>
        <v>5.7566271616966</v>
      </c>
      <c r="K53" s="44">
        <f t="shared" si="20"/>
        <v>3.7748845047459074</v>
      </c>
      <c r="L53" s="44">
        <f t="shared" si="20"/>
        <v>1.8306723046044044</v>
      </c>
      <c r="M53" s="44">
        <f t="shared" si="20"/>
        <v>7.5399496824346892</v>
      </c>
      <c r="N53" s="44">
        <f t="shared" si="20"/>
        <v>5.5036242801205297</v>
      </c>
      <c r="O53" s="44">
        <f t="shared" si="20"/>
        <v>3.1609838972538817</v>
      </c>
      <c r="P53" s="44">
        <f t="shared" si="20"/>
        <v>1.3885207420920163</v>
      </c>
      <c r="Q53" s="44">
        <f t="shared" si="20"/>
        <v>5.6360071652682828</v>
      </c>
      <c r="R53" s="44">
        <f t="shared" si="20"/>
        <v>3.1533850512402384</v>
      </c>
      <c r="S53" s="44">
        <f t="shared" si="20"/>
        <v>1.9534751437147357</v>
      </c>
      <c r="T53" s="44">
        <f t="shared" si="20"/>
        <v>0.9336359789481472</v>
      </c>
      <c r="U53" s="44">
        <f t="shared" si="20"/>
        <v>4.3367013226230728</v>
      </c>
      <c r="V53" s="44">
        <f t="shared" si="20"/>
        <v>2.9962690120894555</v>
      </c>
      <c r="W53" s="44">
        <f t="shared" si="20"/>
        <v>2.2414439256793175</v>
      </c>
      <c r="X53" s="44">
        <f t="shared" si="20"/>
        <v>1.0962698782929743</v>
      </c>
      <c r="Y53" s="44">
        <f t="shared" si="20"/>
        <v>4.6580360871333513</v>
      </c>
      <c r="Z53" s="44">
        <f t="shared" si="20"/>
        <v>3.6583123444789698</v>
      </c>
      <c r="AA53" s="44">
        <f t="shared" si="20"/>
        <v>2.4712405543401936</v>
      </c>
      <c r="AB53" s="44">
        <f t="shared" si="20"/>
        <v>1.3383237574658682</v>
      </c>
      <c r="AC53" s="44">
        <f t="shared" si="20"/>
        <v>5.4974295682600074</v>
      </c>
      <c r="AD53" s="44">
        <f t="shared" si="20"/>
        <v>3.7781424041324776</v>
      </c>
      <c r="AE53" s="44">
        <f t="shared" si="20"/>
        <v>2.4960332376911261</v>
      </c>
      <c r="AF53" s="44">
        <f t="shared" si="20"/>
        <v>1.1541436953192492</v>
      </c>
      <c r="AG53" s="44">
        <f t="shared" si="20"/>
        <v>5.1690330716215929</v>
      </c>
      <c r="AH53" s="44">
        <f t="shared" si="20"/>
        <v>5.0597702569049918</v>
      </c>
      <c r="AI53" s="44">
        <f t="shared" si="20"/>
        <v>3.3557606373384448</v>
      </c>
      <c r="AJ53" s="44">
        <f t="shared" si="20"/>
        <v>1.1527526180632222</v>
      </c>
      <c r="AK53" s="44">
        <f t="shared" si="20"/>
        <v>6.3083512379673463</v>
      </c>
      <c r="AL53" s="44">
        <f t="shared" si="20"/>
        <v>5.3157219362355068</v>
      </c>
      <c r="AM53" s="44">
        <f t="shared" si="20"/>
        <v>3.8003496379875057</v>
      </c>
      <c r="AN53" s="44">
        <f t="shared" si="20"/>
        <v>1.8755185268607717</v>
      </c>
      <c r="AO53" s="44">
        <f t="shared" si="20"/>
        <v>9.4487683246748571</v>
      </c>
      <c r="AP53" s="44">
        <f t="shared" si="20"/>
        <v>8.8975111648357306</v>
      </c>
      <c r="AQ53" s="44">
        <f t="shared" si="20"/>
        <v>7.0809519247203641</v>
      </c>
      <c r="AR53" s="44">
        <f t="shared" si="20"/>
        <v>3.4165101898930899</v>
      </c>
      <c r="AS53" s="44">
        <f t="shared" si="20"/>
        <v>10.343931949594539</v>
      </c>
      <c r="AT53" s="44">
        <f t="shared" si="20"/>
        <v>9.4198674149525363</v>
      </c>
      <c r="AU53" s="44">
        <f t="shared" si="20"/>
        <v>120.19071904893153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1459010640.3200002</v>
      </c>
      <c r="F54" s="76">
        <f>资产资本表!F17</f>
        <v>1513212442.1800001</v>
      </c>
      <c r="G54" s="76">
        <f>资产资本表!G17</f>
        <v>1704127346.8600001</v>
      </c>
      <c r="H54" s="76">
        <f>资产资本表!H17</f>
        <v>1442980208.0999999</v>
      </c>
      <c r="I54" s="76">
        <f>资产资本表!I17</f>
        <v>1463191779.0700002</v>
      </c>
      <c r="J54" s="76">
        <f>资产资本表!J17</f>
        <v>1516818184.3899999</v>
      </c>
      <c r="K54" s="76">
        <f>资产资本表!K17</f>
        <v>1508191087.4299998</v>
      </c>
      <c r="L54" s="76">
        <f>资产资本表!L17</f>
        <v>1746141228.3500001</v>
      </c>
      <c r="M54" s="76">
        <f>资产资本表!M17</f>
        <v>1708783135.04</v>
      </c>
      <c r="N54" s="76">
        <f>资产资本表!N17</f>
        <v>1030796813.6999998</v>
      </c>
      <c r="O54" s="76">
        <f>资产资本表!O17</f>
        <v>1001974020.0599999</v>
      </c>
      <c r="P54" s="76">
        <f>资产资本表!P17</f>
        <v>978232874.46999991</v>
      </c>
      <c r="Q54" s="76">
        <f>资产资本表!Q17</f>
        <v>1522374310.1800001</v>
      </c>
      <c r="R54" s="76">
        <f>资产资本表!R17</f>
        <v>568839784.13999999</v>
      </c>
      <c r="S54" s="76">
        <f>资产资本表!S17</f>
        <v>427495525.22999996</v>
      </c>
      <c r="T54" s="76">
        <f>资产资本表!T17</f>
        <v>1002115118.53</v>
      </c>
      <c r="U54" s="76">
        <f>资产资本表!U17</f>
        <v>1065323285.92</v>
      </c>
      <c r="V54" s="76">
        <f>资产资本表!V17</f>
        <v>860492619.50999999</v>
      </c>
      <c r="W54" s="76">
        <f>资产资本表!W17</f>
        <v>1029960090.52</v>
      </c>
      <c r="X54" s="76">
        <f>资产资本表!X17</f>
        <v>1474798249.8399999</v>
      </c>
      <c r="Y54" s="76">
        <f>资产资本表!Y17</f>
        <v>1493314664.8600001</v>
      </c>
      <c r="Z54" s="76">
        <f>资产资本表!Z17</f>
        <v>1418814736.1700001</v>
      </c>
      <c r="AA54" s="76">
        <f>资产资本表!AA17</f>
        <v>1339383001.26</v>
      </c>
      <c r="AB54" s="76">
        <f>资产资本表!AB17</f>
        <v>1562123311.26</v>
      </c>
      <c r="AC54" s="76">
        <f>资产资本表!AC17</f>
        <v>1533179291.0999999</v>
      </c>
      <c r="AD54" s="76">
        <f>资产资本表!AD17</f>
        <v>2035870212.6200001</v>
      </c>
      <c r="AE54" s="76">
        <f>资产资本表!AE17</f>
        <v>2031002383.01</v>
      </c>
      <c r="AF54" s="76">
        <f>资产资本表!AF17</f>
        <v>2321145059.6900001</v>
      </c>
      <c r="AG54" s="76">
        <f>资产资本表!AG17</f>
        <v>2293198872.3800001</v>
      </c>
      <c r="AH54" s="76">
        <f>资产资本表!AH17</f>
        <v>2387988865.8800001</v>
      </c>
      <c r="AI54" s="76">
        <f>资产资本表!AI17</f>
        <v>2319899469.7800002</v>
      </c>
      <c r="AJ54" s="76">
        <f>资产资本表!AJ17</f>
        <v>2387307098.2800002</v>
      </c>
      <c r="AK54" s="76">
        <f>资产资本表!AK17</f>
        <v>2568785393.6199999</v>
      </c>
      <c r="AL54" s="76">
        <f>资产资本表!AL17</f>
        <v>2383853084.0700002</v>
      </c>
      <c r="AM54" s="76">
        <f>资产资本表!AM17</f>
        <v>2280313469.0999999</v>
      </c>
      <c r="AN54" s="76">
        <f>资产资本表!AN17</f>
        <v>2313246919.6999998</v>
      </c>
      <c r="AO54" s="76">
        <f>资产资本表!AO17</f>
        <v>2387071627.4099998</v>
      </c>
      <c r="AP54" s="76">
        <f>资产资本表!AP17</f>
        <v>2048213197.51</v>
      </c>
      <c r="AQ54" s="76">
        <f>资产资本表!AQ17</f>
        <v>1827087947.0699999</v>
      </c>
      <c r="AR54" s="76">
        <f>资产资本表!AR17</f>
        <v>394625422.69999999</v>
      </c>
      <c r="AS54" s="76">
        <f>资产资本表!AS17</f>
        <v>450300348.37</v>
      </c>
      <c r="AT54" s="76">
        <f>资产资本表!AT17</f>
        <v>186674964.63</v>
      </c>
      <c r="AU54" s="76">
        <f>资产资本表!AU17</f>
        <v>64488694.780000001</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4.9674242636917461</v>
      </c>
      <c r="F55" s="44">
        <f t="shared" ref="F55:BQ55" si="22">F49/F54</f>
        <v>3.3477673338991765</v>
      </c>
      <c r="G55" s="44">
        <f t="shared" si="22"/>
        <v>1.9181746930316377</v>
      </c>
      <c r="H55" s="44">
        <f t="shared" si="22"/>
        <v>1.0294308111030286</v>
      </c>
      <c r="I55" s="44">
        <f t="shared" si="22"/>
        <v>4.9992111040832015</v>
      </c>
      <c r="J55" s="44">
        <f t="shared" si="22"/>
        <v>3.3189802930036594</v>
      </c>
      <c r="K55" s="44">
        <f t="shared" si="22"/>
        <v>2.1946850421788002</v>
      </c>
      <c r="L55" s="44">
        <f t="shared" si="22"/>
        <v>0.94080639941268129</v>
      </c>
      <c r="M55" s="44">
        <f t="shared" si="22"/>
        <v>4.131647234998451</v>
      </c>
      <c r="N55" s="44">
        <f t="shared" si="22"/>
        <v>4.8659322334399269</v>
      </c>
      <c r="O55" s="44">
        <f t="shared" si="22"/>
        <v>3.1603867895800102</v>
      </c>
      <c r="P55" s="44">
        <f t="shared" si="22"/>
        <v>1.4484803142275247</v>
      </c>
      <c r="Q55" s="44">
        <f t="shared" si="22"/>
        <v>3.9041077536819841</v>
      </c>
      <c r="R55" s="44">
        <f t="shared" si="22"/>
        <v>7.3388043642224705</v>
      </c>
      <c r="S55" s="44">
        <f t="shared" si="22"/>
        <v>6.1621391730655146</v>
      </c>
      <c r="T55" s="44">
        <f t="shared" si="22"/>
        <v>1.1604161092747627</v>
      </c>
      <c r="U55" s="44">
        <f t="shared" si="22"/>
        <v>5.0014128988166258</v>
      </c>
      <c r="V55" s="44">
        <f t="shared" si="22"/>
        <v>4.3725876078897317</v>
      </c>
      <c r="W55" s="44">
        <f t="shared" si="22"/>
        <v>2.4150043461045154</v>
      </c>
      <c r="X55" s="44">
        <f t="shared" si="22"/>
        <v>0.79031601713417465</v>
      </c>
      <c r="Y55" s="44">
        <f t="shared" si="22"/>
        <v>3.3093065684339895</v>
      </c>
      <c r="Z55" s="44">
        <f t="shared" si="22"/>
        <v>2.5920634179890203</v>
      </c>
      <c r="AA55" s="44">
        <f t="shared" si="22"/>
        <v>1.8509010942335873</v>
      </c>
      <c r="AB55" s="44">
        <f t="shared" si="22"/>
        <v>0.8042615217019139</v>
      </c>
      <c r="AC55" s="44">
        <f t="shared" si="22"/>
        <v>3.3912088109797458</v>
      </c>
      <c r="AD55" s="44">
        <f t="shared" si="22"/>
        <v>1.9680167848095758</v>
      </c>
      <c r="AE55" s="44">
        <f t="shared" si="22"/>
        <v>1.2782652139690855</v>
      </c>
      <c r="AF55" s="44">
        <f t="shared" si="22"/>
        <v>0.52759804594184012</v>
      </c>
      <c r="AG55" s="44">
        <f t="shared" si="22"/>
        <v>2.3314616566643962</v>
      </c>
      <c r="AH55" s="44">
        <f t="shared" si="22"/>
        <v>1.674512777510974</v>
      </c>
      <c r="AI55" s="44">
        <f t="shared" si="22"/>
        <v>1.0377980591625875</v>
      </c>
      <c r="AJ55" s="44">
        <f t="shared" si="22"/>
        <v>0.35449946424979806</v>
      </c>
      <c r="AK55" s="44">
        <f t="shared" si="22"/>
        <v>1.8049093576541357</v>
      </c>
      <c r="AL55" s="44">
        <f t="shared" si="22"/>
        <v>1.4113434139094814</v>
      </c>
      <c r="AM55" s="44">
        <f t="shared" si="22"/>
        <v>0.9565010230636628</v>
      </c>
      <c r="AN55" s="44">
        <f t="shared" si="22"/>
        <v>0.41643929675909042</v>
      </c>
      <c r="AO55" s="44">
        <f t="shared" si="22"/>
        <v>1.8111918912843796</v>
      </c>
      <c r="AP55" s="44">
        <f t="shared" si="22"/>
        <v>1.3350641257776825</v>
      </c>
      <c r="AQ55" s="44">
        <f t="shared" si="22"/>
        <v>0.88340102628796002</v>
      </c>
      <c r="AR55" s="44">
        <f t="shared" si="22"/>
        <v>1.7782796439688171</v>
      </c>
      <c r="AS55" s="44">
        <f t="shared" si="22"/>
        <v>4.3144656390175555</v>
      </c>
      <c r="AT55" s="44">
        <f t="shared" si="22"/>
        <v>6.4167672800378126</v>
      </c>
      <c r="AU55" s="44">
        <f t="shared" si="22"/>
        <v>10.880034510600774</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263724302.63999999</v>
      </c>
      <c r="F56" s="76">
        <f>资产资本表!F19</f>
        <v>246102586.19999999</v>
      </c>
      <c r="G56" s="76">
        <f>资产资本表!G19</f>
        <v>228090662.22999999</v>
      </c>
      <c r="H56" s="76">
        <f>资产资本表!H19</f>
        <v>198388057.11000001</v>
      </c>
      <c r="I56" s="76">
        <f>资产资本表!I19</f>
        <v>186628691.03999999</v>
      </c>
      <c r="J56" s="76">
        <f>资产资本表!J19</f>
        <v>167836224.56</v>
      </c>
      <c r="K56" s="76">
        <f>资产资本表!K19</f>
        <v>169970007.18000001</v>
      </c>
      <c r="L56" s="76">
        <f>资产资本表!L19</f>
        <v>115326523.59</v>
      </c>
      <c r="M56" s="76">
        <f>资产资本表!M19</f>
        <v>112772922.45999999</v>
      </c>
      <c r="N56" s="76">
        <f>资产资本表!N19</f>
        <v>179190503.27000001</v>
      </c>
      <c r="O56" s="76">
        <f>资产资本表!O19</f>
        <v>93358175.609999999</v>
      </c>
      <c r="P56" s="76">
        <f>资产资本表!P19</f>
        <v>93448970.349999994</v>
      </c>
      <c r="Q56" s="76">
        <f>资产资本表!Q19</f>
        <v>94632389.900000006</v>
      </c>
      <c r="R56" s="76">
        <f>资产资本表!R19</f>
        <v>87564084.150000006</v>
      </c>
      <c r="S56" s="76">
        <f>资产资本表!S19</f>
        <v>82702800.319999993</v>
      </c>
      <c r="T56" s="76">
        <f>资产资本表!T19</f>
        <v>85000072.510000005</v>
      </c>
      <c r="U56" s="76">
        <f>资产资本表!U19</f>
        <v>88946778.510000005</v>
      </c>
      <c r="V56" s="76">
        <f>资产资本表!V19</f>
        <v>93464896.390000001</v>
      </c>
      <c r="W56" s="76">
        <f>资产资本表!W19</f>
        <v>94255221.620000005</v>
      </c>
      <c r="X56" s="76">
        <f>资产资本表!X19</f>
        <v>38367823.380000003</v>
      </c>
      <c r="Y56" s="76">
        <f>资产资本表!Y19</f>
        <v>38941816.920000002</v>
      </c>
      <c r="Z56" s="76">
        <f>资产资本表!Z19</f>
        <v>38924400.689999998</v>
      </c>
      <c r="AA56" s="76">
        <f>资产资本表!AA19</f>
        <v>40024581.68</v>
      </c>
      <c r="AB56" s="76">
        <f>资产资本表!AB19</f>
        <v>39593170.829999998</v>
      </c>
      <c r="AC56" s="76">
        <f>资产资本表!AC19</f>
        <v>39578252.299999997</v>
      </c>
      <c r="AD56" s="76">
        <f>资产资本表!AD19</f>
        <v>31701416.859999999</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27.481444763182559</v>
      </c>
      <c r="F57" s="117">
        <f t="shared" ref="F57:BQ57" si="24">F49/F56</f>
        <v>20.584437008163388</v>
      </c>
      <c r="G57" s="117">
        <f t="shared" si="24"/>
        <v>14.331204611760139</v>
      </c>
      <c r="H57" s="117">
        <f t="shared" si="24"/>
        <v>7.4875892615167103</v>
      </c>
      <c r="I57" s="117">
        <f t="shared" si="24"/>
        <v>39.194426904929763</v>
      </c>
      <c r="J57" s="117">
        <f t="shared" si="24"/>
        <v>29.995250877800135</v>
      </c>
      <c r="K57" s="117">
        <f t="shared" si="24"/>
        <v>19.474050011803971</v>
      </c>
      <c r="L57" s="117">
        <f t="shared" si="24"/>
        <v>14.24460558397033</v>
      </c>
      <c r="M57" s="117">
        <f t="shared" si="24"/>
        <v>62.604470657432678</v>
      </c>
      <c r="N57" s="117">
        <f t="shared" si="24"/>
        <v>27.991368685160339</v>
      </c>
      <c r="O57" s="117">
        <f t="shared" si="24"/>
        <v>33.919101737039611</v>
      </c>
      <c r="P57" s="117">
        <f t="shared" si="24"/>
        <v>15.162832250510721</v>
      </c>
      <c r="Q57" s="117">
        <f t="shared" si="24"/>
        <v>62.806332532240106</v>
      </c>
      <c r="R57" s="117">
        <f t="shared" si="24"/>
        <v>47.674842156046232</v>
      </c>
      <c r="S57" s="117">
        <f t="shared" si="24"/>
        <v>31.852451333415747</v>
      </c>
      <c r="T57" s="117">
        <f t="shared" si="24"/>
        <v>13.68081805757509</v>
      </c>
      <c r="U57" s="117">
        <f t="shared" si="24"/>
        <v>59.902356362585699</v>
      </c>
      <c r="V57" s="117">
        <f t="shared" si="24"/>
        <v>40.256604458746999</v>
      </c>
      <c r="W57" s="117">
        <f t="shared" si="24"/>
        <v>26.389605288373836</v>
      </c>
      <c r="X57" s="117">
        <f t="shared" si="24"/>
        <v>30.378493649383557</v>
      </c>
      <c r="Y57" s="117">
        <f t="shared" si="24"/>
        <v>126.90306770514188</v>
      </c>
      <c r="Z57" s="117">
        <f t="shared" si="24"/>
        <v>94.482065474031074</v>
      </c>
      <c r="AA57" s="117">
        <f t="shared" si="24"/>
        <v>61.938572711398798</v>
      </c>
      <c r="AB57" s="117">
        <f t="shared" si="24"/>
        <v>31.731625557204712</v>
      </c>
      <c r="AC57" s="117">
        <f t="shared" si="24"/>
        <v>131.36838588474004</v>
      </c>
      <c r="AD57" s="117">
        <f t="shared" si="24"/>
        <v>126.38636209302855</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8" t="s">
        <v>695</v>
      </c>
      <c r="B58" s="277"/>
      <c r="C58" s="277"/>
      <c r="D58" s="277"/>
      <c r="E58" s="277"/>
      <c r="F58" s="277"/>
      <c r="G58" s="277"/>
      <c r="H58" s="277"/>
      <c r="I58" s="277"/>
      <c r="J58" s="277"/>
      <c r="K58" s="277"/>
      <c r="L58" s="277"/>
      <c r="M58" s="277"/>
      <c r="N58" s="277"/>
      <c r="O58" s="277"/>
      <c r="P58" s="277"/>
      <c r="Q58" s="277"/>
      <c r="R58" s="277"/>
      <c r="S58" s="277"/>
      <c r="T58" s="277"/>
      <c r="U58" s="277"/>
      <c r="V58" s="277"/>
      <c r="W58" s="277"/>
      <c r="X58" s="277"/>
      <c r="Y58" s="277"/>
      <c r="Z58" s="277"/>
      <c r="AA58" s="277"/>
      <c r="AB58" s="277"/>
      <c r="AC58" s="277"/>
      <c r="AD58" s="277"/>
      <c r="AE58" s="277"/>
      <c r="AF58" s="277"/>
      <c r="AG58" s="277"/>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7247524855.71</v>
      </c>
      <c r="F63" s="76">
        <f t="shared" ref="F63:BQ63" si="26">F49</f>
        <v>5065883183.1800003</v>
      </c>
      <c r="G63" s="76">
        <f t="shared" si="26"/>
        <v>3268813950.4499998</v>
      </c>
      <c r="H63" s="76">
        <f t="shared" si="26"/>
        <v>1485448286.03</v>
      </c>
      <c r="I63" s="76">
        <f t="shared" si="26"/>
        <v>7314804589.3299999</v>
      </c>
      <c r="J63" s="76">
        <f t="shared" si="26"/>
        <v>5034289662.0600004</v>
      </c>
      <c r="K63" s="76">
        <f t="shared" si="26"/>
        <v>3310004420.3299999</v>
      </c>
      <c r="L63" s="76">
        <f t="shared" si="26"/>
        <v>1642780841.9100001</v>
      </c>
      <c r="M63" s="76">
        <f t="shared" si="26"/>
        <v>7060089115.1000004</v>
      </c>
      <c r="N63" s="76">
        <f t="shared" si="26"/>
        <v>5015787441.9099998</v>
      </c>
      <c r="O63" s="76">
        <f t="shared" si="26"/>
        <v>3166625456.5</v>
      </c>
      <c r="P63" s="76">
        <f t="shared" si="26"/>
        <v>1416951061.4000001</v>
      </c>
      <c r="Q63" s="76">
        <f t="shared" si="26"/>
        <v>5943513348.3800001</v>
      </c>
      <c r="R63" s="76">
        <f t="shared" si="26"/>
        <v>4174603890.3899999</v>
      </c>
      <c r="S63" s="76">
        <f t="shared" si="26"/>
        <v>2634286922.3299999</v>
      </c>
      <c r="T63" s="76">
        <f t="shared" si="26"/>
        <v>1162870526.8900001</v>
      </c>
      <c r="U63" s="76">
        <f t="shared" si="26"/>
        <v>5328121623.6099997</v>
      </c>
      <c r="V63" s="76">
        <f t="shared" si="26"/>
        <v>3762579364.75</v>
      </c>
      <c r="W63" s="76">
        <f t="shared" si="26"/>
        <v>2487358094.9200001</v>
      </c>
      <c r="X63" s="76">
        <f t="shared" si="26"/>
        <v>1165556678.8900001</v>
      </c>
      <c r="Y63" s="76">
        <f t="shared" si="26"/>
        <v>4941836029.1599998</v>
      </c>
      <c r="Z63" s="76">
        <f t="shared" si="26"/>
        <v>3677657774.5300002</v>
      </c>
      <c r="AA63" s="76">
        <f t="shared" si="26"/>
        <v>2479065462.6300001</v>
      </c>
      <c r="AB63" s="76">
        <f t="shared" si="26"/>
        <v>1256355671.4000001</v>
      </c>
      <c r="AC63" s="76">
        <f t="shared" si="26"/>
        <v>5199331120.79</v>
      </c>
      <c r="AD63" s="76">
        <f t="shared" si="26"/>
        <v>4006626750.1300001</v>
      </c>
      <c r="AE63" s="76">
        <f t="shared" si="26"/>
        <v>2596159695.6900001</v>
      </c>
      <c r="AF63" s="76">
        <f t="shared" si="26"/>
        <v>1224631597.8399999</v>
      </c>
      <c r="AG63" s="76">
        <f t="shared" si="26"/>
        <v>5346505242.0600004</v>
      </c>
      <c r="AH63" s="76">
        <f t="shared" si="26"/>
        <v>3998717868.4699998</v>
      </c>
      <c r="AI63" s="76">
        <f t="shared" si="26"/>
        <v>2407587167.1900001</v>
      </c>
      <c r="AJ63" s="76">
        <f t="shared" si="26"/>
        <v>846299087.34000003</v>
      </c>
      <c r="AK63" s="76">
        <f t="shared" si="26"/>
        <v>4636424794.75</v>
      </c>
      <c r="AL63" s="76">
        <f t="shared" si="26"/>
        <v>3364435349.9299998</v>
      </c>
      <c r="AM63" s="76">
        <f t="shared" si="26"/>
        <v>2181122166.0999999</v>
      </c>
      <c r="AN63" s="76">
        <f t="shared" si="26"/>
        <v>963326920.47000003</v>
      </c>
      <c r="AO63" s="76">
        <f t="shared" si="26"/>
        <v>4323444775.4799995</v>
      </c>
      <c r="AP63" s="76">
        <f t="shared" si="26"/>
        <v>2734495961.9400001</v>
      </c>
      <c r="AQ63" s="76">
        <f t="shared" si="26"/>
        <v>1614051367.5599999</v>
      </c>
      <c r="AR63" s="76">
        <f t="shared" si="26"/>
        <v>701754356.17999995</v>
      </c>
      <c r="AS63" s="76">
        <f t="shared" si="26"/>
        <v>1942805380.28</v>
      </c>
      <c r="AT63" s="76">
        <f t="shared" si="26"/>
        <v>1197849805.04</v>
      </c>
      <c r="AU63" s="76">
        <f t="shared" si="26"/>
        <v>701639224.75</v>
      </c>
      <c r="AV63" s="76">
        <f t="shared" si="26"/>
        <v>328138362.51999998</v>
      </c>
      <c r="AW63" s="76">
        <f t="shared" si="26"/>
        <v>933814768.39999998</v>
      </c>
      <c r="AX63" s="76">
        <f t="shared" si="26"/>
        <v>750377431.16999996</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1665029058.72</v>
      </c>
      <c r="F64" s="76">
        <f>资产资本表!F22+资产资本表!F23-资产资本表!F37</f>
        <v>1263910491.3399999</v>
      </c>
      <c r="G64" s="76">
        <f>资产资本表!G22+资产资本表!G23-资产资本表!G37</f>
        <v>1170566906.78</v>
      </c>
      <c r="H64" s="76">
        <f>资产资本表!H22+资产资本表!H23-资产资本表!H37</f>
        <v>1015332347.9800001</v>
      </c>
      <c r="I64" s="76">
        <f>资产资本表!I22+资产资本表!I23-资产资本表!I37</f>
        <v>1225242339.96</v>
      </c>
      <c r="J64" s="76">
        <f>资产资本表!J22+资产资本表!J23-资产资本表!J37</f>
        <v>1124044107.6099999</v>
      </c>
      <c r="K64" s="76">
        <f>资产资本表!K22+资产资本表!K23-资产资本表!K37</f>
        <v>1022699636.21</v>
      </c>
      <c r="L64" s="76">
        <f>资产资本表!L22+资产资本表!L23-资产资本表!L37</f>
        <v>1001030623.6800001</v>
      </c>
      <c r="M64" s="76">
        <f>资产资本表!M22+资产资本表!M23-资产资本表!M37</f>
        <v>1239692499.72</v>
      </c>
      <c r="N64" s="76">
        <f>资产资本表!N22+资产资本表!N23-资产资本表!N37</f>
        <v>1494421600.4300001</v>
      </c>
      <c r="O64" s="76">
        <f>资产资本表!O22+资产资本表!O23-资产资本表!O37</f>
        <v>1189966726.8</v>
      </c>
      <c r="P64" s="76">
        <f>资产资本表!P22+资产资本表!P23-资产资本表!P37</f>
        <v>1060521907.48</v>
      </c>
      <c r="Q64" s="76">
        <f>资产资本表!Q22+资产资本表!Q23-资产资本表!Q37</f>
        <v>1289125719.51</v>
      </c>
      <c r="R64" s="76">
        <f>资产资本表!R22+资产资本表!R23-资产资本表!R37</f>
        <v>1303579053.7799997</v>
      </c>
      <c r="S64" s="76">
        <f>资产资本表!S22+资产资本表!S23-资产资本表!S37</f>
        <v>1080895659.8600001</v>
      </c>
      <c r="T64" s="76">
        <f>资产资本表!T22+资产资本表!T23-资产资本表!T37</f>
        <v>973969576.49000001</v>
      </c>
      <c r="U64" s="76">
        <f>资产资本表!U22+资产资本表!U23-资产资本表!U37</f>
        <v>1157690610.5999999</v>
      </c>
      <c r="V64" s="76">
        <f>资产资本表!V22+资产资本表!V23-资产资本表!V37</f>
        <v>777552530.00999999</v>
      </c>
      <c r="W64" s="76">
        <f>资产资本表!W22+资产资本表!W23-资产资本表!W37</f>
        <v>643166246.07999992</v>
      </c>
      <c r="X64" s="76">
        <f>资产资本表!X22+资产资本表!X23-资产资本表!X37</f>
        <v>541380830.18999994</v>
      </c>
      <c r="Y64" s="76">
        <f>资产资本表!Y22+资产资本表!Y23-资产资本表!Y37</f>
        <v>701368920.88000011</v>
      </c>
      <c r="Z64" s="76">
        <f>资产资本表!Z22+资产资本表!Z23-资产资本表!Z37</f>
        <v>729207229.56999993</v>
      </c>
      <c r="AA64" s="76">
        <f>资产资本表!AA22+资产资本表!AA23-资产资本表!AA37</f>
        <v>590138706.9799999</v>
      </c>
      <c r="AB64" s="76">
        <f>资产资本表!AB22+资产资本表!AB23-资产资本表!AB37</f>
        <v>448527728.71999991</v>
      </c>
      <c r="AC64" s="76">
        <f>资产资本表!AC22+资产资本表!AC23-资产资本表!AC37</f>
        <v>427554308.18000007</v>
      </c>
      <c r="AD64" s="76">
        <f>资产资本表!AD22+资产资本表!AD23-资产资本表!AD37</f>
        <v>503831571.64000005</v>
      </c>
      <c r="AE64" s="76">
        <f>资产资本表!AE22+资产资本表!AE23-资产资本表!AE37</f>
        <v>386912715.27999997</v>
      </c>
      <c r="AF64" s="76">
        <f>资产资本表!AF22+资产资本表!AF23-资产资本表!AF37</f>
        <v>362764818.55000007</v>
      </c>
      <c r="AG64" s="76">
        <f>资产资本表!AG22+资产资本表!AG23-资产资本表!AG37</f>
        <v>414272380.41999996</v>
      </c>
      <c r="AH64" s="76">
        <f>资产资本表!AH22+资产资本表!AH23-资产资本表!AH37</f>
        <v>569826100.16999996</v>
      </c>
      <c r="AI64" s="76">
        <f>资产资本表!AI22+资产资本表!AI23-资产资本表!AI37</f>
        <v>430804149.85999995</v>
      </c>
      <c r="AJ64" s="76">
        <f>资产资本表!AJ22+资产资本表!AJ23-资产资本表!AJ37</f>
        <v>38231803.940000027</v>
      </c>
      <c r="AK64" s="76">
        <f>资产资本表!AK22+资产资本表!AK23-资产资本表!AK37</f>
        <v>234840931.63</v>
      </c>
      <c r="AL64" s="76">
        <f>资产资本表!AL22+资产资本表!AL23-资产资本表!AL37</f>
        <v>181375224.97</v>
      </c>
      <c r="AM64" s="76">
        <f>资产资本表!AM22+资产资本表!AM23-资产资本表!AM37</f>
        <v>289476946.62</v>
      </c>
      <c r="AN64" s="76">
        <f>资产资本表!AN22+资产资本表!AN23-资产资本表!AN37</f>
        <v>211188864.71999997</v>
      </c>
      <c r="AO64" s="76">
        <f>资产资本表!AO22+资产资本表!AO23-资产资本表!AO37</f>
        <v>414701534.98000002</v>
      </c>
      <c r="AP64" s="76">
        <f>资产资本表!AP22+资产资本表!AP23-资产资本表!AP37</f>
        <v>454252049.53000009</v>
      </c>
      <c r="AQ64" s="76">
        <f>资产资本表!AQ22+资产资本表!AQ23-资产资本表!AQ37</f>
        <v>410739886.87</v>
      </c>
      <c r="AR64" s="76">
        <f>资产资本表!AR22+资产资本表!AR23-资产资本表!AR37</f>
        <v>219574727.59999999</v>
      </c>
      <c r="AS64" s="76">
        <f>资产资本表!AS22+资产资本表!AS23-资产资本表!AS37</f>
        <v>247261431.19</v>
      </c>
      <c r="AT64" s="76">
        <f>资产资本表!AT22+资产资本表!AT23-资产资本表!AT37</f>
        <v>9108514.4699999988</v>
      </c>
      <c r="AU64" s="76">
        <f>资产资本表!AU22+资产资本表!AU23-资产资本表!AU37</f>
        <v>-5929991.4899999984</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5.0151171679033162</v>
      </c>
      <c r="F65" s="155">
        <f t="shared" ref="F65:BQ65" si="28">F63/(F64+J64)*2</f>
        <v>4.2428639015226706</v>
      </c>
      <c r="G65" s="155">
        <f t="shared" si="28"/>
        <v>2.9807721828408011</v>
      </c>
      <c r="H65" s="155">
        <f t="shared" si="28"/>
        <v>1.4733937360564431</v>
      </c>
      <c r="I65" s="155">
        <f t="shared" si="28"/>
        <v>5.9350896190664519</v>
      </c>
      <c r="J65" s="155">
        <f t="shared" si="28"/>
        <v>3.8452209983901735</v>
      </c>
      <c r="K65" s="155">
        <f t="shared" si="28"/>
        <v>2.9918694256528005</v>
      </c>
      <c r="L65" s="155">
        <f t="shared" si="28"/>
        <v>1.5937317308966517</v>
      </c>
      <c r="M65" s="155">
        <f t="shared" si="28"/>
        <v>5.5837063031361165</v>
      </c>
      <c r="N65" s="155">
        <f t="shared" si="28"/>
        <v>3.5852653818096978</v>
      </c>
      <c r="O65" s="155">
        <f t="shared" si="28"/>
        <v>2.7889188487176404</v>
      </c>
      <c r="P65" s="155">
        <f t="shared" si="28"/>
        <v>1.3929289678175856</v>
      </c>
      <c r="Q65" s="155">
        <f t="shared" si="28"/>
        <v>4.8581606026086988</v>
      </c>
      <c r="R65" s="155">
        <f t="shared" si="28"/>
        <v>4.0118596276238589</v>
      </c>
      <c r="S65" s="155">
        <f t="shared" si="28"/>
        <v>3.0559075787869965</v>
      </c>
      <c r="T65" s="155">
        <f t="shared" si="28"/>
        <v>1.5347876263652414</v>
      </c>
      <c r="U65" s="155">
        <f t="shared" si="28"/>
        <v>5.732061328201012</v>
      </c>
      <c r="V65" s="155">
        <f t="shared" si="28"/>
        <v>4.9942657956286221</v>
      </c>
      <c r="W65" s="155">
        <f t="shared" si="28"/>
        <v>4.0336464858079442</v>
      </c>
      <c r="X65" s="155">
        <f t="shared" si="28"/>
        <v>2.3548774649921373</v>
      </c>
      <c r="Y65" s="155">
        <f t="shared" si="28"/>
        <v>8.7549549906503881</v>
      </c>
      <c r="Z65" s="155">
        <f t="shared" si="28"/>
        <v>5.9651939110449046</v>
      </c>
      <c r="AA65" s="155">
        <f t="shared" si="28"/>
        <v>5.0745854438156774</v>
      </c>
      <c r="AB65" s="155">
        <f t="shared" si="28"/>
        <v>3.0971704981825305</v>
      </c>
      <c r="AC65" s="155">
        <f t="shared" si="28"/>
        <v>12.352497708136928</v>
      </c>
      <c r="AD65" s="155">
        <f t="shared" si="28"/>
        <v>7.4635088172480986</v>
      </c>
      <c r="AE65" s="155">
        <f t="shared" si="28"/>
        <v>6.3497765702692606</v>
      </c>
      <c r="AF65" s="155">
        <f t="shared" si="28"/>
        <v>6.1079397139836971</v>
      </c>
      <c r="AG65" s="155">
        <f t="shared" si="28"/>
        <v>16.473257111843576</v>
      </c>
      <c r="AH65" s="155">
        <f t="shared" si="28"/>
        <v>10.64619492710497</v>
      </c>
      <c r="AI65" s="155">
        <f t="shared" si="28"/>
        <v>6.6851321767455305</v>
      </c>
      <c r="AJ65" s="155">
        <f t="shared" si="28"/>
        <v>6.7861183428518519</v>
      </c>
      <c r="AK65" s="155">
        <f t="shared" si="28"/>
        <v>14.275971266198409</v>
      </c>
      <c r="AL65" s="155">
        <f t="shared" si="28"/>
        <v>10.586189375138273</v>
      </c>
      <c r="AM65" s="155">
        <f t="shared" si="28"/>
        <v>6.2298478464989637</v>
      </c>
      <c r="AN65" s="155">
        <f t="shared" si="28"/>
        <v>4.4726478172481041</v>
      </c>
      <c r="AO65" s="155">
        <f t="shared" si="28"/>
        <v>13.062497439984238</v>
      </c>
      <c r="AP65" s="155">
        <f t="shared" si="28"/>
        <v>11.802886021780651</v>
      </c>
      <c r="AQ65" s="155">
        <f t="shared" si="28"/>
        <v>7.97436715841578</v>
      </c>
      <c r="AR65" s="155">
        <f t="shared" si="28"/>
        <v>6.3919410384822442</v>
      </c>
      <c r="AS65" s="155">
        <f t="shared" si="28"/>
        <v>15.714584930854942</v>
      </c>
      <c r="AT65" s="155">
        <f t="shared" si="28"/>
        <v>263.01759940883096</v>
      </c>
      <c r="AU65" s="155">
        <f t="shared" si="28"/>
        <v>-236.64088757402254</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72.779954641138829</v>
      </c>
      <c r="F66" s="83">
        <f t="shared" ref="F66:BQ66" si="30">F62/F65</f>
        <v>86.026798990420019</v>
      </c>
      <c r="G66" s="83">
        <f t="shared" si="30"/>
        <v>122.45149163064842</v>
      </c>
      <c r="H66" s="83">
        <f t="shared" si="30"/>
        <v>247.72740040074223</v>
      </c>
      <c r="I66" s="83">
        <f t="shared" si="30"/>
        <v>61.498650134521803</v>
      </c>
      <c r="J66" s="83">
        <f t="shared" si="30"/>
        <v>94.923022669648788</v>
      </c>
      <c r="K66" s="83">
        <f t="shared" si="30"/>
        <v>121.9973027132894</v>
      </c>
      <c r="L66" s="83">
        <f t="shared" si="30"/>
        <v>229.02223311739351</v>
      </c>
      <c r="M66" s="83">
        <f t="shared" si="30"/>
        <v>65.368767657961513</v>
      </c>
      <c r="N66" s="83">
        <f t="shared" si="30"/>
        <v>101.80557396165823</v>
      </c>
      <c r="O66" s="83">
        <f t="shared" si="30"/>
        <v>130.87508808936084</v>
      </c>
      <c r="P66" s="83">
        <f t="shared" si="30"/>
        <v>262.0377696444026</v>
      </c>
      <c r="Q66" s="83">
        <f t="shared" si="30"/>
        <v>75.131316120756694</v>
      </c>
      <c r="R66" s="83">
        <f t="shared" si="30"/>
        <v>90.980252022472158</v>
      </c>
      <c r="S66" s="83">
        <f t="shared" si="30"/>
        <v>119.44078496800682</v>
      </c>
      <c r="T66" s="83">
        <f t="shared" si="30"/>
        <v>237.81791938498407</v>
      </c>
      <c r="U66" s="83">
        <f t="shared" si="30"/>
        <v>63.676918145353135</v>
      </c>
      <c r="V66" s="83">
        <f t="shared" si="30"/>
        <v>73.083815506871289</v>
      </c>
      <c r="W66" s="83">
        <f t="shared" si="30"/>
        <v>90.488842114504251</v>
      </c>
      <c r="X66" s="83">
        <f t="shared" si="30"/>
        <v>154.99744909284215</v>
      </c>
      <c r="Y66" s="83">
        <f t="shared" si="30"/>
        <v>41.690676924072328</v>
      </c>
      <c r="Z66" s="83">
        <f t="shared" si="30"/>
        <v>61.188287496267506</v>
      </c>
      <c r="AA66" s="83">
        <f t="shared" si="30"/>
        <v>71.927057695879398</v>
      </c>
      <c r="AB66" s="83">
        <f t="shared" si="30"/>
        <v>117.84950173527349</v>
      </c>
      <c r="AC66" s="83">
        <f t="shared" si="30"/>
        <v>29.548679839832271</v>
      </c>
      <c r="AD66" s="83">
        <f t="shared" si="30"/>
        <v>48.904611615985289</v>
      </c>
      <c r="AE66" s="83">
        <f t="shared" si="30"/>
        <v>57.482337521762958</v>
      </c>
      <c r="AF66" s="83">
        <f t="shared" si="30"/>
        <v>59.758284641277363</v>
      </c>
      <c r="AG66" s="83">
        <f t="shared" si="30"/>
        <v>22.157123968980027</v>
      </c>
      <c r="AH66" s="83">
        <f t="shared" si="30"/>
        <v>34.28454978508033</v>
      </c>
      <c r="AI66" s="83">
        <f t="shared" si="30"/>
        <v>54.598770876911821</v>
      </c>
      <c r="AJ66" s="83">
        <f t="shared" si="30"/>
        <v>53.786270966593477</v>
      </c>
      <c r="AK66" s="83">
        <f t="shared" si="30"/>
        <v>25.567437282829228</v>
      </c>
      <c r="AL66" s="83">
        <f t="shared" si="30"/>
        <v>34.478884428159255</v>
      </c>
      <c r="AM66" s="83">
        <f t="shared" si="30"/>
        <v>58.588910835939899</v>
      </c>
      <c r="AN66" s="83">
        <f t="shared" si="30"/>
        <v>81.607140761772371</v>
      </c>
      <c r="AO66" s="83">
        <f t="shared" si="30"/>
        <v>27.942589208303833</v>
      </c>
      <c r="AP66" s="83">
        <f t="shared" si="30"/>
        <v>30.924639899634819</v>
      </c>
      <c r="AQ66" s="83">
        <f t="shared" si="30"/>
        <v>45.77165720477214</v>
      </c>
      <c r="AR66" s="83">
        <f t="shared" si="30"/>
        <v>57.103155020132768</v>
      </c>
      <c r="AS66" s="83">
        <f t="shared" si="30"/>
        <v>23.226830463930199</v>
      </c>
      <c r="AT66" s="83">
        <f t="shared" si="30"/>
        <v>1.3877398349783012</v>
      </c>
      <c r="AU66" s="83">
        <f t="shared" si="30"/>
        <v>-1.5424215305388678</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4855286572.2700005</v>
      </c>
      <c r="F67" s="76">
        <f>股权价值增加表!F5</f>
        <v>3404461141.1799998</v>
      </c>
      <c r="G67" s="76">
        <f>股权价值增加表!G5</f>
        <v>2215185411.7199998</v>
      </c>
      <c r="H67" s="76">
        <f>股权价值增加表!H5</f>
        <v>1030828261.85</v>
      </c>
      <c r="I67" s="76">
        <f>股权价值增加表!I5</f>
        <v>4922954425.0900002</v>
      </c>
      <c r="J67" s="76">
        <f>股权价值增加表!J5</f>
        <v>3391675578.0500002</v>
      </c>
      <c r="K67" s="76">
        <f>股权价值增加表!K5</f>
        <v>2228368230.21</v>
      </c>
      <c r="L67" s="76">
        <f>股权价值增加表!L5</f>
        <v>1125309842.8900001</v>
      </c>
      <c r="M67" s="76">
        <f>股权价值增加表!M5</f>
        <v>4808845747.7200003</v>
      </c>
      <c r="N67" s="76">
        <f>股权价值增加表!N5</f>
        <v>3411770783.0500002</v>
      </c>
      <c r="O67" s="76">
        <f>股权价值增加表!O5</f>
        <v>2154103694.21</v>
      </c>
      <c r="P67" s="76">
        <f>股权价值增加表!P5</f>
        <v>987438850.91999996</v>
      </c>
      <c r="Q67" s="76">
        <f>股权价值增加表!Q5</f>
        <v>4003145392.2800002</v>
      </c>
      <c r="R67" s="76">
        <f>股权价值增加表!R5</f>
        <v>2790202683.0900002</v>
      </c>
      <c r="S67" s="76">
        <f>股权价值增加表!S5</f>
        <v>1755559819.53</v>
      </c>
      <c r="T67" s="76">
        <f>股权价值增加表!T5</f>
        <v>787048352.84000003</v>
      </c>
      <c r="U67" s="76">
        <f>股权价值增加表!U5</f>
        <v>3495965363.6199999</v>
      </c>
      <c r="V67" s="76">
        <f>股权价值增加表!V5</f>
        <v>2461632548.9200001</v>
      </c>
      <c r="W67" s="76">
        <f>股权价值增加表!W5</f>
        <v>1655145048.3299999</v>
      </c>
      <c r="X67" s="76">
        <f>股权价值增加表!X5</f>
        <v>787580375.60000002</v>
      </c>
      <c r="Y67" s="76">
        <f>股权价值增加表!Y5</f>
        <v>3209849474.6999998</v>
      </c>
      <c r="Z67" s="76">
        <f>股权价值增加表!Z5</f>
        <v>2395190775.0100002</v>
      </c>
      <c r="AA67" s="76">
        <f>股权价值增加表!AA5</f>
        <v>1626994711.9100001</v>
      </c>
      <c r="AB67" s="76">
        <f>股权价值增加表!AB5</f>
        <v>840133226.70000005</v>
      </c>
      <c r="AC67" s="76">
        <f>股权价值增加表!AC5</f>
        <v>3358923758.2399998</v>
      </c>
      <c r="AD67" s="76">
        <f>股权价值增加表!AD5</f>
        <v>2589836378.29</v>
      </c>
      <c r="AE67" s="76">
        <f>股权价值增加表!AE5</f>
        <v>1667249617.6400001</v>
      </c>
      <c r="AF67" s="76">
        <f>股权价值增加表!AF5</f>
        <v>801738909.25</v>
      </c>
      <c r="AG67" s="76">
        <f>股权价值增加表!AG5</f>
        <v>3402944132.3800001</v>
      </c>
      <c r="AH67" s="76">
        <f>股权价值增加表!AH5</f>
        <v>2516794574.5300002</v>
      </c>
      <c r="AI67" s="76">
        <f>股权价值增加表!AI5</f>
        <v>1513989553.8900001</v>
      </c>
      <c r="AJ67" s="76">
        <f>股权价值增加表!AJ5</f>
        <v>560025855.28999996</v>
      </c>
      <c r="AK67" s="76">
        <f>股权价值增加表!AK5</f>
        <v>2844982800</v>
      </c>
      <c r="AL67" s="76">
        <f>股权价值增加表!AL5</f>
        <v>2039137472.8900001</v>
      </c>
      <c r="AM67" s="76">
        <f>股权价值增加表!AM5</f>
        <v>1311971737.1700001</v>
      </c>
      <c r="AN67" s="76">
        <f>股权价值增加表!AN5</f>
        <v>594809286.71000004</v>
      </c>
      <c r="AO67" s="76">
        <f>股权价值增加表!AO5</f>
        <v>2674227267.21</v>
      </c>
      <c r="AP67" s="76">
        <f>股权价值增加表!AP5</f>
        <v>1691095566.23</v>
      </c>
      <c r="AQ67" s="76">
        <f>股权价值增加表!AQ5</f>
        <v>1023390799.78</v>
      </c>
      <c r="AR67" s="76">
        <f>股权价值增加表!AR5</f>
        <v>457592573.97000003</v>
      </c>
      <c r="AS67" s="76">
        <f>股权价值增加表!AS5</f>
        <v>1235544296.72</v>
      </c>
      <c r="AT67" s="76">
        <f>股权价值增加表!AT5</f>
        <v>772816650.86000001</v>
      </c>
      <c r="AU67" s="76">
        <f>股权价值增加表!AU5</f>
        <v>443017497.97000003</v>
      </c>
      <c r="AV67" s="76">
        <f>股权价值增加表!AV5</f>
        <v>210822487.97999999</v>
      </c>
      <c r="AW67" s="76">
        <f>股权价值增加表!AW5</f>
        <v>784073264.45000005</v>
      </c>
      <c r="AX67" s="76">
        <f>股权价值增加表!AX5</f>
        <v>620793406.78999996</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516303553.88</v>
      </c>
      <c r="F68" s="76">
        <f>资产资本表!F26</f>
        <v>392585682.81999999</v>
      </c>
      <c r="G68" s="76">
        <f>资产资本表!G26</f>
        <v>384691581.38999999</v>
      </c>
      <c r="H68" s="76">
        <f>资产资本表!H26</f>
        <v>356431384.07999998</v>
      </c>
      <c r="I68" s="76">
        <f>资产资本表!I26</f>
        <v>408461386.67000002</v>
      </c>
      <c r="J68" s="76">
        <f>资产资本表!J26</f>
        <v>344767671.5</v>
      </c>
      <c r="K68" s="76">
        <f>资产资本表!K26</f>
        <v>419517534.35000002</v>
      </c>
      <c r="L68" s="76">
        <f>资产资本表!L26</f>
        <v>391139978.88</v>
      </c>
      <c r="M68" s="76">
        <f>资产资本表!M26</f>
        <v>537892295.79999995</v>
      </c>
      <c r="N68" s="76">
        <f>资产资本表!N26</f>
        <v>403440739.55000001</v>
      </c>
      <c r="O68" s="76">
        <f>资产资本表!O26</f>
        <v>407980802.44</v>
      </c>
      <c r="P68" s="76">
        <f>资产资本表!P26</f>
        <v>368726741.88999999</v>
      </c>
      <c r="Q68" s="76">
        <f>资产资本表!Q26</f>
        <v>480500131.64999998</v>
      </c>
      <c r="R68" s="76">
        <f>资产资本表!R26</f>
        <v>383485828.52999997</v>
      </c>
      <c r="S68" s="76">
        <f>资产资本表!S26</f>
        <v>398344395.88999999</v>
      </c>
      <c r="T68" s="76">
        <f>资产资本表!T26</f>
        <v>375008856.27999997</v>
      </c>
      <c r="U68" s="76">
        <f>资产资本表!U26</f>
        <v>393553152</v>
      </c>
      <c r="V68" s="76">
        <f>资产资本表!V26</f>
        <v>402882337.25</v>
      </c>
      <c r="W68" s="76">
        <f>资产资本表!W26</f>
        <v>380129992.48000002</v>
      </c>
      <c r="X68" s="76">
        <f>资产资本表!X26</f>
        <v>575196572.88</v>
      </c>
      <c r="Y68" s="76">
        <f>资产资本表!Y26</f>
        <v>651831980.19000006</v>
      </c>
      <c r="Z68" s="76">
        <f>资产资本表!Z26</f>
        <v>479307378.63</v>
      </c>
      <c r="AA68" s="76">
        <f>资产资本表!AA26</f>
        <v>504164789.64999998</v>
      </c>
      <c r="AB68" s="76">
        <f>资产资本表!AB26</f>
        <v>460168520.30000001</v>
      </c>
      <c r="AC68" s="76">
        <f>资产资本表!AC26</f>
        <v>640704259.03999996</v>
      </c>
      <c r="AD68" s="76">
        <f>资产资本表!AD26</f>
        <v>252039182.59</v>
      </c>
      <c r="AE68" s="76">
        <f>资产资本表!AE26</f>
        <v>236207703.97999999</v>
      </c>
      <c r="AF68" s="76">
        <f>资产资本表!AF26</f>
        <v>238395222.00999999</v>
      </c>
      <c r="AG68" s="76">
        <f>资产资本表!AG26</f>
        <v>366002422.63999999</v>
      </c>
      <c r="AH68" s="76">
        <f>资产资本表!AH26</f>
        <v>249864748.75999999</v>
      </c>
      <c r="AI68" s="76">
        <f>资产资本表!AI26</f>
        <v>220039416.77000001</v>
      </c>
      <c r="AJ68" s="76">
        <f>资产资本表!AJ26</f>
        <v>135599146.93000001</v>
      </c>
      <c r="AK68" s="76">
        <f>资产资本表!AK26</f>
        <v>279861354.98000002</v>
      </c>
      <c r="AL68" s="76">
        <f>资产资本表!AL26</f>
        <v>211317753.44</v>
      </c>
      <c r="AM68" s="76">
        <f>资产资本表!AM26</f>
        <v>297098156.70999998</v>
      </c>
      <c r="AN68" s="76">
        <f>资产资本表!AN26</f>
        <v>226168410.34999999</v>
      </c>
      <c r="AO68" s="76">
        <f>资产资本表!AO26</f>
        <v>306740281.38</v>
      </c>
      <c r="AP68" s="76">
        <f>资产资本表!AP26</f>
        <v>185745440.65000001</v>
      </c>
      <c r="AQ68" s="76">
        <f>资产资本表!AQ26</f>
        <v>154444737.06999999</v>
      </c>
      <c r="AR68" s="76">
        <f>资产资本表!AR26</f>
        <v>124348407.19</v>
      </c>
      <c r="AS68" s="76">
        <f>资产资本表!AS26</f>
        <v>153566854.19999999</v>
      </c>
      <c r="AT68" s="76">
        <f>资产资本表!AT26</f>
        <v>200445779.18000001</v>
      </c>
      <c r="AU68" s="76">
        <f>资产资本表!AU26</f>
        <v>110687277.47</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10.500585304158134</v>
      </c>
      <c r="F69" s="155">
        <f t="shared" ref="F69:BQ69" si="32">F67/(F68+J68)*2</f>
        <v>9.2342731506786269</v>
      </c>
      <c r="G69" s="155">
        <f t="shared" si="32"/>
        <v>5.5089786185317671</v>
      </c>
      <c r="H69" s="155">
        <f t="shared" si="32"/>
        <v>2.7578056435132763</v>
      </c>
      <c r="I69" s="155">
        <f t="shared" si="32"/>
        <v>10.404047696503914</v>
      </c>
      <c r="J69" s="155">
        <f t="shared" si="32"/>
        <v>9.0661252345193084</v>
      </c>
      <c r="K69" s="155">
        <f t="shared" si="32"/>
        <v>5.3857950672244277</v>
      </c>
      <c r="L69" s="155">
        <f t="shared" si="32"/>
        <v>2.9618611057204443</v>
      </c>
      <c r="M69" s="155">
        <f t="shared" si="32"/>
        <v>9.4439935296084094</v>
      </c>
      <c r="N69" s="155">
        <f t="shared" si="32"/>
        <v>8.6711287213857435</v>
      </c>
      <c r="O69" s="155">
        <f t="shared" si="32"/>
        <v>5.3430147009455178</v>
      </c>
      <c r="P69" s="155">
        <f t="shared" si="32"/>
        <v>2.6553491680367176</v>
      </c>
      <c r="Q69" s="155">
        <f t="shared" si="32"/>
        <v>9.1599573324936863</v>
      </c>
      <c r="R69" s="155">
        <f t="shared" si="32"/>
        <v>7.0964283767067124</v>
      </c>
      <c r="S69" s="155">
        <f t="shared" si="32"/>
        <v>4.510257102242913</v>
      </c>
      <c r="T69" s="155">
        <f t="shared" si="32"/>
        <v>1.6565856786058695</v>
      </c>
      <c r="U69" s="155">
        <f t="shared" si="32"/>
        <v>6.6883778159274678</v>
      </c>
      <c r="V69" s="155">
        <f t="shared" si="32"/>
        <v>5.5807328165563064</v>
      </c>
      <c r="W69" s="155">
        <f t="shared" si="32"/>
        <v>3.7434237581799445</v>
      </c>
      <c r="X69" s="155">
        <f t="shared" si="32"/>
        <v>1.5213577911556611</v>
      </c>
      <c r="Y69" s="155">
        <f t="shared" si="32"/>
        <v>4.9667458091731289</v>
      </c>
      <c r="Z69" s="155">
        <f t="shared" si="32"/>
        <v>6.5500841926827382</v>
      </c>
      <c r="AA69" s="155">
        <f t="shared" si="32"/>
        <v>4.3950706594539914</v>
      </c>
      <c r="AB69" s="155">
        <f t="shared" si="32"/>
        <v>2.4053158668723924</v>
      </c>
      <c r="AC69" s="155">
        <f t="shared" si="32"/>
        <v>6.6730932045362046</v>
      </c>
      <c r="AD69" s="155">
        <f t="shared" si="32"/>
        <v>10.320048186608012</v>
      </c>
      <c r="AE69" s="155">
        <f t="shared" si="32"/>
        <v>7.3085375964643831</v>
      </c>
      <c r="AF69" s="155">
        <f t="shared" si="32"/>
        <v>4.2874383992590177</v>
      </c>
      <c r="AG69" s="155">
        <f t="shared" si="32"/>
        <v>10.537652831127353</v>
      </c>
      <c r="AH69" s="155">
        <f t="shared" si="32"/>
        <v>10.914527600349189</v>
      </c>
      <c r="AI69" s="155">
        <f t="shared" si="32"/>
        <v>5.8552680428994304</v>
      </c>
      <c r="AJ69" s="155">
        <f t="shared" si="32"/>
        <v>3.0960534963424182</v>
      </c>
      <c r="AK69" s="155">
        <f t="shared" si="32"/>
        <v>9.6998802037232004</v>
      </c>
      <c r="AL69" s="155">
        <f t="shared" si="32"/>
        <v>10.271097917112915</v>
      </c>
      <c r="AM69" s="155">
        <f t="shared" si="32"/>
        <v>5.8110613863816756</v>
      </c>
      <c r="AN69" s="155">
        <f t="shared" si="32"/>
        <v>3.3938987058281285</v>
      </c>
      <c r="AO69" s="155">
        <f t="shared" si="32"/>
        <v>11.619317019017741</v>
      </c>
      <c r="AP69" s="155">
        <f t="shared" si="32"/>
        <v>8.7578146751985404</v>
      </c>
      <c r="AQ69" s="155">
        <f t="shared" si="32"/>
        <v>7.7198583622997576</v>
      </c>
      <c r="AR69" s="155">
        <f t="shared" si="32"/>
        <v>7.3598461662772188</v>
      </c>
      <c r="AS69" s="155">
        <f t="shared" si="32"/>
        <v>16.091288750512156</v>
      </c>
      <c r="AT69" s="155">
        <f t="shared" si="32"/>
        <v>7.7109795379229391</v>
      </c>
      <c r="AU69" s="155">
        <f t="shared" si="32"/>
        <v>8.0048494839901139</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34.75996712825745</v>
      </c>
      <c r="F70" s="83">
        <f t="shared" ref="F70:BQ70" si="34">F62/F69</f>
        <v>39.526662688462508</v>
      </c>
      <c r="G70" s="83">
        <f t="shared" si="34"/>
        <v>66.255475882982907</v>
      </c>
      <c r="H70" s="83">
        <f t="shared" si="34"/>
        <v>132.35160384073052</v>
      </c>
      <c r="I70" s="83">
        <f t="shared" si="34"/>
        <v>35.082499681604823</v>
      </c>
      <c r="J70" s="83">
        <f t="shared" si="34"/>
        <v>40.25975712427411</v>
      </c>
      <c r="K70" s="83">
        <f t="shared" si="34"/>
        <v>67.77086677902561</v>
      </c>
      <c r="L70" s="83">
        <f t="shared" si="34"/>
        <v>123.23332761791248</v>
      </c>
      <c r="M70" s="83">
        <f t="shared" si="34"/>
        <v>38.648904073861068</v>
      </c>
      <c r="N70" s="83">
        <f t="shared" si="34"/>
        <v>42.0937125636014</v>
      </c>
      <c r="O70" s="83">
        <f t="shared" si="34"/>
        <v>68.313493491868627</v>
      </c>
      <c r="P70" s="83">
        <f t="shared" si="34"/>
        <v>137.45838189328208</v>
      </c>
      <c r="Q70" s="83">
        <f t="shared" si="34"/>
        <v>39.847347181980076</v>
      </c>
      <c r="R70" s="83">
        <f t="shared" si="34"/>
        <v>51.434324511478835</v>
      </c>
      <c r="S70" s="83">
        <f t="shared" si="34"/>
        <v>80.92665046045569</v>
      </c>
      <c r="T70" s="83">
        <f t="shared" si="34"/>
        <v>220.33270280784544</v>
      </c>
      <c r="U70" s="83">
        <f t="shared" si="34"/>
        <v>54.572275975618759</v>
      </c>
      <c r="V70" s="83">
        <f t="shared" si="34"/>
        <v>65.403596982309921</v>
      </c>
      <c r="W70" s="83">
        <f t="shared" si="34"/>
        <v>97.504323202100764</v>
      </c>
      <c r="X70" s="83">
        <f t="shared" si="34"/>
        <v>239.91726477618192</v>
      </c>
      <c r="Y70" s="83">
        <f t="shared" si="34"/>
        <v>73.488761862118679</v>
      </c>
      <c r="Z70" s="83">
        <f t="shared" si="34"/>
        <v>55.724474565952995</v>
      </c>
      <c r="AA70" s="83">
        <f t="shared" si="34"/>
        <v>83.047584050752135</v>
      </c>
      <c r="AB70" s="83">
        <f t="shared" si="34"/>
        <v>151.7472216547616</v>
      </c>
      <c r="AC70" s="83">
        <f t="shared" si="34"/>
        <v>54.697272885665974</v>
      </c>
      <c r="AD70" s="83">
        <f t="shared" si="34"/>
        <v>35.368051912165342</v>
      </c>
      <c r="AE70" s="83">
        <f t="shared" si="34"/>
        <v>49.941591622457324</v>
      </c>
      <c r="AF70" s="83">
        <f t="shared" si="34"/>
        <v>85.132418476981883</v>
      </c>
      <c r="AG70" s="83">
        <f t="shared" si="34"/>
        <v>34.637694546343397</v>
      </c>
      <c r="AH70" s="83">
        <f t="shared" si="34"/>
        <v>33.441667231509179</v>
      </c>
      <c r="AI70" s="83">
        <f t="shared" si="34"/>
        <v>62.337026644344384</v>
      </c>
      <c r="AJ70" s="83">
        <f t="shared" si="34"/>
        <v>117.89201977007171</v>
      </c>
      <c r="AK70" s="83">
        <f t="shared" si="34"/>
        <v>37.629330706568773</v>
      </c>
      <c r="AL70" s="83">
        <f t="shared" si="34"/>
        <v>35.536609907288003</v>
      </c>
      <c r="AM70" s="83">
        <f t="shared" si="34"/>
        <v>62.81124492255131</v>
      </c>
      <c r="AN70" s="83">
        <f t="shared" si="34"/>
        <v>107.54593216739454</v>
      </c>
      <c r="AO70" s="83">
        <f t="shared" si="34"/>
        <v>31.413206077654287</v>
      </c>
      <c r="AP70" s="83">
        <f t="shared" si="34"/>
        <v>41.677063689604211</v>
      </c>
      <c r="AQ70" s="83">
        <f t="shared" si="34"/>
        <v>47.280660197406256</v>
      </c>
      <c r="AR70" s="83">
        <f t="shared" si="34"/>
        <v>49.593427872504769</v>
      </c>
      <c r="AS70" s="83">
        <f t="shared" si="34"/>
        <v>22.68308061952979</v>
      </c>
      <c r="AT70" s="83">
        <f t="shared" si="34"/>
        <v>47.335101617753466</v>
      </c>
      <c r="AU70" s="83">
        <f t="shared" si="34"/>
        <v>45.597359541863781</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1020569856.42</v>
      </c>
      <c r="F71" s="76">
        <f>资产资本表!F35+资产资本表!F36-资产资本表!F24</f>
        <v>789445753.50999999</v>
      </c>
      <c r="G71" s="76">
        <f>资产资本表!G35+资产资本表!G36-资产资本表!G24</f>
        <v>828230590.73999989</v>
      </c>
      <c r="H71" s="76">
        <f>资产资本表!H35+资产资本表!H36-资产资本表!H24</f>
        <v>822635383.08000004</v>
      </c>
      <c r="I71" s="76">
        <f>资产资本表!I35+资产资本表!I36-资产资本表!I24</f>
        <v>1328416809.47</v>
      </c>
      <c r="J71" s="76">
        <f>资产资本表!J35+资产资本表!J36-资产资本表!J24</f>
        <v>945446493.95000005</v>
      </c>
      <c r="K71" s="76">
        <f>资产资本表!K35+资产资本表!K36-资产资本表!K24</f>
        <v>846919171.02999997</v>
      </c>
      <c r="L71" s="76">
        <f>资产资本表!L35+资产资本表!L36-资产资本表!L24</f>
        <v>1192730976.1500001</v>
      </c>
      <c r="M71" s="76">
        <f>资产资本表!M35+资产资本表!M36-资产资本表!M24</f>
        <v>1669994103.21</v>
      </c>
      <c r="N71" s="76">
        <f>资产资本表!N35+资产资本表!N36-资产资本表!N24</f>
        <v>1387451030.5800002</v>
      </c>
      <c r="O71" s="76">
        <f>资产资本表!O35+资产资本表!O36-资产资本表!O24</f>
        <v>1195140154.1400001</v>
      </c>
      <c r="P71" s="76">
        <f>资产资本表!P35+资产资本表!P36-资产资本表!P24</f>
        <v>711789581.63</v>
      </c>
      <c r="Q71" s="76">
        <f>资产资本表!Q35+资产资本表!Q36-资产资本表!Q24</f>
        <v>1093991023.6099999</v>
      </c>
      <c r="R71" s="76">
        <f>资产资本表!R35+资产资本表!R36-资产资本表!R24</f>
        <v>1163704183.3699999</v>
      </c>
      <c r="S71" s="76">
        <f>资产资本表!S35+资产资本表!S36-资产资本表!S24</f>
        <v>1172135879.5699999</v>
      </c>
      <c r="T71" s="76">
        <f>资产资本表!T35+资产资本表!T36-资产资本表!T24</f>
        <v>693126991.29999995</v>
      </c>
      <c r="U71" s="76">
        <f>资产资本表!U35+资产资本表!U36-资产资本表!U24</f>
        <v>912255313.34000003</v>
      </c>
      <c r="V71" s="76">
        <f>资产资本表!V35+资产资本表!V36-资产资本表!V24</f>
        <v>786664365.87</v>
      </c>
      <c r="W71" s="76">
        <f>资产资本表!W35+资产资本表!W36-资产资本表!W24</f>
        <v>762003132.48000002</v>
      </c>
      <c r="X71" s="76">
        <f>资产资本表!X35+资产资本表!X36-资产资本表!X24</f>
        <v>589352366.09000003</v>
      </c>
      <c r="Y71" s="76">
        <f>资产资本表!Y35+资产资本表!Y36-资产资本表!Y24</f>
        <v>863195574.06000006</v>
      </c>
      <c r="Z71" s="76">
        <f>资产资本表!Z35+资产资本表!Z36-资产资本表!Z24</f>
        <v>690870916.3499999</v>
      </c>
      <c r="AA71" s="76">
        <f>资产资本表!AA35+资产资本表!AA36-资产资本表!AA24</f>
        <v>690135699.97000003</v>
      </c>
      <c r="AB71" s="76">
        <f>资产资本表!AB35+资产资本表!AB36-资产资本表!AB24</f>
        <v>631165876.08000004</v>
      </c>
      <c r="AC71" s="76">
        <f>资产资本表!AC35+资产资本表!AC36-资产资本表!AC24</f>
        <v>963212385.37</v>
      </c>
      <c r="AD71" s="76">
        <f>资产资本表!AD35+资产资本表!AD36-资产资本表!AD24</f>
        <v>870245097.73000002</v>
      </c>
      <c r="AE71" s="76">
        <f>资产资本表!AE35+资产资本表!AE36-资产资本表!AE24</f>
        <v>743467958.04999995</v>
      </c>
      <c r="AF71" s="76">
        <f>资产资本表!AF35+资产资本表!AF36-资产资本表!AF24</f>
        <v>668301492.21000004</v>
      </c>
      <c r="AG71" s="76">
        <f>资产资本表!AG35+资产资本表!AG36-资产资本表!AG24</f>
        <v>927206385.70000005</v>
      </c>
      <c r="AH71" s="76">
        <f>资产资本表!AH35+资产资本表!AH36-资产资本表!AH24</f>
        <v>802065192.44000006</v>
      </c>
      <c r="AI71" s="76">
        <f>资产资本表!AI35+资产资本表!AI36-资产资本表!AI24</f>
        <v>767750464.74000001</v>
      </c>
      <c r="AJ71" s="76">
        <f>资产资本表!AJ35+资产资本表!AJ36-资产资本表!AJ24</f>
        <v>211236449.46000001</v>
      </c>
      <c r="AK71" s="76">
        <f>资产资本表!AK35+资产资本表!AK36-资产资本表!AK24</f>
        <v>794469213.68000007</v>
      </c>
      <c r="AL71" s="76">
        <f>资产资本表!AL35+资产资本表!AL36-资产资本表!AL24</f>
        <v>589741564.39999998</v>
      </c>
      <c r="AM71" s="76">
        <f>资产资本表!AM35+资产资本表!AM36-资产资本表!AM24</f>
        <v>825193144.06999993</v>
      </c>
      <c r="AN71" s="76">
        <f>资产资本表!AN35+资产资本表!AN36-资产资本表!AN24</f>
        <v>529194472.72999996</v>
      </c>
      <c r="AO71" s="76">
        <f>资产资本表!AO35+资产资本表!AO36-资产资本表!AO24</f>
        <v>971525528.08000004</v>
      </c>
      <c r="AP71" s="76">
        <f>资产资本表!AP35+资产资本表!AP36-资产资本表!AP24</f>
        <v>685081850.13</v>
      </c>
      <c r="AQ71" s="76">
        <f>资产资本表!AQ35+资产资本表!AQ36-资产资本表!AQ24</f>
        <v>383386086.63</v>
      </c>
      <c r="AR71" s="76">
        <f>资产资本表!AR35+资产资本表!AR36-资产资本表!AR24</f>
        <v>264206774.57000002</v>
      </c>
      <c r="AS71" s="76">
        <f>资产资本表!AS35+资产资本表!AS36-资产资本表!AS24</f>
        <v>416636993.44999999</v>
      </c>
      <c r="AT71" s="76">
        <f>资产资本表!AT35+资产资本表!AT36-资产资本表!AT24</f>
        <v>260299053.52000001</v>
      </c>
      <c r="AU71" s="76">
        <f>资产资本表!AU35+资产资本表!AU36-资产资本表!AU24</f>
        <v>84930361.730000004</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4.1339413652485737</v>
      </c>
      <c r="F72" s="155">
        <f t="shared" ref="F72:BQ72" si="36">F67/(F71+J71)*2</f>
        <v>3.9246946271900884</v>
      </c>
      <c r="G72" s="155">
        <f t="shared" si="36"/>
        <v>2.6447610384153193</v>
      </c>
      <c r="H72" s="155">
        <f t="shared" si="36"/>
        <v>1.0229686102767368</v>
      </c>
      <c r="I72" s="155">
        <f t="shared" si="36"/>
        <v>3.2837089834960809</v>
      </c>
      <c r="J72" s="155">
        <f t="shared" si="36"/>
        <v>2.9076935805256237</v>
      </c>
      <c r="K72" s="155">
        <f t="shared" si="36"/>
        <v>2.1824715890900865</v>
      </c>
      <c r="L72" s="155">
        <f t="shared" si="36"/>
        <v>1.1817250680682752</v>
      </c>
      <c r="M72" s="155">
        <f t="shared" si="36"/>
        <v>3.4796466168055247</v>
      </c>
      <c r="N72" s="155">
        <f t="shared" si="36"/>
        <v>2.674686953105839</v>
      </c>
      <c r="O72" s="155">
        <f t="shared" si="36"/>
        <v>1.8199007327709766</v>
      </c>
      <c r="P72" s="155">
        <f t="shared" si="36"/>
        <v>1.405690373287666</v>
      </c>
      <c r="Q72" s="155">
        <f t="shared" si="36"/>
        <v>3.9906818206240717</v>
      </c>
      <c r="R72" s="155">
        <f t="shared" si="36"/>
        <v>2.8612055748922516</v>
      </c>
      <c r="S72" s="155">
        <f t="shared" si="36"/>
        <v>1.8153398577791744</v>
      </c>
      <c r="T72" s="155">
        <f t="shared" si="36"/>
        <v>1.2273856078927279</v>
      </c>
      <c r="U72" s="155">
        <f t="shared" si="36"/>
        <v>3.9381155383459241</v>
      </c>
      <c r="V72" s="155">
        <f t="shared" si="36"/>
        <v>3.3320795496962918</v>
      </c>
      <c r="W72" s="155">
        <f t="shared" si="36"/>
        <v>2.2795961534029008</v>
      </c>
      <c r="X72" s="155">
        <f t="shared" si="36"/>
        <v>1.2905671515400452</v>
      </c>
      <c r="Y72" s="155">
        <f t="shared" si="36"/>
        <v>3.5149315443212976</v>
      </c>
      <c r="Z72" s="155">
        <f t="shared" si="36"/>
        <v>3.0685621739926088</v>
      </c>
      <c r="AA72" s="155">
        <f t="shared" si="36"/>
        <v>2.2697970988119538</v>
      </c>
      <c r="AB72" s="155">
        <f t="shared" si="36"/>
        <v>1.2930424375420082</v>
      </c>
      <c r="AC72" s="155">
        <f t="shared" si="36"/>
        <v>3.5536292906558558</v>
      </c>
      <c r="AD72" s="155">
        <f t="shared" si="36"/>
        <v>3.0973156040637986</v>
      </c>
      <c r="AE72" s="155">
        <f t="shared" si="36"/>
        <v>2.2064972111204635</v>
      </c>
      <c r="AF72" s="155">
        <f t="shared" si="36"/>
        <v>1.823091128343409</v>
      </c>
      <c r="AG72" s="155">
        <f t="shared" si="36"/>
        <v>3.9530607666222939</v>
      </c>
      <c r="AH72" s="155">
        <f t="shared" si="36"/>
        <v>3.6165862281689249</v>
      </c>
      <c r="AI72" s="155">
        <f t="shared" si="36"/>
        <v>1.9008702448933745</v>
      </c>
      <c r="AJ72" s="155">
        <f t="shared" si="36"/>
        <v>1.5127025047349205</v>
      </c>
      <c r="AK72" s="155">
        <f t="shared" si="36"/>
        <v>3.2219606692199707</v>
      </c>
      <c r="AL72" s="155">
        <f t="shared" si="36"/>
        <v>3.1990900851813837</v>
      </c>
      <c r="AM72" s="155">
        <f t="shared" si="36"/>
        <v>2.1710976059221472</v>
      </c>
      <c r="AN72" s="155">
        <f t="shared" si="36"/>
        <v>1.4993908535792646</v>
      </c>
      <c r="AO72" s="155">
        <f t="shared" si="36"/>
        <v>3.8529022729450007</v>
      </c>
      <c r="AP72" s="155">
        <f t="shared" si="36"/>
        <v>3.577596204240824</v>
      </c>
      <c r="AQ72" s="155">
        <f t="shared" si="36"/>
        <v>4.3705097412820662</v>
      </c>
      <c r="AR72" s="155">
        <f t="shared" si="36"/>
        <v>3.4638973562637667</v>
      </c>
      <c r="AS72" s="155">
        <f t="shared" si="36"/>
        <v>5.9310350071843825</v>
      </c>
      <c r="AT72" s="155">
        <f t="shared" si="36"/>
        <v>5.9379136451652199</v>
      </c>
      <c r="AU72" s="155">
        <f t="shared" si="36"/>
        <v>10.432488192582669</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88.293463247525423</v>
      </c>
      <c r="F73" s="83">
        <f t="shared" ref="F73:BQ73" si="38">F62/F72</f>
        <v>93.000866225692619</v>
      </c>
      <c r="G73" s="83">
        <f t="shared" si="38"/>
        <v>138.00868762748399</v>
      </c>
      <c r="H73" s="83">
        <f t="shared" si="38"/>
        <v>356.8046920826427</v>
      </c>
      <c r="I73" s="83">
        <f t="shared" si="38"/>
        <v>111.15479533493674</v>
      </c>
      <c r="J73" s="83">
        <f t="shared" si="38"/>
        <v>125.52904557914901</v>
      </c>
      <c r="K73" s="83">
        <f t="shared" si="38"/>
        <v>167.24158143665704</v>
      </c>
      <c r="L73" s="83">
        <f t="shared" si="38"/>
        <v>308.87048930649564</v>
      </c>
      <c r="M73" s="83">
        <f t="shared" si="38"/>
        <v>104.89570930483934</v>
      </c>
      <c r="N73" s="83">
        <f t="shared" si="38"/>
        <v>136.46456815298069</v>
      </c>
      <c r="O73" s="83">
        <f t="shared" si="38"/>
        <v>200.56038960116899</v>
      </c>
      <c r="P73" s="83">
        <f t="shared" si="38"/>
        <v>259.65888856898715</v>
      </c>
      <c r="Q73" s="83">
        <f t="shared" si="38"/>
        <v>91.463067316882828</v>
      </c>
      <c r="R73" s="83">
        <f t="shared" si="38"/>
        <v>127.56860366936246</v>
      </c>
      <c r="S73" s="83">
        <f t="shared" si="38"/>
        <v>201.06427919592352</v>
      </c>
      <c r="T73" s="83">
        <f t="shared" si="38"/>
        <v>297.3800553410926</v>
      </c>
      <c r="U73" s="83">
        <f t="shared" si="38"/>
        <v>92.683923680234699</v>
      </c>
      <c r="V73" s="83">
        <f t="shared" si="38"/>
        <v>109.54120229010395</v>
      </c>
      <c r="W73" s="83">
        <f t="shared" si="38"/>
        <v>160.11607997106893</v>
      </c>
      <c r="X73" s="83">
        <f t="shared" si="38"/>
        <v>282.82139334202196</v>
      </c>
      <c r="Y73" s="83">
        <f t="shared" si="38"/>
        <v>103.84270515586337</v>
      </c>
      <c r="Z73" s="83">
        <f t="shared" si="38"/>
        <v>118.94821721180455</v>
      </c>
      <c r="AA73" s="83">
        <f t="shared" si="38"/>
        <v>160.80732510894765</v>
      </c>
      <c r="AB73" s="83">
        <f t="shared" si="38"/>
        <v>282.27998509765996</v>
      </c>
      <c r="AC73" s="83">
        <f t="shared" si="38"/>
        <v>102.71189540218919</v>
      </c>
      <c r="AD73" s="83">
        <f t="shared" si="38"/>
        <v>117.84398061376302</v>
      </c>
      <c r="AE73" s="83">
        <f t="shared" si="38"/>
        <v>165.42055805031012</v>
      </c>
      <c r="AF73" s="83">
        <f t="shared" si="38"/>
        <v>200.20941044876079</v>
      </c>
      <c r="AG73" s="83">
        <f t="shared" si="38"/>
        <v>92.333516115381016</v>
      </c>
      <c r="AH73" s="83">
        <f t="shared" si="38"/>
        <v>100.92390364069911</v>
      </c>
      <c r="AI73" s="83">
        <f t="shared" si="38"/>
        <v>192.01731469076361</v>
      </c>
      <c r="AJ73" s="83">
        <f t="shared" si="38"/>
        <v>241.29000835095533</v>
      </c>
      <c r="AK73" s="83">
        <f t="shared" si="38"/>
        <v>113.28505760077005</v>
      </c>
      <c r="AL73" s="83">
        <f t="shared" si="38"/>
        <v>114.09494271221969</v>
      </c>
      <c r="AM73" s="83">
        <f t="shared" si="38"/>
        <v>168.11772948594393</v>
      </c>
      <c r="AN73" s="83">
        <f t="shared" si="38"/>
        <v>243.43219056504964</v>
      </c>
      <c r="AO73" s="83">
        <f t="shared" si="38"/>
        <v>94.733780963774336</v>
      </c>
      <c r="AP73" s="83">
        <f t="shared" si="38"/>
        <v>102.0238112862863</v>
      </c>
      <c r="AQ73" s="83">
        <f t="shared" si="38"/>
        <v>83.514285885776147</v>
      </c>
      <c r="AR73" s="83">
        <f t="shared" si="38"/>
        <v>105.37263736755085</v>
      </c>
      <c r="AS73" s="83">
        <f t="shared" si="38"/>
        <v>61.540692232952281</v>
      </c>
      <c r="AT73" s="83">
        <f t="shared" si="38"/>
        <v>61.469401849114298</v>
      </c>
      <c r="AU73" s="83">
        <f t="shared" si="38"/>
        <v>34.986859631387759</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107.53992176939627</v>
      </c>
      <c r="F74" s="256">
        <f t="shared" ref="F74:BQ74" si="40">F66+F70</f>
        <v>125.55346167888253</v>
      </c>
      <c r="G74" s="256">
        <f t="shared" si="40"/>
        <v>188.70696751363133</v>
      </c>
      <c r="H74" s="256">
        <f t="shared" si="40"/>
        <v>380.07900424147272</v>
      </c>
      <c r="I74" s="256">
        <f t="shared" si="40"/>
        <v>96.581149816126626</v>
      </c>
      <c r="J74" s="256">
        <f t="shared" si="40"/>
        <v>135.18277979392289</v>
      </c>
      <c r="K74" s="256">
        <f t="shared" si="40"/>
        <v>189.768169492315</v>
      </c>
      <c r="L74" s="256">
        <f t="shared" si="40"/>
        <v>352.25556073530601</v>
      </c>
      <c r="M74" s="256">
        <f t="shared" si="40"/>
        <v>104.01767173182259</v>
      </c>
      <c r="N74" s="256">
        <f t="shared" si="40"/>
        <v>143.89928652525964</v>
      </c>
      <c r="O74" s="256">
        <f t="shared" si="40"/>
        <v>199.18858158122947</v>
      </c>
      <c r="P74" s="256">
        <f t="shared" si="40"/>
        <v>399.49615153768468</v>
      </c>
      <c r="Q74" s="256">
        <f t="shared" si="40"/>
        <v>114.97866330273678</v>
      </c>
      <c r="R74" s="256">
        <f t="shared" si="40"/>
        <v>142.41457653395099</v>
      </c>
      <c r="S74" s="256">
        <f t="shared" si="40"/>
        <v>200.3674354284625</v>
      </c>
      <c r="T74" s="256">
        <f t="shared" si="40"/>
        <v>458.15062219282947</v>
      </c>
      <c r="U74" s="256">
        <f t="shared" si="40"/>
        <v>118.24919412097189</v>
      </c>
      <c r="V74" s="256">
        <f t="shared" si="40"/>
        <v>138.48741248918122</v>
      </c>
      <c r="W74" s="256">
        <f t="shared" si="40"/>
        <v>187.99316531660503</v>
      </c>
      <c r="X74" s="256">
        <f t="shared" si="40"/>
        <v>394.91471386902407</v>
      </c>
      <c r="Y74" s="256">
        <f t="shared" si="40"/>
        <v>115.17943878619101</v>
      </c>
      <c r="Z74" s="256">
        <f t="shared" si="40"/>
        <v>116.91276206222051</v>
      </c>
      <c r="AA74" s="256">
        <f t="shared" si="40"/>
        <v>154.97464174663153</v>
      </c>
      <c r="AB74" s="256">
        <f t="shared" si="40"/>
        <v>269.59672339003509</v>
      </c>
      <c r="AC74" s="256">
        <f t="shared" si="40"/>
        <v>84.245952725498242</v>
      </c>
      <c r="AD74" s="256">
        <f t="shared" si="40"/>
        <v>84.27266352815063</v>
      </c>
      <c r="AE74" s="256">
        <f t="shared" si="40"/>
        <v>107.42392914422028</v>
      </c>
      <c r="AF74" s="256">
        <f t="shared" si="40"/>
        <v>144.89070311825924</v>
      </c>
      <c r="AG74" s="256">
        <f t="shared" si="40"/>
        <v>56.794818515323428</v>
      </c>
      <c r="AH74" s="256">
        <f t="shared" si="40"/>
        <v>67.726217016589516</v>
      </c>
      <c r="AI74" s="256">
        <f t="shared" si="40"/>
        <v>116.93579752125621</v>
      </c>
      <c r="AJ74" s="256">
        <f t="shared" si="40"/>
        <v>171.67829073666519</v>
      </c>
      <c r="AK74" s="256">
        <f t="shared" si="40"/>
        <v>63.196767989397998</v>
      </c>
      <c r="AL74" s="256">
        <f t="shared" si="40"/>
        <v>70.015494335447258</v>
      </c>
      <c r="AM74" s="256">
        <f t="shared" si="40"/>
        <v>121.40015575849121</v>
      </c>
      <c r="AN74" s="256">
        <f t="shared" si="40"/>
        <v>189.15307292916691</v>
      </c>
      <c r="AO74" s="256">
        <f t="shared" si="40"/>
        <v>59.355795285958123</v>
      </c>
      <c r="AP74" s="256">
        <f t="shared" si="40"/>
        <v>72.601703589239037</v>
      </c>
      <c r="AQ74" s="256">
        <f t="shared" si="40"/>
        <v>93.052317402178403</v>
      </c>
      <c r="AR74" s="256">
        <f t="shared" si="40"/>
        <v>106.69658289263754</v>
      </c>
      <c r="AS74" s="256">
        <f t="shared" si="40"/>
        <v>45.909911083459988</v>
      </c>
      <c r="AT74" s="256">
        <f t="shared" si="40"/>
        <v>48.722841452731764</v>
      </c>
      <c r="AU74" s="256">
        <f t="shared" si="40"/>
        <v>44.054938011324914</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19.246458521870849</v>
      </c>
      <c r="F75" s="256">
        <f t="shared" ref="F75:BQ75" si="42">F74-F73</f>
        <v>32.552595453189909</v>
      </c>
      <c r="G75" s="256">
        <f t="shared" si="42"/>
        <v>50.698279886147333</v>
      </c>
      <c r="H75" s="256">
        <f t="shared" si="42"/>
        <v>23.274312158830014</v>
      </c>
      <c r="I75" s="256">
        <f t="shared" si="42"/>
        <v>-14.57364551881011</v>
      </c>
      <c r="J75" s="256">
        <f t="shared" si="42"/>
        <v>9.6537342147738769</v>
      </c>
      <c r="K75" s="256">
        <f t="shared" si="42"/>
        <v>22.526588055657953</v>
      </c>
      <c r="L75" s="256">
        <f t="shared" si="42"/>
        <v>43.385071428810363</v>
      </c>
      <c r="M75" s="256">
        <f t="shared" si="42"/>
        <v>-0.87803757301675489</v>
      </c>
      <c r="N75" s="256">
        <f t="shared" si="42"/>
        <v>7.4347183722789509</v>
      </c>
      <c r="O75" s="256">
        <f t="shared" si="42"/>
        <v>-1.3718080199395217</v>
      </c>
      <c r="P75" s="256">
        <f t="shared" si="42"/>
        <v>139.83726296869753</v>
      </c>
      <c r="Q75" s="256">
        <f t="shared" si="42"/>
        <v>23.515595985853949</v>
      </c>
      <c r="R75" s="256">
        <f t="shared" si="42"/>
        <v>14.845972864588532</v>
      </c>
      <c r="S75" s="256">
        <f t="shared" si="42"/>
        <v>-0.69684376746101861</v>
      </c>
      <c r="T75" s="256">
        <f t="shared" si="42"/>
        <v>160.77056685173687</v>
      </c>
      <c r="U75" s="256">
        <f t="shared" si="42"/>
        <v>25.565270440737194</v>
      </c>
      <c r="V75" s="256">
        <f t="shared" si="42"/>
        <v>28.946210199077271</v>
      </c>
      <c r="W75" s="256">
        <f t="shared" si="42"/>
        <v>27.877085345536102</v>
      </c>
      <c r="X75" s="256">
        <f t="shared" si="42"/>
        <v>112.09332052700211</v>
      </c>
      <c r="Y75" s="256">
        <f t="shared" si="42"/>
        <v>11.336733630327643</v>
      </c>
      <c r="Z75" s="256">
        <f t="shared" si="42"/>
        <v>-2.0354551495840383</v>
      </c>
      <c r="AA75" s="256">
        <f t="shared" si="42"/>
        <v>-5.8326833623161178</v>
      </c>
      <c r="AB75" s="256">
        <f t="shared" si="42"/>
        <v>-12.683261707624865</v>
      </c>
      <c r="AC75" s="256">
        <f t="shared" si="42"/>
        <v>-18.465942676690943</v>
      </c>
      <c r="AD75" s="256">
        <f t="shared" si="42"/>
        <v>-33.571317085612392</v>
      </c>
      <c r="AE75" s="256">
        <f t="shared" si="42"/>
        <v>-57.996628906089839</v>
      </c>
      <c r="AF75" s="256">
        <f t="shared" si="42"/>
        <v>-55.318707330501553</v>
      </c>
      <c r="AG75" s="256">
        <f t="shared" si="42"/>
        <v>-35.538697600057588</v>
      </c>
      <c r="AH75" s="256">
        <f t="shared" si="42"/>
        <v>-33.197686624109593</v>
      </c>
      <c r="AI75" s="256">
        <f t="shared" si="42"/>
        <v>-75.081517169507407</v>
      </c>
      <c r="AJ75" s="256">
        <f t="shared" si="42"/>
        <v>-69.611717614290143</v>
      </c>
      <c r="AK75" s="256">
        <f t="shared" si="42"/>
        <v>-50.088289611372048</v>
      </c>
      <c r="AL75" s="256">
        <f t="shared" si="42"/>
        <v>-44.079448376772433</v>
      </c>
      <c r="AM75" s="256">
        <f t="shared" si="42"/>
        <v>-46.717573727452717</v>
      </c>
      <c r="AN75" s="256">
        <f t="shared" si="42"/>
        <v>-54.279117635882727</v>
      </c>
      <c r="AO75" s="256">
        <f t="shared" si="42"/>
        <v>-35.377985677816213</v>
      </c>
      <c r="AP75" s="256">
        <f t="shared" si="42"/>
        <v>-29.422107697047267</v>
      </c>
      <c r="AQ75" s="256">
        <f t="shared" si="42"/>
        <v>9.5380315164022562</v>
      </c>
      <c r="AR75" s="256">
        <f t="shared" si="42"/>
        <v>1.3239455250866854</v>
      </c>
      <c r="AS75" s="256">
        <f t="shared" si="42"/>
        <v>-15.630781149492293</v>
      </c>
      <c r="AT75" s="256">
        <f t="shared" si="42"/>
        <v>-12.746560396382534</v>
      </c>
      <c r="AU75" s="256">
        <f t="shared" si="42"/>
        <v>9.0680783799371554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-1160762756.1800001</v>
      </c>
      <c r="F76" s="120">
        <f t="shared" ref="F76:BQ76" si="44">F71-F64-F68</f>
        <v>-867050420.64999986</v>
      </c>
      <c r="G76" s="120">
        <f t="shared" si="44"/>
        <v>-727027897.43000007</v>
      </c>
      <c r="H76" s="120">
        <f t="shared" si="44"/>
        <v>-549128348.98000002</v>
      </c>
      <c r="I76" s="120">
        <f t="shared" si="44"/>
        <v>-305286917.16000003</v>
      </c>
      <c r="J76" s="120">
        <f t="shared" si="44"/>
        <v>-523365285.15999985</v>
      </c>
      <c r="K76" s="120">
        <f t="shared" si="44"/>
        <v>-595297999.53000009</v>
      </c>
      <c r="L76" s="120">
        <f t="shared" si="44"/>
        <v>-199439626.40999997</v>
      </c>
      <c r="M76" s="120">
        <f t="shared" si="44"/>
        <v>-107590692.30999994</v>
      </c>
      <c r="N76" s="120">
        <f t="shared" si="44"/>
        <v>-510411309.39999992</v>
      </c>
      <c r="O76" s="120">
        <f t="shared" si="44"/>
        <v>-402807375.09999985</v>
      </c>
      <c r="P76" s="120">
        <f t="shared" si="44"/>
        <v>-717459067.74000001</v>
      </c>
      <c r="Q76" s="120">
        <f t="shared" si="44"/>
        <v>-675634827.55000007</v>
      </c>
      <c r="R76" s="120">
        <f t="shared" si="44"/>
        <v>-523360698.93999982</v>
      </c>
      <c r="S76" s="120">
        <f t="shared" si="44"/>
        <v>-307104176.18000019</v>
      </c>
      <c r="T76" s="120">
        <f t="shared" si="44"/>
        <v>-655851441.47000003</v>
      </c>
      <c r="U76" s="120">
        <f t="shared" si="44"/>
        <v>-638988449.25999987</v>
      </c>
      <c r="V76" s="120">
        <f t="shared" si="44"/>
        <v>-393770501.38999999</v>
      </c>
      <c r="W76" s="120">
        <f t="shared" si="44"/>
        <v>-261293106.07999992</v>
      </c>
      <c r="X76" s="120">
        <f t="shared" si="44"/>
        <v>-527225036.9799999</v>
      </c>
      <c r="Y76" s="120">
        <f t="shared" si="44"/>
        <v>-490005327.01000011</v>
      </c>
      <c r="Z76" s="120">
        <f t="shared" si="44"/>
        <v>-517643691.85000002</v>
      </c>
      <c r="AA76" s="120">
        <f t="shared" si="44"/>
        <v>-404167796.65999985</v>
      </c>
      <c r="AB76" s="120">
        <f t="shared" si="44"/>
        <v>-277530372.93999988</v>
      </c>
      <c r="AC76" s="120">
        <f t="shared" si="44"/>
        <v>-105046181.85000002</v>
      </c>
      <c r="AD76" s="120">
        <f t="shared" si="44"/>
        <v>114374343.49999997</v>
      </c>
      <c r="AE76" s="120">
        <f t="shared" si="44"/>
        <v>120347538.78999999</v>
      </c>
      <c r="AF76" s="120">
        <f t="shared" si="44"/>
        <v>67141451.649999976</v>
      </c>
      <c r="AG76" s="120">
        <f t="shared" si="44"/>
        <v>146931582.6400001</v>
      </c>
      <c r="AH76" s="120">
        <f t="shared" si="44"/>
        <v>-17625656.48999989</v>
      </c>
      <c r="AI76" s="120">
        <f t="shared" si="44"/>
        <v>116906898.11000004</v>
      </c>
      <c r="AJ76" s="120">
        <f t="shared" si="44"/>
        <v>37405498.589999974</v>
      </c>
      <c r="AK76" s="120">
        <f t="shared" si="44"/>
        <v>279766927.07000005</v>
      </c>
      <c r="AL76" s="120">
        <f t="shared" si="44"/>
        <v>197048585.98999995</v>
      </c>
      <c r="AM76" s="120">
        <f t="shared" si="44"/>
        <v>238618040.73999995</v>
      </c>
      <c r="AN76" s="120">
        <f t="shared" si="44"/>
        <v>91837197.659999996</v>
      </c>
      <c r="AO76" s="120">
        <f t="shared" si="44"/>
        <v>250083711.72000003</v>
      </c>
      <c r="AP76" s="120">
        <f t="shared" si="44"/>
        <v>45084359.949999899</v>
      </c>
      <c r="AQ76" s="120">
        <f t="shared" si="44"/>
        <v>-181798537.31</v>
      </c>
      <c r="AR76" s="120">
        <f t="shared" si="44"/>
        <v>-79716360.219999969</v>
      </c>
      <c r="AS76" s="120">
        <f t="shared" si="44"/>
        <v>15808708.060000002</v>
      </c>
      <c r="AT76" s="120">
        <f t="shared" si="44"/>
        <v>50744759.870000005</v>
      </c>
      <c r="AU76" s="120">
        <f t="shared" si="44"/>
        <v>-19826924.25</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8" t="s">
        <v>692</v>
      </c>
      <c r="B77" s="277"/>
      <c r="C77" s="277"/>
      <c r="D77" s="277"/>
      <c r="E77" s="277"/>
      <c r="F77" s="277"/>
      <c r="G77" s="277"/>
      <c r="H77" s="277"/>
      <c r="I77" s="277"/>
      <c r="J77" s="277"/>
      <c r="K77" s="277"/>
      <c r="L77" s="277"/>
      <c r="M77" s="277"/>
      <c r="N77" s="277"/>
      <c r="O77" s="277"/>
      <c r="P77" s="277"/>
      <c r="Q77" s="277"/>
      <c r="R77" s="277"/>
      <c r="S77" s="277"/>
      <c r="T77" s="277"/>
      <c r="U77" s="277"/>
      <c r="V77" s="277"/>
      <c r="W77" s="277"/>
      <c r="X77" s="277"/>
      <c r="Y77" s="277"/>
      <c r="Z77" s="277"/>
      <c r="AA77" s="277"/>
      <c r="AB77" s="277"/>
      <c r="AC77" s="277"/>
      <c r="AD77" s="277"/>
      <c r="AE77" s="277"/>
      <c r="AF77" s="277"/>
      <c r="AG77" s="277"/>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7247524855.71</v>
      </c>
      <c r="F81" s="76">
        <f>股权价值增加表!F4</f>
        <v>5065883183.1800003</v>
      </c>
      <c r="G81" s="76">
        <f>股权价值增加表!G4</f>
        <v>3268813950.4499998</v>
      </c>
      <c r="H81" s="76">
        <f>股权价值增加表!H4</f>
        <v>1485448286.03</v>
      </c>
      <c r="I81" s="76">
        <f>股权价值增加表!I4</f>
        <v>7314804589.3299999</v>
      </c>
      <c r="J81" s="76">
        <f>股权价值增加表!J4</f>
        <v>5034289662.0600004</v>
      </c>
      <c r="K81" s="76">
        <f>股权价值增加表!K4</f>
        <v>3310004420.3299999</v>
      </c>
      <c r="L81" s="76">
        <f>股权价值增加表!L4</f>
        <v>1642780841.9100001</v>
      </c>
      <c r="M81" s="76">
        <f>股权价值增加表!M4</f>
        <v>7060089115.1000004</v>
      </c>
      <c r="N81" s="76">
        <f>股权价值增加表!N4</f>
        <v>5015787441.9099998</v>
      </c>
      <c r="O81" s="76">
        <f>股权价值增加表!O4</f>
        <v>3166625456.5</v>
      </c>
      <c r="P81" s="76">
        <f>股权价值增加表!P4</f>
        <v>1416951061.4000001</v>
      </c>
      <c r="Q81" s="76">
        <f>股权价值增加表!Q4</f>
        <v>5943513348.3800001</v>
      </c>
      <c r="R81" s="76">
        <f>股权价值增加表!R4</f>
        <v>4174603890.3899999</v>
      </c>
      <c r="S81" s="76">
        <f>股权价值增加表!S4</f>
        <v>2634286922.3299999</v>
      </c>
      <c r="T81" s="76">
        <f>股权价值增加表!T4</f>
        <v>1162870526.8900001</v>
      </c>
      <c r="U81" s="76">
        <f>股权价值增加表!U4</f>
        <v>5328121623.6099997</v>
      </c>
      <c r="V81" s="76">
        <f>股权价值增加表!V4</f>
        <v>3762579364.75</v>
      </c>
      <c r="W81" s="76">
        <f>股权价值增加表!W4</f>
        <v>2487358094.9200001</v>
      </c>
      <c r="X81" s="76">
        <f>股权价值增加表!X4</f>
        <v>1165556678.8900001</v>
      </c>
      <c r="Y81" s="76">
        <f>股权价值增加表!Y4</f>
        <v>4941836029.1599998</v>
      </c>
      <c r="Z81" s="76">
        <f>股权价值增加表!Z4</f>
        <v>3677657774.5300002</v>
      </c>
      <c r="AA81" s="76">
        <f>股权价值增加表!AA4</f>
        <v>2479065462.6300001</v>
      </c>
      <c r="AB81" s="76">
        <f>股权价值增加表!AB4</f>
        <v>1256355671.4000001</v>
      </c>
      <c r="AC81" s="76">
        <f>股权价值增加表!AC4</f>
        <v>5199331120.79</v>
      </c>
      <c r="AD81" s="76">
        <f>股权价值增加表!AD4</f>
        <v>4006626750.1300001</v>
      </c>
      <c r="AE81" s="76">
        <f>股权价值增加表!AE4</f>
        <v>2596159695.6900001</v>
      </c>
      <c r="AF81" s="76">
        <f>股权价值增加表!AF4</f>
        <v>1224631597.8399999</v>
      </c>
      <c r="AG81" s="76">
        <f>股权价值增加表!AG4</f>
        <v>5346505242.0600004</v>
      </c>
      <c r="AH81" s="76">
        <f>股权价值增加表!AH4</f>
        <v>3998717868.4699998</v>
      </c>
      <c r="AI81" s="76">
        <f>股权价值增加表!AI4</f>
        <v>2407587167.1900001</v>
      </c>
      <c r="AJ81" s="76">
        <f>股权价值增加表!AJ4</f>
        <v>846299087.34000003</v>
      </c>
      <c r="AK81" s="76">
        <f>股权价值增加表!AK4</f>
        <v>4636424794.75</v>
      </c>
      <c r="AL81" s="76">
        <f>股权价值增加表!AL4</f>
        <v>3364435349.9299998</v>
      </c>
      <c r="AM81" s="76">
        <f>股权价值增加表!AM4</f>
        <v>2181122166.0999999</v>
      </c>
      <c r="AN81" s="76">
        <f>股权价值增加表!AN4</f>
        <v>963326920.47000003</v>
      </c>
      <c r="AO81" s="76">
        <f>股权价值增加表!AO4</f>
        <v>4323444775.4799995</v>
      </c>
      <c r="AP81" s="76">
        <f>股权价值增加表!AP4</f>
        <v>2734495961.9400001</v>
      </c>
      <c r="AQ81" s="76">
        <f>股权价值增加表!AQ4</f>
        <v>1614051367.5599999</v>
      </c>
      <c r="AR81" s="76">
        <f>股权价值增加表!AR4</f>
        <v>701754356.17999995</v>
      </c>
      <c r="AS81" s="76">
        <f>股权价值增加表!AS4</f>
        <v>1942805380.28</v>
      </c>
      <c r="AT81" s="76">
        <f>股权价值增加表!AT4</f>
        <v>1197849805.04</v>
      </c>
      <c r="AU81" s="76">
        <f>股权价值增加表!AU4</f>
        <v>701639224.75</v>
      </c>
      <c r="AV81" s="76">
        <f>股权价值增加表!AV4</f>
        <v>328138362.51999998</v>
      </c>
      <c r="AW81" s="76">
        <f>股权价值增加表!AW4</f>
        <v>933814768.39999998</v>
      </c>
      <c r="AX81" s="76">
        <f>股权价值增加表!AX4</f>
        <v>750377431.16999996</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1348097586.23</v>
      </c>
      <c r="F82" s="76">
        <f>投资和筹资活动现金流表!F34</f>
        <v>1344870123</v>
      </c>
      <c r="G82" s="76">
        <f>投资和筹资活动现金流表!G34</f>
        <v>1319348584.9400001</v>
      </c>
      <c r="H82" s="76">
        <f>投资和筹资活动现金流表!H34</f>
        <v>1309227330.2</v>
      </c>
      <c r="I82" s="76">
        <f>投资和筹资活动现金流表!I34</f>
        <v>1338318718.9300001</v>
      </c>
      <c r="J82" s="76">
        <f>投资和筹资活动现金流表!J34</f>
        <v>1300042067.03</v>
      </c>
      <c r="K82" s="76">
        <f>投资和筹资活动现金流表!K34</f>
        <v>1307997355.97</v>
      </c>
      <c r="L82" s="76">
        <f>投资和筹资活动现金流表!L34</f>
        <v>1278818870.02</v>
      </c>
      <c r="M82" s="76">
        <f>投资和筹资活动现金流表!M34</f>
        <v>1319805146.8200002</v>
      </c>
      <c r="N82" s="76">
        <f>投资和筹资活动现金流表!N34</f>
        <v>1365625233.1800001</v>
      </c>
      <c r="O82" s="76">
        <f>投资和筹资活动现金流表!O34</f>
        <v>1374633144.51</v>
      </c>
      <c r="P82" s="76">
        <f>投资和筹资活动现金流表!P34</f>
        <v>1396946838.3</v>
      </c>
      <c r="Q82" s="76">
        <f>投资和筹资活动现金流表!Q34</f>
        <v>1434360282.02</v>
      </c>
      <c r="R82" s="76">
        <f>投资和筹资活动现金流表!R34</f>
        <v>1415735568.9400001</v>
      </c>
      <c r="S82" s="76">
        <f>投资和筹资活动现金流表!S34</f>
        <v>1434013045.6900001</v>
      </c>
      <c r="T82" s="76">
        <f>投资和筹资活动现金流表!T34</f>
        <v>1332062520.3900001</v>
      </c>
      <c r="U82" s="76">
        <f>投资和筹资活动现金流表!U34</f>
        <v>1318392716.8699999</v>
      </c>
      <c r="V82" s="76">
        <f>投资和筹资活动现金流表!V34</f>
        <v>1350553948.3800001</v>
      </c>
      <c r="W82" s="76">
        <f>投资和筹资活动现金流表!W34</f>
        <v>1205230453.29</v>
      </c>
      <c r="X82" s="76">
        <f>投资和筹资活动现金流表!X34</f>
        <v>1102747674.49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307332681.16000003</v>
      </c>
      <c r="AQ82" s="76">
        <f>投资和筹资活动现金流表!BR34</f>
        <v>227942709.5</v>
      </c>
      <c r="AR82" s="76">
        <f>投资和筹资活动现金流表!BS34</f>
        <v>205400925.84999999</v>
      </c>
      <c r="AS82" s="76">
        <f>投资和筹资活动现金流表!AS34</f>
        <v>187820781.28</v>
      </c>
      <c r="AT82" s="76">
        <f>投资和筹资活动现金流表!AT34</f>
        <v>127162066.33</v>
      </c>
      <c r="AU82" s="76">
        <f>投资和筹资活动现金流表!AU34</f>
        <v>5837715.5099999998</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5.3761129236778364</v>
      </c>
      <c r="F83" s="155">
        <f t="shared" ref="F83:BQ83" si="46">F81/F82</f>
        <v>3.7668196330211732</v>
      </c>
      <c r="G83" s="155">
        <f t="shared" si="46"/>
        <v>2.4775968896792016</v>
      </c>
      <c r="H83" s="155">
        <f t="shared" si="46"/>
        <v>1.1345992034882744</v>
      </c>
      <c r="I83" s="155">
        <f t="shared" si="46"/>
        <v>5.4656670984758122</v>
      </c>
      <c r="J83" s="155">
        <f t="shared" si="46"/>
        <v>3.8724052011340246</v>
      </c>
      <c r="K83" s="155">
        <f t="shared" si="46"/>
        <v>2.5305895346212899</v>
      </c>
      <c r="L83" s="155">
        <f t="shared" si="46"/>
        <v>1.2846079147114149</v>
      </c>
      <c r="M83" s="155">
        <f t="shared" si="46"/>
        <v>5.3493420086373407</v>
      </c>
      <c r="N83" s="155">
        <f t="shared" si="46"/>
        <v>3.6728872021720176</v>
      </c>
      <c r="O83" s="155">
        <f t="shared" si="46"/>
        <v>2.3036149456652097</v>
      </c>
      <c r="P83" s="155">
        <f t="shared" si="46"/>
        <v>1.0143199601814084</v>
      </c>
      <c r="Q83" s="155">
        <f t="shared" si="46"/>
        <v>4.143668381565746</v>
      </c>
      <c r="R83" s="155">
        <f t="shared" si="46"/>
        <v>2.9487172477524459</v>
      </c>
      <c r="S83" s="155">
        <f t="shared" si="46"/>
        <v>1.8370034570100215</v>
      </c>
      <c r="T83" s="155">
        <f t="shared" si="46"/>
        <v>0.8729849455936467</v>
      </c>
      <c r="U83" s="155">
        <f t="shared" si="46"/>
        <v>4.0413767122891189</v>
      </c>
      <c r="V83" s="155">
        <f t="shared" si="46"/>
        <v>2.7859526598424615</v>
      </c>
      <c r="W83" s="155">
        <f t="shared" si="46"/>
        <v>2.0638028919117408</v>
      </c>
      <c r="X83" s="155">
        <f t="shared" si="46"/>
        <v>1.0569568232633526</v>
      </c>
      <c r="Y83" s="155">
        <f t="shared" si="46"/>
        <v>0.91607386674295177</v>
      </c>
      <c r="Z83" s="155">
        <f t="shared" si="46"/>
        <v>0.66850426139357233</v>
      </c>
      <c r="AA83" s="155">
        <f t="shared" si="46"/>
        <v>0.44444682054866619</v>
      </c>
      <c r="AB83" s="155">
        <f t="shared" si="46"/>
        <v>0.22055706733608418</v>
      </c>
      <c r="AC83" s="155">
        <f t="shared" si="46"/>
        <v>0.89960000587106104</v>
      </c>
      <c r="AD83" s="155">
        <f t="shared" si="46"/>
        <v>0.68594960734953192</v>
      </c>
      <c r="AE83" s="155">
        <f t="shared" si="46"/>
        <v>0.47773433853703412</v>
      </c>
      <c r="AF83" s="155">
        <f t="shared" si="46"/>
        <v>0.22186753500660919</v>
      </c>
      <c r="AG83" s="155">
        <f t="shared" si="46"/>
        <v>0.95681568276178275</v>
      </c>
      <c r="AH83" s="155">
        <f t="shared" si="46"/>
        <v>0.71564692320843837</v>
      </c>
      <c r="AI83" s="155">
        <f t="shared" si="46"/>
        <v>0.46521305494537823</v>
      </c>
      <c r="AJ83" s="155">
        <f t="shared" si="46"/>
        <v>0.18626444673896239</v>
      </c>
      <c r="AK83" s="155">
        <f t="shared" si="46"/>
        <v>1.0352305764773102</v>
      </c>
      <c r="AL83" s="155">
        <f t="shared" si="46"/>
        <v>0.74421624864106461</v>
      </c>
      <c r="AM83" s="155">
        <f t="shared" si="46"/>
        <v>0.60237426804314964</v>
      </c>
      <c r="AN83" s="155">
        <f t="shared" si="46"/>
        <v>0.26141892677368733</v>
      </c>
      <c r="AO83" s="155">
        <f t="shared" si="46"/>
        <v>1.2269832636044911</v>
      </c>
      <c r="AP83" s="155">
        <f t="shared" si="46"/>
        <v>8.8975111648357306</v>
      </c>
      <c r="AQ83" s="155">
        <f t="shared" si="46"/>
        <v>7.0809519247203649</v>
      </c>
      <c r="AR83" s="155">
        <f t="shared" si="46"/>
        <v>3.4165101898930899</v>
      </c>
      <c r="AS83" s="155">
        <f t="shared" si="46"/>
        <v>10.343931949594539</v>
      </c>
      <c r="AT83" s="155">
        <f t="shared" si="46"/>
        <v>9.4198674149525363</v>
      </c>
      <c r="AU83" s="155">
        <f t="shared" si="46"/>
        <v>120.19071904893153</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631189103.16999996</v>
      </c>
      <c r="F84" s="76">
        <f>资产资本表!F52</f>
        <v>636892413</v>
      </c>
      <c r="G84" s="76">
        <f>资产资本表!G52</f>
        <v>636364854.38999999</v>
      </c>
      <c r="H84" s="76">
        <f>资产资本表!H52</f>
        <v>660410009.82000005</v>
      </c>
      <c r="I84" s="76">
        <f>资产资本表!I52</f>
        <v>670238339.49000001</v>
      </c>
      <c r="J84" s="76">
        <f>资产资本表!J52</f>
        <v>672759732.02999997</v>
      </c>
      <c r="K84" s="76">
        <f>资产资本表!K52</f>
        <v>680515812.40999997</v>
      </c>
      <c r="L84" s="76">
        <f>资产资本表!L52</f>
        <v>683641784.20000005</v>
      </c>
      <c r="M84" s="76">
        <f>资产资本表!M52</f>
        <v>696778114.10000002</v>
      </c>
      <c r="N84" s="76">
        <f>资产资本表!N52</f>
        <v>705776815.28999996</v>
      </c>
      <c r="O84" s="76">
        <f>资产资本表!O52</f>
        <v>773907291.72000003</v>
      </c>
      <c r="P84" s="76">
        <f>资产资本表!P52</f>
        <v>795827371.98000002</v>
      </c>
      <c r="Q84" s="76">
        <f>资产资本表!Q52</f>
        <v>807367570.77999997</v>
      </c>
      <c r="R84" s="76">
        <f>资产资本表!R52</f>
        <v>1034619296.75</v>
      </c>
      <c r="S84" s="76">
        <f>资产资本表!S52</f>
        <v>1046457532.65</v>
      </c>
      <c r="T84" s="76">
        <f>资产资本表!T52</f>
        <v>559782194.07000005</v>
      </c>
      <c r="U84" s="76">
        <f>资产资本表!U52</f>
        <v>566365938.87</v>
      </c>
      <c r="V84" s="76">
        <f>资产资本表!V52</f>
        <v>562899074.23000002</v>
      </c>
      <c r="W84" s="76">
        <f>资产资本表!W52</f>
        <v>569231521.32000005</v>
      </c>
      <c r="X84" s="76">
        <f>资产资本表!X52</f>
        <v>580327211.29999995</v>
      </c>
      <c r="Y84" s="76">
        <f>资产资本表!Y52</f>
        <v>590292268.55999994</v>
      </c>
      <c r="Z84" s="76">
        <f>资产资本表!Z52</f>
        <v>540611067.38999999</v>
      </c>
      <c r="AA84" s="76">
        <f>资产资本表!AA52</f>
        <v>548978858.41999996</v>
      </c>
      <c r="AB84" s="76">
        <f>资产资本表!AB52</f>
        <v>553893666.91999996</v>
      </c>
      <c r="AC84" s="76">
        <f>资产资本表!AC52</f>
        <v>559960417.52999997</v>
      </c>
      <c r="AD84" s="76">
        <f>资产资本表!AD52</f>
        <v>474473680.49000001</v>
      </c>
      <c r="AE84" s="76">
        <f>资产资本表!AE52</f>
        <v>474915228.75999999</v>
      </c>
      <c r="AF84" s="76">
        <f>资产资本表!AF52</f>
        <v>469798665.18000001</v>
      </c>
      <c r="AG84" s="76">
        <f>资产资本表!AG52</f>
        <v>478173204.25999999</v>
      </c>
      <c r="AH84" s="76">
        <f>资产资本表!AH52</f>
        <v>475357017.5</v>
      </c>
      <c r="AI84" s="76">
        <f>资产资本表!AI52</f>
        <v>481666150.81999999</v>
      </c>
      <c r="AJ84" s="76">
        <f>资产资本表!AJ52</f>
        <v>488674480.27999997</v>
      </c>
      <c r="AK84" s="76">
        <f>资产资本表!AK52</f>
        <v>495482608.16000003</v>
      </c>
      <c r="AL84" s="76">
        <f>资产资本表!AL52</f>
        <v>394965812.58999997</v>
      </c>
      <c r="AM84" s="76">
        <f>资产资本表!AM52</f>
        <v>380784425.00999999</v>
      </c>
      <c r="AN84" s="76">
        <f>资产资本表!AN52</f>
        <v>241375729.33000001</v>
      </c>
      <c r="AO84" s="76">
        <f>资产资本表!AO52</f>
        <v>218807974.09</v>
      </c>
      <c r="AP84" s="76">
        <f>资产资本表!AP52</f>
        <v>164058885.31999999</v>
      </c>
      <c r="AQ84" s="76">
        <f>资产资本表!AQ52</f>
        <v>127995467.54000001</v>
      </c>
      <c r="AR84" s="76">
        <f>资产资本表!AR52</f>
        <v>116416069.28</v>
      </c>
      <c r="AS84" s="76">
        <f>资产资本表!AS52</f>
        <v>115798312.64</v>
      </c>
      <c r="AT84" s="76">
        <f>资产资本表!AT52</f>
        <v>89216251.269999996</v>
      </c>
      <c r="AU84" s="76">
        <f>资产资本表!AU52</f>
        <v>3838462.72</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11.48233519766263</v>
      </c>
      <c r="F85" s="155">
        <f t="shared" ref="F85:BQ85" si="48">F81/F84</f>
        <v>7.9540642654507492</v>
      </c>
      <c r="G85" s="155">
        <f t="shared" si="48"/>
        <v>5.1366978045690246</v>
      </c>
      <c r="H85" s="155">
        <f t="shared" si="48"/>
        <v>2.2492819066065799</v>
      </c>
      <c r="I85" s="155">
        <f t="shared" si="48"/>
        <v>10.913736440228121</v>
      </c>
      <c r="J85" s="155">
        <f t="shared" si="48"/>
        <v>7.4830424925543992</v>
      </c>
      <c r="K85" s="155">
        <f t="shared" si="48"/>
        <v>4.8639640107815376</v>
      </c>
      <c r="L85" s="155">
        <f t="shared" si="48"/>
        <v>2.4029848377866307</v>
      </c>
      <c r="M85" s="155">
        <f t="shared" si="48"/>
        <v>10.132478291484844</v>
      </c>
      <c r="N85" s="155">
        <f t="shared" si="48"/>
        <v>7.1067614198251032</v>
      </c>
      <c r="O85" s="155">
        <f t="shared" si="48"/>
        <v>4.0917374605196075</v>
      </c>
      <c r="P85" s="155">
        <f t="shared" si="48"/>
        <v>1.7804754036979888</v>
      </c>
      <c r="Q85" s="155">
        <f t="shared" si="48"/>
        <v>7.3615953420546179</v>
      </c>
      <c r="R85" s="155">
        <f t="shared" si="48"/>
        <v>4.0349178712435414</v>
      </c>
      <c r="S85" s="155">
        <f t="shared" si="48"/>
        <v>2.5173376273178092</v>
      </c>
      <c r="T85" s="155">
        <f t="shared" si="48"/>
        <v>2.0773624799230119</v>
      </c>
      <c r="U85" s="155">
        <f t="shared" si="48"/>
        <v>9.4075601266568789</v>
      </c>
      <c r="V85" s="155">
        <f t="shared" si="48"/>
        <v>6.6842877116060304</v>
      </c>
      <c r="W85" s="155">
        <f t="shared" si="48"/>
        <v>4.3696773663412483</v>
      </c>
      <c r="X85" s="155">
        <f t="shared" si="48"/>
        <v>2.0084474003537047</v>
      </c>
      <c r="Y85" s="155">
        <f t="shared" si="48"/>
        <v>8.3718461046685544</v>
      </c>
      <c r="Z85" s="155">
        <f t="shared" si="48"/>
        <v>6.8027792924870267</v>
      </c>
      <c r="AA85" s="155">
        <f t="shared" si="48"/>
        <v>4.5157758347287293</v>
      </c>
      <c r="AB85" s="155">
        <f t="shared" si="48"/>
        <v>2.2682253768780827</v>
      </c>
      <c r="AC85" s="155">
        <f t="shared" si="48"/>
        <v>9.2851761624944587</v>
      </c>
      <c r="AD85" s="155">
        <f t="shared" si="48"/>
        <v>8.4443603826291547</v>
      </c>
      <c r="AE85" s="155">
        <f t="shared" si="48"/>
        <v>5.466574955847495</v>
      </c>
      <c r="AF85" s="155">
        <f t="shared" si="48"/>
        <v>2.6067157882851606</v>
      </c>
      <c r="AG85" s="155">
        <f t="shared" si="48"/>
        <v>11.181105913983655</v>
      </c>
      <c r="AH85" s="155">
        <f t="shared" si="48"/>
        <v>8.4120307921403512</v>
      </c>
      <c r="AI85" s="155">
        <f t="shared" si="48"/>
        <v>4.9984562192947664</v>
      </c>
      <c r="AJ85" s="155">
        <f t="shared" si="48"/>
        <v>1.7318258298552625</v>
      </c>
      <c r="AK85" s="155">
        <f t="shared" si="48"/>
        <v>9.3573915984005982</v>
      </c>
      <c r="AL85" s="155">
        <f t="shared" si="48"/>
        <v>8.518295109816254</v>
      </c>
      <c r="AM85" s="155">
        <f t="shared" si="48"/>
        <v>5.7279710588024191</v>
      </c>
      <c r="AN85" s="155">
        <f t="shared" si="48"/>
        <v>3.9909850221642413</v>
      </c>
      <c r="AO85" s="155">
        <f t="shared" si="48"/>
        <v>19.759082334456796</v>
      </c>
      <c r="AP85" s="155">
        <f t="shared" si="48"/>
        <v>16.667771188413926</v>
      </c>
      <c r="AQ85" s="155">
        <f t="shared" si="48"/>
        <v>12.610222835082741</v>
      </c>
      <c r="AR85" s="155">
        <f t="shared" si="48"/>
        <v>6.0279853161178636</v>
      </c>
      <c r="AS85" s="155">
        <f t="shared" si="48"/>
        <v>16.777493004754717</v>
      </c>
      <c r="AT85" s="155">
        <f t="shared" si="48"/>
        <v>13.426363336146931</v>
      </c>
      <c r="AU85" s="155">
        <f t="shared" si="48"/>
        <v>182.79172573284754</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568244.32999999996</v>
      </c>
      <c r="F86" s="76">
        <f>资产资本表!F53</f>
        <v>177237.73</v>
      </c>
      <c r="G86" s="76">
        <f>资产资本表!G53</f>
        <v>177237.73</v>
      </c>
      <c r="H86" s="76">
        <f>资产资本表!H53</f>
        <v>163086.79</v>
      </c>
      <c r="I86" s="76">
        <f>资产资本表!I53</f>
        <v>227464.79</v>
      </c>
      <c r="J86" s="76">
        <f>资产资本表!J53</f>
        <v>109433.96</v>
      </c>
      <c r="K86" s="76">
        <f>资产资本表!K53</f>
        <v>100000</v>
      </c>
      <c r="L86" s="76">
        <f>资产资本表!L53</f>
        <v>4852857.7699999996</v>
      </c>
      <c r="M86" s="76">
        <f>资产资本表!M53</f>
        <v>3644144.17</v>
      </c>
      <c r="N86" s="76">
        <f>资产资本表!N53</f>
        <v>2147185.7799999998</v>
      </c>
      <c r="O86" s="76">
        <f>资产资本表!O53</f>
        <v>117750</v>
      </c>
      <c r="P86" s="76">
        <f>资产资本表!P53</f>
        <v>0</v>
      </c>
      <c r="Q86" s="76">
        <f>资产资本表!Q53</f>
        <v>923443.62</v>
      </c>
      <c r="R86" s="76">
        <f>资产资本表!R53</f>
        <v>804297</v>
      </c>
      <c r="S86" s="76">
        <f>资产资本表!S53</f>
        <v>5795799.6900000004</v>
      </c>
      <c r="T86" s="76">
        <f>资产资本表!T53</f>
        <v>379762090.80000001</v>
      </c>
      <c r="U86" s="76">
        <f>资产资本表!U53</f>
        <v>351252328.04000002</v>
      </c>
      <c r="V86" s="76">
        <f>资产资本表!V53</f>
        <v>285868935.95999998</v>
      </c>
      <c r="W86" s="76">
        <f>资产资本表!W53</f>
        <v>235275989.55000001</v>
      </c>
      <c r="X86" s="76">
        <f>资产资本表!X53</f>
        <v>185166453.43000001</v>
      </c>
      <c r="Y86" s="76">
        <f>资产资本表!Y53</f>
        <v>155104723.87</v>
      </c>
      <c r="Z86" s="76">
        <f>资产资本表!Z53</f>
        <v>164594904.81999999</v>
      </c>
      <c r="AA86" s="76">
        <f>资产资本表!AA53</f>
        <v>149187603.21000001</v>
      </c>
      <c r="AB86" s="76">
        <f>资产资本表!AB53</f>
        <v>78182552.540000007</v>
      </c>
      <c r="AC86" s="76">
        <f>资产资本表!AC53</f>
        <v>66467099.740000002</v>
      </c>
      <c r="AD86" s="76">
        <f>资产资本表!AD53</f>
        <v>267176611.08000001</v>
      </c>
      <c r="AE86" s="76">
        <f>资产资本表!AE53</f>
        <v>259881560.31999999</v>
      </c>
      <c r="AF86" s="76">
        <f>资产资本表!AF53</f>
        <v>274817693.72000003</v>
      </c>
      <c r="AG86" s="76">
        <f>资产资本表!AG53</f>
        <v>232473284.65000001</v>
      </c>
      <c r="AH86" s="76">
        <f>资产资本表!AH53</f>
        <v>21915012.800000001</v>
      </c>
      <c r="AI86" s="76">
        <f>资产资本表!AI53</f>
        <v>10638850.65</v>
      </c>
      <c r="AJ86" s="76">
        <f>资产资本表!AJ53</f>
        <v>21233891.989999998</v>
      </c>
      <c r="AK86" s="76">
        <f>资产资本表!AK53</f>
        <v>1925903.69</v>
      </c>
      <c r="AL86" s="76">
        <f>资产资本表!AL53</f>
        <v>46202369.109999999</v>
      </c>
      <c r="AM86" s="76">
        <f>资产资本表!AM53</f>
        <v>45858484.549999997</v>
      </c>
      <c r="AN86" s="76">
        <f>资产资本表!AN53</f>
        <v>131244502.34</v>
      </c>
      <c r="AO86" s="76">
        <f>资产资本表!AO53</f>
        <v>89075699.5</v>
      </c>
      <c r="AP86" s="76">
        <f>资产资本表!AP53</f>
        <v>68455226.900000006</v>
      </c>
      <c r="AQ86" s="76">
        <f>资产资本表!AQ53</f>
        <v>28434456.100000001</v>
      </c>
      <c r="AR86" s="76">
        <f>资产资本表!AR53</f>
        <v>16536868.84</v>
      </c>
      <c r="AS86" s="76">
        <f>资产资本表!AS53</f>
        <v>11883622.34</v>
      </c>
      <c r="AT86" s="76">
        <f>资产资本表!AT53</f>
        <v>18491981.559999999</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12754.240514304825</v>
      </c>
      <c r="F87" s="54">
        <f t="shared" ref="F87:BQ87" si="50">F81/F86</f>
        <v>28582.419686711175</v>
      </c>
      <c r="G87" s="54">
        <f t="shared" si="50"/>
        <v>18443.104357350996</v>
      </c>
      <c r="H87" s="54">
        <f t="shared" si="50"/>
        <v>9108.3299023176551</v>
      </c>
      <c r="I87" s="54">
        <f t="shared" si="50"/>
        <v>32157.964269239208</v>
      </c>
      <c r="J87" s="54">
        <f t="shared" si="50"/>
        <v>46002.992691299849</v>
      </c>
      <c r="K87" s="54">
        <f t="shared" si="50"/>
        <v>33100.0442033</v>
      </c>
      <c r="L87" s="54">
        <f t="shared" si="50"/>
        <v>338.51823394980732</v>
      </c>
      <c r="M87" s="54">
        <f t="shared" si="50"/>
        <v>1937.3791995446768</v>
      </c>
      <c r="N87" s="54">
        <f t="shared" si="50"/>
        <v>2335.9820508451767</v>
      </c>
      <c r="O87" s="54">
        <f t="shared" si="50"/>
        <v>26892.785193205946</v>
      </c>
      <c r="P87" s="54" t="e">
        <f t="shared" si="50"/>
        <v>#DIV/0!</v>
      </c>
      <c r="Q87" s="54">
        <f t="shared" si="50"/>
        <v>6436.2492951979029</v>
      </c>
      <c r="R87" s="54">
        <f t="shared" si="50"/>
        <v>5190.3760555988647</v>
      </c>
      <c r="S87" s="54">
        <f t="shared" si="50"/>
        <v>454.51655737432839</v>
      </c>
      <c r="T87" s="54">
        <f t="shared" si="50"/>
        <v>3.0621027086729957</v>
      </c>
      <c r="U87" s="54">
        <f t="shared" si="50"/>
        <v>15.168928995691218</v>
      </c>
      <c r="V87" s="54">
        <f t="shared" si="50"/>
        <v>13.161903555958512</v>
      </c>
      <c r="W87" s="54">
        <f t="shared" si="50"/>
        <v>10.572086423597405</v>
      </c>
      <c r="X87" s="54">
        <f t="shared" si="50"/>
        <v>6.2946427784265202</v>
      </c>
      <c r="Y87" s="54">
        <f t="shared" si="50"/>
        <v>31.861286399645486</v>
      </c>
      <c r="Z87" s="54">
        <f t="shared" si="50"/>
        <v>22.3436914924667</v>
      </c>
      <c r="AA87" s="54">
        <f t="shared" si="50"/>
        <v>16.617100947324751</v>
      </c>
      <c r="AB87" s="54">
        <f t="shared" si="50"/>
        <v>16.069514624215159</v>
      </c>
      <c r="AC87" s="54">
        <f t="shared" si="50"/>
        <v>78.224131053231957</v>
      </c>
      <c r="AD87" s="54">
        <f t="shared" si="50"/>
        <v>14.996173257584685</v>
      </c>
      <c r="AE87" s="54">
        <f t="shared" si="50"/>
        <v>9.9897803156686855</v>
      </c>
      <c r="AF87" s="54">
        <f t="shared" si="50"/>
        <v>4.4561599410252111</v>
      </c>
      <c r="AG87" s="54">
        <f t="shared" si="50"/>
        <v>22.998364092069451</v>
      </c>
      <c r="AH87" s="54">
        <f t="shared" si="50"/>
        <v>182.4647744887468</v>
      </c>
      <c r="AI87" s="54">
        <f t="shared" si="50"/>
        <v>226.30143484437392</v>
      </c>
      <c r="AJ87" s="54">
        <f t="shared" si="50"/>
        <v>39.856051247626226</v>
      </c>
      <c r="AK87" s="54">
        <f t="shared" si="50"/>
        <v>2407.4022075060257</v>
      </c>
      <c r="AL87" s="54">
        <f t="shared" si="50"/>
        <v>72.819541827386601</v>
      </c>
      <c r="AM87" s="54">
        <f t="shared" si="50"/>
        <v>47.562020147479991</v>
      </c>
      <c r="AN87" s="54">
        <f t="shared" si="50"/>
        <v>7.3399411273961022</v>
      </c>
      <c r="AO87" s="54">
        <f t="shared" si="50"/>
        <v>48.536747954249854</v>
      </c>
      <c r="AP87" s="54">
        <f t="shared" si="50"/>
        <v>39.945758501897537</v>
      </c>
      <c r="AQ87" s="54">
        <f t="shared" si="50"/>
        <v>56.763926198679769</v>
      </c>
      <c r="AR87" s="54">
        <f t="shared" si="50"/>
        <v>42.43574542252945</v>
      </c>
      <c r="AS87" s="54">
        <f t="shared" si="50"/>
        <v>163.48595779088012</v>
      </c>
      <c r="AT87" s="54">
        <f t="shared" si="50"/>
        <v>64.77671422899688</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152533461.56999999</v>
      </c>
      <c r="F92" s="76">
        <f>资产资本表!F58</f>
        <v>153547141.97</v>
      </c>
      <c r="G92" s="76">
        <f>资产资本表!G58</f>
        <v>154896201.15000001</v>
      </c>
      <c r="H92" s="76">
        <f>资产资本表!H58</f>
        <v>157547147.66999999</v>
      </c>
      <c r="I92" s="76">
        <f>资产资本表!I58</f>
        <v>158839911.78999999</v>
      </c>
      <c r="J92" s="76">
        <f>资产资本表!J58</f>
        <v>155378363.55000001</v>
      </c>
      <c r="K92" s="76">
        <f>资产资本表!K58</f>
        <v>156950742</v>
      </c>
      <c r="L92" s="76">
        <f>资产资本表!L58</f>
        <v>158545447.69999999</v>
      </c>
      <c r="M92" s="76">
        <f>资产资本表!M58</f>
        <v>160316614.00999999</v>
      </c>
      <c r="N92" s="76">
        <f>资产资本表!N58</f>
        <v>161106232.05000001</v>
      </c>
      <c r="O92" s="76">
        <f>资产资本表!O58</f>
        <v>190734906.55000001</v>
      </c>
      <c r="P92" s="76">
        <f>资产资本表!P58</f>
        <v>192097880.47</v>
      </c>
      <c r="Q92" s="76">
        <f>资产资本表!Q58</f>
        <v>193928696.69999999</v>
      </c>
      <c r="R92" s="76">
        <f>资产资本表!R58</f>
        <v>254745358.41999999</v>
      </c>
      <c r="S92" s="76">
        <f>资产资本表!S58</f>
        <v>256922365.66999999</v>
      </c>
      <c r="T92" s="76">
        <f>资产资本表!T58</f>
        <v>258353282.16999999</v>
      </c>
      <c r="U92" s="76">
        <f>资产资本表!U58</f>
        <v>260263325.24000001</v>
      </c>
      <c r="V92" s="76">
        <f>资产资本表!V58</f>
        <v>277230506.35000002</v>
      </c>
      <c r="W92" s="76">
        <f>资产资本表!W58</f>
        <v>280048291.73000002</v>
      </c>
      <c r="X92" s="76">
        <f>资产资本表!X58</f>
        <v>283132300.23000002</v>
      </c>
      <c r="Y92" s="76">
        <f>资产资本表!Y58</f>
        <v>286379333.73000002</v>
      </c>
      <c r="Z92" s="76">
        <f>资产资本表!Z58</f>
        <v>287133637.37</v>
      </c>
      <c r="AA92" s="76">
        <f>资产资本表!AA58</f>
        <v>288240943.32999998</v>
      </c>
      <c r="AB92" s="76">
        <f>资产资本表!AB58</f>
        <v>290324879.10000002</v>
      </c>
      <c r="AC92" s="76">
        <f>资产资本表!AC58</f>
        <v>292856317.07999998</v>
      </c>
      <c r="AD92" s="76">
        <f>资产资本表!AD58</f>
        <v>293866206.44999999</v>
      </c>
      <c r="AE92" s="76">
        <f>资产资本表!AE58</f>
        <v>280516943.57999998</v>
      </c>
      <c r="AF92" s="76">
        <f>资产资本表!AF58</f>
        <v>279953852.80000001</v>
      </c>
      <c r="AG92" s="76">
        <f>资产资本表!AG58</f>
        <v>280703528.89999998</v>
      </c>
      <c r="AH92" s="76">
        <f>资产资本表!AH58</f>
        <v>245119271.27000001</v>
      </c>
      <c r="AI92" s="76">
        <f>资产资本表!AI58</f>
        <v>187839923.24000001</v>
      </c>
      <c r="AJ92" s="76">
        <f>资产资本表!AJ58</f>
        <v>189448677.13</v>
      </c>
      <c r="AK92" s="76">
        <f>资产资本表!AK58</f>
        <v>191284037.44</v>
      </c>
      <c r="AL92" s="76">
        <f>资产资本表!AL58</f>
        <v>184370732.62</v>
      </c>
      <c r="AM92" s="76">
        <f>资产资本表!AM58</f>
        <v>136064431.22999999</v>
      </c>
      <c r="AN92" s="76">
        <f>资产资本表!AN58</f>
        <v>136761812.59999999</v>
      </c>
      <c r="AO92" s="76">
        <f>资产资本表!AO58</f>
        <v>138149944.88999999</v>
      </c>
      <c r="AP92" s="76">
        <f>资产资本表!AP58</f>
        <v>73941855.129999995</v>
      </c>
      <c r="AQ92" s="76">
        <f>资产资本表!AQ58</f>
        <v>70239537.400000006</v>
      </c>
      <c r="AR92" s="76">
        <f>资产资本表!AR58</f>
        <v>71353172.379999995</v>
      </c>
      <c r="AS92" s="76">
        <f>资产资本表!AS58</f>
        <v>59010940.829999998</v>
      </c>
      <c r="AT92" s="76">
        <f>资产资本表!AT58</f>
        <v>19149323.120000001</v>
      </c>
      <c r="AU92" s="76">
        <f>资产资本表!AU58</f>
        <v>1999252.79</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47.514327552213828</v>
      </c>
      <c r="F93" s="155">
        <f t="shared" ref="F93:BQ93" si="52">F81/F92</f>
        <v>32.992363896748863</v>
      </c>
      <c r="G93" s="155">
        <f t="shared" si="52"/>
        <v>21.103254477393616</v>
      </c>
      <c r="H93" s="155">
        <f t="shared" si="52"/>
        <v>9.4285952364014651</v>
      </c>
      <c r="I93" s="155">
        <f t="shared" si="52"/>
        <v>46.051426917189424</v>
      </c>
      <c r="J93" s="155">
        <f t="shared" si="52"/>
        <v>32.400197473054156</v>
      </c>
      <c r="K93" s="155">
        <f t="shared" si="52"/>
        <v>21.089447416119892</v>
      </c>
      <c r="L93" s="155">
        <f t="shared" si="52"/>
        <v>10.361576858507306</v>
      </c>
      <c r="M93" s="155">
        <f t="shared" si="52"/>
        <v>44.038412105308169</v>
      </c>
      <c r="N93" s="155">
        <f t="shared" si="52"/>
        <v>31.13341661639339</v>
      </c>
      <c r="O93" s="155">
        <f t="shared" si="52"/>
        <v>16.602233507110498</v>
      </c>
      <c r="P93" s="155">
        <f t="shared" si="52"/>
        <v>7.3761931049587295</v>
      </c>
      <c r="Q93" s="155">
        <f t="shared" si="52"/>
        <v>30.647931170157761</v>
      </c>
      <c r="R93" s="155">
        <f t="shared" si="52"/>
        <v>16.387359975004173</v>
      </c>
      <c r="S93" s="155">
        <f t="shared" si="52"/>
        <v>10.253240956505786</v>
      </c>
      <c r="T93" s="155">
        <f t="shared" si="52"/>
        <v>4.5010867178564249</v>
      </c>
      <c r="U93" s="155">
        <f t="shared" si="52"/>
        <v>20.472041609000076</v>
      </c>
      <c r="V93" s="155">
        <f t="shared" si="52"/>
        <v>13.572025006511335</v>
      </c>
      <c r="W93" s="155">
        <f t="shared" si="52"/>
        <v>8.8818899038959689</v>
      </c>
      <c r="X93" s="155">
        <f t="shared" si="52"/>
        <v>4.1166503360555131</v>
      </c>
      <c r="Y93" s="155">
        <f t="shared" si="52"/>
        <v>17.256259258634877</v>
      </c>
      <c r="Z93" s="155">
        <f t="shared" si="52"/>
        <v>12.808174647232207</v>
      </c>
      <c r="AA93" s="155">
        <f t="shared" si="52"/>
        <v>8.6006707929476178</v>
      </c>
      <c r="AB93" s="155">
        <f t="shared" si="52"/>
        <v>4.3274130529036015</v>
      </c>
      <c r="AC93" s="155">
        <f t="shared" si="52"/>
        <v>17.753863644231007</v>
      </c>
      <c r="AD93" s="155">
        <f t="shared" si="52"/>
        <v>13.634186790415146</v>
      </c>
      <c r="AE93" s="155">
        <f t="shared" si="52"/>
        <v>9.254912243650649</v>
      </c>
      <c r="AF93" s="155">
        <f t="shared" si="52"/>
        <v>4.3744052299751024</v>
      </c>
      <c r="AG93" s="155">
        <f t="shared" si="52"/>
        <v>19.046804516535598</v>
      </c>
      <c r="AH93" s="155">
        <f t="shared" si="52"/>
        <v>16.313355729853626</v>
      </c>
      <c r="AI93" s="155">
        <f t="shared" si="52"/>
        <v>12.81722823168888</v>
      </c>
      <c r="AJ93" s="155">
        <f t="shared" si="52"/>
        <v>4.4671681014656448</v>
      </c>
      <c r="AK93" s="155">
        <f t="shared" si="52"/>
        <v>24.23843022554512</v>
      </c>
      <c r="AL93" s="155">
        <f t="shared" si="52"/>
        <v>18.248207305572294</v>
      </c>
      <c r="AM93" s="155">
        <f t="shared" si="52"/>
        <v>16.030068596054207</v>
      </c>
      <c r="AN93" s="155">
        <f t="shared" si="52"/>
        <v>7.0438297223182609</v>
      </c>
      <c r="AO93" s="155">
        <f t="shared" si="52"/>
        <v>31.295305828188955</v>
      </c>
      <c r="AP93" s="155">
        <f t="shared" si="52"/>
        <v>36.981706195122889</v>
      </c>
      <c r="AQ93" s="155">
        <f t="shared" si="52"/>
        <v>22.979242564886253</v>
      </c>
      <c r="AR93" s="155">
        <f t="shared" si="52"/>
        <v>9.8349426209492385</v>
      </c>
      <c r="AS93" s="155">
        <f t="shared" si="52"/>
        <v>32.92279961908887</v>
      </c>
      <c r="AT93" s="155">
        <f t="shared" si="52"/>
        <v>62.55311467322506</v>
      </c>
      <c r="AU93" s="155">
        <f t="shared" si="52"/>
        <v>350.95072932222843</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406875</v>
      </c>
      <c r="F96" s="76">
        <f>资产资本表!F61</f>
        <v>1460799.27</v>
      </c>
      <c r="G96" s="76">
        <f>资产资本表!G61</f>
        <v>677858.44</v>
      </c>
      <c r="H96" s="76">
        <f>资产资本表!H61</f>
        <v>1978666.79</v>
      </c>
      <c r="I96" s="76">
        <f>资产资本表!I61</f>
        <v>2225008.9</v>
      </c>
      <c r="J96" s="76">
        <f>资产资本表!J61</f>
        <v>4148721.77</v>
      </c>
      <c r="K96" s="76">
        <f>资产资本表!K61</f>
        <v>3772159.36</v>
      </c>
      <c r="L96" s="76">
        <f>资产资本表!L61</f>
        <v>5074051.6399999997</v>
      </c>
      <c r="M96" s="76">
        <f>资产资本表!M61</f>
        <v>5319309.82</v>
      </c>
      <c r="N96" s="76">
        <f>资产资本表!N61</f>
        <v>7245732.6200000001</v>
      </c>
      <c r="O96" s="76">
        <f>资产资本表!O61</f>
        <v>7074637.1100000003</v>
      </c>
      <c r="P96" s="76">
        <f>资产资本表!P61</f>
        <v>8168352.5999999996</v>
      </c>
      <c r="Q96" s="76">
        <f>资产资本表!Q61</f>
        <v>8413610.8900000006</v>
      </c>
      <c r="R96" s="76">
        <f>资产资本表!R61</f>
        <v>517125</v>
      </c>
      <c r="S96" s="76">
        <f>资产资本表!S61</f>
        <v>517125</v>
      </c>
      <c r="T96" s="76">
        <f>资产资本表!T61</f>
        <v>532875</v>
      </c>
      <c r="U96" s="76">
        <f>资产资本表!U61</f>
        <v>532875</v>
      </c>
      <c r="V96" s="76">
        <f>资产资本表!V61</f>
        <v>564375</v>
      </c>
      <c r="W96" s="76">
        <f>资产资本表!W61</f>
        <v>564375</v>
      </c>
      <c r="X96" s="76">
        <f>资产资本表!X61</f>
        <v>564375</v>
      </c>
      <c r="Y96" s="76">
        <f>资产资本表!Y61</f>
        <v>564375</v>
      </c>
      <c r="Z96" s="76">
        <f>资产资本表!Z61</f>
        <v>595875</v>
      </c>
      <c r="AA96" s="76">
        <f>资产资本表!AA61</f>
        <v>595875</v>
      </c>
      <c r="AB96" s="76">
        <f>资产资本表!AB61</f>
        <v>595875</v>
      </c>
      <c r="AC96" s="76">
        <f>资产资本表!AC61</f>
        <v>595875</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5555.56</v>
      </c>
      <c r="AQ96" s="76">
        <f>资产资本表!AQ61</f>
        <v>0</v>
      </c>
      <c r="AR96" s="76">
        <f>资产资本表!AR61</f>
        <v>0</v>
      </c>
      <c r="AS96" s="76">
        <f>资产资本表!AS61</f>
        <v>0</v>
      </c>
      <c r="AT96" s="76">
        <f>资产资本表!AT61</f>
        <v>304510.38</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76839192.569999993</v>
      </c>
      <c r="F97" s="76">
        <f>资产资本表!F62</f>
        <v>50502761.450000003</v>
      </c>
      <c r="G97" s="76">
        <f>资产资本表!G62</f>
        <v>38927528.710000001</v>
      </c>
      <c r="H97" s="76">
        <f>资产资本表!H62</f>
        <v>41166324.100000001</v>
      </c>
      <c r="I97" s="76">
        <f>资产资本表!I62</f>
        <v>66816032.75</v>
      </c>
      <c r="J97" s="76">
        <f>资产资本表!J62</f>
        <v>42801393.899999999</v>
      </c>
      <c r="K97" s="76">
        <f>资产资本表!K62</f>
        <v>35912697.950000003</v>
      </c>
      <c r="L97" s="76">
        <f>资产资本表!L62</f>
        <v>46834528.240000002</v>
      </c>
      <c r="M97" s="76">
        <f>资产资本表!M62</f>
        <v>72662625.569999993</v>
      </c>
      <c r="N97" s="76">
        <f>资产资本表!N62</f>
        <v>38079607.969999999</v>
      </c>
      <c r="O97" s="76">
        <f>资产资本表!O62</f>
        <v>33593487.509999998</v>
      </c>
      <c r="P97" s="76">
        <f>资产资本表!P62</f>
        <v>27789627.079999998</v>
      </c>
      <c r="Q97" s="76">
        <f>资产资本表!Q62</f>
        <v>45712194.5</v>
      </c>
      <c r="R97" s="76">
        <f>资产资本表!R62</f>
        <v>32535407.620000001</v>
      </c>
      <c r="S97" s="76">
        <f>资产资本表!S62</f>
        <v>36667422.359999999</v>
      </c>
      <c r="T97" s="76">
        <f>资产资本表!T62</f>
        <v>43682005.840000004</v>
      </c>
      <c r="U97" s="76">
        <f>资产资本表!U62</f>
        <v>46081471.210000001</v>
      </c>
      <c r="V97" s="76">
        <f>资产资本表!V62</f>
        <v>30226160.449999999</v>
      </c>
      <c r="W97" s="76">
        <f>资产资本表!W62</f>
        <v>25855054.07</v>
      </c>
      <c r="X97" s="76">
        <f>资产资本表!X62</f>
        <v>15189511.15</v>
      </c>
      <c r="Y97" s="76">
        <f>资产资本表!Y62</f>
        <v>29511913.489999998</v>
      </c>
      <c r="Z97" s="76">
        <f>资产资本表!Z62</f>
        <v>13486569.16</v>
      </c>
      <c r="AA97" s="76">
        <f>资产资本表!AA62</f>
        <v>16870162.149999999</v>
      </c>
      <c r="AB97" s="76">
        <f>资产资本表!AB62</f>
        <v>16724075.609999999</v>
      </c>
      <c r="AC97" s="76">
        <f>资产资本表!AC62</f>
        <v>26877884.52</v>
      </c>
      <c r="AD97" s="76">
        <f>资产资本表!AD62</f>
        <v>24958815.390000001</v>
      </c>
      <c r="AE97" s="76">
        <f>资产资本表!AE62</f>
        <v>24800499.989999998</v>
      </c>
      <c r="AF97" s="76">
        <f>资产资本表!AF62</f>
        <v>36503554.770000003</v>
      </c>
      <c r="AG97" s="76">
        <f>资产资本表!AG62</f>
        <v>42983709.210000001</v>
      </c>
      <c r="AH97" s="76">
        <f>资产资本表!AH62</f>
        <v>47905029.18</v>
      </c>
      <c r="AI97" s="76">
        <f>资产资本表!AI62</f>
        <v>37304091.289999999</v>
      </c>
      <c r="AJ97" s="76">
        <f>资产资本表!AJ62</f>
        <v>34797941.079999998</v>
      </c>
      <c r="AK97" s="76">
        <f>资产资本表!AK62</f>
        <v>46273628.060000002</v>
      </c>
      <c r="AL97" s="76">
        <f>资产资本表!AL62</f>
        <v>7382707.6699999999</v>
      </c>
      <c r="AM97" s="76">
        <f>资产资本表!AM62</f>
        <v>11219369.609999999</v>
      </c>
      <c r="AN97" s="76">
        <f>资产资本表!AN62</f>
        <v>4301269.5</v>
      </c>
      <c r="AO97" s="76">
        <f>资产资本表!AO62</f>
        <v>11565731.4</v>
      </c>
      <c r="AP97" s="76">
        <f>资产资本表!AP62</f>
        <v>871158.25</v>
      </c>
      <c r="AQ97" s="76">
        <f>资产资本表!AQ62</f>
        <v>1273248.46</v>
      </c>
      <c r="AR97" s="76">
        <f>资产资本表!AR62</f>
        <v>1094815.3500000001</v>
      </c>
      <c r="AS97" s="76">
        <f>资产资本表!AS62</f>
        <v>1127905.47</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821521.55</v>
      </c>
      <c r="F98" s="76">
        <f>资产资本表!F63</f>
        <v>1717522.62</v>
      </c>
      <c r="G98" s="76">
        <f>资产资本表!G63</f>
        <v>1174831.28</v>
      </c>
      <c r="H98" s="76">
        <f>资产资本表!H63</f>
        <v>1643364.18</v>
      </c>
      <c r="I98" s="76">
        <f>资产资本表!I63</f>
        <v>1901218.3</v>
      </c>
      <c r="J98" s="76">
        <f>资产资本表!J63</f>
        <v>676937.05</v>
      </c>
      <c r="K98" s="76">
        <f>资产资本表!K63</f>
        <v>402221.72</v>
      </c>
      <c r="L98" s="76">
        <f>资产资本表!L63</f>
        <v>1583893.9</v>
      </c>
      <c r="M98" s="76">
        <f>资产资本表!M63</f>
        <v>2363217.44</v>
      </c>
      <c r="N98" s="76">
        <f>资产资本表!N63</f>
        <v>2994770.97</v>
      </c>
      <c r="O98" s="76">
        <f>资产资本表!O63</f>
        <v>3643325.03</v>
      </c>
      <c r="P98" s="76">
        <f>资产资本表!P63</f>
        <v>3407974.94</v>
      </c>
      <c r="Q98" s="76">
        <f>资产资本表!Q63</f>
        <v>1784517.17</v>
      </c>
      <c r="R98" s="76">
        <f>资产资本表!R63</f>
        <v>4323041.75</v>
      </c>
      <c r="S98" s="76">
        <f>资产资本表!S63</f>
        <v>2797093.92</v>
      </c>
      <c r="T98" s="76">
        <f>资产资本表!T63</f>
        <v>1533619.61</v>
      </c>
      <c r="U98" s="76">
        <f>资产资本表!U63</f>
        <v>834321.55</v>
      </c>
      <c r="V98" s="76">
        <f>资产资本表!V63</f>
        <v>1334195.01</v>
      </c>
      <c r="W98" s="76">
        <f>资产资本表!W63</f>
        <v>1262842.07</v>
      </c>
      <c r="X98" s="76">
        <f>资产资本表!X63</f>
        <v>1177530.25</v>
      </c>
      <c r="Y98" s="76">
        <f>资产资本表!Y63</f>
        <v>925662.45</v>
      </c>
      <c r="Z98" s="76">
        <f>资产资本表!Z63</f>
        <v>1133978.74</v>
      </c>
      <c r="AA98" s="76">
        <f>资产资本表!AA63</f>
        <v>707053.36</v>
      </c>
      <c r="AB98" s="76">
        <f>资产资本表!AB63</f>
        <v>967877.98</v>
      </c>
      <c r="AC98" s="76">
        <f>资产资本表!AC63</f>
        <v>982653.74</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51000</v>
      </c>
      <c r="AO98" s="76">
        <f>资产资本表!AO63</f>
        <v>32328.77</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4950000</v>
      </c>
      <c r="S99" s="93">
        <f>资产资本表!S64</f>
        <v>4950000</v>
      </c>
      <c r="T99" s="93">
        <f>资产资本表!T64</f>
        <v>4950000</v>
      </c>
      <c r="U99" s="93">
        <f>资产资本表!U64</f>
        <v>4950000</v>
      </c>
      <c r="V99" s="93">
        <f>资产资本表!V64</f>
        <v>100300000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650713721.32999992</v>
      </c>
      <c r="F100" s="197">
        <f t="shared" ref="F100:BQ100" si="54">(F84+J84)/2</f>
        <v>654826072.51499999</v>
      </c>
      <c r="G100" s="197">
        <f t="shared" si="54"/>
        <v>658440333.39999998</v>
      </c>
      <c r="H100" s="197">
        <f t="shared" si="54"/>
        <v>672025897.00999999</v>
      </c>
      <c r="I100" s="197">
        <f t="shared" si="54"/>
        <v>683508226.79500008</v>
      </c>
      <c r="J100" s="197">
        <f t="shared" si="54"/>
        <v>689268273.65999997</v>
      </c>
      <c r="K100" s="197">
        <f t="shared" si="54"/>
        <v>727211552.06500006</v>
      </c>
      <c r="L100" s="197">
        <f t="shared" si="54"/>
        <v>739734578.09000003</v>
      </c>
      <c r="M100" s="197">
        <f t="shared" si="54"/>
        <v>752072842.44000006</v>
      </c>
      <c r="N100" s="197">
        <f t="shared" si="54"/>
        <v>870198056.01999998</v>
      </c>
      <c r="O100" s="197">
        <f t="shared" si="54"/>
        <v>910182412.18499994</v>
      </c>
      <c r="P100" s="197">
        <f t="shared" si="54"/>
        <v>677804783.0250001</v>
      </c>
      <c r="Q100" s="197">
        <f t="shared" si="54"/>
        <v>686866754.82500005</v>
      </c>
      <c r="R100" s="197">
        <f t="shared" si="54"/>
        <v>798759185.49000001</v>
      </c>
      <c r="S100" s="197">
        <f t="shared" si="54"/>
        <v>807844526.98500001</v>
      </c>
      <c r="T100" s="197">
        <f t="shared" si="54"/>
        <v>570054702.68499994</v>
      </c>
      <c r="U100" s="197">
        <f t="shared" si="54"/>
        <v>578329103.71499991</v>
      </c>
      <c r="V100" s="197">
        <f t="shared" si="54"/>
        <v>551755070.80999994</v>
      </c>
      <c r="W100" s="197">
        <f t="shared" si="54"/>
        <v>559105189.87</v>
      </c>
      <c r="X100" s="197">
        <f t="shared" si="54"/>
        <v>567110439.1099999</v>
      </c>
      <c r="Y100" s="197">
        <f t="shared" si="54"/>
        <v>575126343.04499996</v>
      </c>
      <c r="Z100" s="197">
        <f t="shared" si="54"/>
        <v>507542373.94</v>
      </c>
      <c r="AA100" s="197">
        <f t="shared" si="54"/>
        <v>511947043.58999997</v>
      </c>
      <c r="AB100" s="197">
        <f t="shared" si="54"/>
        <v>511846166.04999995</v>
      </c>
      <c r="AC100" s="197">
        <f t="shared" si="54"/>
        <v>519066810.89499998</v>
      </c>
      <c r="AD100" s="197">
        <f t="shared" si="54"/>
        <v>474915348.995</v>
      </c>
      <c r="AE100" s="197">
        <f t="shared" si="54"/>
        <v>478290689.78999996</v>
      </c>
      <c r="AF100" s="197">
        <f t="shared" si="54"/>
        <v>479236572.73000002</v>
      </c>
      <c r="AG100" s="197">
        <f t="shared" si="54"/>
        <v>486827906.21000004</v>
      </c>
      <c r="AH100" s="197">
        <f t="shared" si="54"/>
        <v>435161415.04499996</v>
      </c>
      <c r="AI100" s="197">
        <f t="shared" si="54"/>
        <v>431225287.91499996</v>
      </c>
      <c r="AJ100" s="197">
        <f t="shared" si="54"/>
        <v>365025104.80500001</v>
      </c>
      <c r="AK100" s="197">
        <f t="shared" si="54"/>
        <v>357145291.125</v>
      </c>
      <c r="AL100" s="197">
        <f t="shared" si="54"/>
        <v>279512348.95499998</v>
      </c>
      <c r="AM100" s="197">
        <f t="shared" si="54"/>
        <v>254389946.27500001</v>
      </c>
      <c r="AN100" s="197">
        <f t="shared" si="54"/>
        <v>178895899.30500001</v>
      </c>
      <c r="AO100" s="197">
        <f t="shared" si="54"/>
        <v>167303143.36500001</v>
      </c>
      <c r="AP100" s="197">
        <f t="shared" si="54"/>
        <v>126637568.29499999</v>
      </c>
      <c r="AQ100" s="197">
        <f t="shared" si="54"/>
        <v>65916965.130000003</v>
      </c>
      <c r="AR100" s="197">
        <f t="shared" si="54"/>
        <v>58208034.640000001</v>
      </c>
      <c r="AS100" s="197">
        <f t="shared" si="54"/>
        <v>57899156.32</v>
      </c>
      <c r="AT100" s="197">
        <f t="shared" si="54"/>
        <v>44608125.634999998</v>
      </c>
      <c r="AU100" s="197">
        <f t="shared" si="54"/>
        <v>1919231.36</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1.0309330722947245</v>
      </c>
      <c r="F101" s="252">
        <f t="shared" ref="F101:BQ101" si="56">F100/F84</f>
        <v>1.0281580674364228</v>
      </c>
      <c r="G101" s="252">
        <f t="shared" si="56"/>
        <v>1.0346899720462421</v>
      </c>
      <c r="H101" s="252">
        <f t="shared" si="56"/>
        <v>1.017588902374702</v>
      </c>
      <c r="I101" s="252">
        <f t="shared" si="56"/>
        <v>1.0197987589237247</v>
      </c>
      <c r="J101" s="252">
        <f t="shared" si="56"/>
        <v>1.0245385400523108</v>
      </c>
      <c r="K101" s="252">
        <f t="shared" si="56"/>
        <v>1.068618155233793</v>
      </c>
      <c r="L101" s="252">
        <f t="shared" si="56"/>
        <v>1.0820499787847813</v>
      </c>
      <c r="M101" s="252">
        <f t="shared" si="56"/>
        <v>1.0793577284088809</v>
      </c>
      <c r="N101" s="252">
        <f t="shared" si="56"/>
        <v>1.2329649220092902</v>
      </c>
      <c r="O101" s="252">
        <f t="shared" si="56"/>
        <v>1.1760871385022489</v>
      </c>
      <c r="P101" s="252">
        <f t="shared" si="56"/>
        <v>0.85169825377912989</v>
      </c>
      <c r="Q101" s="252">
        <f t="shared" si="56"/>
        <v>0.85074850623665288</v>
      </c>
      <c r="R101" s="252">
        <f t="shared" si="56"/>
        <v>0.77203198123126449</v>
      </c>
      <c r="S101" s="252">
        <f t="shared" si="56"/>
        <v>0.77198023023376061</v>
      </c>
      <c r="T101" s="252">
        <f t="shared" si="56"/>
        <v>1.0183509027686495</v>
      </c>
      <c r="U101" s="252">
        <f t="shared" si="56"/>
        <v>1.0211226770961341</v>
      </c>
      <c r="V101" s="252">
        <f t="shared" si="56"/>
        <v>0.98020248401501786</v>
      </c>
      <c r="W101" s="252">
        <f t="shared" si="56"/>
        <v>0.98221052230818506</v>
      </c>
      <c r="X101" s="252">
        <f t="shared" si="56"/>
        <v>0.97722531025144765</v>
      </c>
      <c r="Y101" s="252">
        <f t="shared" si="56"/>
        <v>0.97430776867195501</v>
      </c>
      <c r="Z101" s="252">
        <f t="shared" si="56"/>
        <v>0.93883089813597165</v>
      </c>
      <c r="AA101" s="252">
        <f t="shared" si="56"/>
        <v>0.93254418770045144</v>
      </c>
      <c r="AB101" s="252">
        <f t="shared" si="56"/>
        <v>0.9240874135575321</v>
      </c>
      <c r="AC101" s="252">
        <f t="shared" si="56"/>
        <v>0.92697054049751815</v>
      </c>
      <c r="AD101" s="252">
        <f t="shared" si="56"/>
        <v>1.0009308598625404</v>
      </c>
      <c r="AE101" s="252">
        <f t="shared" si="56"/>
        <v>1.0071075021932088</v>
      </c>
      <c r="AF101" s="252">
        <f t="shared" si="56"/>
        <v>1.0200892600373479</v>
      </c>
      <c r="AG101" s="252">
        <f t="shared" si="56"/>
        <v>1.0180995126303527</v>
      </c>
      <c r="AH101" s="252">
        <f t="shared" si="56"/>
        <v>0.91544123474520911</v>
      </c>
      <c r="AI101" s="252">
        <f t="shared" si="56"/>
        <v>0.89527837316546266</v>
      </c>
      <c r="AJ101" s="252">
        <f t="shared" si="56"/>
        <v>0.74696985321567944</v>
      </c>
      <c r="AK101" s="252">
        <f t="shared" si="56"/>
        <v>0.72080288034988205</v>
      </c>
      <c r="AL101" s="252">
        <f t="shared" si="56"/>
        <v>0.70768745052157678</v>
      </c>
      <c r="AM101" s="252">
        <f t="shared" si="56"/>
        <v>0.66806814976300388</v>
      </c>
      <c r="AN101" s="252">
        <f t="shared" si="56"/>
        <v>0.74115114970992013</v>
      </c>
      <c r="AO101" s="252">
        <f t="shared" si="56"/>
        <v>0.76461172889514961</v>
      </c>
      <c r="AP101" s="252">
        <f t="shared" si="56"/>
        <v>0.7719031373886942</v>
      </c>
      <c r="AQ101" s="252">
        <f t="shared" si="56"/>
        <v>0.51499452595382111</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7" t="s">
        <v>690</v>
      </c>
      <c r="B102" s="288"/>
      <c r="C102" s="288"/>
      <c r="D102" s="288"/>
      <c r="E102" s="288"/>
      <c r="F102" s="288"/>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9" workbookViewId="0">
      <selection activeCell="E25" sqref="E25"/>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8" width="20.2187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9" hidden="1" customWidth="1"/>
    <col min="45" max="45" width="19.33203125" bestFit="1" customWidth="1"/>
    <col min="46" max="46" width="19.33203125" hidden="1" customWidth="1"/>
    <col min="47" max="47" width="19" hidden="1" customWidth="1"/>
    <col min="48" max="48" width="17.77734375" hidden="1" customWidth="1"/>
    <col min="49" max="49" width="19.33203125" bestFit="1" customWidth="1"/>
    <col min="50" max="50" width="17.218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7988666228.1000004</v>
      </c>
      <c r="F2" s="26">
        <f>现金流量表!F4</f>
        <v>5835875940.4200001</v>
      </c>
      <c r="G2" s="26">
        <f>现金流量表!G4</f>
        <v>3847459832.8299999</v>
      </c>
      <c r="H2" s="26">
        <f>现金流量表!H4</f>
        <v>1925184985.0899999</v>
      </c>
      <c r="I2" s="26">
        <f>现金流量表!I4</f>
        <v>8467791735.7700005</v>
      </c>
      <c r="J2" s="26">
        <f>现金流量表!J4</f>
        <v>5771513281.6000004</v>
      </c>
      <c r="K2" s="26">
        <f>现金流量表!K4</f>
        <v>3817087283.1500001</v>
      </c>
      <c r="L2" s="26">
        <f>现金流量表!L4</f>
        <v>2004402983.9300001</v>
      </c>
      <c r="M2" s="26">
        <f>现金流量表!M4</f>
        <v>8120285427.5500002</v>
      </c>
      <c r="N2" s="26">
        <f>现金流量表!N4</f>
        <v>6055835193.7299995</v>
      </c>
      <c r="O2" s="26">
        <f>现金流量表!O4</f>
        <v>4166324890.6300001</v>
      </c>
      <c r="P2" s="26">
        <f>现金流量表!P4</f>
        <v>1921069874.3499999</v>
      </c>
      <c r="Q2" s="26">
        <f>现金流量表!Q4</f>
        <v>6792522650.3100004</v>
      </c>
      <c r="R2" s="26">
        <f>现金流量表!R4</f>
        <v>4972881913.8100004</v>
      </c>
      <c r="S2" s="26">
        <f>现金流量表!S4</f>
        <v>3509997722.8499999</v>
      </c>
      <c r="T2" s="26">
        <f>现金流量表!T4</f>
        <v>1576301146.3</v>
      </c>
      <c r="U2" s="26">
        <f>现金流量表!U4</f>
        <v>5785249174.8400002</v>
      </c>
      <c r="V2" s="26">
        <f>现金流量表!V4</f>
        <v>4314433028.7399998</v>
      </c>
      <c r="W2" s="26">
        <f>现金流量表!W4</f>
        <v>2962077122.0100002</v>
      </c>
      <c r="X2" s="26">
        <f>现金流量表!X4</f>
        <v>1520179487.78</v>
      </c>
      <c r="Y2" s="26">
        <f>现金流量表!Y4</f>
        <v>5490340680.8199997</v>
      </c>
      <c r="Z2" s="26">
        <f>现金流量表!Z4</f>
        <v>3991375107.2399998</v>
      </c>
      <c r="AA2" s="26">
        <f>现金流量表!AA4</f>
        <v>2730843307.04</v>
      </c>
      <c r="AB2" s="26">
        <f>现金流量表!AB4</f>
        <v>1393965666.95</v>
      </c>
      <c r="AC2" s="26">
        <f>现金流量表!AC4</f>
        <v>6061540066.6599998</v>
      </c>
      <c r="AD2" s="26">
        <f>现金流量表!AD4</f>
        <v>4569448323.6300001</v>
      </c>
      <c r="AE2" s="26">
        <f>现金流量表!AE4</f>
        <v>3046478376.1799998</v>
      </c>
      <c r="AF2" s="26">
        <f>现金流量表!AF4</f>
        <v>1480931881.98</v>
      </c>
      <c r="AG2" s="26">
        <f>现金流量表!AG4</f>
        <v>6070531713.5100002</v>
      </c>
      <c r="AH2" s="26">
        <f>现金流量表!AH4</f>
        <v>4169073947</v>
      </c>
      <c r="AI2" s="26">
        <f>现金流量表!AI4</f>
        <v>2435196819.1999998</v>
      </c>
      <c r="AJ2" s="26">
        <f>现金流量表!AJ4</f>
        <v>1110378481.29</v>
      </c>
      <c r="AK2" s="26">
        <f>现金流量表!AK4</f>
        <v>5598571524.79</v>
      </c>
      <c r="AL2" s="26">
        <f>现金流量表!AL4</f>
        <v>3958587969.5700002</v>
      </c>
      <c r="AM2" s="26">
        <f>现金流量表!AM4</f>
        <v>2861790301.21</v>
      </c>
      <c r="AN2" s="26">
        <f>现金流量表!AN4</f>
        <v>1455975280.79</v>
      </c>
      <c r="AO2" s="26">
        <f>现金流量表!AO4</f>
        <v>5384110967.4799995</v>
      </c>
      <c r="AP2" s="26">
        <f>现金流量表!AP4</f>
        <v>3081389305.8200002</v>
      </c>
      <c r="AQ2" s="26">
        <f>现金流量表!AQ4</f>
        <v>1636788669.97</v>
      </c>
      <c r="AR2" s="26">
        <f>现金流量表!AR4</f>
        <v>717342915.23000002</v>
      </c>
      <c r="AS2" s="26">
        <f>现金流量表!AS4</f>
        <v>1938669170.27</v>
      </c>
      <c r="AT2" s="26">
        <f>现金流量表!AT4</f>
        <v>1314088205.6800001</v>
      </c>
      <c r="AU2" s="26">
        <f>现金流量表!AU4</f>
        <v>917752310.38</v>
      </c>
      <c r="AV2" s="26">
        <f>现金流量表!AV4</f>
        <v>327870995.81</v>
      </c>
      <c r="AW2" s="26">
        <f>现金流量表!AW4</f>
        <v>1077005229.3599999</v>
      </c>
      <c r="AX2" s="26">
        <f>现金流量表!AX4</f>
        <v>832286359.14999998</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7247524855.71</v>
      </c>
      <c r="F3" s="26">
        <f>利润表!F3</f>
        <v>5065883183.1800003</v>
      </c>
      <c r="G3" s="26">
        <f>利润表!G3</f>
        <v>3268813950.4499998</v>
      </c>
      <c r="H3" s="26">
        <f>利润表!H3</f>
        <v>1485448286.03</v>
      </c>
      <c r="I3" s="26">
        <f>利润表!I3</f>
        <v>7314804589.3299999</v>
      </c>
      <c r="J3" s="26">
        <f>利润表!J3</f>
        <v>5034289662.0600004</v>
      </c>
      <c r="K3" s="26">
        <f>利润表!K3</f>
        <v>3310004420.3299999</v>
      </c>
      <c r="L3" s="26">
        <f>利润表!L3</f>
        <v>1642780841.9100001</v>
      </c>
      <c r="M3" s="26">
        <f>利润表!M3</f>
        <v>7060089115.1000004</v>
      </c>
      <c r="N3" s="26">
        <f>利润表!N3</f>
        <v>5015787441.9099998</v>
      </c>
      <c r="O3" s="26">
        <f>利润表!O3</f>
        <v>3166625456.5</v>
      </c>
      <c r="P3" s="26">
        <f>利润表!P3</f>
        <v>1416951061.4000001</v>
      </c>
      <c r="Q3" s="26">
        <f>利润表!Q3</f>
        <v>5943513348.3800001</v>
      </c>
      <c r="R3" s="26">
        <f>利润表!R3</f>
        <v>4174603890.3899999</v>
      </c>
      <c r="S3" s="26">
        <f>利润表!S3</f>
        <v>2634286922.3299999</v>
      </c>
      <c r="T3" s="26">
        <f>利润表!T3</f>
        <v>1162870526.8900001</v>
      </c>
      <c r="U3" s="26">
        <f>利润表!U3</f>
        <v>5328121623.6099997</v>
      </c>
      <c r="V3" s="26">
        <f>利润表!V3</f>
        <v>3762579364.75</v>
      </c>
      <c r="W3" s="26">
        <f>利润表!W3</f>
        <v>2487358094.9200001</v>
      </c>
      <c r="X3" s="26">
        <f>利润表!X3</f>
        <v>1165556678.8900001</v>
      </c>
      <c r="Y3" s="26">
        <f>利润表!Y3</f>
        <v>4941836029.1599998</v>
      </c>
      <c r="Z3" s="26">
        <f>利润表!Z3</f>
        <v>3677657774.5300002</v>
      </c>
      <c r="AA3" s="26">
        <f>利润表!AA3</f>
        <v>2479065462.6300001</v>
      </c>
      <c r="AB3" s="26">
        <f>利润表!AB3</f>
        <v>1256355671.4000001</v>
      </c>
      <c r="AC3" s="26">
        <f>利润表!AC3</f>
        <v>5199331120.79</v>
      </c>
      <c r="AD3" s="26">
        <f>利润表!AD3</f>
        <v>4006626750.1300001</v>
      </c>
      <c r="AE3" s="26">
        <f>利润表!AE3</f>
        <v>2596159695.6900001</v>
      </c>
      <c r="AF3" s="26">
        <f>利润表!AF3</f>
        <v>1224631597.8399999</v>
      </c>
      <c r="AG3" s="26">
        <f>利润表!AG3</f>
        <v>5346505242.0600004</v>
      </c>
      <c r="AH3" s="26">
        <f>利润表!AH3</f>
        <v>3998717868.4699998</v>
      </c>
      <c r="AI3" s="26">
        <f>利润表!AI3</f>
        <v>2407587167.1900001</v>
      </c>
      <c r="AJ3" s="26">
        <f>利润表!AJ3</f>
        <v>846299087.34000003</v>
      </c>
      <c r="AK3" s="26">
        <f>利润表!AK3</f>
        <v>4636424794.75</v>
      </c>
      <c r="AL3" s="26">
        <f>利润表!AL3</f>
        <v>3364435349.9299998</v>
      </c>
      <c r="AM3" s="26">
        <f>利润表!AM3</f>
        <v>2181122166.0999999</v>
      </c>
      <c r="AN3" s="26">
        <f>利润表!AN3</f>
        <v>963326920.47000003</v>
      </c>
      <c r="AO3" s="26">
        <f>利润表!AO3</f>
        <v>4323444775.4799995</v>
      </c>
      <c r="AP3" s="26">
        <f>利润表!AP3</f>
        <v>2734495961.9400001</v>
      </c>
      <c r="AQ3" s="26">
        <f>利润表!AQ3</f>
        <v>1614051367.5599999</v>
      </c>
      <c r="AR3" s="26">
        <f>利润表!AR3</f>
        <v>701754356.17999995</v>
      </c>
      <c r="AS3" s="26">
        <f>利润表!AS3</f>
        <v>1942805380.28</v>
      </c>
      <c r="AT3" s="26">
        <f>利润表!AT3</f>
        <v>1197849805.04</v>
      </c>
      <c r="AU3" s="26">
        <f>利润表!AU3</f>
        <v>701639224.75</v>
      </c>
      <c r="AV3" s="26">
        <f>利润表!AV3</f>
        <v>328138362.51999998</v>
      </c>
      <c r="AW3" s="26">
        <f>利润表!AW3</f>
        <v>933814768.39999998</v>
      </c>
      <c r="AX3" s="26">
        <f>利润表!AX3</f>
        <v>750377431.16999996</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0.94210368215536522</v>
      </c>
      <c r="F5" s="28">
        <f t="shared" ref="F5:BQ5" si="2">(F2/(1+F4))/F3</f>
        <v>0.98461175945910051</v>
      </c>
      <c r="G5" s="28">
        <f t="shared" si="2"/>
        <v>1.0060001142292936</v>
      </c>
      <c r="H5" s="28">
        <f t="shared" si="2"/>
        <v>1.107717628199171</v>
      </c>
      <c r="I5" s="28">
        <f t="shared" si="2"/>
        <v>0.98942203385017113</v>
      </c>
      <c r="J5" s="28">
        <f t="shared" si="2"/>
        <v>0.97986362840360197</v>
      </c>
      <c r="K5" s="28">
        <f t="shared" si="2"/>
        <v>0.98563849139839155</v>
      </c>
      <c r="L5" s="28">
        <f t="shared" si="2"/>
        <v>1.0428444865098874</v>
      </c>
      <c r="M5" s="28">
        <f t="shared" si="2"/>
        <v>0.98304919133355384</v>
      </c>
      <c r="N5" s="28">
        <f t="shared" si="2"/>
        <v>1.0319272050407235</v>
      </c>
      <c r="O5" s="28">
        <f t="shared" si="2"/>
        <v>1.1245287748424651</v>
      </c>
      <c r="P5" s="28">
        <f t="shared" si="2"/>
        <v>1.1587838904786951</v>
      </c>
      <c r="Q5" s="28">
        <f t="shared" si="2"/>
        <v>0.97679176852143768</v>
      </c>
      <c r="R5" s="28">
        <f t="shared" si="2"/>
        <v>1.0181388542860663</v>
      </c>
      <c r="S5" s="28">
        <f t="shared" si="2"/>
        <v>1.138827372329086</v>
      </c>
      <c r="T5" s="28">
        <f t="shared" si="2"/>
        <v>1.1585691664330826</v>
      </c>
      <c r="U5" s="28">
        <f t="shared" si="2"/>
        <v>0.92803013213556751</v>
      </c>
      <c r="V5" s="28">
        <f t="shared" si="2"/>
        <v>0.98005895417403099</v>
      </c>
      <c r="W5" s="28">
        <f t="shared" si="2"/>
        <v>1.0178228269754706</v>
      </c>
      <c r="X5" s="28">
        <f t="shared" si="2"/>
        <v>1.1147451951814482</v>
      </c>
      <c r="Y5" s="28">
        <f t="shared" si="2"/>
        <v>0.94956587891754918</v>
      </c>
      <c r="Z5" s="28">
        <f t="shared" si="2"/>
        <v>0.92760988779759967</v>
      </c>
      <c r="AA5" s="28">
        <f t="shared" si="2"/>
        <v>0.94150563741267113</v>
      </c>
      <c r="AB5" s="28">
        <f t="shared" si="2"/>
        <v>0.94831716375201924</v>
      </c>
      <c r="AC5" s="28">
        <f t="shared" si="2"/>
        <v>0.99643653297283996</v>
      </c>
      <c r="AD5" s="28">
        <f t="shared" si="2"/>
        <v>0.97476296927115302</v>
      </c>
      <c r="AE5" s="28">
        <f t="shared" si="2"/>
        <v>1.0029535842003279</v>
      </c>
      <c r="AF5" s="28">
        <f t="shared" si="2"/>
        <v>1.0335791984418681</v>
      </c>
      <c r="AG5" s="28">
        <f t="shared" si="2"/>
        <v>0.97044488111761851</v>
      </c>
      <c r="AH5" s="28">
        <f t="shared" si="2"/>
        <v>0.89111339759895825</v>
      </c>
      <c r="AI5" s="28">
        <f t="shared" si="2"/>
        <v>0.86450236614456388</v>
      </c>
      <c r="AJ5" s="28">
        <f t="shared" si="2"/>
        <v>1.1214019383890974</v>
      </c>
      <c r="AK5" s="28">
        <f t="shared" si="2"/>
        <v>1.0320676122602561</v>
      </c>
      <c r="AL5" s="28">
        <f t="shared" si="2"/>
        <v>1.0056393329330569</v>
      </c>
      <c r="AM5" s="28">
        <f t="shared" si="2"/>
        <v>1.1214294432633174</v>
      </c>
      <c r="AN5" s="28">
        <f t="shared" si="2"/>
        <v>1.2917975097253436</v>
      </c>
      <c r="AO5" s="28">
        <f t="shared" si="2"/>
        <v>1.0643837228610136</v>
      </c>
      <c r="AP5" s="28">
        <f t="shared" si="2"/>
        <v>0.96312670049874993</v>
      </c>
      <c r="AQ5" s="28">
        <f t="shared" si="2"/>
        <v>0.86674111078811744</v>
      </c>
      <c r="AR5" s="28">
        <f t="shared" si="2"/>
        <v>0.8736869210163053</v>
      </c>
      <c r="AS5" s="28">
        <f t="shared" si="2"/>
        <v>0.8528812065432716</v>
      </c>
      <c r="AT5" s="28">
        <f t="shared" si="2"/>
        <v>0.93764035175470362</v>
      </c>
      <c r="AU5" s="28">
        <f t="shared" si="2"/>
        <v>1.1179587121357986</v>
      </c>
      <c r="AV5" s="28">
        <f t="shared" si="2"/>
        <v>0.85400444555868504</v>
      </c>
      <c r="AW5" s="28">
        <f t="shared" si="2"/>
        <v>0.98576004706854037</v>
      </c>
      <c r="AX5" s="28">
        <f t="shared" si="2"/>
        <v>0.947997411665501</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5964853147.0200005</v>
      </c>
      <c r="F6" s="26">
        <f>现金流量表!F8</f>
        <v>4393791541.4099998</v>
      </c>
      <c r="G6" s="26">
        <f>现金流量表!G8</f>
        <v>2948082591.9299998</v>
      </c>
      <c r="H6" s="26">
        <f>现金流量表!H8</f>
        <v>1534642298.6900001</v>
      </c>
      <c r="I6" s="26">
        <f>现金流量表!I8</f>
        <v>5488576327.2399998</v>
      </c>
      <c r="J6" s="26">
        <f>现金流量表!J8</f>
        <v>4237687921.3800001</v>
      </c>
      <c r="K6" s="26">
        <f>现金流量表!K8</f>
        <v>2918579423.0900002</v>
      </c>
      <c r="L6" s="26">
        <f>现金流量表!L8</f>
        <v>1492369754.27</v>
      </c>
      <c r="M6" s="26">
        <f>现金流量表!M8</f>
        <v>5459608559.04</v>
      </c>
      <c r="N6" s="26">
        <f>现金流量表!N8</f>
        <v>3963848349.0300002</v>
      </c>
      <c r="O6" s="26">
        <f>现金流量表!O8</f>
        <v>2665418143.9400001</v>
      </c>
      <c r="P6" s="26">
        <f>现金流量表!P8</f>
        <v>1409020125.71</v>
      </c>
      <c r="Q6" s="26">
        <f>现金流量表!Q8</f>
        <v>4570903575.1899996</v>
      </c>
      <c r="R6" s="26">
        <f>现金流量表!R8</f>
        <v>3289377126.1300001</v>
      </c>
      <c r="S6" s="26">
        <f>现金流量表!S8</f>
        <v>2252694937.0999999</v>
      </c>
      <c r="T6" s="26">
        <f>现金流量表!T8</f>
        <v>1150796553.1500001</v>
      </c>
      <c r="U6" s="26">
        <f>现金流量表!U8</f>
        <v>4021078094.5599999</v>
      </c>
      <c r="V6" s="26">
        <f>现金流量表!V8</f>
        <v>2966422651.0300002</v>
      </c>
      <c r="W6" s="26">
        <f>现金流量表!W8</f>
        <v>2019057148.3499999</v>
      </c>
      <c r="X6" s="26">
        <f>现金流量表!X8</f>
        <v>1036307180.34</v>
      </c>
      <c r="Y6" s="26">
        <f>现金流量表!Y8</f>
        <v>3669598645.4000001</v>
      </c>
      <c r="Z6" s="26">
        <f>现金流量表!Z8</f>
        <v>2830778303.7600002</v>
      </c>
      <c r="AA6" s="26">
        <f>现金流量表!AA8</f>
        <v>1983318944.6099999</v>
      </c>
      <c r="AB6" s="26">
        <f>现金流量表!AB8</f>
        <v>1041650717.88</v>
      </c>
      <c r="AC6" s="26">
        <f>现金流量表!AC8</f>
        <v>3887179905.1399999</v>
      </c>
      <c r="AD6" s="26">
        <f>现金流量表!AD8</f>
        <v>2954003232.0799999</v>
      </c>
      <c r="AE6" s="26">
        <f>现金流量表!AE8</f>
        <v>2037412986.3900001</v>
      </c>
      <c r="AF6" s="26">
        <f>现金流量表!AF8</f>
        <v>1097492806.52</v>
      </c>
      <c r="AG6" s="26">
        <f>现金流量表!AG8</f>
        <v>3755575182.3200002</v>
      </c>
      <c r="AH6" s="26">
        <f>现金流量表!AH8</f>
        <v>2683623356.3899999</v>
      </c>
      <c r="AI6" s="26">
        <f>现金流量表!AI8</f>
        <v>1465755354.5799999</v>
      </c>
      <c r="AJ6" s="26">
        <f>现金流量表!AJ8</f>
        <v>876562804.38999999</v>
      </c>
      <c r="AK6" s="26">
        <f>现金流量表!AK8</f>
        <v>3404126408.9400001</v>
      </c>
      <c r="AL6" s="26">
        <f>现金流量表!AL8</f>
        <v>2461716905.5300002</v>
      </c>
      <c r="AM6" s="26">
        <f>现金流量表!AM8</f>
        <v>1864328513.23</v>
      </c>
      <c r="AN6" s="26">
        <f>现金流量表!AN8</f>
        <v>1154674862.9000001</v>
      </c>
      <c r="AO6" s="26">
        <f>现金流量表!AO8</f>
        <v>3203784057.0500002</v>
      </c>
      <c r="AP6" s="26">
        <f>现金流量表!AP8</f>
        <v>1801779195.25</v>
      </c>
      <c r="AQ6" s="26">
        <f>现金流量表!AQ8</f>
        <v>1086736816.3699999</v>
      </c>
      <c r="AR6" s="26">
        <f>现金流量表!AR8</f>
        <v>741801961.51999998</v>
      </c>
      <c r="AS6" s="26">
        <f>现金流量表!AS8</f>
        <v>1101988794.6099999</v>
      </c>
      <c r="AT6" s="26">
        <f>现金流量表!AT8</f>
        <v>783717535.71000004</v>
      </c>
      <c r="AU6" s="26">
        <f>现金流量表!AU8</f>
        <v>630936438.5</v>
      </c>
      <c r="AV6" s="26">
        <f>现金流量表!AV8</f>
        <v>311585925.17000002</v>
      </c>
      <c r="AW6" s="26">
        <f>现金流量表!AW8</f>
        <v>905743174.75</v>
      </c>
      <c r="AX6" s="26">
        <f>现金流量表!AX8</f>
        <v>723791402.28999996</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558282444.12</v>
      </c>
      <c r="F7" s="26">
        <f>现金流量表!F9</f>
        <v>440432576.29000002</v>
      </c>
      <c r="G7" s="26">
        <f>现金流量表!G9</f>
        <v>338192404.56</v>
      </c>
      <c r="H7" s="26">
        <f>现金流量表!H9</f>
        <v>235425874.22</v>
      </c>
      <c r="I7" s="26">
        <f>现金流量表!I9</f>
        <v>526889795.00999999</v>
      </c>
      <c r="J7" s="26">
        <f>现金流量表!J9</f>
        <v>422921608.22000003</v>
      </c>
      <c r="K7" s="26">
        <f>现金流量表!K9</f>
        <v>325692075.32999998</v>
      </c>
      <c r="L7" s="26">
        <f>现金流量表!L9</f>
        <v>230618187.63999999</v>
      </c>
      <c r="M7" s="26">
        <f>现金流量表!M9</f>
        <v>549617465.17999995</v>
      </c>
      <c r="N7" s="26">
        <f>现金流量表!N9</f>
        <v>415183967.82999998</v>
      </c>
      <c r="O7" s="26">
        <f>现金流量表!O9</f>
        <v>329249416.38</v>
      </c>
      <c r="P7" s="26">
        <f>现金流量表!P9</f>
        <v>224504601.91</v>
      </c>
      <c r="Q7" s="26">
        <f>现金流量表!Q9</f>
        <v>521177277.61000001</v>
      </c>
      <c r="R7" s="26">
        <f>现金流量表!R9</f>
        <v>383011379.27999997</v>
      </c>
      <c r="S7" s="26">
        <f>现金流量表!S9</f>
        <v>294232633.18000001</v>
      </c>
      <c r="T7" s="26">
        <f>现金流量表!T9</f>
        <v>190301896.63</v>
      </c>
      <c r="U7" s="26">
        <f>现金流量表!U9</f>
        <v>499303460.87</v>
      </c>
      <c r="V7" s="26">
        <f>现金流量表!V9</f>
        <v>359192199.76999998</v>
      </c>
      <c r="W7" s="26">
        <f>现金流量表!W9</f>
        <v>279893713.19</v>
      </c>
      <c r="X7" s="26">
        <f>现金流量表!X9</f>
        <v>176584542.88999999</v>
      </c>
      <c r="Y7" s="26">
        <f>现金流量表!Y9</f>
        <v>490784053.77999997</v>
      </c>
      <c r="Z7" s="26">
        <f>现金流量表!Z9</f>
        <v>297376064.47000003</v>
      </c>
      <c r="AA7" s="26">
        <f>现金流量表!AA9</f>
        <v>233855351.21000001</v>
      </c>
      <c r="AB7" s="26">
        <f>现金流量表!AB9</f>
        <v>160299792.41999999</v>
      </c>
      <c r="AC7" s="26">
        <f>现金流量表!AC9</f>
        <v>470483363.55000001</v>
      </c>
      <c r="AD7" s="26">
        <f>现金流量表!AD9</f>
        <v>254349496.52000001</v>
      </c>
      <c r="AE7" s="26">
        <f>现金流量表!AE9</f>
        <v>193166394.50999999</v>
      </c>
      <c r="AF7" s="26">
        <f>现金流量表!AF9</f>
        <v>161158437.15000001</v>
      </c>
      <c r="AG7" s="26">
        <f>现金流量表!AG9</f>
        <v>445677086.61000001</v>
      </c>
      <c r="AH7" s="26">
        <f>现金流量表!AH9</f>
        <v>214447633.91</v>
      </c>
      <c r="AI7" s="26">
        <f>现金流量表!AI9</f>
        <v>150395486.31999999</v>
      </c>
      <c r="AJ7" s="26">
        <f>现金流量表!AJ9</f>
        <v>61083818.859999999</v>
      </c>
      <c r="AK7" s="26">
        <f>现金流量表!AK9</f>
        <v>351457445.62</v>
      </c>
      <c r="AL7" s="26">
        <f>现金流量表!AL9</f>
        <v>222273964.94</v>
      </c>
      <c r="AM7" s="26">
        <f>现金流量表!AM9</f>
        <v>201674022.24000001</v>
      </c>
      <c r="AN7" s="26">
        <f>现金流量表!AN9</f>
        <v>57512068.82</v>
      </c>
      <c r="AO7" s="26">
        <f>现金流量表!AO9</f>
        <v>223525500.56999999</v>
      </c>
      <c r="AP7" s="26">
        <f>现金流量表!AP9</f>
        <v>75309143.920000002</v>
      </c>
      <c r="AQ7" s="26">
        <f>现金流量表!AQ9</f>
        <v>78906640.650000006</v>
      </c>
      <c r="AR7" s="26">
        <f>现金流量表!AR9</f>
        <v>30603784.800000001</v>
      </c>
      <c r="AS7" s="26">
        <f>现金流量表!AS9</f>
        <v>80045589.310000002</v>
      </c>
      <c r="AT7" s="26">
        <f>现金流量表!AT9</f>
        <v>43086194.369999997</v>
      </c>
      <c r="AU7" s="26">
        <f>现金流量表!AU9</f>
        <v>39205014.869999997</v>
      </c>
      <c r="AV7" s="26">
        <f>现金流量表!AV9</f>
        <v>12465029.310000001</v>
      </c>
      <c r="AW7" s="26">
        <f>现金流量表!AW9</f>
        <v>28775139.66</v>
      </c>
      <c r="AX7" s="26">
        <f>现金流量表!AX9</f>
        <v>23952708.350000001</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4855286572.2700005</v>
      </c>
      <c r="F8" s="58">
        <f>利润表!F6</f>
        <v>3404461141.1799998</v>
      </c>
      <c r="G8" s="58">
        <f>利润表!G6</f>
        <v>2215185411.7199998</v>
      </c>
      <c r="H8" s="58">
        <f>利润表!H6</f>
        <v>1030828261.85</v>
      </c>
      <c r="I8" s="58">
        <f>利润表!I6</f>
        <v>4922954425.0900002</v>
      </c>
      <c r="J8" s="58">
        <f>利润表!J6</f>
        <v>3391675578.0500002</v>
      </c>
      <c r="K8" s="58">
        <f>利润表!K6</f>
        <v>2228368230.21</v>
      </c>
      <c r="L8" s="58">
        <f>利润表!L6</f>
        <v>1125309842.8900001</v>
      </c>
      <c r="M8" s="58">
        <f>利润表!M6</f>
        <v>4808845747.7200003</v>
      </c>
      <c r="N8" s="58">
        <f>利润表!N6</f>
        <v>3411770783.0500002</v>
      </c>
      <c r="O8" s="58">
        <f>利润表!O6</f>
        <v>2154103694.21</v>
      </c>
      <c r="P8" s="58">
        <f>利润表!P6</f>
        <v>987438850.91999996</v>
      </c>
      <c r="Q8" s="58">
        <f>利润表!Q6</f>
        <v>4003145392.2800002</v>
      </c>
      <c r="R8" s="58">
        <f>利润表!R6</f>
        <v>2790202683.0900002</v>
      </c>
      <c r="S8" s="58">
        <f>利润表!S6</f>
        <v>1755559819.53</v>
      </c>
      <c r="T8" s="58">
        <f>利润表!T6</f>
        <v>787048352.84000003</v>
      </c>
      <c r="U8" s="58">
        <f>利润表!U6</f>
        <v>3495965363.6199999</v>
      </c>
      <c r="V8" s="58">
        <f>利润表!V6</f>
        <v>2461632548.9200001</v>
      </c>
      <c r="W8" s="58">
        <f>利润表!W6</f>
        <v>1655145048.3299999</v>
      </c>
      <c r="X8" s="58">
        <f>利润表!X6</f>
        <v>787580375.60000002</v>
      </c>
      <c r="Y8" s="58">
        <f>利润表!Y6</f>
        <v>3209849474.6999998</v>
      </c>
      <c r="Z8" s="58">
        <f>利润表!Z6</f>
        <v>2395190775.0100002</v>
      </c>
      <c r="AA8" s="58">
        <f>利润表!AA6</f>
        <v>1626994711.9100001</v>
      </c>
      <c r="AB8" s="58">
        <f>利润表!AB6</f>
        <v>840133226.70000005</v>
      </c>
      <c r="AC8" s="58">
        <f>利润表!AC6</f>
        <v>3358923758.2399998</v>
      </c>
      <c r="AD8" s="58">
        <f>利润表!AD6</f>
        <v>2589836378.29</v>
      </c>
      <c r="AE8" s="58">
        <f>利润表!AE6</f>
        <v>1667249617.6400001</v>
      </c>
      <c r="AF8" s="58">
        <f>利润表!AF6</f>
        <v>801738909.25</v>
      </c>
      <c r="AG8" s="58">
        <f>利润表!AG6</f>
        <v>3402944132.3800001</v>
      </c>
      <c r="AH8" s="58">
        <f>利润表!AH6</f>
        <v>2516794574.5300002</v>
      </c>
      <c r="AI8" s="58">
        <f>利润表!AI6</f>
        <v>1513989553.8900001</v>
      </c>
      <c r="AJ8" s="58">
        <f>利润表!AJ6</f>
        <v>560025855.28999996</v>
      </c>
      <c r="AK8" s="58">
        <f>利润表!AK6</f>
        <v>2844982800</v>
      </c>
      <c r="AL8" s="58">
        <f>利润表!AL6</f>
        <v>2039137472.8900001</v>
      </c>
      <c r="AM8" s="58">
        <f>利润表!AM6</f>
        <v>1311971737.1700001</v>
      </c>
      <c r="AN8" s="58">
        <f>利润表!AN6</f>
        <v>594809286.71000004</v>
      </c>
      <c r="AO8" s="58">
        <f>利润表!AO6</f>
        <v>2674227267.21</v>
      </c>
      <c r="AP8" s="58">
        <f>利润表!AP6</f>
        <v>1691095566.23</v>
      </c>
      <c r="AQ8" s="58">
        <f>利润表!AQ6</f>
        <v>1023390799.78</v>
      </c>
      <c r="AR8" s="58">
        <f>利润表!AR6</f>
        <v>457592573.97000003</v>
      </c>
      <c r="AS8" s="58">
        <f>利润表!AS6</f>
        <v>1235544296.72</v>
      </c>
      <c r="AT8" s="58">
        <f>利润表!AT6</f>
        <v>772816650.86000001</v>
      </c>
      <c r="AU8" s="58">
        <f>利润表!AU6</f>
        <v>443017497.97000003</v>
      </c>
      <c r="AV8" s="58">
        <f>利润表!AV6</f>
        <v>210822487.97999999</v>
      </c>
      <c r="AW8" s="58">
        <f>利润表!AW6</f>
        <v>784073264.45000005</v>
      </c>
      <c r="AX8" s="58">
        <f>利润表!AX6</f>
        <v>620793406.78999996</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61130310.439999998</v>
      </c>
      <c r="F9" s="58">
        <f>利润表!F7</f>
        <v>39840991.350000001</v>
      </c>
      <c r="G9" s="58">
        <f>利润表!G7</f>
        <v>25865261.82</v>
      </c>
      <c r="H9" s="58">
        <f>利润表!H7</f>
        <v>11058972.09</v>
      </c>
      <c r="I9" s="58">
        <f>利润表!I7</f>
        <v>54388863.649999999</v>
      </c>
      <c r="J9" s="58">
        <f>利润表!J7</f>
        <v>31864279.68</v>
      </c>
      <c r="K9" s="58">
        <f>利润表!K7</f>
        <v>20018465.309999999</v>
      </c>
      <c r="L9" s="58">
        <f>利润表!L7</f>
        <v>11921552.17</v>
      </c>
      <c r="M9" s="58">
        <f>利润表!M7</f>
        <v>45672755.68</v>
      </c>
      <c r="N9" s="58">
        <f>利润表!N7</f>
        <v>32608840.350000001</v>
      </c>
      <c r="O9" s="58">
        <f>利润表!O7</f>
        <v>20653816.809999999</v>
      </c>
      <c r="P9" s="58">
        <f>利润表!P7</f>
        <v>10526313.689999999</v>
      </c>
      <c r="Q9" s="58">
        <f>利润表!Q7</f>
        <v>31830320.140000001</v>
      </c>
      <c r="R9" s="58">
        <f>利润表!R7</f>
        <v>23258170.02</v>
      </c>
      <c r="S9" s="58">
        <f>利润表!S7</f>
        <v>14099682.970000001</v>
      </c>
      <c r="T9" s="58">
        <f>利润表!T7</f>
        <v>6733916.8099999996</v>
      </c>
      <c r="U9" s="58">
        <f>利润表!U7</f>
        <v>33609379.689999998</v>
      </c>
      <c r="V9" s="58">
        <f>利润表!V7</f>
        <v>23169010.32</v>
      </c>
      <c r="W9" s="58">
        <f>利润表!W7</f>
        <v>15633570.029999999</v>
      </c>
      <c r="X9" s="58">
        <f>利润表!X7</f>
        <v>6433107.0300000003</v>
      </c>
      <c r="Y9" s="58">
        <f>利润表!Y7</f>
        <v>30734206.149999999</v>
      </c>
      <c r="Z9" s="58">
        <f>利润表!Z7</f>
        <v>21732450.719999999</v>
      </c>
      <c r="AA9" s="58">
        <f>利润表!AA7</f>
        <v>13878163.41</v>
      </c>
      <c r="AB9" s="58">
        <f>利润表!AB7</f>
        <v>7179150.4699999997</v>
      </c>
      <c r="AC9" s="58">
        <f>利润表!AC7</f>
        <v>39110012.380000003</v>
      </c>
      <c r="AD9" s="58">
        <f>利润表!AD7</f>
        <v>33183026.82</v>
      </c>
      <c r="AE9" s="58">
        <f>利润表!AE7</f>
        <v>24950579.550000001</v>
      </c>
      <c r="AF9" s="58">
        <f>利润表!AF7</f>
        <v>5547132.1200000001</v>
      </c>
      <c r="AG9" s="58">
        <f>利润表!AG7</f>
        <v>8974644.0399999991</v>
      </c>
      <c r="AH9" s="58">
        <f>利润表!AH7</f>
        <v>5560553.5800000001</v>
      </c>
      <c r="AI9" s="58">
        <f>利润表!AI7</f>
        <v>3452778.88</v>
      </c>
      <c r="AJ9" s="58">
        <f>利润表!AJ7</f>
        <v>1383151.24</v>
      </c>
      <c r="AK9" s="58">
        <f>利润表!AK7</f>
        <v>5294021.2699999996</v>
      </c>
      <c r="AL9" s="58">
        <f>利润表!AL7</f>
        <v>3796093.6</v>
      </c>
      <c r="AM9" s="58">
        <f>利润表!AM7</f>
        <v>1832760.97</v>
      </c>
      <c r="AN9" s="58">
        <f>利润表!AN7</f>
        <v>565146.41</v>
      </c>
      <c r="AO9" s="58">
        <f>利润表!AO7</f>
        <v>2627887.89</v>
      </c>
      <c r="AP9" s="58">
        <f>利润表!AP7</f>
        <v>1951181.07</v>
      </c>
      <c r="AQ9" s="58">
        <f>利润表!AQ7</f>
        <v>1112142.28</v>
      </c>
      <c r="AR9" s="58">
        <f>利润表!AR7</f>
        <v>577044.14</v>
      </c>
      <c r="AS9" s="58">
        <f>利润表!AS7</f>
        <v>1033905.85</v>
      </c>
      <c r="AT9" s="58">
        <f>利润表!AT7</f>
        <v>621821.49</v>
      </c>
      <c r="AU9" s="58">
        <f>利润表!AU7</f>
        <v>313250.71000000002</v>
      </c>
      <c r="AV9" s="58">
        <f>利润表!AV7</f>
        <v>92119.1</v>
      </c>
      <c r="AW9" s="58">
        <f>利润表!AW7</f>
        <v>0</v>
      </c>
      <c r="AX9" s="58">
        <f>利润表!AX7</f>
        <v>270516.59000000003</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1092858447.2</v>
      </c>
      <c r="F10" s="58">
        <f>利润表!F8</f>
        <v>698552924.79999995</v>
      </c>
      <c r="G10" s="58">
        <f>利润表!G8</f>
        <v>427420749.60000002</v>
      </c>
      <c r="H10" s="58">
        <f>利润表!H8</f>
        <v>189669153.81</v>
      </c>
      <c r="I10" s="58">
        <f>利润表!I8</f>
        <v>1103306058.27</v>
      </c>
      <c r="J10" s="58">
        <f>利润表!J8</f>
        <v>657469710.71000004</v>
      </c>
      <c r="K10" s="58">
        <f>利润表!K8</f>
        <v>424011562.04000002</v>
      </c>
      <c r="L10" s="58">
        <f>利润表!L8</f>
        <v>213674019.49000001</v>
      </c>
      <c r="M10" s="58">
        <f>利润表!M8</f>
        <v>988915582.62</v>
      </c>
      <c r="N10" s="58">
        <f>利润表!N8</f>
        <v>622228389.66999996</v>
      </c>
      <c r="O10" s="58">
        <f>利润表!O8</f>
        <v>388296479.98000002</v>
      </c>
      <c r="P10" s="58">
        <f>利润表!P8</f>
        <v>175455583.53</v>
      </c>
      <c r="Q10" s="58">
        <f>利润表!Q8</f>
        <v>773397287.25999999</v>
      </c>
      <c r="R10" s="58">
        <f>利润表!R8</f>
        <v>487538972.50999999</v>
      </c>
      <c r="S10" s="58">
        <f>利润表!S8</f>
        <v>322719832.57999998</v>
      </c>
      <c r="T10" s="58">
        <f>利润表!T8</f>
        <v>151288487.80000001</v>
      </c>
      <c r="U10" s="58">
        <f>利润表!U8</f>
        <v>722082864.97000003</v>
      </c>
      <c r="V10" s="58">
        <f>利润表!V8</f>
        <v>474361482.44</v>
      </c>
      <c r="W10" s="58">
        <f>利润表!W8</f>
        <v>316982383.54000002</v>
      </c>
      <c r="X10" s="58">
        <f>利润表!X8</f>
        <v>128400491.31</v>
      </c>
      <c r="Y10" s="58">
        <f>利润表!Y8</f>
        <v>681720577.60000002</v>
      </c>
      <c r="Z10" s="58">
        <f>利润表!Z8</f>
        <v>465142540.25</v>
      </c>
      <c r="AA10" s="58">
        <f>利润表!AA8</f>
        <v>304591377.61000001</v>
      </c>
      <c r="AB10" s="58">
        <f>利润表!AB8</f>
        <v>151265271.63</v>
      </c>
      <c r="AC10" s="58">
        <f>利润表!AC8</f>
        <v>782929056.92999995</v>
      </c>
      <c r="AD10" s="58">
        <f>利润表!AD8</f>
        <v>550350961.41999996</v>
      </c>
      <c r="AE10" s="58">
        <f>利润表!AE8</f>
        <v>365824714.56999999</v>
      </c>
      <c r="AF10" s="58">
        <f>利润表!AF8</f>
        <v>152509627.34</v>
      </c>
      <c r="AG10" s="58">
        <f>利润表!AG8</f>
        <v>791432429.52999997</v>
      </c>
      <c r="AH10" s="58">
        <f>利润表!AH8</f>
        <v>585319953.14999998</v>
      </c>
      <c r="AI10" s="58">
        <f>利润表!AI8</f>
        <v>372224456.20999998</v>
      </c>
      <c r="AJ10" s="58">
        <f>利润表!AJ8</f>
        <v>113771443.88</v>
      </c>
      <c r="AK10" s="58">
        <f>利润表!AK8</f>
        <v>746007178.21000004</v>
      </c>
      <c r="AL10" s="58">
        <f>利润表!AL8</f>
        <v>466863171.10000002</v>
      </c>
      <c r="AM10" s="58">
        <f>利润表!AM8</f>
        <v>301937166.13</v>
      </c>
      <c r="AN10" s="58">
        <f>利润表!AN8</f>
        <v>127310710</v>
      </c>
      <c r="AO10" s="58">
        <f>利润表!AO8</f>
        <v>695847054.13</v>
      </c>
      <c r="AP10" s="58">
        <f>利润表!AP8</f>
        <v>343370690.61000001</v>
      </c>
      <c r="AQ10" s="58">
        <f>利润表!AQ8</f>
        <v>165435628.55000001</v>
      </c>
      <c r="AR10" s="58">
        <f>利润表!AR8</f>
        <v>69689588.629999995</v>
      </c>
      <c r="AS10" s="58">
        <f>利润表!AS8</f>
        <v>189673210.11000001</v>
      </c>
      <c r="AT10" s="58">
        <f>利润表!AT8</f>
        <v>116457932.08</v>
      </c>
      <c r="AU10" s="58">
        <f>利润表!AU8</f>
        <v>69133074.590000004</v>
      </c>
      <c r="AV10" s="58">
        <f>利润表!AV8</f>
        <v>26017359.829999998</v>
      </c>
      <c r="AW10" s="58">
        <f>利润表!AW8</f>
        <v>84171309.280000001</v>
      </c>
      <c r="AX10" s="58">
        <f>利润表!AX8</f>
        <v>66725970.329999998</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553312102.58000004</v>
      </c>
      <c r="F11" s="58">
        <f>利润表!F9</f>
        <v>339334927.26999998</v>
      </c>
      <c r="G11" s="58">
        <f>利润表!G9</f>
        <v>215955075.58000001</v>
      </c>
      <c r="H11" s="58">
        <f>利润表!H9</f>
        <v>88944349.689999998</v>
      </c>
      <c r="I11" s="58">
        <f>利润表!I9</f>
        <v>498750428.44</v>
      </c>
      <c r="J11" s="58">
        <f>利润表!J9</f>
        <v>351233073.04000002</v>
      </c>
      <c r="K11" s="58">
        <f>利润表!K9</f>
        <v>226940253.53</v>
      </c>
      <c r="L11" s="58">
        <f>利润表!L9</f>
        <v>109221086.76000001</v>
      </c>
      <c r="M11" s="58">
        <f>利润表!M9</f>
        <v>514830833.89999998</v>
      </c>
      <c r="N11" s="58">
        <f>利润表!N9</f>
        <v>370441467.47000003</v>
      </c>
      <c r="O11" s="58">
        <f>利润表!O9</f>
        <v>221357314.03999999</v>
      </c>
      <c r="P11" s="58">
        <f>利润表!P9</f>
        <v>94119168.939999998</v>
      </c>
      <c r="Q11" s="58">
        <f>利润表!Q9</f>
        <v>464607887.67000002</v>
      </c>
      <c r="R11" s="58">
        <f>利润表!R9</f>
        <v>272631206.55000001</v>
      </c>
      <c r="S11" s="58">
        <f>利润表!S9</f>
        <v>162816527.25999999</v>
      </c>
      <c r="T11" s="58">
        <f>利润表!T9</f>
        <v>72974067.900000006</v>
      </c>
      <c r="U11" s="58">
        <f>利润表!U9</f>
        <v>413571347.82999998</v>
      </c>
      <c r="V11" s="58">
        <f>利润表!V9</f>
        <v>257295534.18000001</v>
      </c>
      <c r="W11" s="58">
        <f>利润表!W9</f>
        <v>160202877.93000001</v>
      </c>
      <c r="X11" s="58">
        <f>利润表!X9</f>
        <v>84716598.069999993</v>
      </c>
      <c r="Y11" s="58">
        <f>利润表!Y9</f>
        <v>406273845.55000001</v>
      </c>
      <c r="Z11" s="58">
        <f>利润表!Z9</f>
        <v>260935873.47</v>
      </c>
      <c r="AA11" s="58">
        <f>利润表!AA9</f>
        <v>176522551.38999999</v>
      </c>
      <c r="AB11" s="58">
        <f>利润表!AB9</f>
        <v>91405848.239999995</v>
      </c>
      <c r="AC11" s="58">
        <f>利润表!AC9</f>
        <v>357366575.5</v>
      </c>
      <c r="AD11" s="58">
        <f>利润表!AD9</f>
        <v>240564563.61000001</v>
      </c>
      <c r="AE11" s="58">
        <f>利润表!AE9</f>
        <v>164702260.27000001</v>
      </c>
      <c r="AF11" s="58">
        <f>利润表!AF9</f>
        <v>97478529.370000005</v>
      </c>
      <c r="AG11" s="58">
        <f>利润表!AG9</f>
        <v>367015763.36000001</v>
      </c>
      <c r="AH11" s="58">
        <f>利润表!AH9</f>
        <v>257429492.86000001</v>
      </c>
      <c r="AI11" s="58">
        <f>利润表!AI9</f>
        <v>161035657.62</v>
      </c>
      <c r="AJ11" s="58">
        <f>利润表!AJ9</f>
        <v>74607600.349999994</v>
      </c>
      <c r="AK11" s="58">
        <f>利润表!AK9</f>
        <v>326751472.08999997</v>
      </c>
      <c r="AL11" s="58">
        <f>利润表!AL9</f>
        <v>262241857.12</v>
      </c>
      <c r="AM11" s="58">
        <f>利润表!AM9</f>
        <v>184470099.34</v>
      </c>
      <c r="AN11" s="58">
        <f>利润表!AN9</f>
        <v>70163375.519999996</v>
      </c>
      <c r="AO11" s="58">
        <f>利润表!AO9</f>
        <v>240520537.77000001</v>
      </c>
      <c r="AP11" s="58">
        <f>利润表!AP9</f>
        <v>162086989.16</v>
      </c>
      <c r="AQ11" s="58">
        <f>利润表!AQ9</f>
        <v>102522212.84</v>
      </c>
      <c r="AR11" s="58">
        <f>利润表!AR9</f>
        <v>39750224.039999999</v>
      </c>
      <c r="AS11" s="58">
        <f>利润表!AS9</f>
        <v>107431254.12</v>
      </c>
      <c r="AT11" s="58">
        <f>利润表!AT9</f>
        <v>69889280.019999996</v>
      </c>
      <c r="AU11" s="58">
        <f>利润表!AU9</f>
        <v>39369740.509999998</v>
      </c>
      <c r="AV11" s="58">
        <f>利润表!AV9</f>
        <v>16903079.18</v>
      </c>
      <c r="AW11" s="58">
        <f>利润表!AW9</f>
        <v>23765817.559999999</v>
      </c>
      <c r="AX11" s="58">
        <f>利润表!AX9</f>
        <v>18775634.920000002</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6562587432.4899998</v>
      </c>
      <c r="F12" s="58">
        <f t="shared" ref="F12:BQ12" si="4">SUM(F8:F11)</f>
        <v>4482189984.6000004</v>
      </c>
      <c r="G12" s="58">
        <f t="shared" si="4"/>
        <v>2884426498.7199998</v>
      </c>
      <c r="H12" s="58">
        <f t="shared" si="4"/>
        <v>1320500737.4400001</v>
      </c>
      <c r="I12" s="58">
        <f t="shared" si="4"/>
        <v>6579399775.4499998</v>
      </c>
      <c r="J12" s="58">
        <f t="shared" si="4"/>
        <v>4432242641.4800005</v>
      </c>
      <c r="K12" s="58">
        <f t="shared" si="4"/>
        <v>2899338511.0900002</v>
      </c>
      <c r="L12" s="58">
        <f t="shared" si="4"/>
        <v>1460126501.3100002</v>
      </c>
      <c r="M12" s="58">
        <f t="shared" si="4"/>
        <v>6358264919.9200001</v>
      </c>
      <c r="N12" s="58">
        <f t="shared" si="4"/>
        <v>4437049480.54</v>
      </c>
      <c r="O12" s="58">
        <f t="shared" si="4"/>
        <v>2784411305.04</v>
      </c>
      <c r="P12" s="58">
        <f t="shared" si="4"/>
        <v>1267539917.0800002</v>
      </c>
      <c r="Q12" s="58">
        <f t="shared" si="4"/>
        <v>5272980887.3500004</v>
      </c>
      <c r="R12" s="58">
        <f t="shared" si="4"/>
        <v>3573631032.1700001</v>
      </c>
      <c r="S12" s="58">
        <f t="shared" si="4"/>
        <v>2255195862.3400002</v>
      </c>
      <c r="T12" s="58">
        <f t="shared" si="4"/>
        <v>1018044825.35</v>
      </c>
      <c r="U12" s="58">
        <f t="shared" si="4"/>
        <v>4665228956.1099997</v>
      </c>
      <c r="V12" s="58">
        <f t="shared" si="4"/>
        <v>3216458575.8600001</v>
      </c>
      <c r="W12" s="58">
        <f t="shared" si="4"/>
        <v>2147963879.8299999</v>
      </c>
      <c r="X12" s="58">
        <f t="shared" si="4"/>
        <v>1007130572.01</v>
      </c>
      <c r="Y12" s="58">
        <f t="shared" si="4"/>
        <v>4328578104</v>
      </c>
      <c r="Z12" s="58">
        <f t="shared" si="4"/>
        <v>3143001639.4499998</v>
      </c>
      <c r="AA12" s="58">
        <f t="shared" si="4"/>
        <v>2121986804.3200002</v>
      </c>
      <c r="AB12" s="58">
        <f t="shared" si="4"/>
        <v>1089983497.04</v>
      </c>
      <c r="AC12" s="58">
        <f t="shared" si="4"/>
        <v>4538329403.0499992</v>
      </c>
      <c r="AD12" s="58">
        <f t="shared" si="4"/>
        <v>3413934930.1400003</v>
      </c>
      <c r="AE12" s="58">
        <f t="shared" si="4"/>
        <v>2222727172.0300002</v>
      </c>
      <c r="AF12" s="58">
        <f t="shared" si="4"/>
        <v>1057274198.08</v>
      </c>
      <c r="AG12" s="58">
        <f t="shared" si="4"/>
        <v>4570366969.3099995</v>
      </c>
      <c r="AH12" s="58">
        <f t="shared" si="4"/>
        <v>3365104574.1200004</v>
      </c>
      <c r="AI12" s="58">
        <f t="shared" si="4"/>
        <v>2050702446.6000004</v>
      </c>
      <c r="AJ12" s="58">
        <f t="shared" si="4"/>
        <v>749788050.75999999</v>
      </c>
      <c r="AK12" s="58">
        <f t="shared" si="4"/>
        <v>3923035471.5700002</v>
      </c>
      <c r="AL12" s="58">
        <f t="shared" si="4"/>
        <v>2772038594.71</v>
      </c>
      <c r="AM12" s="58">
        <f t="shared" si="4"/>
        <v>1800211763.6099999</v>
      </c>
      <c r="AN12" s="58">
        <f t="shared" si="4"/>
        <v>792848518.63999999</v>
      </c>
      <c r="AO12" s="58">
        <f t="shared" si="4"/>
        <v>3613222747</v>
      </c>
      <c r="AP12" s="58">
        <f t="shared" si="4"/>
        <v>2198504427.0699997</v>
      </c>
      <c r="AQ12" s="58">
        <f t="shared" si="4"/>
        <v>1292460783.4499998</v>
      </c>
      <c r="AR12" s="58">
        <f t="shared" si="4"/>
        <v>567609430.77999997</v>
      </c>
      <c r="AS12" s="58">
        <f t="shared" si="4"/>
        <v>1533682666.7999997</v>
      </c>
      <c r="AT12" s="58">
        <f t="shared" si="4"/>
        <v>959785684.45000005</v>
      </c>
      <c r="AU12" s="58">
        <f t="shared" si="4"/>
        <v>551833563.77999997</v>
      </c>
      <c r="AV12" s="58">
        <f t="shared" si="4"/>
        <v>253835046.08999997</v>
      </c>
      <c r="AW12" s="58">
        <f t="shared" si="4"/>
        <v>892010391.28999996</v>
      </c>
      <c r="AX12" s="58">
        <f t="shared" si="4"/>
        <v>706565528.63</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0.86192337781881379</v>
      </c>
      <c r="F13" s="28">
        <f t="shared" ref="F13:BQ13" si="6">(F6/(1+F4)+F7)/F12</f>
        <v>0.93610712096688498</v>
      </c>
      <c r="G13" s="28">
        <f t="shared" si="6"/>
        <v>0.99081086548037189</v>
      </c>
      <c r="H13" s="28">
        <f t="shared" si="6"/>
        <v>1.171590378336099</v>
      </c>
      <c r="I13" s="28">
        <f t="shared" si="6"/>
        <v>0.79307852556140224</v>
      </c>
      <c r="J13" s="28">
        <f t="shared" si="6"/>
        <v>0.91260281166112378</v>
      </c>
      <c r="K13" s="28">
        <f t="shared" si="6"/>
        <v>0.97270615072025535</v>
      </c>
      <c r="L13" s="28">
        <f t="shared" si="6"/>
        <v>1.0315187696360446</v>
      </c>
      <c r="M13" s="28">
        <f t="shared" si="6"/>
        <v>0.82034165493519862</v>
      </c>
      <c r="N13" s="28">
        <f t="shared" si="6"/>
        <v>0.85712105675857098</v>
      </c>
      <c r="O13" s="28">
        <f t="shared" si="6"/>
        <v>0.93642220796227782</v>
      </c>
      <c r="P13" s="28">
        <f t="shared" si="6"/>
        <v>1.1272191813387011</v>
      </c>
      <c r="Q13" s="28">
        <f t="shared" si="6"/>
        <v>0.83973990512705898</v>
      </c>
      <c r="R13" s="28">
        <f t="shared" si="6"/>
        <v>0.89389329554735941</v>
      </c>
      <c r="S13" s="28">
        <f t="shared" si="6"/>
        <v>0.98422179570539792</v>
      </c>
      <c r="T13" s="28">
        <f t="shared" si="6"/>
        <v>1.1530815392048421</v>
      </c>
      <c r="U13" s="28">
        <f t="shared" si="6"/>
        <v>0.84371472057212105</v>
      </c>
      <c r="V13" s="28">
        <f t="shared" si="6"/>
        <v>0.89993267649510278</v>
      </c>
      <c r="W13" s="28">
        <f t="shared" si="6"/>
        <v>0.93371383122762142</v>
      </c>
      <c r="X13" s="28">
        <f t="shared" si="6"/>
        <v>1.054795877697458</v>
      </c>
      <c r="Y13" s="28">
        <f t="shared" si="6"/>
        <v>0.83796412245874041</v>
      </c>
      <c r="Z13" s="28">
        <f t="shared" si="6"/>
        <v>0.86441084409925217</v>
      </c>
      <c r="AA13" s="28">
        <f t="shared" si="6"/>
        <v>0.90905360221159359</v>
      </c>
      <c r="AB13" s="28">
        <f t="shared" si="6"/>
        <v>0.96386739262093635</v>
      </c>
      <c r="AC13" s="28">
        <f t="shared" si="6"/>
        <v>0.83573910441585442</v>
      </c>
      <c r="AD13" s="28">
        <f t="shared" si="6"/>
        <v>0.81405728012920708</v>
      </c>
      <c r="AE13" s="28">
        <f t="shared" si="6"/>
        <v>0.87034749010124723</v>
      </c>
      <c r="AF13" s="28">
        <f t="shared" si="6"/>
        <v>1.0396418250883226</v>
      </c>
      <c r="AG13" s="28">
        <f t="shared" si="6"/>
        <v>0.79984176968268994</v>
      </c>
      <c r="AH13" s="28">
        <f t="shared" si="6"/>
        <v>0.74533874210063955</v>
      </c>
      <c r="AI13" s="28">
        <f t="shared" si="6"/>
        <v>0.68424253503393662</v>
      </c>
      <c r="AJ13" s="28">
        <f t="shared" si="6"/>
        <v>1.08068246239693</v>
      </c>
      <c r="AK13" s="28">
        <f t="shared" si="6"/>
        <v>0.83123571542566999</v>
      </c>
      <c r="AL13" s="28">
        <f t="shared" si="6"/>
        <v>0.83920386699067717</v>
      </c>
      <c r="AM13" s="28">
        <f t="shared" si="6"/>
        <v>0.99717001756563972</v>
      </c>
      <c r="AN13" s="28">
        <f t="shared" si="6"/>
        <v>1.3172928201136589</v>
      </c>
      <c r="AO13" s="28">
        <f t="shared" si="6"/>
        <v>0.81971211845899727</v>
      </c>
      <c r="AP13" s="28">
        <f t="shared" si="6"/>
        <v>0.73472281528908789</v>
      </c>
      <c r="AQ13" s="28">
        <f t="shared" si="6"/>
        <v>0.7797076238911741</v>
      </c>
      <c r="AR13" s="28">
        <f t="shared" si="6"/>
        <v>1.1709152795727875</v>
      </c>
      <c r="AS13" s="28">
        <f t="shared" si="6"/>
        <v>0.666315383263828</v>
      </c>
      <c r="AT13" s="28">
        <f t="shared" si="6"/>
        <v>0.74280149572550203</v>
      </c>
      <c r="AU13" s="28">
        <f t="shared" si="6"/>
        <v>1.0482634005721356</v>
      </c>
      <c r="AV13" s="28">
        <f t="shared" si="6"/>
        <v>1.0982635777043643</v>
      </c>
      <c r="AW13" s="28">
        <f t="shared" si="6"/>
        <v>0.90011799537126291</v>
      </c>
      <c r="AX13" s="28">
        <f t="shared" si="6"/>
        <v>0.90943842074821268</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48903264.689999998</v>
      </c>
      <c r="F14" s="26">
        <f>现金流量表!F13</f>
        <v>120905521.88</v>
      </c>
      <c r="G14" s="26">
        <f>现金流量表!G13</f>
        <v>-57994580.619999997</v>
      </c>
      <c r="H14" s="26">
        <f>现金流量表!H13</f>
        <v>-104764499.26000001</v>
      </c>
      <c r="I14" s="26">
        <f>现金流量表!I13</f>
        <v>1006736608.98</v>
      </c>
      <c r="J14" s="26">
        <f>现金流量表!J13</f>
        <v>203602292.47</v>
      </c>
      <c r="K14" s="26">
        <f>现金流量表!K13</f>
        <v>-69033758.090000004</v>
      </c>
      <c r="L14" s="26">
        <f>现金流量表!L13</f>
        <v>8117766.2300000004</v>
      </c>
      <c r="M14" s="26">
        <f>现金流量表!M13</f>
        <v>861246226.23000002</v>
      </c>
      <c r="N14" s="26">
        <f>现金流量表!N13</f>
        <v>814998734.32000005</v>
      </c>
      <c r="O14" s="26">
        <f>现金流量表!O13</f>
        <v>608470328.47000003</v>
      </c>
      <c r="P14" s="26">
        <f>现金流量表!P13</f>
        <v>64968851.619999997</v>
      </c>
      <c r="Q14" s="26">
        <f>现金流量表!Q13</f>
        <v>595413906.90999997</v>
      </c>
      <c r="R14" s="26">
        <f>现金流量表!R13</f>
        <v>518721185.00999999</v>
      </c>
      <c r="S14" s="26">
        <f>现金流量表!S13</f>
        <v>499704781.44999999</v>
      </c>
      <c r="T14" s="26">
        <f>现金流量表!T13</f>
        <v>44173476.140000001</v>
      </c>
      <c r="U14" s="26">
        <f>现金流量表!U13</f>
        <v>245433702.03999999</v>
      </c>
      <c r="V14" s="26">
        <f>现金流量表!V13</f>
        <v>253823337.63</v>
      </c>
      <c r="W14" s="26">
        <f>现金流量表!W13</f>
        <v>183265232.28</v>
      </c>
      <c r="X14" s="26">
        <f>现金流量表!X13</f>
        <v>123397117.39</v>
      </c>
      <c r="Y14" s="26">
        <f>现金流量表!Y13</f>
        <v>302406650.51999998</v>
      </c>
      <c r="Z14" s="26">
        <f>现金流量表!Z13</f>
        <v>189075563.99000001</v>
      </c>
      <c r="AA14" s="26">
        <f>现金流量表!AA13</f>
        <v>78029705.329999998</v>
      </c>
      <c r="AB14" s="26">
        <f>现金流量表!AB13</f>
        <v>90777528.180000007</v>
      </c>
      <c r="AC14" s="26">
        <f>现金流量表!AC13</f>
        <v>412168730.76999998</v>
      </c>
      <c r="AD14" s="26">
        <f>现金流量表!AD13</f>
        <v>481386033.88</v>
      </c>
      <c r="AE14" s="26">
        <f>现金流量表!AE13</f>
        <v>255666572.18000001</v>
      </c>
      <c r="AF14" s="26">
        <f>现金流量表!AF13</f>
        <v>62849198.890000001</v>
      </c>
      <c r="AG14" s="26">
        <f>现金流量表!AG13</f>
        <v>549521760.94000006</v>
      </c>
      <c r="AH14" s="26">
        <f>现金流量表!AH13</f>
        <v>516106257.75999999</v>
      </c>
      <c r="AI14" s="26">
        <f>现金流量表!AI13</f>
        <v>370602344.81999999</v>
      </c>
      <c r="AJ14" s="26">
        <f>现金流量表!AJ13</f>
        <v>-47905577.490000002</v>
      </c>
      <c r="AK14" s="26">
        <f>现金流量表!AK13</f>
        <v>783304115.17999995</v>
      </c>
      <c r="AL14" s="26">
        <f>现金流量表!AL13</f>
        <v>492894679.19</v>
      </c>
      <c r="AM14" s="26">
        <f>现金流量表!AM13</f>
        <v>350152097.42000002</v>
      </c>
      <c r="AN14" s="26">
        <f>现金流量表!AN13</f>
        <v>26874808.469999999</v>
      </c>
      <c r="AO14" s="26">
        <f>现金流量表!AO13</f>
        <v>953289406.25</v>
      </c>
      <c r="AP14" s="26">
        <f>现金流量表!AP13</f>
        <v>498215235.54000002</v>
      </c>
      <c r="AQ14" s="26">
        <f>现金流量表!AQ13</f>
        <v>91054826.609999999</v>
      </c>
      <c r="AR14" s="26">
        <f>现金流量表!AR13</f>
        <v>-55422451.43</v>
      </c>
      <c r="AS14" s="26">
        <f>现金流量表!AS13</f>
        <v>424585863.75999999</v>
      </c>
      <c r="AT14" s="26">
        <f>现金流量表!AT13</f>
        <v>277278388.02999997</v>
      </c>
      <c r="AU14" s="26">
        <f>现金流量表!AU13</f>
        <v>132172817.68000001</v>
      </c>
      <c r="AV14" s="26">
        <f>现金流量表!AV13</f>
        <v>-3550226.26</v>
      </c>
      <c r="AW14" s="26">
        <f>现金流量表!AW13</f>
        <v>31916755.969999999</v>
      </c>
      <c r="AX14" s="26">
        <f>现金流量表!AX13</f>
        <v>7741977.7999999998</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585001430.59362328</v>
      </c>
      <c r="F15" s="26">
        <f>股权价值增加表!F17</f>
        <v>469331082.15093839</v>
      </c>
      <c r="G15" s="26">
        <f>股权价值增加表!G17</f>
        <v>308611315.48826373</v>
      </c>
      <c r="H15" s="26">
        <f>股权价值增加表!H17</f>
        <v>132730937.10567296</v>
      </c>
      <c r="I15" s="26">
        <f>股权价值增加表!I17</f>
        <v>695331753.51863873</v>
      </c>
      <c r="J15" s="26">
        <f>股权价值增加表!J17</f>
        <v>549185795.62270486</v>
      </c>
      <c r="K15" s="26">
        <f>股权价值增加表!K17</f>
        <v>372630098.8834703</v>
      </c>
      <c r="L15" s="26">
        <f>股权价值增加表!L17</f>
        <v>139807962.02202278</v>
      </c>
      <c r="M15" s="26">
        <f>股权价值增加表!M17</f>
        <v>629896644.75126266</v>
      </c>
      <c r="N15" s="26">
        <f>股权价值增加表!N17</f>
        <v>505819904.00767547</v>
      </c>
      <c r="O15" s="26">
        <f>股权价值增加表!O17</f>
        <v>311228482.72793257</v>
      </c>
      <c r="P15" s="26">
        <f>股权价值增加表!P17</f>
        <v>113536092.72436437</v>
      </c>
      <c r="Q15" s="26">
        <f>股权价值增加表!Q17</f>
        <v>576776263.01757383</v>
      </c>
      <c r="R15" s="26">
        <f>股权价值增加表!R17</f>
        <v>485536387.95401025</v>
      </c>
      <c r="S15" s="26">
        <f>股权价值增加表!S17</f>
        <v>318082408.44000614</v>
      </c>
      <c r="T15" s="26">
        <f>股权价值增加表!T17</f>
        <v>117586796.93418205</v>
      </c>
      <c r="U15" s="26">
        <f>股权价值增加表!U17</f>
        <v>530740880.4410699</v>
      </c>
      <c r="V15" s="26">
        <f>股权价值增加表!V17</f>
        <v>448515809.83293802</v>
      </c>
      <c r="W15" s="26">
        <f>股权价值增加表!W17</f>
        <v>279007389.20503867</v>
      </c>
      <c r="X15" s="26">
        <f>股权价值增加表!X17</f>
        <v>127767720.39658456</v>
      </c>
      <c r="Y15" s="26">
        <f>股权价值增加表!Y17</f>
        <v>488020161.10600972</v>
      </c>
      <c r="Z15" s="26">
        <f>股权价值增加表!Z17</f>
        <v>426044061.77394724</v>
      </c>
      <c r="AA15" s="26">
        <f>股权价值增加表!AA17</f>
        <v>277081769.76925802</v>
      </c>
      <c r="AB15" s="26">
        <f>股权价值增加表!AB17</f>
        <v>131480551.09851785</v>
      </c>
      <c r="AC15" s="26">
        <f>股权价值增加表!AC17</f>
        <v>518861779.04245472</v>
      </c>
      <c r="AD15" s="26">
        <f>股权价值增加表!AD17</f>
        <v>466640698.43483955</v>
      </c>
      <c r="AE15" s="26">
        <f>股权价值增加表!AE17</f>
        <v>290477677.01357728</v>
      </c>
      <c r="AF15" s="26">
        <f>股权价值增加表!AF17</f>
        <v>130103031.57428098</v>
      </c>
      <c r="AG15" s="26">
        <f>股权价值增加表!AG17</f>
        <v>640747198.18330133</v>
      </c>
      <c r="AH15" s="26">
        <f>股权价值增加表!AH17</f>
        <v>505463486.42084205</v>
      </c>
      <c r="AI15" s="26">
        <f>股权价值增加表!AI17</f>
        <v>290884102.35621285</v>
      </c>
      <c r="AJ15" s="26">
        <f>股权价值增加表!AJ17</f>
        <v>81686434.659248948</v>
      </c>
      <c r="AK15" s="26">
        <f>股权价值增加表!AK17</f>
        <v>674924831.74129331</v>
      </c>
      <c r="AL15" s="26">
        <f>股权价值增加表!AL17</f>
        <v>530715748.1633181</v>
      </c>
      <c r="AM15" s="26">
        <f>股权价值增加表!AM17</f>
        <v>343541008.5302251</v>
      </c>
      <c r="AN15" s="26">
        <f>股权价值增加表!AN17</f>
        <v>143683629.11425072</v>
      </c>
      <c r="AO15" s="26">
        <f>股权价值增加表!AO17</f>
        <v>618829163.93705273</v>
      </c>
      <c r="AP15" s="26">
        <f>股权价值增加表!AP17</f>
        <v>460333056.11555934</v>
      </c>
      <c r="AQ15" s="26">
        <f>股权价值增加表!AQ17</f>
        <v>269824474.58792526</v>
      </c>
      <c r="AR15" s="26">
        <f>股权价值增加表!AR17</f>
        <v>112234599.04249217</v>
      </c>
      <c r="AS15" s="26">
        <f>股权价值增加表!AS17</f>
        <v>360377301.98366559</v>
      </c>
      <c r="AT15" s="26">
        <f>股权价值增加表!AT17</f>
        <v>211256754.90065488</v>
      </c>
      <c r="AU15" s="26">
        <f>股权价值增加表!AU17</f>
        <v>127705246.32174757</v>
      </c>
      <c r="AV15" s="26">
        <f>股权价值增加表!AV17</f>
        <v>67609239.061862782</v>
      </c>
      <c r="AW15" s="26">
        <f>股权价值增加表!AW17</f>
        <v>41047247.709999926</v>
      </c>
      <c r="AX15" s="26">
        <f>股权价值增加表!AX17</f>
        <v>37952030.137226894</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8.3595119827956643E-2</v>
      </c>
      <c r="F16" s="28">
        <f t="shared" ref="F16:BQ16" si="8">F14/F15</f>
        <v>0.2576124328392902</v>
      </c>
      <c r="G16" s="28">
        <f t="shared" si="8"/>
        <v>-0.18792110888171723</v>
      </c>
      <c r="H16" s="28">
        <f t="shared" si="8"/>
        <v>-0.78929977851804334</v>
      </c>
      <c r="I16" s="28">
        <f t="shared" si="8"/>
        <v>1.4478507617199075</v>
      </c>
      <c r="J16" s="28">
        <f t="shared" si="8"/>
        <v>0.37073481159348198</v>
      </c>
      <c r="K16" s="28">
        <f t="shared" si="8"/>
        <v>-0.1852608211114701</v>
      </c>
      <c r="L16" s="28">
        <f t="shared" si="8"/>
        <v>5.8063690455063467E-2</v>
      </c>
      <c r="M16" s="28">
        <f t="shared" si="8"/>
        <v>1.3672818126695914</v>
      </c>
      <c r="N16" s="28">
        <f t="shared" si="8"/>
        <v>1.6112429104957344</v>
      </c>
      <c r="O16" s="28">
        <f t="shared" si="8"/>
        <v>1.9550599069106029</v>
      </c>
      <c r="P16" s="28">
        <f t="shared" si="8"/>
        <v>0.57223082159192495</v>
      </c>
      <c r="Q16" s="28">
        <f t="shared" si="8"/>
        <v>1.032313472463166</v>
      </c>
      <c r="R16" s="28">
        <f t="shared" si="8"/>
        <v>1.0683466736567908</v>
      </c>
      <c r="S16" s="28">
        <f t="shared" si="8"/>
        <v>1.5709915675649502</v>
      </c>
      <c r="T16" s="28">
        <f t="shared" si="8"/>
        <v>0.37566697360355544</v>
      </c>
      <c r="U16" s="28">
        <f t="shared" si="8"/>
        <v>0.46243602308537712</v>
      </c>
      <c r="V16" s="28">
        <f t="shared" si="8"/>
        <v>0.56591837358987063</v>
      </c>
      <c r="W16" s="28">
        <f t="shared" si="8"/>
        <v>0.6568472354878061</v>
      </c>
      <c r="X16" s="28">
        <f t="shared" si="8"/>
        <v>0.96579258835472348</v>
      </c>
      <c r="Y16" s="28">
        <f t="shared" si="8"/>
        <v>0.61966015878247693</v>
      </c>
      <c r="Z16" s="28">
        <f t="shared" si="8"/>
        <v>0.44379344991392167</v>
      </c>
      <c r="AA16" s="28">
        <f t="shared" si="8"/>
        <v>0.28161255572670779</v>
      </c>
      <c r="AB16" s="28">
        <f t="shared" si="8"/>
        <v>0.69042552241799449</v>
      </c>
      <c r="AC16" s="28">
        <f t="shared" si="8"/>
        <v>0.79437096239897675</v>
      </c>
      <c r="AD16" s="28">
        <f t="shared" si="8"/>
        <v>1.0315989057418649</v>
      </c>
      <c r="AE16" s="28">
        <f t="shared" si="8"/>
        <v>0.88015910485283122</v>
      </c>
      <c r="AF16" s="28">
        <f t="shared" si="8"/>
        <v>0.48307251667780626</v>
      </c>
      <c r="AG16" s="28">
        <f t="shared" si="8"/>
        <v>0.85762647499364641</v>
      </c>
      <c r="AH16" s="28">
        <f t="shared" si="8"/>
        <v>1.0210554701280576</v>
      </c>
      <c r="AI16" s="28">
        <f t="shared" si="8"/>
        <v>1.2740549992868473</v>
      </c>
      <c r="AJ16" s="28">
        <f t="shared" si="8"/>
        <v>-0.58645695199987402</v>
      </c>
      <c r="AK16" s="28">
        <f t="shared" si="8"/>
        <v>1.1605797836169254</v>
      </c>
      <c r="AL16" s="28">
        <f t="shared" si="8"/>
        <v>0.9287357326323783</v>
      </c>
      <c r="AM16" s="28">
        <f t="shared" si="8"/>
        <v>1.0192439584376236</v>
      </c>
      <c r="AN16" s="28">
        <f t="shared" si="8"/>
        <v>0.18704154840514481</v>
      </c>
      <c r="AO16" s="28">
        <f t="shared" si="8"/>
        <v>1.5404726567588993</v>
      </c>
      <c r="AP16" s="28">
        <f t="shared" si="8"/>
        <v>1.0822929809649189</v>
      </c>
      <c r="AQ16" s="28">
        <f t="shared" si="8"/>
        <v>0.33745947897817102</v>
      </c>
      <c r="AR16" s="28">
        <f t="shared" si="8"/>
        <v>-0.49380896713514327</v>
      </c>
      <c r="AS16" s="28">
        <f t="shared" si="8"/>
        <v>1.1781703826042982</v>
      </c>
      <c r="AT16" s="28">
        <f t="shared" si="8"/>
        <v>1.3125184478024965</v>
      </c>
      <c r="AU16" s="28">
        <f t="shared" si="8"/>
        <v>1.0349834598572136</v>
      </c>
      <c r="AV16" s="28">
        <f t="shared" si="8"/>
        <v>-5.2510963135549059E-2</v>
      </c>
      <c r="AW16" s="28">
        <f t="shared" si="8"/>
        <v>0.77756141399522971</v>
      </c>
      <c r="AX16" s="28">
        <f t="shared" si="8"/>
        <v>0.20399377245450553</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653114334.8599993</v>
      </c>
      <c r="F17" s="26">
        <f>股权价值增加表!F42</f>
        <v>509069697.21000057</v>
      </c>
      <c r="G17" s="26">
        <f>股权价值增加表!G42</f>
        <v>331053849.47000003</v>
      </c>
      <c r="H17" s="26">
        <f>股权价值增加表!H42</f>
        <v>140622929.32999992</v>
      </c>
      <c r="I17" s="26">
        <f>股权价值增加表!I42</f>
        <v>737062082.77999973</v>
      </c>
      <c r="J17" s="26">
        <f>股权价值增加表!J42</f>
        <v>568127896.88000035</v>
      </c>
      <c r="K17" s="26">
        <f>股权价值增加表!K42</f>
        <v>376589600.87999988</v>
      </c>
      <c r="L17" s="26">
        <f>股权价值增加表!L42</f>
        <v>141052169.14999995</v>
      </c>
      <c r="M17" s="26">
        <f>股权价值增加表!M42</f>
        <v>674617808.02000034</v>
      </c>
      <c r="N17" s="26">
        <f>股权价值增加表!N42</f>
        <v>536532131.0599997</v>
      </c>
      <c r="O17" s="26">
        <f>股权价值增加表!O42</f>
        <v>335305140.21999991</v>
      </c>
      <c r="P17" s="26">
        <f>股权价值增加表!P42</f>
        <v>123664048.17000012</v>
      </c>
      <c r="Q17" s="26">
        <f>股权价值增加表!Q42</f>
        <v>615099832.99000001</v>
      </c>
      <c r="R17" s="26">
        <f>股权价值增加表!R42</f>
        <v>510510150.7499997</v>
      </c>
      <c r="S17" s="26">
        <f>股权价值增加表!S42</f>
        <v>328448459.77000004</v>
      </c>
      <c r="T17" s="26">
        <f>股权价值增加表!T42</f>
        <v>122045504.34000006</v>
      </c>
      <c r="U17" s="26">
        <f>股权价值增加表!U42</f>
        <v>568456633.66999984</v>
      </c>
      <c r="V17" s="26">
        <f>股权价值增加表!V42</f>
        <v>478524165.20999986</v>
      </c>
      <c r="W17" s="26">
        <f>股权价值增加表!W42</f>
        <v>299618052.9200002</v>
      </c>
      <c r="X17" s="26">
        <f>股权价值增加表!X42</f>
        <v>132559099.79000008</v>
      </c>
      <c r="Y17" s="26">
        <f>股权价值增加表!Y42</f>
        <v>515149364.63999999</v>
      </c>
      <c r="Z17" s="26">
        <f>股权价值增加表!Z42</f>
        <v>446367609.60999984</v>
      </c>
      <c r="AA17" s="26">
        <f>股权价值增加表!AA42</f>
        <v>291343762.23000002</v>
      </c>
      <c r="AB17" s="26">
        <f>股权价值增加表!AB42</f>
        <v>138070147.14000005</v>
      </c>
      <c r="AC17" s="26">
        <f>股权价值增加表!AC42</f>
        <v>553657410.12000024</v>
      </c>
      <c r="AD17" s="26">
        <f>股权价值增加表!AD42</f>
        <v>492958897.48000002</v>
      </c>
      <c r="AE17" s="26">
        <f>股权价值增加表!AE42</f>
        <v>306839985.50999999</v>
      </c>
      <c r="AF17" s="26">
        <f>股权价值增加表!AF42</f>
        <v>132186998.08999988</v>
      </c>
      <c r="AG17" s="26">
        <f>股权价值增加表!AG42</f>
        <v>675064732.08000064</v>
      </c>
      <c r="AH17" s="26">
        <f>股权价值增加表!AH42</f>
        <v>527429350.01999944</v>
      </c>
      <c r="AI17" s="26">
        <f>股权价值增加表!AI42</f>
        <v>306026614.79999995</v>
      </c>
      <c r="AJ17" s="26">
        <f>股权价值增加表!AJ42</f>
        <v>84804217.400000095</v>
      </c>
      <c r="AK17" s="26">
        <f>股权价值增加表!AK42</f>
        <v>714096064.89000022</v>
      </c>
      <c r="AL17" s="26">
        <f>股权价值增加表!AL42</f>
        <v>557867347.5599997</v>
      </c>
      <c r="AM17" s="26">
        <f>股权价值增加表!AM42</f>
        <v>367728369.75999969</v>
      </c>
      <c r="AN17" s="26">
        <f>股权价值增加表!AN42</f>
        <v>145835076.66999999</v>
      </c>
      <c r="AO17" s="26">
        <f>股权价值增加表!AO42</f>
        <v>639819997.00999951</v>
      </c>
      <c r="AP17" s="26">
        <f>股权价值增加表!AP42</f>
        <v>465410475.67000008</v>
      </c>
      <c r="AQ17" s="26">
        <f>股权价值增加表!AQ42</f>
        <v>271531849.25</v>
      </c>
      <c r="AR17" s="26">
        <f>股权价值增加表!AR42</f>
        <v>112669650.92999992</v>
      </c>
      <c r="AS17" s="26">
        <f>股权价值增加表!AS42</f>
        <v>362684212.05999994</v>
      </c>
      <c r="AT17" s="26">
        <f>股权价值增加表!AT42</f>
        <v>212901025.27999994</v>
      </c>
      <c r="AU17" s="26">
        <f>股权价值增加表!AU42</f>
        <v>128551322.34999995</v>
      </c>
      <c r="AV17" s="26">
        <f>股权价值增加表!AV42</f>
        <v>67961970.499999985</v>
      </c>
      <c r="AW17" s="26">
        <f>股权价值增加表!AW42</f>
        <v>43339516.789999925</v>
      </c>
      <c r="AX17" s="26">
        <f>股权价值增加表!AX42</f>
        <v>38131164.469999991</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7.4877034662671788E-2</v>
      </c>
      <c r="F18" s="28">
        <f t="shared" ref="F18:BQ18" si="10">F14/F17</f>
        <v>0.23750288524858759</v>
      </c>
      <c r="G18" s="28">
        <f t="shared" si="10"/>
        <v>-0.17518171352741041</v>
      </c>
      <c r="H18" s="28">
        <f t="shared" si="10"/>
        <v>-0.74500296473094429</v>
      </c>
      <c r="I18" s="28">
        <f t="shared" si="10"/>
        <v>1.3658776275437485</v>
      </c>
      <c r="J18" s="28">
        <f t="shared" si="10"/>
        <v>0.35837404497847558</v>
      </c>
      <c r="K18" s="28">
        <f t="shared" si="10"/>
        <v>-0.18331296968552666</v>
      </c>
      <c r="L18" s="28">
        <f t="shared" si="10"/>
        <v>5.7551516427707512E-2</v>
      </c>
      <c r="M18" s="28">
        <f t="shared" si="10"/>
        <v>1.2766431837276178</v>
      </c>
      <c r="N18" s="28">
        <f t="shared" si="10"/>
        <v>1.5190119792263845</v>
      </c>
      <c r="O18" s="28">
        <f t="shared" si="10"/>
        <v>1.8146764110767029</v>
      </c>
      <c r="P18" s="28">
        <f t="shared" si="10"/>
        <v>0.52536571931308407</v>
      </c>
      <c r="Q18" s="28">
        <f t="shared" si="10"/>
        <v>0.96799555938048831</v>
      </c>
      <c r="R18" s="28">
        <f t="shared" si="10"/>
        <v>1.0160839784437925</v>
      </c>
      <c r="S18" s="28">
        <f t="shared" si="10"/>
        <v>1.5214100312722558</v>
      </c>
      <c r="T18" s="28">
        <f t="shared" si="10"/>
        <v>0.36194267358623444</v>
      </c>
      <c r="U18" s="28">
        <f t="shared" si="10"/>
        <v>0.43175448662716998</v>
      </c>
      <c r="V18" s="28">
        <f t="shared" si="10"/>
        <v>0.53042950823311064</v>
      </c>
      <c r="W18" s="28">
        <f t="shared" si="10"/>
        <v>0.61166285039884738</v>
      </c>
      <c r="X18" s="28">
        <f t="shared" si="10"/>
        <v>0.93088379134654298</v>
      </c>
      <c r="Y18" s="28">
        <f t="shared" si="10"/>
        <v>0.58702712509667898</v>
      </c>
      <c r="Z18" s="28">
        <f t="shared" si="10"/>
        <v>0.42358710605189082</v>
      </c>
      <c r="AA18" s="28">
        <f t="shared" si="10"/>
        <v>0.26782692971610561</v>
      </c>
      <c r="AB18" s="28">
        <f t="shared" si="10"/>
        <v>0.65747397290707321</v>
      </c>
      <c r="AC18" s="28">
        <f t="shared" si="10"/>
        <v>0.74444723982049865</v>
      </c>
      <c r="AD18" s="28">
        <f t="shared" si="10"/>
        <v>0.97652367436887666</v>
      </c>
      <c r="AE18" s="28">
        <f t="shared" si="10"/>
        <v>0.83322443049609574</v>
      </c>
      <c r="AF18" s="28">
        <f t="shared" si="10"/>
        <v>0.47545673778905961</v>
      </c>
      <c r="AG18" s="28">
        <f t="shared" si="10"/>
        <v>0.81402824770125493</v>
      </c>
      <c r="AH18" s="28">
        <f t="shared" si="10"/>
        <v>0.97853154690847199</v>
      </c>
      <c r="AI18" s="28">
        <f t="shared" si="10"/>
        <v>1.2110134442463534</v>
      </c>
      <c r="AJ18" s="28">
        <f t="shared" si="10"/>
        <v>-0.56489616859550129</v>
      </c>
      <c r="AK18" s="28">
        <f t="shared" si="10"/>
        <v>1.09691700275741</v>
      </c>
      <c r="AL18" s="28">
        <f t="shared" si="10"/>
        <v>0.88353383890601023</v>
      </c>
      <c r="AM18" s="28">
        <f t="shared" si="10"/>
        <v>0.95220311027003179</v>
      </c>
      <c r="AN18" s="28">
        <f t="shared" si="10"/>
        <v>0.1842821979708841</v>
      </c>
      <c r="AO18" s="28">
        <f t="shared" si="10"/>
        <v>1.4899337480930614</v>
      </c>
      <c r="AP18" s="28">
        <f t="shared" si="10"/>
        <v>1.0704856499475535</v>
      </c>
      <c r="AQ18" s="28">
        <f t="shared" si="10"/>
        <v>0.33533755565508488</v>
      </c>
      <c r="AR18" s="28">
        <f t="shared" si="10"/>
        <v>-0.49190222009681378</v>
      </c>
      <c r="AS18" s="28">
        <f t="shared" si="10"/>
        <v>1.1706764442499622</v>
      </c>
      <c r="AT18" s="28">
        <f t="shared" si="10"/>
        <v>1.3023816473656393</v>
      </c>
      <c r="AU18" s="28">
        <f t="shared" si="10"/>
        <v>1.0281715914219847</v>
      </c>
      <c r="AV18" s="28">
        <f t="shared" si="10"/>
        <v>-5.2238424428850259E-2</v>
      </c>
      <c r="AW18" s="28">
        <f t="shared" si="10"/>
        <v>0.73643543661669086</v>
      </c>
      <c r="AX18" s="28">
        <f t="shared" si="10"/>
        <v>0.20303544115708988</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12499680.91</v>
      </c>
      <c r="F19" s="26">
        <f>现金流量表!F48</f>
        <v>0</v>
      </c>
      <c r="G19" s="26">
        <f>现金流量表!G48</f>
        <v>7885111.1299999999</v>
      </c>
      <c r="H19" s="26">
        <f>现金流量表!H48</f>
        <v>0</v>
      </c>
      <c r="I19" s="26">
        <f>现金流量表!I48</f>
        <v>23237429.84</v>
      </c>
      <c r="J19" s="26">
        <f>现金流量表!J48</f>
        <v>0</v>
      </c>
      <c r="K19" s="26">
        <f>现金流量表!K48</f>
        <v>8684764.5800000001</v>
      </c>
      <c r="L19" s="26">
        <f>现金流量表!L48</f>
        <v>0</v>
      </c>
      <c r="M19" s="26">
        <f>现金流量表!M48</f>
        <v>4105865.98</v>
      </c>
      <c r="N19" s="26">
        <f>现金流量表!N48</f>
        <v>0</v>
      </c>
      <c r="O19" s="26">
        <f>现金流量表!O48</f>
        <v>7070760.6100000003</v>
      </c>
      <c r="P19" s="26">
        <f>现金流量表!P48</f>
        <v>0</v>
      </c>
      <c r="Q19" s="26">
        <f>现金流量表!Q48</f>
        <v>4822014.63</v>
      </c>
      <c r="R19" s="26">
        <f>现金流量表!R48</f>
        <v>0</v>
      </c>
      <c r="S19" s="26">
        <f>现金流量表!S48</f>
        <v>4969388.33</v>
      </c>
      <c r="T19" s="26">
        <f>现金流量表!T48</f>
        <v>0</v>
      </c>
      <c r="U19" s="26">
        <f>现金流量表!U48</f>
        <v>19241546.960000001</v>
      </c>
      <c r="V19" s="26">
        <f>现金流量表!V48</f>
        <v>0</v>
      </c>
      <c r="W19" s="26">
        <f>现金流量表!W48</f>
        <v>3726130.77</v>
      </c>
      <c r="X19" s="26">
        <f>现金流量表!X48</f>
        <v>0</v>
      </c>
      <c r="Y19" s="26">
        <f>现金流量表!Y48</f>
        <v>10657854.109999999</v>
      </c>
      <c r="Z19" s="26">
        <f>现金流量表!Z48</f>
        <v>0</v>
      </c>
      <c r="AA19" s="26">
        <f>现金流量表!AA48</f>
        <v>3248436.38</v>
      </c>
      <c r="AB19" s="26">
        <f>现金流量表!AB48</f>
        <v>0</v>
      </c>
      <c r="AC19" s="26">
        <f>现金流量表!AC48</f>
        <v>5119568.22</v>
      </c>
      <c r="AD19" s="26">
        <f>现金流量表!AD48</f>
        <v>0</v>
      </c>
      <c r="AE19" s="26">
        <f>现金流量表!AE48</f>
        <v>2795623.48</v>
      </c>
      <c r="AF19" s="26">
        <f>现金流量表!AF48</f>
        <v>0</v>
      </c>
      <c r="AG19" s="26">
        <f>现金流量表!AG48</f>
        <v>4515424.5999999996</v>
      </c>
      <c r="AH19" s="26">
        <f>现金流量表!AH48</f>
        <v>0</v>
      </c>
      <c r="AI19" s="26">
        <f>现金流量表!AI48</f>
        <v>-7280003.8399999999</v>
      </c>
      <c r="AJ19" s="26">
        <f>现金流量表!AJ48</f>
        <v>0</v>
      </c>
      <c r="AK19" s="26">
        <f>现金流量表!AK48</f>
        <v>23753238.050000001</v>
      </c>
      <c r="AL19" s="26">
        <f>现金流量表!AL48</f>
        <v>0</v>
      </c>
      <c r="AM19" s="26">
        <f>现金流量表!AM48</f>
        <v>49660.29</v>
      </c>
      <c r="AN19" s="26">
        <f>现金流量表!AN48</f>
        <v>0</v>
      </c>
      <c r="AO19" s="26">
        <f>现金流量表!AO48</f>
        <v>-180915.31</v>
      </c>
      <c r="AP19" s="26">
        <f>现金流量表!AP48</f>
        <v>0</v>
      </c>
      <c r="AQ19" s="26">
        <f>现金流量表!AQ48</f>
        <v>25748959.030000001</v>
      </c>
      <c r="AR19" s="26">
        <f>现金流量表!AR48</f>
        <v>0</v>
      </c>
      <c r="AS19" s="26">
        <f>现金流量表!AS48</f>
        <v>6163252.0099999998</v>
      </c>
      <c r="AT19" s="26">
        <f>现金流量表!AT48</f>
        <v>0</v>
      </c>
      <c r="AU19" s="26">
        <f>现金流量表!AU48</f>
        <v>0</v>
      </c>
      <c r="AV19" s="26">
        <f>现金流量表!AV48</f>
        <v>0</v>
      </c>
      <c r="AW19" s="26">
        <f>现金流量表!AW48</f>
        <v>1040126.17</v>
      </c>
      <c r="AX19" s="26">
        <f>现金流量表!AX48</f>
        <v>503674.36</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64828686.75</v>
      </c>
      <c r="F20" s="26">
        <f>现金流量表!F49</f>
        <v>0</v>
      </c>
      <c r="G20" s="26">
        <f>现金流量表!G49</f>
        <v>32800832.93</v>
      </c>
      <c r="H20" s="26">
        <f>现金流量表!H49</f>
        <v>0</v>
      </c>
      <c r="I20" s="26">
        <f>现金流量表!I49</f>
        <v>63857365.25</v>
      </c>
      <c r="J20" s="26">
        <f>现金流量表!J49</f>
        <v>0</v>
      </c>
      <c r="K20" s="26">
        <f>现金流量表!K49</f>
        <v>32116528.469999999</v>
      </c>
      <c r="L20" s="26">
        <f>现金流量表!L49</f>
        <v>0</v>
      </c>
      <c r="M20" s="26">
        <f>现金流量表!M49</f>
        <v>70349508.769999996</v>
      </c>
      <c r="N20" s="26">
        <f>现金流量表!N49</f>
        <v>0</v>
      </c>
      <c r="O20" s="26">
        <f>现金流量表!O49</f>
        <v>26130782.850000001</v>
      </c>
      <c r="P20" s="26">
        <f>现金流量表!P49</f>
        <v>0</v>
      </c>
      <c r="Q20" s="26">
        <f>现金流量表!Q49</f>
        <v>58617376.380000003</v>
      </c>
      <c r="R20" s="26">
        <f>现金流量表!R49</f>
        <v>0</v>
      </c>
      <c r="S20" s="26">
        <f>现金流量表!S49</f>
        <v>23674374.989999998</v>
      </c>
      <c r="T20" s="26">
        <f>现金流量表!T49</f>
        <v>0</v>
      </c>
      <c r="U20" s="26">
        <f>现金流量表!U49</f>
        <v>46356963.539999999</v>
      </c>
      <c r="V20" s="26">
        <f>现金流量表!V49</f>
        <v>0</v>
      </c>
      <c r="W20" s="26">
        <f>现金流量表!W49</f>
        <v>22576978.239999998</v>
      </c>
      <c r="X20" s="26">
        <f>现金流量表!X49</f>
        <v>0</v>
      </c>
      <c r="Y20" s="26">
        <f>现金流量表!Y49</f>
        <v>46273223.159999996</v>
      </c>
      <c r="Z20" s="26">
        <f>现金流量表!Z49</f>
        <v>0</v>
      </c>
      <c r="AA20" s="26">
        <f>现金流量表!AA49</f>
        <v>23223497.010000002</v>
      </c>
      <c r="AB20" s="26">
        <f>现金流量表!AB49</f>
        <v>0</v>
      </c>
      <c r="AC20" s="26">
        <f>现金流量表!AC49</f>
        <v>44621832.880000003</v>
      </c>
      <c r="AD20" s="26">
        <f>现金流量表!AD49</f>
        <v>0</v>
      </c>
      <c r="AE20" s="26">
        <f>现金流量表!AE49</f>
        <v>20671669.420000002</v>
      </c>
      <c r="AF20" s="26">
        <f>现金流量表!AF49</f>
        <v>0</v>
      </c>
      <c r="AG20" s="26">
        <f>现金流量表!AG49</f>
        <v>38409848.479999997</v>
      </c>
      <c r="AH20" s="26">
        <f>现金流量表!AH49</f>
        <v>0</v>
      </c>
      <c r="AI20" s="26">
        <f>现金流量表!AI49</f>
        <v>19389074.390000001</v>
      </c>
      <c r="AJ20" s="26">
        <f>现金流量表!AJ49</f>
        <v>0</v>
      </c>
      <c r="AK20" s="26">
        <f>现金流量表!AK49</f>
        <v>26728818.449999999</v>
      </c>
      <c r="AL20" s="26">
        <f>现金流量表!AL49</f>
        <v>0</v>
      </c>
      <c r="AM20" s="26">
        <f>现金流量表!AM49</f>
        <v>10277356.17</v>
      </c>
      <c r="AN20" s="26">
        <f>现金流量表!AN49</f>
        <v>0</v>
      </c>
      <c r="AO20" s="26">
        <f>现金流量表!AO49</f>
        <v>12597996.539999999</v>
      </c>
      <c r="AP20" s="26">
        <f>现金流量表!AP49</f>
        <v>0</v>
      </c>
      <c r="AQ20" s="26">
        <f>现金流量表!AQ49</f>
        <v>4494818.8499999996</v>
      </c>
      <c r="AR20" s="26">
        <f>现金流量表!AR49</f>
        <v>0</v>
      </c>
      <c r="AS20" s="26">
        <f>现金流量表!AS49</f>
        <v>7074899.71</v>
      </c>
      <c r="AT20" s="26">
        <f>现金流量表!AT49</f>
        <v>0</v>
      </c>
      <c r="AU20" s="26">
        <f>现金流量表!AU49</f>
        <v>0</v>
      </c>
      <c r="AV20" s="26">
        <f>现金流量表!AV49</f>
        <v>0</v>
      </c>
      <c r="AW20" s="26">
        <f>现金流量表!AW49</f>
        <v>835440.42</v>
      </c>
      <c r="AX20" s="26">
        <f>现金流量表!AX49</f>
        <v>691225.5</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9433082.4100000001</v>
      </c>
      <c r="F21" s="26">
        <f>现金流量表!F50</f>
        <v>0</v>
      </c>
      <c r="G21" s="26">
        <f>现金流量表!G50</f>
        <v>3952164.4</v>
      </c>
      <c r="H21" s="26">
        <f>现金流量表!H50</f>
        <v>0</v>
      </c>
      <c r="I21" s="26">
        <f>现金流量表!I50</f>
        <v>8893999.0899999999</v>
      </c>
      <c r="J21" s="26">
        <f>现金流量表!J50</f>
        <v>0</v>
      </c>
      <c r="K21" s="26">
        <f>现金流量表!K50</f>
        <v>4427471.63</v>
      </c>
      <c r="L21" s="26">
        <f>现金流量表!L50</f>
        <v>0</v>
      </c>
      <c r="M21" s="26">
        <f>现金流量表!M50</f>
        <v>9439234.8200000003</v>
      </c>
      <c r="N21" s="26">
        <f>现金流量表!N50</f>
        <v>0</v>
      </c>
      <c r="O21" s="26">
        <f>现金流量表!O50</f>
        <v>4058115.24</v>
      </c>
      <c r="P21" s="26">
        <f>现金流量表!P50</f>
        <v>0</v>
      </c>
      <c r="Q21" s="26">
        <f>现金流量表!Q50</f>
        <v>9554346.0999999996</v>
      </c>
      <c r="R21" s="26">
        <f>现金流量表!R50</f>
        <v>0</v>
      </c>
      <c r="S21" s="26">
        <f>现金流量表!S50</f>
        <v>4783548.28</v>
      </c>
      <c r="T21" s="26">
        <f>现金流量表!T50</f>
        <v>0</v>
      </c>
      <c r="U21" s="26">
        <f>现金流量表!U50</f>
        <v>13092192.609999999</v>
      </c>
      <c r="V21" s="26">
        <f>现金流量表!V50</f>
        <v>0</v>
      </c>
      <c r="W21" s="26">
        <f>现金流量表!W50</f>
        <v>6593304.4800000004</v>
      </c>
      <c r="X21" s="26">
        <f>现金流量表!X50</f>
        <v>0</v>
      </c>
      <c r="Y21" s="26">
        <f>现金流量表!Y50</f>
        <v>13236319.859999999</v>
      </c>
      <c r="Z21" s="26">
        <f>现金流量表!Z50</f>
        <v>0</v>
      </c>
      <c r="AA21" s="26">
        <f>现金流量表!AA50</f>
        <v>5190454.2300000004</v>
      </c>
      <c r="AB21" s="26">
        <f>现金流量表!AB50</f>
        <v>0</v>
      </c>
      <c r="AC21" s="26">
        <f>现金流量表!AC50</f>
        <v>10473438.42</v>
      </c>
      <c r="AD21" s="26">
        <f>现金流量表!AD50</f>
        <v>0</v>
      </c>
      <c r="AE21" s="26">
        <f>现金流量表!AE50</f>
        <v>4492193.82</v>
      </c>
      <c r="AF21" s="26">
        <f>现金流量表!AF50</f>
        <v>0</v>
      </c>
      <c r="AG21" s="26">
        <f>现金流量表!AG50</f>
        <v>7708322.8099999996</v>
      </c>
      <c r="AH21" s="26">
        <f>现金流量表!AH50</f>
        <v>0</v>
      </c>
      <c r="AI21" s="26">
        <f>现金流量表!AI50</f>
        <v>3627913.22</v>
      </c>
      <c r="AJ21" s="26">
        <f>现金流量表!AJ50</f>
        <v>0</v>
      </c>
      <c r="AK21" s="26">
        <f>现金流量表!AK50</f>
        <v>7661732.6900000004</v>
      </c>
      <c r="AL21" s="26">
        <f>现金流量表!AL50</f>
        <v>0</v>
      </c>
      <c r="AM21" s="26">
        <f>现金流量表!AM50</f>
        <v>3383787.22</v>
      </c>
      <c r="AN21" s="26">
        <f>现金流量表!AN50</f>
        <v>0</v>
      </c>
      <c r="AO21" s="26">
        <f>现金流量表!AO50</f>
        <v>5845013.7599999998</v>
      </c>
      <c r="AP21" s="26">
        <f>现金流量表!AP50</f>
        <v>0</v>
      </c>
      <c r="AQ21" s="26">
        <f>现金流量表!AQ50</f>
        <v>3082834.41</v>
      </c>
      <c r="AR21" s="26">
        <f>现金流量表!AR50</f>
        <v>0</v>
      </c>
      <c r="AS21" s="26">
        <f>现金流量表!AS50</f>
        <v>3815906.34</v>
      </c>
      <c r="AT21" s="26">
        <f>现金流量表!AT50</f>
        <v>0</v>
      </c>
      <c r="AU21" s="26">
        <f>现金流量表!AU50</f>
        <v>0</v>
      </c>
      <c r="AV21" s="26">
        <f>现金流量表!AV50</f>
        <v>0</v>
      </c>
      <c r="AW21" s="26">
        <f>现金流量表!AW50</f>
        <v>324252.77</v>
      </c>
      <c r="AX21" s="26">
        <f>现金流量表!AX50</f>
        <v>92427.77</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1818133.9</v>
      </c>
      <c r="F22" s="26">
        <f>现金流量表!F51</f>
        <v>0</v>
      </c>
      <c r="G22" s="26">
        <f>现金流量表!G51</f>
        <v>1547150.46</v>
      </c>
      <c r="H22" s="26">
        <f>现金流量表!H51</f>
        <v>0</v>
      </c>
      <c r="I22" s="26">
        <f>现金流量表!I51</f>
        <v>3094300.92</v>
      </c>
      <c r="J22" s="26">
        <f>现金流量表!J51</f>
        <v>0</v>
      </c>
      <c r="K22" s="26">
        <f>现金流量表!K51</f>
        <v>1547150.46</v>
      </c>
      <c r="L22" s="26">
        <f>现金流量表!L51</f>
        <v>0</v>
      </c>
      <c r="M22" s="26">
        <f>现金流量表!M51</f>
        <v>3094301.11</v>
      </c>
      <c r="N22" s="26">
        <f>现金流量表!N51</f>
        <v>0</v>
      </c>
      <c r="O22" s="26">
        <f>现金流量表!O51</f>
        <v>1338973.78</v>
      </c>
      <c r="P22" s="26">
        <f>现金流量表!P51</f>
        <v>0</v>
      </c>
      <c r="Q22" s="26">
        <f>现金流量表!Q51</f>
        <v>1307666.8999999999</v>
      </c>
      <c r="R22" s="26">
        <f>现金流量表!R51</f>
        <v>0</v>
      </c>
      <c r="S22" s="26">
        <f>现金流量表!S51</f>
        <v>15750</v>
      </c>
      <c r="T22" s="26">
        <f>现金流量表!T51</f>
        <v>0</v>
      </c>
      <c r="U22" s="26">
        <f>现金流量表!U51</f>
        <v>31500</v>
      </c>
      <c r="V22" s="26">
        <f>现金流量表!V51</f>
        <v>0</v>
      </c>
      <c r="W22" s="26">
        <f>现金流量表!W51</f>
        <v>0</v>
      </c>
      <c r="X22" s="26">
        <f>现金流量表!X51</f>
        <v>0</v>
      </c>
      <c r="Y22" s="26">
        <f>现金流量表!Y51</f>
        <v>31500</v>
      </c>
      <c r="Z22" s="26">
        <f>现金流量表!Z51</f>
        <v>0</v>
      </c>
      <c r="AA22" s="26">
        <f>现金流量表!AA51</f>
        <v>0</v>
      </c>
      <c r="AB22" s="26">
        <f>现金流量表!AB51</f>
        <v>0</v>
      </c>
      <c r="AC22" s="26">
        <f>现金流量表!AC51</f>
        <v>34125</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553022.63</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-1399923.52</v>
      </c>
      <c r="F23" s="26">
        <f>现金流量表!F54</f>
        <v>0</v>
      </c>
      <c r="G23" s="26">
        <f>现金流量表!G54</f>
        <v>-545373.79</v>
      </c>
      <c r="H23" s="26">
        <f>现金流量表!H54</f>
        <v>0</v>
      </c>
      <c r="I23" s="26">
        <f>现金流量表!I54</f>
        <v>-45375605.170000002</v>
      </c>
      <c r="J23" s="26">
        <f>现金流量表!J54</f>
        <v>0</v>
      </c>
      <c r="K23" s="26">
        <f>现金流量表!K54</f>
        <v>-45624174.630000003</v>
      </c>
      <c r="L23" s="26">
        <f>现金流量表!L54</f>
        <v>0</v>
      </c>
      <c r="M23" s="26">
        <f>现金流量表!M54</f>
        <v>486107.35</v>
      </c>
      <c r="N23" s="26">
        <f>现金流量表!N54</f>
        <v>0</v>
      </c>
      <c r="O23" s="26">
        <f>现金流量表!O54</f>
        <v>144462.35999999999</v>
      </c>
      <c r="P23" s="26">
        <f>现金流量表!P54</f>
        <v>0</v>
      </c>
      <c r="Q23" s="26">
        <f>现金流量表!Q54</f>
        <v>3196094.28</v>
      </c>
      <c r="R23" s="26">
        <f>现金流量表!R54</f>
        <v>0</v>
      </c>
      <c r="S23" s="26">
        <f>现金流量表!S54</f>
        <v>336591.06</v>
      </c>
      <c r="T23" s="26">
        <f>现金流量表!T54</f>
        <v>0</v>
      </c>
      <c r="U23" s="26">
        <f>现金流量表!U54</f>
        <v>864129.69</v>
      </c>
      <c r="V23" s="26">
        <f>现金流量表!V54</f>
        <v>0</v>
      </c>
      <c r="W23" s="26">
        <f>现金流量表!W54</f>
        <v>670665.68000000005</v>
      </c>
      <c r="X23" s="26">
        <f>现金流量表!X54</f>
        <v>0</v>
      </c>
      <c r="Y23" s="26">
        <f>现金流量表!Y54</f>
        <v>454561.78</v>
      </c>
      <c r="Z23" s="26">
        <f>现金流量表!Z54</f>
        <v>0</v>
      </c>
      <c r="AA23" s="26">
        <f>现金流量表!AA54</f>
        <v>668328.59</v>
      </c>
      <c r="AB23" s="26">
        <f>现金流量表!AB54</f>
        <v>0</v>
      </c>
      <c r="AC23" s="26">
        <f>现金流量表!AC54</f>
        <v>53150.6</v>
      </c>
      <c r="AD23" s="26">
        <f>现金流量表!AD54</f>
        <v>0</v>
      </c>
      <c r="AE23" s="26">
        <f>现金流量表!AE54</f>
        <v>35265.18</v>
      </c>
      <c r="AF23" s="26">
        <f>现金流量表!AF54</f>
        <v>0</v>
      </c>
      <c r="AG23" s="26">
        <f>现金流量表!AG54</f>
        <v>178572.05</v>
      </c>
      <c r="AH23" s="26">
        <f>现金流量表!AH54</f>
        <v>0</v>
      </c>
      <c r="AI23" s="26">
        <f>现金流量表!AI54</f>
        <v>123549.74</v>
      </c>
      <c r="AJ23" s="26">
        <f>现金流量表!AJ54</f>
        <v>0</v>
      </c>
      <c r="AK23" s="26">
        <f>现金流量表!AK54</f>
        <v>1191068.81</v>
      </c>
      <c r="AL23" s="26">
        <f>现金流量表!AL54</f>
        <v>0</v>
      </c>
      <c r="AM23" s="26">
        <f>现金流量表!AM54</f>
        <v>1146368.03</v>
      </c>
      <c r="AN23" s="26">
        <f>现金流量表!AN54</f>
        <v>0</v>
      </c>
      <c r="AO23" s="26">
        <f>现金流量表!AO54</f>
        <v>181662.27</v>
      </c>
      <c r="AP23" s="26">
        <f>现金流量表!AP54</f>
        <v>0</v>
      </c>
      <c r="AQ23" s="26">
        <f>现金流量表!AQ54</f>
        <v>52417.77</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1340385.55</v>
      </c>
      <c r="F24" s="26">
        <f>现金流量表!F55</f>
        <v>0</v>
      </c>
      <c r="G24" s="26">
        <f>现金流量表!G55</f>
        <v>0</v>
      </c>
      <c r="H24" s="26">
        <f>现金流量表!H55</f>
        <v>0</v>
      </c>
      <c r="I24" s="26">
        <f>现金流量表!I55</f>
        <v>2871.75</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75821.210000000006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89542.15</v>
      </c>
      <c r="AR24" s="26">
        <f>现金流量表!AR55</f>
        <v>0</v>
      </c>
      <c r="AS24" s="26">
        <f>现金流量表!AS55</f>
        <v>151921.56</v>
      </c>
      <c r="AT24" s="26">
        <f>现金流量表!AT55</f>
        <v>0</v>
      </c>
      <c r="AU24" s="26">
        <f>现金流量表!AU55</f>
        <v>0</v>
      </c>
      <c r="AV24" s="26">
        <f>现金流量表!AV55</f>
        <v>0</v>
      </c>
      <c r="AW24" s="26">
        <f>现金流量表!AW55</f>
        <v>0</v>
      </c>
      <c r="AX24" s="26">
        <f>现金流量表!AX55</f>
        <v>215198.12</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88520046</v>
      </c>
      <c r="F25" s="28">
        <f t="shared" ref="F25:BQ25" si="12">SUM(F19:F24)</f>
        <v>0</v>
      </c>
      <c r="G25" s="28">
        <f t="shared" si="12"/>
        <v>45639885.130000003</v>
      </c>
      <c r="H25" s="28">
        <f t="shared" si="12"/>
        <v>0</v>
      </c>
      <c r="I25" s="28">
        <f t="shared" si="12"/>
        <v>53710361.680000007</v>
      </c>
      <c r="J25" s="28">
        <f t="shared" si="12"/>
        <v>0</v>
      </c>
      <c r="K25" s="28">
        <f t="shared" si="12"/>
        <v>1151740.5099999979</v>
      </c>
      <c r="L25" s="28">
        <f t="shared" si="12"/>
        <v>0</v>
      </c>
      <c r="M25" s="28">
        <f t="shared" si="12"/>
        <v>87475018.029999986</v>
      </c>
      <c r="N25" s="28">
        <f t="shared" si="12"/>
        <v>0</v>
      </c>
      <c r="O25" s="28">
        <f t="shared" si="12"/>
        <v>38743094.840000004</v>
      </c>
      <c r="P25" s="28">
        <f t="shared" si="12"/>
        <v>0</v>
      </c>
      <c r="Q25" s="28">
        <f t="shared" si="12"/>
        <v>77497498.290000007</v>
      </c>
      <c r="R25" s="28">
        <f t="shared" si="12"/>
        <v>0</v>
      </c>
      <c r="S25" s="28">
        <f t="shared" si="12"/>
        <v>33779652.660000004</v>
      </c>
      <c r="T25" s="28">
        <f t="shared" si="12"/>
        <v>0</v>
      </c>
      <c r="U25" s="28">
        <f t="shared" si="12"/>
        <v>79662154.00999999</v>
      </c>
      <c r="V25" s="28">
        <f t="shared" si="12"/>
        <v>0</v>
      </c>
      <c r="W25" s="28">
        <f t="shared" si="12"/>
        <v>33567079.170000002</v>
      </c>
      <c r="X25" s="28">
        <f t="shared" si="12"/>
        <v>0</v>
      </c>
      <c r="Y25" s="28">
        <f t="shared" si="12"/>
        <v>70653458.909999996</v>
      </c>
      <c r="Z25" s="28">
        <f t="shared" si="12"/>
        <v>0</v>
      </c>
      <c r="AA25" s="28">
        <f t="shared" si="12"/>
        <v>32330716.210000001</v>
      </c>
      <c r="AB25" s="28">
        <f t="shared" si="12"/>
        <v>0</v>
      </c>
      <c r="AC25" s="28">
        <f t="shared" si="12"/>
        <v>60302115.120000005</v>
      </c>
      <c r="AD25" s="28">
        <f t="shared" si="12"/>
        <v>0</v>
      </c>
      <c r="AE25" s="28">
        <f t="shared" si="12"/>
        <v>27994751.900000002</v>
      </c>
      <c r="AF25" s="28">
        <f t="shared" si="12"/>
        <v>0</v>
      </c>
      <c r="AG25" s="28">
        <f t="shared" si="12"/>
        <v>50812167.939999998</v>
      </c>
      <c r="AH25" s="28">
        <f t="shared" si="12"/>
        <v>0</v>
      </c>
      <c r="AI25" s="28">
        <f t="shared" si="12"/>
        <v>15860533.510000002</v>
      </c>
      <c r="AJ25" s="28">
        <f t="shared" si="12"/>
        <v>0</v>
      </c>
      <c r="AK25" s="28">
        <f t="shared" si="12"/>
        <v>59334858</v>
      </c>
      <c r="AL25" s="28">
        <f t="shared" si="12"/>
        <v>0</v>
      </c>
      <c r="AM25" s="28">
        <f t="shared" si="12"/>
        <v>14857171.709999999</v>
      </c>
      <c r="AN25" s="28">
        <f t="shared" si="12"/>
        <v>0</v>
      </c>
      <c r="AO25" s="28">
        <f t="shared" si="12"/>
        <v>18443757.259999998</v>
      </c>
      <c r="AP25" s="28">
        <f t="shared" si="12"/>
        <v>0</v>
      </c>
      <c r="AQ25" s="28">
        <f t="shared" si="12"/>
        <v>33468572.210000001</v>
      </c>
      <c r="AR25" s="28">
        <f t="shared" si="12"/>
        <v>0</v>
      </c>
      <c r="AS25" s="28">
        <f t="shared" si="12"/>
        <v>17759002.249999996</v>
      </c>
      <c r="AT25" s="28">
        <f t="shared" si="12"/>
        <v>0</v>
      </c>
      <c r="AU25" s="28">
        <f t="shared" si="12"/>
        <v>0</v>
      </c>
      <c r="AV25" s="28">
        <f t="shared" si="12"/>
        <v>0</v>
      </c>
      <c r="AW25" s="28">
        <f t="shared" si="12"/>
        <v>2199819.3600000003</v>
      </c>
      <c r="AX25" s="28">
        <f t="shared" si="12"/>
        <v>1502525.75</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-39616781.310000002</v>
      </c>
      <c r="F26" s="28">
        <f t="shared" ref="F26:BQ26" si="14">F14-F25</f>
        <v>120905521.88</v>
      </c>
      <c r="G26" s="28">
        <f t="shared" si="14"/>
        <v>-103634465.75</v>
      </c>
      <c r="H26" s="28">
        <f t="shared" si="14"/>
        <v>-104764499.26000001</v>
      </c>
      <c r="I26" s="28">
        <f t="shared" si="14"/>
        <v>953026247.29999995</v>
      </c>
      <c r="J26" s="28">
        <f t="shared" si="14"/>
        <v>203602292.47</v>
      </c>
      <c r="K26" s="28">
        <f t="shared" si="14"/>
        <v>-70185498.599999994</v>
      </c>
      <c r="L26" s="28">
        <f t="shared" si="14"/>
        <v>8117766.2300000004</v>
      </c>
      <c r="M26" s="28">
        <f t="shared" si="14"/>
        <v>773771208.20000005</v>
      </c>
      <c r="N26" s="28">
        <f t="shared" si="14"/>
        <v>814998734.32000005</v>
      </c>
      <c r="O26" s="28">
        <f t="shared" si="14"/>
        <v>569727233.63</v>
      </c>
      <c r="P26" s="28">
        <f t="shared" si="14"/>
        <v>64968851.619999997</v>
      </c>
      <c r="Q26" s="28">
        <f t="shared" si="14"/>
        <v>517916408.61999995</v>
      </c>
      <c r="R26" s="28">
        <f t="shared" si="14"/>
        <v>518721185.00999999</v>
      </c>
      <c r="S26" s="28">
        <f t="shared" si="14"/>
        <v>465925128.78999996</v>
      </c>
      <c r="T26" s="28">
        <f t="shared" si="14"/>
        <v>44173476.140000001</v>
      </c>
      <c r="U26" s="28">
        <f t="shared" si="14"/>
        <v>165771548.03</v>
      </c>
      <c r="V26" s="28">
        <f t="shared" si="14"/>
        <v>253823337.63</v>
      </c>
      <c r="W26" s="28">
        <f t="shared" si="14"/>
        <v>149698153.11000001</v>
      </c>
      <c r="X26" s="28">
        <f t="shared" si="14"/>
        <v>123397117.39</v>
      </c>
      <c r="Y26" s="28">
        <f t="shared" si="14"/>
        <v>231753191.60999998</v>
      </c>
      <c r="Z26" s="28">
        <f t="shared" si="14"/>
        <v>189075563.99000001</v>
      </c>
      <c r="AA26" s="28">
        <f t="shared" si="14"/>
        <v>45698989.119999997</v>
      </c>
      <c r="AB26" s="28">
        <f t="shared" si="14"/>
        <v>90777528.180000007</v>
      </c>
      <c r="AC26" s="28">
        <f t="shared" si="14"/>
        <v>351866615.64999998</v>
      </c>
      <c r="AD26" s="28">
        <f t="shared" si="14"/>
        <v>481386033.88</v>
      </c>
      <c r="AE26" s="28">
        <f t="shared" si="14"/>
        <v>227671820.28</v>
      </c>
      <c r="AF26" s="28">
        <f t="shared" si="14"/>
        <v>62849198.890000001</v>
      </c>
      <c r="AG26" s="28">
        <f t="shared" si="14"/>
        <v>498709593.00000006</v>
      </c>
      <c r="AH26" s="28">
        <f t="shared" si="14"/>
        <v>516106257.75999999</v>
      </c>
      <c r="AI26" s="28">
        <f t="shared" si="14"/>
        <v>354741811.31</v>
      </c>
      <c r="AJ26" s="28">
        <f t="shared" si="14"/>
        <v>-47905577.490000002</v>
      </c>
      <c r="AK26" s="28">
        <f t="shared" si="14"/>
        <v>723969257.17999995</v>
      </c>
      <c r="AL26" s="28">
        <f t="shared" si="14"/>
        <v>492894679.19</v>
      </c>
      <c r="AM26" s="28">
        <f t="shared" si="14"/>
        <v>335294925.71000004</v>
      </c>
      <c r="AN26" s="28">
        <f t="shared" si="14"/>
        <v>26874808.469999999</v>
      </c>
      <c r="AO26" s="28">
        <f t="shared" si="14"/>
        <v>934845648.99000001</v>
      </c>
      <c r="AP26" s="28">
        <f t="shared" si="14"/>
        <v>498215235.54000002</v>
      </c>
      <c r="AQ26" s="28">
        <f t="shared" si="14"/>
        <v>57586254.399999999</v>
      </c>
      <c r="AR26" s="28">
        <f t="shared" si="14"/>
        <v>-55422451.43</v>
      </c>
      <c r="AS26" s="28">
        <f t="shared" si="14"/>
        <v>406826861.50999999</v>
      </c>
      <c r="AT26" s="28">
        <f t="shared" si="14"/>
        <v>277278388.02999997</v>
      </c>
      <c r="AU26" s="28">
        <f t="shared" si="14"/>
        <v>132172817.68000001</v>
      </c>
      <c r="AV26" s="28">
        <f t="shared" si="14"/>
        <v>-3550226.26</v>
      </c>
      <c r="AW26" s="28">
        <f t="shared" si="14"/>
        <v>29716936.609999999</v>
      </c>
      <c r="AX26" s="28">
        <f t="shared" si="14"/>
        <v>6239452.0499999998</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-40957166.859999999</v>
      </c>
      <c r="F27" s="26">
        <f t="shared" ref="F27:BQ27" si="16">F26-F24</f>
        <v>120905521.88</v>
      </c>
      <c r="G27" s="26">
        <f t="shared" si="16"/>
        <v>-103634465.75</v>
      </c>
      <c r="H27" s="26">
        <f t="shared" si="16"/>
        <v>-104764499.26000001</v>
      </c>
      <c r="I27" s="26">
        <f t="shared" si="16"/>
        <v>953023375.54999995</v>
      </c>
      <c r="J27" s="26">
        <f t="shared" si="16"/>
        <v>203602292.47</v>
      </c>
      <c r="K27" s="26">
        <f t="shared" si="16"/>
        <v>-70185498.599999994</v>
      </c>
      <c r="L27" s="26">
        <f t="shared" si="16"/>
        <v>8117766.2300000004</v>
      </c>
      <c r="M27" s="26">
        <f t="shared" si="16"/>
        <v>773771208.20000005</v>
      </c>
      <c r="N27" s="26">
        <f t="shared" si="16"/>
        <v>814998734.32000005</v>
      </c>
      <c r="O27" s="26">
        <f t="shared" si="16"/>
        <v>569727233.63</v>
      </c>
      <c r="P27" s="26">
        <f t="shared" si="16"/>
        <v>64968851.619999997</v>
      </c>
      <c r="Q27" s="26">
        <f t="shared" si="16"/>
        <v>517916408.61999995</v>
      </c>
      <c r="R27" s="26">
        <f t="shared" si="16"/>
        <v>518721185.00999999</v>
      </c>
      <c r="S27" s="26">
        <f t="shared" si="16"/>
        <v>465925128.78999996</v>
      </c>
      <c r="T27" s="26">
        <f t="shared" si="16"/>
        <v>44173476.140000001</v>
      </c>
      <c r="U27" s="26">
        <f t="shared" si="16"/>
        <v>165695726.81999999</v>
      </c>
      <c r="V27" s="26">
        <f t="shared" si="16"/>
        <v>253823337.63</v>
      </c>
      <c r="W27" s="26">
        <f t="shared" si="16"/>
        <v>149698153.11000001</v>
      </c>
      <c r="X27" s="26">
        <f t="shared" si="16"/>
        <v>123397117.39</v>
      </c>
      <c r="Y27" s="26">
        <f t="shared" si="16"/>
        <v>231753191.60999998</v>
      </c>
      <c r="Z27" s="26">
        <f t="shared" si="16"/>
        <v>189075563.99000001</v>
      </c>
      <c r="AA27" s="26">
        <f t="shared" si="16"/>
        <v>45698989.119999997</v>
      </c>
      <c r="AB27" s="26">
        <f t="shared" si="16"/>
        <v>90777528.180000007</v>
      </c>
      <c r="AC27" s="26">
        <f t="shared" si="16"/>
        <v>351866615.64999998</v>
      </c>
      <c r="AD27" s="26">
        <f t="shared" si="16"/>
        <v>481386033.88</v>
      </c>
      <c r="AE27" s="26">
        <f t="shared" si="16"/>
        <v>227671820.28</v>
      </c>
      <c r="AF27" s="26">
        <f t="shared" si="16"/>
        <v>62849198.890000001</v>
      </c>
      <c r="AG27" s="26">
        <f t="shared" si="16"/>
        <v>498709593.00000006</v>
      </c>
      <c r="AH27" s="26">
        <f t="shared" si="16"/>
        <v>516106257.75999999</v>
      </c>
      <c r="AI27" s="26">
        <f t="shared" si="16"/>
        <v>354741811.31</v>
      </c>
      <c r="AJ27" s="26">
        <f t="shared" si="16"/>
        <v>-47905577.490000002</v>
      </c>
      <c r="AK27" s="26">
        <f t="shared" si="16"/>
        <v>723969257.17999995</v>
      </c>
      <c r="AL27" s="26">
        <f t="shared" si="16"/>
        <v>492894679.19</v>
      </c>
      <c r="AM27" s="26">
        <f t="shared" si="16"/>
        <v>335294925.71000004</v>
      </c>
      <c r="AN27" s="26">
        <f t="shared" si="16"/>
        <v>26874808.469999999</v>
      </c>
      <c r="AO27" s="26">
        <f t="shared" si="16"/>
        <v>934845648.99000001</v>
      </c>
      <c r="AP27" s="26">
        <f t="shared" si="16"/>
        <v>498215235.54000002</v>
      </c>
      <c r="AQ27" s="26">
        <f t="shared" si="16"/>
        <v>57496712.25</v>
      </c>
      <c r="AR27" s="26">
        <f t="shared" si="16"/>
        <v>-55422451.43</v>
      </c>
      <c r="AS27" s="26">
        <f t="shared" si="16"/>
        <v>406674939.94999999</v>
      </c>
      <c r="AT27" s="26">
        <f t="shared" si="16"/>
        <v>277278388.02999997</v>
      </c>
      <c r="AU27" s="26">
        <f t="shared" si="16"/>
        <v>132172817.68000001</v>
      </c>
      <c r="AV27" s="26">
        <f t="shared" si="16"/>
        <v>-3550226.26</v>
      </c>
      <c r="AW27" s="26">
        <f t="shared" si="16"/>
        <v>29716936.609999999</v>
      </c>
      <c r="AX27" s="26">
        <f t="shared" si="16"/>
        <v>6024253.9299999997</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-1.0429760359617235</v>
      </c>
      <c r="F28" s="63">
        <f t="shared" ref="F28:BQ28" si="18">(F27-J27)/J27</f>
        <v>-0.40616817024388391</v>
      </c>
      <c r="G28" s="63">
        <f t="shared" si="18"/>
        <v>0.47657946181492267</v>
      </c>
      <c r="H28" s="63">
        <f t="shared" si="18"/>
        <v>-13.905582187478194</v>
      </c>
      <c r="I28" s="63">
        <f t="shared" si="18"/>
        <v>0.23166042552421751</v>
      </c>
      <c r="J28" s="63">
        <f t="shared" si="18"/>
        <v>-0.75018084826858411</v>
      </c>
      <c r="K28" s="63">
        <f t="shared" si="18"/>
        <v>-1.1231914053902869</v>
      </c>
      <c r="L28" s="63">
        <f t="shared" si="18"/>
        <v>-0.8750514126757164</v>
      </c>
      <c r="M28" s="63">
        <f t="shared" si="18"/>
        <v>0.49400790421321278</v>
      </c>
      <c r="N28" s="63">
        <f t="shared" si="18"/>
        <v>0.57116917116907107</v>
      </c>
      <c r="O28" s="63">
        <f t="shared" si="18"/>
        <v>0.22278709265922708</v>
      </c>
      <c r="P28" s="63">
        <f t="shared" si="18"/>
        <v>0.47076610892230308</v>
      </c>
      <c r="Q28" s="63">
        <f t="shared" si="18"/>
        <v>2.1257076966301454</v>
      </c>
      <c r="R28" s="63">
        <f t="shared" si="18"/>
        <v>1.0436307782152932</v>
      </c>
      <c r="S28" s="63">
        <f t="shared" si="18"/>
        <v>2.1124307087986085</v>
      </c>
      <c r="T28" s="63">
        <f t="shared" si="18"/>
        <v>-0.64202181481769538</v>
      </c>
      <c r="U28" s="63">
        <f t="shared" si="18"/>
        <v>-0.28503367885074538</v>
      </c>
      <c r="V28" s="63">
        <f t="shared" si="18"/>
        <v>0.34244390059534302</v>
      </c>
      <c r="W28" s="63">
        <f t="shared" si="18"/>
        <v>2.2757432055424864</v>
      </c>
      <c r="X28" s="63">
        <f t="shared" si="18"/>
        <v>0.35933550807111203</v>
      </c>
      <c r="Y28" s="63">
        <f t="shared" si="18"/>
        <v>-0.34136067105461415</v>
      </c>
      <c r="Z28" s="63">
        <f t="shared" si="18"/>
        <v>-0.6072267355451928</v>
      </c>
      <c r="AA28" s="63">
        <f t="shared" si="18"/>
        <v>-0.79927691945451329</v>
      </c>
      <c r="AB28" s="63">
        <f t="shared" si="18"/>
        <v>0.44437048973179055</v>
      </c>
      <c r="AC28" s="63">
        <f t="shared" si="18"/>
        <v>-0.29444586470988549</v>
      </c>
      <c r="AD28" s="63">
        <f t="shared" si="18"/>
        <v>-6.72734022460654E-2</v>
      </c>
      <c r="AE28" s="63">
        <f t="shared" si="18"/>
        <v>-0.35820415575134085</v>
      </c>
      <c r="AF28" s="63">
        <f t="shared" si="18"/>
        <v>-2.3119390722952744</v>
      </c>
      <c r="AG28" s="63">
        <f t="shared" si="18"/>
        <v>-0.31114534484161632</v>
      </c>
      <c r="AH28" s="63">
        <f t="shared" si="18"/>
        <v>4.7092369932142122E-2</v>
      </c>
      <c r="AI28" s="63">
        <f t="shared" si="18"/>
        <v>5.7999343589290618E-2</v>
      </c>
      <c r="AJ28" s="63">
        <f t="shared" si="18"/>
        <v>-2.7825458195721242</v>
      </c>
      <c r="AK28" s="63">
        <f t="shared" si="18"/>
        <v>-0.2255734858881028</v>
      </c>
      <c r="AL28" s="63">
        <f t="shared" si="18"/>
        <v>-1.0679232529356993E-2</v>
      </c>
      <c r="AM28" s="63">
        <f t="shared" si="18"/>
        <v>4.8315495371650581</v>
      </c>
      <c r="AN28" s="63">
        <f t="shared" si="18"/>
        <v>-1.4849083318507408</v>
      </c>
      <c r="AO28" s="63">
        <f t="shared" si="18"/>
        <v>1.2987540100330199</v>
      </c>
      <c r="AP28" s="63">
        <f t="shared" si="18"/>
        <v>0.79680514979802863</v>
      </c>
      <c r="AQ28" s="63">
        <f t="shared" si="18"/>
        <v>-0.5649883746202361</v>
      </c>
      <c r="AR28" s="63">
        <f t="shared" si="18"/>
        <v>14.610963181259327</v>
      </c>
      <c r="AS28" s="63">
        <f t="shared" si="18"/>
        <v>12.684954990049359</v>
      </c>
      <c r="AT28" s="63">
        <f t="shared" si="18"/>
        <v>45.027008697158287</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8" t="s">
        <v>738</v>
      </c>
      <c r="B29" s="277"/>
      <c r="C29" s="277"/>
      <c r="D29" s="277"/>
      <c r="E29" s="277"/>
      <c r="F29" s="277"/>
      <c r="G29" s="277"/>
      <c r="H29" s="277"/>
      <c r="I29" s="277"/>
      <c r="J29" s="277"/>
      <c r="K29" s="277"/>
      <c r="L29" s="277"/>
      <c r="M29" s="277"/>
      <c r="N29" s="277"/>
      <c r="O29" s="277"/>
      <c r="P29" s="277"/>
      <c r="Q29" s="277"/>
      <c r="R29" s="277"/>
      <c r="S29" s="277"/>
      <c r="T29" s="277"/>
      <c r="U29" s="277"/>
      <c r="V29" s="277"/>
      <c r="W29" s="277"/>
      <c r="X29" s="277"/>
      <c r="Y29" s="277"/>
      <c r="Z29" s="277"/>
      <c r="AA29" s="277"/>
      <c r="AB29" s="277"/>
      <c r="AC29" s="277"/>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-1.7561426235451847</v>
      </c>
      <c r="F31" s="112"/>
      <c r="G31" s="112"/>
      <c r="H31" s="112"/>
      <c r="I31" s="112" t="e">
        <f>POWER(E27/Y27,1/6)-1</f>
        <v>#NUM!</v>
      </c>
      <c r="M31" s="112">
        <f>POWER(E27/AC27,1/7)-1</f>
        <v>-1.7354692999770025</v>
      </c>
      <c r="Q31" s="115" t="s">
        <v>604</v>
      </c>
      <c r="R31" s="115"/>
      <c r="S31" s="115"/>
      <c r="T31" s="115"/>
      <c r="U31" s="115">
        <f>POWER(E14/U14,1/5)-1</f>
        <v>-0.27576296243534437</v>
      </c>
      <c r="V31" s="115"/>
      <c r="W31" s="115"/>
      <c r="X31" s="115"/>
      <c r="Y31" s="115">
        <f>POWER(E14/Y14,1/6)-1</f>
        <v>-0.26188434060667509</v>
      </c>
      <c r="Z31" s="115"/>
      <c r="AA31" s="115"/>
      <c r="AB31" s="115"/>
      <c r="AC31" s="115">
        <f>POWER(E14/AC14,1/7)-1</f>
        <v>-0.26251731145127377</v>
      </c>
    </row>
    <row r="32" spans="1:90" s="66" customFormat="1" x14ac:dyDescent="0.25">
      <c r="A32" s="46" t="s">
        <v>513</v>
      </c>
      <c r="E32" s="66">
        <v>0.17</v>
      </c>
    </row>
    <row r="39" spans="1:13" ht="43.2" x14ac:dyDescent="0.25">
      <c r="A39" s="67" t="s">
        <v>514</v>
      </c>
    </row>
    <row r="41" spans="1:13" ht="111" customHeight="1" x14ac:dyDescent="0.25">
      <c r="A41" s="278" t="s">
        <v>737</v>
      </c>
      <c r="B41" s="277"/>
      <c r="C41" s="277"/>
      <c r="D41" s="277"/>
      <c r="E41" s="277"/>
      <c r="F41" s="277"/>
      <c r="G41" s="277"/>
      <c r="H41" s="277"/>
      <c r="I41" s="277"/>
      <c r="J41" s="277"/>
      <c r="K41" s="277"/>
      <c r="L41" s="277"/>
      <c r="M41" s="277"/>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I18" sqref="I18"/>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7" width="17.21875" bestFit="1" customWidth="1"/>
    <col min="8"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C1" s="191" t="s">
        <v>751</v>
      </c>
      <c r="D1" s="316">
        <v>0.08</v>
      </c>
      <c r="E1" s="262" t="s">
        <v>752</v>
      </c>
      <c r="F1" s="63">
        <f>平均资本成本表!E13</f>
        <v>0.18220200748881729</v>
      </c>
    </row>
    <row r="2" spans="1:10" x14ac:dyDescent="0.25">
      <c r="A2" s="70" t="s">
        <v>516</v>
      </c>
      <c r="B2" s="71">
        <f>(自由现金流分析表!E27+自由现金流分析表!I27+自由现金流分析表!M27)/3</f>
        <v>561945805.63</v>
      </c>
      <c r="C2" t="s">
        <v>549</v>
      </c>
      <c r="D2" s="63"/>
      <c r="E2" s="63"/>
      <c r="F2" s="56"/>
    </row>
    <row r="3" spans="1:10" s="63" customFormat="1" x14ac:dyDescent="0.25">
      <c r="A3" s="72" t="s">
        <v>517</v>
      </c>
      <c r="B3" s="98">
        <v>0.03</v>
      </c>
      <c r="D3" s="190"/>
      <c r="E3" s="190"/>
      <c r="F3" s="260"/>
    </row>
    <row r="4" spans="1:10" s="63" customFormat="1" x14ac:dyDescent="0.25">
      <c r="A4" s="72" t="s">
        <v>518</v>
      </c>
      <c r="B4" s="98">
        <f>MIN(平均资本成本表!E13,D1)</f>
        <v>0.08</v>
      </c>
      <c r="D4" s="190"/>
      <c r="E4" s="190"/>
      <c r="F4" s="261"/>
    </row>
    <row r="5" spans="1:10" x14ac:dyDescent="0.25">
      <c r="A5" s="70" t="s">
        <v>519</v>
      </c>
      <c r="B5" s="71">
        <f>B2*(1+B3)/(B4-B3)</f>
        <v>11576083595.977999</v>
      </c>
      <c r="D5" s="63"/>
      <c r="E5" s="63"/>
    </row>
    <row r="6" spans="1:10" x14ac:dyDescent="0.25">
      <c r="A6" s="70" t="s">
        <v>520</v>
      </c>
      <c r="B6" s="71">
        <f>资产资本表!E17</f>
        <v>1459010640.3200002</v>
      </c>
      <c r="D6" s="190"/>
      <c r="E6" s="190"/>
      <c r="F6" s="190"/>
      <c r="G6" s="190"/>
    </row>
    <row r="7" spans="1:10" x14ac:dyDescent="0.25">
      <c r="A7" s="70" t="s">
        <v>521</v>
      </c>
      <c r="B7" s="71">
        <f>资产资本表!E19</f>
        <v>263724302.63999999</v>
      </c>
      <c r="D7" s="190"/>
      <c r="E7" s="190"/>
      <c r="F7" s="190"/>
      <c r="G7" s="190"/>
    </row>
    <row r="8" spans="1:10" x14ac:dyDescent="0.25">
      <c r="A8" s="70" t="s">
        <v>522</v>
      </c>
      <c r="B8" s="197">
        <f>资产资本表!E89</f>
        <v>5274285.7</v>
      </c>
      <c r="C8" s="272" t="s">
        <v>749</v>
      </c>
      <c r="D8" s="273">
        <f>B2/B4</f>
        <v>7024322570.375</v>
      </c>
      <c r="E8" s="63"/>
      <c r="F8" s="190"/>
      <c r="G8" s="190"/>
    </row>
    <row r="9" spans="1:10" x14ac:dyDescent="0.25">
      <c r="A9" s="70" t="s">
        <v>523</v>
      </c>
      <c r="B9" s="197">
        <f>B5+B6+B7-B8</f>
        <v>13293544253.237997</v>
      </c>
      <c r="C9" s="272" t="s">
        <v>750</v>
      </c>
      <c r="D9" s="273">
        <f>(D8+资产资本结构分析表!$E$2+资产资本结构分析表!$E$3)/B55</f>
        <v>11.471384746553964</v>
      </c>
      <c r="E9" s="190"/>
      <c r="F9" s="190"/>
      <c r="G9" s="190"/>
    </row>
    <row r="10" spans="1:10" x14ac:dyDescent="0.25">
      <c r="A10" s="70" t="s">
        <v>524</v>
      </c>
      <c r="B10" s="73">
        <f>资产资本表!E103/资产资本表!E107</f>
        <v>2.1389737669717341E-3</v>
      </c>
      <c r="D10" s="190"/>
      <c r="E10" s="190"/>
      <c r="F10" s="190"/>
      <c r="G10" s="190"/>
    </row>
    <row r="11" spans="1:10" x14ac:dyDescent="0.25">
      <c r="A11" s="70" t="s">
        <v>550</v>
      </c>
      <c r="B11" s="197">
        <f>B9*(1-B10)</f>
        <v>13265109710.810244</v>
      </c>
      <c r="C11" s="269" t="s">
        <v>746</v>
      </c>
      <c r="D11" s="270">
        <f>资产资本结构分析表!E2</f>
        <v>1459010640.3200002</v>
      </c>
      <c r="E11" s="63"/>
      <c r="F11" s="190"/>
      <c r="G11" s="190"/>
    </row>
    <row r="12" spans="1:10" x14ac:dyDescent="0.25">
      <c r="A12" s="70" t="s">
        <v>525</v>
      </c>
      <c r="B12" s="268">
        <f>B55</f>
        <v>762511040</v>
      </c>
      <c r="C12" s="269" t="s">
        <v>747</v>
      </c>
      <c r="D12" s="271">
        <f>D11/B55</f>
        <v>1.9134288735281788</v>
      </c>
      <c r="E12" s="190"/>
      <c r="F12" s="190"/>
      <c r="G12" s="190"/>
    </row>
    <row r="13" spans="1:10" ht="15" thickBot="1" x14ac:dyDescent="0.3">
      <c r="A13" s="74" t="s">
        <v>526</v>
      </c>
      <c r="B13" s="75">
        <f>B11/B12</f>
        <v>17.396613314359676</v>
      </c>
      <c r="D13" s="190"/>
      <c r="E13" s="190"/>
    </row>
    <row r="14" spans="1:10" s="16" customFormat="1" ht="53.25" customHeight="1" x14ac:dyDescent="0.25">
      <c r="A14" s="278" t="s">
        <v>739</v>
      </c>
      <c r="B14" s="277"/>
      <c r="C14" s="277"/>
      <c r="D14" s="277"/>
      <c r="E14" s="277"/>
      <c r="F14" s="277"/>
      <c r="G14" s="277"/>
      <c r="H14" s="277"/>
      <c r="I14" s="277"/>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0.02</v>
      </c>
      <c r="J17" s="78"/>
    </row>
    <row r="18" spans="1:10" s="2" customFormat="1" x14ac:dyDescent="0.25">
      <c r="A18" s="299" t="s">
        <v>527</v>
      </c>
      <c r="B18" s="299"/>
      <c r="C18" s="65" t="s">
        <v>541</v>
      </c>
      <c r="D18" s="97">
        <v>1</v>
      </c>
      <c r="E18" s="97">
        <v>2</v>
      </c>
      <c r="F18" s="97">
        <v>3</v>
      </c>
      <c r="G18" s="97">
        <v>4</v>
      </c>
      <c r="H18" s="97">
        <v>5</v>
      </c>
      <c r="I18" s="96">
        <v>6</v>
      </c>
      <c r="J18" s="80"/>
    </row>
    <row r="19" spans="1:10" s="26" customFormat="1" x14ac:dyDescent="0.25">
      <c r="A19" s="99" t="s">
        <v>528</v>
      </c>
      <c r="B19" s="94"/>
      <c r="C19" s="89">
        <f>B2</f>
        <v>561945805.63</v>
      </c>
      <c r="D19" s="89">
        <f>C19*(1+$D$17)</f>
        <v>618140386.19300008</v>
      </c>
      <c r="E19" s="89">
        <f>D19*(1+$D$17)</f>
        <v>679954424.81230009</v>
      </c>
      <c r="F19" s="89">
        <f>E19*(1+$D$17)</f>
        <v>747949867.29353011</v>
      </c>
      <c r="G19" s="89">
        <f>F19*(1+$D$17)</f>
        <v>822744854.02288318</v>
      </c>
      <c r="H19" s="89">
        <f>G19*(1+$D$17)</f>
        <v>905019339.42517161</v>
      </c>
      <c r="I19" s="89">
        <f>H19*(1+I17)</f>
        <v>923119726.21367502</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0" t="s">
        <v>530</v>
      </c>
      <c r="B21" s="300"/>
      <c r="C21" s="89"/>
      <c r="D21" s="89">
        <f>D19/D20</f>
        <v>572352209.43796301</v>
      </c>
      <c r="E21" s="89">
        <f>E19/E20</f>
        <v>582951324.42755485</v>
      </c>
      <c r="F21" s="89">
        <f>F19/F20</f>
        <v>593746719.32436144</v>
      </c>
      <c r="G21" s="89">
        <f>G19/G20</f>
        <v>604742028.94147921</v>
      </c>
      <c r="H21" s="89">
        <f>H19/H20</f>
        <v>615940955.40335858</v>
      </c>
      <c r="I21" s="89">
        <f>I19/((B20-I17)*I20)</f>
        <v>9695366890.6084213</v>
      </c>
      <c r="J21" s="76"/>
    </row>
    <row r="22" spans="1:10" s="26" customFormat="1" x14ac:dyDescent="0.25">
      <c r="A22" s="300" t="s">
        <v>548</v>
      </c>
      <c r="B22" s="300"/>
      <c r="C22" s="89"/>
      <c r="D22" s="296">
        <f>SUM(D21:H21)</f>
        <v>2969733237.5347171</v>
      </c>
      <c r="E22" s="297"/>
      <c r="F22" s="297"/>
      <c r="G22" s="297"/>
      <c r="H22" s="298"/>
      <c r="I22" s="89">
        <f>I21</f>
        <v>9695366890.6084213</v>
      </c>
      <c r="J22" s="76"/>
    </row>
    <row r="23" spans="1:10" x14ac:dyDescent="0.25">
      <c r="A23" s="92" t="s">
        <v>531</v>
      </c>
      <c r="B23" s="76">
        <f>D22+I22</f>
        <v>12665100128.143139</v>
      </c>
      <c r="C23" s="77"/>
      <c r="D23" s="77"/>
      <c r="E23" s="77"/>
      <c r="F23" s="77"/>
      <c r="G23" s="77"/>
      <c r="H23" s="77"/>
      <c r="I23" s="79"/>
      <c r="J23" s="77"/>
    </row>
    <row r="24" spans="1:10" x14ac:dyDescent="0.25">
      <c r="A24" s="92" t="s">
        <v>532</v>
      </c>
      <c r="B24" s="76">
        <f>B23</f>
        <v>12665100128.143139</v>
      </c>
      <c r="C24" s="77"/>
      <c r="D24" s="77"/>
      <c r="E24" s="77"/>
      <c r="F24" s="77"/>
      <c r="G24" s="77"/>
      <c r="H24" s="77"/>
      <c r="I24" s="79"/>
      <c r="J24" s="77"/>
    </row>
    <row r="25" spans="1:10" x14ac:dyDescent="0.25">
      <c r="A25" s="70" t="s">
        <v>533</v>
      </c>
      <c r="B25" s="71">
        <f>资产资本表!E17</f>
        <v>1459010640.3200002</v>
      </c>
      <c r="C25" s="77"/>
      <c r="D25" s="77"/>
      <c r="E25" s="77"/>
      <c r="F25" s="77"/>
      <c r="G25" s="77"/>
      <c r="H25" s="77"/>
      <c r="I25" s="79"/>
      <c r="J25" s="77"/>
    </row>
    <row r="26" spans="1:10" x14ac:dyDescent="0.25">
      <c r="A26" s="70" t="s">
        <v>534</v>
      </c>
      <c r="B26" s="71">
        <f>资产资本表!E19</f>
        <v>263724302.63999999</v>
      </c>
      <c r="C26" s="77"/>
      <c r="D26" s="77"/>
      <c r="E26" s="77"/>
      <c r="F26" s="77"/>
      <c r="G26" s="77"/>
      <c r="H26" s="77"/>
      <c r="I26" s="79"/>
      <c r="J26" s="77"/>
    </row>
    <row r="27" spans="1:10" x14ac:dyDescent="0.25">
      <c r="A27" s="70" t="s">
        <v>535</v>
      </c>
      <c r="B27" s="71">
        <f>资产资本表!E89</f>
        <v>5274285.7</v>
      </c>
      <c r="C27" s="77"/>
      <c r="D27" s="77"/>
      <c r="E27" s="77"/>
      <c r="F27" s="77"/>
      <c r="G27" s="77"/>
      <c r="H27" s="77"/>
      <c r="I27" s="79"/>
      <c r="J27" s="77"/>
    </row>
    <row r="28" spans="1:10" s="2" customFormat="1" x14ac:dyDescent="0.25">
      <c r="A28" s="82" t="s">
        <v>536</v>
      </c>
      <c r="B28" s="83">
        <f>B24+B25+B26-B27</f>
        <v>14382560785.403137</v>
      </c>
      <c r="C28" s="80"/>
      <c r="D28" s="80"/>
      <c r="E28" s="80"/>
      <c r="F28" s="80"/>
      <c r="G28" s="80"/>
      <c r="H28" s="80"/>
      <c r="I28" s="81"/>
      <c r="J28" s="80"/>
    </row>
    <row r="29" spans="1:10" x14ac:dyDescent="0.25">
      <c r="A29" s="70" t="s">
        <v>537</v>
      </c>
      <c r="B29" s="78">
        <f>资产资本表!E103/资产资本表!E107</f>
        <v>2.1389737669717341E-3</v>
      </c>
      <c r="C29" s="301" t="s">
        <v>544</v>
      </c>
      <c r="D29" s="301"/>
      <c r="E29" s="301"/>
      <c r="F29" s="77"/>
      <c r="G29" s="77"/>
      <c r="H29" s="77"/>
      <c r="I29" s="79"/>
      <c r="J29" s="77"/>
    </row>
    <row r="30" spans="1:10" s="2" customFormat="1" x14ac:dyDescent="0.25">
      <c r="A30" s="82" t="s">
        <v>538</v>
      </c>
      <c r="B30" s="83">
        <f>B28*(1-B29)</f>
        <v>14351796865.181284</v>
      </c>
      <c r="C30" s="91">
        <v>0.4</v>
      </c>
      <c r="D30" s="91">
        <v>0.3</v>
      </c>
      <c r="E30" s="91">
        <v>0.2</v>
      </c>
      <c r="F30" s="80"/>
      <c r="G30" s="80"/>
      <c r="H30" s="80"/>
      <c r="I30" s="81"/>
      <c r="J30" s="80"/>
    </row>
    <row r="31" spans="1:10" x14ac:dyDescent="0.25">
      <c r="A31" s="70" t="s">
        <v>748</v>
      </c>
      <c r="B31" s="101">
        <f>B55</f>
        <v>762511040</v>
      </c>
      <c r="C31" s="215">
        <f>$B$32*(1-C30)</f>
        <v>11.293053696781584</v>
      </c>
      <c r="D31" s="215">
        <f>$B$32*(1-D30)</f>
        <v>13.175229312911847</v>
      </c>
      <c r="E31" s="215">
        <f>$B$32*(1-E30)</f>
        <v>15.057404929042114</v>
      </c>
      <c r="F31" s="77"/>
      <c r="G31" s="77"/>
      <c r="H31" s="77"/>
      <c r="I31" s="79"/>
      <c r="J31" s="77"/>
    </row>
    <row r="32" spans="1:10" s="2" customFormat="1" ht="15" thickBot="1" x14ac:dyDescent="0.3">
      <c r="A32" s="84" t="s">
        <v>539</v>
      </c>
      <c r="B32" s="85">
        <f>B30/B31</f>
        <v>18.821756161302641</v>
      </c>
      <c r="C32" s="86"/>
      <c r="D32" s="86"/>
      <c r="E32" s="86"/>
      <c r="F32" s="86"/>
      <c r="G32" s="86"/>
      <c r="H32" s="86"/>
      <c r="I32" s="87"/>
      <c r="J32" s="80"/>
    </row>
    <row r="33" spans="1:19" ht="63" customHeight="1" x14ac:dyDescent="0.25">
      <c r="A33" s="302" t="s">
        <v>740</v>
      </c>
      <c r="B33" s="303"/>
      <c r="C33" s="303"/>
      <c r="D33" s="303"/>
      <c r="E33" s="303"/>
      <c r="F33" s="303"/>
      <c r="G33" s="303"/>
      <c r="H33" s="303"/>
      <c r="I33" s="303"/>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0" t="s">
        <v>545</v>
      </c>
      <c r="B38" s="311"/>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561945805.63</v>
      </c>
      <c r="D39" s="89">
        <f>$C$39*(1+$D$37)^D38</f>
        <v>646237676.47449994</v>
      </c>
      <c r="E39" s="89">
        <f>$C$39*(1+$D$37)^E38</f>
        <v>743173327.9456749</v>
      </c>
      <c r="F39" s="89">
        <f>$C$39*(1+$D$37)^F38</f>
        <v>854649327.13752604</v>
      </c>
      <c r="G39" s="89">
        <f>$C$39*(1+$D$37)^G38</f>
        <v>982846726.20815492</v>
      </c>
      <c r="H39" s="89">
        <f>$C$39*(1+$D$37)^H38</f>
        <v>1130273735.1393781</v>
      </c>
      <c r="I39" s="89">
        <f>H39*(1+$I$37)</f>
        <v>1231998371.3019221</v>
      </c>
      <c r="J39" s="89">
        <f t="shared" ref="J39:N39" si="1">I39*(1+$I$37)</f>
        <v>1342878224.7190952</v>
      </c>
      <c r="K39" s="89">
        <f t="shared" si="1"/>
        <v>1463737264.9438138</v>
      </c>
      <c r="L39" s="89">
        <f t="shared" si="1"/>
        <v>1595473618.7887571</v>
      </c>
      <c r="M39" s="89">
        <f t="shared" si="1"/>
        <v>1739066244.4797454</v>
      </c>
      <c r="N39" s="89">
        <f t="shared" si="1"/>
        <v>1895582206.4829226</v>
      </c>
      <c r="O39" s="89">
        <f t="shared" ref="O39" si="2">N39*(1+$I$37)</f>
        <v>2066184605.0663857</v>
      </c>
      <c r="P39" s="89">
        <f t="shared" ref="P39" si="3">O39*(1+$I$37)</f>
        <v>2252141219.5223608</v>
      </c>
      <c r="Q39" s="89">
        <f t="shared" ref="Q39" si="4">P39*(1+$I$37)</f>
        <v>2454833929.2793736</v>
      </c>
      <c r="R39" s="89">
        <f t="shared" ref="R39" si="5">Q39*(1+$I$37)</f>
        <v>2675768982.9145174</v>
      </c>
      <c r="S39" s="89">
        <f>R39*(1+S37)</f>
        <v>2729284362.5728078</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2" t="s">
        <v>530</v>
      </c>
      <c r="B41" s="313"/>
      <c r="C41" s="89"/>
      <c r="D41" s="89">
        <f t="shared" ref="D41:R41" si="7">D39/D40</f>
        <v>598368218.95787024</v>
      </c>
      <c r="E41" s="89">
        <f t="shared" si="7"/>
        <v>637151344.2606951</v>
      </c>
      <c r="F41" s="89">
        <f t="shared" si="7"/>
        <v>678448190.64796233</v>
      </c>
      <c r="G41" s="89">
        <f t="shared" si="7"/>
        <v>722421684.48625612</v>
      </c>
      <c r="H41" s="89">
        <f t="shared" si="7"/>
        <v>769245312.1844393</v>
      </c>
      <c r="I41" s="89">
        <f t="shared" si="7"/>
        <v>776367953.96392477</v>
      </c>
      <c r="J41" s="89">
        <f t="shared" si="7"/>
        <v>783556546.13025749</v>
      </c>
      <c r="K41" s="89">
        <f t="shared" si="7"/>
        <v>790811699.33516729</v>
      </c>
      <c r="L41" s="89">
        <f t="shared" si="7"/>
        <v>798134029.8845669</v>
      </c>
      <c r="M41" s="89">
        <f t="shared" si="7"/>
        <v>805524159.79090559</v>
      </c>
      <c r="N41" s="89">
        <f t="shared" si="7"/>
        <v>812982716.82600653</v>
      </c>
      <c r="O41" s="89">
        <f t="shared" si="7"/>
        <v>820510334.57439554</v>
      </c>
      <c r="P41" s="89">
        <f t="shared" si="7"/>
        <v>828107652.48712146</v>
      </c>
      <c r="Q41" s="89">
        <f t="shared" si="7"/>
        <v>835775315.93607628</v>
      </c>
      <c r="R41" s="89">
        <f t="shared" si="7"/>
        <v>843513976.26881778</v>
      </c>
      <c r="S41" s="89">
        <f>S39/((B40-S37)*S40)</f>
        <v>13277534811.638798</v>
      </c>
    </row>
    <row r="42" spans="1:19" s="23" customFormat="1" x14ac:dyDescent="0.25">
      <c r="A42" s="314" t="s">
        <v>548</v>
      </c>
      <c r="B42" s="315"/>
      <c r="C42" s="215"/>
      <c r="D42" s="307">
        <f>SUM(D41:H41)</f>
        <v>3405634750.5372233</v>
      </c>
      <c r="E42" s="308"/>
      <c r="F42" s="308"/>
      <c r="G42" s="308"/>
      <c r="H42" s="309"/>
      <c r="I42" s="307">
        <f>SUM(I41:R41)</f>
        <v>8095284385.1972389</v>
      </c>
      <c r="J42" s="308"/>
      <c r="K42" s="308"/>
      <c r="L42" s="308"/>
      <c r="M42" s="308"/>
      <c r="N42" s="308"/>
      <c r="O42" s="308"/>
      <c r="P42" s="308"/>
      <c r="Q42" s="308"/>
      <c r="R42" s="309"/>
      <c r="S42" s="215">
        <f>S41</f>
        <v>13277534811.638798</v>
      </c>
    </row>
    <row r="43" spans="1:19" x14ac:dyDescent="0.25">
      <c r="A43" s="206" t="s">
        <v>546</v>
      </c>
      <c r="B43" s="197">
        <f>D42+I42+S42</f>
        <v>24778453947.37326</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24778453947.37326</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1459010640.3200002</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263724302.63999999</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5274285.7</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26495914604.633259</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2.1389737669717341E-3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26439240538.362026</v>
      </c>
      <c r="C50" s="304" t="s">
        <v>544</v>
      </c>
      <c r="D50" s="305"/>
      <c r="E50" s="306"/>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762511040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34.673911788033948</v>
      </c>
      <c r="C52" s="208">
        <f>$B$52*(1-C51)</f>
        <v>20.804347072820367</v>
      </c>
      <c r="D52" s="208">
        <f>$B$52*(1-D51)</f>
        <v>24.271738251623763</v>
      </c>
      <c r="E52" s="208">
        <f>$B$52*(1-E51)</f>
        <v>27.739129430427159</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2242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762511040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4" t="s">
        <v>741</v>
      </c>
      <c r="B57" s="295"/>
      <c r="C57" s="295"/>
      <c r="D57" s="295"/>
      <c r="E57" s="295"/>
      <c r="F57" s="295"/>
      <c r="G57" s="295"/>
      <c r="H57" s="295"/>
      <c r="I57" s="295"/>
    </row>
    <row r="60" spans="1:74" s="156" customFormat="1" ht="51" customHeight="1" x14ac:dyDescent="0.25">
      <c r="A60" s="292" t="s">
        <v>609</v>
      </c>
      <c r="B60" s="293"/>
      <c r="C60" s="293"/>
      <c r="D60" s="293"/>
      <c r="E60" s="293"/>
      <c r="F60" s="293"/>
      <c r="G60" s="293"/>
      <c r="H60" s="293"/>
      <c r="I60" s="293"/>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6.7461780802000035</v>
      </c>
      <c r="F64" s="168">
        <v>0</v>
      </c>
      <c r="G64" s="166">
        <v>16.47</v>
      </c>
      <c r="H64" s="168">
        <f>G64*D64</f>
        <v>55.997999999999998</v>
      </c>
      <c r="I64" s="168">
        <f>C64*D64</f>
        <v>59.125999999999998</v>
      </c>
      <c r="J64" s="168">
        <f>H64/E64</f>
        <v>8.3006999421426233</v>
      </c>
      <c r="K64" s="168">
        <f>I64/E64</f>
        <v>8.7643698842659514</v>
      </c>
      <c r="L64" s="263">
        <v>0</v>
      </c>
    </row>
    <row r="65" spans="1:12" s="26" customFormat="1" x14ac:dyDescent="0.25">
      <c r="A65" s="179">
        <f>股权价值增加表!I1</f>
        <v>42735</v>
      </c>
      <c r="B65" s="167">
        <v>42543</v>
      </c>
      <c r="C65" s="166">
        <v>23.13</v>
      </c>
      <c r="D65" s="166">
        <v>3.64</v>
      </c>
      <c r="E65" s="168">
        <f>股权价值增加表!I42/100000000</f>
        <v>7.3706208277999972</v>
      </c>
      <c r="F65" s="168">
        <f>(E65-E64)/E64*100</f>
        <v>9.2562446495850708</v>
      </c>
      <c r="G65" s="166">
        <v>23.11</v>
      </c>
      <c r="H65" s="168">
        <f t="shared" ref="H65:H66" si="8">G65*D65</f>
        <v>84.120400000000004</v>
      </c>
      <c r="I65" s="168">
        <f t="shared" ref="I65:I66" si="9">C65*D65</f>
        <v>84.193200000000004</v>
      </c>
      <c r="J65" s="168">
        <f t="shared" ref="J65:J66" si="10">H65/E65</f>
        <v>11.412932772599088</v>
      </c>
      <c r="K65" s="168">
        <f t="shared" ref="K65:K66" si="11">I65/E65</f>
        <v>11.422809823895149</v>
      </c>
      <c r="L65" s="263">
        <f>K65/F65</f>
        <v>1.2340652452835934</v>
      </c>
    </row>
    <row r="66" spans="1:12" s="26" customFormat="1" x14ac:dyDescent="0.25">
      <c r="A66" s="179">
        <f>股权价值增加表!E1</f>
        <v>43100</v>
      </c>
      <c r="B66" s="167">
        <v>42872</v>
      </c>
      <c r="C66" s="166">
        <v>16.399999999999999</v>
      </c>
      <c r="D66" s="166">
        <v>9.09</v>
      </c>
      <c r="E66" s="168">
        <f>股权价值增加表!E42/100000000</f>
        <v>6.5311433485999926</v>
      </c>
      <c r="F66" s="168">
        <f t="shared" ref="F66" si="12">(E66-E65)/E65*100</f>
        <v>-11.389508412014923</v>
      </c>
      <c r="G66" s="166">
        <v>15.76</v>
      </c>
      <c r="H66" s="168">
        <f t="shared" si="8"/>
        <v>143.25839999999999</v>
      </c>
      <c r="I66" s="168">
        <f t="shared" si="9"/>
        <v>149.07599999999999</v>
      </c>
      <c r="J66" s="168">
        <f t="shared" si="10"/>
        <v>21.934658658305008</v>
      </c>
      <c r="K66" s="168">
        <f t="shared" si="11"/>
        <v>22.82540621803313</v>
      </c>
      <c r="L66" s="263">
        <f t="shared" ref="L66" si="13">K66/F66</f>
        <v>-2.0040729935239652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-33.702266680026653</v>
      </c>
      <c r="G69" s="171">
        <v>10.119999999999999</v>
      </c>
      <c r="H69" s="172">
        <f>G69*D69</f>
        <v>91.990799999999993</v>
      </c>
      <c r="I69" s="172">
        <f>C69*D69</f>
        <v>105.8985</v>
      </c>
      <c r="J69" s="172">
        <f>H69/E69</f>
        <v>21.244988452655885</v>
      </c>
      <c r="K69" s="172">
        <f>I69/E69</f>
        <v>24.456928406466513</v>
      </c>
      <c r="L69" s="266">
        <f>K69/F69</f>
        <v>-0.72567606916957583</v>
      </c>
    </row>
    <row r="70" spans="1:12" s="26" customFormat="1" ht="15" thickBot="1" x14ac:dyDescent="0.3">
      <c r="A70" s="173" t="s">
        <v>627</v>
      </c>
      <c r="B70" s="174">
        <v>43305</v>
      </c>
      <c r="C70" s="175">
        <v>11.65</v>
      </c>
      <c r="D70" s="175">
        <v>9.09</v>
      </c>
      <c r="E70" s="175">
        <v>3.86</v>
      </c>
      <c r="F70" s="176">
        <f>(E70-E66)/E66*100</f>
        <v>-40.89855643993139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-0.67080227146597837</v>
      </c>
    </row>
    <row r="71" spans="1:12" s="88" customFormat="1" ht="138" customHeight="1" x14ac:dyDescent="0.25">
      <c r="A71" s="290" t="s">
        <v>630</v>
      </c>
      <c r="B71" s="291"/>
      <c r="C71" s="291"/>
      <c r="D71" s="291"/>
      <c r="E71" s="291"/>
      <c r="F71" s="291"/>
      <c r="G71" s="291"/>
      <c r="H71" s="291"/>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2019-02-09T02:54:45Z</dcterms:modified>
</cp:coreProperties>
</file>