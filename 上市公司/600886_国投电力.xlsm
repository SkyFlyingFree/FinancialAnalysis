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D801711-A4DE-45C1-B009-4F385EC598FB}"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8" i="10" s="1"/>
  <c r="BO7" i="6"/>
  <c r="BW7" i="10"/>
  <c r="BW7" i="6"/>
  <c r="CE7" i="10"/>
  <c r="CE9" i="10" s="1"/>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8" i="10" s="1"/>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8"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C26" i="12" s="1"/>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53" i="11" s="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13" i="12"/>
  <c r="CK18" i="12"/>
  <c r="X13" i="12"/>
  <c r="BL13" i="12"/>
  <c r="Y26" i="12"/>
  <c r="CC26" i="12"/>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B9" i="10" l="1"/>
  <c r="CA9" i="10"/>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C39" i="13"/>
  <c r="G39" i="13" s="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F39" i="13" l="1"/>
  <c r="H39" i="13"/>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50" i="10" l="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<sst xmlns="http://schemas.openxmlformats.org/spreadsheetml/2006/main" count="1033" uniqueCount="753">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</sst>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0.40582573740570049</c:v>
                </c:pt>
                <c:pt idx="1">
                  <c:v>0.48410610569349061</c:v>
                </c:pt>
                <c:pt idx="2">
                  <c:v>0.52205555445524077</c:v>
                </c:pt>
                <c:pt idx="3">
                  <c:v>0.50723058809802302</c:v>
                </c:pt>
                <c:pt idx="4">
                  <c:v>0.40508125971882469</c:v>
                </c:pt>
                <c:pt idx="5">
                  <c:v>0.2529020161874086</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0.29860801660634956</c:v>
                </c:pt>
                <c:pt idx="1">
                  <c:v>0.3939540435584627</c:v>
                </c:pt>
                <c:pt idx="2">
                  <c:v>0.4773714132459223</c:v>
                </c:pt>
                <c:pt idx="3">
                  <c:v>0.46091737195756338</c:v>
                </c:pt>
                <c:pt idx="4">
                  <c:v>0.32829981601220148</c:v>
                </c:pt>
                <c:pt idx="5">
                  <c:v>0.18852494301279787</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0.36331546472463039</c:v>
                </c:pt>
                <c:pt idx="1">
                  <c:v>0.47827940920992862</c:v>
                </c:pt>
                <c:pt idx="2">
                  <c:v>0.53971965898122221</c:v>
                </c:pt>
                <c:pt idx="3">
                  <c:v>0.51955592717348109</c:v>
                </c:pt>
                <c:pt idx="4">
                  <c:v>0.3904174971091936</c:v>
                </c:pt>
                <c:pt idx="5">
                  <c:v>0.22700602333201003</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0.31214885195364428</c:v>
                </c:pt>
                <c:pt idx="1">
                  <c:v>0.42435126318112387</c:v>
                </c:pt>
                <c:pt idx="2">
                  <c:v>0.49758742149279622</c:v>
                </c:pt>
                <c:pt idx="3">
                  <c:v>0.48324734607972664</c:v>
                </c:pt>
                <c:pt idx="4">
                  <c:v>0.35107236690954718</c:v>
                </c:pt>
                <c:pt idx="5">
                  <c:v>0.19845707166888207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0.20756038468973576</c:v>
                </c:pt>
                <c:pt idx="1">
                  <c:v>0.30407839798815173</c:v>
                </c:pt>
                <c:pt idx="2">
                  <c:v>0.3478533234181917</c:v>
                </c:pt>
                <c:pt idx="3">
                  <c:v>0.32996000351885146</c:v>
                </c:pt>
                <c:pt idx="4">
                  <c:v>0.23374435423736806</c:v>
                </c:pt>
                <c:pt idx="5">
                  <c:v>9.6373297270952382E-2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0.17738714715557849</c:v>
                </c:pt>
                <c:pt idx="1">
                  <c:v>0.267950560012298</c:v>
                </c:pt>
                <c:pt idx="2">
                  <c:v>0.31978225319358405</c:v>
                </c:pt>
                <c:pt idx="3">
                  <c:v>0.30619921165091785</c:v>
                </c:pt>
                <c:pt idx="4">
                  <c:v>0.20897550916621291</c:v>
                </c:pt>
                <c:pt idx="5">
                  <c:v>8.3785917157684256E-2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7514331369.4799995</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8917100628.8700008</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10980637470.5</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10944309975.059999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6578942602.0100002</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2317981817.46</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756861903.18719769</c:v>
                </c:pt>
                <c:pt idx="1">
                  <c:v>3305705780.4396</c:v>
                </c:pt>
                <c:pt idx="2">
                  <c:v>5891521473.7439985</c:v>
                </c:pt>
                <c:pt idx="3">
                  <c:v>6674184169.7115984</c:v>
                </c:pt>
                <c:pt idx="4">
                  <c:v>3223449898.4959998</c:v>
                </c:pt>
                <c:pt idx="5">
                  <c:v>-38684023.762396812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60707559853.910004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56717778327.129997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51389642485.699997</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42715938189.480003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33733788787.549999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25480039470.029999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192,179,227,762.43 </c:v>
                </c:pt>
                <c:pt idx="5">
                  <c:v>185,001,847,648.12 </c:v>
                </c:pt>
                <c:pt idx="6">
                  <c:v>180,643,873,646.20 </c:v>
                </c:pt>
                <c:pt idx="7">
                  <c:v>176,192,013,374.65 </c:v>
                </c:pt>
                <c:pt idx="8">
                  <c:v>171,691,736,588.87 </c:v>
                </c:pt>
                <c:pt idx="9">
                  <c:v>161,461,805,589.50 </c:v>
                </c:pt>
                <c:pt idx="10">
                  <c:v>159,199,592,915.88 </c:v>
                </c:pt>
                <c:pt idx="11">
                  <c:v>159,889,361,040.16 </c:v>
                </c:pt>
                <c:pt idx="12">
                  <c:v>158,831,576,835.70 </c:v>
                </c:pt>
                <c:pt idx="13">
                  <c:v>155,753,956,735.34 </c:v>
                </c:pt>
                <c:pt idx="14">
                  <c:v>150,363,365,886.38 </c:v>
                </c:pt>
                <c:pt idx="15">
                  <c:v>150,382,977,295.16 </c:v>
                </c:pt>
                <c:pt idx="16">
                  <c:v>149,321,416,028.38 </c:v>
                </c:pt>
                <c:pt idx="17">
                  <c:v>144,537,311,964.10 </c:v>
                </c:pt>
                <c:pt idx="18">
                  <c:v>140,478,070,922.54 </c:v>
                </c:pt>
                <c:pt idx="19">
                  <c:v>137,479,584,893.34 </c:v>
                </c:pt>
                <c:pt idx="20">
                  <c:v>132,051,731,372.59 </c:v>
                </c:pt>
              </c:strCache>
            </c:strRef>
          </c:tx>
          <c:invertIfNegative val="0"/>
          <c:cat>
            <c:numRef>
              <c:f>投资和筹资活动现金流表!$E$12</c:f>
              <c:numCache>
                <c:formatCode>#,##0.00_ </c:formatCode>
                <c:ptCount val="1"/>
                <c:pt idx="0">
                  <c:v>192179227762.42999</c:v>
                </c:pt>
              </c:numCache>
            </c:numRef>
          </c:cat>
          <c:val>
            <c:numRef>
              <c:f>投资和筹资活动现金流表!$E$12:$U$12</c:f>
              <c:numCache>
                <c:formatCode>#,##0.00_ </c:formatCode>
                <c:ptCount val="5"/>
                <c:pt idx="0">
                  <c:v>192179227762.42999</c:v>
                </c:pt>
                <c:pt idx="1">
                  <c:v>171691736588.87</c:v>
                </c:pt>
                <c:pt idx="2">
                  <c:v>158831576835.70001</c:v>
                </c:pt>
                <c:pt idx="3">
                  <c:v>149321416028.38</c:v>
                </c:pt>
                <c:pt idx="4">
                  <c:v>132051731372.59001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2.5851442074382402E-2</c:v>
                </c:pt>
                <c:pt idx="1">
                  <c:v>6.5166989139041134E-2</c:v>
                </c:pt>
                <c:pt idx="2">
                  <c:v>6.412488918860082E-2</c:v>
                </c:pt>
                <c:pt idx="3">
                  <c:v>5.9719943678910398E-2</c:v>
                </c:pt>
                <c:pt idx="4">
                  <c:v>8.5857013427340353E-2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1.5564632808198278</c:v>
                </c:pt>
                <c:pt idx="1">
                  <c:v>1.0177247412843833</c:v>
                </c:pt>
                <c:pt idx="2">
                  <c:v>1.4020598995729041</c:v>
                </c:pt>
                <c:pt idx="3">
                  <c:v>1.4928068659474727</c:v>
                </c:pt>
                <c:pt idx="4">
                  <c:v>0.9481547636775336</c:v>
                </c:pt>
                <c:pt idx="5">
                  <c:v>0.43930085732417168</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11644197894.120001</c:v>
                </c:pt>
                <c:pt idx="1">
                  <c:v>17308816952.330002</c:v>
                </c:pt>
                <c:pt idx="2">
                  <c:v>16330808445.469999</c:v>
                </c:pt>
                <c:pt idx="3">
                  <c:v>14471762301</c:v>
                </c:pt>
                <c:pt idx="4">
                  <c:v>16028994906.9</c:v>
                </c:pt>
                <c:pt idx="5">
                  <c:v>19591081862.900002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11097815.050000001</c:v>
                </c:pt>
                <c:pt idx="1">
                  <c:v>1425657189.9000001</c:v>
                </c:pt>
                <c:pt idx="2">
                  <c:v>0</c:v>
                </c:pt>
                <c:pt idx="3">
                  <c:v>-123636257.97999999</c:v>
                </c:pt>
                <c:pt idx="4">
                  <c:v>-374518.88</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18141039798.419998</c:v>
                </c:pt>
                <c:pt idx="1">
                  <c:v>19066537849.5</c:v>
                </c:pt>
                <c:pt idx="2">
                  <c:v>22896771649</c:v>
                </c:pt>
                <c:pt idx="3">
                  <c:v>21418981070.5</c:v>
                </c:pt>
                <c:pt idx="4">
                  <c:v>15197612776.08</c:v>
                </c:pt>
                <c:pt idx="5">
                  <c:v>8606379058.2800007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-6138317671.4799995</c:v>
                </c:pt>
                <c:pt idx="1">
                  <c:v>2441782667.9699998</c:v>
                </c:pt>
                <c:pt idx="2">
                  <c:v>-8456653304.0799999</c:v>
                </c:pt>
                <c:pt idx="3">
                  <c:v>-4413618357.6899996</c:v>
                </c:pt>
                <c:pt idx="4">
                  <c:v>-502750418.23000002</c:v>
                </c:pt>
                <c:pt idx="5">
                  <c:v>12592605657.59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583333286.1500001</c:v>
                </c:pt>
                <c:pt idx="1">
                  <c:v>-2396406694.3900003</c:v>
                </c:pt>
                <c:pt idx="2">
                  <c:v>2559025072.0500002</c:v>
                </c:pt>
                <c:pt idx="3">
                  <c:v>88358408.159999967</c:v>
                </c:pt>
                <c:pt idx="4">
                  <c:v>163807054.69999999</c:v>
                </c:pt>
                <c:pt idx="5">
                  <c:v>2165531854.3800001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-2850139980.9599991</c:v>
                </c:pt>
                <c:pt idx="1">
                  <c:v>5148441169.1800041</c:v>
                </c:pt>
                <c:pt idx="2">
                  <c:v>-6510949967.0099945</c:v>
                </c:pt>
                <c:pt idx="3">
                  <c:v>-2410445510.4300003</c:v>
                </c:pt>
                <c:pt idx="4">
                  <c:v>2409341252.6699982</c:v>
                </c:pt>
                <c:pt idx="5">
                  <c:v>12994077915.380001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29839624185.060001</c:v>
                </c:pt>
                <c:pt idx="1">
                  <c:v>41383802322.529999</c:v>
                </c:pt>
                <c:pt idx="2">
                  <c:v>30244386468.970001</c:v>
                </c:pt>
                <c:pt idx="3">
                  <c:v>23934332690.610001</c:v>
                </c:pt>
                <c:pt idx="4">
                  <c:v>36026070042.519997</c:v>
                </c:pt>
                <c:pt idx="5">
                  <c:v>38699000855.199997</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1198920000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-4751.3</c:v>
                </c:pt>
                <c:pt idx="1">
                  <c:v>4987874471.3299999</c:v>
                </c:pt>
                <c:pt idx="2">
                  <c:v>110778300</c:v>
                </c:pt>
                <c:pt idx="3">
                  <c:v>-311901473.81999999</c:v>
                </c:pt>
                <c:pt idx="4">
                  <c:v>1054564430.03</c:v>
                </c:pt>
                <c:pt idx="5">
                  <c:v>649564400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4903196579.6599998</c:v>
                </c:pt>
                <c:pt idx="1">
                  <c:v>5000113916.4899998</c:v>
                </c:pt>
                <c:pt idx="2">
                  <c:v>5901446446.1199999</c:v>
                </c:pt>
                <c:pt idx="3">
                  <c:v>6178007990.4099998</c:v>
                </c:pt>
                <c:pt idx="4">
                  <c:v>4473174502.4399996</c:v>
                </c:pt>
                <c:pt idx="5">
                  <c:v>3087460245.1399999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132005266454.61002</c:v>
                </c:pt>
                <c:pt idx="1">
                  <c:v>125974074247.99001</c:v>
                </c:pt>
                <c:pt idx="2">
                  <c:v>116193465975.46001</c:v>
                </c:pt>
                <c:pt idx="3">
                  <c:v>117969330450.48001</c:v>
                </c:pt>
                <c:pt idx="4">
                  <c:v>113940755294.97</c:v>
                </c:pt>
                <c:pt idx="5">
                  <c:v>106968681981.24001</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60707559853.910004</c:v>
                </c:pt>
                <c:pt idx="1">
                  <c:v>56717778327.130005</c:v>
                </c:pt>
                <c:pt idx="2">
                  <c:v>51389642485.699997</c:v>
                </c:pt>
                <c:pt idx="3">
                  <c:v>42715938189.479996</c:v>
                </c:pt>
                <c:pt idx="4">
                  <c:v>33733788787.549999</c:v>
                </c:pt>
                <c:pt idx="5">
                  <c:v>25480039470.029999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193232646082.51001</c:v>
                </c:pt>
                <c:pt idx="1">
                  <c:v>183513201769.86002</c:v>
                </c:pt>
                <c:pt idx="2">
                  <c:v>167726028461.15994</c:v>
                </c:pt>
                <c:pt idx="3">
                  <c:v>160842101439.95996</c:v>
                </c:pt>
                <c:pt idx="4">
                  <c:v>147776293282.51996</c:v>
                </c:pt>
                <c:pt idx="5">
                  <c:v>132926344951.27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4.7326295410785188E-2</c:v>
                </c:pt>
                <c:pt idx="1">
                  <c:v>4.9704426080502864E-2</c:v>
                </c:pt>
                <c:pt idx="2">
                  <c:v>5.6611599064341239E-2</c:v>
                </c:pt>
                <c:pt idx="3">
                  <c:v>5.7509752260852004E-2</c:v>
                </c:pt>
                <c:pt idx="4">
                  <c:v>4.6178531833614499E-2</c:v>
                </c:pt>
                <c:pt idx="5">
                  <c:v>3.679985347361002E-2</c:v>
                </c:pt>
                <c:pt idx="6">
                  <c:v>3.1800307045673694E-2</c:v>
                </c:pt>
                <c:pt idx="7">
                  <c:v>3.1166656436689311E-2</c:v>
                </c:pt>
                <c:pt idx="8">
                  <c:v>1.5868547051405866E-2</c:v>
                </c:pt>
                <c:pt idx="9">
                  <c:v>2.8210745502420528E-2</c:v>
                </c:pt>
                <c:pt idx="10">
                  <c:v>3.0946563747266009E-2</c:v>
                </c:pt>
                <c:pt idx="11">
                  <c:v>2.6375293494387834E-2</c:v>
                </c:pt>
                <c:pt idx="12">
                  <c:v>2.3667234985827013E-2</c:v>
                </c:pt>
                <c:pt idx="13">
                  <c:v>2.2761223484883072E-2</c:v>
                </c:pt>
                <c:pt idx="14">
                  <c:v>3.0419221191702067E-2</c:v>
                </c:pt>
                <c:pt idx="15">
                  <c:v>2.5616489569318029E-2</c:v>
                </c:pt>
                <c:pt idx="16">
                  <c:v>8.0010510610856816E-2</c:v>
                </c:pt>
                <c:pt idx="17">
                  <c:v>8.0049820210399983E-2</c:v>
                </c:pt>
                <c:pt idx="18">
                  <c:v>7.385219959663672E-2</c:v>
                </c:pt>
                <c:pt idx="19">
                  <c:v>7.0790582719608919E-2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0.16941425265724158</c:v>
                </c:pt>
                <c:pt idx="1">
                  <c:v>-0.33683373338185496</c:v>
                </c:pt>
                <c:pt idx="2">
                  <c:v>-0.17622847561868776</c:v>
                </c:pt>
                <c:pt idx="3">
                  <c:v>0.91932772486359993</c:v>
                </c:pt>
                <c:pt idx="4">
                  <c:v>-0.3302568646713504</c:v>
                </c:pt>
                <c:pt idx="5">
                  <c:v>0.2233176911694216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-1.324906389884634E-2</c:v>
                </c:pt>
                <c:pt idx="1">
                  <c:v>2.3523082514329103</c:v>
                </c:pt>
                <c:pt idx="2">
                  <c:v>5.4140594765149611E-2</c:v>
                </c:pt>
                <c:pt idx="3">
                  <c:v>-0.10836531224589309</c:v>
                </c:pt>
                <c:pt idx="4">
                  <c:v>0.78480270367414762</c:v>
                </c:pt>
                <c:pt idx="5">
                  <c:v>9.5221754035991535E-2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-0.43352144614651045</c:v>
                </c:pt>
                <c:pt idx="1">
                  <c:v>0.22736155257593504</c:v>
                </c:pt>
                <c:pt idx="2">
                  <c:v>0.74089626566352196</c:v>
                </c:pt>
                <c:pt idx="3">
                  <c:v>8.7617428114689935E-2</c:v>
                </c:pt>
                <c:pt idx="4">
                  <c:v>5.5091743357305635E-2</c:v>
                </c:pt>
                <c:pt idx="5">
                  <c:v>-5.3270548628128633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0.13180176409847968</c:v>
                </c:pt>
                <c:pt idx="1">
                  <c:v>0.30079968382511729</c:v>
                </c:pt>
                <c:pt idx="2">
                  <c:v>-8.0307368899923001E-2</c:v>
                </c:pt>
                <c:pt idx="3">
                  <c:v>-7.7103912604084543E-2</c:v>
                </c:pt>
                <c:pt idx="4">
                  <c:v>-0.19152610315028284</c:v>
                </c:pt>
                <c:pt idx="5">
                  <c:v>-0.15985411485161488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-0.23968371931829466</c:v>
                </c:pt>
                <c:pt idx="1">
                  <c:v>0.25158938477063431</c:v>
                </c:pt>
                <c:pt idx="2">
                  <c:v>0.3447591014068947</c:v>
                </c:pt>
                <c:pt idx="3">
                  <c:v>1.3992117061140071E-3</c:v>
                </c:pt>
                <c:pt idx="4">
                  <c:v>-9.0174806821668466E-2</c:v>
                </c:pt>
                <c:pt idx="5">
                  <c:v>0.64979821111215053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1.8771728824446665E-2</c:v>
                </c:pt>
                <c:pt idx="1">
                  <c:v>8.4769222006922607E-2</c:v>
                </c:pt>
                <c:pt idx="2">
                  <c:v>8.1536865803125858E-2</c:v>
                </c:pt>
                <c:pt idx="3">
                  <c:v>6.7374772127002283E-2</c:v>
                </c:pt>
                <c:pt idx="4">
                  <c:v>0.12339410257581576</c:v>
                </c:pt>
                <c:pt idx="5">
                  <c:v>0.19183099020462066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0.12421671880854582</c:v>
                </c:pt>
                <c:pt idx="1">
                  <c:v>-0.12621087009327056</c:v>
                </c:pt>
                <c:pt idx="2">
                  <c:v>0.12156928339033625</c:v>
                </c:pt>
                <c:pt idx="3">
                  <c:v>0.36332011555258759</c:v>
                </c:pt>
                <c:pt idx="4">
                  <c:v>-0.36269349868562523</c:v>
                </c:pt>
                <c:pt idx="5">
                  <c:v>3.4259222720264618E-2</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3.5852577727272253E-2</c:v>
                </c:pt>
                <c:pt idx="1">
                  <c:v>0.12691090201551886</c:v>
                </c:pt>
                <c:pt idx="2">
                  <c:v>-3.8836708709787081E-2</c:v>
                </c:pt>
                <c:pt idx="3">
                  <c:v>-6.2578838617253479E-3</c:v>
                </c:pt>
                <c:pt idx="4">
                  <c:v>0.16437090046908942</c:v>
                </c:pt>
                <c:pt idx="5">
                  <c:v>0.1604931180350927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2.7676539473906539E-2</c:v>
                </c:pt>
                <c:pt idx="1">
                  <c:v>2.492049090999568E-2</c:v>
                </c:pt>
                <c:pt idx="2">
                  <c:v>4.1115068236990487E-2</c:v>
                </c:pt>
                <c:pt idx="3">
                  <c:v>5.2046911688696747E-2</c:v>
                </c:pt>
                <c:pt idx="4">
                  <c:v>2.9514864780587378E-2</c:v>
                </c:pt>
                <c:pt idx="5">
                  <c:v>4.8992119979206425E-2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4.5176697399374591E-2</c:v>
                </c:pt>
                <c:pt idx="1">
                  <c:v>4.8208111695553189E-2</c:v>
                </c:pt>
                <c:pt idx="2">
                  <c:v>1.5734140481369084E-2</c:v>
                </c:pt>
                <c:pt idx="3">
                  <c:v>1.5564859690946743E-2</c:v>
                </c:pt>
                <c:pt idx="4">
                  <c:v>1.8999983516247262E-2</c:v>
                </c:pt>
                <c:pt idx="5">
                  <c:v>1.1834685318374654E-2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0.96518696200937193</c:v>
                </c:pt>
                <c:pt idx="1">
                  <c:v>0.99758003912025395</c:v>
                </c:pt>
                <c:pt idx="2">
                  <c:v>1.006183624576672</c:v>
                </c:pt>
                <c:pt idx="3">
                  <c:v>0.97014498347130529</c:v>
                </c:pt>
                <c:pt idx="4">
                  <c:v>0.98926963362202858</c:v>
                </c:pt>
                <c:pt idx="5">
                  <c:v>0.97898546582068402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0.14598507688544579</c:v>
                </c:pt>
                <c:pt idx="1">
                  <c:v>0.13607191782283334</c:v>
                </c:pt>
                <c:pt idx="2">
                  <c:v>0.16883455482800727</c:v>
                </c:pt>
                <c:pt idx="3">
                  <c:v>0.14826813419969553</c:v>
                </c:pt>
                <c:pt idx="4">
                  <c:v>0.11260041736730861</c:v>
                </c:pt>
                <c:pt idx="5">
                  <c:v>0.18819760867372928</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0.85401492311455418</c:v>
                </c:pt>
                <c:pt idx="1">
                  <c:v>0.86392808217716666</c:v>
                </c:pt>
                <c:pt idx="2">
                  <c:v>0.83116544517199276</c:v>
                </c:pt>
                <c:pt idx="3">
                  <c:v>0.85173186580030436</c:v>
                </c:pt>
                <c:pt idx="4">
                  <c:v>0.88739958263269136</c:v>
                </c:pt>
                <c:pt idx="5">
                  <c:v>0.81180239132627074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2.8941001167477305</c:v>
                </c:pt>
                <c:pt idx="1">
                  <c:v>1.9685823520248402</c:v>
                </c:pt>
                <c:pt idx="2">
                  <c:v>2.2032830152189407</c:v>
                </c:pt>
                <c:pt idx="3">
                  <c:v>2.50171980769814</c:v>
                </c:pt>
                <c:pt idx="4">
                  <c:v>2.5166026261816463</c:v>
                </c:pt>
                <c:pt idx="5">
                  <c:v>3.5734410772491665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5348010956.9499998</c:v>
                </c:pt>
                <c:pt idx="1">
                  <c:v>4573239076.5699997</c:v>
                </c:pt>
                <c:pt idx="2">
                  <c:v>6896067105.3000002</c:v>
                </c:pt>
                <c:pt idx="3">
                  <c:v>8371334649.4700003</c:v>
                </c:pt>
                <c:pt idx="4">
                  <c:v>4361597314.0099993</c:v>
                </c:pt>
                <c:pt idx="5">
                  <c:v>6512343440.25</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8729612779.75</c:v>
                </c:pt>
                <c:pt idx="1">
                  <c:v>8846824928.5300007</c:v>
                </c:pt>
                <c:pt idx="2">
                  <c:v>2639024894.1900001</c:v>
                </c:pt>
                <c:pt idx="3">
                  <c:v>2503484741.3099999</c:v>
                </c:pt>
                <c:pt idx="4">
                  <c:v>2807747136.46</c:v>
                </c:pt>
                <c:pt idx="5">
                  <c:v>1573141463.02</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186505630633.41</c:v>
                </c:pt>
                <c:pt idx="1">
                  <c:v>183069107000.66</c:v>
                </c:pt>
                <c:pt idx="2">
                  <c:v>168763183252.89996</c:v>
                </c:pt>
                <c:pt idx="3">
                  <c:v>156040157842.95996</c:v>
                </c:pt>
                <c:pt idx="4">
                  <c:v>146190599513.61996</c:v>
                </c:pt>
                <c:pt idx="5">
                  <c:v>130132959731.95999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193232646082.51001</c:v>
                </c:pt>
                <c:pt idx="1">
                  <c:v>183513201769.86002</c:v>
                </c:pt>
                <c:pt idx="2">
                  <c:v>167726028461.15994</c:v>
                </c:pt>
                <c:pt idx="3">
                  <c:v>160842101439.95996</c:v>
                </c:pt>
                <c:pt idx="4">
                  <c:v>147776293282.51996</c:v>
                </c:pt>
                <c:pt idx="5">
                  <c:v>132926344951.27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19270798972.66</c:v>
                </c:pt>
                <c:pt idx="1">
                  <c:v>17141533878.880001</c:v>
                </c:pt>
                <c:pt idx="2">
                  <c:v>19617472101.889999</c:v>
                </c:pt>
                <c:pt idx="3">
                  <c:v>17491092518.68</c:v>
                </c:pt>
                <c:pt idx="4">
                  <c:v>12829776601.360001</c:v>
                </c:pt>
                <c:pt idx="5">
                  <c:v>20131250151.850002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112734467481.95001</c:v>
                </c:pt>
                <c:pt idx="1">
                  <c:v>108832540369.11</c:v>
                </c:pt>
                <c:pt idx="2">
                  <c:v>96575993873.570007</c:v>
                </c:pt>
                <c:pt idx="3">
                  <c:v>100478237931.8</c:v>
                </c:pt>
                <c:pt idx="4">
                  <c:v>101110978693.61</c:v>
                </c:pt>
                <c:pt idx="5">
                  <c:v>86837431829.389999</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-13922788015.709991</c:v>
                </c:pt>
                <c:pt idx="1">
                  <c:v>-12568294802.309998</c:v>
                </c:pt>
                <c:pt idx="2">
                  <c:v>-12721404996.589996</c:v>
                </c:pt>
                <c:pt idx="3">
                  <c:v>-9119757869.2099915</c:v>
                </c:pt>
                <c:pt idx="4">
                  <c:v>-8468179287.3500061</c:v>
                </c:pt>
                <c:pt idx="5">
                  <c:v>-13618906711.600006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13922788015.709999</c:v>
                </c:pt>
                <c:pt idx="1">
                  <c:v>12568294802.310001</c:v>
                </c:pt>
                <c:pt idx="2">
                  <c:v>12721404996.59</c:v>
                </c:pt>
                <c:pt idx="3">
                  <c:v>9119757869.2099991</c:v>
                </c:pt>
                <c:pt idx="4">
                  <c:v>8468179287.3500013</c:v>
                </c:pt>
                <c:pt idx="5">
                  <c:v>13618906711.600002</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0.59417426259429951</c:v>
                </c:pt>
                <c:pt idx="1">
                  <c:v>0.51589389430650934</c:v>
                </c:pt>
                <c:pt idx="2">
                  <c:v>0.47794444554475923</c:v>
                </c:pt>
                <c:pt idx="3">
                  <c:v>0.49276941190197704</c:v>
                </c:pt>
                <c:pt idx="4">
                  <c:v>0.59491874028117531</c:v>
                </c:pt>
                <c:pt idx="5">
                  <c:v>0.7470979838125914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0.40582573740570049</c:v>
                </c:pt>
                <c:pt idx="1">
                  <c:v>0.48410610569349061</c:v>
                </c:pt>
                <c:pt idx="2">
                  <c:v>0.52205555445524077</c:v>
                </c:pt>
                <c:pt idx="3">
                  <c:v>0.50723058809802302</c:v>
                </c:pt>
                <c:pt idx="4">
                  <c:v>0.40508125971882469</c:v>
                </c:pt>
                <c:pt idx="5">
                  <c:v>0.2529020161874086</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1.7810940223566434E-2</c:v>
                </c:pt>
                <c:pt idx="1">
                  <c:v>1.5631696421844189E-2</c:v>
                </c:pt>
                <c:pt idx="2">
                  <c:v>1.5275438219001437E-2</c:v>
                </c:pt>
                <c:pt idx="3">
                  <c:v>1.3224073940013572E-2</c:v>
                </c:pt>
                <c:pt idx="4">
                  <c:v>9.7198813229496181E-3</c:v>
                </c:pt>
                <c:pt idx="5">
                  <c:v>8.189167712892069E-3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2.3875832821479103E-4</c:v>
                </c:pt>
                <c:pt idx="1">
                  <c:v>2.0487244736921626E-4</c:v>
                </c:pt>
                <c:pt idx="2">
                  <c:v>2.0958494862785275E-4</c:v>
                </c:pt>
                <c:pt idx="3">
                  <c:v>5.1395619330240033E-4</c:v>
                </c:pt>
                <c:pt idx="4">
                  <c:v>1.7795466516121225E-3</c:v>
                </c:pt>
                <c:pt idx="5">
                  <c:v>1.8170023775425953E-3</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3.1570672796568257E-2</c:v>
                </c:pt>
                <c:pt idx="1">
                  <c:v>3.1960289815187823E-2</c:v>
                </c:pt>
                <c:pt idx="2">
                  <c:v>2.7721693533036423E-2</c:v>
                </c:pt>
                <c:pt idx="3">
                  <c:v>2.4427760151279468E-2</c:v>
                </c:pt>
                <c:pt idx="4">
                  <c:v>2.6139105862235099E-2</c:v>
                </c:pt>
                <c:pt idx="5">
                  <c:v>2.6848881726164141E-2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3.7598804720399598E-3</c:v>
                </c:pt>
                <c:pt idx="1">
                  <c:v>1.6897305645605112E-3</c:v>
                </c:pt>
                <c:pt idx="2">
                  <c:v>3.2942752669653788E-3</c:v>
                </c:pt>
                <c:pt idx="3">
                  <c:v>1.1964092735076187E-3</c:v>
                </c:pt>
                <c:pt idx="4">
                  <c:v>6.8499972146989949E-4</c:v>
                </c:pt>
                <c:pt idx="5">
                  <c:v>2.3929556527111154E-4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1.772824568492655E-3</c:v>
                </c:pt>
                <c:pt idx="1">
                  <c:v>2.2341278289195582E-3</c:v>
                </c:pt>
                <c:pt idx="2">
                  <c:v>1.555154603565893E-3</c:v>
                </c:pt>
                <c:pt idx="3">
                  <c:v>2.0064699575542137E-3</c:v>
                </c:pt>
                <c:pt idx="4">
                  <c:v>1.2211980909312549E-3</c:v>
                </c:pt>
                <c:pt idx="5">
                  <c:v>1.242299207553453E-3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-1.271953061953495E-3</c:v>
                </c:pt>
                <c:pt idx="1">
                  <c:v>1.4685572686780956E-2</c:v>
                </c:pt>
                <c:pt idx="2">
                  <c:v>4.5276539871285514E-2</c:v>
                </c:pt>
                <c:pt idx="3">
                  <c:v>3.0822239593720553E-2</c:v>
                </c:pt>
                <c:pt idx="4">
                  <c:v>1.6750595283414103E-3</c:v>
                </c:pt>
                <c:pt idx="5">
                  <c:v>2.2821746231787882E-3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5.3881123326928605E-2</c:v>
                </c:pt>
                <c:pt idx="1">
                  <c:v>6.6406289764662257E-2</c:v>
                </c:pt>
                <c:pt idx="2">
                  <c:v>9.3332686442482493E-2</c:v>
                </c:pt>
                <c:pt idx="3">
                  <c:v>7.2190909109377824E-2</c:v>
                </c:pt>
                <c:pt idx="4">
                  <c:v>4.1219791177539405E-2</c:v>
                </c:pt>
                <c:pt idx="5">
                  <c:v>4.0618821212602157E-2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0.29860801660634956</c:v>
                </c:pt>
                <c:pt idx="1">
                  <c:v>0.3939540435584627</c:v>
                </c:pt>
                <c:pt idx="2">
                  <c:v>0.4773714132459223</c:v>
                </c:pt>
                <c:pt idx="3">
                  <c:v>0.46091737195756338</c:v>
                </c:pt>
                <c:pt idx="4">
                  <c:v>0.32829981601220148</c:v>
                </c:pt>
                <c:pt idx="5">
                  <c:v>0.18852494301279787</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0.96170062075306373</c:v>
                </c:pt>
                <c:pt idx="1">
                  <c:v>0.93474850201247073</c:v>
                </c:pt>
                <c:pt idx="2">
                  <c:v>0.96212161094060844</c:v>
                </c:pt>
                <c:pt idx="3">
                  <c:v>0.95597823487103062</c:v>
                </c:pt>
                <c:pt idx="4">
                  <c:v>0.94056129737255323</c:v>
                </c:pt>
                <c:pt idx="5">
                  <c:v>0.95525017811536839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3.0065835961318597E-2</c:v>
                </c:pt>
                <c:pt idx="1">
                  <c:v>4.5089118192941882E-2</c:v>
                </c:pt>
                <c:pt idx="2">
                  <c:v>3.263940705804632E-2</c:v>
                </c:pt>
                <c:pt idx="3">
                  <c:v>2.9495378608166516E-2</c:v>
                </c:pt>
                <c:pt idx="4">
                  <c:v>4.7886624550020886E-2</c:v>
                </c:pt>
                <c:pt idx="5">
                  <c:v>3.4806147193827727E-2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8.2335432856177025E-3</c:v>
                </c:pt>
                <c:pt idx="1">
                  <c:v>2.0162379794587286E-2</c:v>
                </c:pt>
                <c:pt idx="2">
                  <c:v>5.2389820013453063E-3</c:v>
                </c:pt>
                <c:pt idx="3">
                  <c:v>1.452638652080286E-2</c:v>
                </c:pt>
                <c:pt idx="4">
                  <c:v>1.1552078077425981E-2</c:v>
                </c:pt>
                <c:pt idx="5">
                  <c:v>9.94367469080382E-3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0.17738714715557849</c:v>
                </c:pt>
                <c:pt idx="1">
                  <c:v>0.267950560012298</c:v>
                </c:pt>
                <c:pt idx="2">
                  <c:v>0.31978225319358405</c:v>
                </c:pt>
                <c:pt idx="3">
                  <c:v>0.30619921165091785</c:v>
                </c:pt>
                <c:pt idx="4">
                  <c:v>0.20897550916621291</c:v>
                </c:pt>
                <c:pt idx="5">
                  <c:v>8.3785917157684256E-2</c:v>
                </c:pt>
                <c:pt idx="6">
                  <c:v>3.9612872750846607E-2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0.96170062075306373</c:v>
                </c:pt>
                <c:pt idx="1">
                  <c:v>0.93474850201247073</c:v>
                </c:pt>
                <c:pt idx="2">
                  <c:v>0.96212161094060844</c:v>
                </c:pt>
                <c:pt idx="3">
                  <c:v>0.95597823487103062</c:v>
                </c:pt>
                <c:pt idx="4">
                  <c:v>0.94056129737255323</c:v>
                </c:pt>
                <c:pt idx="5">
                  <c:v>0.95525017811536839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3.0065835961318597E-2</c:v>
                </c:pt>
                <c:pt idx="1">
                  <c:v>4.5089118192941882E-2</c:v>
                </c:pt>
                <c:pt idx="2">
                  <c:v>3.263940705804632E-2</c:v>
                </c:pt>
                <c:pt idx="3">
                  <c:v>2.9495378608166516E-2</c:v>
                </c:pt>
                <c:pt idx="4">
                  <c:v>4.7886624550020886E-2</c:v>
                </c:pt>
                <c:pt idx="5">
                  <c:v>3.4806147193827727E-2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8.2335432856177025E-3</c:v>
                </c:pt>
                <c:pt idx="1">
                  <c:v>2.0162379794587286E-2</c:v>
                </c:pt>
                <c:pt idx="2">
                  <c:v>5.2389820013453063E-3</c:v>
                </c:pt>
                <c:pt idx="3">
                  <c:v>1.452638652080286E-2</c:v>
                </c:pt>
                <c:pt idx="4">
                  <c:v>1.1552078077425981E-2</c:v>
                </c:pt>
                <c:pt idx="5">
                  <c:v>9.94367469080382E-3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0.42870479007258033</c:v>
                </c:pt>
                <c:pt idx="1">
                  <c:v>0.36422435895691208</c:v>
                </c:pt>
                <c:pt idx="2">
                  <c:v>0.35549258280715301</c:v>
                </c:pt>
                <c:pt idx="3">
                  <c:v>0.36491918143650215</c:v>
                </c:pt>
                <c:pt idx="4">
                  <c:v>0.4012964173785647</c:v>
                </c:pt>
                <c:pt idx="5">
                  <c:v>0.57545929461968237</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31645284235.709999</c:v>
                </c:pt>
                <c:pt idx="1">
                  <c:v>29270802965.48</c:v>
                </c:pt>
                <c:pt idx="2">
                  <c:v>31279699772.91</c:v>
                </c:pt>
                <c:pt idx="3">
                  <c:v>32957169192.110001</c:v>
                </c:pt>
                <c:pt idx="4">
                  <c:v>28338981085.049999</c:v>
                </c:pt>
                <c:pt idx="5">
                  <c:v>23867007746.380001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18802813425.34</c:v>
                </c:pt>
                <c:pt idx="1">
                  <c:v>15100628531.34</c:v>
                </c:pt>
                <c:pt idx="2">
                  <c:v>14949958764.77</c:v>
                </c:pt>
                <c:pt idx="3">
                  <c:v>16240284880.75</c:v>
                </c:pt>
                <c:pt idx="4">
                  <c:v>16859390927.969999</c:v>
                </c:pt>
                <c:pt idx="5">
                  <c:v>17830993366.959999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12842470810.369999</c:v>
                </c:pt>
                <c:pt idx="1">
                  <c:v>14170174434.139999</c:v>
                </c:pt>
                <c:pt idx="2">
                  <c:v>16329741008.139999</c:v>
                </c:pt>
                <c:pt idx="3">
                  <c:v>16716884311.360001</c:v>
                </c:pt>
                <c:pt idx="4">
                  <c:v>11479590157.08</c:v>
                </c:pt>
                <c:pt idx="5">
                  <c:v>6036014379.420002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3.9597811928365909E-2</c:v>
                </c:pt>
                <c:pt idx="1">
                  <c:v>7.1351092834939372E-2</c:v>
                </c:pt>
                <c:pt idx="2">
                  <c:v>0.20879956370367156</c:v>
                </c:pt>
                <c:pt idx="3">
                  <c:v>0.2017396354553857</c:v>
                </c:pt>
                <c:pt idx="4">
                  <c:v>0.18869905998301351</c:v>
                </c:pt>
                <c:pt idx="5">
                  <c:v>0.11987359487555667</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1.5488004598503769E-2</c:v>
                </c:pt>
                <c:pt idx="1">
                  <c:v>5.6528949214094681E-2</c:v>
                </c:pt>
                <c:pt idx="2">
                  <c:v>1.179272487014912E-2</c:v>
                </c:pt>
                <c:pt idx="3">
                  <c:v>2.7579907599822179E-2</c:v>
                </c:pt>
                <c:pt idx="4">
                  <c:v>2.6488379256635247E-2</c:v>
                </c:pt>
                <c:pt idx="5">
                  <c:v>7.4431070163190269E-3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-4.3051245553505471</c:v>
                </c:pt>
                <c:pt idx="1">
                  <c:v>-2.2557700649056609</c:v>
                </c:pt>
                <c:pt idx="2">
                  <c:v>-2.9586615211118099</c:v>
                </c:pt>
                <c:pt idx="3">
                  <c:v>-5.4269460320373426</c:v>
                </c:pt>
                <c:pt idx="4">
                  <c:v>-5.0753499280656458</c:v>
                </c:pt>
                <c:pt idx="5">
                  <c:v>-4.5099316285971156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0.16967468557510224</c:v>
                </c:pt>
                <c:pt idx="1">
                  <c:v>0.15988936333957465</c:v>
                </c:pt>
                <c:pt idx="2">
                  <c:v>0.18534670400258937</c:v>
                </c:pt>
                <c:pt idx="3">
                  <c:v>0.21120953508184959</c:v>
                </c:pt>
                <c:pt idx="4">
                  <c:v>0.19384954422058975</c:v>
                </c:pt>
                <c:pt idx="5">
                  <c:v>0.18340478688519665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5.9172063203396048</c:v>
                </c:pt>
                <c:pt idx="1">
                  <c:v>6.4004532619872467</c:v>
                </c:pt>
                <c:pt idx="2">
                  <c:v>4.5358752018044983</c:v>
                </c:pt>
                <c:pt idx="3">
                  <c:v>3.9369073836029909</c:v>
                </c:pt>
                <c:pt idx="4">
                  <c:v>6.4973859448284292</c:v>
                </c:pt>
                <c:pt idx="5">
                  <c:v>3.6648877574343315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3.6250501636358106</c:v>
                </c:pt>
                <c:pt idx="1">
                  <c:v>3.3086223816959461</c:v>
                </c:pt>
                <c:pt idx="2">
                  <c:v>11.852749036878913</c:v>
                </c:pt>
                <c:pt idx="3">
                  <c:v>13.164517701379911</c:v>
                </c:pt>
                <c:pt idx="4">
                  <c:v>10.09313862956324</c:v>
                </c:pt>
                <c:pt idx="5">
                  <c:v>15.171558507244411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0.16186563190097153</c:v>
                </c:pt>
                <c:pt idx="1">
                  <c:v>0.15230992082903086</c:v>
                </c:pt>
                <c:pt idx="2">
                  <c:v>0.18218523730010266</c:v>
                </c:pt>
                <c:pt idx="3">
                  <c:v>0.20749758863252898</c:v>
                </c:pt>
                <c:pt idx="4">
                  <c:v>0.18978510811646668</c:v>
                </c:pt>
                <c:pt idx="5">
                  <c:v>2.8851791175530357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0.23529720843272139</c:v>
                </c:pt>
                <c:pt idx="1">
                  <c:v>0.23069026681864913</c:v>
                </c:pt>
                <c:pt idx="2">
                  <c:v>0.25109559493475381</c:v>
                </c:pt>
                <c:pt idx="3">
                  <c:v>0.26838658995201659</c:v>
                </c:pt>
                <c:pt idx="4">
                  <c:v>0.25269479469330364</c:v>
                </c:pt>
                <c:pt idx="5">
                  <c:v>0.42774804314579046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0.68758824446333788</c:v>
                </c:pt>
                <c:pt idx="1">
                  <c:v>0.58669277131684827</c:v>
                </c:pt>
                <c:pt idx="2">
                  <c:v>0.81652102021262485</c:v>
                </c:pt>
                <c:pt idx="3">
                  <c:v>1.2276363040065323</c:v>
                </c:pt>
                <c:pt idx="4">
                  <c:v>0.91893949856369428</c:v>
                </c:pt>
                <c:pt idx="5">
                  <c:v>0.33702180160140377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7.0411696018778951</c:v>
                </c:pt>
                <c:pt idx="1">
                  <c:v>6.179412301605236</c:v>
                </c:pt>
                <c:pt idx="2">
                  <c:v>6.2477685527972575</c:v>
                </c:pt>
                <c:pt idx="3">
                  <c:v>6.3003571069307833</c:v>
                </c:pt>
                <c:pt idx="4">
                  <c:v>9.7058676932620642</c:v>
                </c:pt>
                <c:pt idx="5">
                  <c:v>8.7891946023571581</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10.167307521724306</c:v>
                </c:pt>
                <c:pt idx="1">
                  <c:v>10.882314358535659</c:v>
                </c:pt>
                <c:pt idx="2">
                  <c:v>10.71580677582139</c:v>
                </c:pt>
                <c:pt idx="3">
                  <c:v>9.7750618575936752</c:v>
                </c:pt>
                <c:pt idx="4">
                  <c:v>8.2673651425999406</c:v>
                </c:pt>
                <c:pt idx="5">
                  <c:v>8.2322629468002049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16.704441537338518</c:v>
                </c:pt>
                <c:pt idx="1">
                  <c:v>15.783798889335396</c:v>
                </c:pt>
                <c:pt idx="2">
                  <c:v>15.436362492361379</c:v>
                </c:pt>
                <c:pt idx="3">
                  <c:v>15.744882239386815</c:v>
                </c:pt>
                <c:pt idx="4">
                  <c:v>15.190131374110878</c:v>
                </c:pt>
                <c:pt idx="5">
                  <c:v>13.190516920260096</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3.2373799723596632</c:v>
                </c:pt>
                <c:pt idx="1">
                  <c:v>3.0795412586680002</c:v>
                </c:pt>
                <c:pt idx="2">
                  <c:v>7.1101655270183093</c:v>
                </c:pt>
                <c:pt idx="3">
                  <c:v>13.331768878916623</c:v>
                </c:pt>
                <c:pt idx="4">
                  <c:v>10.090446726994129</c:v>
                </c:pt>
                <c:pt idx="5">
                  <c:v>21.719917916775575</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6.171685599774978E-2</c:v>
                </c:pt>
                <c:pt idx="1">
                  <c:v>7.6935061530631552E-2</c:v>
                </c:pt>
                <c:pt idx="2">
                  <c:v>0.10267842209162009</c:v>
                </c:pt>
                <c:pt idx="3">
                  <c:v>0.10915250054796541</c:v>
                </c:pt>
                <c:pt idx="4">
                  <c:v>7.401058284523393E-2</c:v>
                </c:pt>
                <c:pt idx="5">
                  <c:v>4.1456795601376641E-2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0.34940070795486489</c:v>
                </c:pt>
                <c:pt idx="1">
                  <c:v>0.44707096130239027</c:v>
                </c:pt>
                <c:pt idx="2">
                  <c:v>0.51927594775532937</c:v>
                </c:pt>
                <c:pt idx="3">
                  <c:v>0.49668415817608624</c:v>
                </c:pt>
                <c:pt idx="4">
                  <c:v>0.36721158759796818</c:v>
                </c:pt>
                <c:pt idx="5">
                  <c:v>0.21684754422116409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5613466691.4999981</c:v>
                </c:pt>
                <c:pt idx="1">
                  <c:v>7843128046.6099997</c:v>
                </c:pt>
                <c:pt idx="2">
                  <c:v>10002692872.599998</c:v>
                </c:pt>
                <c:pt idx="3">
                  <c:v>10091459224.869999</c:v>
                </c:pt>
                <c:pt idx="4">
                  <c:v>5922153001.5</c:v>
                </c:pt>
                <c:pt idx="5">
                  <c:v>1999719133.840003</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60707559853.910004</c:v>
                </c:pt>
                <c:pt idx="1">
                  <c:v>56717778327.130005</c:v>
                </c:pt>
                <c:pt idx="2">
                  <c:v>51389642485.699997</c:v>
                </c:pt>
                <c:pt idx="3">
                  <c:v>42715938189.479996</c:v>
                </c:pt>
                <c:pt idx="4">
                  <c:v>33733788787.549999</c:v>
                </c:pt>
                <c:pt idx="5">
                  <c:v>25480039470.029999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31645284235.709999</c:v>
                </c:pt>
                <c:pt idx="1">
                  <c:v>29270802965.48</c:v>
                </c:pt>
                <c:pt idx="2">
                  <c:v>31279699772.91</c:v>
                </c:pt>
                <c:pt idx="3">
                  <c:v>32957169192.110001</c:v>
                </c:pt>
                <c:pt idx="4">
                  <c:v>28338981085.049999</c:v>
                </c:pt>
                <c:pt idx="5">
                  <c:v>23867007746.380001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11056884715.389999</c:v>
                </c:pt>
                <c:pt idx="1">
                  <c:v>13086126019.869999</c:v>
                </c:pt>
                <c:pt idx="2">
                  <c:v>16242795745.08</c:v>
                </c:pt>
                <c:pt idx="3">
                  <c:v>16369303836.049999</c:v>
                </c:pt>
                <c:pt idx="4">
                  <c:v>10406402235.150002</c:v>
                </c:pt>
                <c:pt idx="5">
                  <c:v>5175502017.7100029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345673565.06</c:v>
                </c:pt>
                <c:pt idx="1">
                  <c:v>631230626.76999998</c:v>
                </c:pt>
                <c:pt idx="2">
                  <c:v>551027246.50999999</c:v>
                </c:pt>
                <c:pt idx="3">
                  <c:v>505052099.07999998</c:v>
                </c:pt>
                <c:pt idx="4">
                  <c:v>529819245.31999999</c:v>
                </c:pt>
                <c:pt idx="5">
                  <c:v>188578122.41999999</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8729612779.75</c:v>
                </c:pt>
                <c:pt idx="1">
                  <c:v>8846824928.5300007</c:v>
                </c:pt>
                <c:pt idx="2">
                  <c:v>2639024894.1900001</c:v>
                </c:pt>
                <c:pt idx="3">
                  <c:v>2503484741.3099999</c:v>
                </c:pt>
                <c:pt idx="4">
                  <c:v>2807747136.46</c:v>
                </c:pt>
                <c:pt idx="5">
                  <c:v>1573141463.02</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0.96949336973706834</c:v>
                </c:pt>
                <c:pt idx="1">
                  <c:v>0.9820352789381479</c:v>
                </c:pt>
                <c:pt idx="2">
                  <c:v>0.99645962175093117</c:v>
                </c:pt>
                <c:pt idx="3">
                  <c:v>0.98324227471649628</c:v>
                </c:pt>
                <c:pt idx="4">
                  <c:v>0.9680223900233913</c:v>
                </c:pt>
                <c:pt idx="5">
                  <c:v>0.97231467668961846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0.54358304946130009</c:v>
                </c:pt>
                <c:pt idx="1">
                  <c:v>0.50115854720334729</c:v>
                </c:pt>
                <c:pt idx="2">
                  <c:v>0.47770623909313226</c:v>
                </c:pt>
                <c:pt idx="3">
                  <c:v>0.57534506035343369</c:v>
                </c:pt>
                <c:pt idx="4">
                  <c:v>0.64084517023000054</c:v>
                </c:pt>
                <c:pt idx="5">
                  <c:v>0.74064389942040976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1.9197811026943845</c:v>
                </c:pt>
                <c:pt idx="1">
                  <c:v>1.6534521879706388</c:v>
                </c:pt>
                <c:pt idx="2">
                  <c:v>1.5333993281155034</c:v>
                </c:pt>
                <c:pt idx="3">
                  <c:v>1.4100218041559622</c:v>
                </c:pt>
                <c:pt idx="4">
                  <c:v>1.6335051353769148</c:v>
                </c:pt>
                <c:pt idx="5">
                  <c:v>1.9127300368435283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3.2316999094141687</c:v>
                </c:pt>
                <c:pt idx="1">
                  <c:v>2.4309864299284318</c:v>
                </c:pt>
                <c:pt idx="2">
                  <c:v>2.2890607500026587</c:v>
                </c:pt>
                <c:pt idx="3">
                  <c:v>2.1224860144818081</c:v>
                </c:pt>
                <c:pt idx="4">
                  <c:v>2.5662310264916584</c:v>
                </c:pt>
                <c:pt idx="5">
                  <c:v>4.3037939241764516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-0.12025569787773419</c:v>
                </c:pt>
                <c:pt idx="1">
                  <c:v>-0.22531758500442089</c:v>
                </c:pt>
                <c:pt idx="2">
                  <c:v>5.1987880214941821E-2</c:v>
                </c:pt>
                <c:pt idx="3">
                  <c:v>0.50906815085071411</c:v>
                </c:pt>
                <c:pt idx="4">
                  <c:v>1.0639016774413381</c:v>
                </c:pt>
                <c:pt idx="5">
                  <c:v>1.2066258957323577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18141039798.419998</c:v>
                </c:pt>
                <c:pt idx="1">
                  <c:v>19066537849.5</c:v>
                </c:pt>
                <c:pt idx="2">
                  <c:v>22896771649</c:v>
                </c:pt>
                <c:pt idx="3">
                  <c:v>21418981070.5</c:v>
                </c:pt>
                <c:pt idx="4">
                  <c:v>15197612776.08</c:v>
                </c:pt>
                <c:pt idx="5">
                  <c:v>8606379058.2800007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9449535560.5695438</c:v>
                </c:pt>
                <c:pt idx="1">
                  <c:v>11531351186.453886</c:v>
                </c:pt>
                <c:pt idx="2">
                  <c:v>14932034486.502201</c:v>
                </c:pt>
                <c:pt idx="3">
                  <c:v>15190531811.188114</c:v>
                </c:pt>
                <c:pt idx="4">
                  <c:v>9303682276.1951733</c:v>
                </c:pt>
                <c:pt idx="5">
                  <c:v>4499526275.272295</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5613466691.4999981</c:v>
                </c:pt>
                <c:pt idx="1">
                  <c:v>7843128046.6099997</c:v>
                </c:pt>
                <c:pt idx="2">
                  <c:v>10002692872.599998</c:v>
                </c:pt>
                <c:pt idx="3">
                  <c:v>10091459224.869999</c:v>
                </c:pt>
                <c:pt idx="4">
                  <c:v>5922153001.5</c:v>
                </c:pt>
                <c:pt idx="5">
                  <c:v>1999719133.840003</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E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0" width="12.77734375" style="190" hidden="1" customWidth="1"/>
    <col min="11" max="12" width="13.88671875" style="190" hidden="1" customWidth="1"/>
    <col min="13" max="13" width="13.88671875" style="190" bestFit="1" customWidth="1"/>
    <col min="14" max="16" width="12.77734375" style="190" hidden="1" customWidth="1"/>
    <col min="17" max="17" width="12.777343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38" width="13.88671875" style="190" hidden="1" customWidth="1"/>
    <col min="39"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3" width="12.77734375" style="190" hidden="1" customWidth="1"/>
    <col min="64" max="64" width="13.88671875" style="190" hidden="1" customWidth="1"/>
    <col min="65" max="65" width="13.88671875" style="190" bestFit="1" customWidth="1"/>
    <col min="66" max="68" width="13.88671875" style="190" hidden="1" customWidth="1"/>
    <col min="69" max="69" width="13.88671875" style="190" bestFit="1" customWidth="1"/>
    <col min="70" max="70" width="13.88671875" style="190" hidden="1" customWidth="1"/>
    <col min="71" max="71" width="12.77734375" style="190" bestFit="1" customWidth="1"/>
    <col min="72" max="72" width="13.88671875" style="190" hidden="1" customWidth="1"/>
    <col min="73" max="73" width="12.77734375" style="190" bestFit="1" customWidth="1"/>
    <col min="74" max="74" width="13.886718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2" width="12.77734375" style="190" bestFit="1" customWidth="1"/>
    <col min="83" max="83" width="9.5546875" style="190" hidden="1" customWidth="1"/>
    <col min="84" max="16384" width="8.88671875" style="190"/>
  </cols>
  <sheetData>
    <row r="1" spans="1:83"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19941231</v>
      </c>
      <c r="CE1" s="190">
        <v>19700101</v>
      </c>
    </row>
    <row r="2" spans="1:8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row>
    <row r="3" spans="1:83" x14ac:dyDescent="0.25">
      <c r="A3" s="190" t="s">
        <v>107</v>
      </c>
    </row>
    <row r="4" spans="1:83" x14ac:dyDescent="0.25">
      <c r="A4" s="190" t="s">
        <v>108</v>
      </c>
      <c r="B4" s="190">
        <v>9419449947.0599995</v>
      </c>
      <c r="C4" s="190">
        <v>9195492777.4599991</v>
      </c>
      <c r="D4" s="190">
        <v>7095863790.3299999</v>
      </c>
      <c r="E4" s="190">
        <v>5130675837.9799995</v>
      </c>
      <c r="F4" s="190">
        <v>6690045271.3299999</v>
      </c>
      <c r="G4" s="190">
        <v>4939231197.5699997</v>
      </c>
      <c r="H4" s="190">
        <v>3745988380.3099999</v>
      </c>
      <c r="I4" s="190">
        <v>4340632063</v>
      </c>
      <c r="J4" s="190">
        <v>6440217790.4700003</v>
      </c>
      <c r="K4" s="190">
        <v>4950257604.3900003</v>
      </c>
      <c r="L4" s="190">
        <v>4033124758.8200002</v>
      </c>
      <c r="M4" s="190">
        <v>6326753352.6300001</v>
      </c>
      <c r="N4" s="190">
        <v>7826965573.0100002</v>
      </c>
      <c r="O4" s="190">
        <v>6912957543.6400003</v>
      </c>
      <c r="P4" s="190">
        <v>7458490444.7200003</v>
      </c>
      <c r="Q4" s="190">
        <v>7600933209.9399996</v>
      </c>
      <c r="R4" s="190">
        <v>9407241846.4899998</v>
      </c>
      <c r="S4" s="190">
        <v>6450077278.5200005</v>
      </c>
      <c r="T4" s="190">
        <v>5852475023.3400002</v>
      </c>
      <c r="U4" s="190">
        <v>3994354964.9899998</v>
      </c>
      <c r="V4" s="190">
        <v>3638315200.54</v>
      </c>
      <c r="W4" s="190">
        <v>3796897505.5700002</v>
      </c>
      <c r="X4" s="190">
        <v>5995975997.2600002</v>
      </c>
      <c r="Y4" s="190">
        <v>6268350125.5100002</v>
      </c>
      <c r="Z4" s="190">
        <v>3307772855.48</v>
      </c>
      <c r="AA4" s="190">
        <v>5635222909.2600002</v>
      </c>
      <c r="AB4" s="190">
        <v>3509431834.46</v>
      </c>
      <c r="AC4" s="190">
        <v>5101432558</v>
      </c>
      <c r="AD4" s="190">
        <v>2202569664.5900002</v>
      </c>
      <c r="AE4" s="190">
        <v>2561609220.6199999</v>
      </c>
      <c r="AF4" s="190">
        <v>3684581633.8899999</v>
      </c>
      <c r="AG4" s="190">
        <v>1170924553.96</v>
      </c>
      <c r="AH4" s="190">
        <v>1070562500.4400001</v>
      </c>
      <c r="AI4" s="190">
        <v>1051591778.36</v>
      </c>
      <c r="AJ4" s="190">
        <v>906334359.41999996</v>
      </c>
      <c r="AK4" s="190">
        <v>2084415547.1900001</v>
      </c>
      <c r="AL4" s="190">
        <v>848274581.05999994</v>
      </c>
      <c r="AM4" s="190">
        <v>1036069037.8200001</v>
      </c>
      <c r="AN4" s="190">
        <v>1440643233.1600001</v>
      </c>
      <c r="AO4" s="190">
        <v>1070983977.46</v>
      </c>
      <c r="AP4" s="190">
        <v>1175435568.02</v>
      </c>
      <c r="AQ4" s="190">
        <v>1075108412.2</v>
      </c>
      <c r="AR4" s="190">
        <v>1214567186.97</v>
      </c>
      <c r="AS4" s="190">
        <v>1337967684.52</v>
      </c>
      <c r="AT4" s="190">
        <v>1351160086.72</v>
      </c>
      <c r="AU4" s="190">
        <v>621479709.75</v>
      </c>
      <c r="AV4" s="190">
        <v>815331526.63</v>
      </c>
      <c r="AW4" s="190">
        <v>507948275.58999997</v>
      </c>
      <c r="AX4" s="190">
        <v>243333126.58000001</v>
      </c>
      <c r="AY4" s="190">
        <v>199103156.66</v>
      </c>
      <c r="AZ4" s="190">
        <v>323112919.82999998</v>
      </c>
      <c r="BA4" s="190">
        <v>157764420.63</v>
      </c>
      <c r="BB4" s="190">
        <v>403785630.05000001</v>
      </c>
      <c r="BC4" s="190">
        <v>377079305.70999998</v>
      </c>
      <c r="BD4" s="190">
        <v>583574459.69000006</v>
      </c>
      <c r="BE4" s="190">
        <v>368943189.26999998</v>
      </c>
      <c r="BF4" s="190">
        <v>756029349.84000003</v>
      </c>
      <c r="BG4" s="190">
        <v>438964391.97000003</v>
      </c>
      <c r="BH4" s="190">
        <v>181648627.75999999</v>
      </c>
      <c r="BI4" s="190">
        <v>136039161.43000001</v>
      </c>
      <c r="BJ4" s="190">
        <v>165218401.56999999</v>
      </c>
      <c r="BK4" s="190">
        <v>216644559.25999999</v>
      </c>
      <c r="BL4" s="190">
        <v>221238157.5</v>
      </c>
      <c r="BM4" s="190">
        <v>181052845.81999999</v>
      </c>
      <c r="BN4" s="190">
        <v>2000000</v>
      </c>
      <c r="BO4" s="190">
        <v>12549252.51</v>
      </c>
      <c r="BP4" s="190">
        <v>23167485.93</v>
      </c>
      <c r="BQ4" s="190">
        <v>34561500.75</v>
      </c>
      <c r="BR4" s="190">
        <v>44936952.799999997</v>
      </c>
      <c r="BS4" s="190">
        <v>158871889.68000001</v>
      </c>
      <c r="BT4" s="190">
        <v>138575485.94</v>
      </c>
      <c r="BU4" s="190">
        <v>79539733.840000004</v>
      </c>
      <c r="BV4" s="190">
        <v>74614056.719999999</v>
      </c>
      <c r="BW4" s="190">
        <v>52738666.020000003</v>
      </c>
      <c r="BX4" s="190">
        <v>35689075.340000004</v>
      </c>
      <c r="BY4" s="190">
        <v>20521683.670000002</v>
      </c>
      <c r="BZ4" s="190">
        <v>0</v>
      </c>
      <c r="CA4" s="190">
        <v>65358944.289999999</v>
      </c>
      <c r="CB4" s="190">
        <v>0</v>
      </c>
      <c r="CC4" s="190">
        <v>19363072.760000002</v>
      </c>
      <c r="CD4" s="190">
        <v>75719397.290000007</v>
      </c>
      <c r="CE4" s="190">
        <v>0</v>
      </c>
    </row>
    <row r="5" spans="1:83" x14ac:dyDescent="0.25">
      <c r="A5" s="190" t="s">
        <v>109</v>
      </c>
      <c r="B5" s="190">
        <v>836490400</v>
      </c>
      <c r="C5" s="190">
        <v>819954400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0</v>
      </c>
      <c r="CD5" s="190">
        <v>1100000</v>
      </c>
      <c r="CE5" s="190">
        <v>0</v>
      </c>
    </row>
    <row r="6" spans="1:83"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row>
    <row r="7" spans="1:83" x14ac:dyDescent="0.25">
      <c r="A7" s="190" t="s">
        <v>111</v>
      </c>
      <c r="B7" s="190">
        <v>513138666.44</v>
      </c>
      <c r="C7" s="190">
        <v>820152099.07000005</v>
      </c>
      <c r="D7" s="190">
        <v>553090585.33000004</v>
      </c>
      <c r="E7" s="190">
        <v>484585043.01999998</v>
      </c>
      <c r="F7" s="190">
        <v>746797542.67999995</v>
      </c>
      <c r="G7" s="190">
        <v>814447021.73000002</v>
      </c>
      <c r="H7" s="190">
        <v>693270623.19000006</v>
      </c>
      <c r="I7" s="190">
        <v>450743580.54000002</v>
      </c>
      <c r="J7" s="190">
        <v>613724567.95000005</v>
      </c>
      <c r="K7" s="190">
        <v>544751256.34000003</v>
      </c>
      <c r="L7" s="190">
        <v>301701672.25</v>
      </c>
      <c r="M7" s="190">
        <v>238650339.43000001</v>
      </c>
      <c r="N7" s="190">
        <v>351105636.06999999</v>
      </c>
      <c r="O7" s="190">
        <v>385974326.13</v>
      </c>
      <c r="P7" s="190">
        <v>330030075.31999999</v>
      </c>
      <c r="Q7" s="190">
        <v>287839007.63999999</v>
      </c>
      <c r="R7" s="190">
        <v>356460520.99000001</v>
      </c>
      <c r="S7" s="190">
        <v>435373637.19999999</v>
      </c>
      <c r="T7" s="190">
        <v>353309288.99000001</v>
      </c>
      <c r="U7" s="190">
        <v>286771435.88</v>
      </c>
      <c r="V7" s="190">
        <v>439954039.97000003</v>
      </c>
      <c r="W7" s="190">
        <v>243701595</v>
      </c>
      <c r="X7" s="190">
        <v>316750242.55000001</v>
      </c>
      <c r="Y7" s="190">
        <v>254045345.40000001</v>
      </c>
      <c r="Z7" s="190">
        <v>313987710.01999998</v>
      </c>
      <c r="AA7" s="190">
        <v>184991465.97999999</v>
      </c>
      <c r="AB7" s="190">
        <v>192235902.22</v>
      </c>
      <c r="AC7" s="190">
        <v>189905262.22</v>
      </c>
      <c r="AD7" s="190">
        <v>245975600.22999999</v>
      </c>
      <c r="AE7" s="190">
        <v>225288914.00999999</v>
      </c>
      <c r="AF7" s="190">
        <v>173132381.94</v>
      </c>
      <c r="AG7" s="190">
        <v>181574115.87</v>
      </c>
      <c r="AH7" s="190">
        <v>131396877.04000001</v>
      </c>
      <c r="AI7" s="190">
        <v>182271780.41999999</v>
      </c>
      <c r="AJ7" s="190">
        <v>119163942.40000001</v>
      </c>
      <c r="AK7" s="190">
        <v>126460633.89</v>
      </c>
      <c r="AL7" s="190">
        <v>71218395.560000002</v>
      </c>
      <c r="AM7" s="190">
        <v>63481534.270000003</v>
      </c>
      <c r="AN7" s="190">
        <v>69665788.569999993</v>
      </c>
      <c r="AO7" s="190">
        <v>51845227</v>
      </c>
      <c r="AP7" s="190">
        <v>220328125.41</v>
      </c>
      <c r="AQ7" s="190">
        <v>280052283.92000002</v>
      </c>
      <c r="AR7" s="190">
        <v>264476782.68000001</v>
      </c>
      <c r="AS7" s="190">
        <v>213234278.36000001</v>
      </c>
      <c r="AT7" s="190">
        <v>165184121.06</v>
      </c>
      <c r="AU7" s="190">
        <v>143567386.34</v>
      </c>
      <c r="AV7" s="190">
        <v>122318721.92</v>
      </c>
      <c r="AW7" s="190">
        <v>83668360.099999994</v>
      </c>
      <c r="AX7" s="190">
        <v>21177153.879999999</v>
      </c>
      <c r="AY7" s="190">
        <v>10100000</v>
      </c>
      <c r="AZ7" s="190">
        <v>10000000</v>
      </c>
      <c r="BA7" s="190">
        <v>35000000</v>
      </c>
      <c r="BB7" s="190">
        <v>86800955.099999994</v>
      </c>
      <c r="BC7" s="190">
        <v>15797800</v>
      </c>
      <c r="BD7" s="190">
        <v>7720000</v>
      </c>
      <c r="BE7" s="190">
        <v>47140118.810000002</v>
      </c>
      <c r="BF7" s="190">
        <v>56000000</v>
      </c>
      <c r="BG7" s="190">
        <v>78000000</v>
      </c>
      <c r="BH7" s="190">
        <v>55200000</v>
      </c>
      <c r="BI7" s="190">
        <v>85945000</v>
      </c>
      <c r="BJ7" s="190">
        <v>19450426.600000001</v>
      </c>
      <c r="BK7" s="190">
        <v>9600273.1699999999</v>
      </c>
      <c r="BL7" s="190">
        <v>26780000</v>
      </c>
      <c r="BM7" s="190">
        <v>55818537</v>
      </c>
      <c r="BN7" s="190">
        <v>0</v>
      </c>
      <c r="BO7" s="190">
        <v>0</v>
      </c>
      <c r="BP7" s="190">
        <v>0</v>
      </c>
      <c r="BQ7" s="190">
        <v>140000</v>
      </c>
      <c r="BR7" s="190">
        <v>3656450</v>
      </c>
      <c r="BS7" s="190">
        <v>3100000</v>
      </c>
      <c r="BT7" s="190">
        <v>112669.12</v>
      </c>
      <c r="BU7" s="190">
        <v>3780000</v>
      </c>
      <c r="BV7" s="190">
        <v>5752500</v>
      </c>
      <c r="BW7" s="190">
        <v>17730547.870000001</v>
      </c>
      <c r="BX7" s="190">
        <v>0</v>
      </c>
      <c r="BY7" s="190">
        <v>0</v>
      </c>
      <c r="BZ7" s="190">
        <v>0</v>
      </c>
      <c r="CA7" s="190">
        <v>0</v>
      </c>
      <c r="CB7" s="190">
        <v>0</v>
      </c>
      <c r="CC7" s="190">
        <v>0</v>
      </c>
      <c r="CD7" s="190">
        <v>0</v>
      </c>
      <c r="CE7" s="190">
        <v>0</v>
      </c>
    </row>
    <row r="8" spans="1:83" x14ac:dyDescent="0.25">
      <c r="A8" s="190" t="s">
        <v>112</v>
      </c>
      <c r="B8" s="190">
        <v>5029240933.3500004</v>
      </c>
      <c r="C8" s="190">
        <v>3734592923.3699999</v>
      </c>
      <c r="D8" s="190">
        <v>4079782251.0799999</v>
      </c>
      <c r="E8" s="190">
        <v>3551602655.9899998</v>
      </c>
      <c r="F8" s="190">
        <v>3762431085.3800001</v>
      </c>
      <c r="G8" s="190">
        <v>3574264461.79</v>
      </c>
      <c r="H8" s="190">
        <v>3613078193.1999998</v>
      </c>
      <c r="I8" s="190">
        <v>2577731009.8699999</v>
      </c>
      <c r="J8" s="190">
        <v>3986538742.5100002</v>
      </c>
      <c r="K8" s="190">
        <v>3622197803.75</v>
      </c>
      <c r="L8" s="190">
        <v>3788902890.6300001</v>
      </c>
      <c r="M8" s="190">
        <v>2406316337.1799998</v>
      </c>
      <c r="N8" s="190">
        <v>4016591172.73</v>
      </c>
      <c r="O8" s="190">
        <v>3595613420.4200001</v>
      </c>
      <c r="P8" s="190">
        <v>3513934715.21</v>
      </c>
      <c r="Q8" s="190">
        <v>2948421172.7399998</v>
      </c>
      <c r="R8" s="190">
        <v>4542106076.54</v>
      </c>
      <c r="S8" s="190">
        <v>3581531847.1799998</v>
      </c>
      <c r="T8" s="190">
        <v>3617431687.1199999</v>
      </c>
      <c r="U8" s="190">
        <v>3276895476.7399998</v>
      </c>
      <c r="V8" s="190">
        <v>3840879528.5500002</v>
      </c>
      <c r="W8" s="190">
        <v>3142091807.9200001</v>
      </c>
      <c r="X8" s="190">
        <v>2889352241.0500002</v>
      </c>
      <c r="Y8" s="190">
        <v>3148726220.6799998</v>
      </c>
      <c r="Z8" s="190">
        <v>2699742976.5900002</v>
      </c>
      <c r="AA8" s="190">
        <v>2644021517.5</v>
      </c>
      <c r="AB8" s="190">
        <v>2200889199.9899998</v>
      </c>
      <c r="AC8" s="190">
        <v>2515974718.8600001</v>
      </c>
      <c r="AD8" s="190">
        <v>2611342271.75</v>
      </c>
      <c r="AE8" s="190">
        <v>2175898564.0599999</v>
      </c>
      <c r="AF8" s="190">
        <v>1758876238.3099999</v>
      </c>
      <c r="AG8" s="190">
        <v>2069958027.6099999</v>
      </c>
      <c r="AH8" s="190">
        <v>2137004228.0699999</v>
      </c>
      <c r="AI8" s="190">
        <v>1658575546.8299999</v>
      </c>
      <c r="AJ8" s="190">
        <v>1651829682.95</v>
      </c>
      <c r="AK8" s="190">
        <v>1795040003.05</v>
      </c>
      <c r="AL8" s="190">
        <v>856671651.63</v>
      </c>
      <c r="AM8" s="190">
        <v>880685623.13</v>
      </c>
      <c r="AN8" s="190">
        <v>840114994.38999999</v>
      </c>
      <c r="AO8" s="190">
        <v>637316071.52999997</v>
      </c>
      <c r="AP8" s="190">
        <v>870983817.03999996</v>
      </c>
      <c r="AQ8" s="190">
        <v>701241945.75999999</v>
      </c>
      <c r="AR8" s="190">
        <v>880368282.63999999</v>
      </c>
      <c r="AS8" s="190">
        <v>863491981.40999997</v>
      </c>
      <c r="AT8" s="190">
        <v>731429587.17999995</v>
      </c>
      <c r="AU8" s="190">
        <v>841685630.74000001</v>
      </c>
      <c r="AV8" s="190">
        <v>969597001.92999995</v>
      </c>
      <c r="AW8" s="190">
        <v>755236716.35000002</v>
      </c>
      <c r="AX8" s="190">
        <v>486247102.82999998</v>
      </c>
      <c r="AY8" s="190">
        <v>422011759.25</v>
      </c>
      <c r="AZ8" s="190">
        <v>405536295.07999998</v>
      </c>
      <c r="BA8" s="190">
        <v>352811804.73000002</v>
      </c>
      <c r="BB8" s="190">
        <v>458873982.00999999</v>
      </c>
      <c r="BC8" s="190">
        <v>507610298.25999999</v>
      </c>
      <c r="BD8" s="190">
        <v>553848302.10000002</v>
      </c>
      <c r="BE8" s="190">
        <v>393342169.30000001</v>
      </c>
      <c r="BF8" s="190">
        <v>454934363.02999997</v>
      </c>
      <c r="BG8" s="190">
        <v>846332545.14999998</v>
      </c>
      <c r="BH8" s="190">
        <v>347087412.26999998</v>
      </c>
      <c r="BI8" s="190">
        <v>332670982.79000002</v>
      </c>
      <c r="BJ8" s="190">
        <v>324074164.38999999</v>
      </c>
      <c r="BK8" s="190">
        <v>386150985.73000002</v>
      </c>
      <c r="BL8" s="190">
        <v>613881783.49000001</v>
      </c>
      <c r="BM8" s="190">
        <v>525922356.98000002</v>
      </c>
      <c r="BN8" s="190">
        <v>132135629.06999999</v>
      </c>
      <c r="BO8" s="190">
        <v>183865606.08000001</v>
      </c>
      <c r="BP8" s="190">
        <v>139562136.83000001</v>
      </c>
      <c r="BQ8" s="190">
        <v>142708154.59999999</v>
      </c>
      <c r="BR8" s="190">
        <v>187156539.31</v>
      </c>
      <c r="BS8" s="190">
        <v>197515634.88999999</v>
      </c>
      <c r="BT8" s="190">
        <v>95734429.959999993</v>
      </c>
      <c r="BU8" s="190">
        <v>204922484.36000001</v>
      </c>
      <c r="BV8" s="190">
        <v>152304010.09</v>
      </c>
      <c r="BW8" s="190">
        <v>208552596.06999999</v>
      </c>
      <c r="BX8" s="190">
        <v>172005529.80000001</v>
      </c>
      <c r="BY8" s="190">
        <v>40996978.090000004</v>
      </c>
      <c r="BZ8" s="190">
        <v>0</v>
      </c>
      <c r="CA8" s="190">
        <v>16574602.5</v>
      </c>
      <c r="CB8" s="190">
        <v>0</v>
      </c>
      <c r="CC8" s="190">
        <v>749756.31</v>
      </c>
      <c r="CD8" s="190">
        <v>1088086.03</v>
      </c>
      <c r="CE8" s="190">
        <v>0</v>
      </c>
    </row>
    <row r="9" spans="1:83" x14ac:dyDescent="0.25">
      <c r="A9" s="190" t="s">
        <v>113</v>
      </c>
      <c r="B9" s="190">
        <v>1962623242.8299999</v>
      </c>
      <c r="C9" s="190">
        <v>1461483391.9400001</v>
      </c>
      <c r="D9" s="190">
        <v>1642420042.1800001</v>
      </c>
      <c r="E9" s="190">
        <v>369992500.22000003</v>
      </c>
      <c r="F9" s="190">
        <v>464019158.25999999</v>
      </c>
      <c r="G9" s="190">
        <v>422841777.73000002</v>
      </c>
      <c r="H9" s="190">
        <v>440183379.74000001</v>
      </c>
      <c r="I9" s="190">
        <v>380486745.60000002</v>
      </c>
      <c r="J9" s="190">
        <v>1084587349.95</v>
      </c>
      <c r="K9" s="190">
        <v>1167663572.6300001</v>
      </c>
      <c r="L9" s="190">
        <v>1736976902.26</v>
      </c>
      <c r="M9" s="190">
        <v>1607915486.72</v>
      </c>
      <c r="N9" s="190">
        <v>3489085104.54</v>
      </c>
      <c r="O9" s="190">
        <v>3259863422.5700002</v>
      </c>
      <c r="P9" s="190">
        <v>1299819059.73</v>
      </c>
      <c r="Q9" s="190">
        <v>1107166232.54</v>
      </c>
      <c r="R9" s="190">
        <v>1956571398.8199999</v>
      </c>
      <c r="S9" s="190">
        <v>1373737300.4200001</v>
      </c>
      <c r="T9" s="190">
        <v>1872082305.0799999</v>
      </c>
      <c r="U9" s="190">
        <v>1385627926.3</v>
      </c>
      <c r="V9" s="190">
        <v>1799563908.6400001</v>
      </c>
      <c r="W9" s="190">
        <v>2000291600.3699999</v>
      </c>
      <c r="X9" s="190">
        <v>2044266960.6600001</v>
      </c>
      <c r="Y9" s="190">
        <v>1784883849.53</v>
      </c>
      <c r="Z9" s="190">
        <v>3923124035.6199999</v>
      </c>
      <c r="AA9" s="190">
        <v>3792283706.0799999</v>
      </c>
      <c r="AB9" s="190">
        <v>3627211350.23</v>
      </c>
      <c r="AC9" s="190">
        <v>3337944515.3200002</v>
      </c>
      <c r="AD9" s="190">
        <v>3183026305.46</v>
      </c>
      <c r="AE9" s="190">
        <v>3514407911.5300002</v>
      </c>
      <c r="AF9" s="190">
        <v>3398585429.2600002</v>
      </c>
      <c r="AG9" s="190">
        <v>2687576297.9299998</v>
      </c>
      <c r="AH9" s="190">
        <v>3807186759.3499999</v>
      </c>
      <c r="AI9" s="190">
        <v>3459569824.46</v>
      </c>
      <c r="AJ9" s="190">
        <v>2779508699.4899998</v>
      </c>
      <c r="AK9" s="190">
        <v>2307776743.1900001</v>
      </c>
      <c r="AL9" s="190">
        <v>485270443.89999998</v>
      </c>
      <c r="AM9" s="190">
        <v>460492756.19</v>
      </c>
      <c r="AN9" s="190">
        <v>226037648.31999999</v>
      </c>
      <c r="AO9" s="190">
        <v>310615018.25999999</v>
      </c>
      <c r="AP9" s="190">
        <v>361745331.22000003</v>
      </c>
      <c r="AQ9" s="190">
        <v>442483123.82999998</v>
      </c>
      <c r="AR9" s="190">
        <v>231011833.69999999</v>
      </c>
      <c r="AS9" s="190">
        <v>152133449.09999999</v>
      </c>
      <c r="AT9" s="190">
        <v>240883830.03</v>
      </c>
      <c r="AU9" s="190">
        <v>347245516.54000002</v>
      </c>
      <c r="AV9" s="190">
        <v>308542766.80000001</v>
      </c>
      <c r="AW9" s="190">
        <v>185954725.22</v>
      </c>
      <c r="AX9" s="190">
        <v>1652573247.71</v>
      </c>
      <c r="AY9" s="190">
        <v>159571641.74000001</v>
      </c>
      <c r="AZ9" s="190">
        <v>143244668.55000001</v>
      </c>
      <c r="BA9" s="190">
        <v>60438033.829999998</v>
      </c>
      <c r="BB9" s="190">
        <v>71966848.319999993</v>
      </c>
      <c r="BC9" s="190">
        <v>21978235.079999998</v>
      </c>
      <c r="BD9" s="190">
        <v>130453092.02</v>
      </c>
      <c r="BE9" s="190">
        <v>5738470.1100000003</v>
      </c>
      <c r="BF9" s="190">
        <v>51239088.119999997</v>
      </c>
      <c r="BG9" s="190">
        <v>17080661.600000001</v>
      </c>
      <c r="BH9" s="190">
        <v>357836111.06</v>
      </c>
      <c r="BI9" s="190">
        <v>52843687.799999997</v>
      </c>
      <c r="BJ9" s="190">
        <v>68967819.650000006</v>
      </c>
      <c r="BK9" s="190">
        <v>9699839.9600000009</v>
      </c>
      <c r="BL9" s="190">
        <v>6045761.3099999996</v>
      </c>
      <c r="BM9" s="190">
        <v>912009.66</v>
      </c>
      <c r="BN9" s="190">
        <v>0</v>
      </c>
      <c r="BO9" s="190">
        <v>30313.119999999999</v>
      </c>
      <c r="BP9" s="190">
        <v>23464287.84</v>
      </c>
      <c r="BQ9" s="190">
        <v>33923265.369999997</v>
      </c>
      <c r="BR9" s="190">
        <v>0</v>
      </c>
      <c r="BS9" s="190">
        <v>0</v>
      </c>
      <c r="BT9" s="190">
        <v>0</v>
      </c>
      <c r="BU9" s="190">
        <v>454548.83</v>
      </c>
      <c r="BV9" s="190">
        <v>1500000</v>
      </c>
      <c r="BW9" s="190">
        <v>6440863.5</v>
      </c>
      <c r="BX9" s="190">
        <v>0</v>
      </c>
      <c r="BY9" s="190">
        <v>15000000</v>
      </c>
      <c r="BZ9" s="190">
        <v>0</v>
      </c>
      <c r="CA9" s="190">
        <v>0</v>
      </c>
      <c r="CB9" s="190">
        <v>0</v>
      </c>
      <c r="CC9" s="190">
        <v>0</v>
      </c>
      <c r="CD9" s="190">
        <v>0</v>
      </c>
      <c r="CE9" s="190">
        <v>0</v>
      </c>
    </row>
    <row r="10" spans="1:83" x14ac:dyDescent="0.25">
      <c r="A10" s="190" t="s">
        <v>114</v>
      </c>
      <c r="B10" s="190">
        <v>9582410.1699999999</v>
      </c>
      <c r="C10" s="190">
        <v>15194061.130000001</v>
      </c>
      <c r="D10" s="190">
        <v>12977686.689999999</v>
      </c>
      <c r="E10" s="190">
        <v>12019746.539999999</v>
      </c>
      <c r="F10" s="190">
        <v>12744231.689999999</v>
      </c>
      <c r="G10" s="190">
        <v>9823639</v>
      </c>
      <c r="H10" s="190">
        <v>8150153.9100000001</v>
      </c>
      <c r="I10" s="190">
        <v>5952343.5499999998</v>
      </c>
      <c r="J10" s="190">
        <v>8362761.7699999996</v>
      </c>
      <c r="K10" s="190">
        <v>6211006.9500000002</v>
      </c>
      <c r="L10" s="190">
        <v>12384019.01</v>
      </c>
      <c r="M10" s="190">
        <v>12214911.619999999</v>
      </c>
      <c r="N10" s="190">
        <v>12038366.359999999</v>
      </c>
      <c r="O10" s="190">
        <v>20245909.920000002</v>
      </c>
      <c r="P10" s="190">
        <v>17295752.300000001</v>
      </c>
      <c r="Q10" s="190">
        <v>21915240.960000001</v>
      </c>
      <c r="R10" s="190">
        <v>18624947.390000001</v>
      </c>
      <c r="S10" s="190">
        <v>7479571.2400000002</v>
      </c>
      <c r="T10" s="190">
        <v>5921194.4100000001</v>
      </c>
      <c r="U10" s="190">
        <v>5636597.7800000003</v>
      </c>
      <c r="V10" s="190">
        <v>5824630.9299999997</v>
      </c>
      <c r="W10" s="190">
        <v>5659076.4000000004</v>
      </c>
      <c r="X10" s="190">
        <v>8016010.9199999999</v>
      </c>
      <c r="Y10" s="190">
        <v>7446604.5700000003</v>
      </c>
      <c r="Z10" s="190">
        <v>10931596.720000001</v>
      </c>
      <c r="AA10" s="190">
        <v>12546632.529999999</v>
      </c>
      <c r="AB10" s="190">
        <v>10549121.050000001</v>
      </c>
      <c r="AC10" s="190">
        <v>4125816.82</v>
      </c>
      <c r="AD10" s="190">
        <v>3604872.88</v>
      </c>
      <c r="AE10" s="190">
        <v>5133381.8499999996</v>
      </c>
      <c r="AF10" s="190">
        <v>4382530.5599999996</v>
      </c>
      <c r="AG10" s="190">
        <v>2908891.16</v>
      </c>
      <c r="AH10" s="190">
        <v>0</v>
      </c>
      <c r="AI10" s="190">
        <v>0</v>
      </c>
      <c r="AJ10" s="190">
        <v>215662.11</v>
      </c>
      <c r="AK10" s="190">
        <v>2845291.4</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row>
    <row r="11" spans="1:83" x14ac:dyDescent="0.25">
      <c r="A11" s="190" t="s">
        <v>115</v>
      </c>
      <c r="B11" s="190">
        <v>133067488.43000001</v>
      </c>
      <c r="C11" s="190">
        <v>146270393.03</v>
      </c>
      <c r="D11" s="190">
        <v>0</v>
      </c>
      <c r="E11" s="190">
        <v>0</v>
      </c>
      <c r="F11" s="190">
        <v>97093375.060000002</v>
      </c>
      <c r="G11" s="190">
        <v>173368868.74000001</v>
      </c>
      <c r="H11" s="190">
        <v>0</v>
      </c>
      <c r="I11" s="190">
        <v>20703087.370000001</v>
      </c>
      <c r="J11" s="190">
        <v>107804723.23999999</v>
      </c>
      <c r="K11" s="190">
        <v>177684723.24000001</v>
      </c>
      <c r="L11" s="190">
        <v>14850000</v>
      </c>
      <c r="M11" s="190">
        <v>14850000</v>
      </c>
      <c r="N11" s="190">
        <v>103804472.09</v>
      </c>
      <c r="O11" s="190">
        <v>254498723.84999999</v>
      </c>
      <c r="P11" s="190">
        <v>118381270.56</v>
      </c>
      <c r="Q11" s="190">
        <v>219159570.56</v>
      </c>
      <c r="R11" s="190">
        <v>204321769.52000001</v>
      </c>
      <c r="S11" s="190">
        <v>263422182.37</v>
      </c>
      <c r="T11" s="190">
        <v>75995354.060000002</v>
      </c>
      <c r="U11" s="190">
        <v>115995354.06</v>
      </c>
      <c r="V11" s="190">
        <v>115995354.06</v>
      </c>
      <c r="W11" s="190">
        <v>115995354.06</v>
      </c>
      <c r="X11" s="190">
        <v>0</v>
      </c>
      <c r="Y11" s="190">
        <v>0</v>
      </c>
      <c r="Z11" s="190">
        <v>0</v>
      </c>
      <c r="AA11" s="190">
        <v>0</v>
      </c>
      <c r="AB11" s="190">
        <v>0</v>
      </c>
      <c r="AC11" s="190">
        <v>53008645.899999999</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66173073.759999998</v>
      </c>
      <c r="AS11" s="190">
        <v>66173073.759999998</v>
      </c>
      <c r="AT11" s="190">
        <v>0</v>
      </c>
      <c r="AU11" s="190">
        <v>0</v>
      </c>
      <c r="AV11" s="190">
        <v>0</v>
      </c>
      <c r="AW11" s="190">
        <v>63000000</v>
      </c>
      <c r="AX11" s="190">
        <v>0</v>
      </c>
      <c r="AY11" s="190">
        <v>0</v>
      </c>
      <c r="AZ11" s="190">
        <v>23000000</v>
      </c>
      <c r="BA11" s="190">
        <v>53304000</v>
      </c>
      <c r="BB11" s="190">
        <v>0</v>
      </c>
      <c r="BC11" s="190">
        <v>0</v>
      </c>
      <c r="BD11" s="190">
        <v>0</v>
      </c>
      <c r="BE11" s="190">
        <v>42000000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row>
    <row r="12" spans="1:83" x14ac:dyDescent="0.25">
      <c r="A12" s="190" t="s">
        <v>116</v>
      </c>
      <c r="B12" s="190">
        <v>336975606.74000001</v>
      </c>
      <c r="C12" s="190">
        <v>159632194.93000001</v>
      </c>
      <c r="D12" s="190">
        <v>166037023.87</v>
      </c>
      <c r="E12" s="190">
        <v>158212879.91999999</v>
      </c>
      <c r="F12" s="190">
        <v>152304571.24000001</v>
      </c>
      <c r="G12" s="190">
        <v>69622252.329999998</v>
      </c>
      <c r="H12" s="190">
        <v>86831167.980000004</v>
      </c>
      <c r="I12" s="190">
        <v>64579312.43</v>
      </c>
      <c r="J12" s="190">
        <v>155842292.91</v>
      </c>
      <c r="K12" s="190">
        <v>154714156.34999999</v>
      </c>
      <c r="L12" s="190">
        <v>175954769.68000001</v>
      </c>
      <c r="M12" s="190">
        <v>106806917.16</v>
      </c>
      <c r="N12" s="190">
        <v>134966204.19999999</v>
      </c>
      <c r="O12" s="190">
        <v>129154780.93000001</v>
      </c>
      <c r="P12" s="190">
        <v>198429572.03999999</v>
      </c>
      <c r="Q12" s="190">
        <v>224532401.40000001</v>
      </c>
      <c r="R12" s="190">
        <v>265420266.78</v>
      </c>
      <c r="S12" s="190">
        <v>262693337.47999999</v>
      </c>
      <c r="T12" s="190">
        <v>212349366.66999999</v>
      </c>
      <c r="U12" s="190">
        <v>195581754.86000001</v>
      </c>
      <c r="V12" s="190">
        <v>1122196237.77</v>
      </c>
      <c r="W12" s="190">
        <v>1146483405.0599999</v>
      </c>
      <c r="X12" s="190">
        <v>1096354588.8199999</v>
      </c>
      <c r="Y12" s="190">
        <v>1127536637.8</v>
      </c>
      <c r="Z12" s="190">
        <v>1267683178.9300001</v>
      </c>
      <c r="AA12" s="190">
        <v>1333436560.1800001</v>
      </c>
      <c r="AB12" s="190">
        <v>1280808269.6600001</v>
      </c>
      <c r="AC12" s="190">
        <v>1529403997.3399999</v>
      </c>
      <c r="AD12" s="190">
        <v>1417233263.96</v>
      </c>
      <c r="AE12" s="190">
        <v>1217031254.4400001</v>
      </c>
      <c r="AF12" s="190">
        <v>1069348112.51</v>
      </c>
      <c r="AG12" s="190">
        <v>854154405.19000006</v>
      </c>
      <c r="AH12" s="190">
        <v>734038199.63</v>
      </c>
      <c r="AI12" s="190">
        <v>715721868.57000005</v>
      </c>
      <c r="AJ12" s="190">
        <v>632089873.67999995</v>
      </c>
      <c r="AK12" s="190">
        <v>899467919.58000004</v>
      </c>
      <c r="AL12" s="190">
        <v>401261406.16000003</v>
      </c>
      <c r="AM12" s="190">
        <v>440046150.73000002</v>
      </c>
      <c r="AN12" s="190">
        <v>333435251.86000001</v>
      </c>
      <c r="AO12" s="190">
        <v>309138073.87</v>
      </c>
      <c r="AP12" s="190">
        <v>139125822.15000001</v>
      </c>
      <c r="AQ12" s="190">
        <v>121080729.25</v>
      </c>
      <c r="AR12" s="190">
        <v>104596626.03</v>
      </c>
      <c r="AS12" s="190">
        <v>124472517.5</v>
      </c>
      <c r="AT12" s="190">
        <v>154365280.47</v>
      </c>
      <c r="AU12" s="190">
        <v>107336507.13</v>
      </c>
      <c r="AV12" s="190">
        <v>83214716.599999994</v>
      </c>
      <c r="AW12" s="190">
        <v>73249716.890000001</v>
      </c>
      <c r="AX12" s="190">
        <v>18250746.66</v>
      </c>
      <c r="AY12" s="190">
        <v>21647634.530000001</v>
      </c>
      <c r="AZ12" s="190">
        <v>9970289.8399999999</v>
      </c>
      <c r="BA12" s="190">
        <v>9323501.6699999999</v>
      </c>
      <c r="BB12" s="190">
        <v>12231545.16</v>
      </c>
      <c r="BC12" s="190">
        <v>10514543.109999999</v>
      </c>
      <c r="BD12" s="190">
        <v>988140.96</v>
      </c>
      <c r="BE12" s="190">
        <v>11643865.050000001</v>
      </c>
      <c r="BF12" s="190">
        <v>96380695.629999995</v>
      </c>
      <c r="BG12" s="190">
        <v>93692629.760000005</v>
      </c>
      <c r="BH12" s="190">
        <v>7533892.8099999996</v>
      </c>
      <c r="BI12" s="190">
        <v>10807393.050000001</v>
      </c>
      <c r="BJ12" s="190">
        <v>47630907.469999999</v>
      </c>
      <c r="BK12" s="190">
        <v>7057090.4000000004</v>
      </c>
      <c r="BL12" s="190">
        <v>10924205.99</v>
      </c>
      <c r="BM12" s="190">
        <v>9392877.4700000007</v>
      </c>
      <c r="BN12" s="190">
        <v>24655889.5</v>
      </c>
      <c r="BO12" s="190">
        <v>1962804.53</v>
      </c>
      <c r="BP12" s="190">
        <v>556370.27</v>
      </c>
      <c r="BQ12" s="190">
        <v>110775.69</v>
      </c>
      <c r="BR12" s="190">
        <v>403169.61</v>
      </c>
      <c r="BS12" s="190">
        <v>833208.25</v>
      </c>
      <c r="BT12" s="190">
        <v>1881262.61</v>
      </c>
      <c r="BU12" s="190">
        <v>7050832.4500000002</v>
      </c>
      <c r="BV12" s="190">
        <v>5700032.04</v>
      </c>
      <c r="BW12" s="190">
        <v>5073369.22</v>
      </c>
      <c r="BX12" s="190">
        <v>3581621.69</v>
      </c>
      <c r="BY12" s="190">
        <v>236776.16</v>
      </c>
      <c r="BZ12" s="190">
        <v>0</v>
      </c>
      <c r="CA12" s="190">
        <v>317715.43</v>
      </c>
      <c r="CB12" s="190">
        <v>0</v>
      </c>
      <c r="CC12" s="190">
        <v>3145407.74</v>
      </c>
      <c r="CD12" s="190">
        <v>2513132.59</v>
      </c>
      <c r="CE12" s="190">
        <v>0</v>
      </c>
    </row>
    <row r="13" spans="1:83"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row>
    <row r="14" spans="1:83" x14ac:dyDescent="0.25">
      <c r="A14" s="190" t="s">
        <v>118</v>
      </c>
      <c r="B14" s="190">
        <v>1636268257.9400001</v>
      </c>
      <c r="C14" s="190">
        <v>1482898083.6900001</v>
      </c>
      <c r="D14" s="190">
        <v>1518114570.3699999</v>
      </c>
      <c r="E14" s="190">
        <v>1183173407.1300001</v>
      </c>
      <c r="F14" s="190">
        <v>1244943912.8099999</v>
      </c>
      <c r="G14" s="190">
        <v>1273559512.6500001</v>
      </c>
      <c r="H14" s="190">
        <v>1173959574.6400001</v>
      </c>
      <c r="I14" s="190">
        <v>1068061796.79</v>
      </c>
      <c r="J14" s="190">
        <v>964863461.77999997</v>
      </c>
      <c r="K14" s="190">
        <v>845539311.59000003</v>
      </c>
      <c r="L14" s="190">
        <v>839395110.07000005</v>
      </c>
      <c r="M14" s="190">
        <v>845372179.04999995</v>
      </c>
      <c r="N14" s="190">
        <v>879586874.70000005</v>
      </c>
      <c r="O14" s="190">
        <v>931970579.40999997</v>
      </c>
      <c r="P14" s="190">
        <v>995242167.38</v>
      </c>
      <c r="Q14" s="190">
        <v>1091607309.76</v>
      </c>
      <c r="R14" s="190">
        <v>993976495.19000006</v>
      </c>
      <c r="S14" s="190">
        <v>893398440.62</v>
      </c>
      <c r="T14" s="190">
        <v>1033070153.26</v>
      </c>
      <c r="U14" s="190">
        <v>971321410.03999996</v>
      </c>
      <c r="V14" s="190">
        <v>1001361452.15</v>
      </c>
      <c r="W14" s="190">
        <v>1041506435.52</v>
      </c>
      <c r="X14" s="190">
        <v>1216910222.3199999</v>
      </c>
      <c r="Y14" s="190">
        <v>1248460698.8499999</v>
      </c>
      <c r="Z14" s="190">
        <v>972539273.42999995</v>
      </c>
      <c r="AA14" s="190">
        <v>1102908492.9100001</v>
      </c>
      <c r="AB14" s="190">
        <v>1129487618.99</v>
      </c>
      <c r="AC14" s="190">
        <v>1455147275.6900001</v>
      </c>
      <c r="AD14" s="190">
        <v>1025897172.5</v>
      </c>
      <c r="AE14" s="190">
        <v>875578740</v>
      </c>
      <c r="AF14" s="190">
        <v>942678213.64999998</v>
      </c>
      <c r="AG14" s="190">
        <v>1001665759.91</v>
      </c>
      <c r="AH14" s="190">
        <v>1011180236.92</v>
      </c>
      <c r="AI14" s="190">
        <v>839637005.85000002</v>
      </c>
      <c r="AJ14" s="190">
        <v>787361962.60000002</v>
      </c>
      <c r="AK14" s="190">
        <v>605032240.13</v>
      </c>
      <c r="AL14" s="190">
        <v>322521036.56</v>
      </c>
      <c r="AM14" s="190">
        <v>352594765.35000002</v>
      </c>
      <c r="AN14" s="190">
        <v>404665097.97000003</v>
      </c>
      <c r="AO14" s="190">
        <v>660730821.15999997</v>
      </c>
      <c r="AP14" s="190">
        <v>525311810.88999999</v>
      </c>
      <c r="AQ14" s="190">
        <v>482691386.45999998</v>
      </c>
      <c r="AR14" s="190">
        <v>284593271.41000003</v>
      </c>
      <c r="AS14" s="190">
        <v>227444572.78</v>
      </c>
      <c r="AT14" s="190">
        <v>244802099.09</v>
      </c>
      <c r="AU14" s="190">
        <v>143802290.30000001</v>
      </c>
      <c r="AV14" s="190">
        <v>193714722.81</v>
      </c>
      <c r="AW14" s="190">
        <v>234046706.28</v>
      </c>
      <c r="AX14" s="190">
        <v>127244911.31999999</v>
      </c>
      <c r="AY14" s="190">
        <v>129035231.19</v>
      </c>
      <c r="AZ14" s="190">
        <v>119054635.70999999</v>
      </c>
      <c r="BA14" s="190">
        <v>109130091.06</v>
      </c>
      <c r="BB14" s="190">
        <v>146741773.41999999</v>
      </c>
      <c r="BC14" s="190">
        <v>126198735.44</v>
      </c>
      <c r="BD14" s="190">
        <v>118170564.59999999</v>
      </c>
      <c r="BE14" s="190">
        <v>110406838.14</v>
      </c>
      <c r="BF14" s="190">
        <v>61740561.869999997</v>
      </c>
      <c r="BG14" s="190">
        <v>81821348.459999993</v>
      </c>
      <c r="BH14" s="190">
        <v>38528874.049999997</v>
      </c>
      <c r="BI14" s="190">
        <v>27253611.379999999</v>
      </c>
      <c r="BJ14" s="190">
        <v>24398973.579999998</v>
      </c>
      <c r="BK14" s="190">
        <v>26567489.559999999</v>
      </c>
      <c r="BL14" s="190">
        <v>22787139.420000002</v>
      </c>
      <c r="BM14" s="190">
        <v>21588543.27</v>
      </c>
      <c r="BN14" s="190">
        <v>34126082.219999999</v>
      </c>
      <c r="BO14" s="190">
        <v>82981423.459999993</v>
      </c>
      <c r="BP14" s="190">
        <v>51974046.170000002</v>
      </c>
      <c r="BQ14" s="190">
        <v>30787067</v>
      </c>
      <c r="BR14" s="190">
        <v>301640094.26999998</v>
      </c>
      <c r="BS14" s="190">
        <v>59437173.280000001</v>
      </c>
      <c r="BT14" s="190">
        <v>58044607.799999997</v>
      </c>
      <c r="BU14" s="190">
        <v>37886608.409999996</v>
      </c>
      <c r="BV14" s="190">
        <v>138359369.99000001</v>
      </c>
      <c r="BW14" s="190">
        <v>66386112.700000003</v>
      </c>
      <c r="BX14" s="190">
        <v>65347812.509999998</v>
      </c>
      <c r="BY14" s="190">
        <v>13673732.16</v>
      </c>
      <c r="BZ14" s="190">
        <v>0</v>
      </c>
      <c r="CA14" s="190">
        <v>3101452.24</v>
      </c>
      <c r="CB14" s="190">
        <v>0</v>
      </c>
      <c r="CC14" s="190">
        <v>3834379.37</v>
      </c>
      <c r="CD14" s="190">
        <v>883954.61</v>
      </c>
      <c r="CE14" s="190">
        <v>0</v>
      </c>
    </row>
    <row r="15" spans="1:83"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row>
    <row r="16" spans="1:83"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c r="CE16" s="190">
        <v>0</v>
      </c>
    </row>
    <row r="17" spans="1:83"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2263073.87</v>
      </c>
      <c r="AY17" s="190">
        <v>4316103.1100000003</v>
      </c>
      <c r="AZ17" s="190">
        <v>6108810.1600000001</v>
      </c>
      <c r="BA17" s="190">
        <v>279845.05</v>
      </c>
      <c r="BB17" s="190">
        <v>2489930.94</v>
      </c>
      <c r="BC17" s="190">
        <v>4680009.9000000004</v>
      </c>
      <c r="BD17" s="190">
        <v>6450812.4199999999</v>
      </c>
      <c r="BE17" s="190">
        <v>378669.86</v>
      </c>
      <c r="BF17" s="190">
        <v>3162042.54</v>
      </c>
      <c r="BG17" s="190">
        <v>3837495.7</v>
      </c>
      <c r="BH17" s="190">
        <v>0</v>
      </c>
      <c r="BI17" s="190">
        <v>0</v>
      </c>
      <c r="BJ17" s="190">
        <v>0</v>
      </c>
      <c r="BK17" s="190">
        <v>0</v>
      </c>
      <c r="BL17" s="190">
        <v>0</v>
      </c>
      <c r="BM17" s="190">
        <v>0</v>
      </c>
      <c r="BN17" s="190">
        <v>1545492.42</v>
      </c>
      <c r="BO17" s="190">
        <v>0</v>
      </c>
      <c r="BP17" s="190">
        <v>991060.89</v>
      </c>
      <c r="BQ17" s="190">
        <v>0</v>
      </c>
      <c r="BR17" s="190">
        <v>4732427.47</v>
      </c>
      <c r="BS17" s="190">
        <v>0</v>
      </c>
      <c r="BT17" s="190">
        <v>4493068.8499999996</v>
      </c>
      <c r="BU17" s="190">
        <v>4545464.91</v>
      </c>
      <c r="BV17" s="190">
        <v>6019340.2400000002</v>
      </c>
      <c r="BW17" s="190">
        <v>6887974.8399999999</v>
      </c>
      <c r="BX17" s="190">
        <v>6700456.7999999998</v>
      </c>
      <c r="BY17" s="190">
        <v>47599.9</v>
      </c>
      <c r="BZ17" s="190">
        <v>0</v>
      </c>
      <c r="CA17" s="190">
        <v>281250.59999999998</v>
      </c>
      <c r="CB17" s="190">
        <v>0</v>
      </c>
      <c r="CC17" s="190">
        <v>234114.32</v>
      </c>
      <c r="CD17" s="190">
        <v>157357.4</v>
      </c>
      <c r="CE17" s="190">
        <v>0</v>
      </c>
    </row>
    <row r="18" spans="1:83"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4408252.18</v>
      </c>
      <c r="BU18" s="190">
        <v>4408252.18</v>
      </c>
      <c r="BV18" s="190">
        <v>0</v>
      </c>
      <c r="BW18" s="190">
        <v>0</v>
      </c>
      <c r="BX18" s="190">
        <v>0</v>
      </c>
      <c r="BY18" s="190">
        <v>0</v>
      </c>
      <c r="BZ18" s="190">
        <v>0</v>
      </c>
      <c r="CA18" s="190">
        <v>0</v>
      </c>
      <c r="CB18" s="190">
        <v>0</v>
      </c>
      <c r="CC18" s="190">
        <v>0</v>
      </c>
      <c r="CD18" s="190">
        <v>0</v>
      </c>
      <c r="CE18" s="190">
        <v>0</v>
      </c>
    </row>
    <row r="19" spans="1:83" x14ac:dyDescent="0.25">
      <c r="A19" s="190" t="s">
        <v>123</v>
      </c>
      <c r="B19" s="190">
        <v>1108876169.1400001</v>
      </c>
      <c r="C19" s="190">
        <v>1069696635.01</v>
      </c>
      <c r="D19" s="190">
        <v>1181498293.6400001</v>
      </c>
      <c r="E19" s="190">
        <v>1384865400.4400001</v>
      </c>
      <c r="F19" s="190">
        <v>1405676810.23</v>
      </c>
      <c r="G19" s="190">
        <v>1514297057.1300001</v>
      </c>
      <c r="H19" s="190">
        <v>1567396116.6700001</v>
      </c>
      <c r="I19" s="190">
        <v>1711280481.0699999</v>
      </c>
      <c r="J19" s="190">
        <v>0</v>
      </c>
      <c r="K19" s="190">
        <v>0</v>
      </c>
      <c r="L19" s="190">
        <v>0</v>
      </c>
      <c r="M19" s="190">
        <v>0</v>
      </c>
      <c r="N19" s="190">
        <v>0</v>
      </c>
      <c r="O19" s="190">
        <v>0</v>
      </c>
      <c r="P19" s="190">
        <v>0</v>
      </c>
      <c r="Q19" s="190">
        <v>0</v>
      </c>
      <c r="R19" s="190">
        <v>0</v>
      </c>
      <c r="S19" s="190">
        <v>199880000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row>
    <row r="20" spans="1:83" x14ac:dyDescent="0.25">
      <c r="A20" s="190" t="s">
        <v>124</v>
      </c>
      <c r="B20" s="190">
        <v>20843063223.5</v>
      </c>
      <c r="C20" s="190">
        <v>18905366959.630001</v>
      </c>
      <c r="D20" s="190">
        <v>16249784243.49</v>
      </c>
      <c r="E20" s="190">
        <v>12275127471.24</v>
      </c>
      <c r="F20" s="190">
        <v>14576055958.68</v>
      </c>
      <c r="G20" s="190">
        <v>12791455788.67</v>
      </c>
      <c r="H20" s="190">
        <v>11328857589.639999</v>
      </c>
      <c r="I20" s="190">
        <v>10620170420.219999</v>
      </c>
      <c r="J20" s="190">
        <v>13361941690.58</v>
      </c>
      <c r="K20" s="190">
        <v>11469019435.24</v>
      </c>
      <c r="L20" s="190">
        <v>10903290122.719999</v>
      </c>
      <c r="M20" s="190">
        <v>11558879523.790001</v>
      </c>
      <c r="N20" s="190">
        <v>16814143403.700001</v>
      </c>
      <c r="O20" s="190">
        <v>15490278706.870001</v>
      </c>
      <c r="P20" s="190">
        <v>13931623057.26</v>
      </c>
      <c r="Q20" s="190">
        <v>13501574145.540001</v>
      </c>
      <c r="R20" s="190">
        <v>17744723321.720001</v>
      </c>
      <c r="S20" s="190">
        <v>13467593595.030001</v>
      </c>
      <c r="T20" s="190">
        <v>13022634372.93</v>
      </c>
      <c r="U20" s="190">
        <v>10232184920.65</v>
      </c>
      <c r="V20" s="190">
        <v>11964090352.610001</v>
      </c>
      <c r="W20" s="190">
        <v>11492626779.9</v>
      </c>
      <c r="X20" s="190">
        <v>13567626263.58</v>
      </c>
      <c r="Y20" s="190">
        <v>13839449482.34</v>
      </c>
      <c r="Z20" s="190">
        <v>12495781626.790001</v>
      </c>
      <c r="AA20" s="190">
        <v>14705411284.440001</v>
      </c>
      <c r="AB20" s="190">
        <v>11950613296.6</v>
      </c>
      <c r="AC20" s="190">
        <v>14186942790.15</v>
      </c>
      <c r="AD20" s="190">
        <v>10689649151.370001</v>
      </c>
      <c r="AE20" s="190">
        <v>10574947986.51</v>
      </c>
      <c r="AF20" s="190">
        <v>11031584540.120001</v>
      </c>
      <c r="AG20" s="190">
        <v>7968762051.6300001</v>
      </c>
      <c r="AH20" s="190">
        <v>8891368801.4500008</v>
      </c>
      <c r="AI20" s="190">
        <v>7907367804.4899998</v>
      </c>
      <c r="AJ20" s="190">
        <v>6876504182.6499996</v>
      </c>
      <c r="AK20" s="190">
        <v>7821038378.4300003</v>
      </c>
      <c r="AL20" s="190">
        <v>2985217514.8699999</v>
      </c>
      <c r="AM20" s="190">
        <v>3233369867.4899998</v>
      </c>
      <c r="AN20" s="190">
        <v>3314562014.27</v>
      </c>
      <c r="AO20" s="190">
        <v>3040629189.2800002</v>
      </c>
      <c r="AP20" s="190">
        <v>3292930474.73</v>
      </c>
      <c r="AQ20" s="190">
        <v>3102657881.4200001</v>
      </c>
      <c r="AR20" s="190">
        <v>3045787057.1900001</v>
      </c>
      <c r="AS20" s="190">
        <v>2984917557.4299998</v>
      </c>
      <c r="AT20" s="190">
        <v>2887825004.5500002</v>
      </c>
      <c r="AU20" s="190">
        <v>2205117040.8000002</v>
      </c>
      <c r="AV20" s="190">
        <v>2492719456.6900001</v>
      </c>
      <c r="AW20" s="190">
        <v>1903104500.4300001</v>
      </c>
      <c r="AX20" s="190">
        <v>2551089362.8499999</v>
      </c>
      <c r="AY20" s="190">
        <v>945785526.48000002</v>
      </c>
      <c r="AZ20" s="190">
        <v>1040027619.17</v>
      </c>
      <c r="BA20" s="190">
        <v>778051696.97000003</v>
      </c>
      <c r="BB20" s="190">
        <v>1182890665</v>
      </c>
      <c r="BC20" s="190">
        <v>1063858927.5</v>
      </c>
      <c r="BD20" s="190">
        <v>1401205371.79</v>
      </c>
      <c r="BE20" s="190">
        <v>979593320.53999996</v>
      </c>
      <c r="BF20" s="190">
        <v>1479486101.03</v>
      </c>
      <c r="BG20" s="190">
        <v>1559729072.6400001</v>
      </c>
      <c r="BH20" s="190">
        <v>987834917.95000005</v>
      </c>
      <c r="BI20" s="190">
        <v>645559836.45000005</v>
      </c>
      <c r="BJ20" s="190">
        <v>649740693.25999999</v>
      </c>
      <c r="BK20" s="190">
        <v>655720238.08000004</v>
      </c>
      <c r="BL20" s="190">
        <v>901657047.71000004</v>
      </c>
      <c r="BM20" s="190">
        <v>794687170.20000005</v>
      </c>
      <c r="BN20" s="190">
        <v>194463093.21000001</v>
      </c>
      <c r="BO20" s="190">
        <v>281389399.69999999</v>
      </c>
      <c r="BP20" s="190">
        <v>239715387.93000001</v>
      </c>
      <c r="BQ20" s="190">
        <v>242230763.41</v>
      </c>
      <c r="BR20" s="190">
        <v>542525633.46000004</v>
      </c>
      <c r="BS20" s="190">
        <v>419757906.10000002</v>
      </c>
      <c r="BT20" s="190">
        <v>299987003.26999998</v>
      </c>
      <c r="BU20" s="190">
        <v>335679608.43000001</v>
      </c>
      <c r="BV20" s="190">
        <v>383623651.29000002</v>
      </c>
      <c r="BW20" s="190">
        <v>363184472.43000001</v>
      </c>
      <c r="BX20" s="190">
        <v>283324496.13999999</v>
      </c>
      <c r="BY20" s="190">
        <v>90476769.980000004</v>
      </c>
      <c r="BZ20" s="190">
        <v>120198557.98999999</v>
      </c>
      <c r="CA20" s="190">
        <v>85633965.060000002</v>
      </c>
      <c r="CB20" s="190">
        <v>26256755.84</v>
      </c>
      <c r="CC20" s="190">
        <v>27326730.5</v>
      </c>
      <c r="CD20" s="190">
        <v>81466927.920000002</v>
      </c>
      <c r="CE20" s="190">
        <v>0</v>
      </c>
    </row>
    <row r="21" spans="1:83" x14ac:dyDescent="0.25">
      <c r="A21" s="190" t="s">
        <v>125</v>
      </c>
    </row>
    <row r="22" spans="1:83"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row>
    <row r="23" spans="1:83" x14ac:dyDescent="0.25">
      <c r="A23" s="190" t="s">
        <v>127</v>
      </c>
      <c r="B23" s="190">
        <v>125871900</v>
      </c>
      <c r="C23" s="190">
        <v>125774035</v>
      </c>
      <c r="D23" s="190">
        <v>904763295.63</v>
      </c>
      <c r="E23" s="190">
        <v>95254881.299999997</v>
      </c>
      <c r="F23" s="190">
        <v>94831100.549999997</v>
      </c>
      <c r="G23" s="190">
        <v>94831100.549999997</v>
      </c>
      <c r="H23" s="190">
        <v>90000000</v>
      </c>
      <c r="I23" s="190">
        <v>90000000</v>
      </c>
      <c r="J23" s="190">
        <v>70000000</v>
      </c>
      <c r="K23" s="190">
        <v>289000000</v>
      </c>
      <c r="L23" s="190">
        <v>289000000</v>
      </c>
      <c r="M23" s="190">
        <v>289000000</v>
      </c>
      <c r="N23" s="190">
        <v>289000000</v>
      </c>
      <c r="O23" s="190">
        <v>289000000</v>
      </c>
      <c r="P23" s="190">
        <v>279000000</v>
      </c>
      <c r="Q23" s="190">
        <v>279000000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row>
    <row r="24" spans="1:83"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c r="CE24" s="190">
        <v>0</v>
      </c>
    </row>
    <row r="25" spans="1:83" x14ac:dyDescent="0.25">
      <c r="A25" s="190" t="s">
        <v>129</v>
      </c>
      <c r="B25" s="190">
        <v>656030162.92999995</v>
      </c>
      <c r="C25" s="190">
        <v>587985103.64999998</v>
      </c>
      <c r="D25" s="190">
        <v>524015153.11000001</v>
      </c>
      <c r="E25" s="190">
        <v>530705899.19999999</v>
      </c>
      <c r="F25" s="190">
        <v>544425809.58000004</v>
      </c>
      <c r="G25" s="190">
        <v>507286180.17000002</v>
      </c>
      <c r="H25" s="190">
        <v>515414032.25999999</v>
      </c>
      <c r="I25" s="190">
        <v>517859114.39999998</v>
      </c>
      <c r="J25" s="190">
        <v>387798355.36000001</v>
      </c>
      <c r="K25" s="190">
        <v>323093359.58999997</v>
      </c>
      <c r="L25" s="190">
        <v>0</v>
      </c>
      <c r="M25" s="190">
        <v>0</v>
      </c>
      <c r="N25" s="190">
        <v>0</v>
      </c>
      <c r="O25" s="190">
        <v>0</v>
      </c>
      <c r="P25" s="190">
        <v>0</v>
      </c>
      <c r="Q25" s="190">
        <v>0</v>
      </c>
      <c r="R25" s="190">
        <v>0</v>
      </c>
      <c r="S25" s="190">
        <v>0</v>
      </c>
      <c r="T25" s="190">
        <v>0</v>
      </c>
      <c r="U25" s="190">
        <v>16200000</v>
      </c>
      <c r="V25" s="190">
        <v>16200000</v>
      </c>
      <c r="W25" s="190">
        <v>16200000</v>
      </c>
      <c r="X25" s="190">
        <v>21500000</v>
      </c>
      <c r="Y25" s="190">
        <v>21500000</v>
      </c>
      <c r="Z25" s="190">
        <v>32500000</v>
      </c>
      <c r="AA25" s="190">
        <v>32500000</v>
      </c>
      <c r="AB25" s="190">
        <v>32500000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c r="CE25" s="190">
        <v>0</v>
      </c>
    </row>
    <row r="26" spans="1:83" x14ac:dyDescent="0.25">
      <c r="A26" s="190" t="s">
        <v>130</v>
      </c>
      <c r="B26" s="190">
        <v>10424457082.379999</v>
      </c>
      <c r="C26" s="190">
        <v>9587387511.1499996</v>
      </c>
      <c r="D26" s="190">
        <v>8805797330.4799995</v>
      </c>
      <c r="E26" s="190">
        <v>8729612779.75</v>
      </c>
      <c r="F26" s="190">
        <v>8679760447.7099991</v>
      </c>
      <c r="G26" s="190">
        <v>8562046822.4300003</v>
      </c>
      <c r="H26" s="190">
        <v>8919850139.6499996</v>
      </c>
      <c r="I26" s="190">
        <v>8846824928.5300007</v>
      </c>
      <c r="J26" s="190">
        <v>7312406516.4799995</v>
      </c>
      <c r="K26" s="190">
        <v>6268767675.3199997</v>
      </c>
      <c r="L26" s="190">
        <v>4984330317.3400002</v>
      </c>
      <c r="M26" s="190">
        <v>2639024894.1900001</v>
      </c>
      <c r="N26" s="190">
        <v>2507148433.9499998</v>
      </c>
      <c r="O26" s="190">
        <v>2530719406</v>
      </c>
      <c r="P26" s="190">
        <v>2760483019.1300001</v>
      </c>
      <c r="Q26" s="190">
        <v>2503484741.3099999</v>
      </c>
      <c r="R26" s="190">
        <v>2637521922.96</v>
      </c>
      <c r="S26" s="190">
        <v>2808010267.1799998</v>
      </c>
      <c r="T26" s="190">
        <v>2912177181.96</v>
      </c>
      <c r="U26" s="190">
        <v>2807747136.46</v>
      </c>
      <c r="V26" s="190">
        <v>2686661408.8099999</v>
      </c>
      <c r="W26" s="190">
        <v>2437586084.9699998</v>
      </c>
      <c r="X26" s="190">
        <v>2541979629.1199999</v>
      </c>
      <c r="Y26" s="190">
        <v>1573141463.02</v>
      </c>
      <c r="Z26" s="190">
        <v>1478355523.4100001</v>
      </c>
      <c r="AA26" s="190">
        <v>1440376022.6700001</v>
      </c>
      <c r="AB26" s="190">
        <v>1467523948.79</v>
      </c>
      <c r="AC26" s="190">
        <v>1436367984.1300001</v>
      </c>
      <c r="AD26" s="190">
        <v>1510746593.74</v>
      </c>
      <c r="AE26" s="190">
        <v>1502618178.24</v>
      </c>
      <c r="AF26" s="190">
        <v>1498992613.53</v>
      </c>
      <c r="AG26" s="190">
        <v>1476329115.5699999</v>
      </c>
      <c r="AH26" s="190">
        <v>1537121964.28</v>
      </c>
      <c r="AI26" s="190">
        <v>1551762623.3</v>
      </c>
      <c r="AJ26" s="190">
        <v>1587635239.8</v>
      </c>
      <c r="AK26" s="190">
        <v>1549432681.23</v>
      </c>
      <c r="AL26" s="190">
        <v>853967856.78999996</v>
      </c>
      <c r="AM26" s="190">
        <v>811189653.53999996</v>
      </c>
      <c r="AN26" s="190">
        <v>907031149.46000004</v>
      </c>
      <c r="AO26" s="190">
        <v>876706465.16999996</v>
      </c>
      <c r="AP26" s="190">
        <v>1006433920.66</v>
      </c>
      <c r="AQ26" s="190">
        <v>1029898013.13</v>
      </c>
      <c r="AR26" s="190">
        <v>1035113073.83</v>
      </c>
      <c r="AS26" s="190">
        <v>863131531.36000001</v>
      </c>
      <c r="AT26" s="190">
        <v>918229206.58000004</v>
      </c>
      <c r="AU26" s="190">
        <v>912015493.66999996</v>
      </c>
      <c r="AV26" s="190">
        <v>856051667.25999999</v>
      </c>
      <c r="AW26" s="190">
        <v>1412186711.3399999</v>
      </c>
      <c r="AX26" s="190">
        <v>424059053.56999999</v>
      </c>
      <c r="AY26" s="190">
        <v>425490282.61000001</v>
      </c>
      <c r="AZ26" s="190">
        <v>397018259.50999999</v>
      </c>
      <c r="BA26" s="190">
        <v>397104587.04000002</v>
      </c>
      <c r="BB26" s="190">
        <v>475475153.05000001</v>
      </c>
      <c r="BC26" s="190">
        <v>422786356.37</v>
      </c>
      <c r="BD26" s="190">
        <v>417961342.06999999</v>
      </c>
      <c r="BE26" s="190">
        <v>391805117.45999998</v>
      </c>
      <c r="BF26" s="190">
        <v>355564289.75999999</v>
      </c>
      <c r="BG26" s="190">
        <v>326216795.41000003</v>
      </c>
      <c r="BH26" s="190">
        <v>303744932.42000002</v>
      </c>
      <c r="BI26" s="190">
        <v>246829285.46000001</v>
      </c>
      <c r="BJ26" s="190">
        <v>235277784.91999999</v>
      </c>
      <c r="BK26" s="190">
        <v>212669191.28</v>
      </c>
      <c r="BL26" s="190">
        <v>253268542.19</v>
      </c>
      <c r="BM26" s="190">
        <v>234275291.65000001</v>
      </c>
      <c r="BN26" s="190">
        <v>17198219.629999999</v>
      </c>
      <c r="BO26" s="190">
        <v>16803778.039999999</v>
      </c>
      <c r="BP26" s="190">
        <v>16803778.039999999</v>
      </c>
      <c r="BQ26" s="190">
        <v>16803778.039999999</v>
      </c>
      <c r="BR26" s="190">
        <v>19162288.68</v>
      </c>
      <c r="BS26" s="190">
        <v>19162288.68</v>
      </c>
      <c r="BT26" s="190">
        <v>22274799.460000001</v>
      </c>
      <c r="BU26" s="190">
        <v>35171954.649999999</v>
      </c>
      <c r="BV26" s="190">
        <v>39940000</v>
      </c>
      <c r="BW26" s="190">
        <v>10500000</v>
      </c>
      <c r="BX26" s="190">
        <v>2500000</v>
      </c>
      <c r="BY26" s="190">
        <v>2500000</v>
      </c>
      <c r="BZ26" s="190">
        <v>2850000</v>
      </c>
      <c r="CA26" s="190">
        <v>2850000</v>
      </c>
      <c r="CB26" s="190">
        <v>2850000</v>
      </c>
      <c r="CC26" s="190">
        <v>2850000</v>
      </c>
      <c r="CD26" s="190">
        <v>3115107.7</v>
      </c>
      <c r="CE26" s="190">
        <v>0</v>
      </c>
    </row>
    <row r="27" spans="1:83" x14ac:dyDescent="0.25">
      <c r="A27" s="190" t="s">
        <v>131</v>
      </c>
      <c r="B27" s="190">
        <v>104972207.02</v>
      </c>
      <c r="C27" s="190">
        <v>106668301.76000001</v>
      </c>
      <c r="D27" s="190">
        <v>108364396.47</v>
      </c>
      <c r="E27" s="190">
        <v>110060491.13</v>
      </c>
      <c r="F27" s="190">
        <v>111598943.62</v>
      </c>
      <c r="G27" s="190">
        <v>112389477.19</v>
      </c>
      <c r="H27" s="190">
        <v>113260734.36</v>
      </c>
      <c r="I27" s="190">
        <v>115951582.65000001</v>
      </c>
      <c r="J27" s="190">
        <v>117566146.28</v>
      </c>
      <c r="K27" s="190">
        <v>244649370.59</v>
      </c>
      <c r="L27" s="190">
        <v>247373520.63</v>
      </c>
      <c r="M27" s="190">
        <v>253248841.05000001</v>
      </c>
      <c r="N27" s="190">
        <v>252144448.02000001</v>
      </c>
      <c r="O27" s="190">
        <v>252102794.69</v>
      </c>
      <c r="P27" s="190">
        <v>246871649.28999999</v>
      </c>
      <c r="Q27" s="190">
        <v>250326628.00999999</v>
      </c>
      <c r="R27" s="190">
        <v>253559842.31</v>
      </c>
      <c r="S27" s="190">
        <v>257100145.22999999</v>
      </c>
      <c r="T27" s="190">
        <v>252196628.59999999</v>
      </c>
      <c r="U27" s="190">
        <v>245610397.18000001</v>
      </c>
      <c r="V27" s="190">
        <v>227958624.41999999</v>
      </c>
      <c r="W27" s="190">
        <v>230845630.05000001</v>
      </c>
      <c r="X27" s="190">
        <v>233634658.71000001</v>
      </c>
      <c r="Y27" s="190">
        <v>236546710.16999999</v>
      </c>
      <c r="Z27" s="190">
        <v>239280561.13</v>
      </c>
      <c r="AA27" s="190">
        <v>242241212.72999999</v>
      </c>
      <c r="AB27" s="190">
        <v>163021429.61000001</v>
      </c>
      <c r="AC27" s="190">
        <v>164942552.68000001</v>
      </c>
      <c r="AD27" s="190">
        <v>36368953.469999999</v>
      </c>
      <c r="AE27" s="190">
        <v>37120046.039999999</v>
      </c>
      <c r="AF27" s="190">
        <v>37871138.700000003</v>
      </c>
      <c r="AG27" s="190">
        <v>38622231.299999997</v>
      </c>
      <c r="AH27" s="190">
        <v>38668845.950000003</v>
      </c>
      <c r="AI27" s="190">
        <v>49769855.75</v>
      </c>
      <c r="AJ27" s="190">
        <v>50692440.869999997</v>
      </c>
      <c r="AK27" s="190">
        <v>51615026.689999998</v>
      </c>
      <c r="AL27" s="190">
        <v>38851957.590000004</v>
      </c>
      <c r="AM27" s="190">
        <v>40111275.030000001</v>
      </c>
      <c r="AN27" s="190">
        <v>41370591.299999997</v>
      </c>
      <c r="AO27" s="190">
        <v>42629908.909999996</v>
      </c>
      <c r="AP27" s="190">
        <v>43068458.619999997</v>
      </c>
      <c r="AQ27" s="190">
        <v>44272361.5</v>
      </c>
      <c r="AR27" s="190">
        <v>45476264.060000002</v>
      </c>
      <c r="AS27" s="190">
        <v>46680167.030000001</v>
      </c>
      <c r="AT27" s="190">
        <v>44331516.25</v>
      </c>
      <c r="AU27" s="190">
        <v>45455483.990000002</v>
      </c>
      <c r="AV27" s="190">
        <v>44351286.579999998</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row>
    <row r="28" spans="1:83" x14ac:dyDescent="0.25">
      <c r="A28" s="190" t="s">
        <v>132</v>
      </c>
      <c r="B28" s="190">
        <v>138676393375.60999</v>
      </c>
      <c r="C28" s="190">
        <v>137994903751.39999</v>
      </c>
      <c r="D28" s="190">
        <v>133438026122.33</v>
      </c>
      <c r="E28" s="190">
        <v>134490691353.69</v>
      </c>
      <c r="F28" s="190">
        <v>130003900793.34</v>
      </c>
      <c r="G28" s="190">
        <v>126012559356.41</v>
      </c>
      <c r="H28" s="190">
        <v>125943645531.47</v>
      </c>
      <c r="I28" s="190">
        <v>126883562835.75</v>
      </c>
      <c r="J28" s="190">
        <v>125894296032.16</v>
      </c>
      <c r="K28" s="190">
        <v>122738978326.55</v>
      </c>
      <c r="L28" s="190">
        <v>124044010534.39999</v>
      </c>
      <c r="M28" s="190">
        <v>124572873454.98</v>
      </c>
      <c r="N28" s="190">
        <v>120449334915.41</v>
      </c>
      <c r="O28" s="190">
        <v>120535982071.61</v>
      </c>
      <c r="P28" s="190">
        <v>121898213544.73</v>
      </c>
      <c r="Q28" s="190">
        <v>122797376716.92999</v>
      </c>
      <c r="R28" s="190">
        <v>116862791401.77</v>
      </c>
      <c r="S28" s="190">
        <v>114775540769.37</v>
      </c>
      <c r="T28" s="190">
        <v>111448380105.53</v>
      </c>
      <c r="U28" s="190">
        <v>112147071012.86</v>
      </c>
      <c r="V28" s="190">
        <v>105463681435.27</v>
      </c>
      <c r="W28" s="190">
        <v>71358179588.080002</v>
      </c>
      <c r="X28" s="190">
        <v>72239781322.720001</v>
      </c>
      <c r="Y28" s="190">
        <v>55796883536.519997</v>
      </c>
      <c r="Z28" s="190">
        <v>54397249151.32</v>
      </c>
      <c r="AA28" s="190">
        <v>51807500811.290001</v>
      </c>
      <c r="AB28" s="190">
        <v>42343047278.400002</v>
      </c>
      <c r="AC28" s="190">
        <v>45906717101.080002</v>
      </c>
      <c r="AD28" s="190">
        <v>43436899618.809998</v>
      </c>
      <c r="AE28" s="190">
        <v>44188087052.489998</v>
      </c>
      <c r="AF28" s="190">
        <v>44544451559.160004</v>
      </c>
      <c r="AG28" s="190">
        <v>43723354579.099998</v>
      </c>
      <c r="AH28" s="190">
        <v>41123415267.949997</v>
      </c>
      <c r="AI28" s="190">
        <v>41546432254.279999</v>
      </c>
      <c r="AJ28" s="190">
        <v>41803601288.860001</v>
      </c>
      <c r="AK28" s="190">
        <v>42442533935</v>
      </c>
      <c r="AL28" s="190">
        <v>13112471150.530001</v>
      </c>
      <c r="AM28" s="190">
        <v>13349288937.4</v>
      </c>
      <c r="AN28" s="190">
        <v>13197064216.08</v>
      </c>
      <c r="AO28" s="190">
        <v>13226804587.370001</v>
      </c>
      <c r="AP28" s="190">
        <v>12157718927.860001</v>
      </c>
      <c r="AQ28" s="190">
        <v>12374129290.6</v>
      </c>
      <c r="AR28" s="190">
        <v>12609612883.42</v>
      </c>
      <c r="AS28" s="190">
        <v>12848168138.610001</v>
      </c>
      <c r="AT28" s="190">
        <v>12472735363.6</v>
      </c>
      <c r="AU28" s="190">
        <v>12621971924.879999</v>
      </c>
      <c r="AV28" s="190">
        <v>12987057547.49</v>
      </c>
      <c r="AW28" s="190">
        <v>12077036527.969999</v>
      </c>
      <c r="AX28" s="190">
        <v>6128283390.04</v>
      </c>
      <c r="AY28" s="190">
        <v>6294781345.4099998</v>
      </c>
      <c r="AZ28" s="190">
        <v>6447791861.1499996</v>
      </c>
      <c r="BA28" s="190">
        <v>6587945814.2299995</v>
      </c>
      <c r="BB28" s="190">
        <v>6736215143.8800001</v>
      </c>
      <c r="BC28" s="190">
        <v>6889128356.2600002</v>
      </c>
      <c r="BD28" s="190">
        <v>6860706350.6499996</v>
      </c>
      <c r="BE28" s="190">
        <v>6820591642.0299997</v>
      </c>
      <c r="BF28" s="190">
        <v>5914775555.6000004</v>
      </c>
      <c r="BG28" s="190">
        <v>6076675419</v>
      </c>
      <c r="BH28" s="190">
        <v>2871496250.3699999</v>
      </c>
      <c r="BI28" s="190">
        <v>2953878559.3200002</v>
      </c>
      <c r="BJ28" s="190">
        <v>3015405844.5100002</v>
      </c>
      <c r="BK28" s="190">
        <v>3086572050.8000002</v>
      </c>
      <c r="BL28" s="190">
        <v>3162442546.1100001</v>
      </c>
      <c r="BM28" s="190">
        <v>3242264206.2600002</v>
      </c>
      <c r="BN28" s="190">
        <v>548081423.50999999</v>
      </c>
      <c r="BO28" s="190">
        <v>560455013.63</v>
      </c>
      <c r="BP28" s="190">
        <v>579113745.69000006</v>
      </c>
      <c r="BQ28" s="190">
        <v>597755490.29999995</v>
      </c>
      <c r="BR28" s="190">
        <v>628063572.84000003</v>
      </c>
      <c r="BS28" s="190">
        <v>610297953.53999996</v>
      </c>
      <c r="BT28" s="190">
        <v>753634841.63</v>
      </c>
      <c r="BU28" s="190">
        <v>783320284.83000004</v>
      </c>
      <c r="BV28" s="190">
        <v>713405947.82000005</v>
      </c>
      <c r="BW28" s="190">
        <v>815665418.22000003</v>
      </c>
      <c r="BX28" s="190">
        <v>365805087.82999998</v>
      </c>
      <c r="BY28" s="190">
        <v>336574372.44</v>
      </c>
      <c r="BZ28" s="190">
        <v>349982951.49000001</v>
      </c>
      <c r="CA28" s="190">
        <v>311739863.24000001</v>
      </c>
      <c r="CB28" s="190">
        <v>16978250.68</v>
      </c>
      <c r="CC28" s="190">
        <v>18651726.149999999</v>
      </c>
      <c r="CD28" s="190">
        <v>22132692.41</v>
      </c>
      <c r="CE28" s="190">
        <v>0</v>
      </c>
    </row>
    <row r="29" spans="1:83" x14ac:dyDescent="0.25">
      <c r="A29" s="190" t="s">
        <v>133</v>
      </c>
      <c r="B29" s="190">
        <v>43554637344.589996</v>
      </c>
      <c r="C29" s="190">
        <v>41807758817.540001</v>
      </c>
      <c r="D29" s="190">
        <v>46987287670.919998</v>
      </c>
      <c r="E29" s="190">
        <v>46023596957.230003</v>
      </c>
      <c r="F29" s="190">
        <v>49587257283.690002</v>
      </c>
      <c r="G29" s="190">
        <v>52160282513.199997</v>
      </c>
      <c r="H29" s="190">
        <v>51530179706.57</v>
      </c>
      <c r="I29" s="190">
        <v>49891194159.050003</v>
      </c>
      <c r="J29" s="190">
        <v>44496489181.209999</v>
      </c>
      <c r="K29" s="190">
        <v>44295269873.160004</v>
      </c>
      <c r="L29" s="190">
        <v>40859039129.419998</v>
      </c>
      <c r="M29" s="190">
        <v>38308505229.620003</v>
      </c>
      <c r="N29" s="190">
        <v>32564005738.279999</v>
      </c>
      <c r="O29" s="190">
        <v>30347896851.209999</v>
      </c>
      <c r="P29" s="190">
        <v>28420270298.23</v>
      </c>
      <c r="Q29" s="190">
        <v>26846036635.240002</v>
      </c>
      <c r="R29" s="190">
        <v>30593175732.919998</v>
      </c>
      <c r="S29" s="190">
        <v>29432476699.439999</v>
      </c>
      <c r="T29" s="190">
        <v>32527316097.27</v>
      </c>
      <c r="U29" s="190">
        <v>30838788766.119999</v>
      </c>
      <c r="V29" s="190">
        <v>32895170244.27</v>
      </c>
      <c r="W29" s="190">
        <v>62715948518.730003</v>
      </c>
      <c r="X29" s="190">
        <v>58789226079.839996</v>
      </c>
      <c r="Y29" s="190">
        <v>70817400040.509995</v>
      </c>
      <c r="Z29" s="190">
        <v>63812626336.190002</v>
      </c>
      <c r="AA29" s="190">
        <v>58886495357.230003</v>
      </c>
      <c r="AB29" s="190">
        <v>65786417114.019997</v>
      </c>
      <c r="AC29" s="190">
        <v>61599707183.190002</v>
      </c>
      <c r="AD29" s="190">
        <v>56885552309.239998</v>
      </c>
      <c r="AE29" s="190">
        <v>52677469130.230003</v>
      </c>
      <c r="AF29" s="190">
        <v>48441721420.5</v>
      </c>
      <c r="AG29" s="190">
        <v>46393765217.419998</v>
      </c>
      <c r="AH29" s="190">
        <v>42998236538.139999</v>
      </c>
      <c r="AI29" s="190">
        <v>39898359576.080002</v>
      </c>
      <c r="AJ29" s="190">
        <v>38046633910.68</v>
      </c>
      <c r="AK29" s="190">
        <v>35223061715.260002</v>
      </c>
      <c r="AL29" s="190">
        <v>780522793.95000005</v>
      </c>
      <c r="AM29" s="190">
        <v>110266844.67</v>
      </c>
      <c r="AN29" s="190">
        <v>598285311.46000004</v>
      </c>
      <c r="AO29" s="190">
        <v>637515956.35000002</v>
      </c>
      <c r="AP29" s="190">
        <v>1884493782.5799999</v>
      </c>
      <c r="AQ29" s="190">
        <v>1550139893.25</v>
      </c>
      <c r="AR29" s="190">
        <v>1173659978.6600001</v>
      </c>
      <c r="AS29" s="190">
        <v>973591349.27999997</v>
      </c>
      <c r="AT29" s="190">
        <v>994390881.71000004</v>
      </c>
      <c r="AU29" s="190">
        <v>860052565.5</v>
      </c>
      <c r="AV29" s="190">
        <v>524908881.60000002</v>
      </c>
      <c r="AW29" s="190">
        <v>1426774902.6700001</v>
      </c>
      <c r="AX29" s="190">
        <v>1605560618.3800001</v>
      </c>
      <c r="AY29" s="190">
        <v>1458750843.49</v>
      </c>
      <c r="AZ29" s="190">
        <v>1155706961.8199999</v>
      </c>
      <c r="BA29" s="190">
        <v>1055711299.78</v>
      </c>
      <c r="BB29" s="190">
        <v>587209913.85000002</v>
      </c>
      <c r="BC29" s="190">
        <v>506359542.94</v>
      </c>
      <c r="BD29" s="190">
        <v>488698733.06999999</v>
      </c>
      <c r="BE29" s="190">
        <v>645476222.71000004</v>
      </c>
      <c r="BF29" s="190">
        <v>1262283695.9100001</v>
      </c>
      <c r="BG29" s="190">
        <v>1134200954.0699999</v>
      </c>
      <c r="BH29" s="190">
        <v>822003100.52999997</v>
      </c>
      <c r="BI29" s="190">
        <v>740826332.76999998</v>
      </c>
      <c r="BJ29" s="190">
        <v>594213766.77999997</v>
      </c>
      <c r="BK29" s="190">
        <v>498302118.88</v>
      </c>
      <c r="BL29" s="190">
        <v>433413876.50999999</v>
      </c>
      <c r="BM29" s="190">
        <v>371393200.51999998</v>
      </c>
      <c r="BN29" s="190">
        <v>0</v>
      </c>
      <c r="BO29" s="190">
        <v>8699502.9700000007</v>
      </c>
      <c r="BP29" s="190">
        <v>5952002.9500000002</v>
      </c>
      <c r="BQ29" s="190">
        <v>4879862.66</v>
      </c>
      <c r="BR29" s="190">
        <v>36139291.210000001</v>
      </c>
      <c r="BS29" s="190">
        <v>17556596.489999998</v>
      </c>
      <c r="BT29" s="190">
        <v>34965869.119999997</v>
      </c>
      <c r="BU29" s="190">
        <v>36029814.649999999</v>
      </c>
      <c r="BV29" s="190">
        <v>52918804.310000002</v>
      </c>
      <c r="BW29" s="190">
        <v>36114702.409999996</v>
      </c>
      <c r="BX29" s="190">
        <v>131177778.64</v>
      </c>
      <c r="BY29" s="190">
        <v>153591643.77000001</v>
      </c>
      <c r="BZ29" s="190">
        <v>30499431.960000001</v>
      </c>
      <c r="CA29" s="190">
        <v>79293548.060000002</v>
      </c>
      <c r="CB29" s="190">
        <v>335660952.62</v>
      </c>
      <c r="CC29" s="190">
        <v>262353047.19</v>
      </c>
      <c r="CD29" s="190">
        <v>40091530.899999999</v>
      </c>
      <c r="CE29" s="190">
        <v>0</v>
      </c>
    </row>
    <row r="30" spans="1:83" x14ac:dyDescent="0.25">
      <c r="A30" s="190" t="s">
        <v>134</v>
      </c>
      <c r="B30" s="190">
        <v>0</v>
      </c>
      <c r="C30" s="190">
        <v>83218569.430000007</v>
      </c>
      <c r="D30" s="190">
        <v>11883719.470000001</v>
      </c>
      <c r="E30" s="190">
        <v>4315376.83</v>
      </c>
      <c r="F30" s="190">
        <v>48846607.109999999</v>
      </c>
      <c r="G30" s="190">
        <v>322890514.76999998</v>
      </c>
      <c r="H30" s="190">
        <v>511296944.07999998</v>
      </c>
      <c r="I30" s="190">
        <v>503759930.29000002</v>
      </c>
      <c r="J30" s="190">
        <v>1673448946.5699999</v>
      </c>
      <c r="K30" s="190">
        <v>1624118110.5899999</v>
      </c>
      <c r="L30" s="190">
        <v>843561684.59000003</v>
      </c>
      <c r="M30" s="190">
        <v>620130001.01999998</v>
      </c>
      <c r="N30" s="190">
        <v>389904423.31</v>
      </c>
      <c r="O30" s="190">
        <v>205885093.94999999</v>
      </c>
      <c r="P30" s="190">
        <v>1218163828.72</v>
      </c>
      <c r="Q30" s="190">
        <v>973895789.96000004</v>
      </c>
      <c r="R30" s="190">
        <v>7686314.9400000004</v>
      </c>
      <c r="S30" s="190">
        <v>27465622.07</v>
      </c>
      <c r="T30" s="190">
        <v>6726375.1299999999</v>
      </c>
      <c r="U30" s="190">
        <v>5258259.75</v>
      </c>
      <c r="V30" s="190">
        <v>79951127.920000002</v>
      </c>
      <c r="W30" s="190">
        <v>404927808.38</v>
      </c>
      <c r="X30" s="190">
        <v>340502079.91000003</v>
      </c>
      <c r="Y30" s="190">
        <v>619071138.02999997</v>
      </c>
      <c r="Z30" s="190">
        <v>532383750.76999998</v>
      </c>
      <c r="AA30" s="190">
        <v>226764579.80000001</v>
      </c>
      <c r="AB30" s="190">
        <v>119361966.25</v>
      </c>
      <c r="AC30" s="190">
        <v>139585867.28</v>
      </c>
      <c r="AD30" s="190">
        <v>157649083.03999999</v>
      </c>
      <c r="AE30" s="190">
        <v>144771244.27000001</v>
      </c>
      <c r="AF30" s="190">
        <v>147752539.19</v>
      </c>
      <c r="AG30" s="190">
        <v>160164154.06</v>
      </c>
      <c r="AH30" s="190">
        <v>234166773.55000001</v>
      </c>
      <c r="AI30" s="190">
        <v>221174766.65000001</v>
      </c>
      <c r="AJ30" s="190">
        <v>191676328.47999999</v>
      </c>
      <c r="AK30" s="190">
        <v>175961146.63</v>
      </c>
      <c r="AL30" s="190">
        <v>10783073.550000001</v>
      </c>
      <c r="AM30" s="190">
        <v>8533007.7100000009</v>
      </c>
      <c r="AN30" s="190">
        <v>2394230.1800000002</v>
      </c>
      <c r="AO30" s="190">
        <v>1435326.81</v>
      </c>
      <c r="AP30" s="190">
        <v>3284374.04</v>
      </c>
      <c r="AQ30" s="190">
        <v>23284799.920000002</v>
      </c>
      <c r="AR30" s="190">
        <v>3752830.8</v>
      </c>
      <c r="AS30" s="190">
        <v>4766879.92</v>
      </c>
      <c r="AT30" s="190">
        <v>11341.9</v>
      </c>
      <c r="AU30" s="190">
        <v>11341.9</v>
      </c>
      <c r="AV30" s="190">
        <v>11341.9</v>
      </c>
      <c r="AW30" s="190">
        <v>118097082.8</v>
      </c>
      <c r="AX30" s="190">
        <v>362569561.26999998</v>
      </c>
      <c r="AY30" s="190">
        <v>134346867.75</v>
      </c>
      <c r="AZ30" s="190">
        <v>119419828.02</v>
      </c>
      <c r="BA30" s="190">
        <v>19931285.66</v>
      </c>
      <c r="BB30" s="190">
        <v>241311581.03999999</v>
      </c>
      <c r="BC30" s="190">
        <v>242277585.59</v>
      </c>
      <c r="BD30" s="190">
        <v>318236</v>
      </c>
      <c r="BE30" s="190">
        <v>2475662.61</v>
      </c>
      <c r="BF30" s="190">
        <v>2439416.5099999998</v>
      </c>
      <c r="BG30" s="190">
        <v>31018389.940000001</v>
      </c>
      <c r="BH30" s="190">
        <v>9431558</v>
      </c>
      <c r="BI30" s="190">
        <v>12621974</v>
      </c>
      <c r="BJ30" s="190">
        <v>13438532</v>
      </c>
      <c r="BK30" s="190">
        <v>15186096.07</v>
      </c>
      <c r="BL30" s="190">
        <v>15286654.07</v>
      </c>
      <c r="BM30" s="190">
        <v>20170024.07</v>
      </c>
      <c r="BN30" s="190">
        <v>374024</v>
      </c>
      <c r="BO30" s="190">
        <v>374024</v>
      </c>
      <c r="BP30" s="190">
        <v>374024</v>
      </c>
      <c r="BQ30" s="190">
        <v>374024</v>
      </c>
      <c r="BR30" s="190">
        <v>374024</v>
      </c>
      <c r="BS30" s="190">
        <v>437330</v>
      </c>
      <c r="BT30" s="190">
        <v>0</v>
      </c>
      <c r="BU30" s="190">
        <v>0</v>
      </c>
      <c r="BV30" s="190">
        <v>0</v>
      </c>
      <c r="BW30" s="190">
        <v>0</v>
      </c>
      <c r="BX30" s="190">
        <v>0</v>
      </c>
      <c r="BY30" s="190">
        <v>0</v>
      </c>
      <c r="BZ30" s="190">
        <v>0</v>
      </c>
      <c r="CA30" s="190">
        <v>0</v>
      </c>
      <c r="CB30" s="190">
        <v>0</v>
      </c>
      <c r="CC30" s="190">
        <v>0</v>
      </c>
      <c r="CD30" s="190">
        <v>0</v>
      </c>
      <c r="CE30" s="190">
        <v>0</v>
      </c>
    </row>
    <row r="31" spans="1:83" x14ac:dyDescent="0.25">
      <c r="A31" s="190" t="s">
        <v>135</v>
      </c>
      <c r="B31" s="190">
        <v>0</v>
      </c>
      <c r="C31" s="190">
        <v>13419131.15</v>
      </c>
      <c r="D31" s="190">
        <v>7524239.2000000002</v>
      </c>
      <c r="E31" s="190">
        <v>7523810.9500000002</v>
      </c>
      <c r="F31" s="190">
        <v>7564145.2999999998</v>
      </c>
      <c r="G31" s="190">
        <v>7626737.5499999998</v>
      </c>
      <c r="H31" s="190">
        <v>7387771.5499999998</v>
      </c>
      <c r="I31" s="190">
        <v>7406571.5499999998</v>
      </c>
      <c r="J31" s="190">
        <v>10949919.880000001</v>
      </c>
      <c r="K31" s="190">
        <v>11377401.880000001</v>
      </c>
      <c r="L31" s="190">
        <v>7363108.6200000001</v>
      </c>
      <c r="M31" s="190">
        <v>8567905.2699999996</v>
      </c>
      <c r="N31" s="190">
        <v>45352301.340000004</v>
      </c>
      <c r="O31" s="190">
        <v>18311217.23</v>
      </c>
      <c r="P31" s="190">
        <v>0</v>
      </c>
      <c r="Q31" s="190">
        <v>0</v>
      </c>
      <c r="R31" s="190">
        <v>14734.85</v>
      </c>
      <c r="S31" s="190">
        <v>-13508.08</v>
      </c>
      <c r="T31" s="190">
        <v>2884.6</v>
      </c>
      <c r="U31" s="190">
        <v>0</v>
      </c>
      <c r="V31" s="190">
        <v>-19827.73</v>
      </c>
      <c r="W31" s="190">
        <v>816.65</v>
      </c>
      <c r="X31" s="190">
        <v>-46000</v>
      </c>
      <c r="Y31" s="190">
        <v>0</v>
      </c>
      <c r="Z31" s="190">
        <v>0</v>
      </c>
      <c r="AA31" s="190">
        <v>0</v>
      </c>
      <c r="AB31" s="190">
        <v>0</v>
      </c>
      <c r="AC31" s="190">
        <v>47271.839999999997</v>
      </c>
      <c r="AD31" s="190">
        <v>32983.339999999997</v>
      </c>
      <c r="AE31" s="190">
        <v>30000</v>
      </c>
      <c r="AF31" s="190">
        <v>0</v>
      </c>
      <c r="AG31" s="190">
        <v>66015.64</v>
      </c>
      <c r="AH31" s="190">
        <v>3659297.48</v>
      </c>
      <c r="AI31" s="190">
        <v>0</v>
      </c>
      <c r="AJ31" s="190">
        <v>-55100</v>
      </c>
      <c r="AK31" s="190">
        <v>25680</v>
      </c>
      <c r="AL31" s="190">
        <v>0</v>
      </c>
      <c r="AM31" s="190">
        <v>0</v>
      </c>
      <c r="AN31" s="190">
        <v>0</v>
      </c>
      <c r="AO31" s="190">
        <v>0</v>
      </c>
      <c r="AP31" s="190">
        <v>359043</v>
      </c>
      <c r="AQ31" s="190">
        <v>0</v>
      </c>
      <c r="AR31" s="190">
        <v>0</v>
      </c>
      <c r="AS31" s="190">
        <v>0</v>
      </c>
      <c r="AT31" s="190">
        <v>2885806.5</v>
      </c>
      <c r="AU31" s="190">
        <v>918747.01</v>
      </c>
      <c r="AV31" s="190">
        <v>69245</v>
      </c>
      <c r="AW31" s="190">
        <v>0</v>
      </c>
      <c r="AX31" s="190">
        <v>0</v>
      </c>
      <c r="AY31" s="190">
        <v>-240000</v>
      </c>
      <c r="AZ31" s="190">
        <v>0</v>
      </c>
      <c r="BA31" s="190">
        <v>0</v>
      </c>
      <c r="BB31" s="190">
        <v>2641950.2200000002</v>
      </c>
      <c r="BC31" s="190">
        <v>2641950.2200000002</v>
      </c>
      <c r="BD31" s="190">
        <v>2641950.2200000002</v>
      </c>
      <c r="BE31" s="190">
        <v>0</v>
      </c>
      <c r="BF31" s="190">
        <v>183876.68</v>
      </c>
      <c r="BG31" s="190">
        <v>6011.3</v>
      </c>
      <c r="BH31" s="190">
        <v>35115.39</v>
      </c>
      <c r="BI31" s="190">
        <v>0</v>
      </c>
      <c r="BJ31" s="190">
        <v>0</v>
      </c>
      <c r="BK31" s="190">
        <v>0</v>
      </c>
      <c r="BL31" s="190">
        <v>0</v>
      </c>
      <c r="BM31" s="190">
        <v>0</v>
      </c>
      <c r="BN31" s="190">
        <v>0</v>
      </c>
      <c r="BO31" s="190">
        <v>0</v>
      </c>
      <c r="BP31" s="190">
        <v>0</v>
      </c>
      <c r="BQ31" s="190">
        <v>0</v>
      </c>
      <c r="BR31" s="190">
        <v>0</v>
      </c>
      <c r="BS31" s="190">
        <v>0</v>
      </c>
      <c r="BT31" s="190">
        <v>0</v>
      </c>
      <c r="BU31" s="190">
        <v>8945012.8800000008</v>
      </c>
      <c r="BV31" s="190">
        <v>0</v>
      </c>
      <c r="BW31" s="190">
        <v>0</v>
      </c>
      <c r="BX31" s="190">
        <v>-608025</v>
      </c>
      <c r="BY31" s="190">
        <v>0</v>
      </c>
      <c r="BZ31" s="190">
        <v>0</v>
      </c>
      <c r="CA31" s="190">
        <v>0</v>
      </c>
      <c r="CB31" s="190">
        <v>0</v>
      </c>
      <c r="CC31" s="190">
        <v>0</v>
      </c>
      <c r="CD31" s="190">
        <v>0</v>
      </c>
      <c r="CE31" s="190">
        <v>0</v>
      </c>
    </row>
    <row r="32" spans="1:83"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row>
    <row r="33" spans="1:83"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row>
    <row r="34" spans="1:83"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row>
    <row r="35" spans="1:83" x14ac:dyDescent="0.25">
      <c r="A35" s="190" t="s">
        <v>139</v>
      </c>
      <c r="B35" s="190">
        <v>4290249750.1100001</v>
      </c>
      <c r="C35" s="190">
        <v>4346054802.4700003</v>
      </c>
      <c r="D35" s="190">
        <v>4413737961.2299995</v>
      </c>
      <c r="E35" s="190">
        <v>4494322111.9499998</v>
      </c>
      <c r="F35" s="190">
        <v>4564609752.6599998</v>
      </c>
      <c r="G35" s="190">
        <v>4625557887.8999996</v>
      </c>
      <c r="H35" s="190">
        <v>4653909651.8199997</v>
      </c>
      <c r="I35" s="190">
        <v>4736826341.54</v>
      </c>
      <c r="J35" s="190">
        <v>4784309048.96</v>
      </c>
      <c r="K35" s="190">
        <v>4851949118.5500002</v>
      </c>
      <c r="L35" s="190">
        <v>4927715266.1700001</v>
      </c>
      <c r="M35" s="190">
        <v>5006539456.2200003</v>
      </c>
      <c r="N35" s="190">
        <v>5011283236.6599998</v>
      </c>
      <c r="O35" s="190">
        <v>5082432205.9899998</v>
      </c>
      <c r="P35" s="190">
        <v>5118760688.6199999</v>
      </c>
      <c r="Q35" s="190">
        <v>5231000185.0299997</v>
      </c>
      <c r="R35" s="190">
        <v>5186413920.96</v>
      </c>
      <c r="S35" s="190">
        <v>2832177133.8299999</v>
      </c>
      <c r="T35" s="190">
        <v>2899195250.6700001</v>
      </c>
      <c r="U35" s="190">
        <v>2919778218.77</v>
      </c>
      <c r="V35" s="190">
        <v>2935462019.4699998</v>
      </c>
      <c r="W35" s="190">
        <v>2956066354.3800001</v>
      </c>
      <c r="X35" s="190">
        <v>2949640925.8499999</v>
      </c>
      <c r="Y35" s="190">
        <v>2715494288.8600001</v>
      </c>
      <c r="Z35" s="190">
        <v>2699794883.5900002</v>
      </c>
      <c r="AA35" s="190">
        <v>2575255355.6300001</v>
      </c>
      <c r="AB35" s="190">
        <v>1300187954.2</v>
      </c>
      <c r="AC35" s="190">
        <v>1453038911.76</v>
      </c>
      <c r="AD35" s="190">
        <v>1303791158.9100001</v>
      </c>
      <c r="AE35" s="190">
        <v>1163970805.3599999</v>
      </c>
      <c r="AF35" s="190">
        <v>1131420792.23</v>
      </c>
      <c r="AG35" s="190">
        <v>1138947755.4000001</v>
      </c>
      <c r="AH35" s="190">
        <v>979979398.14999998</v>
      </c>
      <c r="AI35" s="190">
        <v>989211143.62</v>
      </c>
      <c r="AJ35" s="190">
        <v>826894395.38</v>
      </c>
      <c r="AK35" s="190">
        <v>831512928.21000004</v>
      </c>
      <c r="AL35" s="190">
        <v>300546749.76999998</v>
      </c>
      <c r="AM35" s="190">
        <v>301290899.44999999</v>
      </c>
      <c r="AN35" s="190">
        <v>303752786.95999998</v>
      </c>
      <c r="AO35" s="190">
        <v>305298898.91000003</v>
      </c>
      <c r="AP35" s="190">
        <v>240728700.77000001</v>
      </c>
      <c r="AQ35" s="190">
        <v>239987599.44999999</v>
      </c>
      <c r="AR35" s="190">
        <v>217058162.49000001</v>
      </c>
      <c r="AS35" s="190">
        <v>165817533.09999999</v>
      </c>
      <c r="AT35" s="190">
        <v>135329885</v>
      </c>
      <c r="AU35" s="190">
        <v>136109598.21000001</v>
      </c>
      <c r="AV35" s="190">
        <v>107289423.17</v>
      </c>
      <c r="AW35" s="190">
        <v>107748067.56999999</v>
      </c>
      <c r="AX35" s="190">
        <v>20374372.329999998</v>
      </c>
      <c r="AY35" s="190">
        <v>17043549.289999999</v>
      </c>
      <c r="AZ35" s="190">
        <v>17149519.940000001</v>
      </c>
      <c r="BA35" s="190">
        <v>17255490.59</v>
      </c>
      <c r="BB35" s="190">
        <v>20774474.629999999</v>
      </c>
      <c r="BC35" s="190">
        <v>20714232.629999999</v>
      </c>
      <c r="BD35" s="190">
        <v>17586877.539999999</v>
      </c>
      <c r="BE35" s="190">
        <v>21109711.579999998</v>
      </c>
      <c r="BF35" s="190">
        <v>2417757.0499999998</v>
      </c>
      <c r="BG35" s="190">
        <v>1312615.83</v>
      </c>
      <c r="BH35" s="190">
        <v>740683.13</v>
      </c>
      <c r="BI35" s="190">
        <v>792540.35</v>
      </c>
      <c r="BJ35" s="190">
        <v>4682106.8</v>
      </c>
      <c r="BK35" s="190">
        <v>4729792.53</v>
      </c>
      <c r="BL35" s="190">
        <v>4525035.12</v>
      </c>
      <c r="BM35" s="190">
        <v>4899228.97</v>
      </c>
      <c r="BN35" s="190">
        <v>44266146.579999998</v>
      </c>
      <c r="BO35" s="190">
        <v>44548000</v>
      </c>
      <c r="BP35" s="190">
        <v>44829853.420000002</v>
      </c>
      <c r="BQ35" s="190">
        <v>45111706.840000004</v>
      </c>
      <c r="BR35" s="190">
        <v>45675413.68</v>
      </c>
      <c r="BS35" s="190">
        <v>46239120.520000003</v>
      </c>
      <c r="BT35" s="190">
        <v>46810027.420000002</v>
      </c>
      <c r="BU35" s="190">
        <v>46850495.409999996</v>
      </c>
      <c r="BV35" s="190">
        <v>47412270.43</v>
      </c>
      <c r="BW35" s="190">
        <v>48237267.93</v>
      </c>
      <c r="BX35" s="190">
        <v>3392541.55</v>
      </c>
      <c r="BY35" s="190">
        <v>3504383.59</v>
      </c>
      <c r="BZ35" s="190">
        <v>3616225.63</v>
      </c>
      <c r="CA35" s="190">
        <v>3728067.67</v>
      </c>
      <c r="CB35" s="190">
        <v>3839909.71</v>
      </c>
      <c r="CC35" s="190">
        <v>3951751.75</v>
      </c>
      <c r="CD35" s="190">
        <v>4175435.83</v>
      </c>
      <c r="CE35" s="190">
        <v>0</v>
      </c>
    </row>
    <row r="36" spans="1:83" x14ac:dyDescent="0.25">
      <c r="A36" s="190" t="s">
        <v>140</v>
      </c>
      <c r="B36" s="190">
        <v>0</v>
      </c>
      <c r="C36" s="190">
        <v>0</v>
      </c>
      <c r="D36" s="190">
        <v>0</v>
      </c>
      <c r="E36" s="190">
        <v>0</v>
      </c>
      <c r="F36" s="190">
        <v>25644.25</v>
      </c>
      <c r="G36" s="190">
        <v>19150.75</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row>
    <row r="37" spans="1:83" x14ac:dyDescent="0.25">
      <c r="A37" s="190" t="s">
        <v>141</v>
      </c>
      <c r="B37" s="190">
        <v>424541255.45999998</v>
      </c>
      <c r="C37" s="190">
        <v>408420540.73000002</v>
      </c>
      <c r="D37" s="190">
        <v>416061573.14999998</v>
      </c>
      <c r="E37" s="190">
        <v>414202565.87</v>
      </c>
      <c r="F37" s="190">
        <v>420995630.05000001</v>
      </c>
      <c r="G37" s="190">
        <v>415842592.33999997</v>
      </c>
      <c r="H37" s="190">
        <v>406407780.98000002</v>
      </c>
      <c r="I37" s="190">
        <v>401632135.72000003</v>
      </c>
      <c r="J37" s="190">
        <v>402492600.87</v>
      </c>
      <c r="K37" s="190">
        <v>414732048.43000001</v>
      </c>
      <c r="L37" s="190">
        <v>5165055.18</v>
      </c>
      <c r="M37" s="190">
        <v>5165055.18</v>
      </c>
      <c r="N37" s="190">
        <v>5165055.18</v>
      </c>
      <c r="O37" s="190">
        <v>5165055.18</v>
      </c>
      <c r="P37" s="190">
        <v>5165055.18</v>
      </c>
      <c r="Q37" s="190">
        <v>5165055.18</v>
      </c>
      <c r="R37" s="190">
        <v>5165055.18</v>
      </c>
      <c r="S37" s="190">
        <v>5165055.18</v>
      </c>
      <c r="T37" s="190">
        <v>5165055.18</v>
      </c>
      <c r="U37" s="190">
        <v>5165055.18</v>
      </c>
      <c r="V37" s="190">
        <v>5165055.18</v>
      </c>
      <c r="W37" s="190">
        <v>5165055.18</v>
      </c>
      <c r="X37" s="190">
        <v>5165055.18</v>
      </c>
      <c r="Y37" s="190">
        <v>5165055.18</v>
      </c>
      <c r="Z37" s="190">
        <v>5165055.18</v>
      </c>
      <c r="AA37" s="190">
        <v>5165055.18</v>
      </c>
      <c r="AB37" s="190">
        <v>5165055.18</v>
      </c>
      <c r="AC37" s="190">
        <v>5165055.18</v>
      </c>
      <c r="AD37" s="190">
        <v>5165055.18</v>
      </c>
      <c r="AE37" s="190">
        <v>5165055.18</v>
      </c>
      <c r="AF37" s="190">
        <v>5165055.18</v>
      </c>
      <c r="AG37" s="190">
        <v>5165055.18</v>
      </c>
      <c r="AH37" s="190">
        <v>5165055.18</v>
      </c>
      <c r="AI37" s="190">
        <v>5165055.18</v>
      </c>
      <c r="AJ37" s="190">
        <v>5165055.18</v>
      </c>
      <c r="AK37" s="190">
        <v>5165055.18</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row>
    <row r="38" spans="1:83" x14ac:dyDescent="0.25">
      <c r="A38" s="190" t="s">
        <v>142</v>
      </c>
      <c r="B38" s="190">
        <v>200274979.31999999</v>
      </c>
      <c r="C38" s="190">
        <v>207853649</v>
      </c>
      <c r="D38" s="190">
        <v>205953309.34999999</v>
      </c>
      <c r="E38" s="190">
        <v>210438363.08000001</v>
      </c>
      <c r="F38" s="190">
        <v>205127952.12</v>
      </c>
      <c r="G38" s="190">
        <v>211932218.94</v>
      </c>
      <c r="H38" s="190">
        <v>218713216.78999999</v>
      </c>
      <c r="I38" s="190">
        <v>213829308.66</v>
      </c>
      <c r="J38" s="190">
        <v>118265018.04000001</v>
      </c>
      <c r="K38" s="190">
        <v>121999576.67</v>
      </c>
      <c r="L38" s="190">
        <v>125598194.43000001</v>
      </c>
      <c r="M38" s="190">
        <v>129825187.47</v>
      </c>
      <c r="N38" s="190">
        <v>123979839.31999999</v>
      </c>
      <c r="O38" s="190">
        <v>107611021.98999999</v>
      </c>
      <c r="P38" s="190">
        <v>110906975.34</v>
      </c>
      <c r="Q38" s="190">
        <v>113765103.12</v>
      </c>
      <c r="R38" s="190">
        <v>98283812.790000007</v>
      </c>
      <c r="S38" s="190">
        <v>116099705.5</v>
      </c>
      <c r="T38" s="190">
        <v>222384650.63</v>
      </c>
      <c r="U38" s="190">
        <v>226364116.47</v>
      </c>
      <c r="V38" s="190">
        <v>108631976.42</v>
      </c>
      <c r="W38" s="190">
        <v>232870583.41</v>
      </c>
      <c r="X38" s="190">
        <v>235366552.22999999</v>
      </c>
      <c r="Y38" s="190">
        <v>145196613.02000001</v>
      </c>
      <c r="Z38" s="190">
        <v>173421113.22</v>
      </c>
      <c r="AA38" s="190">
        <v>121052638.93000001</v>
      </c>
      <c r="AB38" s="190">
        <v>71968434.159999996</v>
      </c>
      <c r="AC38" s="190">
        <v>76024756.239999995</v>
      </c>
      <c r="AD38" s="190">
        <v>80081078.319999993</v>
      </c>
      <c r="AE38" s="190">
        <v>84136163.700000003</v>
      </c>
      <c r="AF38" s="190">
        <v>88184321.439999998</v>
      </c>
      <c r="AG38" s="190">
        <v>92249342.700000003</v>
      </c>
      <c r="AH38" s="190">
        <v>96325300</v>
      </c>
      <c r="AI38" s="190">
        <v>100416066.52</v>
      </c>
      <c r="AJ38" s="190">
        <v>104506833.04000001</v>
      </c>
      <c r="AK38" s="190">
        <v>108597599.56</v>
      </c>
      <c r="AL38" s="190">
        <v>112310440.90000001</v>
      </c>
      <c r="AM38" s="190">
        <v>116354183.77</v>
      </c>
      <c r="AN38" s="190">
        <v>121530807.5</v>
      </c>
      <c r="AO38" s="190">
        <v>126045372.05</v>
      </c>
      <c r="AP38" s="190">
        <v>130819936.53</v>
      </c>
      <c r="AQ38" s="190">
        <v>136479301.09</v>
      </c>
      <c r="AR38" s="190">
        <v>141594644.34999999</v>
      </c>
      <c r="AS38" s="190">
        <v>146123230.21000001</v>
      </c>
      <c r="AT38" s="190">
        <v>152685014.78999999</v>
      </c>
      <c r="AU38" s="190">
        <v>156838228.94999999</v>
      </c>
      <c r="AV38" s="190">
        <v>161398523.81</v>
      </c>
      <c r="AW38" s="190">
        <v>166254688.37</v>
      </c>
      <c r="AX38" s="190">
        <v>128439309.48</v>
      </c>
      <c r="AY38" s="190">
        <v>131686133.73999999</v>
      </c>
      <c r="AZ38" s="190">
        <v>135192958.09999999</v>
      </c>
      <c r="BA38" s="190">
        <v>136916476.78999999</v>
      </c>
      <c r="BB38" s="190">
        <v>140340864.16</v>
      </c>
      <c r="BC38" s="190">
        <v>143235251.53</v>
      </c>
      <c r="BD38" s="190">
        <v>146659638.90000001</v>
      </c>
      <c r="BE38" s="190">
        <v>149554026.27000001</v>
      </c>
      <c r="BF38" s="190">
        <v>144844732.21000001</v>
      </c>
      <c r="BG38" s="190">
        <v>155817801.00999999</v>
      </c>
      <c r="BH38" s="190">
        <v>0</v>
      </c>
      <c r="BI38" s="190">
        <v>0</v>
      </c>
      <c r="BJ38" s="190">
        <v>19935112.129999999</v>
      </c>
      <c r="BK38" s="190">
        <v>20311246.309999999</v>
      </c>
      <c r="BL38" s="190">
        <v>20969481.120000001</v>
      </c>
      <c r="BM38" s="190">
        <v>21063514.670000002</v>
      </c>
      <c r="BN38" s="190">
        <v>2014254.94</v>
      </c>
      <c r="BO38" s="190">
        <v>2518995.2799999998</v>
      </c>
      <c r="BP38" s="190">
        <v>3023735.62</v>
      </c>
      <c r="BQ38" s="190">
        <v>3528475.96</v>
      </c>
      <c r="BR38" s="190">
        <v>0</v>
      </c>
      <c r="BS38" s="190">
        <v>0</v>
      </c>
      <c r="BT38" s="190">
        <v>0</v>
      </c>
      <c r="BU38" s="190">
        <v>0</v>
      </c>
      <c r="BV38" s="190">
        <v>0</v>
      </c>
      <c r="BW38" s="190">
        <v>0</v>
      </c>
      <c r="BX38" s="190">
        <v>0</v>
      </c>
      <c r="BY38" s="190">
        <v>0</v>
      </c>
      <c r="BZ38" s="190">
        <v>0</v>
      </c>
      <c r="CA38" s="190">
        <v>0</v>
      </c>
      <c r="CB38" s="190">
        <v>0</v>
      </c>
      <c r="CC38" s="190">
        <v>0</v>
      </c>
      <c r="CD38" s="190">
        <v>0</v>
      </c>
      <c r="CE38" s="190">
        <v>0</v>
      </c>
    </row>
    <row r="39" spans="1:83" x14ac:dyDescent="0.25">
      <c r="A39" s="190" t="s">
        <v>143</v>
      </c>
      <c r="B39" s="190">
        <v>265012925.63999999</v>
      </c>
      <c r="C39" s="190">
        <v>254736020.94999999</v>
      </c>
      <c r="D39" s="190">
        <v>237406800.62</v>
      </c>
      <c r="E39" s="190">
        <v>237410041.49000001</v>
      </c>
      <c r="F39" s="190">
        <v>209758336.25</v>
      </c>
      <c r="G39" s="190">
        <v>209744932.65000001</v>
      </c>
      <c r="H39" s="190">
        <v>205591592.00999999</v>
      </c>
      <c r="I39" s="190">
        <v>205332101.78999999</v>
      </c>
      <c r="J39" s="190">
        <v>206318483.18000001</v>
      </c>
      <c r="K39" s="190">
        <v>163670833.30000001</v>
      </c>
      <c r="L39" s="190">
        <v>153021619.05000001</v>
      </c>
      <c r="M39" s="190">
        <v>153021619.05000001</v>
      </c>
      <c r="N39" s="190">
        <v>118652253.20999999</v>
      </c>
      <c r="O39" s="190">
        <v>118652253.20999999</v>
      </c>
      <c r="P39" s="190">
        <v>115691036.09999999</v>
      </c>
      <c r="Q39" s="190">
        <v>115691036.09999999</v>
      </c>
      <c r="R39" s="190">
        <v>114509051.84</v>
      </c>
      <c r="S39" s="190">
        <v>114509051.84</v>
      </c>
      <c r="T39" s="190">
        <v>114598120.77</v>
      </c>
      <c r="U39" s="190">
        <v>114598120.77</v>
      </c>
      <c r="V39" s="190">
        <v>123614955.25</v>
      </c>
      <c r="W39" s="190">
        <v>125445537.89</v>
      </c>
      <c r="X39" s="190">
        <v>127999644.95999999</v>
      </c>
      <c r="Y39" s="190">
        <v>126497582.45999999</v>
      </c>
      <c r="Z39" s="190">
        <v>119667304.70999999</v>
      </c>
      <c r="AA39" s="190">
        <v>127508862.55</v>
      </c>
      <c r="AB39" s="190">
        <v>129647038.31</v>
      </c>
      <c r="AC39" s="190">
        <v>129647038.31</v>
      </c>
      <c r="AD39" s="190">
        <v>132736730.67</v>
      </c>
      <c r="AE39" s="190">
        <v>131537631.63</v>
      </c>
      <c r="AF39" s="190">
        <v>132617344.20999999</v>
      </c>
      <c r="AG39" s="190">
        <v>134409179</v>
      </c>
      <c r="AH39" s="190">
        <v>177977775.47</v>
      </c>
      <c r="AI39" s="190">
        <v>178861993.28</v>
      </c>
      <c r="AJ39" s="190">
        <v>182454718.19999999</v>
      </c>
      <c r="AK39" s="190">
        <v>182454718.19999999</v>
      </c>
      <c r="AL39" s="190">
        <v>23530704.66</v>
      </c>
      <c r="AM39" s="190">
        <v>23530704.66</v>
      </c>
      <c r="AN39" s="190">
        <v>12919733.99</v>
      </c>
      <c r="AO39" s="190">
        <v>12919733.99</v>
      </c>
      <c r="AP39" s="190">
        <v>7963873.4299999997</v>
      </c>
      <c r="AQ39" s="190">
        <v>7963873.4299999997</v>
      </c>
      <c r="AR39" s="190">
        <v>7963873.4299999997</v>
      </c>
      <c r="AS39" s="190">
        <v>7963873.4299999997</v>
      </c>
      <c r="AT39" s="190">
        <v>4728086.58</v>
      </c>
      <c r="AU39" s="190">
        <v>4728086.58</v>
      </c>
      <c r="AV39" s="190">
        <v>4927063.55</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row>
    <row r="40" spans="1:83" x14ac:dyDescent="0.25">
      <c r="A40" s="190" t="s">
        <v>144</v>
      </c>
      <c r="B40" s="190">
        <v>748623230.02999997</v>
      </c>
      <c r="C40" s="190">
        <v>685433296.58000004</v>
      </c>
      <c r="D40" s="190">
        <v>526921253.02999997</v>
      </c>
      <c r="E40" s="190">
        <v>664740458.48000002</v>
      </c>
      <c r="F40" s="190">
        <v>434147467.41000003</v>
      </c>
      <c r="G40" s="190">
        <v>311040532.30000001</v>
      </c>
      <c r="H40" s="190">
        <v>303576589.10000002</v>
      </c>
      <c r="I40" s="190">
        <v>256680888.22</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c r="CE40" s="190">
        <v>0</v>
      </c>
    </row>
    <row r="41" spans="1:83" x14ac:dyDescent="0.25">
      <c r="A41" s="190" t="s">
        <v>145</v>
      </c>
      <c r="B41" s="190">
        <v>199471064213.09</v>
      </c>
      <c r="C41" s="190">
        <v>196209613530.81</v>
      </c>
      <c r="D41" s="190">
        <v>196587742824.98999</v>
      </c>
      <c r="E41" s="190">
        <v>196012875090.95001</v>
      </c>
      <c r="F41" s="190">
        <v>194912849913.64001</v>
      </c>
      <c r="G41" s="190">
        <v>193554050017.14999</v>
      </c>
      <c r="H41" s="190">
        <v>193419233690.64001</v>
      </c>
      <c r="I41" s="190">
        <v>192670859898.14999</v>
      </c>
      <c r="J41" s="190">
        <v>185474340248.98999</v>
      </c>
      <c r="K41" s="190">
        <v>181347605694.63</v>
      </c>
      <c r="L41" s="190">
        <v>176486178429.82999</v>
      </c>
      <c r="M41" s="190">
        <v>171985901644.04999</v>
      </c>
      <c r="N41" s="190">
        <v>161755970644.67999</v>
      </c>
      <c r="O41" s="190">
        <v>159493757971.06</v>
      </c>
      <c r="P41" s="190">
        <v>160173526095.34</v>
      </c>
      <c r="Q41" s="190">
        <v>159115741890.88</v>
      </c>
      <c r="R41" s="190">
        <v>155759121790.51999</v>
      </c>
      <c r="S41" s="190">
        <v>150368530941.56</v>
      </c>
      <c r="T41" s="190">
        <v>150388142350.34</v>
      </c>
      <c r="U41" s="190">
        <v>149326581083.56</v>
      </c>
      <c r="V41" s="190">
        <v>144542477019.28</v>
      </c>
      <c r="W41" s="190">
        <v>140483235977.72</v>
      </c>
      <c r="X41" s="190">
        <v>137484749948.51999</v>
      </c>
      <c r="Y41" s="190">
        <v>132056896427.77</v>
      </c>
      <c r="Z41" s="190">
        <v>123490443679.52</v>
      </c>
      <c r="AA41" s="190">
        <v>115464859896.00999</v>
      </c>
      <c r="AB41" s="190">
        <v>111418840218.92</v>
      </c>
      <c r="AC41" s="190">
        <v>110911243721.69</v>
      </c>
      <c r="AD41" s="190">
        <v>103549023564.72</v>
      </c>
      <c r="AE41" s="190">
        <v>99934905307.139999</v>
      </c>
      <c r="AF41" s="190">
        <v>96028176784.139999</v>
      </c>
      <c r="AG41" s="190">
        <v>93163072645.369995</v>
      </c>
      <c r="AH41" s="190">
        <v>87194716216.149994</v>
      </c>
      <c r="AI41" s="190">
        <v>84541153334.660004</v>
      </c>
      <c r="AJ41" s="190">
        <v>82799205110.490005</v>
      </c>
      <c r="AK41" s="190">
        <v>80570360485.960007</v>
      </c>
      <c r="AL41" s="190">
        <v>15232984727.74</v>
      </c>
      <c r="AM41" s="190">
        <v>14760565506.23</v>
      </c>
      <c r="AN41" s="190">
        <v>15184348826.93</v>
      </c>
      <c r="AO41" s="190">
        <v>15229356249.559999</v>
      </c>
      <c r="AP41" s="190">
        <v>15474871017.49</v>
      </c>
      <c r="AQ41" s="190">
        <v>15406155132.370001</v>
      </c>
      <c r="AR41" s="190">
        <v>15234231711.040001</v>
      </c>
      <c r="AS41" s="190">
        <v>15056242702.940001</v>
      </c>
      <c r="AT41" s="190">
        <v>14725327102.91</v>
      </c>
      <c r="AU41" s="190">
        <v>14738101470.690001</v>
      </c>
      <c r="AV41" s="190">
        <v>14686064980.360001</v>
      </c>
      <c r="AW41" s="190">
        <v>15308097980.719999</v>
      </c>
      <c r="AX41" s="190">
        <v>8669286305.0699997</v>
      </c>
      <c r="AY41" s="190">
        <v>8461859022.29</v>
      </c>
      <c r="AZ41" s="190">
        <v>8272279388.54</v>
      </c>
      <c r="BA41" s="190">
        <v>8214864954.0900002</v>
      </c>
      <c r="BB41" s="190">
        <v>8203969080.8299999</v>
      </c>
      <c r="BC41" s="190">
        <v>8227143275.54</v>
      </c>
      <c r="BD41" s="190">
        <v>7934573128.4499998</v>
      </c>
      <c r="BE41" s="190">
        <v>8031012382.6599998</v>
      </c>
      <c r="BF41" s="190">
        <v>7682509323.7200003</v>
      </c>
      <c r="BG41" s="190">
        <v>7725247986.5600004</v>
      </c>
      <c r="BH41" s="190">
        <v>4007451639.8400002</v>
      </c>
      <c r="BI41" s="190">
        <v>3954948691.9000001</v>
      </c>
      <c r="BJ41" s="190">
        <v>3882953147.1399999</v>
      </c>
      <c r="BK41" s="190">
        <v>3837770495.8699999</v>
      </c>
      <c r="BL41" s="190">
        <v>3889906135.1199999</v>
      </c>
      <c r="BM41" s="190">
        <v>3894065466.1399999</v>
      </c>
      <c r="BN41" s="190">
        <v>611934068.65999997</v>
      </c>
      <c r="BO41" s="190">
        <v>633399313.91999996</v>
      </c>
      <c r="BP41" s="190">
        <v>650097139.72000003</v>
      </c>
      <c r="BQ41" s="190">
        <v>668453337.79999995</v>
      </c>
      <c r="BR41" s="190">
        <v>729414590.40999997</v>
      </c>
      <c r="BS41" s="190">
        <v>693693289.23000002</v>
      </c>
      <c r="BT41" s="190">
        <v>856685537.63</v>
      </c>
      <c r="BU41" s="190">
        <v>908966515.36000001</v>
      </c>
      <c r="BV41" s="190">
        <v>853677022.55999994</v>
      </c>
      <c r="BW41" s="190">
        <v>910517388.55999994</v>
      </c>
      <c r="BX41" s="190">
        <v>502267383.01999998</v>
      </c>
      <c r="BY41" s="190">
        <v>496170399.80000001</v>
      </c>
      <c r="BZ41" s="190">
        <v>386948609.07999998</v>
      </c>
      <c r="CA41" s="190">
        <v>397611478.97000003</v>
      </c>
      <c r="CB41" s="190">
        <v>359329113.00999999</v>
      </c>
      <c r="CC41" s="190">
        <v>287806525.08999997</v>
      </c>
      <c r="CD41" s="190">
        <v>69514766.840000004</v>
      </c>
      <c r="CE41" s="190">
        <v>0</v>
      </c>
    </row>
    <row r="42" spans="1:83" x14ac:dyDescent="0.25">
      <c r="A42" s="190" t="s">
        <v>146</v>
      </c>
      <c r="B42" s="190">
        <v>220314127436.59</v>
      </c>
      <c r="C42" s="190">
        <v>215114980490.44</v>
      </c>
      <c r="D42" s="190">
        <v>212837527068.48001</v>
      </c>
      <c r="E42" s="190">
        <v>208288002562.19</v>
      </c>
      <c r="F42" s="190">
        <v>209488905872.32001</v>
      </c>
      <c r="G42" s="190">
        <v>206345505805.82001</v>
      </c>
      <c r="H42" s="190">
        <v>204748091280.28</v>
      </c>
      <c r="I42" s="190">
        <v>203291030318.37</v>
      </c>
      <c r="J42" s="190">
        <v>198836281939.57001</v>
      </c>
      <c r="K42" s="190">
        <v>192816625129.87</v>
      </c>
      <c r="L42" s="190">
        <v>187389468552.54999</v>
      </c>
      <c r="M42" s="190">
        <v>183544781167.84</v>
      </c>
      <c r="N42" s="190">
        <v>178570114048.38</v>
      </c>
      <c r="O42" s="190">
        <v>174984036677.92999</v>
      </c>
      <c r="P42" s="190">
        <v>174105149152.60001</v>
      </c>
      <c r="Q42" s="190">
        <v>172617316036.42001</v>
      </c>
      <c r="R42" s="190">
        <v>173503845112.23999</v>
      </c>
      <c r="S42" s="190">
        <v>163836124536.59</v>
      </c>
      <c r="T42" s="190">
        <v>163410776723.26999</v>
      </c>
      <c r="U42" s="190">
        <v>159558766004.20999</v>
      </c>
      <c r="V42" s="190">
        <v>156506567371.89001</v>
      </c>
      <c r="W42" s="190">
        <v>151975862757.62</v>
      </c>
      <c r="X42" s="190">
        <v>151052376212.10001</v>
      </c>
      <c r="Y42" s="190">
        <v>145896345910.10999</v>
      </c>
      <c r="Z42" s="190">
        <v>135986225306.31</v>
      </c>
      <c r="AA42" s="190">
        <v>130170271180.45</v>
      </c>
      <c r="AB42" s="190">
        <v>123369453515.52</v>
      </c>
      <c r="AC42" s="190">
        <v>125098186511.84</v>
      </c>
      <c r="AD42" s="190">
        <v>114238672716.09</v>
      </c>
      <c r="AE42" s="190">
        <v>110509853293.64999</v>
      </c>
      <c r="AF42" s="190">
        <v>107059761324.25999</v>
      </c>
      <c r="AG42" s="190">
        <v>101131834697</v>
      </c>
      <c r="AH42" s="190">
        <v>96086085017.600006</v>
      </c>
      <c r="AI42" s="190">
        <v>92448521139.149994</v>
      </c>
      <c r="AJ42" s="190">
        <v>89675709293.139999</v>
      </c>
      <c r="AK42" s="190">
        <v>88391398864.389999</v>
      </c>
      <c r="AL42" s="190">
        <v>18218202242.610001</v>
      </c>
      <c r="AM42" s="190">
        <v>17993935373.720001</v>
      </c>
      <c r="AN42" s="190">
        <v>18498910841.200001</v>
      </c>
      <c r="AO42" s="190">
        <v>18269985438.84</v>
      </c>
      <c r="AP42" s="190">
        <v>18767801492.220001</v>
      </c>
      <c r="AQ42" s="190">
        <v>18508813013.790001</v>
      </c>
      <c r="AR42" s="190">
        <v>18280018768.23</v>
      </c>
      <c r="AS42" s="190">
        <v>18041160260.369999</v>
      </c>
      <c r="AT42" s="190">
        <v>17613152107.459999</v>
      </c>
      <c r="AU42" s="190">
        <v>16943218511.49</v>
      </c>
      <c r="AV42" s="190">
        <v>17178784437.049999</v>
      </c>
      <c r="AW42" s="190">
        <v>17211202481.150002</v>
      </c>
      <c r="AX42" s="190">
        <v>11220375667.92</v>
      </c>
      <c r="AY42" s="190">
        <v>9407644548.7700005</v>
      </c>
      <c r="AZ42" s="190">
        <v>9312307007.7099991</v>
      </c>
      <c r="BA42" s="190">
        <v>8992916651.0599995</v>
      </c>
      <c r="BB42" s="190">
        <v>9386859745.8299999</v>
      </c>
      <c r="BC42" s="190">
        <v>9291002203.0400009</v>
      </c>
      <c r="BD42" s="190">
        <v>9335778500.2399998</v>
      </c>
      <c r="BE42" s="190">
        <v>9010605703.2000008</v>
      </c>
      <c r="BF42" s="190">
        <v>9161995424.75</v>
      </c>
      <c r="BG42" s="190">
        <v>9284977059.2000008</v>
      </c>
      <c r="BH42" s="190">
        <v>4995286557.79</v>
      </c>
      <c r="BI42" s="190">
        <v>4600508528.3500004</v>
      </c>
      <c r="BJ42" s="190">
        <v>4532693840.3999996</v>
      </c>
      <c r="BK42" s="190">
        <v>4493490733.9499998</v>
      </c>
      <c r="BL42" s="190">
        <v>4791563182.8299999</v>
      </c>
      <c r="BM42" s="190">
        <v>4688752636.3400002</v>
      </c>
      <c r="BN42" s="190">
        <v>806397161.87</v>
      </c>
      <c r="BO42" s="190">
        <v>914788713.62</v>
      </c>
      <c r="BP42" s="190">
        <v>889812527.64999998</v>
      </c>
      <c r="BQ42" s="190">
        <v>910684101.21000004</v>
      </c>
      <c r="BR42" s="190">
        <v>1271940223.8699999</v>
      </c>
      <c r="BS42" s="190">
        <v>1113451195.3299999</v>
      </c>
      <c r="BT42" s="190">
        <v>1156672540.9000001</v>
      </c>
      <c r="BU42" s="190">
        <v>1244646123.79</v>
      </c>
      <c r="BV42" s="190">
        <v>1237300673.8499999</v>
      </c>
      <c r="BW42" s="190">
        <v>1273701860.99</v>
      </c>
      <c r="BX42" s="190">
        <v>785591879.15999997</v>
      </c>
      <c r="BY42" s="190">
        <v>586647169.77999997</v>
      </c>
      <c r="BZ42" s="190">
        <v>507147167.06999999</v>
      </c>
      <c r="CA42" s="190">
        <v>483245444.02999997</v>
      </c>
      <c r="CB42" s="190">
        <v>385585868.85000002</v>
      </c>
      <c r="CC42" s="190">
        <v>315133255.58999997</v>
      </c>
      <c r="CD42" s="190">
        <v>150981694.75999999</v>
      </c>
      <c r="CE42" s="190">
        <v>0</v>
      </c>
    </row>
    <row r="43" spans="1:83" x14ac:dyDescent="0.25">
      <c r="A43" s="190" t="s">
        <v>147</v>
      </c>
    </row>
    <row r="44" spans="1:83" x14ac:dyDescent="0.25">
      <c r="A44" s="190" t="s">
        <v>148</v>
      </c>
      <c r="B44" s="190">
        <v>5757205936.4300003</v>
      </c>
      <c r="C44" s="190">
        <v>6233986753.3900003</v>
      </c>
      <c r="D44" s="190">
        <v>4991486000</v>
      </c>
      <c r="E44" s="190">
        <v>4741270178.0799999</v>
      </c>
      <c r="F44" s="190">
        <v>5989957077.8800001</v>
      </c>
      <c r="G44" s="190">
        <v>5740060020.5</v>
      </c>
      <c r="H44" s="190">
        <v>5869588448.54</v>
      </c>
      <c r="I44" s="190">
        <v>7917901596.4399996</v>
      </c>
      <c r="J44" s="190">
        <v>7432933588.0900002</v>
      </c>
      <c r="K44" s="190">
        <v>10879032345.639999</v>
      </c>
      <c r="L44" s="190">
        <v>9001000000</v>
      </c>
      <c r="M44" s="190">
        <v>8021000000</v>
      </c>
      <c r="N44" s="190">
        <v>5426740300</v>
      </c>
      <c r="O44" s="190">
        <v>4163640300</v>
      </c>
      <c r="P44" s="190">
        <v>2633659845.9299998</v>
      </c>
      <c r="Q44" s="190">
        <v>4445568605.1700001</v>
      </c>
      <c r="R44" s="190">
        <v>5453893057.3400002</v>
      </c>
      <c r="S44" s="190">
        <v>7453207394.0100002</v>
      </c>
      <c r="T44" s="190">
        <v>6713459471.1599998</v>
      </c>
      <c r="U44" s="190">
        <v>6851173685.29</v>
      </c>
      <c r="V44" s="190">
        <v>6869418132.6899996</v>
      </c>
      <c r="W44" s="190">
        <v>8852994522.9099998</v>
      </c>
      <c r="X44" s="190">
        <v>9569668355.2399998</v>
      </c>
      <c r="Y44" s="190">
        <v>9204490020.1900005</v>
      </c>
      <c r="Z44" s="190">
        <v>11697769859.16</v>
      </c>
      <c r="AA44" s="190">
        <v>13322267910.33</v>
      </c>
      <c r="AB44" s="190">
        <v>13171945997.200001</v>
      </c>
      <c r="AC44" s="190">
        <v>13031288688.33</v>
      </c>
      <c r="AD44" s="190">
        <v>11882468402.290001</v>
      </c>
      <c r="AE44" s="190">
        <v>11456000456.290001</v>
      </c>
      <c r="AF44" s="190">
        <v>11234086469.530001</v>
      </c>
      <c r="AG44" s="190">
        <v>12161797549</v>
      </c>
      <c r="AH44" s="190">
        <v>11945736074.73</v>
      </c>
      <c r="AI44" s="190">
        <v>10384628977.9</v>
      </c>
      <c r="AJ44" s="190">
        <v>10157165864.030001</v>
      </c>
      <c r="AK44" s="190">
        <v>12142323938.290001</v>
      </c>
      <c r="AL44" s="190">
        <v>2294630000</v>
      </c>
      <c r="AM44" s="190">
        <v>2077000000</v>
      </c>
      <c r="AN44" s="190">
        <v>2113000000</v>
      </c>
      <c r="AO44" s="190">
        <v>2245290000</v>
      </c>
      <c r="AP44" s="190">
        <v>2255000000</v>
      </c>
      <c r="AQ44" s="190">
        <v>1945000000</v>
      </c>
      <c r="AR44" s="190">
        <v>1564500000</v>
      </c>
      <c r="AS44" s="190">
        <v>1578300000</v>
      </c>
      <c r="AT44" s="190">
        <v>1308200000</v>
      </c>
      <c r="AU44" s="190">
        <v>2053000000</v>
      </c>
      <c r="AV44" s="190">
        <v>2195200000</v>
      </c>
      <c r="AW44" s="190">
        <v>1964000000</v>
      </c>
      <c r="AX44" s="190">
        <v>705000000</v>
      </c>
      <c r="AY44" s="190">
        <v>825000000</v>
      </c>
      <c r="AZ44" s="190">
        <v>647000000</v>
      </c>
      <c r="BA44" s="190">
        <v>657000000</v>
      </c>
      <c r="BB44" s="190">
        <v>897000000</v>
      </c>
      <c r="BC44" s="190">
        <v>777000000</v>
      </c>
      <c r="BD44" s="190">
        <v>727000000</v>
      </c>
      <c r="BE44" s="190">
        <v>737000000</v>
      </c>
      <c r="BF44" s="190">
        <v>577000000</v>
      </c>
      <c r="BG44" s="190">
        <v>547000000</v>
      </c>
      <c r="BH44" s="190">
        <v>500000000</v>
      </c>
      <c r="BI44" s="190">
        <v>140000000</v>
      </c>
      <c r="BJ44" s="190">
        <v>120000000</v>
      </c>
      <c r="BK44" s="190">
        <v>130000000</v>
      </c>
      <c r="BL44" s="190">
        <v>160000000</v>
      </c>
      <c r="BM44" s="190">
        <v>160000000</v>
      </c>
      <c r="BN44" s="190">
        <v>0</v>
      </c>
      <c r="BO44" s="190">
        <v>0</v>
      </c>
      <c r="BP44" s="190">
        <v>0</v>
      </c>
      <c r="BQ44" s="190">
        <v>0</v>
      </c>
      <c r="BR44" s="190">
        <v>12000000</v>
      </c>
      <c r="BS44" s="190">
        <v>75000000</v>
      </c>
      <c r="BT44" s="190">
        <v>103000000</v>
      </c>
      <c r="BU44" s="190">
        <v>162000000</v>
      </c>
      <c r="BV44" s="190">
        <v>163000000</v>
      </c>
      <c r="BW44" s="190">
        <v>133000000</v>
      </c>
      <c r="BX44" s="190">
        <v>133000000</v>
      </c>
      <c r="BY44" s="190">
        <v>113000000</v>
      </c>
      <c r="BZ44" s="190">
        <v>0</v>
      </c>
      <c r="CA44" s="190">
        <v>25000000</v>
      </c>
      <c r="CB44" s="190">
        <v>0</v>
      </c>
      <c r="CC44" s="190">
        <v>8000000</v>
      </c>
      <c r="CD44" s="190">
        <v>0</v>
      </c>
      <c r="CE44" s="190">
        <v>0</v>
      </c>
    </row>
    <row r="45" spans="1:83"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1128951.76</v>
      </c>
      <c r="U45" s="190">
        <v>1128951.76</v>
      </c>
      <c r="V45" s="190">
        <v>7940687.6900000004</v>
      </c>
      <c r="W45" s="190">
        <v>7940687.6900000004</v>
      </c>
      <c r="X45" s="190">
        <v>15148906.35</v>
      </c>
      <c r="Y45" s="190">
        <v>15148906.35</v>
      </c>
      <c r="Z45" s="190">
        <v>15614936.289999999</v>
      </c>
      <c r="AA45" s="190">
        <v>15614936.289999999</v>
      </c>
      <c r="AB45" s="190">
        <v>29869441.34</v>
      </c>
      <c r="AC45" s="190">
        <v>29869441.34</v>
      </c>
      <c r="AD45" s="190">
        <v>41757441.640000001</v>
      </c>
      <c r="AE45" s="190">
        <v>57687502.840000004</v>
      </c>
      <c r="AF45" s="190">
        <v>59034400.310000002</v>
      </c>
      <c r="AG45" s="190">
        <v>59034400.310000002</v>
      </c>
      <c r="AH45" s="190">
        <v>52671019.520000003</v>
      </c>
      <c r="AI45" s="190">
        <v>52671019.520000003</v>
      </c>
      <c r="AJ45" s="190">
        <v>64832948.149999999</v>
      </c>
      <c r="AK45" s="190">
        <v>64832948.149999999</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row>
    <row r="46" spans="1:83" x14ac:dyDescent="0.25">
      <c r="A46" s="190" t="s">
        <v>150</v>
      </c>
      <c r="B46" s="190">
        <v>0</v>
      </c>
      <c r="C46" s="190">
        <v>894070759.66999996</v>
      </c>
      <c r="D46" s="190">
        <v>990810858.30999994</v>
      </c>
      <c r="E46" s="190">
        <v>820191952.29999995</v>
      </c>
      <c r="F46" s="190">
        <v>548353912.96000004</v>
      </c>
      <c r="G46" s="190">
        <v>553425423.17999995</v>
      </c>
      <c r="H46" s="190">
        <v>1067250866.91</v>
      </c>
      <c r="I46" s="190">
        <v>1150271510.21</v>
      </c>
      <c r="J46" s="190">
        <v>903326582.63999999</v>
      </c>
      <c r="K46" s="190">
        <v>979756678.44000006</v>
      </c>
      <c r="L46" s="190">
        <v>1184515472.6300001</v>
      </c>
      <c r="M46" s="190">
        <v>1530485300</v>
      </c>
      <c r="N46" s="190">
        <v>557790322.20000005</v>
      </c>
      <c r="O46" s="190">
        <v>503243572.19999999</v>
      </c>
      <c r="P46" s="190">
        <v>495618600</v>
      </c>
      <c r="Q46" s="190">
        <v>595286120</v>
      </c>
      <c r="R46" s="190">
        <v>697697560</v>
      </c>
      <c r="S46" s="190">
        <v>757883590</v>
      </c>
      <c r="T46" s="190">
        <v>1074608668.02</v>
      </c>
      <c r="U46" s="190">
        <v>692473008.01999998</v>
      </c>
      <c r="V46" s="190">
        <v>463696730</v>
      </c>
      <c r="W46" s="190">
        <v>893846000</v>
      </c>
      <c r="X46" s="190">
        <v>994992980</v>
      </c>
      <c r="Y46" s="190">
        <v>918548792.20000005</v>
      </c>
      <c r="Z46" s="190">
        <v>998825013.60000002</v>
      </c>
      <c r="AA46" s="190">
        <v>1187964462</v>
      </c>
      <c r="AB46" s="190">
        <v>1665850914.02</v>
      </c>
      <c r="AC46" s="190">
        <v>1840374896.6800001</v>
      </c>
      <c r="AD46" s="190">
        <v>1000774905.15</v>
      </c>
      <c r="AE46" s="190">
        <v>988264291.35000002</v>
      </c>
      <c r="AF46" s="190">
        <v>1629907193.1199999</v>
      </c>
      <c r="AG46" s="190">
        <v>1230023584.1900001</v>
      </c>
      <c r="AH46" s="190">
        <v>629335071.27999997</v>
      </c>
      <c r="AI46" s="190">
        <v>595485922.77999997</v>
      </c>
      <c r="AJ46" s="190">
        <v>784461474.21000004</v>
      </c>
      <c r="AK46" s="190">
        <v>791567520.80999994</v>
      </c>
      <c r="AL46" s="190">
        <v>92300000</v>
      </c>
      <c r="AM46" s="190">
        <v>105500000</v>
      </c>
      <c r="AN46" s="190">
        <v>5000000</v>
      </c>
      <c r="AO46" s="190">
        <v>0</v>
      </c>
      <c r="AP46" s="190">
        <v>12900000</v>
      </c>
      <c r="AQ46" s="190">
        <v>12900000</v>
      </c>
      <c r="AR46" s="190">
        <v>0</v>
      </c>
      <c r="AS46" s="190">
        <v>29550000</v>
      </c>
      <c r="AT46" s="190">
        <v>82350000</v>
      </c>
      <c r="AU46" s="190">
        <v>52800000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10000000</v>
      </c>
      <c r="BS46" s="190">
        <v>0</v>
      </c>
      <c r="BT46" s="190">
        <v>0</v>
      </c>
      <c r="BU46" s="190">
        <v>0</v>
      </c>
      <c r="BV46" s="190">
        <v>0</v>
      </c>
      <c r="BW46" s="190">
        <v>0</v>
      </c>
      <c r="BX46" s="190">
        <v>0</v>
      </c>
      <c r="BY46" s="190">
        <v>0</v>
      </c>
      <c r="BZ46" s="190">
        <v>0</v>
      </c>
      <c r="CA46" s="190">
        <v>0</v>
      </c>
      <c r="CB46" s="190">
        <v>0</v>
      </c>
      <c r="CC46" s="190">
        <v>0</v>
      </c>
      <c r="CD46" s="190">
        <v>0</v>
      </c>
      <c r="CE46" s="190">
        <v>0</v>
      </c>
    </row>
    <row r="47" spans="1:83" x14ac:dyDescent="0.25">
      <c r="A47" s="190" t="s">
        <v>151</v>
      </c>
      <c r="B47" s="190">
        <v>0</v>
      </c>
      <c r="C47" s="190">
        <v>4248937752.4000001</v>
      </c>
      <c r="D47" s="190">
        <v>4824587034.7799997</v>
      </c>
      <c r="E47" s="190">
        <v>4834705931.4700003</v>
      </c>
      <c r="F47" s="190">
        <v>4925834849.3999996</v>
      </c>
      <c r="G47" s="190">
        <v>5154143028.71</v>
      </c>
      <c r="H47" s="190">
        <v>5355861264.0200005</v>
      </c>
      <c r="I47" s="190">
        <v>5561378145.2600002</v>
      </c>
      <c r="J47" s="190">
        <v>4204319038.1100001</v>
      </c>
      <c r="K47" s="190">
        <v>3771529404.5500002</v>
      </c>
      <c r="L47" s="190">
        <v>3558836073.0300002</v>
      </c>
      <c r="M47" s="190">
        <v>3553330902.8600001</v>
      </c>
      <c r="N47" s="190">
        <v>1655934044.8399999</v>
      </c>
      <c r="O47" s="190">
        <v>1424622052.99</v>
      </c>
      <c r="P47" s="190">
        <v>1291606624.8199999</v>
      </c>
      <c r="Q47" s="190">
        <v>1241214480.72</v>
      </c>
      <c r="R47" s="190">
        <v>1454632245.45</v>
      </c>
      <c r="S47" s="190">
        <v>1571801277.9400001</v>
      </c>
      <c r="T47" s="190">
        <v>2311291725.7600002</v>
      </c>
      <c r="U47" s="190">
        <v>2400149146.5900002</v>
      </c>
      <c r="V47" s="190">
        <v>2077902225.8599999</v>
      </c>
      <c r="W47" s="190">
        <v>2010150701.0899999</v>
      </c>
      <c r="X47" s="190">
        <v>2544249870.5999999</v>
      </c>
      <c r="Y47" s="190">
        <v>2500994847.7399998</v>
      </c>
      <c r="Z47" s="190">
        <v>1809647571.6600001</v>
      </c>
      <c r="AA47" s="190">
        <v>1879163626.48</v>
      </c>
      <c r="AB47" s="190">
        <v>1830943620.8599999</v>
      </c>
      <c r="AC47" s="190">
        <v>1504812291.7</v>
      </c>
      <c r="AD47" s="190">
        <v>1391749534.04</v>
      </c>
      <c r="AE47" s="190">
        <v>1391283178.75</v>
      </c>
      <c r="AF47" s="190">
        <v>991015486.14999998</v>
      </c>
      <c r="AG47" s="190">
        <v>730728074.20000005</v>
      </c>
      <c r="AH47" s="190">
        <v>1291508879.6700001</v>
      </c>
      <c r="AI47" s="190">
        <v>1072216123.4</v>
      </c>
      <c r="AJ47" s="190">
        <v>1303523004.1199999</v>
      </c>
      <c r="AK47" s="190">
        <v>670911231.58000004</v>
      </c>
      <c r="AL47" s="190">
        <v>779144745.50999999</v>
      </c>
      <c r="AM47" s="190">
        <v>558529763</v>
      </c>
      <c r="AN47" s="190">
        <v>656303899.59000003</v>
      </c>
      <c r="AO47" s="190">
        <v>604977308.75</v>
      </c>
      <c r="AP47" s="190">
        <v>1197665856.3900001</v>
      </c>
      <c r="AQ47" s="190">
        <v>1218173337.29</v>
      </c>
      <c r="AR47" s="190">
        <v>968722361.41999996</v>
      </c>
      <c r="AS47" s="190">
        <v>842371186.13</v>
      </c>
      <c r="AT47" s="190">
        <v>521421637.50999999</v>
      </c>
      <c r="AU47" s="190">
        <v>504967870.02999997</v>
      </c>
      <c r="AV47" s="190">
        <v>586097510.74000001</v>
      </c>
      <c r="AW47" s="190">
        <v>413939732.82999998</v>
      </c>
      <c r="AX47" s="190">
        <v>432044275.62</v>
      </c>
      <c r="AY47" s="190">
        <v>270202723.92000002</v>
      </c>
      <c r="AZ47" s="190">
        <v>317266260.16000003</v>
      </c>
      <c r="BA47" s="190">
        <v>278027652.87</v>
      </c>
      <c r="BB47" s="190">
        <v>330192289.61000001</v>
      </c>
      <c r="BC47" s="190">
        <v>460231042.29000002</v>
      </c>
      <c r="BD47" s="190">
        <v>334456714.19</v>
      </c>
      <c r="BE47" s="190">
        <v>300163790.81999999</v>
      </c>
      <c r="BF47" s="190">
        <v>236218633.56</v>
      </c>
      <c r="BG47" s="190">
        <v>347470654.12</v>
      </c>
      <c r="BH47" s="190">
        <v>127732192.54000001</v>
      </c>
      <c r="BI47" s="190">
        <v>149421840.66999999</v>
      </c>
      <c r="BJ47" s="190">
        <v>168570675.40000001</v>
      </c>
      <c r="BK47" s="190">
        <v>179502910.66999999</v>
      </c>
      <c r="BL47" s="190">
        <v>187335016.84999999</v>
      </c>
      <c r="BM47" s="190">
        <v>182976366.65000001</v>
      </c>
      <c r="BN47" s="190">
        <v>2480733.08</v>
      </c>
      <c r="BO47" s="190">
        <v>109054488.70999999</v>
      </c>
      <c r="BP47" s="190">
        <v>34244634.890000001</v>
      </c>
      <c r="BQ47" s="190">
        <v>31813960.059999999</v>
      </c>
      <c r="BR47" s="190">
        <v>288038170.98000002</v>
      </c>
      <c r="BS47" s="190">
        <v>88452405.959999993</v>
      </c>
      <c r="BT47" s="190">
        <v>62302934.840000004</v>
      </c>
      <c r="BU47" s="190">
        <v>42671454.840000004</v>
      </c>
      <c r="BV47" s="190">
        <v>153682277</v>
      </c>
      <c r="BW47" s="190">
        <v>81295197.310000002</v>
      </c>
      <c r="BX47" s="190">
        <v>32628352.75</v>
      </c>
      <c r="BY47" s="190">
        <v>12861032.43</v>
      </c>
      <c r="BZ47" s="190">
        <v>0</v>
      </c>
      <c r="CA47" s="190">
        <v>6136859.5899999999</v>
      </c>
      <c r="CB47" s="190">
        <v>0</v>
      </c>
      <c r="CC47" s="190">
        <v>252608.65</v>
      </c>
      <c r="CD47" s="190">
        <v>8936373.5800000001</v>
      </c>
      <c r="CE47" s="190">
        <v>0</v>
      </c>
    </row>
    <row r="48" spans="1:83" x14ac:dyDescent="0.25">
      <c r="A48" s="190" t="s">
        <v>152</v>
      </c>
      <c r="B48" s="190">
        <v>417718386.81999999</v>
      </c>
      <c r="C48" s="190">
        <v>570504901.64999998</v>
      </c>
      <c r="D48" s="190">
        <v>583391842.84000003</v>
      </c>
      <c r="E48" s="190">
        <v>582916617.45000005</v>
      </c>
      <c r="F48" s="190">
        <v>498372558.20999998</v>
      </c>
      <c r="G48" s="190">
        <v>342642765.14999998</v>
      </c>
      <c r="H48" s="190">
        <v>258524683.68000001</v>
      </c>
      <c r="I48" s="190">
        <v>256836241.80000001</v>
      </c>
      <c r="J48" s="190">
        <v>25157345.699999999</v>
      </c>
      <c r="K48" s="190">
        <v>9075710.7100000009</v>
      </c>
      <c r="L48" s="190">
        <v>9979890.6500000004</v>
      </c>
      <c r="M48" s="190">
        <v>37087029.119999997</v>
      </c>
      <c r="N48" s="190">
        <v>7655615.6299999999</v>
      </c>
      <c r="O48" s="190">
        <v>10905330.960000001</v>
      </c>
      <c r="P48" s="190">
        <v>8714898.1699999999</v>
      </c>
      <c r="Q48" s="190">
        <v>6091339.8200000003</v>
      </c>
      <c r="R48" s="190">
        <v>20450501.870000001</v>
      </c>
      <c r="S48" s="190">
        <v>32681690.670000002</v>
      </c>
      <c r="T48" s="190">
        <v>48755989.18</v>
      </c>
      <c r="U48" s="190">
        <v>50723602.640000001</v>
      </c>
      <c r="V48" s="190">
        <v>22137021.16</v>
      </c>
      <c r="W48" s="190">
        <v>40347818.969999999</v>
      </c>
      <c r="X48" s="190">
        <v>170492469.03999999</v>
      </c>
      <c r="Y48" s="190">
        <v>60089027.619999997</v>
      </c>
      <c r="Z48" s="190">
        <v>179034358.50999999</v>
      </c>
      <c r="AA48" s="190">
        <v>238532730.33000001</v>
      </c>
      <c r="AB48" s="190">
        <v>116022031.98999999</v>
      </c>
      <c r="AC48" s="190">
        <v>250154985.52000001</v>
      </c>
      <c r="AD48" s="190">
        <v>308654518.73000002</v>
      </c>
      <c r="AE48" s="190">
        <v>337346383.85000002</v>
      </c>
      <c r="AF48" s="190">
        <v>322836354.47000003</v>
      </c>
      <c r="AG48" s="190">
        <v>95624010.120000005</v>
      </c>
      <c r="AH48" s="190">
        <v>8724102.7799999993</v>
      </c>
      <c r="AI48" s="190">
        <v>167450146.27000001</v>
      </c>
      <c r="AJ48" s="190">
        <v>4250567.6100000003</v>
      </c>
      <c r="AK48" s="190">
        <v>2281394.6</v>
      </c>
      <c r="AL48" s="190">
        <v>49968</v>
      </c>
      <c r="AM48" s="190">
        <v>0</v>
      </c>
      <c r="AN48" s="190">
        <v>0</v>
      </c>
      <c r="AO48" s="190">
        <v>0</v>
      </c>
      <c r="AP48" s="190">
        <v>413500</v>
      </c>
      <c r="AQ48" s="190">
        <v>0</v>
      </c>
      <c r="AR48" s="190">
        <v>0</v>
      </c>
      <c r="AS48" s="190">
        <v>0</v>
      </c>
      <c r="AT48" s="190">
        <v>0</v>
      </c>
      <c r="AU48" s="190">
        <v>550000</v>
      </c>
      <c r="AV48" s="190">
        <v>0</v>
      </c>
      <c r="AW48" s="190">
        <v>0</v>
      </c>
      <c r="AX48" s="190">
        <v>170000</v>
      </c>
      <c r="AY48" s="190">
        <v>0</v>
      </c>
      <c r="AZ48" s="190">
        <v>0</v>
      </c>
      <c r="BA48" s="190">
        <v>12677.2</v>
      </c>
      <c r="BB48" s="190">
        <v>128050.5</v>
      </c>
      <c r="BC48" s="190">
        <v>128050.5</v>
      </c>
      <c r="BD48" s="190">
        <v>128050.5</v>
      </c>
      <c r="BE48" s="190">
        <v>150000</v>
      </c>
      <c r="BF48" s="190">
        <v>550000</v>
      </c>
      <c r="BG48" s="190">
        <v>0</v>
      </c>
      <c r="BH48" s="190">
        <v>0</v>
      </c>
      <c r="BI48" s="190">
        <v>0</v>
      </c>
      <c r="BJ48" s="190">
        <v>0</v>
      </c>
      <c r="BK48" s="190">
        <v>0</v>
      </c>
      <c r="BL48" s="190">
        <v>0</v>
      </c>
      <c r="BM48" s="190">
        <v>0</v>
      </c>
      <c r="BN48" s="190">
        <v>0</v>
      </c>
      <c r="BO48" s="190">
        <v>1246082.9099999999</v>
      </c>
      <c r="BP48" s="190">
        <v>7253712.29</v>
      </c>
      <c r="BQ48" s="190">
        <v>7107397.3200000003</v>
      </c>
      <c r="BR48" s="190">
        <v>8960785.4700000007</v>
      </c>
      <c r="BS48" s="190">
        <v>6635294.9000000004</v>
      </c>
      <c r="BT48" s="190">
        <v>10417998.289999999</v>
      </c>
      <c r="BU48" s="190">
        <v>31211387.960000001</v>
      </c>
      <c r="BV48" s="190">
        <v>15090711.880000001</v>
      </c>
      <c r="BW48" s="190">
        <v>1222584.1399999999</v>
      </c>
      <c r="BX48" s="190">
        <v>213307.7</v>
      </c>
      <c r="BY48" s="190">
        <v>427672.05</v>
      </c>
      <c r="BZ48" s="190">
        <v>0</v>
      </c>
      <c r="CA48" s="190">
        <v>411206.59</v>
      </c>
      <c r="CB48" s="190">
        <v>0</v>
      </c>
      <c r="CC48" s="190">
        <v>1263174.31</v>
      </c>
      <c r="CD48" s="190">
        <v>0</v>
      </c>
      <c r="CE48" s="190">
        <v>0</v>
      </c>
    </row>
    <row r="49" spans="1:83"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row>
    <row r="50" spans="1:83" x14ac:dyDescent="0.25">
      <c r="A50" s="190" t="s">
        <v>154</v>
      </c>
      <c r="B50" s="190">
        <v>264815584.19999999</v>
      </c>
      <c r="C50" s="190">
        <v>253022788.53999999</v>
      </c>
      <c r="D50" s="190">
        <v>252113725.90000001</v>
      </c>
      <c r="E50" s="190">
        <v>218283168</v>
      </c>
      <c r="F50" s="190">
        <v>335290227.25</v>
      </c>
      <c r="G50" s="190">
        <v>277338437.86000001</v>
      </c>
      <c r="H50" s="190">
        <v>270998878.67000002</v>
      </c>
      <c r="I50" s="190">
        <v>323628247.33999997</v>
      </c>
      <c r="J50" s="190">
        <v>361610766.88999999</v>
      </c>
      <c r="K50" s="190">
        <v>266328520.81</v>
      </c>
      <c r="L50" s="190">
        <v>264278190.87</v>
      </c>
      <c r="M50" s="190">
        <v>338716119.47000003</v>
      </c>
      <c r="N50" s="190">
        <v>393703027.25</v>
      </c>
      <c r="O50" s="190">
        <v>257210289.05000001</v>
      </c>
      <c r="P50" s="190">
        <v>251709425.15000001</v>
      </c>
      <c r="Q50" s="190">
        <v>360311131.56999999</v>
      </c>
      <c r="R50" s="190">
        <v>255014080.25999999</v>
      </c>
      <c r="S50" s="190">
        <v>231378734.59999999</v>
      </c>
      <c r="T50" s="190">
        <v>289124384.01999998</v>
      </c>
      <c r="U50" s="190">
        <v>408798978.33999997</v>
      </c>
      <c r="V50" s="190">
        <v>513769556.79000002</v>
      </c>
      <c r="W50" s="190">
        <v>412458334</v>
      </c>
      <c r="X50" s="190">
        <v>302919936.20999998</v>
      </c>
      <c r="Y50" s="190">
        <v>408295434.36000001</v>
      </c>
      <c r="Z50" s="190">
        <v>348967828.25</v>
      </c>
      <c r="AA50" s="190">
        <v>202945834.63999999</v>
      </c>
      <c r="AB50" s="190">
        <v>249541165.88999999</v>
      </c>
      <c r="AC50" s="190">
        <v>366212355.73000002</v>
      </c>
      <c r="AD50" s="190">
        <v>411224249.38999999</v>
      </c>
      <c r="AE50" s="190">
        <v>307664620.55000001</v>
      </c>
      <c r="AF50" s="190">
        <v>341574045.29000002</v>
      </c>
      <c r="AG50" s="190">
        <v>419493170.67000002</v>
      </c>
      <c r="AH50" s="190">
        <v>358764402.70999998</v>
      </c>
      <c r="AI50" s="190">
        <v>281858948.37</v>
      </c>
      <c r="AJ50" s="190">
        <v>308491330.22000003</v>
      </c>
      <c r="AK50" s="190">
        <v>370911994.48000002</v>
      </c>
      <c r="AL50" s="190">
        <v>161033684.97999999</v>
      </c>
      <c r="AM50" s="190">
        <v>165210788.28</v>
      </c>
      <c r="AN50" s="190">
        <v>161772118.81999999</v>
      </c>
      <c r="AO50" s="190">
        <v>166111725.34</v>
      </c>
      <c r="AP50" s="190">
        <v>150592414.03999999</v>
      </c>
      <c r="AQ50" s="190">
        <v>155854744.5</v>
      </c>
      <c r="AR50" s="190">
        <v>175641075.49000001</v>
      </c>
      <c r="AS50" s="190">
        <v>167274087.40000001</v>
      </c>
      <c r="AT50" s="190">
        <v>106125067.41</v>
      </c>
      <c r="AU50" s="190">
        <v>119158408.98</v>
      </c>
      <c r="AV50" s="190">
        <v>111186149.34999999</v>
      </c>
      <c r="AW50" s="190">
        <v>56004201.539999999</v>
      </c>
      <c r="AX50" s="190">
        <v>18865957.07</v>
      </c>
      <c r="AY50" s="190">
        <v>17476906.030000001</v>
      </c>
      <c r="AZ50" s="190">
        <v>19462133.079999998</v>
      </c>
      <c r="BA50" s="190">
        <v>19642583.260000002</v>
      </c>
      <c r="BB50" s="190">
        <v>5942786.7999999998</v>
      </c>
      <c r="BC50" s="190">
        <v>5435725.6799999997</v>
      </c>
      <c r="BD50" s="190">
        <v>21301586.149999999</v>
      </c>
      <c r="BE50" s="190">
        <v>19799000.949999999</v>
      </c>
      <c r="BF50" s="190">
        <v>33880981.119999997</v>
      </c>
      <c r="BG50" s="190">
        <v>45138003.049999997</v>
      </c>
      <c r="BH50" s="190">
        <v>42894484.060000002</v>
      </c>
      <c r="BI50" s="190">
        <v>40367721.539999999</v>
      </c>
      <c r="BJ50" s="190">
        <v>31237189.489999998</v>
      </c>
      <c r="BK50" s="190">
        <v>37162959.950000003</v>
      </c>
      <c r="BL50" s="190">
        <v>31300184.66</v>
      </c>
      <c r="BM50" s="190">
        <v>28599949.079999998</v>
      </c>
      <c r="BN50" s="190">
        <v>4477913.4000000004</v>
      </c>
      <c r="BO50" s="190">
        <v>3680735.79</v>
      </c>
      <c r="BP50" s="190">
        <v>1121674.31</v>
      </c>
      <c r="BQ50" s="190">
        <v>-611306.27</v>
      </c>
      <c r="BR50" s="190">
        <v>5290487.5199999996</v>
      </c>
      <c r="BS50" s="190">
        <v>723518.05</v>
      </c>
      <c r="BT50" s="190">
        <v>6294122.3399999999</v>
      </c>
      <c r="BU50" s="190">
        <v>7076758.9500000002</v>
      </c>
      <c r="BV50" s="190">
        <v>9344688.4299999997</v>
      </c>
      <c r="BW50" s="190">
        <v>5035620.3099999996</v>
      </c>
      <c r="BX50" s="190">
        <v>7893318.4100000001</v>
      </c>
      <c r="BY50" s="190">
        <v>873888.98</v>
      </c>
      <c r="BZ50" s="190">
        <v>0</v>
      </c>
      <c r="CA50" s="190">
        <v>488841.2</v>
      </c>
      <c r="CB50" s="190">
        <v>0</v>
      </c>
      <c r="CC50" s="190">
        <v>802462.19</v>
      </c>
      <c r="CD50" s="190">
        <v>231156.37</v>
      </c>
      <c r="CE50" s="190">
        <v>0</v>
      </c>
    </row>
    <row r="51" spans="1:83" x14ac:dyDescent="0.25">
      <c r="A51" s="190" t="s">
        <v>155</v>
      </c>
      <c r="B51" s="190">
        <v>1264258139.3299999</v>
      </c>
      <c r="C51" s="190">
        <v>570479991.62</v>
      </c>
      <c r="D51" s="190">
        <v>796545970.76999998</v>
      </c>
      <c r="E51" s="190">
        <v>732576980.55999994</v>
      </c>
      <c r="F51" s="190">
        <v>1161283819.6400001</v>
      </c>
      <c r="G51" s="190">
        <v>614639419.71000004</v>
      </c>
      <c r="H51" s="190">
        <v>875143817.28999996</v>
      </c>
      <c r="I51" s="190">
        <v>730010418.39999998</v>
      </c>
      <c r="J51" s="190">
        <v>163878314.91999999</v>
      </c>
      <c r="K51" s="190">
        <v>-307084003.41000003</v>
      </c>
      <c r="L51" s="190">
        <v>-48394197.509999998</v>
      </c>
      <c r="M51" s="190">
        <v>-415875204.88</v>
      </c>
      <c r="N51" s="190">
        <v>600373800.90999997</v>
      </c>
      <c r="O51" s="190">
        <v>342023754.52999997</v>
      </c>
      <c r="P51" s="190">
        <v>442104369.77999997</v>
      </c>
      <c r="Q51" s="190">
        <v>91499041.709999993</v>
      </c>
      <c r="R51" s="190">
        <v>745444036.48000002</v>
      </c>
      <c r="S51" s="190">
        <v>-33880452.479999997</v>
      </c>
      <c r="T51" s="190">
        <v>-133104783.17</v>
      </c>
      <c r="U51" s="190">
        <v>-430488676.92000002</v>
      </c>
      <c r="V51" s="190">
        <v>-240617880.21000001</v>
      </c>
      <c r="W51" s="190">
        <v>-714520192.83000004</v>
      </c>
      <c r="X51" s="190">
        <v>-863711273.17999995</v>
      </c>
      <c r="Y51" s="190">
        <v>-879649134.24000001</v>
      </c>
      <c r="Z51" s="190">
        <v>-576446215.38999999</v>
      </c>
      <c r="AA51" s="190">
        <v>-755287581.53999996</v>
      </c>
      <c r="AB51" s="190">
        <v>-582440377.12</v>
      </c>
      <c r="AC51" s="190">
        <v>-573203957.73000002</v>
      </c>
      <c r="AD51" s="190">
        <v>-210146127.58000001</v>
      </c>
      <c r="AE51" s="190">
        <v>-319435059.31999999</v>
      </c>
      <c r="AF51" s="190">
        <v>-393548246.88999999</v>
      </c>
      <c r="AG51" s="190">
        <v>-296615471.44</v>
      </c>
      <c r="AH51" s="190">
        <v>-104902913.58</v>
      </c>
      <c r="AI51" s="190">
        <v>-395248716.58999997</v>
      </c>
      <c r="AJ51" s="190">
        <v>-410459029.50999999</v>
      </c>
      <c r="AK51" s="190">
        <v>-232776642.38</v>
      </c>
      <c r="AL51" s="190">
        <v>-46025544.450000003</v>
      </c>
      <c r="AM51" s="190">
        <v>52054594.899999999</v>
      </c>
      <c r="AN51" s="190">
        <v>154178475.77000001</v>
      </c>
      <c r="AO51" s="190">
        <v>116157318.19</v>
      </c>
      <c r="AP51" s="190">
        <v>123045764.03</v>
      </c>
      <c r="AQ51" s="190">
        <v>96720312.120000005</v>
      </c>
      <c r="AR51" s="190">
        <v>110851735.3</v>
      </c>
      <c r="AS51" s="190">
        <v>127506845.31</v>
      </c>
      <c r="AT51" s="190">
        <v>101417404.02</v>
      </c>
      <c r="AU51" s="190">
        <v>141977490.16999999</v>
      </c>
      <c r="AV51" s="190">
        <v>140961355.77000001</v>
      </c>
      <c r="AW51" s="190">
        <v>100605162.56</v>
      </c>
      <c r="AX51" s="190">
        <v>62542334.719999999</v>
      </c>
      <c r="AY51" s="190">
        <v>54443395.609999999</v>
      </c>
      <c r="AZ51" s="190">
        <v>50436913.640000001</v>
      </c>
      <c r="BA51" s="190">
        <v>53609274.859999999</v>
      </c>
      <c r="BB51" s="190">
        <v>51460884.100000001</v>
      </c>
      <c r="BC51" s="190">
        <v>44691849.630000003</v>
      </c>
      <c r="BD51" s="190">
        <v>59894699.829999998</v>
      </c>
      <c r="BE51" s="190">
        <v>61305079.479999997</v>
      </c>
      <c r="BF51" s="190">
        <v>55742490.020000003</v>
      </c>
      <c r="BG51" s="190">
        <v>71819109.140000001</v>
      </c>
      <c r="BH51" s="190">
        <v>45038395.600000001</v>
      </c>
      <c r="BI51" s="190">
        <v>38630706.219999999</v>
      </c>
      <c r="BJ51" s="190">
        <v>40240899.280000001</v>
      </c>
      <c r="BK51" s="190">
        <v>48927059.609999999</v>
      </c>
      <c r="BL51" s="190">
        <v>39477814.079999998</v>
      </c>
      <c r="BM51" s="190">
        <v>55080732.950000003</v>
      </c>
      <c r="BN51" s="190">
        <v>23422419.559999999</v>
      </c>
      <c r="BO51" s="190">
        <v>4653050.76</v>
      </c>
      <c r="BP51" s="190">
        <v>17650708.039999999</v>
      </c>
      <c r="BQ51" s="190">
        <v>8869749.7799999993</v>
      </c>
      <c r="BR51" s="190">
        <v>-13831713.890000001</v>
      </c>
      <c r="BS51" s="190">
        <v>33845948.07</v>
      </c>
      <c r="BT51" s="190">
        <v>23920198</v>
      </c>
      <c r="BU51" s="190">
        <v>35937846.100000001</v>
      </c>
      <c r="BV51" s="190">
        <v>-10478019.199999999</v>
      </c>
      <c r="BW51" s="190">
        <v>33020231.739999998</v>
      </c>
      <c r="BX51" s="190">
        <v>92521674.239999995</v>
      </c>
      <c r="BY51" s="190">
        <v>35698051.340000004</v>
      </c>
      <c r="BZ51" s="190">
        <v>0</v>
      </c>
      <c r="CA51" s="190">
        <v>72137299.840000004</v>
      </c>
      <c r="CB51" s="190">
        <v>0</v>
      </c>
      <c r="CC51" s="190">
        <v>27067111.02</v>
      </c>
      <c r="CD51" s="190">
        <v>14438170.33</v>
      </c>
      <c r="CE51" s="190">
        <v>0</v>
      </c>
    </row>
    <row r="52" spans="1:83" x14ac:dyDescent="0.25">
      <c r="A52" s="190" t="s">
        <v>156</v>
      </c>
      <c r="B52" s="190">
        <v>561827763.47000003</v>
      </c>
      <c r="C52" s="190">
        <v>543657475.20000005</v>
      </c>
      <c r="D52" s="190">
        <v>521986544.94</v>
      </c>
      <c r="E52" s="190">
        <v>547193421.73000002</v>
      </c>
      <c r="F52" s="190">
        <v>498649551.37</v>
      </c>
      <c r="G52" s="190">
        <v>523216022.29000002</v>
      </c>
      <c r="H52" s="190">
        <v>505349306.13999999</v>
      </c>
      <c r="I52" s="190">
        <v>546556001.24000001</v>
      </c>
      <c r="J52" s="190">
        <v>568906811.58000004</v>
      </c>
      <c r="K52" s="190">
        <v>491858735.13</v>
      </c>
      <c r="L52" s="190">
        <v>470856423.44</v>
      </c>
      <c r="M52" s="190">
        <v>515269996.10000002</v>
      </c>
      <c r="N52" s="190">
        <v>589604349.63999999</v>
      </c>
      <c r="O52" s="190">
        <v>753901825.37</v>
      </c>
      <c r="P52" s="190">
        <v>683348751.82000005</v>
      </c>
      <c r="Q52" s="190">
        <v>721341641.86000001</v>
      </c>
      <c r="R52" s="190">
        <v>734369709.38999999</v>
      </c>
      <c r="S52" s="190">
        <v>684458405.54999995</v>
      </c>
      <c r="T52" s="190">
        <v>670958104.64999998</v>
      </c>
      <c r="U52" s="190">
        <v>542220194.88999999</v>
      </c>
      <c r="V52" s="190">
        <v>601101575.14999998</v>
      </c>
      <c r="W52" s="190">
        <v>462651496.30000001</v>
      </c>
      <c r="X52" s="190">
        <v>502575426.82999998</v>
      </c>
      <c r="Y52" s="190">
        <v>456973115.51999998</v>
      </c>
      <c r="Z52" s="190">
        <v>403274000.18000001</v>
      </c>
      <c r="AA52" s="190">
        <v>288338753.61000001</v>
      </c>
      <c r="AB52" s="190">
        <v>283853133.02999997</v>
      </c>
      <c r="AC52" s="190">
        <v>215243421.41999999</v>
      </c>
      <c r="AD52" s="190">
        <v>144628877.05000001</v>
      </c>
      <c r="AE52" s="190">
        <v>148631837.62</v>
      </c>
      <c r="AF52" s="190">
        <v>179173918.36000001</v>
      </c>
      <c r="AG52" s="190">
        <v>145257282.15000001</v>
      </c>
      <c r="AH52" s="190">
        <v>117748762.08</v>
      </c>
      <c r="AI52" s="190">
        <v>123287054.05</v>
      </c>
      <c r="AJ52" s="190">
        <v>127266835.53</v>
      </c>
      <c r="AK52" s="190">
        <v>112878394.56999999</v>
      </c>
      <c r="AL52" s="190">
        <v>12872447.6</v>
      </c>
      <c r="AM52" s="190">
        <v>10215730.93</v>
      </c>
      <c r="AN52" s="190">
        <v>12166271.050000001</v>
      </c>
      <c r="AO52" s="190">
        <v>16700877.960000001</v>
      </c>
      <c r="AP52" s="190">
        <v>10686271.640000001</v>
      </c>
      <c r="AQ52" s="190">
        <v>13643759.439999999</v>
      </c>
      <c r="AR52" s="190">
        <v>14061090.66</v>
      </c>
      <c r="AS52" s="190">
        <v>16529830.199999999</v>
      </c>
      <c r="AT52" s="190">
        <v>37592517.210000001</v>
      </c>
      <c r="AU52" s="190">
        <v>10055255.49</v>
      </c>
      <c r="AV52" s="190">
        <v>10781416.24</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c r="CE52" s="190">
        <v>0</v>
      </c>
    </row>
    <row r="53" spans="1:83" x14ac:dyDescent="0.25">
      <c r="A53" s="190" t="s">
        <v>157</v>
      </c>
      <c r="B53" s="190">
        <v>829576232.02999997</v>
      </c>
      <c r="C53" s="190">
        <v>1905011726.53</v>
      </c>
      <c r="D53" s="190">
        <v>1304276.28</v>
      </c>
      <c r="E53" s="190">
        <v>5166347.91</v>
      </c>
      <c r="F53" s="190">
        <v>32296291.800000001</v>
      </c>
      <c r="G53" s="190">
        <v>2030507796.2</v>
      </c>
      <c r="H53" s="190">
        <v>27121628.940000001</v>
      </c>
      <c r="I53" s="190">
        <v>168546628.94</v>
      </c>
      <c r="J53" s="190">
        <v>1180546011.3099999</v>
      </c>
      <c r="K53" s="190">
        <v>3225710217.73</v>
      </c>
      <c r="L53" s="190">
        <v>23920000</v>
      </c>
      <c r="M53" s="190">
        <v>142920000</v>
      </c>
      <c r="N53" s="190">
        <v>1031384852.35</v>
      </c>
      <c r="O53" s="190">
        <v>1991384852.3499999</v>
      </c>
      <c r="P53" s="190">
        <v>81039400</v>
      </c>
      <c r="Q53" s="190">
        <v>156832800</v>
      </c>
      <c r="R53" s="190">
        <v>57957710.259999998</v>
      </c>
      <c r="S53" s="190">
        <v>545138510.25999999</v>
      </c>
      <c r="T53" s="190">
        <v>23089200</v>
      </c>
      <c r="U53" s="190">
        <v>101749200</v>
      </c>
      <c r="V53" s="190">
        <v>50346849.149999999</v>
      </c>
      <c r="W53" s="190">
        <v>50346849.149999999</v>
      </c>
      <c r="X53" s="190">
        <v>247623500</v>
      </c>
      <c r="Y53" s="190">
        <v>477623500</v>
      </c>
      <c r="Z53" s="190">
        <v>364144377.01999998</v>
      </c>
      <c r="AA53" s="190">
        <v>364144377.01999998</v>
      </c>
      <c r="AB53" s="190">
        <v>334046500</v>
      </c>
      <c r="AC53" s="190">
        <v>374046500</v>
      </c>
      <c r="AD53" s="190">
        <v>259708200</v>
      </c>
      <c r="AE53" s="190">
        <v>259658200</v>
      </c>
      <c r="AF53" s="190">
        <v>112012000</v>
      </c>
      <c r="AG53" s="190">
        <v>112012000</v>
      </c>
      <c r="AH53" s="190">
        <v>112012000</v>
      </c>
      <c r="AI53" s="190">
        <v>112012000</v>
      </c>
      <c r="AJ53" s="190">
        <v>255797615.88999999</v>
      </c>
      <c r="AK53" s="190">
        <v>380148703.94999999</v>
      </c>
      <c r="AL53" s="190">
        <v>176163888.06</v>
      </c>
      <c r="AM53" s="190">
        <v>180466088.06</v>
      </c>
      <c r="AN53" s="190">
        <v>126808088.06</v>
      </c>
      <c r="AO53" s="190">
        <v>126808088.06</v>
      </c>
      <c r="AP53" s="190">
        <v>101538088.06</v>
      </c>
      <c r="AQ53" s="190">
        <v>101538088.06</v>
      </c>
      <c r="AR53" s="190">
        <v>101426088.06</v>
      </c>
      <c r="AS53" s="190">
        <v>101426088.06</v>
      </c>
      <c r="AT53" s="190">
        <v>132176088.06</v>
      </c>
      <c r="AU53" s="190">
        <v>162950088.06</v>
      </c>
      <c r="AV53" s="190">
        <v>157491298.96000001</v>
      </c>
      <c r="AW53" s="190">
        <v>182491298.96000001</v>
      </c>
      <c r="AX53" s="190">
        <v>42892902.969999999</v>
      </c>
      <c r="AY53" s="190">
        <v>67492902.969999999</v>
      </c>
      <c r="AZ53" s="190">
        <v>155091914.75999999</v>
      </c>
      <c r="BA53" s="190">
        <v>76690000</v>
      </c>
      <c r="BB53" s="190">
        <v>57144000</v>
      </c>
      <c r="BC53" s="190">
        <v>57144000</v>
      </c>
      <c r="BD53" s="190">
        <v>27144000</v>
      </c>
      <c r="BE53" s="190">
        <v>42544000</v>
      </c>
      <c r="BF53" s="190">
        <v>70494000</v>
      </c>
      <c r="BG53" s="190">
        <v>50494000</v>
      </c>
      <c r="BH53" s="190">
        <v>10250000</v>
      </c>
      <c r="BI53" s="190">
        <v>4250000</v>
      </c>
      <c r="BJ53" s="190">
        <v>0</v>
      </c>
      <c r="BK53" s="190">
        <v>5400000</v>
      </c>
      <c r="BL53" s="190">
        <v>42500000</v>
      </c>
      <c r="BM53" s="190">
        <v>0</v>
      </c>
      <c r="BN53" s="190">
        <v>0</v>
      </c>
      <c r="BO53" s="190">
        <v>0</v>
      </c>
      <c r="BP53" s="190">
        <v>0</v>
      </c>
      <c r="BQ53" s="190">
        <v>0</v>
      </c>
      <c r="BR53" s="190">
        <v>0</v>
      </c>
      <c r="BS53" s="190">
        <v>0</v>
      </c>
      <c r="BT53" s="190">
        <v>0</v>
      </c>
      <c r="BU53" s="190">
        <v>0</v>
      </c>
      <c r="BV53" s="190">
        <v>0</v>
      </c>
      <c r="BW53" s="190">
        <v>0</v>
      </c>
      <c r="BX53" s="190">
        <v>0</v>
      </c>
      <c r="BY53" s="190">
        <v>0</v>
      </c>
      <c r="BZ53" s="190">
        <v>0</v>
      </c>
      <c r="CA53" s="190">
        <v>0</v>
      </c>
      <c r="CB53" s="190">
        <v>0</v>
      </c>
      <c r="CC53" s="190">
        <v>47333882.200000003</v>
      </c>
      <c r="CD53" s="190">
        <v>391690.49</v>
      </c>
      <c r="CE53" s="190">
        <v>0</v>
      </c>
    </row>
    <row r="54" spans="1:83" x14ac:dyDescent="0.25">
      <c r="A54" s="190" t="s">
        <v>158</v>
      </c>
      <c r="B54" s="190">
        <v>6198086988.96</v>
      </c>
      <c r="C54" s="190">
        <v>5080333509.1499996</v>
      </c>
      <c r="D54" s="190">
        <v>5759069663.6300001</v>
      </c>
      <c r="E54" s="190">
        <v>6366017656.7600002</v>
      </c>
      <c r="F54" s="190">
        <v>7017708813.4200001</v>
      </c>
      <c r="G54" s="190">
        <v>6181016850.46</v>
      </c>
      <c r="H54" s="190">
        <v>6319909860.1700001</v>
      </c>
      <c r="I54" s="190">
        <v>6958764222.8599997</v>
      </c>
      <c r="J54" s="190">
        <v>7478498150.3500004</v>
      </c>
      <c r="K54" s="190">
        <v>6271704041.6800003</v>
      </c>
      <c r="L54" s="190">
        <v>6153350454.5299997</v>
      </c>
      <c r="M54" s="190">
        <v>6965212099.4799995</v>
      </c>
      <c r="N54" s="190">
        <v>6387657825.5</v>
      </c>
      <c r="O54" s="190">
        <v>6454219433</v>
      </c>
      <c r="P54" s="190">
        <v>6394587115.1700001</v>
      </c>
      <c r="Q54" s="190">
        <v>7300081162.9300003</v>
      </c>
      <c r="R54" s="190">
        <v>7995786144.0799999</v>
      </c>
      <c r="S54" s="190">
        <v>6287076272.8999996</v>
      </c>
      <c r="T54" s="190">
        <v>5200027638.4099998</v>
      </c>
      <c r="U54" s="190">
        <v>7079989023.8699999</v>
      </c>
      <c r="V54" s="190">
        <v>7092103864.0100002</v>
      </c>
      <c r="W54" s="190">
        <v>6045386956.1199999</v>
      </c>
      <c r="X54" s="190">
        <v>5816177169.0100002</v>
      </c>
      <c r="Y54" s="190">
        <v>5656557788.1099997</v>
      </c>
      <c r="Z54" s="190">
        <v>3791352494.3000002</v>
      </c>
      <c r="AA54" s="190">
        <v>4169404423.5100002</v>
      </c>
      <c r="AB54" s="190">
        <v>3455015381.6100001</v>
      </c>
      <c r="AC54" s="190">
        <v>4406190929.9799995</v>
      </c>
      <c r="AD54" s="190">
        <v>6586632609.2600002</v>
      </c>
      <c r="AE54" s="190">
        <v>5072082304.5299997</v>
      </c>
      <c r="AF54" s="190">
        <v>5009079266.3999996</v>
      </c>
      <c r="AG54" s="190">
        <v>5264530980.6499996</v>
      </c>
      <c r="AH54" s="190">
        <v>3810749529.5900002</v>
      </c>
      <c r="AI54" s="190">
        <v>3898577252.9099998</v>
      </c>
      <c r="AJ54" s="190">
        <v>3632895481.75</v>
      </c>
      <c r="AK54" s="190">
        <v>4024383989.0799999</v>
      </c>
      <c r="AL54" s="190">
        <v>178796179.93000001</v>
      </c>
      <c r="AM54" s="190">
        <v>292311954.06999999</v>
      </c>
      <c r="AN54" s="190">
        <v>181505296.84</v>
      </c>
      <c r="AO54" s="190">
        <v>206918024.5</v>
      </c>
      <c r="AP54" s="190">
        <v>223400434.53999999</v>
      </c>
      <c r="AQ54" s="190">
        <v>201578617.41999999</v>
      </c>
      <c r="AR54" s="190">
        <v>201583481.80000001</v>
      </c>
      <c r="AS54" s="190">
        <v>173426060.87</v>
      </c>
      <c r="AT54" s="190">
        <v>667580422.05999994</v>
      </c>
      <c r="AU54" s="190">
        <v>942234250.73000002</v>
      </c>
      <c r="AV54" s="190">
        <v>825955282.44000006</v>
      </c>
      <c r="AW54" s="190">
        <v>1076426672.05</v>
      </c>
      <c r="AX54" s="190">
        <v>489316324.33999997</v>
      </c>
      <c r="AY54" s="190">
        <v>400283790.25</v>
      </c>
      <c r="AZ54" s="190">
        <v>374107872.19999999</v>
      </c>
      <c r="BA54" s="190">
        <v>167935334.75999999</v>
      </c>
      <c r="BB54" s="190">
        <v>197394281</v>
      </c>
      <c r="BC54" s="190">
        <v>161855025.75</v>
      </c>
      <c r="BD54" s="190">
        <v>140991961.52000001</v>
      </c>
      <c r="BE54" s="190">
        <v>162440047.61000001</v>
      </c>
      <c r="BF54" s="190">
        <v>357616582.74000001</v>
      </c>
      <c r="BG54" s="190">
        <v>350415935.23000002</v>
      </c>
      <c r="BH54" s="190">
        <v>75500912.819999993</v>
      </c>
      <c r="BI54" s="190">
        <v>85585024.459999993</v>
      </c>
      <c r="BJ54" s="190">
        <v>82269647.370000005</v>
      </c>
      <c r="BK54" s="190">
        <v>70249619.200000003</v>
      </c>
      <c r="BL54" s="190">
        <v>159636051.66999999</v>
      </c>
      <c r="BM54" s="190">
        <v>122594290.53</v>
      </c>
      <c r="BN54" s="190">
        <v>2847687.94</v>
      </c>
      <c r="BO54" s="190">
        <v>1910584.68</v>
      </c>
      <c r="BP54" s="190">
        <v>4556720.6900000004</v>
      </c>
      <c r="BQ54" s="190">
        <v>3331056.25</v>
      </c>
      <c r="BR54" s="190">
        <v>8535167.9900000002</v>
      </c>
      <c r="BS54" s="190">
        <v>8645694.9199999999</v>
      </c>
      <c r="BT54" s="190">
        <v>6077485.46</v>
      </c>
      <c r="BU54" s="190">
        <v>7609750.4500000002</v>
      </c>
      <c r="BV54" s="190">
        <v>5266452.96</v>
      </c>
      <c r="BW54" s="190">
        <v>1943475.76</v>
      </c>
      <c r="BX54" s="190">
        <v>2480998.67</v>
      </c>
      <c r="BY54" s="190">
        <v>5842203.2199999997</v>
      </c>
      <c r="BZ54" s="190">
        <v>0</v>
      </c>
      <c r="CA54" s="190">
        <v>4664413.96</v>
      </c>
      <c r="CB54" s="190">
        <v>0</v>
      </c>
      <c r="CC54" s="190">
        <v>5377872.3700000001</v>
      </c>
      <c r="CD54" s="190">
        <v>1801671.96</v>
      </c>
      <c r="CE54" s="190">
        <v>0</v>
      </c>
    </row>
    <row r="55" spans="1:83"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35964330.439999998</v>
      </c>
      <c r="AX55" s="190">
        <v>39765373.369999997</v>
      </c>
      <c r="AY55" s="190">
        <v>34850002.219999999</v>
      </c>
      <c r="AZ55" s="190">
        <v>34515865.390000001</v>
      </c>
      <c r="BA55" s="190">
        <v>6192441.8300000001</v>
      </c>
      <c r="BB55" s="190">
        <v>46757911.289999999</v>
      </c>
      <c r="BC55" s="190">
        <v>31135295.149999999</v>
      </c>
      <c r="BD55" s="190">
        <v>13745897.9</v>
      </c>
      <c r="BE55" s="190">
        <v>11374835.279999999</v>
      </c>
      <c r="BF55" s="190">
        <v>78138110.730000004</v>
      </c>
      <c r="BG55" s="190">
        <v>72817071.510000005</v>
      </c>
      <c r="BH55" s="190">
        <v>37408799.899999999</v>
      </c>
      <c r="BI55" s="190">
        <v>28505276.800000001</v>
      </c>
      <c r="BJ55" s="190">
        <v>65897209.25</v>
      </c>
      <c r="BK55" s="190">
        <v>54954275.009999998</v>
      </c>
      <c r="BL55" s="190">
        <v>54928769.979999997</v>
      </c>
      <c r="BM55" s="190">
        <v>30753498.91</v>
      </c>
      <c r="BN55" s="190">
        <v>0</v>
      </c>
      <c r="BO55" s="190">
        <v>0</v>
      </c>
      <c r="BP55" s="190">
        <v>0</v>
      </c>
      <c r="BQ55" s="190">
        <v>0</v>
      </c>
      <c r="BR55" s="190">
        <v>633643.56999999995</v>
      </c>
      <c r="BS55" s="190">
        <v>0</v>
      </c>
      <c r="BT55" s="190">
        <v>21662684.780000001</v>
      </c>
      <c r="BU55" s="190">
        <v>761206.4</v>
      </c>
      <c r="BV55" s="190">
        <v>598445.19999999995</v>
      </c>
      <c r="BW55" s="190">
        <v>793163.4</v>
      </c>
      <c r="BX55" s="190">
        <v>3191104.93</v>
      </c>
      <c r="BY55" s="190">
        <v>3217104.93</v>
      </c>
      <c r="BZ55" s="190">
        <v>0</v>
      </c>
      <c r="CA55" s="190">
        <v>0</v>
      </c>
      <c r="CB55" s="190">
        <v>0</v>
      </c>
      <c r="CC55" s="190">
        <v>0</v>
      </c>
      <c r="CD55" s="190">
        <v>155211.25</v>
      </c>
      <c r="CE55" s="190">
        <v>0</v>
      </c>
    </row>
    <row r="56" spans="1:83"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123905831.01000001</v>
      </c>
      <c r="AJ56" s="190">
        <v>0</v>
      </c>
      <c r="AK56" s="190">
        <v>0</v>
      </c>
      <c r="AL56" s="190">
        <v>123916029.47</v>
      </c>
      <c r="AM56" s="190">
        <v>129375308</v>
      </c>
      <c r="AN56" s="190">
        <v>0</v>
      </c>
      <c r="AO56" s="190">
        <v>125259444.44</v>
      </c>
      <c r="AP56" s="190">
        <v>97126154.189999998</v>
      </c>
      <c r="AQ56" s="190">
        <v>96789053.069999993</v>
      </c>
      <c r="AR56" s="190">
        <v>98474774.069999993</v>
      </c>
      <c r="AS56" s="190">
        <v>106065995.06999999</v>
      </c>
      <c r="AT56" s="190">
        <v>0</v>
      </c>
      <c r="AU56" s="190">
        <v>0</v>
      </c>
      <c r="AV56" s="190">
        <v>0</v>
      </c>
      <c r="AW56" s="190">
        <v>0</v>
      </c>
      <c r="AX56" s="190">
        <v>65996442.850000001</v>
      </c>
      <c r="AY56" s="190">
        <v>0</v>
      </c>
      <c r="AZ56" s="190">
        <v>0</v>
      </c>
      <c r="BA56" s="190">
        <v>0</v>
      </c>
      <c r="BB56" s="190">
        <v>92120654.5</v>
      </c>
      <c r="BC56" s="190">
        <v>88475295.620000005</v>
      </c>
      <c r="BD56" s="190">
        <v>88459363.760000005</v>
      </c>
      <c r="BE56" s="190">
        <v>0</v>
      </c>
      <c r="BF56" s="190">
        <v>0</v>
      </c>
      <c r="BG56" s="190">
        <v>137065082.47</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row>
    <row r="57" spans="1:83"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row>
    <row r="58" spans="1:83" x14ac:dyDescent="0.25">
      <c r="A58" s="190" t="s">
        <v>162</v>
      </c>
      <c r="B58" s="190">
        <v>12814722193.059999</v>
      </c>
      <c r="C58" s="190">
        <v>15165390878.24</v>
      </c>
      <c r="D58" s="190">
        <v>13156865648.57</v>
      </c>
      <c r="E58" s="190">
        <v>13982335372.85</v>
      </c>
      <c r="F58" s="190">
        <v>10780469956.879999</v>
      </c>
      <c r="G58" s="190">
        <v>10234030300.49</v>
      </c>
      <c r="H58" s="190">
        <v>9183415692.7000008</v>
      </c>
      <c r="I58" s="190">
        <v>8677076281.2000008</v>
      </c>
      <c r="J58" s="190">
        <v>6859191572.3500004</v>
      </c>
      <c r="K58" s="190">
        <v>6848785939.6599998</v>
      </c>
      <c r="L58" s="190">
        <v>8972891985.7099991</v>
      </c>
      <c r="M58" s="190">
        <v>11081202105.790001</v>
      </c>
      <c r="N58" s="190">
        <v>11160967540.280001</v>
      </c>
      <c r="O58" s="190">
        <v>11726723028.120001</v>
      </c>
      <c r="P58" s="190">
        <v>12752497691.780001</v>
      </c>
      <c r="Q58" s="190">
        <v>12324182271.65</v>
      </c>
      <c r="R58" s="190">
        <v>10311858761.389999</v>
      </c>
      <c r="S58" s="190">
        <v>7579410927.4200001</v>
      </c>
      <c r="T58" s="190">
        <v>5228408795.0100002</v>
      </c>
      <c r="U58" s="190">
        <v>5435253769.4200001</v>
      </c>
      <c r="V58" s="190">
        <v>3903478699.6399999</v>
      </c>
      <c r="W58" s="190">
        <v>7008794042.7299995</v>
      </c>
      <c r="X58" s="190">
        <v>6623805678.3800001</v>
      </c>
      <c r="Y58" s="190">
        <v>10454638109.790001</v>
      </c>
      <c r="Z58" s="190">
        <v>6717544676.0699997</v>
      </c>
      <c r="AA58" s="190">
        <v>8007226217.8999996</v>
      </c>
      <c r="AB58" s="190">
        <v>8315512891.2600002</v>
      </c>
      <c r="AC58" s="190">
        <v>6188012891.2600002</v>
      </c>
      <c r="AD58" s="190">
        <v>5259235830.8900003</v>
      </c>
      <c r="AE58" s="190">
        <v>3140896908.1900001</v>
      </c>
      <c r="AF58" s="190">
        <v>2619122666.1799998</v>
      </c>
      <c r="AG58" s="190">
        <v>3343767666.1799998</v>
      </c>
      <c r="AH58" s="190">
        <v>2868473003.0500002</v>
      </c>
      <c r="AI58" s="190">
        <v>2886914407.5300002</v>
      </c>
      <c r="AJ58" s="190">
        <v>2736875062.8800001</v>
      </c>
      <c r="AK58" s="190">
        <v>3342403837.46</v>
      </c>
      <c r="AL58" s="190">
        <v>315000000</v>
      </c>
      <c r="AM58" s="190">
        <v>541000000</v>
      </c>
      <c r="AN58" s="190">
        <v>625000000</v>
      </c>
      <c r="AO58" s="190">
        <v>803000000</v>
      </c>
      <c r="AP58" s="190">
        <v>253500000</v>
      </c>
      <c r="AQ58" s="190">
        <v>448500000</v>
      </c>
      <c r="AR58" s="190">
        <v>650000000</v>
      </c>
      <c r="AS58" s="190">
        <v>839020000</v>
      </c>
      <c r="AT58" s="190">
        <v>206000000</v>
      </c>
      <c r="AU58" s="190">
        <v>373500000</v>
      </c>
      <c r="AV58" s="190">
        <v>538000000</v>
      </c>
      <c r="AW58" s="190">
        <v>633000000</v>
      </c>
      <c r="AX58" s="190">
        <v>210550000</v>
      </c>
      <c r="AY58" s="190">
        <v>310550000</v>
      </c>
      <c r="AZ58" s="190">
        <v>678860000</v>
      </c>
      <c r="BA58" s="190">
        <v>710860000</v>
      </c>
      <c r="BB58" s="190">
        <v>482985632.75999999</v>
      </c>
      <c r="BC58" s="190">
        <v>617985632.75999999</v>
      </c>
      <c r="BD58" s="190">
        <v>721946047.75999999</v>
      </c>
      <c r="BE58" s="190">
        <v>741946047.75999999</v>
      </c>
      <c r="BF58" s="190">
        <v>539711278</v>
      </c>
      <c r="BG58" s="190">
        <v>552211278</v>
      </c>
      <c r="BH58" s="190">
        <v>161120000</v>
      </c>
      <c r="BI58" s="190">
        <v>415991700</v>
      </c>
      <c r="BJ58" s="190">
        <v>60350000</v>
      </c>
      <c r="BK58" s="190">
        <v>242581028</v>
      </c>
      <c r="BL58" s="190">
        <v>195350000</v>
      </c>
      <c r="BM58" s="190">
        <v>484052012</v>
      </c>
      <c r="BN58" s="190">
        <v>0</v>
      </c>
      <c r="BO58" s="190">
        <v>0</v>
      </c>
      <c r="BP58" s="190">
        <v>0</v>
      </c>
      <c r="BQ58" s="190">
        <v>0</v>
      </c>
      <c r="BR58" s="190">
        <v>0</v>
      </c>
      <c r="BS58" s="190">
        <v>0</v>
      </c>
      <c r="BT58" s="190">
        <v>0</v>
      </c>
      <c r="BU58" s="190">
        <v>0</v>
      </c>
      <c r="BV58" s="190">
        <v>0</v>
      </c>
      <c r="BW58" s="190">
        <v>0</v>
      </c>
      <c r="BX58" s="190">
        <v>0</v>
      </c>
      <c r="BY58" s="190">
        <v>0</v>
      </c>
      <c r="BZ58" s="190">
        <v>0</v>
      </c>
      <c r="CA58" s="190">
        <v>0</v>
      </c>
      <c r="CB58" s="190">
        <v>0</v>
      </c>
      <c r="CC58" s="190">
        <v>0</v>
      </c>
      <c r="CD58" s="190">
        <v>0</v>
      </c>
      <c r="CE58" s="190">
        <v>0</v>
      </c>
    </row>
    <row r="59" spans="1:83" x14ac:dyDescent="0.25">
      <c r="A59" s="190" t="s">
        <v>163</v>
      </c>
      <c r="B59" s="190">
        <v>1023311998.9400001</v>
      </c>
      <c r="C59" s="190">
        <v>1223015743.54</v>
      </c>
      <c r="D59" s="190">
        <v>1228957031.8499999</v>
      </c>
      <c r="E59" s="190">
        <v>1225202043.22</v>
      </c>
      <c r="F59" s="190">
        <v>1222771561</v>
      </c>
      <c r="G59" s="190">
        <v>2022703488.77</v>
      </c>
      <c r="H59" s="190">
        <v>3521813465.77</v>
      </c>
      <c r="I59" s="190">
        <v>4522234133.7700005</v>
      </c>
      <c r="J59" s="190">
        <v>5518187171.6400003</v>
      </c>
      <c r="K59" s="190">
        <v>4019452460.9299998</v>
      </c>
      <c r="L59" s="190">
        <v>4019102383.3499999</v>
      </c>
      <c r="M59" s="190">
        <v>3519102383.3499999</v>
      </c>
      <c r="N59" s="190">
        <v>3517526871.4299998</v>
      </c>
      <c r="O59" s="190">
        <v>3517526871.4299998</v>
      </c>
      <c r="P59" s="190">
        <v>2017414571.9400001</v>
      </c>
      <c r="Q59" s="190">
        <v>2017418738.9400001</v>
      </c>
      <c r="R59" s="190">
        <v>2012795157.96</v>
      </c>
      <c r="S59" s="190">
        <v>12795157.960000001</v>
      </c>
      <c r="T59" s="190">
        <v>14403602.85</v>
      </c>
      <c r="U59" s="190">
        <v>1514403602.8499999</v>
      </c>
      <c r="V59" s="190">
        <v>2711601166.6500001</v>
      </c>
      <c r="W59" s="190">
        <v>2711601166.6500001</v>
      </c>
      <c r="X59" s="190">
        <v>4212407347.0900002</v>
      </c>
      <c r="Y59" s="190">
        <v>4212415680.4299998</v>
      </c>
      <c r="Z59" s="190">
        <v>10808479.4</v>
      </c>
      <c r="AA59" s="190">
        <v>10408479.4</v>
      </c>
      <c r="AB59" s="190">
        <v>10408479.4</v>
      </c>
      <c r="AC59" s="190">
        <v>10808479.4</v>
      </c>
      <c r="AD59" s="190">
        <v>10408479.4</v>
      </c>
      <c r="AE59" s="190">
        <v>11008479.4</v>
      </c>
      <c r="AF59" s="190">
        <v>11008479.4</v>
      </c>
      <c r="AG59" s="190">
        <v>11008479.4</v>
      </c>
      <c r="AH59" s="190">
        <v>126175676.42</v>
      </c>
      <c r="AI59" s="190">
        <v>0</v>
      </c>
      <c r="AJ59" s="190">
        <v>122982096.70999999</v>
      </c>
      <c r="AK59" s="190">
        <v>125458362.41</v>
      </c>
      <c r="AL59" s="190">
        <v>0</v>
      </c>
      <c r="AM59" s="190">
        <v>0</v>
      </c>
      <c r="AN59" s="190">
        <v>128894048.92</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row>
    <row r="60" spans="1:83" x14ac:dyDescent="0.25">
      <c r="A60" s="190" t="s">
        <v>164</v>
      </c>
      <c r="B60" s="190">
        <v>32058031120.799999</v>
      </c>
      <c r="C60" s="190">
        <v>36688412279.93</v>
      </c>
      <c r="D60" s="190">
        <v>33107118597.869999</v>
      </c>
      <c r="E60" s="190">
        <v>34055859670.330002</v>
      </c>
      <c r="F60" s="190">
        <v>33010988619.810001</v>
      </c>
      <c r="G60" s="190">
        <v>33673723553.32</v>
      </c>
      <c r="H60" s="190">
        <v>33254977912.830002</v>
      </c>
      <c r="I60" s="190">
        <v>36813203427.459999</v>
      </c>
      <c r="J60" s="190">
        <v>34696555353.580002</v>
      </c>
      <c r="K60" s="190">
        <v>36456150051.870003</v>
      </c>
      <c r="L60" s="190">
        <v>33610336676.700001</v>
      </c>
      <c r="M60" s="190">
        <v>35288450731.290001</v>
      </c>
      <c r="N60" s="190">
        <v>31329338550.029999</v>
      </c>
      <c r="O60" s="190">
        <v>31145401310</v>
      </c>
      <c r="P60" s="190">
        <v>27052301294.560001</v>
      </c>
      <c r="Q60" s="190">
        <v>29259827334.369999</v>
      </c>
      <c r="R60" s="190">
        <v>29739898964.48</v>
      </c>
      <c r="S60" s="190">
        <v>25121951508.830002</v>
      </c>
      <c r="T60" s="190">
        <v>21442151747.650002</v>
      </c>
      <c r="U60" s="190">
        <v>24647574486.75</v>
      </c>
      <c r="V60" s="190">
        <v>24072878628.580002</v>
      </c>
      <c r="W60" s="190">
        <v>27781998382.779999</v>
      </c>
      <c r="X60" s="190">
        <v>30136350365.57</v>
      </c>
      <c r="Y60" s="190">
        <v>33486126088.07</v>
      </c>
      <c r="Z60" s="190">
        <v>25760537379.049999</v>
      </c>
      <c r="AA60" s="190">
        <v>28930724169.970001</v>
      </c>
      <c r="AB60" s="190">
        <v>28880569179.48</v>
      </c>
      <c r="AC60" s="190">
        <v>27643810923.630001</v>
      </c>
      <c r="AD60" s="190">
        <v>27087096920.259998</v>
      </c>
      <c r="AE60" s="190">
        <v>22851089104.049999</v>
      </c>
      <c r="AF60" s="190">
        <v>22115302032.32</v>
      </c>
      <c r="AG60" s="190">
        <v>23276661725.43</v>
      </c>
      <c r="AH60" s="190">
        <v>21216995608.25</v>
      </c>
      <c r="AI60" s="190">
        <v>19303758967.150002</v>
      </c>
      <c r="AJ60" s="190">
        <v>19088083251.59</v>
      </c>
      <c r="AK60" s="190">
        <v>21795325673</v>
      </c>
      <c r="AL60" s="190">
        <v>4087881399.0999999</v>
      </c>
      <c r="AM60" s="190">
        <v>4111664227.2399998</v>
      </c>
      <c r="AN60" s="190">
        <v>4164628199.0500002</v>
      </c>
      <c r="AO60" s="190">
        <v>4411222787.2399998</v>
      </c>
      <c r="AP60" s="190">
        <v>4425868482.8900003</v>
      </c>
      <c r="AQ60" s="190">
        <v>4290697911.9000001</v>
      </c>
      <c r="AR60" s="190">
        <v>3885260606.8000002</v>
      </c>
      <c r="AS60" s="190">
        <v>3981470093.04</v>
      </c>
      <c r="AT60" s="190">
        <v>3162863136.27</v>
      </c>
      <c r="AU60" s="190">
        <v>4361193363.46</v>
      </c>
      <c r="AV60" s="190">
        <v>4565673013.5</v>
      </c>
      <c r="AW60" s="190">
        <v>4465246819.46</v>
      </c>
      <c r="AX60" s="190">
        <v>2075751005.27</v>
      </c>
      <c r="AY60" s="190">
        <v>1990157253.55</v>
      </c>
      <c r="AZ60" s="190">
        <v>2286359883.8499999</v>
      </c>
      <c r="BA60" s="190">
        <v>1979827348.7</v>
      </c>
      <c r="BB60" s="190">
        <v>2174432450.6100001</v>
      </c>
      <c r="BC60" s="190">
        <v>2257871651.29</v>
      </c>
      <c r="BD60" s="190">
        <v>2150504775.1399999</v>
      </c>
      <c r="BE60" s="190">
        <v>2093466245.55</v>
      </c>
      <c r="BF60" s="190">
        <v>1967019847.3299999</v>
      </c>
      <c r="BG60" s="190">
        <v>2185369909.0799999</v>
      </c>
      <c r="BH60" s="190">
        <v>1011917167.54</v>
      </c>
      <c r="BI60" s="190">
        <v>914288745.46000004</v>
      </c>
      <c r="BJ60" s="190">
        <v>581137348.49000001</v>
      </c>
      <c r="BK60" s="190">
        <v>780510572.10000002</v>
      </c>
      <c r="BL60" s="190">
        <v>870586900.79999995</v>
      </c>
      <c r="BM60" s="190">
        <v>1064555474.41</v>
      </c>
      <c r="BN60" s="190">
        <v>33872840.509999998</v>
      </c>
      <c r="BO60" s="190">
        <v>120440593.01000001</v>
      </c>
      <c r="BP60" s="190">
        <v>65515069.520000003</v>
      </c>
      <c r="BQ60" s="190">
        <v>49975181.990000002</v>
      </c>
      <c r="BR60" s="190">
        <v>319530008.32999998</v>
      </c>
      <c r="BS60" s="190">
        <v>213240578.37</v>
      </c>
      <c r="BT60" s="190">
        <v>233721511.25999999</v>
      </c>
      <c r="BU60" s="190">
        <v>287268404.69999999</v>
      </c>
      <c r="BV60" s="190">
        <v>336504556.26999998</v>
      </c>
      <c r="BW60" s="190">
        <v>256310272.66</v>
      </c>
      <c r="BX60" s="190">
        <v>271928756.69999999</v>
      </c>
      <c r="BY60" s="190">
        <v>171919952.94999999</v>
      </c>
      <c r="BZ60" s="190">
        <v>69846590.109999999</v>
      </c>
      <c r="CA60" s="190">
        <v>108838621.18000001</v>
      </c>
      <c r="CB60" s="190">
        <v>98494153.930000007</v>
      </c>
      <c r="CC60" s="190">
        <v>90097110.739999995</v>
      </c>
      <c r="CD60" s="190">
        <v>25954273.98</v>
      </c>
      <c r="CE60" s="190">
        <v>0</v>
      </c>
    </row>
    <row r="61" spans="1:83" x14ac:dyDescent="0.25">
      <c r="A61" s="190" t="s">
        <v>165</v>
      </c>
    </row>
    <row r="62" spans="1:83" x14ac:dyDescent="0.25">
      <c r="A62" s="190" t="s">
        <v>166</v>
      </c>
      <c r="B62" s="190">
        <v>115873776112.75</v>
      </c>
      <c r="C62" s="190">
        <v>112414087118.27</v>
      </c>
      <c r="D62" s="190">
        <v>112054712106</v>
      </c>
      <c r="E62" s="190">
        <v>108886781273.88</v>
      </c>
      <c r="F62" s="190">
        <v>112173486946.41</v>
      </c>
      <c r="G62" s="190">
        <v>110827283297.09</v>
      </c>
      <c r="H62" s="190">
        <v>107298671372.42</v>
      </c>
      <c r="I62" s="190">
        <v>103535495021.13</v>
      </c>
      <c r="J62" s="190">
        <v>104553611173.14</v>
      </c>
      <c r="K62" s="190">
        <v>101140590926.67999</v>
      </c>
      <c r="L62" s="190">
        <v>94752389519.789993</v>
      </c>
      <c r="M62" s="190">
        <v>91631988256.75</v>
      </c>
      <c r="N62" s="190">
        <v>95260584706.690002</v>
      </c>
      <c r="O62" s="190">
        <v>96405000152.220001</v>
      </c>
      <c r="P62" s="190">
        <v>96931660353.899994</v>
      </c>
      <c r="Q62" s="190">
        <v>96828216270.979996</v>
      </c>
      <c r="R62" s="190">
        <v>99371696994.119995</v>
      </c>
      <c r="S62" s="190">
        <v>100308934236.3</v>
      </c>
      <c r="T62" s="190">
        <v>102888043019.88</v>
      </c>
      <c r="U62" s="190">
        <v>99300648619.880005</v>
      </c>
      <c r="V62" s="190">
        <v>98558305658.050003</v>
      </c>
      <c r="W62" s="190">
        <v>92861604745.610001</v>
      </c>
      <c r="X62" s="190">
        <v>89793670425.179993</v>
      </c>
      <c r="Y62" s="190">
        <v>81855710056.630005</v>
      </c>
      <c r="Z62" s="190">
        <v>79337134015.600006</v>
      </c>
      <c r="AA62" s="190">
        <v>71795688584.210007</v>
      </c>
      <c r="AB62" s="190">
        <v>67306621553.040001</v>
      </c>
      <c r="AC62" s="190">
        <v>70005048948.509995</v>
      </c>
      <c r="AD62" s="190">
        <v>63979833023.980003</v>
      </c>
      <c r="AE62" s="190">
        <v>65546070815.260002</v>
      </c>
      <c r="AF62" s="190">
        <v>65177197887.290001</v>
      </c>
      <c r="AG62" s="190">
        <v>61404632431.769997</v>
      </c>
      <c r="AH62" s="190">
        <v>58834576672.220001</v>
      </c>
      <c r="AI62" s="190">
        <v>57540253200.220001</v>
      </c>
      <c r="AJ62" s="190">
        <v>54985643593.769997</v>
      </c>
      <c r="AK62" s="190">
        <v>50083311593.769997</v>
      </c>
      <c r="AL62" s="190">
        <v>8264441233.9099998</v>
      </c>
      <c r="AM62" s="190">
        <v>8055883906.8699999</v>
      </c>
      <c r="AN62" s="190">
        <v>8157790036.7399998</v>
      </c>
      <c r="AO62" s="190">
        <v>7747160000</v>
      </c>
      <c r="AP62" s="190">
        <v>8108660000</v>
      </c>
      <c r="AQ62" s="190">
        <v>8005160000</v>
      </c>
      <c r="AR62" s="190">
        <v>7892160000</v>
      </c>
      <c r="AS62" s="190">
        <v>7539160000</v>
      </c>
      <c r="AT62" s="190">
        <v>8138180000</v>
      </c>
      <c r="AU62" s="190">
        <v>7888180000</v>
      </c>
      <c r="AV62" s="190">
        <v>7833180000</v>
      </c>
      <c r="AW62" s="190">
        <v>7606230000</v>
      </c>
      <c r="AX62" s="190">
        <v>4870586265.6300001</v>
      </c>
      <c r="AY62" s="190">
        <v>4630616044.3800001</v>
      </c>
      <c r="AZ62" s="190">
        <v>4501159430</v>
      </c>
      <c r="BA62" s="190">
        <v>4501180000</v>
      </c>
      <c r="BB62" s="190">
        <v>4378823961.3400002</v>
      </c>
      <c r="BC62" s="190">
        <v>4397680000</v>
      </c>
      <c r="BD62" s="190">
        <v>4586260865.3199997</v>
      </c>
      <c r="BE62" s="190">
        <v>4502040000</v>
      </c>
      <c r="BF62" s="190">
        <v>4751505643.6999998</v>
      </c>
      <c r="BG62" s="190">
        <v>4879485643.6999998</v>
      </c>
      <c r="BH62" s="190">
        <v>2297167839.6399999</v>
      </c>
      <c r="BI62" s="190">
        <v>2052706139.6400001</v>
      </c>
      <c r="BJ62" s="190">
        <v>2397608977.4699998</v>
      </c>
      <c r="BK62" s="190">
        <v>2245788301.2399998</v>
      </c>
      <c r="BL62" s="190">
        <v>2510236394.5700002</v>
      </c>
      <c r="BM62" s="190">
        <v>2247470535.29</v>
      </c>
      <c r="BN62" s="190">
        <v>0</v>
      </c>
      <c r="BO62" s="190">
        <v>0</v>
      </c>
      <c r="BP62" s="190">
        <v>0</v>
      </c>
      <c r="BQ62" s="190">
        <v>0</v>
      </c>
      <c r="BR62" s="190">
        <v>0</v>
      </c>
      <c r="BS62" s="190">
        <v>0</v>
      </c>
      <c r="BT62" s="190">
        <v>0</v>
      </c>
      <c r="BU62" s="190">
        <v>0</v>
      </c>
      <c r="BV62" s="190">
        <v>0</v>
      </c>
      <c r="BW62" s="190">
        <v>0</v>
      </c>
      <c r="BX62" s="190">
        <v>0</v>
      </c>
      <c r="BY62" s="190">
        <v>0</v>
      </c>
      <c r="BZ62" s="190">
        <v>0</v>
      </c>
      <c r="CA62" s="190">
        <v>105000000</v>
      </c>
      <c r="CB62" s="190">
        <v>0</v>
      </c>
      <c r="CC62" s="190">
        <v>101000000</v>
      </c>
      <c r="CD62" s="190">
        <v>0</v>
      </c>
      <c r="CE62" s="190">
        <v>0</v>
      </c>
    </row>
    <row r="63" spans="1:83" x14ac:dyDescent="0.25">
      <c r="A63" s="190" t="s">
        <v>167</v>
      </c>
      <c r="B63" s="190">
        <v>2200000000</v>
      </c>
      <c r="C63" s="190">
        <v>2200000000</v>
      </c>
      <c r="D63" s="190">
        <v>3000000000</v>
      </c>
      <c r="E63" s="190">
        <v>3000000000</v>
      </c>
      <c r="F63" s="190">
        <v>3000000000</v>
      </c>
      <c r="G63" s="190">
        <v>3000000000</v>
      </c>
      <c r="H63" s="190">
        <v>3000000000</v>
      </c>
      <c r="I63" s="190">
        <v>3000000000</v>
      </c>
      <c r="J63" s="190">
        <v>1800000000</v>
      </c>
      <c r="K63" s="190">
        <v>1800000000</v>
      </c>
      <c r="L63" s="190">
        <v>1800000000</v>
      </c>
      <c r="M63" s="190">
        <v>1800000000</v>
      </c>
      <c r="N63" s="190">
        <v>1800000000</v>
      </c>
      <c r="O63" s="190">
        <v>1800000000</v>
      </c>
      <c r="P63" s="190">
        <v>1800000000</v>
      </c>
      <c r="Q63" s="190">
        <v>1800000000</v>
      </c>
      <c r="R63" s="190">
        <v>1800000000</v>
      </c>
      <c r="S63" s="190">
        <v>1800000000</v>
      </c>
      <c r="T63" s="190">
        <v>1800000000</v>
      </c>
      <c r="U63" s="190">
        <v>0</v>
      </c>
      <c r="V63" s="190">
        <v>0</v>
      </c>
      <c r="W63" s="190">
        <v>773499399.33000004</v>
      </c>
      <c r="X63" s="190">
        <v>2971354579.2199998</v>
      </c>
      <c r="Y63" s="190">
        <v>3227911651.6700001</v>
      </c>
      <c r="Z63" s="190">
        <v>3214769998.5500002</v>
      </c>
      <c r="AA63" s="190">
        <v>3186126119.9099998</v>
      </c>
      <c r="AB63" s="190">
        <v>3157484081.23</v>
      </c>
      <c r="AC63" s="190">
        <v>3128700635.1199999</v>
      </c>
      <c r="AD63" s="190">
        <v>2936673941.9499998</v>
      </c>
      <c r="AE63" s="190">
        <v>2911877561.5</v>
      </c>
      <c r="AF63" s="190">
        <v>2887081181.0500002</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row>
    <row r="64" spans="1:83" x14ac:dyDescent="0.25">
      <c r="A64" s="190" t="s">
        <v>168</v>
      </c>
      <c r="B64" s="190">
        <v>729420389.90999997</v>
      </c>
      <c r="C64" s="190">
        <v>832382626.53999996</v>
      </c>
      <c r="D64" s="190">
        <v>820496662.36000001</v>
      </c>
      <c r="E64" s="190">
        <v>847686208.07000005</v>
      </c>
      <c r="F64" s="190">
        <v>875270883.34000003</v>
      </c>
      <c r="G64" s="190">
        <v>968262164.08000004</v>
      </c>
      <c r="H64" s="190">
        <v>1714218830.2</v>
      </c>
      <c r="I64" s="190">
        <v>2297045347.98</v>
      </c>
      <c r="J64" s="190">
        <v>2458635348.5700002</v>
      </c>
      <c r="K64" s="190">
        <v>2730145681.7399998</v>
      </c>
      <c r="L64" s="190">
        <v>3077966104.1300001</v>
      </c>
      <c r="M64" s="190">
        <v>3144005616.8200002</v>
      </c>
      <c r="N64" s="190">
        <v>1812235577.8199999</v>
      </c>
      <c r="O64" s="190">
        <v>2138884307.9200001</v>
      </c>
      <c r="P64" s="190">
        <v>2020460843.0799999</v>
      </c>
      <c r="Q64" s="190">
        <v>1850021660.8199999</v>
      </c>
      <c r="R64" s="190">
        <v>2155377570.6900001</v>
      </c>
      <c r="S64" s="190">
        <v>1926063858.6700001</v>
      </c>
      <c r="T64" s="190">
        <v>1861643684.97</v>
      </c>
      <c r="U64" s="190">
        <v>1696049321.55</v>
      </c>
      <c r="V64" s="190">
        <v>1036607638.1</v>
      </c>
      <c r="W64" s="190">
        <v>1254463648.2</v>
      </c>
      <c r="X64" s="190">
        <v>1437225000.78</v>
      </c>
      <c r="Y64" s="190">
        <v>1642554084.8900001</v>
      </c>
      <c r="Z64" s="190">
        <v>2412412765.5900002</v>
      </c>
      <c r="AA64" s="190">
        <v>2553054932.1599998</v>
      </c>
      <c r="AB64" s="190">
        <v>2114813174.27</v>
      </c>
      <c r="AC64" s="190">
        <v>1583969134.5699999</v>
      </c>
      <c r="AD64" s="190">
        <v>0</v>
      </c>
      <c r="AE64" s="190">
        <v>198000000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6655628</v>
      </c>
      <c r="CD64" s="190">
        <v>0</v>
      </c>
      <c r="CE64" s="190">
        <v>0</v>
      </c>
    </row>
    <row r="65" spans="1:83"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c r="CE65" s="190">
        <v>0</v>
      </c>
    </row>
    <row r="66" spans="1:83" x14ac:dyDescent="0.25">
      <c r="A66" s="190" t="s">
        <v>170</v>
      </c>
      <c r="B66" s="190">
        <v>0</v>
      </c>
      <c r="C66" s="190">
        <v>0</v>
      </c>
      <c r="D66" s="190">
        <v>150000</v>
      </c>
      <c r="E66" s="190">
        <v>150000</v>
      </c>
      <c r="F66" s="190">
        <v>1237768.1000000001</v>
      </c>
      <c r="G66" s="190">
        <v>1237768.1000000001</v>
      </c>
      <c r="H66" s="190">
        <v>1237768.1000000001</v>
      </c>
      <c r="I66" s="190">
        <v>1137768.1000000001</v>
      </c>
      <c r="J66" s="190">
        <v>610622.15</v>
      </c>
      <c r="K66" s="190">
        <v>610622.15</v>
      </c>
      <c r="L66" s="190">
        <v>610622.15</v>
      </c>
      <c r="M66" s="190">
        <v>610622.15</v>
      </c>
      <c r="N66" s="190">
        <v>0</v>
      </c>
      <c r="O66" s="190">
        <v>0</v>
      </c>
      <c r="P66" s="190">
        <v>0</v>
      </c>
      <c r="Q66" s="190">
        <v>0</v>
      </c>
      <c r="R66" s="190">
        <v>0</v>
      </c>
      <c r="S66" s="190">
        <v>0</v>
      </c>
      <c r="T66" s="190">
        <v>0</v>
      </c>
      <c r="U66" s="190">
        <v>0</v>
      </c>
      <c r="V66" s="190">
        <v>0</v>
      </c>
      <c r="W66" s="190">
        <v>169000</v>
      </c>
      <c r="X66" s="190">
        <v>0</v>
      </c>
      <c r="Y66" s="190">
        <v>0</v>
      </c>
      <c r="Z66" s="190">
        <v>0</v>
      </c>
      <c r="AA66" s="190">
        <v>0</v>
      </c>
      <c r="AB66" s="190">
        <v>0</v>
      </c>
      <c r="AC66" s="190">
        <v>0</v>
      </c>
      <c r="AD66" s="190">
        <v>7188397</v>
      </c>
      <c r="AE66" s="190">
        <v>7188397</v>
      </c>
      <c r="AF66" s="190">
        <v>7188397</v>
      </c>
      <c r="AG66" s="190">
        <v>7188397</v>
      </c>
      <c r="AH66" s="190">
        <v>0</v>
      </c>
      <c r="AI66" s="190">
        <v>7188397</v>
      </c>
      <c r="AJ66" s="190">
        <v>7188397</v>
      </c>
      <c r="AK66" s="190">
        <v>7188397</v>
      </c>
      <c r="AL66" s="190">
        <v>7188397</v>
      </c>
      <c r="AM66" s="190">
        <v>7188397</v>
      </c>
      <c r="AN66" s="190">
        <v>7188397</v>
      </c>
      <c r="AO66" s="190">
        <v>7188397</v>
      </c>
      <c r="AP66" s="190">
        <v>12438397</v>
      </c>
      <c r="AQ66" s="190">
        <v>12438397</v>
      </c>
      <c r="AR66" s="190">
        <v>12438397</v>
      </c>
      <c r="AS66" s="190">
        <v>12438397</v>
      </c>
      <c r="AT66" s="190">
        <v>12438397</v>
      </c>
      <c r="AU66" s="190">
        <v>12438397</v>
      </c>
      <c r="AV66" s="190">
        <v>12438397</v>
      </c>
      <c r="AW66" s="190">
        <v>12438397</v>
      </c>
      <c r="AX66" s="190">
        <v>7288397</v>
      </c>
      <c r="AY66" s="190">
        <v>7288397</v>
      </c>
      <c r="AZ66" s="190">
        <v>7388397</v>
      </c>
      <c r="BA66" s="190">
        <v>7288397</v>
      </c>
      <c r="BB66" s="190">
        <v>7288397</v>
      </c>
      <c r="BC66" s="190">
        <v>7288397</v>
      </c>
      <c r="BD66" s="190">
        <v>7288397</v>
      </c>
      <c r="BE66" s="190">
        <v>8788397</v>
      </c>
      <c r="BF66" s="190">
        <v>11766397</v>
      </c>
      <c r="BG66" s="190">
        <v>11766397</v>
      </c>
      <c r="BH66" s="190">
        <v>5828900</v>
      </c>
      <c r="BI66" s="190">
        <v>5828900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row>
    <row r="67" spans="1:83" x14ac:dyDescent="0.25">
      <c r="A67" s="190" t="s">
        <v>171</v>
      </c>
      <c r="B67" s="190">
        <v>415852121.93000001</v>
      </c>
      <c r="C67" s="190">
        <v>440839428.08999997</v>
      </c>
      <c r="D67" s="190">
        <v>480392243.31</v>
      </c>
      <c r="E67" s="190">
        <v>514653426.07999998</v>
      </c>
      <c r="F67" s="190">
        <v>555667745.53999996</v>
      </c>
      <c r="G67" s="190">
        <v>589789523.09000003</v>
      </c>
      <c r="H67" s="190">
        <v>618369949.09000003</v>
      </c>
      <c r="I67" s="190">
        <v>652802565.79999995</v>
      </c>
      <c r="J67" s="190">
        <v>648555159.04999995</v>
      </c>
      <c r="K67" s="190">
        <v>688655556.79999995</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1404605</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c r="CE67" s="190">
        <v>0</v>
      </c>
    </row>
    <row r="68" spans="1:83" x14ac:dyDescent="0.25">
      <c r="A68" s="190" t="s">
        <v>172</v>
      </c>
      <c r="B68" s="190">
        <v>42052897.409999996</v>
      </c>
      <c r="C68" s="190">
        <v>42052897.409999996</v>
      </c>
      <c r="D68" s="190">
        <v>41610406.159999996</v>
      </c>
      <c r="E68" s="190">
        <v>41610406.159999996</v>
      </c>
      <c r="F68" s="190">
        <v>47577438</v>
      </c>
      <c r="G68" s="190">
        <v>47063766.780000001</v>
      </c>
      <c r="H68" s="190">
        <v>31117271.91</v>
      </c>
      <c r="I68" s="190">
        <v>31117271.91</v>
      </c>
      <c r="J68" s="190">
        <v>35846779.700000003</v>
      </c>
      <c r="K68" s="190">
        <v>35846779.700000003</v>
      </c>
      <c r="L68" s="190">
        <v>41444655.909999996</v>
      </c>
      <c r="M68" s="190">
        <v>41444655.909999996</v>
      </c>
      <c r="N68" s="190">
        <v>42772678.600000001</v>
      </c>
      <c r="O68" s="190">
        <v>42772678.600000001</v>
      </c>
      <c r="P68" s="190">
        <v>42772678.600000001</v>
      </c>
      <c r="Q68" s="190">
        <v>42772678.600000001</v>
      </c>
      <c r="R68" s="190">
        <v>81782247.629999995</v>
      </c>
      <c r="S68" s="190">
        <v>66424036.299999997</v>
      </c>
      <c r="T68" s="190">
        <v>66424036.299999997</v>
      </c>
      <c r="U68" s="190">
        <v>66424036.299999997</v>
      </c>
      <c r="V68" s="190">
        <v>92748522.620000005</v>
      </c>
      <c r="W68" s="190">
        <v>92748522.620000005</v>
      </c>
      <c r="X68" s="190">
        <v>92748522.620000005</v>
      </c>
      <c r="Y68" s="190">
        <v>92748522.620000005</v>
      </c>
      <c r="Z68" s="190">
        <v>114420003.23</v>
      </c>
      <c r="AA68" s="190">
        <v>122505771.52</v>
      </c>
      <c r="AB68" s="190">
        <v>122505771.52</v>
      </c>
      <c r="AC68" s="190">
        <v>122505771.52</v>
      </c>
      <c r="AD68" s="190">
        <v>128871550.59</v>
      </c>
      <c r="AE68" s="190">
        <v>117105500.53</v>
      </c>
      <c r="AF68" s="190">
        <v>117105500.53</v>
      </c>
      <c r="AG68" s="190">
        <v>117105500.53</v>
      </c>
      <c r="AH68" s="190">
        <v>143524658.80000001</v>
      </c>
      <c r="AI68" s="190">
        <v>143524658.80000001</v>
      </c>
      <c r="AJ68" s="190">
        <v>143524658.80000001</v>
      </c>
      <c r="AK68" s="190">
        <v>143524658.80000001</v>
      </c>
      <c r="AL68" s="190">
        <v>73965719.930000007</v>
      </c>
      <c r="AM68" s="190">
        <v>73965719.930000007</v>
      </c>
      <c r="AN68" s="190">
        <v>77491241.540000007</v>
      </c>
      <c r="AO68" s="190">
        <v>77491241.540000007</v>
      </c>
      <c r="AP68" s="190">
        <v>85472367.75</v>
      </c>
      <c r="AQ68" s="190">
        <v>85472367.75</v>
      </c>
      <c r="AR68" s="190">
        <v>85472367.75</v>
      </c>
      <c r="AS68" s="190">
        <v>85472367.75</v>
      </c>
      <c r="AT68" s="190">
        <v>28303518.809999999</v>
      </c>
      <c r="AU68" s="190">
        <v>28303518.809999999</v>
      </c>
      <c r="AV68" s="190">
        <v>28303518.809999999</v>
      </c>
      <c r="AW68" s="190">
        <v>0</v>
      </c>
      <c r="AX68" s="190">
        <v>0</v>
      </c>
      <c r="AY68" s="190">
        <v>0</v>
      </c>
      <c r="AZ68" s="190">
        <v>33283608.370000001</v>
      </c>
      <c r="BA68" s="190">
        <v>0</v>
      </c>
      <c r="BB68" s="190">
        <v>0</v>
      </c>
      <c r="BC68" s="190">
        <v>0</v>
      </c>
      <c r="BD68" s="190">
        <v>0</v>
      </c>
      <c r="BE68" s="190">
        <v>0</v>
      </c>
      <c r="BF68" s="190">
        <v>154934294.87</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c r="CE68" s="190">
        <v>0</v>
      </c>
    </row>
    <row r="69" spans="1:83" x14ac:dyDescent="0.25">
      <c r="A69" s="190" t="s">
        <v>173</v>
      </c>
      <c r="B69" s="190">
        <v>201621052.37</v>
      </c>
      <c r="C69" s="190">
        <v>207184000.27000001</v>
      </c>
      <c r="D69" s="190">
        <v>227118451.38999999</v>
      </c>
      <c r="E69" s="190">
        <v>233701723.75999999</v>
      </c>
      <c r="F69" s="190">
        <v>232045306.08000001</v>
      </c>
      <c r="G69" s="190">
        <v>236160542.88999999</v>
      </c>
      <c r="H69" s="190">
        <v>236783093.30000001</v>
      </c>
      <c r="I69" s="190">
        <v>242450588.86000001</v>
      </c>
      <c r="J69" s="190">
        <v>241988216.36000001</v>
      </c>
      <c r="K69" s="190">
        <v>246001199.87</v>
      </c>
      <c r="L69" s="190">
        <v>244106337.66999999</v>
      </c>
      <c r="M69" s="190">
        <v>248638799.22</v>
      </c>
      <c r="N69" s="190">
        <v>116125535.41</v>
      </c>
      <c r="O69" s="190">
        <v>117680386.2</v>
      </c>
      <c r="P69" s="190">
        <v>117104374.02</v>
      </c>
      <c r="Q69" s="190">
        <v>120539902.17</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c r="CE69" s="190">
        <v>0</v>
      </c>
    </row>
    <row r="70" spans="1:83"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91989204.680000007</v>
      </c>
      <c r="S70" s="190">
        <v>91948943.209999993</v>
      </c>
      <c r="T70" s="190">
        <v>110669018.13</v>
      </c>
      <c r="U70" s="190">
        <v>114280752.18000001</v>
      </c>
      <c r="V70" s="190">
        <v>107200247.81999999</v>
      </c>
      <c r="W70" s="190">
        <v>110239706.19</v>
      </c>
      <c r="X70" s="190">
        <v>108021943.56</v>
      </c>
      <c r="Y70" s="190">
        <v>111256036.2</v>
      </c>
      <c r="Z70" s="190">
        <v>102182914.11</v>
      </c>
      <c r="AA70" s="190">
        <v>104844200.65000001</v>
      </c>
      <c r="AB70" s="190">
        <v>107585487.19</v>
      </c>
      <c r="AC70" s="190">
        <v>110326773.72</v>
      </c>
      <c r="AD70" s="190">
        <v>135458060.24000001</v>
      </c>
      <c r="AE70" s="190">
        <v>107517124.56</v>
      </c>
      <c r="AF70" s="190">
        <v>110301431.91</v>
      </c>
      <c r="AG70" s="190">
        <v>112521364.26000001</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1500000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c r="BX70" s="190">
        <v>0</v>
      </c>
      <c r="BY70" s="190">
        <v>0</v>
      </c>
      <c r="BZ70" s="190">
        <v>0</v>
      </c>
      <c r="CA70" s="190">
        <v>0</v>
      </c>
      <c r="CB70" s="190">
        <v>0</v>
      </c>
      <c r="CC70" s="190">
        <v>0</v>
      </c>
      <c r="CD70" s="190">
        <v>700000</v>
      </c>
      <c r="CE70" s="190">
        <v>0</v>
      </c>
    </row>
    <row r="71" spans="1:83" x14ac:dyDescent="0.25">
      <c r="A71" s="190" t="s">
        <v>175</v>
      </c>
      <c r="B71" s="190">
        <v>119462722574.37</v>
      </c>
      <c r="C71" s="190">
        <v>116136546070.58</v>
      </c>
      <c r="D71" s="190">
        <v>116624479869.22</v>
      </c>
      <c r="E71" s="190">
        <v>113524583037.95</v>
      </c>
      <c r="F71" s="190">
        <v>116885286087.47</v>
      </c>
      <c r="G71" s="190">
        <v>115669797062.03</v>
      </c>
      <c r="H71" s="190">
        <v>112900398285.02</v>
      </c>
      <c r="I71" s="190">
        <v>109760048563.78</v>
      </c>
      <c r="J71" s="190">
        <v>109739247298.97</v>
      </c>
      <c r="K71" s="190">
        <v>106641850766.94</v>
      </c>
      <c r="L71" s="190">
        <v>99916517239.649994</v>
      </c>
      <c r="M71" s="190">
        <v>96866687950.850006</v>
      </c>
      <c r="N71" s="190">
        <v>99031718498.520004</v>
      </c>
      <c r="O71" s="190">
        <v>100504337524.94</v>
      </c>
      <c r="P71" s="190">
        <v>100911998249.60001</v>
      </c>
      <c r="Q71" s="190">
        <v>100641550512.57001</v>
      </c>
      <c r="R71" s="190">
        <v>103500846017.12</v>
      </c>
      <c r="S71" s="190">
        <v>104193371074.48</v>
      </c>
      <c r="T71" s="190">
        <v>106726779759.28</v>
      </c>
      <c r="U71" s="190">
        <v>101177402729.91</v>
      </c>
      <c r="V71" s="190">
        <v>99794862066.589996</v>
      </c>
      <c r="W71" s="190">
        <v>95092725021.949997</v>
      </c>
      <c r="X71" s="190">
        <v>94403020471.360001</v>
      </c>
      <c r="Y71" s="190">
        <v>86930180352.009995</v>
      </c>
      <c r="Z71" s="190">
        <v>85180919697.080002</v>
      </c>
      <c r="AA71" s="190">
        <v>77762219608.449997</v>
      </c>
      <c r="AB71" s="190">
        <v>72809010067.25</v>
      </c>
      <c r="AC71" s="190">
        <v>74950551263.440002</v>
      </c>
      <c r="AD71" s="190">
        <v>67188024973.760002</v>
      </c>
      <c r="AE71" s="190">
        <v>68887759398.850006</v>
      </c>
      <c r="AF71" s="190">
        <v>68298874397.779999</v>
      </c>
      <c r="AG71" s="190">
        <v>61642852298.559998</v>
      </c>
      <c r="AH71" s="190">
        <v>58978101331.019997</v>
      </c>
      <c r="AI71" s="190">
        <v>57690966256.019997</v>
      </c>
      <c r="AJ71" s="190">
        <v>55136356649.57</v>
      </c>
      <c r="AK71" s="190">
        <v>50234024649.57</v>
      </c>
      <c r="AL71" s="190">
        <v>8345595350.8400002</v>
      </c>
      <c r="AM71" s="190">
        <v>8137038023.8000002</v>
      </c>
      <c r="AN71" s="190">
        <v>8242469675.2799997</v>
      </c>
      <c r="AO71" s="190">
        <v>7831839638.54</v>
      </c>
      <c r="AP71" s="190">
        <v>8206570764.75</v>
      </c>
      <c r="AQ71" s="190">
        <v>8103070764.75</v>
      </c>
      <c r="AR71" s="190">
        <v>7990070764.75</v>
      </c>
      <c r="AS71" s="190">
        <v>7637070764.75</v>
      </c>
      <c r="AT71" s="190">
        <v>8178921915.8100004</v>
      </c>
      <c r="AU71" s="190">
        <v>7928921915.8100004</v>
      </c>
      <c r="AV71" s="190">
        <v>7873921915.8100004</v>
      </c>
      <c r="AW71" s="190">
        <v>7618668397</v>
      </c>
      <c r="AX71" s="190">
        <v>4877874662.6300001</v>
      </c>
      <c r="AY71" s="190">
        <v>4670350761.0299997</v>
      </c>
      <c r="AZ71" s="190">
        <v>4541831435.3699999</v>
      </c>
      <c r="BA71" s="190">
        <v>4508468397</v>
      </c>
      <c r="BB71" s="190">
        <v>4386112358.3400002</v>
      </c>
      <c r="BC71" s="190">
        <v>4404968397</v>
      </c>
      <c r="BD71" s="190">
        <v>4595049262.3199997</v>
      </c>
      <c r="BE71" s="190">
        <v>4510828397</v>
      </c>
      <c r="BF71" s="190">
        <v>4918206335.5699997</v>
      </c>
      <c r="BG71" s="190">
        <v>4891252040.6999998</v>
      </c>
      <c r="BH71" s="190">
        <v>2302996739.6399999</v>
      </c>
      <c r="BI71" s="190">
        <v>2058535039.6400001</v>
      </c>
      <c r="BJ71" s="190">
        <v>2397608977.4699998</v>
      </c>
      <c r="BK71" s="190">
        <v>2245788301.2399998</v>
      </c>
      <c r="BL71" s="190">
        <v>2510236394.5700002</v>
      </c>
      <c r="BM71" s="190">
        <v>2247470535.29</v>
      </c>
      <c r="BN71" s="190">
        <v>0</v>
      </c>
      <c r="BO71" s="190">
        <v>0</v>
      </c>
      <c r="BP71" s="190">
        <v>0</v>
      </c>
      <c r="BQ71" s="190">
        <v>0</v>
      </c>
      <c r="BR71" s="190">
        <v>0</v>
      </c>
      <c r="BS71" s="190">
        <v>0</v>
      </c>
      <c r="BT71" s="190">
        <v>0</v>
      </c>
      <c r="BU71" s="190">
        <v>0</v>
      </c>
      <c r="BV71" s="190">
        <v>0</v>
      </c>
      <c r="BW71" s="190">
        <v>0</v>
      </c>
      <c r="BX71" s="190">
        <v>0</v>
      </c>
      <c r="BY71" s="190">
        <v>0</v>
      </c>
      <c r="BZ71" s="190">
        <v>105000000</v>
      </c>
      <c r="CA71" s="190">
        <v>105000000</v>
      </c>
      <c r="CB71" s="190">
        <v>101000000</v>
      </c>
      <c r="CC71" s="190">
        <v>107655628</v>
      </c>
      <c r="CD71" s="190">
        <v>700000</v>
      </c>
      <c r="CE71" s="190">
        <v>0</v>
      </c>
    </row>
    <row r="72" spans="1:83" x14ac:dyDescent="0.25">
      <c r="A72" s="190" t="s">
        <v>176</v>
      </c>
      <c r="B72" s="190">
        <v>151520753695.17001</v>
      </c>
      <c r="C72" s="190">
        <v>152824958350.51001</v>
      </c>
      <c r="D72" s="190">
        <v>149731598467.09</v>
      </c>
      <c r="E72" s="190">
        <v>147580442708.28</v>
      </c>
      <c r="F72" s="190">
        <v>149896274707.28</v>
      </c>
      <c r="G72" s="190">
        <v>149343520615.35001</v>
      </c>
      <c r="H72" s="190">
        <v>146155376197.85001</v>
      </c>
      <c r="I72" s="190">
        <v>146573251991.23999</v>
      </c>
      <c r="J72" s="190">
        <v>144435802652.54999</v>
      </c>
      <c r="K72" s="190">
        <v>143098000818.81</v>
      </c>
      <c r="L72" s="190">
        <v>133526853916.35001</v>
      </c>
      <c r="M72" s="190">
        <v>132155138682.14</v>
      </c>
      <c r="N72" s="190">
        <v>130361057048.55</v>
      </c>
      <c r="O72" s="190">
        <v>131649738834.94</v>
      </c>
      <c r="P72" s="190">
        <v>127964299544.16</v>
      </c>
      <c r="Q72" s="190">
        <v>129901377846.94</v>
      </c>
      <c r="R72" s="190">
        <v>133240744981.60001</v>
      </c>
      <c r="S72" s="190">
        <v>129315322583.31</v>
      </c>
      <c r="T72" s="190">
        <v>128168931506.92999</v>
      </c>
      <c r="U72" s="190">
        <v>125824977216.66</v>
      </c>
      <c r="V72" s="190">
        <v>123867740695.17</v>
      </c>
      <c r="W72" s="190">
        <v>122874723404.73</v>
      </c>
      <c r="X72" s="190">
        <v>124539370836.92999</v>
      </c>
      <c r="Y72" s="190">
        <v>120416306440.08</v>
      </c>
      <c r="Z72" s="190">
        <v>110941457076.13</v>
      </c>
      <c r="AA72" s="190">
        <v>106692943778.42</v>
      </c>
      <c r="AB72" s="190">
        <v>101689579246.73</v>
      </c>
      <c r="AC72" s="190">
        <v>102594362187.07001</v>
      </c>
      <c r="AD72" s="190">
        <v>94275121894.020004</v>
      </c>
      <c r="AE72" s="190">
        <v>91738848502.899994</v>
      </c>
      <c r="AF72" s="190">
        <v>90414176430.100006</v>
      </c>
      <c r="AG72" s="190">
        <v>84919514023.990005</v>
      </c>
      <c r="AH72" s="190">
        <v>80195096939.270004</v>
      </c>
      <c r="AI72" s="190">
        <v>76994725223.169998</v>
      </c>
      <c r="AJ72" s="190">
        <v>74224439901.160004</v>
      </c>
      <c r="AK72" s="190">
        <v>72029350322.570007</v>
      </c>
      <c r="AL72" s="190">
        <v>12433476749.940001</v>
      </c>
      <c r="AM72" s="190">
        <v>12248702251.040001</v>
      </c>
      <c r="AN72" s="190">
        <v>12407097874.33</v>
      </c>
      <c r="AO72" s="190">
        <v>12243062425.780001</v>
      </c>
      <c r="AP72" s="190">
        <v>12632439247.639999</v>
      </c>
      <c r="AQ72" s="190">
        <v>12393768676.65</v>
      </c>
      <c r="AR72" s="190">
        <v>11875331371.549999</v>
      </c>
      <c r="AS72" s="190">
        <v>11618540857.790001</v>
      </c>
      <c r="AT72" s="190">
        <v>11341785052.08</v>
      </c>
      <c r="AU72" s="190">
        <v>12290115279.27</v>
      </c>
      <c r="AV72" s="190">
        <v>12439594929.309999</v>
      </c>
      <c r="AW72" s="190">
        <v>12083915216.459999</v>
      </c>
      <c r="AX72" s="190">
        <v>6953625667.8999996</v>
      </c>
      <c r="AY72" s="190">
        <v>6660508014.5799999</v>
      </c>
      <c r="AZ72" s="190">
        <v>6828191319.2200003</v>
      </c>
      <c r="BA72" s="190">
        <v>6488295745.6999998</v>
      </c>
      <c r="BB72" s="190">
        <v>6560544808.9499998</v>
      </c>
      <c r="BC72" s="190">
        <v>6662840048.29</v>
      </c>
      <c r="BD72" s="190">
        <v>6745554037.46</v>
      </c>
      <c r="BE72" s="190">
        <v>6604294642.5500002</v>
      </c>
      <c r="BF72" s="190">
        <v>6885226182.8999996</v>
      </c>
      <c r="BG72" s="190">
        <v>7076621949.7799997</v>
      </c>
      <c r="BH72" s="190">
        <v>3314913907.1799998</v>
      </c>
      <c r="BI72" s="190">
        <v>2972823785.0999999</v>
      </c>
      <c r="BJ72" s="190">
        <v>2978746325.96</v>
      </c>
      <c r="BK72" s="190">
        <v>3026298873.3400002</v>
      </c>
      <c r="BL72" s="190">
        <v>3380823295.3699999</v>
      </c>
      <c r="BM72" s="190">
        <v>3312026009.6999998</v>
      </c>
      <c r="BN72" s="190">
        <v>33872840.509999998</v>
      </c>
      <c r="BO72" s="190">
        <v>120440593.01000001</v>
      </c>
      <c r="BP72" s="190">
        <v>65515069.520000003</v>
      </c>
      <c r="BQ72" s="190">
        <v>49975181.990000002</v>
      </c>
      <c r="BR72" s="190">
        <v>319530008.32999998</v>
      </c>
      <c r="BS72" s="190">
        <v>213240578.37</v>
      </c>
      <c r="BT72" s="190">
        <v>233721511.25999999</v>
      </c>
      <c r="BU72" s="190">
        <v>287268404.69999999</v>
      </c>
      <c r="BV72" s="190">
        <v>336504556.26999998</v>
      </c>
      <c r="BW72" s="190">
        <v>256310272.66</v>
      </c>
      <c r="BX72" s="190">
        <v>271928756.69999999</v>
      </c>
      <c r="BY72" s="190">
        <v>171919952.94999999</v>
      </c>
      <c r="BZ72" s="190">
        <v>174846590.11000001</v>
      </c>
      <c r="CA72" s="190">
        <v>213838621.18000001</v>
      </c>
      <c r="CB72" s="190">
        <v>199494153.93000001</v>
      </c>
      <c r="CC72" s="190">
        <v>197752738.74000001</v>
      </c>
      <c r="CD72" s="190">
        <v>26654273.98</v>
      </c>
      <c r="CE72" s="190">
        <v>0</v>
      </c>
    </row>
    <row r="73" spans="1:83" x14ac:dyDescent="0.25">
      <c r="A73" s="190" t="s">
        <v>177</v>
      </c>
    </row>
    <row r="74" spans="1:83" x14ac:dyDescent="0.25">
      <c r="A74" s="190" t="s">
        <v>178</v>
      </c>
      <c r="B74" s="190">
        <v>6786023347</v>
      </c>
      <c r="C74" s="190">
        <v>6786023347</v>
      </c>
      <c r="D74" s="190">
        <v>6786023347</v>
      </c>
      <c r="E74" s="190">
        <v>6786023347</v>
      </c>
      <c r="F74" s="190">
        <v>6786023347</v>
      </c>
      <c r="G74" s="190">
        <v>6786023347</v>
      </c>
      <c r="H74" s="190">
        <v>6786023347</v>
      </c>
      <c r="I74" s="190">
        <v>6786023347</v>
      </c>
      <c r="J74" s="190">
        <v>6786023347</v>
      </c>
      <c r="K74" s="190">
        <v>6786023347</v>
      </c>
      <c r="L74" s="190">
        <v>6786023347</v>
      </c>
      <c r="M74" s="190">
        <v>6786023347</v>
      </c>
      <c r="N74" s="190">
        <v>6786023347</v>
      </c>
      <c r="O74" s="190">
        <v>6786023347</v>
      </c>
      <c r="P74" s="190">
        <v>6786023347</v>
      </c>
      <c r="Q74" s="190">
        <v>6786023347</v>
      </c>
      <c r="R74" s="190">
        <v>6786023347</v>
      </c>
      <c r="S74" s="190">
        <v>6786023347</v>
      </c>
      <c r="T74" s="190">
        <v>6786023347</v>
      </c>
      <c r="U74" s="190">
        <v>6786023347</v>
      </c>
      <c r="V74" s="190">
        <v>6786023347</v>
      </c>
      <c r="W74" s="190">
        <v>6515830323</v>
      </c>
      <c r="X74" s="190">
        <v>3587577747</v>
      </c>
      <c r="Y74" s="190">
        <v>3520295539</v>
      </c>
      <c r="Z74" s="190">
        <v>3517654407</v>
      </c>
      <c r="AA74" s="190">
        <v>3517654407</v>
      </c>
      <c r="AB74" s="190">
        <v>2345102751</v>
      </c>
      <c r="AC74" s="190">
        <v>2345102751</v>
      </c>
      <c r="AD74" s="190">
        <v>1995101102</v>
      </c>
      <c r="AE74" s="190">
        <v>1995101102</v>
      </c>
      <c r="AF74" s="190">
        <v>1995101102</v>
      </c>
      <c r="AG74" s="190">
        <v>1995101102</v>
      </c>
      <c r="AH74" s="190">
        <v>1995101102</v>
      </c>
      <c r="AI74" s="190">
        <v>1995101102</v>
      </c>
      <c r="AJ74" s="190">
        <v>1995101102</v>
      </c>
      <c r="AK74" s="190">
        <v>1995101102</v>
      </c>
      <c r="AL74" s="190">
        <v>1054628336</v>
      </c>
      <c r="AM74" s="190">
        <v>1054628336</v>
      </c>
      <c r="AN74" s="190">
        <v>1054628336</v>
      </c>
      <c r="AO74" s="190">
        <v>1054628336</v>
      </c>
      <c r="AP74" s="190">
        <v>1054628336</v>
      </c>
      <c r="AQ74" s="190">
        <v>1054628336</v>
      </c>
      <c r="AR74" s="190">
        <v>1054628336</v>
      </c>
      <c r="AS74" s="190">
        <v>1054628336</v>
      </c>
      <c r="AT74" s="190">
        <v>1054628336</v>
      </c>
      <c r="AU74" s="190">
        <v>813491652</v>
      </c>
      <c r="AV74" s="190">
        <v>813491652</v>
      </c>
      <c r="AW74" s="190">
        <v>813491652</v>
      </c>
      <c r="AX74" s="190">
        <v>813491652</v>
      </c>
      <c r="AY74" s="190">
        <v>563491652</v>
      </c>
      <c r="AZ74" s="190">
        <v>563491652</v>
      </c>
      <c r="BA74" s="190">
        <v>563491652</v>
      </c>
      <c r="BB74" s="190">
        <v>563491652</v>
      </c>
      <c r="BC74" s="190">
        <v>563491652</v>
      </c>
      <c r="BD74" s="190">
        <v>563491652</v>
      </c>
      <c r="BE74" s="190">
        <v>563491652</v>
      </c>
      <c r="BF74" s="190">
        <v>563491652</v>
      </c>
      <c r="BG74" s="190">
        <v>281745826</v>
      </c>
      <c r="BH74" s="190">
        <v>281745826</v>
      </c>
      <c r="BI74" s="190">
        <v>281745826</v>
      </c>
      <c r="BJ74" s="190">
        <v>281745826</v>
      </c>
      <c r="BK74" s="190">
        <v>281745826</v>
      </c>
      <c r="BL74" s="190">
        <v>281745826</v>
      </c>
      <c r="BM74" s="190">
        <v>281745826</v>
      </c>
      <c r="BN74" s="190">
        <v>281745826</v>
      </c>
      <c r="BO74" s="190">
        <v>281745826</v>
      </c>
      <c r="BP74" s="190">
        <v>281745826</v>
      </c>
      <c r="BQ74" s="190">
        <v>281745826</v>
      </c>
      <c r="BR74" s="190">
        <v>281745826</v>
      </c>
      <c r="BS74" s="190">
        <v>281745826</v>
      </c>
      <c r="BT74" s="190">
        <v>281745826</v>
      </c>
      <c r="BU74" s="190">
        <v>281745826</v>
      </c>
      <c r="BV74" s="190">
        <v>281745826</v>
      </c>
      <c r="BW74" s="190">
        <v>281745826</v>
      </c>
      <c r="BX74" s="190">
        <v>244996372</v>
      </c>
      <c r="BY74" s="190">
        <v>122498186</v>
      </c>
      <c r="BZ74" s="190">
        <v>122498186</v>
      </c>
      <c r="CA74" s="190">
        <v>122498186</v>
      </c>
      <c r="CB74" s="190">
        <v>87498704</v>
      </c>
      <c r="CC74" s="190">
        <v>58332469</v>
      </c>
      <c r="CD74" s="190">
        <v>58332469</v>
      </c>
      <c r="CE74" s="190">
        <v>0</v>
      </c>
    </row>
    <row r="75" spans="1:83" x14ac:dyDescent="0.25">
      <c r="A75" s="190" t="s">
        <v>179</v>
      </c>
      <c r="B75" s="190">
        <v>6471321166.9300003</v>
      </c>
      <c r="C75" s="190">
        <v>6471216171.6999998</v>
      </c>
      <c r="D75" s="190">
        <v>6471156236.0100002</v>
      </c>
      <c r="E75" s="190">
        <v>6471153550.6000004</v>
      </c>
      <c r="F75" s="190">
        <v>6471132092.4799995</v>
      </c>
      <c r="G75" s="190">
        <v>6471132092.4799995</v>
      </c>
      <c r="H75" s="190">
        <v>6471132058.3699999</v>
      </c>
      <c r="I75" s="190">
        <v>6471132058.3699999</v>
      </c>
      <c r="J75" s="190">
        <v>6472370008.5699997</v>
      </c>
      <c r="K75" s="190">
        <v>6469407705.8400002</v>
      </c>
      <c r="L75" s="190">
        <v>6469407705.8400002</v>
      </c>
      <c r="M75" s="190">
        <v>6469407705.8400002</v>
      </c>
      <c r="N75" s="190">
        <v>6460524925.4399996</v>
      </c>
      <c r="O75" s="190">
        <v>6460444751.7200003</v>
      </c>
      <c r="P75" s="190">
        <v>6460197683.5299997</v>
      </c>
      <c r="Q75" s="190">
        <v>6460197683.5299997</v>
      </c>
      <c r="R75" s="190">
        <v>6459998538.4200001</v>
      </c>
      <c r="S75" s="190">
        <v>6392383708.4700003</v>
      </c>
      <c r="T75" s="190">
        <v>6392544711.79</v>
      </c>
      <c r="U75" s="190">
        <v>6392544711.79</v>
      </c>
      <c r="V75" s="190">
        <v>6389358715.2299995</v>
      </c>
      <c r="W75" s="190">
        <v>5897720590</v>
      </c>
      <c r="X75" s="190">
        <v>6593718826.4499998</v>
      </c>
      <c r="Y75" s="190">
        <v>6472555223.6800003</v>
      </c>
      <c r="Z75" s="190">
        <v>6519321555.1000004</v>
      </c>
      <c r="AA75" s="190">
        <v>6597080000.2399998</v>
      </c>
      <c r="AB75" s="190">
        <v>7763329284.9799995</v>
      </c>
      <c r="AC75" s="190">
        <v>8312000264.9799995</v>
      </c>
      <c r="AD75" s="190">
        <v>6044519588.4799995</v>
      </c>
      <c r="AE75" s="190">
        <v>6037478501.4300003</v>
      </c>
      <c r="AF75" s="190">
        <v>6024194638.0299997</v>
      </c>
      <c r="AG75" s="190">
        <v>5693765333.4899998</v>
      </c>
      <c r="AH75" s="190">
        <v>5640270047.8100004</v>
      </c>
      <c r="AI75" s="190">
        <v>5640270047.8100004</v>
      </c>
      <c r="AJ75" s="190">
        <v>5634894475.3500004</v>
      </c>
      <c r="AK75" s="190">
        <v>6406796544.8800001</v>
      </c>
      <c r="AL75" s="190">
        <v>2401290494.0999999</v>
      </c>
      <c r="AM75" s="190">
        <v>2401290494.0999999</v>
      </c>
      <c r="AN75" s="190">
        <v>2398550694.0999999</v>
      </c>
      <c r="AO75" s="190">
        <v>2398550694.0999999</v>
      </c>
      <c r="AP75" s="190">
        <v>2398550694.0999999</v>
      </c>
      <c r="AQ75" s="190">
        <v>2398550694.0999999</v>
      </c>
      <c r="AR75" s="190">
        <v>2398550694.0999999</v>
      </c>
      <c r="AS75" s="190">
        <v>2454537768.5500002</v>
      </c>
      <c r="AT75" s="190">
        <v>2474846210.6900001</v>
      </c>
      <c r="AU75" s="190">
        <v>1400250172.71</v>
      </c>
      <c r="AV75" s="190">
        <v>1400250172.71</v>
      </c>
      <c r="AW75" s="190">
        <v>1400250172.71</v>
      </c>
      <c r="AX75" s="190">
        <v>1400851342.4300001</v>
      </c>
      <c r="AY75" s="190">
        <v>219570598.87</v>
      </c>
      <c r="AZ75" s="190">
        <v>219570598.87</v>
      </c>
      <c r="BA75" s="190">
        <v>219570598.87</v>
      </c>
      <c r="BB75" s="190">
        <v>219584678.87</v>
      </c>
      <c r="BC75" s="190">
        <v>219570598.87</v>
      </c>
      <c r="BD75" s="190">
        <v>218910598.87</v>
      </c>
      <c r="BE75" s="190">
        <v>218910598.87</v>
      </c>
      <c r="BF75" s="190">
        <v>218910598.87</v>
      </c>
      <c r="BG75" s="190">
        <v>500656424.87</v>
      </c>
      <c r="BH75" s="190">
        <v>500539004.87</v>
      </c>
      <c r="BI75" s="190">
        <v>500539004.87</v>
      </c>
      <c r="BJ75" s="190">
        <v>500539004.87</v>
      </c>
      <c r="BK75" s="190">
        <v>500539004.87</v>
      </c>
      <c r="BL75" s="190">
        <v>506052421.48000002</v>
      </c>
      <c r="BM75" s="190">
        <v>506052421.48000002</v>
      </c>
      <c r="BN75" s="190">
        <v>506052421.48000002</v>
      </c>
      <c r="BO75" s="190">
        <v>506052421.48000002</v>
      </c>
      <c r="BP75" s="190">
        <v>506052421.48000002</v>
      </c>
      <c r="BQ75" s="190">
        <v>506052421.48000002</v>
      </c>
      <c r="BR75" s="190">
        <v>506052421.48000002</v>
      </c>
      <c r="BS75" s="190">
        <v>505925721.48000002</v>
      </c>
      <c r="BT75" s="190">
        <v>505925721.48000002</v>
      </c>
      <c r="BU75" s="190">
        <v>505925721.48000002</v>
      </c>
      <c r="BV75" s="190">
        <v>505925721.48000002</v>
      </c>
      <c r="BW75" s="190">
        <v>505925721.48000002</v>
      </c>
      <c r="BX75" s="190">
        <v>2631265.48</v>
      </c>
      <c r="BY75" s="190">
        <v>2631265.48</v>
      </c>
      <c r="BZ75" s="190">
        <v>2631265.48</v>
      </c>
      <c r="CA75" s="190">
        <v>2631265.48</v>
      </c>
      <c r="CB75" s="190">
        <v>20131006.48</v>
      </c>
      <c r="CC75" s="190">
        <v>20131006.48</v>
      </c>
      <c r="CD75" s="190">
        <v>20131006.48</v>
      </c>
      <c r="CE75" s="190">
        <v>0</v>
      </c>
    </row>
    <row r="76" spans="1:83"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row>
    <row r="77" spans="1:83" x14ac:dyDescent="0.25">
      <c r="A77" s="190" t="s">
        <v>181</v>
      </c>
      <c r="B77" s="190">
        <v>152689666.56999999</v>
      </c>
      <c r="C77" s="190">
        <v>133905640.73999999</v>
      </c>
      <c r="D77" s="190">
        <v>120920628.78</v>
      </c>
      <c r="E77" s="190">
        <v>96655882.670000002</v>
      </c>
      <c r="F77" s="190">
        <v>72308056.340000004</v>
      </c>
      <c r="G77" s="190">
        <v>69925961.090000004</v>
      </c>
      <c r="H77" s="190">
        <v>76419573.489999995</v>
      </c>
      <c r="I77" s="190">
        <v>83393743.780000001</v>
      </c>
      <c r="J77" s="190">
        <v>-9016658.6899999995</v>
      </c>
      <c r="K77" s="190">
        <v>-24414036.800000001</v>
      </c>
      <c r="L77" s="190">
        <v>0</v>
      </c>
      <c r="M77" s="190">
        <v>0</v>
      </c>
      <c r="N77" s="190">
        <v>49082.63</v>
      </c>
      <c r="O77" s="190">
        <v>49082.63</v>
      </c>
      <c r="P77" s="190">
        <v>-96188.479999999996</v>
      </c>
      <c r="Q77" s="190">
        <v>-96188.479999999996</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row>
    <row r="78" spans="1:83"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row>
    <row r="79" spans="1:83" x14ac:dyDescent="0.25">
      <c r="A79" s="190" t="s">
        <v>183</v>
      </c>
      <c r="B79" s="190">
        <v>1395573887.72</v>
      </c>
      <c r="C79" s="190">
        <v>1395573887.72</v>
      </c>
      <c r="D79" s="190">
        <v>1395573887.72</v>
      </c>
      <c r="E79" s="190">
        <v>1395573887.72</v>
      </c>
      <c r="F79" s="190">
        <v>1067139169.8200001</v>
      </c>
      <c r="G79" s="190">
        <v>1067139169.8200001</v>
      </c>
      <c r="H79" s="190">
        <v>1067139169.8200001</v>
      </c>
      <c r="I79" s="190">
        <v>1067139169.8200001</v>
      </c>
      <c r="J79" s="190">
        <v>812214844.86000001</v>
      </c>
      <c r="K79" s="190">
        <v>812214844.86000001</v>
      </c>
      <c r="L79" s="190">
        <v>812214844.86000001</v>
      </c>
      <c r="M79" s="190">
        <v>812214844.86000001</v>
      </c>
      <c r="N79" s="190">
        <v>517146088.36000001</v>
      </c>
      <c r="O79" s="190">
        <v>517146088.36000001</v>
      </c>
      <c r="P79" s="190">
        <v>517146088.36000001</v>
      </c>
      <c r="Q79" s="190">
        <v>517146088.36000001</v>
      </c>
      <c r="R79" s="190">
        <v>397929893.52999997</v>
      </c>
      <c r="S79" s="190">
        <v>399949756.94999999</v>
      </c>
      <c r="T79" s="190">
        <v>399949756.94999999</v>
      </c>
      <c r="U79" s="190">
        <v>399949756.94999999</v>
      </c>
      <c r="V79" s="190">
        <v>300662950.07999998</v>
      </c>
      <c r="W79" s="190">
        <v>300662950.07999998</v>
      </c>
      <c r="X79" s="190">
        <v>300662950.07999998</v>
      </c>
      <c r="Y79" s="190">
        <v>300662950.07999998</v>
      </c>
      <c r="Z79" s="190">
        <v>291643098.06999999</v>
      </c>
      <c r="AA79" s="190">
        <v>291643098.06999999</v>
      </c>
      <c r="AB79" s="190">
        <v>291643098.06999999</v>
      </c>
      <c r="AC79" s="190">
        <v>291643098.06999999</v>
      </c>
      <c r="AD79" s="190">
        <v>291643098.07999998</v>
      </c>
      <c r="AE79" s="190">
        <v>291643098.07999998</v>
      </c>
      <c r="AF79" s="190">
        <v>291643098.07999998</v>
      </c>
      <c r="AG79" s="190">
        <v>291643098.07999998</v>
      </c>
      <c r="AH79" s="190">
        <v>275129069.83999997</v>
      </c>
      <c r="AI79" s="190">
        <v>275129069.83999997</v>
      </c>
      <c r="AJ79" s="190">
        <v>275129069.83999997</v>
      </c>
      <c r="AK79" s="190">
        <v>275129069.83999997</v>
      </c>
      <c r="AL79" s="190">
        <v>239342521.22999999</v>
      </c>
      <c r="AM79" s="190">
        <v>239342521.22999999</v>
      </c>
      <c r="AN79" s="190">
        <v>239342521.22999999</v>
      </c>
      <c r="AO79" s="190">
        <v>239342521.22999999</v>
      </c>
      <c r="AP79" s="190">
        <v>193861169.96000001</v>
      </c>
      <c r="AQ79" s="190">
        <v>193861169.96000001</v>
      </c>
      <c r="AR79" s="190">
        <v>193861169.96000001</v>
      </c>
      <c r="AS79" s="190">
        <v>193861169.96000001</v>
      </c>
      <c r="AT79" s="190">
        <v>165930092.90000001</v>
      </c>
      <c r="AU79" s="190">
        <v>165930092.90000001</v>
      </c>
      <c r="AV79" s="190">
        <v>167003430.66999999</v>
      </c>
      <c r="AW79" s="190">
        <v>230767222.50999999</v>
      </c>
      <c r="AX79" s="190">
        <v>191564696.37</v>
      </c>
      <c r="AY79" s="190">
        <v>191564696.37</v>
      </c>
      <c r="AZ79" s="190">
        <v>191564696.37</v>
      </c>
      <c r="BA79" s="190">
        <v>191564696.37</v>
      </c>
      <c r="BB79" s="190">
        <v>166623390.08000001</v>
      </c>
      <c r="BC79" s="190">
        <v>166623390.08000001</v>
      </c>
      <c r="BD79" s="190">
        <v>136171324.62</v>
      </c>
      <c r="BE79" s="190">
        <v>136171324.62</v>
      </c>
      <c r="BF79" s="190">
        <v>88574714.370000005</v>
      </c>
      <c r="BG79" s="190">
        <v>88574714.370000005</v>
      </c>
      <c r="BH79" s="190">
        <v>88574714.370000005</v>
      </c>
      <c r="BI79" s="190">
        <v>88574714.370000005</v>
      </c>
      <c r="BJ79" s="190">
        <v>45880184.090000004</v>
      </c>
      <c r="BK79" s="190">
        <v>45880184.090000004</v>
      </c>
      <c r="BL79" s="190">
        <v>116539539.09999999</v>
      </c>
      <c r="BM79" s="190">
        <v>116539539.09999999</v>
      </c>
      <c r="BN79" s="190">
        <v>112539069.48</v>
      </c>
      <c r="BO79" s="190">
        <v>112539069.48</v>
      </c>
      <c r="BP79" s="190">
        <v>112539069.48</v>
      </c>
      <c r="BQ79" s="190">
        <v>112539069.48</v>
      </c>
      <c r="BR79" s="190">
        <v>153185287.08000001</v>
      </c>
      <c r="BS79" s="190">
        <v>112539069.48</v>
      </c>
      <c r="BT79" s="190">
        <v>153185287.08000001</v>
      </c>
      <c r="BU79" s="190">
        <v>153185287.08000001</v>
      </c>
      <c r="BV79" s="190">
        <v>130897450.45</v>
      </c>
      <c r="BW79" s="190">
        <v>155004139.22</v>
      </c>
      <c r="BX79" s="190">
        <v>140680046.91999999</v>
      </c>
      <c r="BY79" s="190">
        <v>140680046.91999999</v>
      </c>
      <c r="BZ79" s="190">
        <v>89817909.019999996</v>
      </c>
      <c r="CA79" s="190">
        <v>89817909.019999996</v>
      </c>
      <c r="CB79" s="190">
        <v>28387873.52</v>
      </c>
      <c r="CC79" s="190">
        <v>28387873.52</v>
      </c>
      <c r="CD79" s="190">
        <v>7038294.8200000003</v>
      </c>
      <c r="CE79" s="190">
        <v>0</v>
      </c>
    </row>
    <row r="80" spans="1:83"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row>
    <row r="81" spans="1:83" x14ac:dyDescent="0.25">
      <c r="A81" s="190" t="s">
        <v>185</v>
      </c>
      <c r="B81" s="190">
        <v>18203224886.07</v>
      </c>
      <c r="C81" s="190">
        <v>16225566899.709999</v>
      </c>
      <c r="D81" s="190">
        <v>16793775373.059999</v>
      </c>
      <c r="E81" s="190">
        <v>15805818418.77</v>
      </c>
      <c r="F81" s="190">
        <v>15854772351.93</v>
      </c>
      <c r="G81" s="190">
        <v>15562759812.76</v>
      </c>
      <c r="H81" s="190">
        <v>15202736931.49</v>
      </c>
      <c r="I81" s="190">
        <v>14272729834.780001</v>
      </c>
      <c r="J81" s="190">
        <v>14020438342.030001</v>
      </c>
      <c r="K81" s="190">
        <v>12097533811.43</v>
      </c>
      <c r="L81" s="190">
        <v>13752003269.74</v>
      </c>
      <c r="M81" s="190">
        <v>12510828619.440001</v>
      </c>
      <c r="N81" s="190">
        <v>11911920147.9</v>
      </c>
      <c r="O81" s="190">
        <v>9825867007.6599998</v>
      </c>
      <c r="P81" s="190">
        <v>10583513192.219999</v>
      </c>
      <c r="Q81" s="190">
        <v>9357384782.9400005</v>
      </c>
      <c r="R81" s="190">
        <v>8521702610.9399996</v>
      </c>
      <c r="S81" s="190">
        <v>5905655669.8500004</v>
      </c>
      <c r="T81" s="190">
        <v>5724061399.3500004</v>
      </c>
      <c r="U81" s="190">
        <v>4881403611.3500004</v>
      </c>
      <c r="V81" s="190">
        <v>4136806835.0999999</v>
      </c>
      <c r="W81" s="190">
        <v>2827644963.9000001</v>
      </c>
      <c r="X81" s="190">
        <v>2464172737.98</v>
      </c>
      <c r="Y81" s="190">
        <v>1993466180.25</v>
      </c>
      <c r="Z81" s="190">
        <v>1632293872.27</v>
      </c>
      <c r="AA81" s="190">
        <v>1060664582.4</v>
      </c>
      <c r="AB81" s="190">
        <v>1011357146.64</v>
      </c>
      <c r="AC81" s="190">
        <v>983713411.76999998</v>
      </c>
      <c r="AD81" s="190">
        <v>1171985489.03</v>
      </c>
      <c r="AE81" s="190">
        <v>1009770339.05</v>
      </c>
      <c r="AF81" s="190">
        <v>908224081.42999995</v>
      </c>
      <c r="AG81" s="190">
        <v>888094039.22000003</v>
      </c>
      <c r="AH81" s="190">
        <v>847222873.74000001</v>
      </c>
      <c r="AI81" s="190">
        <v>672845714.5</v>
      </c>
      <c r="AJ81" s="190">
        <v>602167950.84000003</v>
      </c>
      <c r="AK81" s="190">
        <v>563667939.75</v>
      </c>
      <c r="AL81" s="190">
        <v>282320387.99000001</v>
      </c>
      <c r="AM81" s="190">
        <v>199386644.37</v>
      </c>
      <c r="AN81" s="190">
        <v>468296259.19999999</v>
      </c>
      <c r="AO81" s="190">
        <v>425406985.97000003</v>
      </c>
      <c r="AP81" s="190">
        <v>508185839.54000002</v>
      </c>
      <c r="AQ81" s="190">
        <v>485766573.63999999</v>
      </c>
      <c r="AR81" s="190">
        <v>556928061.27999997</v>
      </c>
      <c r="AS81" s="190">
        <v>483609786.74000001</v>
      </c>
      <c r="AT81" s="190">
        <v>426872068.44</v>
      </c>
      <c r="AU81" s="190">
        <v>300121884.77999997</v>
      </c>
      <c r="AV81" s="190">
        <v>301171350.88</v>
      </c>
      <c r="AW81" s="190">
        <v>683938294.45000005</v>
      </c>
      <c r="AX81" s="190">
        <v>608006940.14999998</v>
      </c>
      <c r="AY81" s="190">
        <v>499254679.17000002</v>
      </c>
      <c r="AZ81" s="190">
        <v>396700232.14999998</v>
      </c>
      <c r="BA81" s="190">
        <v>404369473.94999999</v>
      </c>
      <c r="BB81" s="190">
        <v>666061370.75</v>
      </c>
      <c r="BC81" s="190">
        <v>544781230.94000006</v>
      </c>
      <c r="BD81" s="190">
        <v>537799515.87</v>
      </c>
      <c r="BE81" s="190">
        <v>428568691.87</v>
      </c>
      <c r="BF81" s="190">
        <v>398968274.69</v>
      </c>
      <c r="BG81" s="190">
        <v>327783529.48000002</v>
      </c>
      <c r="BH81" s="190">
        <v>228045888.81</v>
      </c>
      <c r="BI81" s="190">
        <v>158854567.15000001</v>
      </c>
      <c r="BJ81" s="190">
        <v>138769688.41</v>
      </c>
      <c r="BK81" s="190">
        <v>84721301.370000005</v>
      </c>
      <c r="BL81" s="190">
        <v>-32919503.329999998</v>
      </c>
      <c r="BM81" s="190">
        <v>-80173241.239999995</v>
      </c>
      <c r="BN81" s="190">
        <v>-127812995.59999999</v>
      </c>
      <c r="BO81" s="190">
        <v>-105989196.34999999</v>
      </c>
      <c r="BP81" s="190">
        <v>-76039858.829999998</v>
      </c>
      <c r="BQ81" s="190">
        <v>-39628397.740000002</v>
      </c>
      <c r="BR81" s="190">
        <v>11426680.98</v>
      </c>
      <c r="BS81" s="190">
        <v>12903295.939999999</v>
      </c>
      <c r="BT81" s="190">
        <v>-17905804.949999999</v>
      </c>
      <c r="BU81" s="190">
        <v>16520884.529999999</v>
      </c>
      <c r="BV81" s="190">
        <v>-17772880.350000001</v>
      </c>
      <c r="BW81" s="190">
        <v>74715901.629999995</v>
      </c>
      <c r="BX81" s="190">
        <v>125355438.06</v>
      </c>
      <c r="BY81" s="190">
        <v>148817718.41999999</v>
      </c>
      <c r="BZ81" s="190">
        <v>117353216.45999999</v>
      </c>
      <c r="CA81" s="190">
        <v>54459462.350000001</v>
      </c>
      <c r="CB81" s="190">
        <v>50074130.920000002</v>
      </c>
      <c r="CC81" s="190">
        <v>10529167.85</v>
      </c>
      <c r="CD81" s="190">
        <v>38825650.479999997</v>
      </c>
      <c r="CE81" s="190">
        <v>0</v>
      </c>
    </row>
    <row r="82" spans="1:83" x14ac:dyDescent="0.25">
      <c r="A82" s="190" t="s">
        <v>186</v>
      </c>
      <c r="B82" s="190">
        <v>37008078237.309998</v>
      </c>
      <c r="C82" s="190">
        <v>33011908588.380001</v>
      </c>
      <c r="D82" s="190">
        <v>32067349472.57</v>
      </c>
      <c r="E82" s="190">
        <v>30555225086.759998</v>
      </c>
      <c r="F82" s="190">
        <v>30251375017.57</v>
      </c>
      <c r="G82" s="190">
        <v>29956980383.150002</v>
      </c>
      <c r="H82" s="190">
        <v>29603451080.169998</v>
      </c>
      <c r="I82" s="190">
        <v>28680418153.75</v>
      </c>
      <c r="J82" s="190">
        <v>28082029883.77</v>
      </c>
      <c r="K82" s="190">
        <v>26140765672.330002</v>
      </c>
      <c r="L82" s="190">
        <v>27819649167.439999</v>
      </c>
      <c r="M82" s="190">
        <v>26578474517.139999</v>
      </c>
      <c r="N82" s="190">
        <v>25675663591.330002</v>
      </c>
      <c r="O82" s="190">
        <v>23589530277.369999</v>
      </c>
      <c r="P82" s="190">
        <v>24346784122.630001</v>
      </c>
      <c r="Q82" s="190">
        <v>23120655713.349998</v>
      </c>
      <c r="R82" s="190">
        <v>22165654389.889999</v>
      </c>
      <c r="S82" s="190">
        <v>19484012482.27</v>
      </c>
      <c r="T82" s="190">
        <v>19302579215.09</v>
      </c>
      <c r="U82" s="190">
        <v>18459921427.09</v>
      </c>
      <c r="V82" s="190">
        <v>17612851847.41</v>
      </c>
      <c r="W82" s="190">
        <v>15541858826.98</v>
      </c>
      <c r="X82" s="190">
        <v>12946132261.51</v>
      </c>
      <c r="Y82" s="190">
        <v>12286979893.01</v>
      </c>
      <c r="Z82" s="190">
        <v>11960912932.440001</v>
      </c>
      <c r="AA82" s="190">
        <v>11467042087.709999</v>
      </c>
      <c r="AB82" s="190">
        <v>11411432280.690001</v>
      </c>
      <c r="AC82" s="190">
        <v>11932459525.82</v>
      </c>
      <c r="AD82" s="190">
        <v>9503249277.5900002</v>
      </c>
      <c r="AE82" s="190">
        <v>9333993040.5599995</v>
      </c>
      <c r="AF82" s="190">
        <v>9219162919.5400009</v>
      </c>
      <c r="AG82" s="190">
        <v>8868603572.7900009</v>
      </c>
      <c r="AH82" s="190">
        <v>8757723093.3899994</v>
      </c>
      <c r="AI82" s="190">
        <v>8583345934.1499996</v>
      </c>
      <c r="AJ82" s="190">
        <v>8507292598.0299997</v>
      </c>
      <c r="AK82" s="190">
        <v>9240694656.4699993</v>
      </c>
      <c r="AL82" s="190">
        <v>3977581739.3200002</v>
      </c>
      <c r="AM82" s="190">
        <v>3894647995.6999998</v>
      </c>
      <c r="AN82" s="190">
        <v>4160817810.5300002</v>
      </c>
      <c r="AO82" s="190">
        <v>4117928537.3000002</v>
      </c>
      <c r="AP82" s="190">
        <v>4155226039.5999999</v>
      </c>
      <c r="AQ82" s="190">
        <v>4132806773.6999998</v>
      </c>
      <c r="AR82" s="190">
        <v>4203968261.3400002</v>
      </c>
      <c r="AS82" s="190">
        <v>4186637061.25</v>
      </c>
      <c r="AT82" s="190">
        <v>4122276708.0300002</v>
      </c>
      <c r="AU82" s="190">
        <v>2679793802.3899999</v>
      </c>
      <c r="AV82" s="190">
        <v>2681916606.2600002</v>
      </c>
      <c r="AW82" s="190">
        <v>3128447341.6700001</v>
      </c>
      <c r="AX82" s="190">
        <v>3013914630.9499998</v>
      </c>
      <c r="AY82" s="190">
        <v>1473881626.4100001</v>
      </c>
      <c r="AZ82" s="190">
        <v>1371327179.3900001</v>
      </c>
      <c r="BA82" s="190">
        <v>1378996421.1900001</v>
      </c>
      <c r="BB82" s="190">
        <v>1615761091.7</v>
      </c>
      <c r="BC82" s="190">
        <v>1494466871.8900001</v>
      </c>
      <c r="BD82" s="190">
        <v>1456373091.3599999</v>
      </c>
      <c r="BE82" s="190">
        <v>1347142267.3599999</v>
      </c>
      <c r="BF82" s="190">
        <v>1269945239.9300001</v>
      </c>
      <c r="BG82" s="190">
        <v>1198760494.72</v>
      </c>
      <c r="BH82" s="190">
        <v>1098905434.05</v>
      </c>
      <c r="BI82" s="190">
        <v>1029714112.39</v>
      </c>
      <c r="BJ82" s="190">
        <v>966934703.37</v>
      </c>
      <c r="BK82" s="190">
        <v>912886316.33000004</v>
      </c>
      <c r="BL82" s="190">
        <v>871418283.25</v>
      </c>
      <c r="BM82" s="190">
        <v>824164545.34000003</v>
      </c>
      <c r="BN82" s="190">
        <v>772524321.36000001</v>
      </c>
      <c r="BO82" s="190">
        <v>794348120.61000001</v>
      </c>
      <c r="BP82" s="190">
        <v>824297458.13</v>
      </c>
      <c r="BQ82" s="190">
        <v>860708919.22000003</v>
      </c>
      <c r="BR82" s="190">
        <v>952410215.53999996</v>
      </c>
      <c r="BS82" s="190">
        <v>900210616.96000004</v>
      </c>
      <c r="BT82" s="190">
        <v>922951029.61000001</v>
      </c>
      <c r="BU82" s="190">
        <v>957377719.09000003</v>
      </c>
      <c r="BV82" s="190">
        <v>900796117.58000004</v>
      </c>
      <c r="BW82" s="190">
        <v>1017391588.33</v>
      </c>
      <c r="BX82" s="190">
        <v>513663122.45999998</v>
      </c>
      <c r="BY82" s="190">
        <v>414727216.82999998</v>
      </c>
      <c r="BZ82" s="190">
        <v>332300576.95999998</v>
      </c>
      <c r="CA82" s="190">
        <v>269406822.85000002</v>
      </c>
      <c r="CB82" s="190">
        <v>186091714.91999999</v>
      </c>
      <c r="CC82" s="190">
        <v>117380516.84999999</v>
      </c>
      <c r="CD82" s="190">
        <v>124327420.78</v>
      </c>
      <c r="CE82" s="190">
        <v>0</v>
      </c>
    </row>
    <row r="83" spans="1:83" x14ac:dyDescent="0.25">
      <c r="A83" s="190" t="s">
        <v>187</v>
      </c>
      <c r="B83" s="190">
        <v>31785295504.110001</v>
      </c>
      <c r="C83" s="190">
        <v>29278113551.549999</v>
      </c>
      <c r="D83" s="190">
        <v>31038579128.82</v>
      </c>
      <c r="E83" s="190">
        <v>30152334767.150002</v>
      </c>
      <c r="F83" s="190">
        <v>29341256147.470001</v>
      </c>
      <c r="G83" s="190">
        <v>27045004807.32</v>
      </c>
      <c r="H83" s="190">
        <v>28989264002.259998</v>
      </c>
      <c r="I83" s="190">
        <v>28037360173.380001</v>
      </c>
      <c r="J83" s="190">
        <v>26318449403.25</v>
      </c>
      <c r="K83" s="190">
        <v>23577858638.73</v>
      </c>
      <c r="L83" s="190">
        <v>26042965468.759998</v>
      </c>
      <c r="M83" s="190">
        <v>24811167968.560001</v>
      </c>
      <c r="N83" s="190">
        <v>22533393408.5</v>
      </c>
      <c r="O83" s="190">
        <v>19744767565.619999</v>
      </c>
      <c r="P83" s="190">
        <v>21794065485.810001</v>
      </c>
      <c r="Q83" s="190">
        <v>19595282476.130001</v>
      </c>
      <c r="R83" s="190">
        <v>18097445740.75</v>
      </c>
      <c r="S83" s="190">
        <v>15036789471.01</v>
      </c>
      <c r="T83" s="190">
        <v>15939266001.25</v>
      </c>
      <c r="U83" s="190">
        <v>15273867360.459999</v>
      </c>
      <c r="V83" s="190">
        <v>15025974829.309999</v>
      </c>
      <c r="W83" s="190">
        <v>13559280525.91</v>
      </c>
      <c r="X83" s="190">
        <v>13566873113.66</v>
      </c>
      <c r="Y83" s="190">
        <v>13193059577.02</v>
      </c>
      <c r="Z83" s="190">
        <v>13083855297.74</v>
      </c>
      <c r="AA83" s="190">
        <v>12010285314.32</v>
      </c>
      <c r="AB83" s="190">
        <v>10268441988.1</v>
      </c>
      <c r="AC83" s="190">
        <v>10571364798.950001</v>
      </c>
      <c r="AD83" s="190">
        <v>10460301544.48</v>
      </c>
      <c r="AE83" s="190">
        <v>9437011750.1900005</v>
      </c>
      <c r="AF83" s="190">
        <v>7426421974.6199999</v>
      </c>
      <c r="AG83" s="190">
        <v>7343717100.2200003</v>
      </c>
      <c r="AH83" s="190">
        <v>7133264984.9399996</v>
      </c>
      <c r="AI83" s="190">
        <v>6870449981.8299999</v>
      </c>
      <c r="AJ83" s="190">
        <v>6943976793.9499998</v>
      </c>
      <c r="AK83" s="190">
        <v>7121353885.3500004</v>
      </c>
      <c r="AL83" s="190">
        <v>1807143753.3499999</v>
      </c>
      <c r="AM83" s="190">
        <v>1850585126.98</v>
      </c>
      <c r="AN83" s="190">
        <v>1930995156.3399999</v>
      </c>
      <c r="AO83" s="190">
        <v>1908994475.76</v>
      </c>
      <c r="AP83" s="190">
        <v>1980136204.98</v>
      </c>
      <c r="AQ83" s="190">
        <v>1982237563.4400001</v>
      </c>
      <c r="AR83" s="190">
        <v>2200719135.3400002</v>
      </c>
      <c r="AS83" s="190">
        <v>2235982341.3299999</v>
      </c>
      <c r="AT83" s="190">
        <v>2149090347.3499999</v>
      </c>
      <c r="AU83" s="190">
        <v>1973309429.8299999</v>
      </c>
      <c r="AV83" s="190">
        <v>2057272901.48</v>
      </c>
      <c r="AW83" s="190">
        <v>1998839923.02</v>
      </c>
      <c r="AX83" s="190">
        <v>1252835369.0699999</v>
      </c>
      <c r="AY83" s="190">
        <v>1273254907.79</v>
      </c>
      <c r="AZ83" s="190">
        <v>1112788509.0999999</v>
      </c>
      <c r="BA83" s="190">
        <v>1125624484.1700001</v>
      </c>
      <c r="BB83" s="190">
        <v>1210553845.1800001</v>
      </c>
      <c r="BC83" s="190">
        <v>1133695282.8599999</v>
      </c>
      <c r="BD83" s="190">
        <v>1133851371.4200001</v>
      </c>
      <c r="BE83" s="190">
        <v>1059168793.29</v>
      </c>
      <c r="BF83" s="190">
        <v>1006824001.92</v>
      </c>
      <c r="BG83" s="190">
        <v>1009594614.7</v>
      </c>
      <c r="BH83" s="190">
        <v>581467216.55999994</v>
      </c>
      <c r="BI83" s="190">
        <v>597970630.86000001</v>
      </c>
      <c r="BJ83" s="190">
        <v>587012811.07000005</v>
      </c>
      <c r="BK83" s="190">
        <v>554305544.27999997</v>
      </c>
      <c r="BL83" s="190">
        <v>539321604.21000004</v>
      </c>
      <c r="BM83" s="190">
        <v>552562081.29999995</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row>
    <row r="84" spans="1:83" x14ac:dyDescent="0.25">
      <c r="A84" s="190" t="s">
        <v>188</v>
      </c>
      <c r="B84" s="190">
        <v>68793373741.419998</v>
      </c>
      <c r="C84" s="190">
        <v>62290022139.93</v>
      </c>
      <c r="D84" s="190">
        <v>63105928601.389999</v>
      </c>
      <c r="E84" s="190">
        <v>60707559853.910004</v>
      </c>
      <c r="F84" s="190">
        <v>59592631165.040001</v>
      </c>
      <c r="G84" s="190">
        <v>57001985190.470001</v>
      </c>
      <c r="H84" s="190">
        <v>58592715082.43</v>
      </c>
      <c r="I84" s="190">
        <v>56717778327.129997</v>
      </c>
      <c r="J84" s="190">
        <v>54400479287.019997</v>
      </c>
      <c r="K84" s="190">
        <v>49718624311.059998</v>
      </c>
      <c r="L84" s="190">
        <v>53862614636.199997</v>
      </c>
      <c r="M84" s="190">
        <v>51389642485.699997</v>
      </c>
      <c r="N84" s="190">
        <v>48209056999.830002</v>
      </c>
      <c r="O84" s="190">
        <v>43334297842.989998</v>
      </c>
      <c r="P84" s="190">
        <v>46140849608.440002</v>
      </c>
      <c r="Q84" s="190">
        <v>42715938189.480003</v>
      </c>
      <c r="R84" s="190">
        <v>40263100130.639999</v>
      </c>
      <c r="S84" s="190">
        <v>34520801953.279999</v>
      </c>
      <c r="T84" s="190">
        <v>35241845216.339996</v>
      </c>
      <c r="U84" s="190">
        <v>33733788787.549999</v>
      </c>
      <c r="V84" s="190">
        <v>32638826676.720001</v>
      </c>
      <c r="W84" s="190">
        <v>29101139352.889999</v>
      </c>
      <c r="X84" s="190">
        <v>26513005375.169998</v>
      </c>
      <c r="Y84" s="190">
        <v>25480039470.029999</v>
      </c>
      <c r="Z84" s="190">
        <v>25044768230.18</v>
      </c>
      <c r="AA84" s="190">
        <v>23477327402.029999</v>
      </c>
      <c r="AB84" s="190">
        <v>21679874268.790001</v>
      </c>
      <c r="AC84" s="190">
        <v>22503824324.77</v>
      </c>
      <c r="AD84" s="190">
        <v>19963550822.07</v>
      </c>
      <c r="AE84" s="190">
        <v>18771004790.75</v>
      </c>
      <c r="AF84" s="190">
        <v>16645584894.16</v>
      </c>
      <c r="AG84" s="190">
        <v>16212320673.01</v>
      </c>
      <c r="AH84" s="190">
        <v>15890988078.33</v>
      </c>
      <c r="AI84" s="190">
        <v>15453795915.98</v>
      </c>
      <c r="AJ84" s="190">
        <v>15451269391.98</v>
      </c>
      <c r="AK84" s="190">
        <v>16362048541.82</v>
      </c>
      <c r="AL84" s="190">
        <v>5784725492.6700001</v>
      </c>
      <c r="AM84" s="190">
        <v>5745233122.6800003</v>
      </c>
      <c r="AN84" s="190">
        <v>6091812966.8699999</v>
      </c>
      <c r="AO84" s="190">
        <v>6026923013.0600004</v>
      </c>
      <c r="AP84" s="190">
        <v>6135362244.5799999</v>
      </c>
      <c r="AQ84" s="190">
        <v>6115044337.1400003</v>
      </c>
      <c r="AR84" s="190">
        <v>6404687396.6800003</v>
      </c>
      <c r="AS84" s="190">
        <v>6422619402.5799999</v>
      </c>
      <c r="AT84" s="190">
        <v>6271367055.3800001</v>
      </c>
      <c r="AU84" s="190">
        <v>4653103232.2200003</v>
      </c>
      <c r="AV84" s="190">
        <v>4739189507.7399998</v>
      </c>
      <c r="AW84" s="190">
        <v>5127287264.6899996</v>
      </c>
      <c r="AX84" s="190">
        <v>4266750000.02</v>
      </c>
      <c r="AY84" s="190">
        <v>2747136534.1999998</v>
      </c>
      <c r="AZ84" s="190">
        <v>2484115688.4899998</v>
      </c>
      <c r="BA84" s="190">
        <v>2504620905.3600001</v>
      </c>
      <c r="BB84" s="190">
        <v>2826314936.8800001</v>
      </c>
      <c r="BC84" s="190">
        <v>2628162154.75</v>
      </c>
      <c r="BD84" s="190">
        <v>2590224462.7800002</v>
      </c>
      <c r="BE84" s="190">
        <v>2406311060.6500001</v>
      </c>
      <c r="BF84" s="190">
        <v>2276769241.8499999</v>
      </c>
      <c r="BG84" s="190">
        <v>2208355109.4200001</v>
      </c>
      <c r="BH84" s="190">
        <v>1680372650.6099999</v>
      </c>
      <c r="BI84" s="190">
        <v>1627684743.25</v>
      </c>
      <c r="BJ84" s="190">
        <v>1553947514.4400001</v>
      </c>
      <c r="BK84" s="190">
        <v>1467191860.6099999</v>
      </c>
      <c r="BL84" s="190">
        <v>1410739887.46</v>
      </c>
      <c r="BM84" s="190">
        <v>1376726626.6400001</v>
      </c>
      <c r="BN84" s="190">
        <v>772524321.36000001</v>
      </c>
      <c r="BO84" s="190">
        <v>794348120.61000001</v>
      </c>
      <c r="BP84" s="190">
        <v>824297458.13</v>
      </c>
      <c r="BQ84" s="190">
        <v>860708919.22000003</v>
      </c>
      <c r="BR84" s="190">
        <v>952410215.53999996</v>
      </c>
      <c r="BS84" s="190">
        <v>900210616.96000004</v>
      </c>
      <c r="BT84" s="190">
        <v>922951029.61000001</v>
      </c>
      <c r="BU84" s="190">
        <v>957377719.09000003</v>
      </c>
      <c r="BV84" s="190">
        <v>900796117.58000004</v>
      </c>
      <c r="BW84" s="190">
        <v>1017391588.33</v>
      </c>
      <c r="BX84" s="190">
        <v>513663122.45999998</v>
      </c>
      <c r="BY84" s="190">
        <v>414727216.82999998</v>
      </c>
      <c r="BZ84" s="190">
        <v>332300576.95999998</v>
      </c>
      <c r="CA84" s="190">
        <v>269406822.85000002</v>
      </c>
      <c r="CB84" s="190">
        <v>186091714.91999999</v>
      </c>
      <c r="CC84" s="190">
        <v>117380516.84999999</v>
      </c>
      <c r="CD84" s="190">
        <v>124327420.78</v>
      </c>
      <c r="CE84" s="190">
        <v>0</v>
      </c>
    </row>
    <row r="85" spans="1:83" x14ac:dyDescent="0.25">
      <c r="A85" s="190" t="s">
        <v>189</v>
      </c>
      <c r="B85" s="190">
        <v>220314127436.59</v>
      </c>
      <c r="C85" s="190">
        <v>215114980490.44</v>
      </c>
      <c r="D85" s="190">
        <v>212837527068.48001</v>
      </c>
      <c r="E85" s="190">
        <v>208288002562.19</v>
      </c>
      <c r="F85" s="190">
        <v>209488905872.32001</v>
      </c>
      <c r="G85" s="190">
        <v>206345505805.82001</v>
      </c>
      <c r="H85" s="190">
        <v>204748091280.28</v>
      </c>
      <c r="I85" s="190">
        <v>203291030318.37</v>
      </c>
      <c r="J85" s="190">
        <v>198836281939.57001</v>
      </c>
      <c r="K85" s="190">
        <v>192816625129.87</v>
      </c>
      <c r="L85" s="190">
        <v>187389468552.54999</v>
      </c>
      <c r="M85" s="190">
        <v>183544781167.84</v>
      </c>
      <c r="N85" s="190">
        <v>178570114048.38</v>
      </c>
      <c r="O85" s="190">
        <v>174984036677.92999</v>
      </c>
      <c r="P85" s="190">
        <v>174105149152.60001</v>
      </c>
      <c r="Q85" s="190">
        <v>172617316036.42001</v>
      </c>
      <c r="R85" s="190">
        <v>173503845112.23999</v>
      </c>
      <c r="S85" s="190">
        <v>163836124536.59</v>
      </c>
      <c r="T85" s="190">
        <v>163410776723.26999</v>
      </c>
      <c r="U85" s="190">
        <v>159558766004.20999</v>
      </c>
      <c r="V85" s="190">
        <v>156506567371.89001</v>
      </c>
      <c r="W85" s="190">
        <v>151975862757.62</v>
      </c>
      <c r="X85" s="190">
        <v>151052376212.10001</v>
      </c>
      <c r="Y85" s="190">
        <v>145896345910.10999</v>
      </c>
      <c r="Z85" s="190">
        <v>135986225306.31</v>
      </c>
      <c r="AA85" s="190">
        <v>130170271180.45</v>
      </c>
      <c r="AB85" s="190">
        <v>123369453515.52</v>
      </c>
      <c r="AC85" s="190">
        <v>125098186511.84</v>
      </c>
      <c r="AD85" s="190">
        <v>114238672716.09</v>
      </c>
      <c r="AE85" s="190">
        <v>110509853293.64999</v>
      </c>
      <c r="AF85" s="190">
        <v>107059761324.25999</v>
      </c>
      <c r="AG85" s="190">
        <v>101131834697</v>
      </c>
      <c r="AH85" s="190">
        <v>96086085017.600006</v>
      </c>
      <c r="AI85" s="190">
        <v>92448521139.149994</v>
      </c>
      <c r="AJ85" s="190">
        <v>89675709293.139999</v>
      </c>
      <c r="AK85" s="190">
        <v>88391398864.389999</v>
      </c>
      <c r="AL85" s="190">
        <v>18218202242.610001</v>
      </c>
      <c r="AM85" s="190">
        <v>17993935373.720001</v>
      </c>
      <c r="AN85" s="190">
        <v>18498910841.200001</v>
      </c>
      <c r="AO85" s="190">
        <v>18269985438.84</v>
      </c>
      <c r="AP85" s="190">
        <v>18767801492.220001</v>
      </c>
      <c r="AQ85" s="190">
        <v>18508813013.790001</v>
      </c>
      <c r="AR85" s="190">
        <v>18280018768.23</v>
      </c>
      <c r="AS85" s="190">
        <v>18041160260.369999</v>
      </c>
      <c r="AT85" s="190">
        <v>17613152107.459999</v>
      </c>
      <c r="AU85" s="190">
        <v>16943218511.49</v>
      </c>
      <c r="AV85" s="190">
        <v>17178784437.049999</v>
      </c>
      <c r="AW85" s="190">
        <v>17211202481.150002</v>
      </c>
      <c r="AX85" s="190">
        <v>11220375667.92</v>
      </c>
      <c r="AY85" s="190">
        <v>9407644548.7700005</v>
      </c>
      <c r="AZ85" s="190">
        <v>9312307007.7099991</v>
      </c>
      <c r="BA85" s="190">
        <v>8992916651.0599995</v>
      </c>
      <c r="BB85" s="190">
        <v>9386859745.8299999</v>
      </c>
      <c r="BC85" s="190">
        <v>9291002203.0400009</v>
      </c>
      <c r="BD85" s="190">
        <v>9335778500.2399998</v>
      </c>
      <c r="BE85" s="190">
        <v>9010605703.2000008</v>
      </c>
      <c r="BF85" s="190">
        <v>9161995424.75</v>
      </c>
      <c r="BG85" s="190">
        <v>9284977059.2000008</v>
      </c>
      <c r="BH85" s="190">
        <v>4995286557.79</v>
      </c>
      <c r="BI85" s="190">
        <v>4600508528.3500004</v>
      </c>
      <c r="BJ85" s="190">
        <v>4532693840.3999996</v>
      </c>
      <c r="BK85" s="190">
        <v>4493490733.9499998</v>
      </c>
      <c r="BL85" s="190">
        <v>4791563182.8299999</v>
      </c>
      <c r="BM85" s="190">
        <v>4688752636.3400002</v>
      </c>
      <c r="BN85" s="190">
        <v>806397161.87</v>
      </c>
      <c r="BO85" s="190">
        <v>914788713.62</v>
      </c>
      <c r="BP85" s="190">
        <v>889812527.64999998</v>
      </c>
      <c r="BQ85" s="190">
        <v>910684101.21000004</v>
      </c>
      <c r="BR85" s="190">
        <v>1271940223.8699999</v>
      </c>
      <c r="BS85" s="190">
        <v>1113451195.3299999</v>
      </c>
      <c r="BT85" s="190">
        <v>1156672540.8699999</v>
      </c>
      <c r="BU85" s="190">
        <v>1244646123.79</v>
      </c>
      <c r="BV85" s="190">
        <v>1237300673.8499999</v>
      </c>
      <c r="BW85" s="190">
        <v>1273701860.99</v>
      </c>
      <c r="BX85" s="190">
        <v>785591879.15999997</v>
      </c>
      <c r="BY85" s="190">
        <v>586647169.77999997</v>
      </c>
      <c r="BZ85" s="190">
        <v>507147167.06999999</v>
      </c>
      <c r="CA85" s="190">
        <v>483245444.02999997</v>
      </c>
      <c r="CB85" s="190">
        <v>385585868.85000002</v>
      </c>
      <c r="CC85" s="190">
        <v>315133255.58999997</v>
      </c>
      <c r="CD85" s="190">
        <v>150981694.75999999</v>
      </c>
      <c r="CE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7" width="13.88671875" style="190" hidden="1" customWidth="1"/>
    <col min="8"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7" width="12.77734375" style="190" hidden="1" customWidth="1"/>
    <col min="28" max="28" width="13.886718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3.886718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3.88671875" style="190" bestFit="1" customWidth="1"/>
    <col min="66" max="68" width="13.88671875" style="190" hidden="1" customWidth="1"/>
    <col min="69" max="69" width="13.88671875" style="190" bestFit="1" customWidth="1"/>
    <col min="70" max="70" width="12.77734375" style="190" hidden="1" customWidth="1"/>
    <col min="71" max="71" width="12.77734375" style="190" bestFit="1" customWidth="1"/>
    <col min="72" max="72" width="13.88671875" style="190" hidden="1" customWidth="1"/>
    <col min="73" max="73" width="13.88671875" style="190" bestFit="1" customWidth="1"/>
    <col min="74" max="74" width="13.886718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1" width="12.77734375" style="190" bestFit="1" customWidth="1"/>
    <col min="82" max="82" width="12.77734375" style="190" hidden="1" customWidth="1"/>
    <col min="83" max="83" width="12.77734375" style="190" bestFit="1" customWidth="1"/>
    <col min="84" max="84" width="9.5546875" style="190" hidden="1" customWidth="1"/>
    <col min="85" max="16384" width="8.88671875" style="190"/>
  </cols>
  <sheetData>
    <row r="1" spans="1:84"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19700101</v>
      </c>
    </row>
    <row r="2" spans="1:8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row>
    <row r="3" spans="1:84" x14ac:dyDescent="0.25">
      <c r="A3" s="190" t="s">
        <v>190</v>
      </c>
      <c r="B3" s="190">
        <v>30287409358.619999</v>
      </c>
      <c r="C3" s="190">
        <v>17786476419.599998</v>
      </c>
      <c r="D3" s="190">
        <v>9397154643.7700005</v>
      </c>
      <c r="E3" s="190">
        <v>31645284235.709999</v>
      </c>
      <c r="F3" s="190">
        <v>24205181216.639999</v>
      </c>
      <c r="G3" s="190">
        <v>13963103340.84</v>
      </c>
      <c r="H3" s="190">
        <v>7630739661.6099997</v>
      </c>
      <c r="I3" s="190">
        <v>29270802965.48</v>
      </c>
      <c r="J3" s="190">
        <v>22139965801.990002</v>
      </c>
      <c r="K3" s="190">
        <v>13138564310.35</v>
      </c>
      <c r="L3" s="190">
        <v>6900062535.5799999</v>
      </c>
      <c r="M3" s="190">
        <v>31279699772.91</v>
      </c>
      <c r="N3" s="190">
        <v>24390224176.689999</v>
      </c>
      <c r="O3" s="190">
        <v>14926173663.58</v>
      </c>
      <c r="P3" s="190">
        <v>7600001553.6199999</v>
      </c>
      <c r="Q3" s="190">
        <v>32957169192.110001</v>
      </c>
      <c r="R3" s="190">
        <v>25532032094.880001</v>
      </c>
      <c r="S3" s="190">
        <v>14621681241.700001</v>
      </c>
      <c r="T3" s="190">
        <v>7403217065.1400003</v>
      </c>
      <c r="U3" s="190">
        <v>28338981085.049999</v>
      </c>
      <c r="V3" s="190">
        <v>20434757606.32</v>
      </c>
      <c r="W3" s="190">
        <v>12168841172.08</v>
      </c>
      <c r="X3" s="190">
        <v>5971110428.3800001</v>
      </c>
      <c r="Y3" s="190">
        <v>23867007746.380001</v>
      </c>
      <c r="Z3" s="190">
        <v>17863621703.299999</v>
      </c>
      <c r="AA3" s="190">
        <v>10926725049.4</v>
      </c>
      <c r="AB3" s="190">
        <v>5253274351.6700001</v>
      </c>
      <c r="AC3" s="190">
        <v>21703539229.470001</v>
      </c>
      <c r="AD3" s="190">
        <v>15921395685.65</v>
      </c>
      <c r="AE3" s="190">
        <v>9608183225.0499992</v>
      </c>
      <c r="AF3" s="190">
        <v>4295912033.9700003</v>
      </c>
      <c r="AG3" s="190">
        <v>15947612024.690001</v>
      </c>
      <c r="AH3" s="190">
        <v>11586634877.459999</v>
      </c>
      <c r="AI3" s="190">
        <v>6940940134.21</v>
      </c>
      <c r="AJ3" s="190">
        <v>3575394783.4299998</v>
      </c>
      <c r="AK3" s="190">
        <v>11917120466.15</v>
      </c>
      <c r="AL3" s="190">
        <v>4660474238.6400003</v>
      </c>
      <c r="AM3" s="190">
        <v>3199327190.8000002</v>
      </c>
      <c r="AN3" s="190">
        <v>1549689921.1800001</v>
      </c>
      <c r="AO3" s="190">
        <v>6580129765.1800003</v>
      </c>
      <c r="AP3" s="190">
        <v>5120647626.3500004</v>
      </c>
      <c r="AQ3" s="190">
        <v>3442075295.3600001</v>
      </c>
      <c r="AR3" s="190">
        <v>1788555071.6700001</v>
      </c>
      <c r="AS3" s="190">
        <v>6648986102.8400002</v>
      </c>
      <c r="AT3" s="190">
        <v>4881953554.7200003</v>
      </c>
      <c r="AU3" s="190">
        <v>3425705083.5500002</v>
      </c>
      <c r="AV3" s="190">
        <v>1705403569.95</v>
      </c>
      <c r="AW3" s="190">
        <v>4227175509.7600002</v>
      </c>
      <c r="AX3" s="190">
        <v>2437291662.9000001</v>
      </c>
      <c r="AY3" s="190">
        <v>1568102078.4100001</v>
      </c>
      <c r="AZ3" s="190">
        <v>747253293.57000005</v>
      </c>
      <c r="BA3" s="190">
        <v>3061950571.9899998</v>
      </c>
      <c r="BB3" s="190">
        <v>2310240992.0599999</v>
      </c>
      <c r="BC3" s="190">
        <v>1518532763.51</v>
      </c>
      <c r="BD3" s="190">
        <v>787854555.02999997</v>
      </c>
      <c r="BE3" s="190">
        <v>2381073436.8699999</v>
      </c>
      <c r="BF3" s="190">
        <v>1674068801.29</v>
      </c>
      <c r="BG3" s="190">
        <v>1055307641.3</v>
      </c>
      <c r="BH3" s="190">
        <v>329092815.69</v>
      </c>
      <c r="BI3" s="190">
        <v>1376678975.97</v>
      </c>
      <c r="BJ3" s="190">
        <v>1016299162.51</v>
      </c>
      <c r="BK3" s="190">
        <v>673201953.30999994</v>
      </c>
      <c r="BL3" s="190">
        <v>392899732.79000002</v>
      </c>
      <c r="BM3" s="190">
        <v>2537817210.3800001</v>
      </c>
      <c r="BN3" s="190">
        <v>2205060488.2399998</v>
      </c>
      <c r="BO3" s="190">
        <v>1368157879.02</v>
      </c>
      <c r="BP3" s="190">
        <v>611913861.74000001</v>
      </c>
      <c r="BQ3" s="190">
        <v>1906804197.04</v>
      </c>
      <c r="BR3" s="190">
        <v>646311521.90999997</v>
      </c>
      <c r="BS3" s="190">
        <v>1859356500.49</v>
      </c>
      <c r="BT3" s="190">
        <v>550014975.82000005</v>
      </c>
      <c r="BU3" s="190">
        <v>1314833520.3199999</v>
      </c>
      <c r="BV3" s="190">
        <v>566401020.47000003</v>
      </c>
      <c r="BW3" s="190">
        <v>1219304430.73</v>
      </c>
      <c r="BX3" s="190">
        <v>680008277.72000003</v>
      </c>
      <c r="BY3" s="190">
        <v>1366365770.73</v>
      </c>
      <c r="BZ3" s="190">
        <v>636201096.05999994</v>
      </c>
      <c r="CA3" s="190">
        <v>628449021.04999995</v>
      </c>
      <c r="CB3" s="190">
        <v>147083008.72</v>
      </c>
      <c r="CC3" s="190">
        <v>213722595.63</v>
      </c>
      <c r="CD3" s="190">
        <v>111235147.11</v>
      </c>
      <c r="CE3" s="190">
        <v>127632015.77</v>
      </c>
      <c r="CF3" s="190">
        <v>0</v>
      </c>
    </row>
    <row r="4" spans="1:84" x14ac:dyDescent="0.25">
      <c r="A4" s="190" t="s">
        <v>191</v>
      </c>
      <c r="B4" s="190">
        <v>30287409358.619999</v>
      </c>
      <c r="C4" s="190">
        <v>17786476419.599998</v>
      </c>
      <c r="D4" s="190">
        <v>9397154643.7700005</v>
      </c>
      <c r="E4" s="190">
        <v>31645284235.709999</v>
      </c>
      <c r="F4" s="190">
        <v>24205181216.639999</v>
      </c>
      <c r="G4" s="190">
        <v>13963103340.84</v>
      </c>
      <c r="H4" s="190">
        <v>7630739661.6099997</v>
      </c>
      <c r="I4" s="190">
        <v>29270802965.48</v>
      </c>
      <c r="J4" s="190">
        <v>22139965801.990002</v>
      </c>
      <c r="K4" s="190">
        <v>13138564310.35</v>
      </c>
      <c r="L4" s="190">
        <v>6900062535.5799999</v>
      </c>
      <c r="M4" s="190">
        <v>31279699772.91</v>
      </c>
      <c r="N4" s="190">
        <v>24390224176.689999</v>
      </c>
      <c r="O4" s="190">
        <v>14926173663.58</v>
      </c>
      <c r="P4" s="190">
        <v>7600001553.6199999</v>
      </c>
      <c r="Q4" s="190">
        <v>32957169192.110001</v>
      </c>
      <c r="R4" s="190">
        <v>25532032094.880001</v>
      </c>
      <c r="S4" s="190">
        <v>14621681241.700001</v>
      </c>
      <c r="T4" s="190">
        <v>7403217065.1400003</v>
      </c>
      <c r="U4" s="190">
        <v>28338981085.049999</v>
      </c>
      <c r="V4" s="190">
        <v>20434757606.32</v>
      </c>
      <c r="W4" s="190">
        <v>12168841172.08</v>
      </c>
      <c r="X4" s="190">
        <v>5971110428.3800001</v>
      </c>
      <c r="Y4" s="190">
        <v>23867007746.380001</v>
      </c>
      <c r="Z4" s="190">
        <v>17863621703.299999</v>
      </c>
      <c r="AA4" s="190">
        <v>10926725049.4</v>
      </c>
      <c r="AB4" s="190">
        <v>5253274351.6700001</v>
      </c>
      <c r="AC4" s="190">
        <v>21703539229.470001</v>
      </c>
      <c r="AD4" s="190">
        <v>15921395685.65</v>
      </c>
      <c r="AE4" s="190">
        <v>9608183225.0499992</v>
      </c>
      <c r="AF4" s="190">
        <v>4295912033.9700003</v>
      </c>
      <c r="AG4" s="190">
        <v>15947612024.690001</v>
      </c>
      <c r="AH4" s="190">
        <v>11586634877.459999</v>
      </c>
      <c r="AI4" s="190">
        <v>6940940134.21</v>
      </c>
      <c r="AJ4" s="190">
        <v>3575394783.4299998</v>
      </c>
      <c r="AK4" s="190">
        <v>11917120466.15</v>
      </c>
      <c r="AL4" s="190">
        <v>4660474238.6400003</v>
      </c>
      <c r="AM4" s="190">
        <v>3199327190.8000002</v>
      </c>
      <c r="AN4" s="190">
        <v>1549689921.1800001</v>
      </c>
      <c r="AO4" s="190">
        <v>6580129765.1800003</v>
      </c>
      <c r="AP4" s="190">
        <v>5120647626.3500004</v>
      </c>
      <c r="AQ4" s="190">
        <v>3442075295.3600001</v>
      </c>
      <c r="AR4" s="190">
        <v>1788555071.6700001</v>
      </c>
      <c r="AS4" s="190">
        <v>6648986102.8400002</v>
      </c>
      <c r="AT4" s="190">
        <v>4881953554.7200003</v>
      </c>
      <c r="AU4" s="190">
        <v>3425705083.5500002</v>
      </c>
      <c r="AV4" s="190">
        <v>1705403569.95</v>
      </c>
      <c r="AW4" s="190">
        <v>4217034152.5999999</v>
      </c>
      <c r="AX4" s="190">
        <v>2433306901.4000001</v>
      </c>
      <c r="AY4" s="190">
        <v>1565474217.5799999</v>
      </c>
      <c r="AZ4" s="190">
        <v>746157118.29999995</v>
      </c>
      <c r="BA4" s="190">
        <v>3056764453</v>
      </c>
      <c r="BB4" s="190">
        <v>2308914489.1100001</v>
      </c>
      <c r="BC4" s="190">
        <v>1517214113.4100001</v>
      </c>
      <c r="BD4" s="190">
        <v>787189588.39999998</v>
      </c>
      <c r="BE4" s="190">
        <v>2377850873.52</v>
      </c>
      <c r="BF4" s="190">
        <v>1675492643</v>
      </c>
      <c r="BG4" s="190">
        <v>1054599281.13</v>
      </c>
      <c r="BH4" s="190">
        <v>329092815.69</v>
      </c>
      <c r="BI4" s="190">
        <v>1376597157.76</v>
      </c>
      <c r="BJ4" s="190">
        <v>1014596056.9299999</v>
      </c>
      <c r="BK4" s="190">
        <v>672223749.58000004</v>
      </c>
      <c r="BL4" s="190">
        <v>392896529.39999998</v>
      </c>
      <c r="BM4" s="190">
        <v>2536380521.7600002</v>
      </c>
      <c r="BN4" s="190">
        <v>2203933549.6900001</v>
      </c>
      <c r="BO4" s="190">
        <v>1367752390.02</v>
      </c>
      <c r="BP4" s="190">
        <v>611508372.74000001</v>
      </c>
      <c r="BQ4" s="190">
        <v>1906409322.8</v>
      </c>
      <c r="BR4" s="190">
        <v>646122321.89999998</v>
      </c>
      <c r="BS4" s="190">
        <v>1859074053.9000001</v>
      </c>
      <c r="BT4" s="190">
        <v>549623332.33000004</v>
      </c>
      <c r="BU4" s="190">
        <v>1314714236.1099999</v>
      </c>
      <c r="BV4" s="190">
        <v>566333099.61000001</v>
      </c>
      <c r="BW4" s="190">
        <v>1218895749.3699999</v>
      </c>
      <c r="BX4" s="190">
        <v>679984331.27999997</v>
      </c>
      <c r="BY4" s="190">
        <v>1365735697.6600001</v>
      </c>
      <c r="BZ4" s="190">
        <v>636022622.80999994</v>
      </c>
      <c r="CA4" s="190">
        <v>613666529.59000003</v>
      </c>
      <c r="CB4" s="190">
        <v>146955056.78</v>
      </c>
      <c r="CC4" s="190">
        <v>213156267.63999999</v>
      </c>
      <c r="CD4" s="190">
        <v>111235147.11</v>
      </c>
      <c r="CE4" s="190">
        <v>127416182.34</v>
      </c>
      <c r="CF4" s="190">
        <v>0</v>
      </c>
    </row>
    <row r="5" spans="1:84" x14ac:dyDescent="0.25">
      <c r="A5" s="190" t="s">
        <v>192</v>
      </c>
      <c r="B5" s="190">
        <v>22723936104.299999</v>
      </c>
      <c r="C5" s="190">
        <v>14454500049.75</v>
      </c>
      <c r="D5" s="190">
        <v>7294528279.9700003</v>
      </c>
      <c r="E5" s="190">
        <v>25369814306.950001</v>
      </c>
      <c r="F5" s="190">
        <v>18349621761.82</v>
      </c>
      <c r="G5" s="190">
        <v>11372331461.940001</v>
      </c>
      <c r="H5" s="190">
        <v>5754551169.3199997</v>
      </c>
      <c r="I5" s="190">
        <v>21591338149.150002</v>
      </c>
      <c r="J5" s="190">
        <v>15260187849.68</v>
      </c>
      <c r="K5" s="190">
        <v>9665308810.4899998</v>
      </c>
      <c r="L5" s="190">
        <v>4785515497.1599998</v>
      </c>
      <c r="M5" s="190">
        <v>22294638393.810001</v>
      </c>
      <c r="N5" s="190">
        <v>16725712704.01</v>
      </c>
      <c r="O5" s="190">
        <v>10897171835.959999</v>
      </c>
      <c r="P5" s="190">
        <v>5485263796.5100002</v>
      </c>
      <c r="Q5" s="190">
        <v>23693053908.900002</v>
      </c>
      <c r="R5" s="190">
        <v>17469946795.450001</v>
      </c>
      <c r="S5" s="190">
        <v>11404744822.290001</v>
      </c>
      <c r="T5" s="190">
        <v>5792657912.5200005</v>
      </c>
      <c r="U5" s="190">
        <v>22355662336.93</v>
      </c>
      <c r="V5" s="190">
        <v>16052058924.059999</v>
      </c>
      <c r="W5" s="190">
        <v>10149217618.02</v>
      </c>
      <c r="X5" s="190">
        <v>5185880785.0500002</v>
      </c>
      <c r="Y5" s="190">
        <v>21799509304.139999</v>
      </c>
      <c r="Z5" s="190">
        <v>16416358890.120001</v>
      </c>
      <c r="AA5" s="190">
        <v>10786941341.67</v>
      </c>
      <c r="AB5" s="190">
        <v>5343242070.96</v>
      </c>
      <c r="AC5" s="190">
        <v>20913111324.720001</v>
      </c>
      <c r="AD5" s="190">
        <v>15014628118.58</v>
      </c>
      <c r="AE5" s="190">
        <v>9311874655.9099998</v>
      </c>
      <c r="AF5" s="190">
        <v>4257502586.3800001</v>
      </c>
      <c r="AG5" s="190">
        <v>14658673914.969999</v>
      </c>
      <c r="AH5" s="190">
        <v>10617880816.75</v>
      </c>
      <c r="AI5" s="190">
        <v>6729418263.2600002</v>
      </c>
      <c r="AJ5" s="190">
        <v>3499037457.46</v>
      </c>
      <c r="AK5" s="190">
        <v>10827190426.559999</v>
      </c>
      <c r="AL5" s="190">
        <v>4421013859.5299997</v>
      </c>
      <c r="AM5" s="190">
        <v>3054737888.71</v>
      </c>
      <c r="AN5" s="190">
        <v>1503432404.21</v>
      </c>
      <c r="AO5" s="190">
        <v>6373734990.1800003</v>
      </c>
      <c r="AP5" s="190">
        <v>4965748500.2799997</v>
      </c>
      <c r="AQ5" s="190">
        <v>3294548700.2199998</v>
      </c>
      <c r="AR5" s="190">
        <v>1717065350.1199999</v>
      </c>
      <c r="AS5" s="190">
        <v>5754173943.0699997</v>
      </c>
      <c r="AT5" s="190">
        <v>4175609249.8899999</v>
      </c>
      <c r="AU5" s="190">
        <v>2876921889.3299999</v>
      </c>
      <c r="AV5" s="190">
        <v>1419504111.4000001</v>
      </c>
      <c r="AW5" s="190">
        <v>3487180611.1100001</v>
      </c>
      <c r="AX5" s="190">
        <v>1965466771.53</v>
      </c>
      <c r="AY5" s="190">
        <v>1272102444.3699999</v>
      </c>
      <c r="AZ5" s="190">
        <v>634922271.97000003</v>
      </c>
      <c r="BA5" s="190">
        <v>2460902472.6700001</v>
      </c>
      <c r="BB5" s="190">
        <v>1791359409.6300001</v>
      </c>
      <c r="BC5" s="190">
        <v>1165595931.6400001</v>
      </c>
      <c r="BD5" s="190">
        <v>591636789.25</v>
      </c>
      <c r="BE5" s="190">
        <v>1837805487.29</v>
      </c>
      <c r="BF5" s="190">
        <v>1280584955.6300001</v>
      </c>
      <c r="BG5" s="190">
        <v>769541716.82000005</v>
      </c>
      <c r="BH5" s="190">
        <v>240335496.72999999</v>
      </c>
      <c r="BI5" s="190">
        <v>1037562590.73</v>
      </c>
      <c r="BJ5" s="190">
        <v>805637145.39999998</v>
      </c>
      <c r="BK5" s="190">
        <v>532973338.54000002</v>
      </c>
      <c r="BL5" s="190">
        <v>327233304.72000003</v>
      </c>
      <c r="BM5" s="190">
        <v>2550813331.1100001</v>
      </c>
      <c r="BN5" s="190">
        <v>2293655996</v>
      </c>
      <c r="BO5" s="190">
        <v>1434544045.9400001</v>
      </c>
      <c r="BP5" s="190">
        <v>648324672.83000004</v>
      </c>
      <c r="BQ5" s="190">
        <v>1957901767.05</v>
      </c>
      <c r="BR5" s="190">
        <v>630749447.36000001</v>
      </c>
      <c r="BS5" s="190">
        <v>1828884981.47</v>
      </c>
      <c r="BT5" s="190">
        <v>576880969.53999996</v>
      </c>
      <c r="BU5" s="190">
        <v>1366080775.95</v>
      </c>
      <c r="BV5" s="190">
        <v>634376823.38</v>
      </c>
      <c r="BW5" s="190">
        <v>1119176784.6400001</v>
      </c>
      <c r="BX5" s="190">
        <v>555437778.10000002</v>
      </c>
      <c r="BY5" s="190">
        <v>1197745086.3800001</v>
      </c>
      <c r="BZ5" s="190">
        <v>0</v>
      </c>
      <c r="CA5" s="190">
        <v>465807862.64999998</v>
      </c>
      <c r="CB5" s="190">
        <v>0</v>
      </c>
      <c r="CC5" s="190">
        <v>110932462.53</v>
      </c>
      <c r="CD5" s="190">
        <v>0</v>
      </c>
      <c r="CE5" s="190">
        <v>71475306.709999993</v>
      </c>
      <c r="CF5" s="190">
        <v>0</v>
      </c>
    </row>
    <row r="6" spans="1:84" x14ac:dyDescent="0.25">
      <c r="A6" s="190" t="s">
        <v>193</v>
      </c>
      <c r="B6" s="190">
        <v>17335412049.029999</v>
      </c>
      <c r="C6" s="190">
        <v>10985677620.969999</v>
      </c>
      <c r="D6" s="190">
        <v>5604907455.54</v>
      </c>
      <c r="E6" s="190">
        <v>18802813425.34</v>
      </c>
      <c r="F6" s="190">
        <v>13690954012.040001</v>
      </c>
      <c r="G6" s="190">
        <v>8330800141.5900002</v>
      </c>
      <c r="H6" s="190">
        <v>4208437604.4899998</v>
      </c>
      <c r="I6" s="190">
        <v>15100628531.34</v>
      </c>
      <c r="J6" s="190">
        <v>10443343469.48</v>
      </c>
      <c r="K6" s="190">
        <v>6485138772.5900002</v>
      </c>
      <c r="L6" s="190">
        <v>3172250522.6900001</v>
      </c>
      <c r="M6" s="190">
        <v>14949958764.77</v>
      </c>
      <c r="N6" s="190">
        <v>11178937332.32</v>
      </c>
      <c r="O6" s="190">
        <v>7241149269.9300003</v>
      </c>
      <c r="P6" s="190">
        <v>3642925936.1799998</v>
      </c>
      <c r="Q6" s="190">
        <v>16240284880.75</v>
      </c>
      <c r="R6" s="190">
        <v>12182874957.18</v>
      </c>
      <c r="S6" s="190">
        <v>8097015162.4899998</v>
      </c>
      <c r="T6" s="190">
        <v>4161028247.8099999</v>
      </c>
      <c r="U6" s="190">
        <v>16859390927.969999</v>
      </c>
      <c r="V6" s="190">
        <v>12293285761.549999</v>
      </c>
      <c r="W6" s="190">
        <v>7806688265.9200001</v>
      </c>
      <c r="X6" s="190">
        <v>4048177909.9299998</v>
      </c>
      <c r="Y6" s="190">
        <v>17830993366.959999</v>
      </c>
      <c r="Z6" s="190">
        <v>13663961377.280001</v>
      </c>
      <c r="AA6" s="190">
        <v>9097131116.4599991</v>
      </c>
      <c r="AB6" s="190">
        <v>4561320252.3599997</v>
      </c>
      <c r="AC6" s="190">
        <v>18002874363.049999</v>
      </c>
      <c r="AD6" s="190">
        <v>12938008188.41</v>
      </c>
      <c r="AE6" s="190">
        <v>7966739319.9899998</v>
      </c>
      <c r="AF6" s="190">
        <v>3577707490.21</v>
      </c>
      <c r="AG6" s="190">
        <v>12300709001.91</v>
      </c>
      <c r="AH6" s="190">
        <v>8906901739.5</v>
      </c>
      <c r="AI6" s="190">
        <v>5643134194.8599997</v>
      </c>
      <c r="AJ6" s="190">
        <v>2944113800.1700001</v>
      </c>
      <c r="AK6" s="190">
        <v>8568720773.4099998</v>
      </c>
      <c r="AL6" s="190">
        <v>3822773428.0999999</v>
      </c>
      <c r="AM6" s="190">
        <v>2647537533.5799999</v>
      </c>
      <c r="AN6" s="190">
        <v>1294470262.1900001</v>
      </c>
      <c r="AO6" s="190">
        <v>5486677458.1899996</v>
      </c>
      <c r="AP6" s="190">
        <v>4308634971.3900003</v>
      </c>
      <c r="AQ6" s="190">
        <v>2872327200.3299999</v>
      </c>
      <c r="AR6" s="190">
        <v>1506918222.01</v>
      </c>
      <c r="AS6" s="190">
        <v>4953622605.0600004</v>
      </c>
      <c r="AT6" s="190">
        <v>3601428728.6300001</v>
      </c>
      <c r="AU6" s="190">
        <v>2501947941.9200001</v>
      </c>
      <c r="AV6" s="190">
        <v>1239653308.54</v>
      </c>
      <c r="AW6" s="190">
        <v>2991212940.29</v>
      </c>
      <c r="AX6" s="190">
        <v>1689003184.6900001</v>
      </c>
      <c r="AY6" s="190">
        <v>1082311276.6800001</v>
      </c>
      <c r="AZ6" s="190">
        <v>536888369.50999999</v>
      </c>
      <c r="BA6" s="190">
        <v>2064789244.8</v>
      </c>
      <c r="BB6" s="190">
        <v>1490826430.03</v>
      </c>
      <c r="BC6" s="190">
        <v>968579495.03999996</v>
      </c>
      <c r="BD6" s="190">
        <v>489318458.95999998</v>
      </c>
      <c r="BE6" s="190">
        <v>1522572226.01</v>
      </c>
      <c r="BF6" s="190">
        <v>1065345430.78</v>
      </c>
      <c r="BG6" s="190">
        <v>640497710.48000002</v>
      </c>
      <c r="BH6" s="190">
        <v>203124328.44999999</v>
      </c>
      <c r="BI6" s="190">
        <v>849294022.29999995</v>
      </c>
      <c r="BJ6" s="190">
        <v>676222967.48000002</v>
      </c>
      <c r="BK6" s="190">
        <v>448882387.26999998</v>
      </c>
      <c r="BL6" s="190">
        <v>279809126.81999999</v>
      </c>
      <c r="BM6" s="190">
        <v>2278457773.3299999</v>
      </c>
      <c r="BN6" s="190">
        <v>2078550105.47</v>
      </c>
      <c r="BO6" s="190">
        <v>1299132380.52</v>
      </c>
      <c r="BP6" s="190">
        <v>588287981.12</v>
      </c>
      <c r="BQ6" s="190">
        <v>1790471263.3099999</v>
      </c>
      <c r="BR6" s="190">
        <v>587842039.77999997</v>
      </c>
      <c r="BS6" s="190">
        <v>1686826469.3299999</v>
      </c>
      <c r="BT6" s="190">
        <v>537892038.76999998</v>
      </c>
      <c r="BU6" s="190">
        <v>1262408535.9200001</v>
      </c>
      <c r="BV6" s="190">
        <v>593242180.36000001</v>
      </c>
      <c r="BW6" s="190">
        <v>974972031.59000003</v>
      </c>
      <c r="BX6" s="190">
        <v>469798419.18000001</v>
      </c>
      <c r="BY6" s="190">
        <v>1184676713.98</v>
      </c>
      <c r="BZ6" s="190">
        <v>0</v>
      </c>
      <c r="CA6" s="190">
        <v>448903262.67000002</v>
      </c>
      <c r="CB6" s="190">
        <v>0</v>
      </c>
      <c r="CC6" s="190">
        <v>107296083.95</v>
      </c>
      <c r="CD6" s="190">
        <v>0</v>
      </c>
      <c r="CE6" s="190">
        <v>68411425.040000007</v>
      </c>
      <c r="CF6" s="190">
        <v>0</v>
      </c>
    </row>
    <row r="7" spans="1:84" x14ac:dyDescent="0.25">
      <c r="A7" s="190" t="s">
        <v>194</v>
      </c>
      <c r="B7" s="190">
        <v>693128761.88999999</v>
      </c>
      <c r="C7" s="190">
        <v>391781369.31999999</v>
      </c>
      <c r="D7" s="190">
        <v>202013478.81999999</v>
      </c>
      <c r="E7" s="190">
        <v>563632265.88</v>
      </c>
      <c r="F7" s="190">
        <v>419065660.93000001</v>
      </c>
      <c r="G7" s="190">
        <v>268221427.03</v>
      </c>
      <c r="H7" s="190">
        <v>139645399.47999999</v>
      </c>
      <c r="I7" s="190">
        <v>457552305.98000002</v>
      </c>
      <c r="J7" s="190">
        <v>310049176.24000001</v>
      </c>
      <c r="K7" s="190">
        <v>187390171.59</v>
      </c>
      <c r="L7" s="190">
        <v>108006382.68000001</v>
      </c>
      <c r="M7" s="190">
        <v>477811121.38999999</v>
      </c>
      <c r="N7" s="190">
        <v>382638589.73000002</v>
      </c>
      <c r="O7" s="190">
        <v>228206532.72</v>
      </c>
      <c r="P7" s="190">
        <v>116267597.44</v>
      </c>
      <c r="Q7" s="190">
        <v>435828042.25</v>
      </c>
      <c r="R7" s="190">
        <v>328987671.73000002</v>
      </c>
      <c r="S7" s="190">
        <v>170759759.09</v>
      </c>
      <c r="T7" s="190">
        <v>89320225.640000001</v>
      </c>
      <c r="U7" s="190">
        <v>275451532.95999998</v>
      </c>
      <c r="V7" s="190">
        <v>204351367.24000001</v>
      </c>
      <c r="W7" s="190">
        <v>98718272.170000002</v>
      </c>
      <c r="X7" s="190">
        <v>46405928.890000001</v>
      </c>
      <c r="Y7" s="190">
        <v>195450929.24000001</v>
      </c>
      <c r="Z7" s="190">
        <v>130711364.63</v>
      </c>
      <c r="AA7" s="190">
        <v>71452206.560000002</v>
      </c>
      <c r="AB7" s="190">
        <v>31511762.120000001</v>
      </c>
      <c r="AC7" s="190">
        <v>143245951.97</v>
      </c>
      <c r="AD7" s="190">
        <v>113793938.73999999</v>
      </c>
      <c r="AE7" s="190">
        <v>65402651.609999999</v>
      </c>
      <c r="AF7" s="190">
        <v>27549512.530000001</v>
      </c>
      <c r="AG7" s="190">
        <v>122161669.63</v>
      </c>
      <c r="AH7" s="190">
        <v>88387121.469999999</v>
      </c>
      <c r="AI7" s="190">
        <v>42257616.039999999</v>
      </c>
      <c r="AJ7" s="190">
        <v>20950309.27</v>
      </c>
      <c r="AK7" s="190">
        <v>105974818.13</v>
      </c>
      <c r="AL7" s="190">
        <v>22852516.710000001</v>
      </c>
      <c r="AM7" s="190">
        <v>14196169.82</v>
      </c>
      <c r="AN7" s="190">
        <v>6460568.0999999996</v>
      </c>
      <c r="AO7" s="190">
        <v>29625736.52</v>
      </c>
      <c r="AP7" s="190">
        <v>22996582.84</v>
      </c>
      <c r="AQ7" s="190">
        <v>13849189.49</v>
      </c>
      <c r="AR7" s="190">
        <v>5817043.3300000001</v>
      </c>
      <c r="AS7" s="190">
        <v>20969908.780000001</v>
      </c>
      <c r="AT7" s="190">
        <v>14892376.74</v>
      </c>
      <c r="AU7" s="190">
        <v>9519602.4900000002</v>
      </c>
      <c r="AV7" s="190">
        <v>4002052.76</v>
      </c>
      <c r="AW7" s="190">
        <v>11595240.35</v>
      </c>
      <c r="AX7" s="190">
        <v>8999867.1300000008</v>
      </c>
      <c r="AY7" s="190">
        <v>6007357.4500000002</v>
      </c>
      <c r="AZ7" s="190">
        <v>2104577.39</v>
      </c>
      <c r="BA7" s="190">
        <v>10353101.16</v>
      </c>
      <c r="BB7" s="190">
        <v>7809508.6100000003</v>
      </c>
      <c r="BC7" s="190">
        <v>4567452.24</v>
      </c>
      <c r="BD7" s="190">
        <v>1599302.77</v>
      </c>
      <c r="BE7" s="190">
        <v>7060017.4100000001</v>
      </c>
      <c r="BF7" s="190">
        <v>4845746.53</v>
      </c>
      <c r="BG7" s="190">
        <v>3073461.2</v>
      </c>
      <c r="BH7" s="190">
        <v>1017184.82</v>
      </c>
      <c r="BI7" s="190">
        <v>5804603.5899999999</v>
      </c>
      <c r="BJ7" s="190">
        <v>3871150.02</v>
      </c>
      <c r="BK7" s="190">
        <v>2056249.88</v>
      </c>
      <c r="BL7" s="190">
        <v>735429.71</v>
      </c>
      <c r="BM7" s="190">
        <v>159710794.02000001</v>
      </c>
      <c r="BN7" s="190">
        <v>158154103.47</v>
      </c>
      <c r="BO7" s="190">
        <v>101327612.17</v>
      </c>
      <c r="BP7" s="190">
        <v>49735643.399999999</v>
      </c>
      <c r="BQ7" s="190">
        <v>115145718.44</v>
      </c>
      <c r="BR7" s="190">
        <v>25944218.300000001</v>
      </c>
      <c r="BS7" s="190">
        <v>104025004.81</v>
      </c>
      <c r="BT7" s="190">
        <v>26012204.870000001</v>
      </c>
      <c r="BU7" s="190">
        <v>75296582.010000005</v>
      </c>
      <c r="BV7" s="190">
        <v>24452956.84</v>
      </c>
      <c r="BW7" s="190">
        <v>118571168.17</v>
      </c>
      <c r="BX7" s="190">
        <v>75754759.849999994</v>
      </c>
      <c r="BY7" s="190">
        <v>1714519.81</v>
      </c>
      <c r="BZ7" s="190">
        <v>0</v>
      </c>
      <c r="CA7" s="190">
        <v>1626136.71</v>
      </c>
      <c r="CB7" s="190">
        <v>0</v>
      </c>
      <c r="CC7" s="190">
        <v>1611066.23</v>
      </c>
      <c r="CD7" s="190">
        <v>0</v>
      </c>
      <c r="CE7" s="190">
        <v>1162940.06</v>
      </c>
      <c r="CF7" s="190">
        <v>0</v>
      </c>
    </row>
    <row r="8" spans="1:84" x14ac:dyDescent="0.25">
      <c r="A8" s="190" t="s">
        <v>195</v>
      </c>
      <c r="B8" s="190">
        <v>5188673.41</v>
      </c>
      <c r="C8" s="190">
        <v>3555185.7</v>
      </c>
      <c r="D8" s="190">
        <v>1093503.06</v>
      </c>
      <c r="E8" s="190">
        <v>7555575.1600000001</v>
      </c>
      <c r="F8" s="190">
        <v>5294391.33</v>
      </c>
      <c r="G8" s="190">
        <v>3457929.07</v>
      </c>
      <c r="H8" s="190">
        <v>1360352.63</v>
      </c>
      <c r="I8" s="190">
        <v>5996781.04</v>
      </c>
      <c r="J8" s="190">
        <v>4483665.4400000004</v>
      </c>
      <c r="K8" s="190">
        <v>3033969.4</v>
      </c>
      <c r="L8" s="190">
        <v>737978.25</v>
      </c>
      <c r="M8" s="190">
        <v>6555754.2699999996</v>
      </c>
      <c r="N8" s="190">
        <v>5260996.84</v>
      </c>
      <c r="O8" s="190">
        <v>3543648.71</v>
      </c>
      <c r="P8" s="190">
        <v>1103936.22</v>
      </c>
      <c r="Q8" s="190">
        <v>16938541.219999999</v>
      </c>
      <c r="R8" s="190">
        <v>14829495.98</v>
      </c>
      <c r="S8" s="190">
        <v>12019350.76</v>
      </c>
      <c r="T8" s="190">
        <v>6333692.1900000004</v>
      </c>
      <c r="U8" s="190">
        <v>50430538.899999999</v>
      </c>
      <c r="V8" s="190">
        <v>39250424.280000001</v>
      </c>
      <c r="W8" s="190">
        <v>30832709.100000001</v>
      </c>
      <c r="X8" s="190">
        <v>23815566.629999999</v>
      </c>
      <c r="Y8" s="190">
        <v>43366409.82</v>
      </c>
      <c r="Z8" s="190">
        <v>24082564.879999999</v>
      </c>
      <c r="AA8" s="190">
        <v>15032374.119999999</v>
      </c>
      <c r="AB8" s="190">
        <v>6308215.2999999998</v>
      </c>
      <c r="AC8" s="190">
        <v>33250545.010000002</v>
      </c>
      <c r="AD8" s="190">
        <v>27369745.41</v>
      </c>
      <c r="AE8" s="190">
        <v>6807124.5800000001</v>
      </c>
      <c r="AF8" s="190">
        <v>9782521.8699999992</v>
      </c>
      <c r="AG8" s="190">
        <v>14740158.970000001</v>
      </c>
      <c r="AH8" s="190">
        <v>10551877.33</v>
      </c>
      <c r="AI8" s="190">
        <v>7202900.3499999996</v>
      </c>
      <c r="AJ8" s="190">
        <v>2476554.2000000002</v>
      </c>
      <c r="AK8" s="190">
        <v>4458340.32</v>
      </c>
      <c r="AL8" s="190">
        <v>5592608.0099999998</v>
      </c>
      <c r="AM8" s="190">
        <v>2524391.86</v>
      </c>
      <c r="AN8" s="190">
        <v>2803319.25</v>
      </c>
      <c r="AO8" s="190">
        <v>11690672.310000001</v>
      </c>
      <c r="AP8" s="190">
        <v>17037598.199999999</v>
      </c>
      <c r="AQ8" s="190">
        <v>13059786.779999999</v>
      </c>
      <c r="AR8" s="190">
        <v>6536243.0599999996</v>
      </c>
      <c r="AS8" s="190">
        <v>9443784.8100000005</v>
      </c>
      <c r="AT8" s="190">
        <v>7240704.79</v>
      </c>
      <c r="AU8" s="190">
        <v>5037153.51</v>
      </c>
      <c r="AV8" s="190">
        <v>2675133.1</v>
      </c>
      <c r="AW8" s="190">
        <v>10928492.16</v>
      </c>
      <c r="AX8" s="190">
        <v>7067642.7300000004</v>
      </c>
      <c r="AY8" s="190">
        <v>4461398.3899999997</v>
      </c>
      <c r="AZ8" s="190">
        <v>2604944.2999999998</v>
      </c>
      <c r="BA8" s="190">
        <v>10374715.279999999</v>
      </c>
      <c r="BB8" s="190">
        <v>7903097.6299999999</v>
      </c>
      <c r="BC8" s="190">
        <v>4812201.45</v>
      </c>
      <c r="BD8" s="190">
        <v>2718559.54</v>
      </c>
      <c r="BE8" s="190">
        <v>9491683.5600000005</v>
      </c>
      <c r="BF8" s="190">
        <v>6705755.3399999999</v>
      </c>
      <c r="BG8" s="190">
        <v>4776275.22</v>
      </c>
      <c r="BH8" s="190">
        <v>2339110.8199999998</v>
      </c>
      <c r="BI8" s="190">
        <v>8252358.5099999998</v>
      </c>
      <c r="BJ8" s="190">
        <v>5720975.7199999997</v>
      </c>
      <c r="BK8" s="190">
        <v>4159667.56</v>
      </c>
      <c r="BL8" s="190">
        <v>2159355.7400000002</v>
      </c>
      <c r="BM8" s="190">
        <v>5254365.47</v>
      </c>
      <c r="BN8" s="190">
        <v>2652487.39</v>
      </c>
      <c r="BO8" s="190">
        <v>3625229.47</v>
      </c>
      <c r="BP8" s="190">
        <v>808986.43</v>
      </c>
      <c r="BQ8" s="190">
        <v>3045031.1</v>
      </c>
      <c r="BR8" s="190">
        <v>1269103.17</v>
      </c>
      <c r="BS8" s="190">
        <v>2715260.55</v>
      </c>
      <c r="BT8" s="190">
        <v>836402.46</v>
      </c>
      <c r="BU8" s="190">
        <v>6424518.5700000003</v>
      </c>
      <c r="BV8" s="190">
        <v>5384556.7999999998</v>
      </c>
      <c r="BW8" s="190">
        <v>6024911.4100000001</v>
      </c>
      <c r="BX8" s="190">
        <v>4316092.0999999996</v>
      </c>
      <c r="BY8" s="190">
        <v>1238907.43</v>
      </c>
      <c r="BZ8" s="190">
        <v>0</v>
      </c>
      <c r="CA8" s="190">
        <v>1132037.73</v>
      </c>
      <c r="CB8" s="190">
        <v>0</v>
      </c>
      <c r="CC8" s="190">
        <v>370359.06</v>
      </c>
      <c r="CD8" s="190">
        <v>0</v>
      </c>
      <c r="CE8" s="190">
        <v>685814.42</v>
      </c>
      <c r="CF8" s="190">
        <v>0</v>
      </c>
    </row>
    <row r="9" spans="1:84" x14ac:dyDescent="0.25">
      <c r="A9" s="190" t="s">
        <v>196</v>
      </c>
      <c r="B9" s="190">
        <v>769015966.67999995</v>
      </c>
      <c r="C9" s="190">
        <v>539768112.92999995</v>
      </c>
      <c r="D9" s="190">
        <v>245824352.93000001</v>
      </c>
      <c r="E9" s="190">
        <v>999062914.15999997</v>
      </c>
      <c r="F9" s="190">
        <v>674137933.04999995</v>
      </c>
      <c r="G9" s="190">
        <v>395650449.10000002</v>
      </c>
      <c r="H9" s="190">
        <v>212660948.59</v>
      </c>
      <c r="I9" s="190">
        <v>935503345.89999998</v>
      </c>
      <c r="J9" s="190">
        <v>690956986.73000002</v>
      </c>
      <c r="K9" s="190">
        <v>411099346.33999997</v>
      </c>
      <c r="L9" s="190">
        <v>206145180.44</v>
      </c>
      <c r="M9" s="190">
        <v>867126250.90999997</v>
      </c>
      <c r="N9" s="190">
        <v>587548571.40999997</v>
      </c>
      <c r="O9" s="190">
        <v>360286687.81</v>
      </c>
      <c r="P9" s="190">
        <v>174274830.13</v>
      </c>
      <c r="Q9" s="190">
        <v>805069824.28999996</v>
      </c>
      <c r="R9" s="190">
        <v>523092708.31</v>
      </c>
      <c r="S9" s="190">
        <v>331897299.69999999</v>
      </c>
      <c r="T9" s="190">
        <v>157559215.53999999</v>
      </c>
      <c r="U9" s="190">
        <v>740755626.61000001</v>
      </c>
      <c r="V9" s="190">
        <v>467945851.72000003</v>
      </c>
      <c r="W9" s="190">
        <v>284288843.19</v>
      </c>
      <c r="X9" s="190">
        <v>128137886.11</v>
      </c>
      <c r="Y9" s="190">
        <v>640802468.13999999</v>
      </c>
      <c r="Z9" s="190">
        <v>403806222.29000002</v>
      </c>
      <c r="AA9" s="190">
        <v>232526542.46000001</v>
      </c>
      <c r="AB9" s="190">
        <v>106282419.84</v>
      </c>
      <c r="AC9" s="190">
        <v>560265677.49000001</v>
      </c>
      <c r="AD9" s="190">
        <v>356419102.73000002</v>
      </c>
      <c r="AE9" s="190">
        <v>216999361.90000001</v>
      </c>
      <c r="AF9" s="190">
        <v>102658594.41</v>
      </c>
      <c r="AG9" s="190">
        <v>464798208.04000002</v>
      </c>
      <c r="AH9" s="190">
        <v>305782238.52999997</v>
      </c>
      <c r="AI9" s="190">
        <v>186564185.31</v>
      </c>
      <c r="AJ9" s="190">
        <v>85180433.5</v>
      </c>
      <c r="AK9" s="190">
        <v>444250932.95999998</v>
      </c>
      <c r="AL9" s="190">
        <v>128281686.22</v>
      </c>
      <c r="AM9" s="190">
        <v>84555407.530000001</v>
      </c>
      <c r="AN9" s="190">
        <v>47597222.909999996</v>
      </c>
      <c r="AO9" s="190">
        <v>193049342.69999999</v>
      </c>
      <c r="AP9" s="190">
        <v>148783494.94999999</v>
      </c>
      <c r="AQ9" s="190">
        <v>93540898.670000002</v>
      </c>
      <c r="AR9" s="190">
        <v>50396407.299999997</v>
      </c>
      <c r="AS9" s="190">
        <v>181845598.19999999</v>
      </c>
      <c r="AT9" s="190">
        <v>121185186.06999999</v>
      </c>
      <c r="AU9" s="190">
        <v>80605125.230000004</v>
      </c>
      <c r="AV9" s="190">
        <v>40071653.979999997</v>
      </c>
      <c r="AW9" s="190">
        <v>136723054.75999999</v>
      </c>
      <c r="AX9" s="190">
        <v>60228640.909999996</v>
      </c>
      <c r="AY9" s="190">
        <v>42556360.710000001</v>
      </c>
      <c r="AZ9" s="190">
        <v>16854309.300000001</v>
      </c>
      <c r="BA9" s="190">
        <v>81930840.450000003</v>
      </c>
      <c r="BB9" s="190">
        <v>57732292.060000002</v>
      </c>
      <c r="BC9" s="190">
        <v>37135849.020000003</v>
      </c>
      <c r="BD9" s="190">
        <v>23690920.059999999</v>
      </c>
      <c r="BE9" s="190">
        <v>65974899.07</v>
      </c>
      <c r="BF9" s="190">
        <v>43554251.159999996</v>
      </c>
      <c r="BG9" s="190">
        <v>34435209.549999997</v>
      </c>
      <c r="BH9" s="190">
        <v>6847007.2300000004</v>
      </c>
      <c r="BI9" s="190">
        <v>38018187.740000002</v>
      </c>
      <c r="BJ9" s="190">
        <v>13115630.390000001</v>
      </c>
      <c r="BK9" s="190">
        <v>1930144.23</v>
      </c>
      <c r="BL9" s="190">
        <v>8054116.8600000003</v>
      </c>
      <c r="BM9" s="190">
        <v>66697920.439999998</v>
      </c>
      <c r="BN9" s="190">
        <v>54551692.140000001</v>
      </c>
      <c r="BO9" s="190">
        <v>30638188.09</v>
      </c>
      <c r="BP9" s="190">
        <v>9606170.3699999992</v>
      </c>
      <c r="BQ9" s="190">
        <v>47905028.289999999</v>
      </c>
      <c r="BR9" s="190">
        <v>14389505.550000001</v>
      </c>
      <c r="BS9" s="190">
        <v>29360730.66</v>
      </c>
      <c r="BT9" s="190">
        <v>7711478.6100000003</v>
      </c>
      <c r="BU9" s="190">
        <v>11282548.199999999</v>
      </c>
      <c r="BV9" s="190">
        <v>6499523.8600000003</v>
      </c>
      <c r="BW9" s="190">
        <v>16182357.470000001</v>
      </c>
      <c r="BX9" s="190">
        <v>4203332.2300000004</v>
      </c>
      <c r="BY9" s="190">
        <v>7277503.9400000004</v>
      </c>
      <c r="BZ9" s="190">
        <v>0</v>
      </c>
      <c r="CA9" s="190">
        <v>9238054.9299999997</v>
      </c>
      <c r="CB9" s="190">
        <v>0</v>
      </c>
      <c r="CC9" s="190">
        <v>6201153.5800000001</v>
      </c>
      <c r="CD9" s="190">
        <v>0</v>
      </c>
      <c r="CE9" s="190">
        <v>3503307.24</v>
      </c>
      <c r="CF9" s="190">
        <v>0</v>
      </c>
    </row>
    <row r="10" spans="1:84" x14ac:dyDescent="0.25">
      <c r="A10" s="190" t="s">
        <v>197</v>
      </c>
      <c r="B10" s="190">
        <v>3816738648.5799999</v>
      </c>
      <c r="C10" s="190">
        <v>2455863765.6100001</v>
      </c>
      <c r="D10" s="190">
        <v>1203162162.25</v>
      </c>
      <c r="E10" s="190">
        <v>4877767640.1800003</v>
      </c>
      <c r="F10" s="190">
        <v>3541709806.5999999</v>
      </c>
      <c r="G10" s="190">
        <v>2355728788.25</v>
      </c>
      <c r="H10" s="190">
        <v>1192852335.3299999</v>
      </c>
      <c r="I10" s="190">
        <v>5042197414.4700003</v>
      </c>
      <c r="J10" s="190">
        <v>3788750145.1999998</v>
      </c>
      <c r="K10" s="190">
        <v>2556042143.98</v>
      </c>
      <c r="L10" s="190">
        <v>1298375752.02</v>
      </c>
      <c r="M10" s="190">
        <v>5890142561.1499996</v>
      </c>
      <c r="N10" s="190">
        <v>4518230704.8000002</v>
      </c>
      <c r="O10" s="190">
        <v>3031769295.5100002</v>
      </c>
      <c r="P10" s="190">
        <v>1550691496.54</v>
      </c>
      <c r="Q10" s="190">
        <v>6155502357.54</v>
      </c>
      <c r="R10" s="190">
        <v>4412610481.75</v>
      </c>
      <c r="S10" s="190">
        <v>2785501769.75</v>
      </c>
      <c r="T10" s="190">
        <v>1378416531.3399999</v>
      </c>
      <c r="U10" s="190">
        <v>4410221516.3400002</v>
      </c>
      <c r="V10" s="190">
        <v>3040791365.1799998</v>
      </c>
      <c r="W10" s="190">
        <v>1922234045.1199999</v>
      </c>
      <c r="X10" s="190">
        <v>939343493.49000001</v>
      </c>
      <c r="Y10" s="190">
        <v>3083184860.8699999</v>
      </c>
      <c r="Z10" s="190">
        <v>2184708235.5599999</v>
      </c>
      <c r="AA10" s="190">
        <v>1362812858.8599999</v>
      </c>
      <c r="AB10" s="190">
        <v>637819421.34000003</v>
      </c>
      <c r="AC10" s="190">
        <v>2161367333.0300002</v>
      </c>
      <c r="AD10" s="190">
        <v>1574256733.5799999</v>
      </c>
      <c r="AE10" s="190">
        <v>1051252973.4400001</v>
      </c>
      <c r="AF10" s="190">
        <v>539804467.36000001</v>
      </c>
      <c r="AG10" s="190">
        <v>1754717010.78</v>
      </c>
      <c r="AH10" s="190">
        <v>1306300339.9200001</v>
      </c>
      <c r="AI10" s="190">
        <v>850301866.70000005</v>
      </c>
      <c r="AJ10" s="190">
        <v>446358860.31999999</v>
      </c>
      <c r="AK10" s="190">
        <v>1695173122.1600001</v>
      </c>
      <c r="AL10" s="190">
        <v>443096413.83999997</v>
      </c>
      <c r="AM10" s="190">
        <v>303591538.69</v>
      </c>
      <c r="AN10" s="190">
        <v>152101031.75999999</v>
      </c>
      <c r="AO10" s="190">
        <v>631921842.64999998</v>
      </c>
      <c r="AP10" s="190">
        <v>468549156.26999998</v>
      </c>
      <c r="AQ10" s="190">
        <v>302024128.31999999</v>
      </c>
      <c r="AR10" s="190">
        <v>147418759.78999999</v>
      </c>
      <c r="AS10" s="190">
        <v>599010240.94000006</v>
      </c>
      <c r="AT10" s="190">
        <v>430862253.66000003</v>
      </c>
      <c r="AU10" s="190">
        <v>279812066.18000001</v>
      </c>
      <c r="AV10" s="190">
        <v>133101963.02</v>
      </c>
      <c r="AW10" s="190">
        <v>336720883.55000001</v>
      </c>
      <c r="AX10" s="190">
        <v>200167436.06999999</v>
      </c>
      <c r="AY10" s="190">
        <v>136766051.13999999</v>
      </c>
      <c r="AZ10" s="190">
        <v>76470071.469999999</v>
      </c>
      <c r="BA10" s="190">
        <v>293454570.98000002</v>
      </c>
      <c r="BB10" s="190">
        <v>227088081.30000001</v>
      </c>
      <c r="BC10" s="190">
        <v>150500933.88999999</v>
      </c>
      <c r="BD10" s="190">
        <v>74309547.920000002</v>
      </c>
      <c r="BE10" s="190">
        <v>232706661.24000001</v>
      </c>
      <c r="BF10" s="190">
        <v>160133771.81999999</v>
      </c>
      <c r="BG10" s="190">
        <v>86759060.370000005</v>
      </c>
      <c r="BH10" s="190">
        <v>27007865.41</v>
      </c>
      <c r="BI10" s="190">
        <v>136193418.59</v>
      </c>
      <c r="BJ10" s="190">
        <v>106706421.79000001</v>
      </c>
      <c r="BK10" s="190">
        <v>75944889.599999994</v>
      </c>
      <c r="BL10" s="190">
        <v>36475275.590000004</v>
      </c>
      <c r="BM10" s="190">
        <v>40692477.850000001</v>
      </c>
      <c r="BN10" s="190">
        <v>-252392.47</v>
      </c>
      <c r="BO10" s="190">
        <v>-179364.31</v>
      </c>
      <c r="BP10" s="190">
        <v>-114108.49</v>
      </c>
      <c r="BQ10" s="190">
        <v>1334725.9099999999</v>
      </c>
      <c r="BR10" s="190">
        <v>1304580.56</v>
      </c>
      <c r="BS10" s="190">
        <v>6732600.2400000002</v>
      </c>
      <c r="BT10" s="190">
        <v>4596566.63</v>
      </c>
      <c r="BU10" s="190">
        <v>9893507.1300000008</v>
      </c>
      <c r="BV10" s="190">
        <v>4797605.5199999996</v>
      </c>
      <c r="BW10" s="190">
        <v>3426316</v>
      </c>
      <c r="BX10" s="190">
        <v>1365174.74</v>
      </c>
      <c r="BY10" s="190">
        <v>2837441.22</v>
      </c>
      <c r="BZ10" s="190">
        <v>0</v>
      </c>
      <c r="CA10" s="190">
        <v>4908370.6100000003</v>
      </c>
      <c r="CB10" s="190">
        <v>0</v>
      </c>
      <c r="CC10" s="190">
        <v>-4546200.29</v>
      </c>
      <c r="CD10" s="190">
        <v>0</v>
      </c>
      <c r="CE10" s="190">
        <v>-2288180.0499999998</v>
      </c>
      <c r="CF10" s="190">
        <v>0</v>
      </c>
    </row>
    <row r="11" spans="1:84" x14ac:dyDescent="0.25">
      <c r="A11" s="190" t="s">
        <v>198</v>
      </c>
      <c r="B11" s="190">
        <v>103536839.64</v>
      </c>
      <c r="C11" s="190">
        <v>77853995.219999999</v>
      </c>
      <c r="D11" s="190">
        <v>37527327.369999997</v>
      </c>
      <c r="E11" s="190">
        <v>118982486.23</v>
      </c>
      <c r="F11" s="190">
        <v>18459957.870000001</v>
      </c>
      <c r="G11" s="190">
        <v>18472726.899999999</v>
      </c>
      <c r="H11" s="190">
        <v>-405471.2</v>
      </c>
      <c r="I11" s="190">
        <v>49459770.420000002</v>
      </c>
      <c r="J11" s="190">
        <v>22604406.59</v>
      </c>
      <c r="K11" s="190">
        <v>22604406.59</v>
      </c>
      <c r="L11" s="190">
        <v>-318.92</v>
      </c>
      <c r="M11" s="190">
        <v>103043941.31999999</v>
      </c>
      <c r="N11" s="190">
        <v>53096508.909999996</v>
      </c>
      <c r="O11" s="190">
        <v>32216401.280000001</v>
      </c>
      <c r="P11" s="190">
        <v>0</v>
      </c>
      <c r="Q11" s="190">
        <v>39430262.850000001</v>
      </c>
      <c r="R11" s="190">
        <v>7551480.5</v>
      </c>
      <c r="S11" s="190">
        <v>7551480.5</v>
      </c>
      <c r="T11" s="190">
        <v>0</v>
      </c>
      <c r="U11" s="190">
        <v>19412194.149999999</v>
      </c>
      <c r="V11" s="190">
        <v>6434154.0899999999</v>
      </c>
      <c r="W11" s="190">
        <v>6455482.5199999996</v>
      </c>
      <c r="X11" s="190">
        <v>0</v>
      </c>
      <c r="Y11" s="190">
        <v>5711269.1100000003</v>
      </c>
      <c r="Z11" s="190">
        <v>9089125.4800000004</v>
      </c>
      <c r="AA11" s="190">
        <v>7986243.21</v>
      </c>
      <c r="AB11" s="190">
        <v>0</v>
      </c>
      <c r="AC11" s="190">
        <v>12107454.17</v>
      </c>
      <c r="AD11" s="190">
        <v>4780409.71</v>
      </c>
      <c r="AE11" s="190">
        <v>4673224.3899999997</v>
      </c>
      <c r="AF11" s="190">
        <v>0</v>
      </c>
      <c r="AG11" s="190">
        <v>1547865.64</v>
      </c>
      <c r="AH11" s="190">
        <v>-42500</v>
      </c>
      <c r="AI11" s="190">
        <v>-42500</v>
      </c>
      <c r="AJ11" s="190">
        <v>-42500</v>
      </c>
      <c r="AK11" s="190">
        <v>8612439.5800000001</v>
      </c>
      <c r="AL11" s="190">
        <v>-1582793.35</v>
      </c>
      <c r="AM11" s="190">
        <v>2332847.23</v>
      </c>
      <c r="AN11" s="190">
        <v>0</v>
      </c>
      <c r="AO11" s="190">
        <v>20769937.809999999</v>
      </c>
      <c r="AP11" s="190">
        <v>-253303.37</v>
      </c>
      <c r="AQ11" s="190">
        <v>-252503.37</v>
      </c>
      <c r="AR11" s="190">
        <v>-21325.37</v>
      </c>
      <c r="AS11" s="190">
        <v>-10718194.720000001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-775084.12</v>
      </c>
      <c r="BT11" s="190">
        <v>-167721.79999999999</v>
      </c>
      <c r="BU11" s="190">
        <v>775084.12</v>
      </c>
      <c r="BV11" s="190">
        <v>0</v>
      </c>
      <c r="BW11" s="190">
        <v>0</v>
      </c>
      <c r="BX11" s="190">
        <v>0</v>
      </c>
      <c r="BY11" s="190">
        <v>0</v>
      </c>
      <c r="BZ11" s="190">
        <v>0</v>
      </c>
      <c r="CA11" s="190">
        <v>0</v>
      </c>
      <c r="CB11" s="190">
        <v>0</v>
      </c>
      <c r="CC11" s="190">
        <v>0</v>
      </c>
      <c r="CD11" s="190">
        <v>0</v>
      </c>
      <c r="CE11" s="190">
        <v>0</v>
      </c>
      <c r="CF11" s="190">
        <v>0</v>
      </c>
    </row>
    <row r="12" spans="1:84" x14ac:dyDescent="0.25">
      <c r="A12" s="190" t="s">
        <v>199</v>
      </c>
      <c r="B12" s="190">
        <v>36490400</v>
      </c>
      <c r="C12" s="190">
        <v>19954400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row>
    <row r="13" spans="1:84" x14ac:dyDescent="0.25">
      <c r="A13" s="190" t="s">
        <v>200</v>
      </c>
      <c r="B13" s="190">
        <v>372355356.44</v>
      </c>
      <c r="C13" s="190">
        <v>219996694.03</v>
      </c>
      <c r="D13" s="190">
        <v>81590437.299999997</v>
      </c>
      <c r="E13" s="190">
        <v>345540745.06</v>
      </c>
      <c r="F13" s="190">
        <v>288992522.58999997</v>
      </c>
      <c r="G13" s="190">
        <v>171093266.88</v>
      </c>
      <c r="H13" s="190">
        <v>74517491.569999993</v>
      </c>
      <c r="I13" s="190">
        <v>807777307.99000001</v>
      </c>
      <c r="J13" s="190">
        <v>695358546.80999994</v>
      </c>
      <c r="K13" s="190">
        <v>367201620.48000002</v>
      </c>
      <c r="L13" s="190">
        <v>185670423.15000001</v>
      </c>
      <c r="M13" s="190">
        <v>579339517.47000003</v>
      </c>
      <c r="N13" s="190">
        <v>447463057.22000003</v>
      </c>
      <c r="O13" s="190">
        <v>329653106.22000003</v>
      </c>
      <c r="P13" s="190">
        <v>156219977.81</v>
      </c>
      <c r="Q13" s="190">
        <v>664380926.67999995</v>
      </c>
      <c r="R13" s="190">
        <v>505554407.98000002</v>
      </c>
      <c r="S13" s="190">
        <v>449625264.54000002</v>
      </c>
      <c r="T13" s="190">
        <v>104569545.5</v>
      </c>
      <c r="U13" s="190">
        <v>548154373.60000002</v>
      </c>
      <c r="V13" s="190">
        <v>426811965.94999999</v>
      </c>
      <c r="W13" s="190">
        <v>231938493.88</v>
      </c>
      <c r="X13" s="190">
        <v>97302841.650000006</v>
      </c>
      <c r="Y13" s="190">
        <v>196014695.81</v>
      </c>
      <c r="Z13" s="190">
        <v>93609168.219999999</v>
      </c>
      <c r="AA13" s="190">
        <v>55113368.869999997</v>
      </c>
      <c r="AB13" s="190">
        <v>31543075.77</v>
      </c>
      <c r="AC13" s="190">
        <v>75131555.75</v>
      </c>
      <c r="AD13" s="190">
        <v>59421519.450000003</v>
      </c>
      <c r="AE13" s="190">
        <v>51124634.079999998</v>
      </c>
      <c r="AF13" s="190">
        <v>22663497.949999999</v>
      </c>
      <c r="AG13" s="190">
        <v>78627518.829999998</v>
      </c>
      <c r="AH13" s="190">
        <v>74163697.260000005</v>
      </c>
      <c r="AI13" s="190">
        <v>64605346.560000002</v>
      </c>
      <c r="AJ13" s="190">
        <v>38202558.57</v>
      </c>
      <c r="AK13" s="190">
        <v>102161989.84</v>
      </c>
      <c r="AL13" s="190">
        <v>79888891.620000005</v>
      </c>
      <c r="AM13" s="190">
        <v>37110688.369999997</v>
      </c>
      <c r="AN13" s="190">
        <v>30324684.289999999</v>
      </c>
      <c r="AO13" s="190">
        <v>68631860.040000007</v>
      </c>
      <c r="AP13" s="190">
        <v>86109315.530000001</v>
      </c>
      <c r="AQ13" s="190">
        <v>60573408.009999998</v>
      </c>
      <c r="AR13" s="190">
        <v>45174912.68</v>
      </c>
      <c r="AS13" s="190">
        <v>158460456.44</v>
      </c>
      <c r="AT13" s="190">
        <v>114399744.65000001</v>
      </c>
      <c r="AU13" s="190">
        <v>66186031.729999997</v>
      </c>
      <c r="AV13" s="190">
        <v>31224009.879999999</v>
      </c>
      <c r="AW13" s="190">
        <v>91896385.170000002</v>
      </c>
      <c r="AX13" s="190">
        <v>91210465.540000007</v>
      </c>
      <c r="AY13" s="190">
        <v>53081694.579999998</v>
      </c>
      <c r="AZ13" s="190">
        <v>24609672.469999999</v>
      </c>
      <c r="BA13" s="190">
        <v>128703469.58</v>
      </c>
      <c r="BB13" s="190">
        <v>106163840.39</v>
      </c>
      <c r="BC13" s="190">
        <v>53481238.909999996</v>
      </c>
      <c r="BD13" s="190">
        <v>26156224.609999999</v>
      </c>
      <c r="BE13" s="190">
        <v>95925561.390000001</v>
      </c>
      <c r="BF13" s="190">
        <v>68684733.689999998</v>
      </c>
      <c r="BG13" s="190">
        <v>39337239.340000004</v>
      </c>
      <c r="BH13" s="190">
        <v>26915646.969999999</v>
      </c>
      <c r="BI13" s="190">
        <v>67336835.930000007</v>
      </c>
      <c r="BJ13" s="190">
        <v>55785335.399999999</v>
      </c>
      <c r="BK13" s="190">
        <v>33176741.760000002</v>
      </c>
      <c r="BL13" s="190">
        <v>18993250.530000001</v>
      </c>
      <c r="BM13" s="190">
        <v>20168474.190000001</v>
      </c>
      <c r="BN13" s="190">
        <v>394441.59</v>
      </c>
      <c r="BO13" s="190">
        <v>0</v>
      </c>
      <c r="BP13" s="190">
        <v>0</v>
      </c>
      <c r="BQ13" s="190">
        <v>2566409.36</v>
      </c>
      <c r="BR13" s="190">
        <v>522340</v>
      </c>
      <c r="BS13" s="190">
        <v>-997944.79</v>
      </c>
      <c r="BT13" s="190">
        <v>1114565.96</v>
      </c>
      <c r="BU13" s="190">
        <v>-208395.35</v>
      </c>
      <c r="BV13" s="190">
        <v>0</v>
      </c>
      <c r="BW13" s="190">
        <v>182000</v>
      </c>
      <c r="BX13" s="190">
        <v>182000</v>
      </c>
      <c r="BY13" s="190">
        <v>-28155.01</v>
      </c>
      <c r="BZ13" s="190">
        <v>0</v>
      </c>
      <c r="CA13" s="190">
        <v>20813506.649999999</v>
      </c>
      <c r="CB13" s="190">
        <v>340400</v>
      </c>
      <c r="CC13" s="190">
        <v>15142.3</v>
      </c>
      <c r="CD13" s="190">
        <v>15142.3</v>
      </c>
      <c r="CE13" s="190">
        <v>281144.94</v>
      </c>
      <c r="CF13" s="190">
        <v>0</v>
      </c>
    </row>
    <row r="14" spans="1:84" x14ac:dyDescent="0.25">
      <c r="A14" s="190" t="s">
        <v>201</v>
      </c>
      <c r="B14" s="190">
        <v>371807713.81</v>
      </c>
      <c r="C14" s="190">
        <v>219449051.40000001</v>
      </c>
      <c r="D14" s="190">
        <v>81503748.709999993</v>
      </c>
      <c r="E14" s="190">
        <v>345673565.06</v>
      </c>
      <c r="F14" s="190">
        <v>289125342.58999997</v>
      </c>
      <c r="G14" s="190">
        <v>171226086.88</v>
      </c>
      <c r="H14" s="190">
        <v>74517491.569999993</v>
      </c>
      <c r="I14" s="190">
        <v>631230626.76999998</v>
      </c>
      <c r="J14" s="190">
        <v>489935065.30000001</v>
      </c>
      <c r="K14" s="190">
        <v>303430528.54000002</v>
      </c>
      <c r="L14" s="190">
        <v>185670423.15000001</v>
      </c>
      <c r="M14" s="190">
        <v>551027246.50999999</v>
      </c>
      <c r="N14" s="190">
        <v>419140343.29000002</v>
      </c>
      <c r="O14" s="190">
        <v>301340835.26999998</v>
      </c>
      <c r="P14" s="190">
        <v>156219977.81</v>
      </c>
      <c r="Q14" s="190">
        <v>505052099.07999998</v>
      </c>
      <c r="R14" s="190">
        <v>345239280.75</v>
      </c>
      <c r="S14" s="190">
        <v>235891432.84999999</v>
      </c>
      <c r="T14" s="190">
        <v>104430045.5</v>
      </c>
      <c r="U14" s="190">
        <v>529819245.31999999</v>
      </c>
      <c r="V14" s="190">
        <v>408733517.67000002</v>
      </c>
      <c r="W14" s="190">
        <v>231264890.75999999</v>
      </c>
      <c r="X14" s="190">
        <v>96969591.650000006</v>
      </c>
      <c r="Y14" s="190">
        <v>188578122.41999999</v>
      </c>
      <c r="Z14" s="190">
        <v>86687539.280000001</v>
      </c>
      <c r="AA14" s="190">
        <v>48708038.539999999</v>
      </c>
      <c r="AB14" s="190">
        <v>31155964.66</v>
      </c>
      <c r="AC14" s="190">
        <v>71117014.459999993</v>
      </c>
      <c r="AD14" s="190">
        <v>59421519.450000003</v>
      </c>
      <c r="AE14" s="190">
        <v>51124634.079999998</v>
      </c>
      <c r="AF14" s="190">
        <v>22663497.949999999</v>
      </c>
      <c r="AG14" s="190">
        <v>76422893.829999998</v>
      </c>
      <c r="AH14" s="190">
        <v>74163697.260000005</v>
      </c>
      <c r="AI14" s="190">
        <v>64605346.560000002</v>
      </c>
      <c r="AJ14" s="190">
        <v>38202558.57</v>
      </c>
      <c r="AK14" s="190">
        <v>102161989.84</v>
      </c>
      <c r="AL14" s="190">
        <v>79888891.620000005</v>
      </c>
      <c r="AM14" s="190">
        <v>37110688.369999997</v>
      </c>
      <c r="AN14" s="190">
        <v>30324684.289999999</v>
      </c>
      <c r="AO14" s="190">
        <v>68631860.040000007</v>
      </c>
      <c r="AP14" s="190">
        <v>86109315.530000001</v>
      </c>
      <c r="AQ14" s="190">
        <v>60573408.009999998</v>
      </c>
      <c r="AR14" s="190">
        <v>45174912.68</v>
      </c>
      <c r="AS14" s="190">
        <v>147983409.97999999</v>
      </c>
      <c r="AT14" s="190">
        <v>114399744.65000001</v>
      </c>
      <c r="AU14" s="190">
        <v>66186031.729999997</v>
      </c>
      <c r="AV14" s="190">
        <v>31224009.879999999</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row>
    <row r="15" spans="1:8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row>
    <row r="16" spans="1:84" x14ac:dyDescent="0.25">
      <c r="A16" s="190" t="s">
        <v>203</v>
      </c>
      <c r="B16" s="190">
        <v>8123760192.6599998</v>
      </c>
      <c r="C16" s="190">
        <v>3703047953.8499999</v>
      </c>
      <c r="D16" s="190">
        <v>2293374841.3800001</v>
      </c>
      <c r="E16" s="190">
        <v>7554582685.6599998</v>
      </c>
      <c r="F16" s="190">
        <v>6761633029.4899998</v>
      </c>
      <c r="G16" s="190">
        <v>2761865145.7800002</v>
      </c>
      <c r="H16" s="190">
        <v>1950705983.8599999</v>
      </c>
      <c r="I16" s="190">
        <v>8487242124.3199997</v>
      </c>
      <c r="J16" s="190">
        <v>7575136499.1199999</v>
      </c>
      <c r="K16" s="190">
        <v>3840457120.3400002</v>
      </c>
      <c r="L16" s="190">
        <v>2300217461.5700002</v>
      </c>
      <c r="M16" s="190">
        <v>9564400896.5699997</v>
      </c>
      <c r="N16" s="190">
        <v>8111974529.8999996</v>
      </c>
      <c r="O16" s="190">
        <v>4358654933.8400002</v>
      </c>
      <c r="P16" s="190">
        <v>2270957734.9200001</v>
      </c>
      <c r="Q16" s="190">
        <v>9928496209.8899994</v>
      </c>
      <c r="R16" s="190">
        <v>8567639707.4099998</v>
      </c>
      <c r="S16" s="190">
        <v>3666561683.9499998</v>
      </c>
      <c r="T16" s="190">
        <v>1715128698.1199999</v>
      </c>
      <c r="U16" s="190">
        <v>6531473121.7200003</v>
      </c>
      <c r="V16" s="190">
        <v>4809510648.21</v>
      </c>
      <c r="W16" s="190">
        <v>2251562047.9400001</v>
      </c>
      <c r="X16" s="190">
        <v>882532484.98000002</v>
      </c>
      <c r="Y16" s="190">
        <v>2263513138.0500002</v>
      </c>
      <c r="Z16" s="190">
        <v>1540871981.4000001</v>
      </c>
      <c r="AA16" s="190">
        <v>194897076.59999999</v>
      </c>
      <c r="AB16" s="190">
        <v>-58424643.520000003</v>
      </c>
      <c r="AC16" s="190">
        <v>865559460.5</v>
      </c>
      <c r="AD16" s="190">
        <v>966189086.51999998</v>
      </c>
      <c r="AE16" s="190">
        <v>347433203.22000003</v>
      </c>
      <c r="AF16" s="190">
        <v>61072945.539999999</v>
      </c>
      <c r="AG16" s="190">
        <v>1367565628.55</v>
      </c>
      <c r="AH16" s="190">
        <v>1042917757.97</v>
      </c>
      <c r="AI16" s="190">
        <v>276127217.50999999</v>
      </c>
      <c r="AJ16" s="190">
        <v>114559884.54000001</v>
      </c>
      <c r="AK16" s="190">
        <v>1192092029.4300001</v>
      </c>
      <c r="AL16" s="190">
        <v>319349270.73000002</v>
      </c>
      <c r="AM16" s="190">
        <v>181699990.46000001</v>
      </c>
      <c r="AN16" s="190">
        <v>76582201.260000005</v>
      </c>
      <c r="AO16" s="190">
        <v>275026635.04000002</v>
      </c>
      <c r="AP16" s="190">
        <v>241008441.59999999</v>
      </c>
      <c r="AQ16" s="190">
        <v>208100003.15000001</v>
      </c>
      <c r="AR16" s="190">
        <v>116664634.23</v>
      </c>
      <c r="AS16" s="190">
        <v>1053272616.21</v>
      </c>
      <c r="AT16" s="190">
        <v>820744049.48000002</v>
      </c>
      <c r="AU16" s="190">
        <v>614969225.95000005</v>
      </c>
      <c r="AV16" s="190">
        <v>317123468.43000001</v>
      </c>
      <c r="AW16" s="190">
        <v>831891283.82000005</v>
      </c>
      <c r="AX16" s="190">
        <v>563035356.90999997</v>
      </c>
      <c r="AY16" s="190">
        <v>349081328.62</v>
      </c>
      <c r="AZ16" s="190">
        <v>136940694.06999999</v>
      </c>
      <c r="BA16" s="190">
        <v>729751568.89999998</v>
      </c>
      <c r="BB16" s="190">
        <v>625045422.82000005</v>
      </c>
      <c r="BC16" s="190">
        <v>406418070.77999997</v>
      </c>
      <c r="BD16" s="190">
        <v>222373990.38999999</v>
      </c>
      <c r="BE16" s="190">
        <v>639193510.97000003</v>
      </c>
      <c r="BF16" s="190">
        <v>462168579.35000002</v>
      </c>
      <c r="BG16" s="190">
        <v>325103163.81999999</v>
      </c>
      <c r="BH16" s="190">
        <v>115672965.93000001</v>
      </c>
      <c r="BI16" s="190">
        <v>406453221.17000002</v>
      </c>
      <c r="BJ16" s="190">
        <v>266447352.50999999</v>
      </c>
      <c r="BK16" s="190">
        <v>173405356.53</v>
      </c>
      <c r="BL16" s="190">
        <v>84659678.599999994</v>
      </c>
      <c r="BM16" s="190">
        <v>7172353.46</v>
      </c>
      <c r="BN16" s="190">
        <v>-88201066.170000002</v>
      </c>
      <c r="BO16" s="190">
        <v>-66386166.920000002</v>
      </c>
      <c r="BP16" s="190">
        <v>-36410811.090000004</v>
      </c>
      <c r="BQ16" s="190">
        <v>-32141864.25</v>
      </c>
      <c r="BR16" s="190">
        <v>16084414.550000001</v>
      </c>
      <c r="BS16" s="190">
        <v>28698490.109999999</v>
      </c>
      <c r="BT16" s="190">
        <v>-25751427.760000002</v>
      </c>
      <c r="BU16" s="190">
        <v>-51455650.979999997</v>
      </c>
      <c r="BV16" s="190">
        <v>-67975802.909999996</v>
      </c>
      <c r="BW16" s="190">
        <v>100309646.09</v>
      </c>
      <c r="BX16" s="190">
        <v>124752499.62</v>
      </c>
      <c r="BY16" s="190">
        <v>171580995.34</v>
      </c>
      <c r="BZ16" s="190">
        <v>93871274.799999997</v>
      </c>
      <c r="CA16" s="190">
        <v>183454665.05000001</v>
      </c>
      <c r="CB16" s="190">
        <v>59022332.960000001</v>
      </c>
      <c r="CC16" s="190">
        <v>102805275.40000001</v>
      </c>
      <c r="CD16" s="190">
        <v>65280754.159999996</v>
      </c>
      <c r="CE16" s="190">
        <v>56512317.969999999</v>
      </c>
      <c r="CF16" s="190">
        <v>0</v>
      </c>
    </row>
    <row r="17" spans="1:84" x14ac:dyDescent="0.25">
      <c r="A17" s="190" t="s">
        <v>204</v>
      </c>
      <c r="B17" s="190">
        <v>26509057.02</v>
      </c>
      <c r="C17" s="190">
        <v>11151128</v>
      </c>
      <c r="D17" s="190">
        <v>3073549.29</v>
      </c>
      <c r="E17" s="190">
        <v>54791432.93</v>
      </c>
      <c r="F17" s="190">
        <v>46883061.100000001</v>
      </c>
      <c r="G17" s="190">
        <v>409847954.24000001</v>
      </c>
      <c r="H17" s="190">
        <v>156067446.31</v>
      </c>
      <c r="I17" s="190">
        <v>1038940844.22</v>
      </c>
      <c r="J17" s="190">
        <v>790863977.11000001</v>
      </c>
      <c r="K17" s="190">
        <v>508809094.42000002</v>
      </c>
      <c r="L17" s="190">
        <v>318680803.69</v>
      </c>
      <c r="M17" s="190">
        <v>1666535101.02</v>
      </c>
      <c r="N17" s="190">
        <v>1134266867.1600001</v>
      </c>
      <c r="O17" s="190">
        <v>721643599.95000005</v>
      </c>
      <c r="P17" s="190">
        <v>286073505.13</v>
      </c>
      <c r="Q17" s="190">
        <v>1037125774.46</v>
      </c>
      <c r="R17" s="190">
        <v>513818117.5</v>
      </c>
      <c r="S17" s="190">
        <v>168496247.09999999</v>
      </c>
      <c r="T17" s="190">
        <v>12101226.640000001</v>
      </c>
      <c r="U17" s="190">
        <v>68309958.189999998</v>
      </c>
      <c r="V17" s="190">
        <v>38707744.590000004</v>
      </c>
      <c r="W17" s="190">
        <v>32443147.949999999</v>
      </c>
      <c r="X17" s="190">
        <v>57713456.289999999</v>
      </c>
      <c r="Y17" s="190">
        <v>87745066.640000001</v>
      </c>
      <c r="Z17" s="190">
        <v>38411366.979999997</v>
      </c>
      <c r="AA17" s="190">
        <v>20983791.530000001</v>
      </c>
      <c r="AB17" s="190">
        <v>13495204.49</v>
      </c>
      <c r="AC17" s="190">
        <v>110445884.38</v>
      </c>
      <c r="AD17" s="190">
        <v>21226991.940000001</v>
      </c>
      <c r="AE17" s="190">
        <v>8583723.5299999993</v>
      </c>
      <c r="AF17" s="190">
        <v>4363671.5999999996</v>
      </c>
      <c r="AG17" s="190">
        <v>41214129.159999996</v>
      </c>
      <c r="AH17" s="190">
        <v>26812788.300000001</v>
      </c>
      <c r="AI17" s="190">
        <v>18587383.260000002</v>
      </c>
      <c r="AJ17" s="190">
        <v>3599127.9</v>
      </c>
      <c r="AK17" s="190">
        <v>61939664.799999997</v>
      </c>
      <c r="AL17" s="190">
        <v>9798188.4199999999</v>
      </c>
      <c r="AM17" s="190">
        <v>7083138.71</v>
      </c>
      <c r="AN17" s="190">
        <v>3593107.94</v>
      </c>
      <c r="AO17" s="190">
        <v>19235637.489999998</v>
      </c>
      <c r="AP17" s="190">
        <v>6712643.8200000003</v>
      </c>
      <c r="AQ17" s="190">
        <v>4454850.75</v>
      </c>
      <c r="AR17" s="190">
        <v>2251086</v>
      </c>
      <c r="AS17" s="190">
        <v>19361996.510000002</v>
      </c>
      <c r="AT17" s="190">
        <v>8031339.6299999999</v>
      </c>
      <c r="AU17" s="190">
        <v>7686689.0999999996</v>
      </c>
      <c r="AV17" s="190">
        <v>7164775</v>
      </c>
      <c r="AW17" s="190">
        <v>371584.2</v>
      </c>
      <c r="AX17" s="190">
        <v>254523.11</v>
      </c>
      <c r="AY17" s="190">
        <v>228323.09</v>
      </c>
      <c r="AZ17" s="190">
        <v>91000</v>
      </c>
      <c r="BA17" s="190">
        <v>201451.11</v>
      </c>
      <c r="BB17" s="190">
        <v>102685.54</v>
      </c>
      <c r="BC17" s="190">
        <v>49485.54</v>
      </c>
      <c r="BD17" s="190">
        <v>5000</v>
      </c>
      <c r="BE17" s="190">
        <v>517601.67</v>
      </c>
      <c r="BF17" s="190">
        <v>40510</v>
      </c>
      <c r="BG17" s="190">
        <v>32700</v>
      </c>
      <c r="BH17" s="190">
        <v>1500</v>
      </c>
      <c r="BI17" s="190">
        <v>325710.78000000003</v>
      </c>
      <c r="BJ17" s="190">
        <v>337332.02</v>
      </c>
      <c r="BK17" s="190">
        <v>332032.02</v>
      </c>
      <c r="BL17" s="190">
        <v>323032.02</v>
      </c>
      <c r="BM17" s="190">
        <v>4698012.41</v>
      </c>
      <c r="BN17" s="190">
        <v>26979.81</v>
      </c>
      <c r="BO17" s="190">
        <v>27367.31</v>
      </c>
      <c r="BP17" s="190">
        <v>0</v>
      </c>
      <c r="BQ17" s="190">
        <v>655105.65</v>
      </c>
      <c r="BR17" s="190">
        <v>113821.2</v>
      </c>
      <c r="BS17" s="190">
        <v>179438.86</v>
      </c>
      <c r="BT17" s="190">
        <v>355247.06</v>
      </c>
      <c r="BU17" s="190">
        <v>916962.13</v>
      </c>
      <c r="BV17" s="190">
        <v>30213.84</v>
      </c>
      <c r="BW17" s="190">
        <v>6333.3</v>
      </c>
      <c r="BX17" s="190">
        <v>3333.3</v>
      </c>
      <c r="BY17" s="190">
        <v>119226.55</v>
      </c>
      <c r="BZ17" s="190">
        <v>0</v>
      </c>
      <c r="CA17" s="190">
        <v>4843.3</v>
      </c>
      <c r="CB17" s="190">
        <v>0</v>
      </c>
      <c r="CC17" s="190">
        <v>23220</v>
      </c>
      <c r="CD17" s="190">
        <v>0</v>
      </c>
      <c r="CE17" s="190">
        <v>417</v>
      </c>
      <c r="CF17" s="190">
        <v>0</v>
      </c>
    </row>
    <row r="18" spans="1:84" x14ac:dyDescent="0.25">
      <c r="A18" s="190" t="s">
        <v>205</v>
      </c>
      <c r="B18" s="190">
        <v>11896184.84</v>
      </c>
      <c r="C18" s="190">
        <v>3998962.16</v>
      </c>
      <c r="D18" s="190">
        <v>2039128.83</v>
      </c>
      <c r="E18" s="190">
        <v>95042749.109999999</v>
      </c>
      <c r="F18" s="190">
        <v>44797450.25</v>
      </c>
      <c r="G18" s="190">
        <v>649486.72</v>
      </c>
      <c r="H18" s="190">
        <v>2255519.59</v>
      </c>
      <c r="I18" s="190">
        <v>609082339.66999996</v>
      </c>
      <c r="J18" s="190">
        <v>602577875.27999997</v>
      </c>
      <c r="K18" s="190">
        <v>578370963.10000002</v>
      </c>
      <c r="L18" s="190">
        <v>3813886.88</v>
      </c>
      <c r="M18" s="190">
        <v>250298527.09</v>
      </c>
      <c r="N18" s="190">
        <v>8402400.7400000002</v>
      </c>
      <c r="O18" s="190">
        <v>4217831.09</v>
      </c>
      <c r="P18" s="190">
        <v>1371913.32</v>
      </c>
      <c r="Q18" s="190">
        <v>21312009.289999999</v>
      </c>
      <c r="R18" s="190">
        <v>4221899.53</v>
      </c>
      <c r="S18" s="190">
        <v>3122912.1</v>
      </c>
      <c r="T18" s="190">
        <v>1069140.1499999999</v>
      </c>
      <c r="U18" s="190">
        <v>20840477.899999999</v>
      </c>
      <c r="V18" s="190">
        <v>8722941.5</v>
      </c>
      <c r="W18" s="190">
        <v>8180576.2199999997</v>
      </c>
      <c r="X18" s="190">
        <v>186314.28</v>
      </c>
      <c r="Y18" s="190">
        <v>33276387.23</v>
      </c>
      <c r="Z18" s="190">
        <v>8348496.75</v>
      </c>
      <c r="AA18" s="190">
        <v>4758157.9000000004</v>
      </c>
      <c r="AB18" s="190">
        <v>62895.64</v>
      </c>
      <c r="AC18" s="190">
        <v>7256069.4299999997</v>
      </c>
      <c r="AD18" s="190">
        <v>932959.89</v>
      </c>
      <c r="AE18" s="190">
        <v>229989.19</v>
      </c>
      <c r="AF18" s="190">
        <v>27919.13</v>
      </c>
      <c r="AG18" s="190">
        <v>24253684.16</v>
      </c>
      <c r="AH18" s="190">
        <v>6634810.9400000004</v>
      </c>
      <c r="AI18" s="190">
        <v>3872795.83</v>
      </c>
      <c r="AJ18" s="190">
        <v>2691786.04</v>
      </c>
      <c r="AK18" s="190">
        <v>12038528.449999999</v>
      </c>
      <c r="AL18" s="190">
        <v>1423268.2</v>
      </c>
      <c r="AM18" s="190">
        <v>228899.5</v>
      </c>
      <c r="AN18" s="190">
        <v>123394</v>
      </c>
      <c r="AO18" s="190">
        <v>15450994.48</v>
      </c>
      <c r="AP18" s="190">
        <v>4240793.66</v>
      </c>
      <c r="AQ18" s="190">
        <v>2872825.35</v>
      </c>
      <c r="AR18" s="190">
        <v>1500000</v>
      </c>
      <c r="AS18" s="190">
        <v>13226104.52</v>
      </c>
      <c r="AT18" s="190">
        <v>809632.52</v>
      </c>
      <c r="AU18" s="190">
        <v>570416.85</v>
      </c>
      <c r="AV18" s="190">
        <v>80379.17</v>
      </c>
      <c r="AW18" s="190">
        <v>9313940.4800000004</v>
      </c>
      <c r="AX18" s="190">
        <v>2969751.02</v>
      </c>
      <c r="AY18" s="190">
        <v>646906.16</v>
      </c>
      <c r="AZ18" s="190">
        <v>550000</v>
      </c>
      <c r="BA18" s="190">
        <v>20638940.559999999</v>
      </c>
      <c r="BB18" s="190">
        <v>3767975.61</v>
      </c>
      <c r="BC18" s="190">
        <v>419378.16</v>
      </c>
      <c r="BD18" s="190">
        <v>142661.25</v>
      </c>
      <c r="BE18" s="190">
        <v>20304869.68</v>
      </c>
      <c r="BF18" s="190">
        <v>8431925.5700000003</v>
      </c>
      <c r="BG18" s="190">
        <v>93448.72</v>
      </c>
      <c r="BH18" s="190">
        <v>0</v>
      </c>
      <c r="BI18" s="190">
        <v>14224514.84</v>
      </c>
      <c r="BJ18" s="190">
        <v>13000000</v>
      </c>
      <c r="BK18" s="190">
        <v>12980000</v>
      </c>
      <c r="BL18" s="190">
        <v>0</v>
      </c>
      <c r="BM18" s="190">
        <v>10511.5</v>
      </c>
      <c r="BN18" s="190">
        <v>10511.5</v>
      </c>
      <c r="BO18" s="190">
        <v>1999</v>
      </c>
      <c r="BP18" s="190">
        <v>650</v>
      </c>
      <c r="BQ18" s="190">
        <v>8141639.1399999997</v>
      </c>
      <c r="BR18" s="190">
        <v>17674850.710000001</v>
      </c>
      <c r="BS18" s="190">
        <v>22954239.890000001</v>
      </c>
      <c r="BT18" s="190">
        <v>9030508.7799999993</v>
      </c>
      <c r="BU18" s="190">
        <v>924192.74</v>
      </c>
      <c r="BV18" s="190">
        <v>436504.13</v>
      </c>
      <c r="BW18" s="190">
        <v>13753051.85</v>
      </c>
      <c r="BX18" s="190">
        <v>7192810.4000000004</v>
      </c>
      <c r="BY18" s="190">
        <v>735052.5</v>
      </c>
      <c r="BZ18" s="190">
        <v>0</v>
      </c>
      <c r="CA18" s="190">
        <v>86268.02</v>
      </c>
      <c r="CB18" s="190">
        <v>0</v>
      </c>
      <c r="CC18" s="190">
        <v>14606.2</v>
      </c>
      <c r="CD18" s="190">
        <v>72830.37</v>
      </c>
      <c r="CE18" s="190">
        <v>1410</v>
      </c>
      <c r="CF18" s="190">
        <v>0</v>
      </c>
    </row>
    <row r="19" spans="1:84" x14ac:dyDescent="0.25">
      <c r="A19" s="190" t="s">
        <v>206</v>
      </c>
      <c r="B19" s="190">
        <v>0</v>
      </c>
      <c r="C19" s="190">
        <v>0</v>
      </c>
      <c r="D19" s="190">
        <v>0</v>
      </c>
      <c r="E19" s="190">
        <v>0</v>
      </c>
      <c r="F19" s="190">
        <v>46828479.130000003</v>
      </c>
      <c r="G19" s="190">
        <v>8016055.1600000001</v>
      </c>
      <c r="H19" s="190">
        <v>6727574.6699999999</v>
      </c>
      <c r="I19" s="190">
        <v>37863455.590000004</v>
      </c>
      <c r="J19" s="190">
        <v>1112059.92</v>
      </c>
      <c r="K19" s="190">
        <v>803215.86</v>
      </c>
      <c r="L19" s="190">
        <v>1165242.29</v>
      </c>
      <c r="M19" s="190">
        <v>32403960.32</v>
      </c>
      <c r="N19" s="190">
        <v>486176.29</v>
      </c>
      <c r="O19" s="190">
        <v>449539.63</v>
      </c>
      <c r="P19" s="190">
        <v>330891.03000000003</v>
      </c>
      <c r="Q19" s="190">
        <v>10781626.130000001</v>
      </c>
      <c r="R19" s="190">
        <v>637589.23</v>
      </c>
      <c r="S19" s="190">
        <v>572809.07999999996</v>
      </c>
      <c r="T19" s="190">
        <v>5397.4</v>
      </c>
      <c r="U19" s="190">
        <v>12557307.58</v>
      </c>
      <c r="V19" s="190">
        <v>5980423.7699999996</v>
      </c>
      <c r="W19" s="190">
        <v>5599879.2199999997</v>
      </c>
      <c r="X19" s="190">
        <v>225</v>
      </c>
      <c r="Y19" s="190">
        <v>27733875.960000001</v>
      </c>
      <c r="Z19" s="190">
        <v>6093090.79</v>
      </c>
      <c r="AA19" s="190">
        <v>2705171.71</v>
      </c>
      <c r="AB19" s="190">
        <v>0</v>
      </c>
      <c r="AC19" s="190">
        <v>5391502.0099999998</v>
      </c>
      <c r="AD19" s="190">
        <v>326869.71999999997</v>
      </c>
      <c r="AE19" s="190">
        <v>227555.14</v>
      </c>
      <c r="AF19" s="190">
        <v>50621.65</v>
      </c>
      <c r="AG19" s="190">
        <v>11613794.119999999</v>
      </c>
      <c r="AH19" s="190">
        <v>260866.17</v>
      </c>
      <c r="AI19" s="190">
        <v>81395.45</v>
      </c>
      <c r="AJ19" s="190">
        <v>31813.74</v>
      </c>
      <c r="AK19" s="190">
        <v>4626234.95</v>
      </c>
      <c r="AL19" s="190">
        <v>0</v>
      </c>
      <c r="AM19" s="190">
        <v>0</v>
      </c>
      <c r="AN19" s="190">
        <v>0</v>
      </c>
      <c r="AO19" s="190">
        <v>10861194.199999999</v>
      </c>
      <c r="AP19" s="190">
        <v>5924.87</v>
      </c>
      <c r="AQ19" s="190">
        <v>5924.87</v>
      </c>
      <c r="AR19" s="190">
        <v>0</v>
      </c>
      <c r="AS19" s="190">
        <v>11895479.42</v>
      </c>
      <c r="AT19" s="190">
        <v>792068.29</v>
      </c>
      <c r="AU19" s="190">
        <v>0</v>
      </c>
      <c r="AV19" s="190">
        <v>30379.17</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row>
    <row r="20" spans="1:84" x14ac:dyDescent="0.25">
      <c r="A20" s="190" t="s">
        <v>207</v>
      </c>
      <c r="B20" s="190">
        <v>8138373064.8400002</v>
      </c>
      <c r="C20" s="190">
        <v>3710200119.6900001</v>
      </c>
      <c r="D20" s="190">
        <v>2294409261.8400002</v>
      </c>
      <c r="E20" s="190">
        <v>7514331369.4799995</v>
      </c>
      <c r="F20" s="190">
        <v>6763718640.3400002</v>
      </c>
      <c r="G20" s="190">
        <v>3171063613.3000002</v>
      </c>
      <c r="H20" s="190">
        <v>2104517910.5799999</v>
      </c>
      <c r="I20" s="190">
        <v>8917100628.8700008</v>
      </c>
      <c r="J20" s="190">
        <v>7763422600.9499998</v>
      </c>
      <c r="K20" s="190">
        <v>3770895251.6599998</v>
      </c>
      <c r="L20" s="190">
        <v>2615084378.3800001</v>
      </c>
      <c r="M20" s="190">
        <v>10980637470.5</v>
      </c>
      <c r="N20" s="190">
        <v>9237838996.3199997</v>
      </c>
      <c r="O20" s="190">
        <v>5076080702.6999998</v>
      </c>
      <c r="P20" s="190">
        <v>2555659326.73</v>
      </c>
      <c r="Q20" s="190">
        <v>10944309975.059999</v>
      </c>
      <c r="R20" s="190">
        <v>9077235925.3799992</v>
      </c>
      <c r="S20" s="190">
        <v>3831935018.9499998</v>
      </c>
      <c r="T20" s="190">
        <v>1726160784.6099999</v>
      </c>
      <c r="U20" s="190">
        <v>6578942602.0100002</v>
      </c>
      <c r="V20" s="190">
        <v>4839495451.3000002</v>
      </c>
      <c r="W20" s="190">
        <v>2275824619.6700001</v>
      </c>
      <c r="X20" s="190">
        <v>940059626.99000001</v>
      </c>
      <c r="Y20" s="190">
        <v>2317981817.46</v>
      </c>
      <c r="Z20" s="190">
        <v>1570934851.6300001</v>
      </c>
      <c r="AA20" s="190">
        <v>211122710.22999999</v>
      </c>
      <c r="AB20" s="190">
        <v>-44992334.670000002</v>
      </c>
      <c r="AC20" s="190">
        <v>968749275.45000005</v>
      </c>
      <c r="AD20" s="190">
        <v>986483118.57000005</v>
      </c>
      <c r="AE20" s="190">
        <v>355786937.56</v>
      </c>
      <c r="AF20" s="190">
        <v>65408698.009999998</v>
      </c>
      <c r="AG20" s="190">
        <v>1384526073.55</v>
      </c>
      <c r="AH20" s="190">
        <v>1063095735.33</v>
      </c>
      <c r="AI20" s="190">
        <v>290841804.94</v>
      </c>
      <c r="AJ20" s="190">
        <v>115467226.40000001</v>
      </c>
      <c r="AK20" s="190">
        <v>1241993165.78</v>
      </c>
      <c r="AL20" s="190">
        <v>327724190.94999999</v>
      </c>
      <c r="AM20" s="190">
        <v>188554229.66999999</v>
      </c>
      <c r="AN20" s="190">
        <v>80051915.200000003</v>
      </c>
      <c r="AO20" s="190">
        <v>278811278.05000001</v>
      </c>
      <c r="AP20" s="190">
        <v>243480291.75999999</v>
      </c>
      <c r="AQ20" s="190">
        <v>209682028.55000001</v>
      </c>
      <c r="AR20" s="190">
        <v>117415720.23</v>
      </c>
      <c r="AS20" s="190">
        <v>1059408508.2</v>
      </c>
      <c r="AT20" s="190">
        <v>827965756.59000003</v>
      </c>
      <c r="AU20" s="190">
        <v>622085498.20000005</v>
      </c>
      <c r="AV20" s="190">
        <v>324207864.25999999</v>
      </c>
      <c r="AW20" s="190">
        <v>822948927.53999996</v>
      </c>
      <c r="AX20" s="190">
        <v>560320129</v>
      </c>
      <c r="AY20" s="190">
        <v>348662745.55000001</v>
      </c>
      <c r="AZ20" s="190">
        <v>136481694.06999999</v>
      </c>
      <c r="BA20" s="190">
        <v>709314079.45000005</v>
      </c>
      <c r="BB20" s="190">
        <v>621380132.75</v>
      </c>
      <c r="BC20" s="190">
        <v>406048178.16000003</v>
      </c>
      <c r="BD20" s="190">
        <v>222236329.13999999</v>
      </c>
      <c r="BE20" s="190">
        <v>619406242.96000004</v>
      </c>
      <c r="BF20" s="190">
        <v>453777163.77999997</v>
      </c>
      <c r="BG20" s="190">
        <v>325042415.10000002</v>
      </c>
      <c r="BH20" s="190">
        <v>115674465.93000001</v>
      </c>
      <c r="BI20" s="190">
        <v>392554417.11000001</v>
      </c>
      <c r="BJ20" s="190">
        <v>253784684.53</v>
      </c>
      <c r="BK20" s="190">
        <v>160757388.55000001</v>
      </c>
      <c r="BL20" s="190">
        <v>84982710.620000005</v>
      </c>
      <c r="BM20" s="190">
        <v>11859854.369999999</v>
      </c>
      <c r="BN20" s="190">
        <v>-88184597.859999999</v>
      </c>
      <c r="BO20" s="190">
        <v>-66360798.609999999</v>
      </c>
      <c r="BP20" s="190">
        <v>-36411461.090000004</v>
      </c>
      <c r="BQ20" s="190">
        <v>-39628397.740000002</v>
      </c>
      <c r="BR20" s="190">
        <v>-1476614.96</v>
      </c>
      <c r="BS20" s="190">
        <v>5923689.0800000001</v>
      </c>
      <c r="BT20" s="190">
        <v>-34426689.479999997</v>
      </c>
      <c r="BU20" s="190">
        <v>-51462881.590000004</v>
      </c>
      <c r="BV20" s="190">
        <v>-68382093.200000003</v>
      </c>
      <c r="BW20" s="190">
        <v>86562927.540000007</v>
      </c>
      <c r="BX20" s="190">
        <v>117563022.52</v>
      </c>
      <c r="BY20" s="190">
        <v>170965169.38999999</v>
      </c>
      <c r="BZ20" s="190">
        <v>93871274.799999997</v>
      </c>
      <c r="CA20" s="190">
        <v>183373240.33000001</v>
      </c>
      <c r="CB20" s="190">
        <v>59022332.960000001</v>
      </c>
      <c r="CC20" s="190">
        <v>102813889.2</v>
      </c>
      <c r="CD20" s="190">
        <v>65207923.789999999</v>
      </c>
      <c r="CE20" s="190">
        <v>56511324.969999999</v>
      </c>
      <c r="CF20" s="190">
        <v>0</v>
      </c>
    </row>
    <row r="21" spans="1:84" x14ac:dyDescent="0.25">
      <c r="A21" s="190" t="s">
        <v>208</v>
      </c>
      <c r="B21" s="190">
        <v>1143811866.47</v>
      </c>
      <c r="C21" s="190">
        <v>617552272.61000001</v>
      </c>
      <c r="D21" s="190">
        <v>319127319.00999999</v>
      </c>
      <c r="E21" s="190">
        <v>954840678.08000004</v>
      </c>
      <c r="F21" s="190">
        <v>892794478.67999995</v>
      </c>
      <c r="G21" s="190">
        <v>518083661.26999998</v>
      </c>
      <c r="H21" s="190">
        <v>251135017.58000001</v>
      </c>
      <c r="I21" s="190">
        <v>1057490826.96</v>
      </c>
      <c r="J21" s="190">
        <v>990946211.74000001</v>
      </c>
      <c r="K21" s="190">
        <v>538505791.04999995</v>
      </c>
      <c r="L21" s="190">
        <v>306527849.67000002</v>
      </c>
      <c r="M21" s="190">
        <v>878054648.92999995</v>
      </c>
      <c r="N21" s="190">
        <v>789351686.13</v>
      </c>
      <c r="O21" s="190">
        <v>522711175.88999999</v>
      </c>
      <c r="P21" s="190">
        <v>264885007.77000001</v>
      </c>
      <c r="Q21" s="190">
        <v>783088437.73000002</v>
      </c>
      <c r="R21" s="190">
        <v>677768915.27999997</v>
      </c>
      <c r="S21" s="190">
        <v>399400075.43000001</v>
      </c>
      <c r="T21" s="190">
        <v>218104355.81999999</v>
      </c>
      <c r="U21" s="190">
        <v>701923831.97000003</v>
      </c>
      <c r="V21" s="190">
        <v>484831447.95999998</v>
      </c>
      <c r="W21" s="190">
        <v>216956448.02000001</v>
      </c>
      <c r="X21" s="190">
        <v>95539532.620000005</v>
      </c>
      <c r="Y21" s="190">
        <v>300423098.67000002</v>
      </c>
      <c r="Z21" s="190">
        <v>220912368.81999999</v>
      </c>
      <c r="AA21" s="190">
        <v>87482635.609999999</v>
      </c>
      <c r="AB21" s="190">
        <v>32267069.329999998</v>
      </c>
      <c r="AC21" s="190">
        <v>296451415.79000002</v>
      </c>
      <c r="AD21" s="190">
        <v>264034888.75</v>
      </c>
      <c r="AE21" s="190">
        <v>106271714.66</v>
      </c>
      <c r="AF21" s="190">
        <v>31621816.129999999</v>
      </c>
      <c r="AG21" s="190">
        <v>320486319.00999999</v>
      </c>
      <c r="AH21" s="190">
        <v>193733554.46000001</v>
      </c>
      <c r="AI21" s="190">
        <v>68308834.099999994</v>
      </c>
      <c r="AJ21" s="190">
        <v>26246376.25</v>
      </c>
      <c r="AK21" s="190">
        <v>232637187.12</v>
      </c>
      <c r="AL21" s="190">
        <v>67405716.459999993</v>
      </c>
      <c r="AM21" s="190">
        <v>44078125.170000002</v>
      </c>
      <c r="AN21" s="190">
        <v>24161961.390000001</v>
      </c>
      <c r="AO21" s="190">
        <v>111237763.38</v>
      </c>
      <c r="AP21" s="190">
        <v>59631781.259999998</v>
      </c>
      <c r="AQ21" s="190">
        <v>39151425.469999999</v>
      </c>
      <c r="AR21" s="190">
        <v>17987128.920000002</v>
      </c>
      <c r="AS21" s="190">
        <v>139854238.37</v>
      </c>
      <c r="AT21" s="190">
        <v>82327769.390000001</v>
      </c>
      <c r="AU21" s="190">
        <v>55293528.329999998</v>
      </c>
      <c r="AV21" s="190">
        <v>36570111.979999997</v>
      </c>
      <c r="AW21" s="190">
        <v>72887391.090000004</v>
      </c>
      <c r="AX21" s="190">
        <v>53028011.210000001</v>
      </c>
      <c r="AY21" s="190">
        <v>29703350.030000001</v>
      </c>
      <c r="AZ21" s="190">
        <v>13047046.49</v>
      </c>
      <c r="BA21" s="190">
        <v>49165691.289999999</v>
      </c>
      <c r="BB21" s="190">
        <v>46519206.520000003</v>
      </c>
      <c r="BC21" s="190">
        <v>29347918.850000001</v>
      </c>
      <c r="BD21" s="190">
        <v>13322927.01</v>
      </c>
      <c r="BE21" s="190">
        <v>43036091.75</v>
      </c>
      <c r="BF21" s="190">
        <v>31951115.420000002</v>
      </c>
      <c r="BG21" s="190">
        <v>21711072.23</v>
      </c>
      <c r="BH21" s="190">
        <v>2986558.57</v>
      </c>
      <c r="BI21" s="190">
        <v>33835169.82</v>
      </c>
      <c r="BJ21" s="190">
        <v>20563796.73</v>
      </c>
      <c r="BK21" s="190">
        <v>14292154.58</v>
      </c>
      <c r="BL21" s="190">
        <v>8469449.8100000005</v>
      </c>
      <c r="BM21" s="190">
        <v>12330911.960000001</v>
      </c>
      <c r="BN21" s="190">
        <v>0</v>
      </c>
      <c r="BO21" s="190">
        <v>0</v>
      </c>
      <c r="BP21" s="190">
        <v>0</v>
      </c>
      <c r="BQ21" s="190">
        <v>0</v>
      </c>
      <c r="BR21" s="190">
        <v>0</v>
      </c>
      <c r="BS21" s="190">
        <v>0</v>
      </c>
      <c r="BT21" s="190">
        <v>0</v>
      </c>
      <c r="BU21" s="190">
        <v>0</v>
      </c>
      <c r="BV21" s="190">
        <v>0</v>
      </c>
      <c r="BW21" s="190">
        <v>32873425.300000001</v>
      </c>
      <c r="BX21" s="190">
        <v>40979657.159999996</v>
      </c>
      <c r="BY21" s="190">
        <v>56312297.049999997</v>
      </c>
      <c r="BZ21" s="190">
        <v>30977520.690000001</v>
      </c>
      <c r="CA21" s="190">
        <v>60513169.880000003</v>
      </c>
      <c r="CB21" s="190">
        <v>19477369.890000001</v>
      </c>
      <c r="CC21" s="190">
        <v>33928583.43</v>
      </c>
      <c r="CD21" s="190">
        <v>21518614.850000001</v>
      </c>
      <c r="CE21" s="190">
        <v>18648737.239999998</v>
      </c>
      <c r="CF21" s="190">
        <v>0</v>
      </c>
    </row>
    <row r="22" spans="1:84" x14ac:dyDescent="0.25">
      <c r="A22" s="190" t="s">
        <v>209</v>
      </c>
      <c r="B22" s="190">
        <v>6994561198.3699999</v>
      </c>
      <c r="C22" s="190">
        <v>3092647847.0799999</v>
      </c>
      <c r="D22" s="190">
        <v>1975281942.8299999</v>
      </c>
      <c r="E22" s="190">
        <v>6559490691.3999996</v>
      </c>
      <c r="F22" s="190">
        <v>5870924161.6599998</v>
      </c>
      <c r="G22" s="190">
        <v>2652979952.0300002</v>
      </c>
      <c r="H22" s="190">
        <v>1853382893</v>
      </c>
      <c r="I22" s="190">
        <v>7859609801.9099998</v>
      </c>
      <c r="J22" s="190">
        <v>6772476389.21</v>
      </c>
      <c r="K22" s="190">
        <v>3232389460.6100001</v>
      </c>
      <c r="L22" s="190">
        <v>2308556528.71</v>
      </c>
      <c r="M22" s="190">
        <v>10102582821.57</v>
      </c>
      <c r="N22" s="190">
        <v>8448487310.1899996</v>
      </c>
      <c r="O22" s="190">
        <v>4553369526.8100004</v>
      </c>
      <c r="P22" s="190">
        <v>2290774318.96</v>
      </c>
      <c r="Q22" s="190">
        <v>10161221537.33</v>
      </c>
      <c r="R22" s="190">
        <v>8399467010.1000004</v>
      </c>
      <c r="S22" s="190">
        <v>3432534943.52</v>
      </c>
      <c r="T22" s="190">
        <v>1508056428.79</v>
      </c>
      <c r="U22" s="190">
        <v>5877018770.04</v>
      </c>
      <c r="V22" s="190">
        <v>4354664003.3400002</v>
      </c>
      <c r="W22" s="190">
        <v>2058868171.6500001</v>
      </c>
      <c r="X22" s="190">
        <v>844520094.37</v>
      </c>
      <c r="Y22" s="190">
        <v>2017558718.79</v>
      </c>
      <c r="Z22" s="190">
        <v>1350022482.8099999</v>
      </c>
      <c r="AA22" s="190">
        <v>123640074.62</v>
      </c>
      <c r="AB22" s="190">
        <v>-77259404</v>
      </c>
      <c r="AC22" s="190">
        <v>672297859.65999997</v>
      </c>
      <c r="AD22" s="190">
        <v>722448229.82000005</v>
      </c>
      <c r="AE22" s="190">
        <v>249515222.90000001</v>
      </c>
      <c r="AF22" s="190">
        <v>33786881.880000003</v>
      </c>
      <c r="AG22" s="190">
        <v>1064039754.54</v>
      </c>
      <c r="AH22" s="190">
        <v>869362180.87</v>
      </c>
      <c r="AI22" s="190">
        <v>222532970.84</v>
      </c>
      <c r="AJ22" s="190">
        <v>89220850.150000006</v>
      </c>
      <c r="AK22" s="190">
        <v>1009355978.66</v>
      </c>
      <c r="AL22" s="190">
        <v>260318474.49000001</v>
      </c>
      <c r="AM22" s="190">
        <v>144476104.5</v>
      </c>
      <c r="AN22" s="190">
        <v>55889953.810000002</v>
      </c>
      <c r="AO22" s="190">
        <v>167573514.66999999</v>
      </c>
      <c r="AP22" s="190">
        <v>183848510.5</v>
      </c>
      <c r="AQ22" s="190">
        <v>170530603.08000001</v>
      </c>
      <c r="AR22" s="190">
        <v>99428591.310000002</v>
      </c>
      <c r="AS22" s="190">
        <v>919554269.83000004</v>
      </c>
      <c r="AT22" s="190">
        <v>745637987.20000005</v>
      </c>
      <c r="AU22" s="190">
        <v>566791969.87</v>
      </c>
      <c r="AV22" s="190">
        <v>287637752.27999997</v>
      </c>
      <c r="AW22" s="190">
        <v>750061536.45000005</v>
      </c>
      <c r="AX22" s="190">
        <v>507292117.79000002</v>
      </c>
      <c r="AY22" s="190">
        <v>318959395.52999997</v>
      </c>
      <c r="AZ22" s="190">
        <v>123434647.58</v>
      </c>
      <c r="BA22" s="190">
        <v>660148388.15999997</v>
      </c>
      <c r="BB22" s="190">
        <v>574860926.23000002</v>
      </c>
      <c r="BC22" s="190">
        <v>376700259.31</v>
      </c>
      <c r="BD22" s="190">
        <v>208913402.13</v>
      </c>
      <c r="BE22" s="190">
        <v>576370151.21000004</v>
      </c>
      <c r="BF22" s="190">
        <v>421826048.36000001</v>
      </c>
      <c r="BG22" s="190">
        <v>303331342.87</v>
      </c>
      <c r="BH22" s="190">
        <v>112687907.36</v>
      </c>
      <c r="BI22" s="190">
        <v>358719247.29000002</v>
      </c>
      <c r="BJ22" s="190">
        <v>233220887.80000001</v>
      </c>
      <c r="BK22" s="190">
        <v>146465233.97</v>
      </c>
      <c r="BL22" s="190">
        <v>76513260.810000002</v>
      </c>
      <c r="BM22" s="190">
        <v>-471057.59</v>
      </c>
      <c r="BN22" s="190">
        <v>-88184597.859999999</v>
      </c>
      <c r="BO22" s="190">
        <v>-66360798.609999999</v>
      </c>
      <c r="BP22" s="190">
        <v>-36411461.090000004</v>
      </c>
      <c r="BQ22" s="190">
        <v>-39628397.740000002</v>
      </c>
      <c r="BR22" s="190">
        <v>-1476614.96</v>
      </c>
      <c r="BS22" s="190">
        <v>5923689.0800000001</v>
      </c>
      <c r="BT22" s="190">
        <v>-34426689.479999997</v>
      </c>
      <c r="BU22" s="190">
        <v>-51462881.590000004</v>
      </c>
      <c r="BV22" s="190">
        <v>-68382093.200000003</v>
      </c>
      <c r="BW22" s="190">
        <v>71620461.5</v>
      </c>
      <c r="BX22" s="190">
        <v>98935905.629999995</v>
      </c>
      <c r="BY22" s="190">
        <v>145320393.97999999</v>
      </c>
      <c r="BZ22" s="190">
        <v>62893754.109999999</v>
      </c>
      <c r="CA22" s="190">
        <v>122860071</v>
      </c>
      <c r="CB22" s="190">
        <v>39544963.07</v>
      </c>
      <c r="CC22" s="190">
        <v>68885305.769999996</v>
      </c>
      <c r="CD22" s="190">
        <v>43689308.939999998</v>
      </c>
      <c r="CE22" s="190">
        <v>37862587.729999997</v>
      </c>
      <c r="CF22" s="190">
        <v>0</v>
      </c>
    </row>
    <row r="23" spans="1:84" x14ac:dyDescent="0.25">
      <c r="A23" s="190" t="s">
        <v>210</v>
      </c>
      <c r="B23" s="190">
        <v>3595335877.6300001</v>
      </c>
      <c r="C23" s="190">
        <v>1570506929.05</v>
      </c>
      <c r="D23" s="190">
        <v>989237776.21000004</v>
      </c>
      <c r="E23" s="190">
        <v>3232300015.7399998</v>
      </c>
      <c r="F23" s="190">
        <v>2952819231</v>
      </c>
      <c r="G23" s="190">
        <v>1290029977.98</v>
      </c>
      <c r="H23" s="190">
        <v>930007096.71000004</v>
      </c>
      <c r="I23" s="190">
        <v>3916447642.3800001</v>
      </c>
      <c r="J23" s="190">
        <v>3409231824.6700001</v>
      </c>
      <c r="K23" s="190">
        <v>1486337963.3299999</v>
      </c>
      <c r="L23" s="190">
        <v>1241174650.3</v>
      </c>
      <c r="M23" s="190">
        <v>5427522203.8400002</v>
      </c>
      <c r="N23" s="190">
        <v>4536107583.6899996</v>
      </c>
      <c r="O23" s="190">
        <v>2450054443.4499998</v>
      </c>
      <c r="P23" s="190">
        <v>1226128409.28</v>
      </c>
      <c r="Q23" s="190">
        <v>5596633222.7299995</v>
      </c>
      <c r="R23" s="190">
        <v>4641548483.5100002</v>
      </c>
      <c r="S23" s="190">
        <v>2015893650.3399999</v>
      </c>
      <c r="T23" s="190">
        <v>842657788</v>
      </c>
      <c r="U23" s="190">
        <v>3305278967.2399998</v>
      </c>
      <c r="V23" s="190">
        <v>2459535917.2199998</v>
      </c>
      <c r="W23" s="190">
        <v>1150374046.02</v>
      </c>
      <c r="X23" s="190">
        <v>470706557.73000002</v>
      </c>
      <c r="Y23" s="190">
        <v>1053949166.11</v>
      </c>
      <c r="Z23" s="190">
        <v>683757006.13</v>
      </c>
      <c r="AA23" s="190">
        <v>19090913.960000001</v>
      </c>
      <c r="AB23" s="190">
        <v>-65393067.420000002</v>
      </c>
      <c r="AC23" s="190">
        <v>259256058.41</v>
      </c>
      <c r="AD23" s="190">
        <v>333768977.43000001</v>
      </c>
      <c r="AE23" s="190">
        <v>121676299.83</v>
      </c>
      <c r="AF23" s="190">
        <v>7452007.4900000002</v>
      </c>
      <c r="AG23" s="190">
        <v>494486645.79000002</v>
      </c>
      <c r="AH23" s="190">
        <v>444599728.86000001</v>
      </c>
      <c r="AI23" s="190">
        <v>109177774.75</v>
      </c>
      <c r="AJ23" s="190">
        <v>38500011.090000004</v>
      </c>
      <c r="AK23" s="190">
        <v>531370805.25</v>
      </c>
      <c r="AL23" s="190">
        <v>179629676.31</v>
      </c>
      <c r="AM23" s="190">
        <v>96695932.689999998</v>
      </c>
      <c r="AN23" s="190">
        <v>42889273.229999997</v>
      </c>
      <c r="AO23" s="190">
        <v>124127667.62</v>
      </c>
      <c r="AP23" s="190">
        <v>146912934.24000001</v>
      </c>
      <c r="AQ23" s="190">
        <v>124493668.34</v>
      </c>
      <c r="AR23" s="190">
        <v>73318274.540000007</v>
      </c>
      <c r="AS23" s="190">
        <v>552421164.46000004</v>
      </c>
      <c r="AT23" s="190">
        <v>434477362.08999997</v>
      </c>
      <c r="AU23" s="190">
        <v>307727178.43000001</v>
      </c>
      <c r="AV23" s="190">
        <v>151561696.36000001</v>
      </c>
      <c r="AW23" s="190">
        <v>410736833.61000001</v>
      </c>
      <c r="AX23" s="190">
        <v>283929570.63999999</v>
      </c>
      <c r="AY23" s="190">
        <v>175177309.66</v>
      </c>
      <c r="AZ23" s="190">
        <v>72622862.640000001</v>
      </c>
      <c r="BA23" s="190">
        <v>379532697.27999997</v>
      </c>
      <c r="BB23" s="190">
        <v>324307989.54000002</v>
      </c>
      <c r="BC23" s="190">
        <v>203013769.72999999</v>
      </c>
      <c r="BD23" s="190">
        <v>109230824</v>
      </c>
      <c r="BE23" s="190">
        <v>328464518.62</v>
      </c>
      <c r="BF23" s="190">
        <v>240113707.53</v>
      </c>
      <c r="BG23" s="190">
        <v>168928962.33000001</v>
      </c>
      <c r="BH23" s="190">
        <v>69191321.659999996</v>
      </c>
      <c r="BI23" s="190">
        <v>214810697.72</v>
      </c>
      <c r="BJ23" s="190">
        <v>142770158.03</v>
      </c>
      <c r="BK23" s="190">
        <v>88721770.989999995</v>
      </c>
      <c r="BL23" s="190">
        <v>47253737.909999996</v>
      </c>
      <c r="BM23" s="190">
        <v>-34091282.090000004</v>
      </c>
      <c r="BN23" s="190">
        <v>-88184597.859999999</v>
      </c>
      <c r="BO23" s="190">
        <v>-66360798.609999999</v>
      </c>
      <c r="BP23" s="190">
        <v>-36411461.090000004</v>
      </c>
      <c r="BQ23" s="190">
        <v>-39628397.740000002</v>
      </c>
      <c r="BR23" s="190">
        <v>-1476614.96</v>
      </c>
      <c r="BS23" s="190">
        <v>5923689.0800000001</v>
      </c>
      <c r="BT23" s="190">
        <v>-34426689.479999997</v>
      </c>
      <c r="BU23" s="190">
        <v>-51462881.590000004</v>
      </c>
      <c r="BV23" s="190">
        <v>-68382093.200000003</v>
      </c>
      <c r="BW23" s="190">
        <v>71620461.5</v>
      </c>
      <c r="BX23" s="190">
        <v>98935905.629999995</v>
      </c>
      <c r="BY23" s="190">
        <v>145320393.97999999</v>
      </c>
      <c r="BZ23" s="190">
        <v>62893754.109999999</v>
      </c>
      <c r="CA23" s="190">
        <v>122860071</v>
      </c>
      <c r="CB23" s="190">
        <v>39544963.07</v>
      </c>
      <c r="CC23" s="190">
        <v>68885305.769999996</v>
      </c>
      <c r="CD23" s="190">
        <v>43689308.939999998</v>
      </c>
      <c r="CE23" s="190">
        <v>37862587.729999997</v>
      </c>
      <c r="CF23" s="190">
        <v>0</v>
      </c>
    </row>
    <row r="24" spans="1:84" x14ac:dyDescent="0.25">
      <c r="A24" s="190" t="s">
        <v>211</v>
      </c>
      <c r="B24" s="190">
        <v>3399225320.7399998</v>
      </c>
      <c r="C24" s="190">
        <v>1522140918.03</v>
      </c>
      <c r="D24" s="190">
        <v>986044166.62</v>
      </c>
      <c r="E24" s="190">
        <v>3327190675.6599998</v>
      </c>
      <c r="F24" s="190">
        <v>2918104930.6599998</v>
      </c>
      <c r="G24" s="190">
        <v>1362949974.05</v>
      </c>
      <c r="H24" s="190">
        <v>923375796.28999996</v>
      </c>
      <c r="I24" s="190">
        <v>3943162159.5300002</v>
      </c>
      <c r="J24" s="190">
        <v>3363244564.54</v>
      </c>
      <c r="K24" s="190">
        <v>1746051497.28</v>
      </c>
      <c r="L24" s="190">
        <v>1067381878.41</v>
      </c>
      <c r="M24" s="190">
        <v>4675060617.7299995</v>
      </c>
      <c r="N24" s="190">
        <v>3912379726.5</v>
      </c>
      <c r="O24" s="190">
        <v>2103315083.3599999</v>
      </c>
      <c r="P24" s="190">
        <v>1064645909.6799999</v>
      </c>
      <c r="Q24" s="190">
        <v>4564588314.6000004</v>
      </c>
      <c r="R24" s="190">
        <v>3757918526.5900002</v>
      </c>
      <c r="S24" s="190">
        <v>1416641293.1800001</v>
      </c>
      <c r="T24" s="190">
        <v>665398640.78999996</v>
      </c>
      <c r="U24" s="190">
        <v>2571739802.8000002</v>
      </c>
      <c r="V24" s="190">
        <v>1895128086.1199999</v>
      </c>
      <c r="W24" s="190">
        <v>908494125.63</v>
      </c>
      <c r="X24" s="190">
        <v>373813536.63999999</v>
      </c>
      <c r="Y24" s="190">
        <v>963609552.67999995</v>
      </c>
      <c r="Z24" s="190">
        <v>666265476.67999995</v>
      </c>
      <c r="AA24" s="190">
        <v>104549160.66</v>
      </c>
      <c r="AB24" s="190">
        <v>-11866336.58</v>
      </c>
      <c r="AC24" s="190">
        <v>413041801.25</v>
      </c>
      <c r="AD24" s="190">
        <v>388679252.38999999</v>
      </c>
      <c r="AE24" s="190">
        <v>127838923.06999999</v>
      </c>
      <c r="AF24" s="190">
        <v>26334874.390000001</v>
      </c>
      <c r="AG24" s="190">
        <v>569553108.75</v>
      </c>
      <c r="AH24" s="190">
        <v>424762452.00999999</v>
      </c>
      <c r="AI24" s="190">
        <v>113355196.09</v>
      </c>
      <c r="AJ24" s="190">
        <v>50720839.060000002</v>
      </c>
      <c r="AK24" s="190">
        <v>477985173.41000003</v>
      </c>
      <c r="AL24" s="190">
        <v>80688798.180000007</v>
      </c>
      <c r="AM24" s="190">
        <v>47780171.810000002</v>
      </c>
      <c r="AN24" s="190">
        <v>13000680.58</v>
      </c>
      <c r="AO24" s="190">
        <v>43445847.049999997</v>
      </c>
      <c r="AP24" s="190">
        <v>36935576.259999998</v>
      </c>
      <c r="AQ24" s="190">
        <v>46036934.740000002</v>
      </c>
      <c r="AR24" s="190">
        <v>26110316.77</v>
      </c>
      <c r="AS24" s="190">
        <v>367133105.37</v>
      </c>
      <c r="AT24" s="190">
        <v>311160625.11000001</v>
      </c>
      <c r="AU24" s="190">
        <v>259064791.44</v>
      </c>
      <c r="AV24" s="190">
        <v>136076055.91999999</v>
      </c>
      <c r="AW24" s="190">
        <v>339324702.83999997</v>
      </c>
      <c r="AX24" s="190">
        <v>223362547.15000001</v>
      </c>
      <c r="AY24" s="190">
        <v>143782085.87</v>
      </c>
      <c r="AZ24" s="190">
        <v>50811784.939999998</v>
      </c>
      <c r="BA24" s="190">
        <v>280615690.88</v>
      </c>
      <c r="BB24" s="190">
        <v>250552936.69</v>
      </c>
      <c r="BC24" s="190">
        <v>173686489.58000001</v>
      </c>
      <c r="BD24" s="190">
        <v>99682578.129999995</v>
      </c>
      <c r="BE24" s="190">
        <v>247905632.59</v>
      </c>
      <c r="BF24" s="190">
        <v>181712340.83000001</v>
      </c>
      <c r="BG24" s="190">
        <v>134402380.53999999</v>
      </c>
      <c r="BH24" s="190">
        <v>43496585.700000003</v>
      </c>
      <c r="BI24" s="190">
        <v>143908549.56999999</v>
      </c>
      <c r="BJ24" s="190">
        <v>90450729.769999996</v>
      </c>
      <c r="BK24" s="190">
        <v>57743462.979999997</v>
      </c>
      <c r="BL24" s="190">
        <v>29259522.899999999</v>
      </c>
      <c r="BM24" s="190">
        <v>33620224.5</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c r="CE24" s="190">
        <v>0</v>
      </c>
      <c r="CF24" s="190">
        <v>0</v>
      </c>
    </row>
    <row r="25" spans="1:84" x14ac:dyDescent="0.25">
      <c r="A25" s="190" t="s">
        <v>212</v>
      </c>
    </row>
    <row r="26" spans="1:84" x14ac:dyDescent="0.25">
      <c r="A26" s="190" t="s">
        <v>213</v>
      </c>
      <c r="B26" s="190">
        <v>0.52980000000000005</v>
      </c>
      <c r="C26" s="190">
        <v>0.23139999999999999</v>
      </c>
      <c r="D26" s="190">
        <v>0.14410000000000001</v>
      </c>
      <c r="E26" s="190">
        <v>0.4763</v>
      </c>
      <c r="F26" s="190">
        <v>0.43509999999999999</v>
      </c>
      <c r="G26" s="190">
        <v>0.19009999999999999</v>
      </c>
      <c r="H26" s="190">
        <v>0.13700000000000001</v>
      </c>
      <c r="I26" s="190">
        <v>0.57709999999999995</v>
      </c>
      <c r="J26" s="190">
        <v>0.50239999999999996</v>
      </c>
      <c r="K26" s="190">
        <v>0.219</v>
      </c>
      <c r="L26" s="190">
        <v>0.18290000000000001</v>
      </c>
      <c r="M26" s="190">
        <v>0.79979999999999996</v>
      </c>
      <c r="N26" s="190">
        <v>0.66839999999999999</v>
      </c>
      <c r="O26" s="190">
        <v>0.36099999999999999</v>
      </c>
      <c r="P26" s="190">
        <v>0.1807</v>
      </c>
      <c r="Q26" s="190">
        <v>0.82469999999999999</v>
      </c>
      <c r="R26" s="190">
        <v>0.68400000000000005</v>
      </c>
      <c r="S26" s="190">
        <v>0.29709999999999998</v>
      </c>
      <c r="T26" s="190">
        <v>0.1242</v>
      </c>
      <c r="U26" s="190">
        <v>0.52649999999999997</v>
      </c>
      <c r="V26" s="190">
        <v>0.4027</v>
      </c>
      <c r="W26" s="190">
        <v>0.1978</v>
      </c>
      <c r="X26" s="190">
        <v>0.1326</v>
      </c>
      <c r="Y26" s="190">
        <v>0.29949999999999999</v>
      </c>
      <c r="Z26" s="190">
        <v>0.19439999999999999</v>
      </c>
      <c r="AA26" s="190">
        <v>5.4000000000000003E-3</v>
      </c>
      <c r="AB26" s="190">
        <v>-2.7900000000000001E-2</v>
      </c>
      <c r="AC26" s="190">
        <v>0.12809999999999999</v>
      </c>
      <c r="AD26" s="190">
        <v>0.1673</v>
      </c>
      <c r="AE26" s="190">
        <v>6.0999999999999999E-2</v>
      </c>
      <c r="AF26" s="190">
        <v>3.7000000000000002E-3</v>
      </c>
      <c r="AG26" s="190">
        <v>0.24790000000000001</v>
      </c>
      <c r="AH26" s="190">
        <v>0.2228</v>
      </c>
      <c r="AI26" s="190">
        <v>5.4699999999999999E-2</v>
      </c>
      <c r="AJ26" s="190">
        <v>1.9300000000000001E-2</v>
      </c>
      <c r="AK26" s="190">
        <v>0.26629999999999998</v>
      </c>
      <c r="AL26" s="190">
        <v>0.17030000000000001</v>
      </c>
      <c r="AM26" s="190">
        <v>9.1700000000000004E-2</v>
      </c>
      <c r="AN26" s="190">
        <v>0.04</v>
      </c>
      <c r="AO26" s="190">
        <v>0.1177</v>
      </c>
      <c r="AP26" s="190">
        <v>0.13930000000000001</v>
      </c>
      <c r="AQ26" s="190">
        <v>0.11799999999999999</v>
      </c>
      <c r="AR26" s="190">
        <v>7.0000000000000007E-2</v>
      </c>
      <c r="AS26" s="190">
        <v>0.63219999999999998</v>
      </c>
      <c r="AT26" s="190">
        <v>0.52600000000000002</v>
      </c>
      <c r="AU26" s="190">
        <v>0.37830000000000003</v>
      </c>
      <c r="AV26" s="190">
        <v>0.186</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row>
    <row r="27" spans="1:84" x14ac:dyDescent="0.25">
      <c r="A27" s="190" t="s">
        <v>214</v>
      </c>
      <c r="B27" s="190">
        <v>0.52980000000000005</v>
      </c>
      <c r="C27" s="190">
        <v>0.23139999999999999</v>
      </c>
      <c r="D27" s="190">
        <v>0.14410000000000001</v>
      </c>
      <c r="E27" s="190">
        <v>0.4763</v>
      </c>
      <c r="F27" s="190">
        <v>0.43509999999999999</v>
      </c>
      <c r="G27" s="190">
        <v>0.19009999999999999</v>
      </c>
      <c r="H27" s="190">
        <v>0.13700000000000001</v>
      </c>
      <c r="I27" s="190">
        <v>0.57709999999999995</v>
      </c>
      <c r="J27" s="190">
        <v>0.50239999999999996</v>
      </c>
      <c r="K27" s="190">
        <v>0.219</v>
      </c>
      <c r="L27" s="190">
        <v>0.18290000000000001</v>
      </c>
      <c r="M27" s="190">
        <v>0.79979999999999996</v>
      </c>
      <c r="N27" s="190">
        <v>0.66839999999999999</v>
      </c>
      <c r="O27" s="190">
        <v>0.36099999999999999</v>
      </c>
      <c r="P27" s="190">
        <v>0.1807</v>
      </c>
      <c r="Q27" s="190">
        <v>0.82469999999999999</v>
      </c>
      <c r="R27" s="190">
        <v>0.68400000000000005</v>
      </c>
      <c r="S27" s="190">
        <v>0.29709999999999998</v>
      </c>
      <c r="T27" s="190">
        <v>0.1242</v>
      </c>
      <c r="U27" s="190">
        <v>0.52649999999999997</v>
      </c>
      <c r="V27" s="190">
        <v>0.4027</v>
      </c>
      <c r="W27" s="190">
        <v>0.17910000000000001</v>
      </c>
      <c r="X27" s="190">
        <v>0.1191</v>
      </c>
      <c r="Y27" s="190">
        <v>0.28039999999999998</v>
      </c>
      <c r="Z27" s="190">
        <v>0.18590000000000001</v>
      </c>
      <c r="AA27" s="190">
        <v>5.4000000000000003E-3</v>
      </c>
      <c r="AB27" s="190">
        <v>-2.7900000000000001E-2</v>
      </c>
      <c r="AC27" s="190">
        <v>0.12809999999999999</v>
      </c>
      <c r="AD27" s="190">
        <v>0.1673</v>
      </c>
      <c r="AE27" s="190">
        <v>6.0999999999999999E-2</v>
      </c>
      <c r="AF27" s="190">
        <v>3.7000000000000002E-3</v>
      </c>
      <c r="AG27" s="190">
        <v>0.24790000000000001</v>
      </c>
      <c r="AH27" s="190">
        <v>0.2228</v>
      </c>
      <c r="AI27" s="190">
        <v>5.4699999999999999E-2</v>
      </c>
      <c r="AJ27" s="190">
        <v>1.9300000000000001E-2</v>
      </c>
      <c r="AK27" s="190">
        <v>0.26629999999999998</v>
      </c>
      <c r="AL27" s="190">
        <v>0.17030000000000001</v>
      </c>
      <c r="AM27" s="190">
        <v>9.1700000000000004E-2</v>
      </c>
      <c r="AN27" s="190">
        <v>0.04</v>
      </c>
      <c r="AO27" s="190">
        <v>0.1177</v>
      </c>
      <c r="AP27" s="190">
        <v>0.13930000000000001</v>
      </c>
      <c r="AQ27" s="190">
        <v>0.11799999999999999</v>
      </c>
      <c r="AR27" s="190">
        <v>7.0000000000000007E-2</v>
      </c>
      <c r="AS27" s="190">
        <v>0.63219999999999998</v>
      </c>
      <c r="AT27" s="190">
        <v>0.52600000000000002</v>
      </c>
      <c r="AU27" s="190">
        <v>0.37830000000000003</v>
      </c>
      <c r="AV27" s="190">
        <v>0.186</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row>
    <row r="28" spans="1:84" x14ac:dyDescent="0.25">
      <c r="A28" s="190" t="s">
        <v>215</v>
      </c>
      <c r="B28" s="190">
        <v>53610308.789999999</v>
      </c>
      <c r="C28" s="190">
        <v>34210545.049999997</v>
      </c>
      <c r="D28" s="190">
        <v>24467626.550000001</v>
      </c>
      <c r="E28" s="190">
        <v>13265211.140000001</v>
      </c>
      <c r="F28" s="190">
        <v>-13097975.32</v>
      </c>
      <c r="G28" s="190">
        <v>-16073122.210000001</v>
      </c>
      <c r="H28" s="190">
        <v>-9837480.5299999993</v>
      </c>
      <c r="I28" s="190">
        <v>82407804.069999993</v>
      </c>
      <c r="J28" s="190">
        <v>-9016658.6899999995</v>
      </c>
      <c r="K28" s="190">
        <v>-24414036.800000001</v>
      </c>
      <c r="L28" s="190">
        <v>0</v>
      </c>
      <c r="M28" s="190">
        <v>184977.85</v>
      </c>
      <c r="N28" s="190">
        <v>279367.51</v>
      </c>
      <c r="O28" s="190">
        <v>279367.51</v>
      </c>
      <c r="P28" s="190">
        <v>0</v>
      </c>
      <c r="Q28" s="190">
        <v>774631.15</v>
      </c>
      <c r="R28" s="190">
        <v>959609</v>
      </c>
      <c r="S28" s="190">
        <v>959609</v>
      </c>
      <c r="T28" s="190">
        <v>0</v>
      </c>
      <c r="U28" s="190">
        <v>11916961.4</v>
      </c>
      <c r="V28" s="190">
        <v>6126985.8600000003</v>
      </c>
      <c r="W28" s="190">
        <v>6126985.8600000003</v>
      </c>
      <c r="X28" s="190">
        <v>0</v>
      </c>
      <c r="Y28" s="190">
        <v>12512454.74</v>
      </c>
      <c r="Z28" s="190">
        <v>15069156.33</v>
      </c>
      <c r="AA28" s="190">
        <v>14846329.289999999</v>
      </c>
      <c r="AB28" s="190">
        <v>2730000</v>
      </c>
      <c r="AC28" s="190">
        <v>24907715.120000001</v>
      </c>
      <c r="AD28" s="190">
        <v>14695914.869999999</v>
      </c>
      <c r="AE28" s="190">
        <v>1155362.8500000001</v>
      </c>
      <c r="AF28" s="190">
        <v>0</v>
      </c>
      <c r="AG28" s="190">
        <v>5306765.67</v>
      </c>
      <c r="AH28" s="190">
        <v>10337639.34</v>
      </c>
      <c r="AI28" s="190">
        <v>10337639.34</v>
      </c>
      <c r="AJ28" s="190">
        <v>0</v>
      </c>
      <c r="AK28" s="190">
        <v>14253890.050000001</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row>
    <row r="29" spans="1:84" x14ac:dyDescent="0.25">
      <c r="A29" s="190" t="s">
        <v>216</v>
      </c>
      <c r="B29" s="190">
        <v>7048171507.1599998</v>
      </c>
      <c r="C29" s="190">
        <v>3126858392.1300001</v>
      </c>
      <c r="D29" s="190">
        <v>1999749569.3800001</v>
      </c>
      <c r="E29" s="190">
        <v>6572755902.54</v>
      </c>
      <c r="F29" s="190">
        <v>5857826186.3400002</v>
      </c>
      <c r="G29" s="190">
        <v>2636906829.8200002</v>
      </c>
      <c r="H29" s="190">
        <v>1843545412.47</v>
      </c>
      <c r="I29" s="190">
        <v>7942017605.9799995</v>
      </c>
      <c r="J29" s="190">
        <v>6763459730.5200005</v>
      </c>
      <c r="K29" s="190">
        <v>3207975423.8099999</v>
      </c>
      <c r="L29" s="190">
        <v>2308556528.71</v>
      </c>
      <c r="M29" s="190">
        <v>10102767799.42</v>
      </c>
      <c r="N29" s="190">
        <v>8448766677.6999998</v>
      </c>
      <c r="O29" s="190">
        <v>4553648894.3199997</v>
      </c>
      <c r="P29" s="190">
        <v>2290774318.96</v>
      </c>
      <c r="Q29" s="190">
        <v>10161996168.48</v>
      </c>
      <c r="R29" s="190">
        <v>8400426619.1000004</v>
      </c>
      <c r="S29" s="190">
        <v>3433494552.52</v>
      </c>
      <c r="T29" s="190">
        <v>1508056428.79</v>
      </c>
      <c r="U29" s="190">
        <v>5888935731.4399996</v>
      </c>
      <c r="V29" s="190">
        <v>4360790989.1999998</v>
      </c>
      <c r="W29" s="190">
        <v>2064995157.51</v>
      </c>
      <c r="X29" s="190">
        <v>844520094.37</v>
      </c>
      <c r="Y29" s="190">
        <v>2030071173.53</v>
      </c>
      <c r="Z29" s="190">
        <v>1365091639.1400001</v>
      </c>
      <c r="AA29" s="190">
        <v>138486403.91</v>
      </c>
      <c r="AB29" s="190">
        <v>-74529404</v>
      </c>
      <c r="AC29" s="190">
        <v>697205574.77999997</v>
      </c>
      <c r="AD29" s="190">
        <v>737144144.69000006</v>
      </c>
      <c r="AE29" s="190">
        <v>250670585.75</v>
      </c>
      <c r="AF29" s="190">
        <v>33786881.880000003</v>
      </c>
      <c r="AG29" s="190">
        <v>1069346520.21</v>
      </c>
      <c r="AH29" s="190">
        <v>879699820.21000004</v>
      </c>
      <c r="AI29" s="190">
        <v>232870610.18000001</v>
      </c>
      <c r="AJ29" s="190">
        <v>89220850.150000006</v>
      </c>
      <c r="AK29" s="190">
        <v>1023609868.71</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row>
    <row r="30" spans="1:84" x14ac:dyDescent="0.25">
      <c r="A30" s="190" t="s">
        <v>217</v>
      </c>
      <c r="B30" s="190">
        <v>3651369661.5300002</v>
      </c>
      <c r="C30" s="190">
        <v>1607756687.1199999</v>
      </c>
      <c r="D30" s="190">
        <v>1013502522.3200001</v>
      </c>
      <c r="E30" s="190">
        <v>3245562154.6300001</v>
      </c>
      <c r="F30" s="190">
        <v>2941733543.5599999</v>
      </c>
      <c r="G30" s="190">
        <v>1276562195.29</v>
      </c>
      <c r="H30" s="190">
        <v>923032926.41999996</v>
      </c>
      <c r="I30" s="190">
        <v>3999841386.1599998</v>
      </c>
      <c r="J30" s="190">
        <v>3400215165.98</v>
      </c>
      <c r="K30" s="190">
        <v>1461923926.53</v>
      </c>
      <c r="L30" s="190">
        <v>1241174650.3</v>
      </c>
      <c r="M30" s="190">
        <v>5427618392.3199997</v>
      </c>
      <c r="N30" s="190">
        <v>4536252854.8000002</v>
      </c>
      <c r="O30" s="190">
        <v>2450199714.5599999</v>
      </c>
      <c r="P30" s="190">
        <v>1226128409.28</v>
      </c>
      <c r="Q30" s="190">
        <v>5597036030.9300003</v>
      </c>
      <c r="R30" s="190">
        <v>4642047480.1899996</v>
      </c>
      <c r="S30" s="190">
        <v>2016392647.02</v>
      </c>
      <c r="T30" s="190">
        <v>842657788</v>
      </c>
      <c r="U30" s="190">
        <v>3311475787.1700001</v>
      </c>
      <c r="V30" s="190">
        <v>2462721949.8699999</v>
      </c>
      <c r="W30" s="190">
        <v>1153560078.6700001</v>
      </c>
      <c r="X30" s="190">
        <v>470706557.73000002</v>
      </c>
      <c r="Y30" s="190">
        <v>1060455642.5700001</v>
      </c>
      <c r="Z30" s="190">
        <v>691692472.23000002</v>
      </c>
      <c r="AA30" s="190">
        <v>26903825.190000001</v>
      </c>
      <c r="AB30" s="190">
        <v>-63880647.420000002</v>
      </c>
      <c r="AC30" s="190">
        <v>272135320.26999998</v>
      </c>
      <c r="AD30" s="190">
        <v>341415893.16000003</v>
      </c>
      <c r="AE30" s="190">
        <v>122282128.51000001</v>
      </c>
      <c r="AF30" s="190">
        <v>7452007.4900000002</v>
      </c>
      <c r="AG30" s="190">
        <v>497257503.94</v>
      </c>
      <c r="AH30" s="190">
        <v>449975301.31999999</v>
      </c>
      <c r="AI30" s="190">
        <v>114553347.20999999</v>
      </c>
      <c r="AJ30" s="190">
        <v>38500011.090000004</v>
      </c>
      <c r="AK30" s="190">
        <v>539489192.49000001</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row>
    <row r="31" spans="1:84" x14ac:dyDescent="0.25">
      <c r="A31" s="190" t="s">
        <v>218</v>
      </c>
      <c r="B31" s="190">
        <v>3396801845.6300001</v>
      </c>
      <c r="C31" s="190">
        <v>1519101705.01</v>
      </c>
      <c r="D31" s="190">
        <v>986247047.05999994</v>
      </c>
      <c r="E31" s="190">
        <v>3327193747.9099998</v>
      </c>
      <c r="F31" s="190">
        <v>2916092642.7800002</v>
      </c>
      <c r="G31" s="190">
        <v>1360344634.53</v>
      </c>
      <c r="H31" s="190">
        <v>920512486.04999995</v>
      </c>
      <c r="I31" s="190">
        <v>3942176219.8200002</v>
      </c>
      <c r="J31" s="190">
        <v>3363244564.54</v>
      </c>
      <c r="K31" s="190">
        <v>1746051497.28</v>
      </c>
      <c r="L31" s="190">
        <v>1067381878.41</v>
      </c>
      <c r="M31" s="190">
        <v>4675149407.1000004</v>
      </c>
      <c r="N31" s="190">
        <v>3912513822.9000001</v>
      </c>
      <c r="O31" s="190">
        <v>2103449179.76</v>
      </c>
      <c r="P31" s="190">
        <v>1064645909.6799999</v>
      </c>
      <c r="Q31" s="190">
        <v>4564960137.5500002</v>
      </c>
      <c r="R31" s="190">
        <v>3758379138.9099998</v>
      </c>
      <c r="S31" s="190">
        <v>1417101905.5</v>
      </c>
      <c r="T31" s="190">
        <v>665398640.78999996</v>
      </c>
      <c r="U31" s="190">
        <v>2577459944.27</v>
      </c>
      <c r="V31" s="190">
        <v>1898069039.3299999</v>
      </c>
      <c r="W31" s="190">
        <v>911435078.84000003</v>
      </c>
      <c r="X31" s="190">
        <v>373813536.63999999</v>
      </c>
      <c r="Y31" s="190">
        <v>969615530.96000004</v>
      </c>
      <c r="Z31" s="190">
        <v>673399166.90999997</v>
      </c>
      <c r="AA31" s="190">
        <v>111582578.72</v>
      </c>
      <c r="AB31" s="190">
        <v>-10648756.58</v>
      </c>
      <c r="AC31" s="190">
        <v>425070254.50999999</v>
      </c>
      <c r="AD31" s="190">
        <v>395728251.52999997</v>
      </c>
      <c r="AE31" s="190">
        <v>128388457.23999999</v>
      </c>
      <c r="AF31" s="190">
        <v>26334874.390000001</v>
      </c>
      <c r="AG31" s="190">
        <v>572089016.26999998</v>
      </c>
      <c r="AH31" s="190">
        <v>429724518.88999999</v>
      </c>
      <c r="AI31" s="190">
        <v>118317262.97</v>
      </c>
      <c r="AJ31" s="190">
        <v>50720839.060000002</v>
      </c>
      <c r="AK31" s="190">
        <v>484120676.22000003</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U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6" width="12.77734375" style="190" hidden="1" customWidth="1"/>
    <col min="7"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18" width="12.77734375" style="190" hidden="1" customWidth="1"/>
    <col min="19"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1" width="13.88671875" style="190" hidden="1" customWidth="1"/>
    <col min="32" max="32" width="12.77734375" style="190" hidden="1" customWidth="1"/>
    <col min="33" max="33" width="13.88671875" style="190" bestFit="1" customWidth="1"/>
    <col min="34" max="34" width="12.77734375" style="190" hidden="1" customWidth="1"/>
    <col min="35" max="35" width="13.88671875" style="190" hidden="1" customWidth="1"/>
    <col min="36" max="36" width="12.777343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6" width="12.77734375" style="190" hidden="1" customWidth="1"/>
    <col min="47"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9.5546875" style="190" hidden="1" customWidth="1"/>
    <col min="74" max="16384" width="8.88671875" style="190"/>
  </cols>
  <sheetData>
    <row r="1" spans="1:73"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19700101</v>
      </c>
    </row>
    <row r="2" spans="1:7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row>
    <row r="3" spans="1:73" x14ac:dyDescent="0.25">
      <c r="A3" s="190" t="s">
        <v>219</v>
      </c>
    </row>
    <row r="4" spans="1:73" x14ac:dyDescent="0.25">
      <c r="A4" s="190" t="s">
        <v>220</v>
      </c>
      <c r="B4" s="190">
        <v>32948063632.25</v>
      </c>
      <c r="C4" s="190">
        <v>19545715384.07</v>
      </c>
      <c r="D4" s="190">
        <v>9889617980.8500004</v>
      </c>
      <c r="E4" s="190">
        <v>35895475102.459999</v>
      </c>
      <c r="F4" s="190">
        <v>26157928250.099998</v>
      </c>
      <c r="G4" s="190">
        <v>14873004962.58</v>
      </c>
      <c r="H4" s="190">
        <v>7574938827.6499996</v>
      </c>
      <c r="I4" s="190">
        <v>33631604551.290001</v>
      </c>
      <c r="J4" s="190">
        <v>23368555302.119999</v>
      </c>
      <c r="K4" s="190">
        <v>13467619112.08</v>
      </c>
      <c r="L4" s="190">
        <v>6399644380.9099998</v>
      </c>
      <c r="M4" s="190">
        <v>36467680630.910004</v>
      </c>
      <c r="N4" s="190">
        <v>26912102324.73</v>
      </c>
      <c r="O4" s="190">
        <v>16375501490.59</v>
      </c>
      <c r="P4" s="190">
        <v>8097053555.5</v>
      </c>
      <c r="Q4" s="190">
        <v>37913711945.459999</v>
      </c>
      <c r="R4" s="190">
        <v>27730494446.52</v>
      </c>
      <c r="S4" s="190">
        <v>16011982488</v>
      </c>
      <c r="T4" s="190">
        <v>8025385487.5200005</v>
      </c>
      <c r="U4" s="190">
        <v>32096338794.91</v>
      </c>
      <c r="V4" s="190">
        <v>22378290959.509998</v>
      </c>
      <c r="W4" s="190">
        <v>13904850595.719999</v>
      </c>
      <c r="X4" s="190">
        <v>7030984397.5</v>
      </c>
      <c r="Y4" s="190">
        <v>27151303046.950001</v>
      </c>
      <c r="Z4" s="190">
        <v>20250021649.740002</v>
      </c>
      <c r="AA4" s="190">
        <v>12216458202.290001</v>
      </c>
      <c r="AB4" s="190">
        <v>5945405728.6599998</v>
      </c>
      <c r="AC4" s="190">
        <v>24924694406.18</v>
      </c>
      <c r="AD4" s="190">
        <v>18389725280.759998</v>
      </c>
      <c r="AE4" s="190">
        <v>11429534799.200001</v>
      </c>
      <c r="AF4" s="190">
        <v>5845213988.9799995</v>
      </c>
      <c r="AG4" s="190">
        <v>18025614706.34</v>
      </c>
      <c r="AH4" s="190">
        <v>13075482400.42</v>
      </c>
      <c r="AI4" s="190">
        <v>8089403935.3699999</v>
      </c>
      <c r="AJ4" s="190">
        <v>4231300432.04</v>
      </c>
      <c r="AK4" s="190">
        <v>12958946293.549999</v>
      </c>
      <c r="AL4" s="190">
        <v>5006328225.5799999</v>
      </c>
      <c r="AM4" s="190">
        <v>3358672274.3499999</v>
      </c>
      <c r="AN4" s="190">
        <v>1499048761.21</v>
      </c>
      <c r="AO4" s="190">
        <v>7917732625.4300003</v>
      </c>
      <c r="AP4" s="190">
        <v>5994610177.4300003</v>
      </c>
      <c r="AQ4" s="190">
        <v>4130095182.6599998</v>
      </c>
      <c r="AR4" s="190">
        <v>2047510718.4400001</v>
      </c>
      <c r="AS4" s="190">
        <v>7335829469.46</v>
      </c>
      <c r="AT4" s="190">
        <v>5553273326.0799999</v>
      </c>
      <c r="AU4" s="190">
        <v>3813688656.3200002</v>
      </c>
      <c r="AV4" s="190">
        <v>1782634253.24</v>
      </c>
      <c r="AW4" s="190">
        <v>4810550059.7200003</v>
      </c>
      <c r="AX4" s="190">
        <v>2728299868.1399999</v>
      </c>
      <c r="AY4" s="190">
        <v>1770914472.2</v>
      </c>
      <c r="AZ4" s="190">
        <v>859487502.60000002</v>
      </c>
      <c r="BA4" s="190">
        <v>3641613367.5500002</v>
      </c>
      <c r="BB4" s="190">
        <v>2681169261.6799998</v>
      </c>
      <c r="BC4" s="190">
        <v>1776951105.4400001</v>
      </c>
      <c r="BD4" s="190">
        <v>891891020.14999998</v>
      </c>
      <c r="BE4" s="190">
        <v>2821179953.75</v>
      </c>
      <c r="BF4" s="190">
        <v>2153564310.0500002</v>
      </c>
      <c r="BG4" s="190">
        <v>997684692.10000002</v>
      </c>
      <c r="BH4" s="190">
        <v>389064917.26999998</v>
      </c>
      <c r="BI4" s="190">
        <v>1722832052.1300001</v>
      </c>
      <c r="BJ4" s="190">
        <v>1389915152.3399999</v>
      </c>
      <c r="BK4" s="190">
        <v>966320441.49000001</v>
      </c>
      <c r="BL4" s="190">
        <v>368532637</v>
      </c>
      <c r="BM4" s="190">
        <v>446318238.06</v>
      </c>
      <c r="BN4" s="190">
        <v>1493090557.3599999</v>
      </c>
      <c r="BO4" s="190">
        <v>2036397352.6300001</v>
      </c>
      <c r="BP4" s="190">
        <v>672652137.20000005</v>
      </c>
      <c r="BQ4" s="190">
        <v>1889252803.0599999</v>
      </c>
      <c r="BR4" s="190">
        <v>659479451.67999995</v>
      </c>
      <c r="BS4" s="190">
        <v>1409412682.5999999</v>
      </c>
      <c r="BT4" s="190">
        <v>1026462120.0599999</v>
      </c>
      <c r="BU4" s="190">
        <v>0</v>
      </c>
    </row>
    <row r="5" spans="1:73" x14ac:dyDescent="0.25">
      <c r="A5" s="190" t="s">
        <v>221</v>
      </c>
      <c r="B5" s="190">
        <v>143005930.43000001</v>
      </c>
      <c r="C5" s="190">
        <v>114975438.11</v>
      </c>
      <c r="D5" s="190">
        <v>103191000.23</v>
      </c>
      <c r="E5" s="190">
        <v>947435838.39999998</v>
      </c>
      <c r="F5" s="190">
        <v>662470008.88</v>
      </c>
      <c r="G5" s="190">
        <v>427275125.70999998</v>
      </c>
      <c r="H5" s="190">
        <v>147270708.65000001</v>
      </c>
      <c r="I5" s="190">
        <v>820678981.63</v>
      </c>
      <c r="J5" s="190">
        <v>596847510.28999996</v>
      </c>
      <c r="K5" s="190">
        <v>397841369.42000002</v>
      </c>
      <c r="L5" s="190">
        <v>248287115.87</v>
      </c>
      <c r="M5" s="190">
        <v>1392058229.54</v>
      </c>
      <c r="N5" s="190">
        <v>917021178.89999998</v>
      </c>
      <c r="O5" s="190">
        <v>538142440.84000003</v>
      </c>
      <c r="P5" s="190">
        <v>185020987.56</v>
      </c>
      <c r="Q5" s="190">
        <v>661816274.77999997</v>
      </c>
      <c r="R5" s="190">
        <v>374837202.23000002</v>
      </c>
      <c r="S5" s="190">
        <v>116017031.84</v>
      </c>
      <c r="T5" s="190">
        <v>5596000</v>
      </c>
      <c r="U5" s="190">
        <v>17252000</v>
      </c>
      <c r="V5" s="190">
        <v>10799000</v>
      </c>
      <c r="W5" s="190">
        <v>10799000</v>
      </c>
      <c r="X5" s="190">
        <v>0</v>
      </c>
      <c r="Y5" s="190">
        <v>13992732.25</v>
      </c>
      <c r="Z5" s="190">
        <v>9096017.4900000002</v>
      </c>
      <c r="AA5" s="190">
        <v>31546.97</v>
      </c>
      <c r="AB5" s="190">
        <v>0</v>
      </c>
      <c r="AC5" s="190">
        <v>6529977.8300000001</v>
      </c>
      <c r="AD5" s="190">
        <v>8546059.5600000005</v>
      </c>
      <c r="AE5" s="190">
        <v>813.3</v>
      </c>
      <c r="AF5" s="190">
        <v>0</v>
      </c>
      <c r="AG5" s="190">
        <v>10046700</v>
      </c>
      <c r="AH5" s="190">
        <v>5149400</v>
      </c>
      <c r="AI5" s="190">
        <v>0</v>
      </c>
      <c r="AJ5" s="190">
        <v>400000</v>
      </c>
      <c r="AK5" s="190">
        <v>14736718.74</v>
      </c>
      <c r="AL5" s="190">
        <v>4554740.24</v>
      </c>
      <c r="AM5" s="190">
        <v>4309015.72</v>
      </c>
      <c r="AN5" s="190">
        <v>4309015.72</v>
      </c>
      <c r="AO5" s="190">
        <v>2319159.1800000002</v>
      </c>
      <c r="AP5" s="190">
        <v>16201911.35</v>
      </c>
      <c r="AQ5" s="190">
        <v>10552577.92</v>
      </c>
      <c r="AR5" s="190">
        <v>0</v>
      </c>
      <c r="AS5" s="190">
        <v>0</v>
      </c>
      <c r="AT5" s="190">
        <v>26340058.620000001</v>
      </c>
      <c r="AU5" s="190">
        <v>6902621.9699999997</v>
      </c>
      <c r="AV5" s="190">
        <v>0</v>
      </c>
      <c r="AW5" s="190">
        <v>536636.43000000005</v>
      </c>
      <c r="AX5" s="190">
        <v>12865216.67</v>
      </c>
      <c r="AY5" s="190">
        <v>770085.47</v>
      </c>
      <c r="AZ5" s="190">
        <v>0</v>
      </c>
      <c r="BA5" s="190">
        <v>0</v>
      </c>
      <c r="BB5" s="190">
        <v>0</v>
      </c>
      <c r="BC5" s="190">
        <v>0</v>
      </c>
      <c r="BD5" s="190">
        <v>0</v>
      </c>
      <c r="BE5" s="190">
        <v>5298683.83</v>
      </c>
      <c r="BF5" s="190">
        <v>3963092.34</v>
      </c>
      <c r="BG5" s="190">
        <v>516741.9</v>
      </c>
      <c r="BH5" s="190">
        <v>516741.9</v>
      </c>
      <c r="BI5" s="190">
        <v>227627.79</v>
      </c>
      <c r="BJ5" s="190">
        <v>227627.79</v>
      </c>
      <c r="BK5" s="190">
        <v>18525.64</v>
      </c>
      <c r="BL5" s="190">
        <v>0</v>
      </c>
      <c r="BM5" s="190">
        <v>61545.81</v>
      </c>
      <c r="BN5" s="190">
        <v>0</v>
      </c>
      <c r="BO5" s="190">
        <v>0</v>
      </c>
      <c r="BP5" s="190">
        <v>0</v>
      </c>
      <c r="BQ5" s="190">
        <v>0</v>
      </c>
      <c r="BR5" s="190">
        <v>0</v>
      </c>
      <c r="BS5" s="190">
        <v>0</v>
      </c>
      <c r="BT5" s="190">
        <v>0</v>
      </c>
      <c r="BU5" s="190">
        <v>0</v>
      </c>
    </row>
    <row r="6" spans="1:73" x14ac:dyDescent="0.25">
      <c r="A6" s="190" t="s">
        <v>222</v>
      </c>
      <c r="B6" s="190">
        <v>331342976.27999997</v>
      </c>
      <c r="C6" s="190">
        <v>227448119.16</v>
      </c>
      <c r="D6" s="190">
        <v>86593444.560000002</v>
      </c>
      <c r="E6" s="190">
        <v>310805118.94999999</v>
      </c>
      <c r="F6" s="190">
        <v>199086780.28999999</v>
      </c>
      <c r="G6" s="190">
        <v>129685960.88</v>
      </c>
      <c r="H6" s="190">
        <v>29270808.890000001</v>
      </c>
      <c r="I6" s="190">
        <v>361660618.73000002</v>
      </c>
      <c r="J6" s="190">
        <v>703356515.50999999</v>
      </c>
      <c r="K6" s="190">
        <v>216032549.75</v>
      </c>
      <c r="L6" s="190">
        <v>51822964.159999996</v>
      </c>
      <c r="M6" s="190">
        <v>478230459.93000001</v>
      </c>
      <c r="N6" s="190">
        <v>334744801.12</v>
      </c>
      <c r="O6" s="190">
        <v>195950303.84</v>
      </c>
      <c r="P6" s="190">
        <v>55624501.530000001</v>
      </c>
      <c r="Q6" s="190">
        <v>313106517.43000001</v>
      </c>
      <c r="R6" s="190">
        <v>224901550.56999999</v>
      </c>
      <c r="S6" s="190">
        <v>96837694.719999999</v>
      </c>
      <c r="T6" s="190">
        <v>35889131.420000002</v>
      </c>
      <c r="U6" s="190">
        <v>181866219.81</v>
      </c>
      <c r="V6" s="190">
        <v>106205281.73</v>
      </c>
      <c r="W6" s="190">
        <v>74179765.379999995</v>
      </c>
      <c r="X6" s="190">
        <v>41069644.630000003</v>
      </c>
      <c r="Y6" s="190">
        <v>159006286</v>
      </c>
      <c r="Z6" s="190">
        <v>120753711.20999999</v>
      </c>
      <c r="AA6" s="190">
        <v>66292529.420000002</v>
      </c>
      <c r="AB6" s="190">
        <v>35295247.170000002</v>
      </c>
      <c r="AC6" s="190">
        <v>213578465.19</v>
      </c>
      <c r="AD6" s="190">
        <v>112608753.98</v>
      </c>
      <c r="AE6" s="190">
        <v>59525646.200000003</v>
      </c>
      <c r="AF6" s="190">
        <v>71512996.689999998</v>
      </c>
      <c r="AG6" s="190">
        <v>97611339.129999995</v>
      </c>
      <c r="AH6" s="190">
        <v>102277371.93000001</v>
      </c>
      <c r="AI6" s="190">
        <v>54123551.509999998</v>
      </c>
      <c r="AJ6" s="190">
        <v>19829127.379999999</v>
      </c>
      <c r="AK6" s="190">
        <v>122969108.20999999</v>
      </c>
      <c r="AL6" s="190">
        <v>65002524.619999997</v>
      </c>
      <c r="AM6" s="190">
        <v>54414370.869999997</v>
      </c>
      <c r="AN6" s="190">
        <v>19316682.280000001</v>
      </c>
      <c r="AO6" s="190">
        <v>94855244.230000004</v>
      </c>
      <c r="AP6" s="190">
        <v>119527391.19</v>
      </c>
      <c r="AQ6" s="190">
        <v>81569765.459999993</v>
      </c>
      <c r="AR6" s="190">
        <v>25488732.23</v>
      </c>
      <c r="AS6" s="190">
        <v>82935055.909999996</v>
      </c>
      <c r="AT6" s="190">
        <v>65489312.840000004</v>
      </c>
      <c r="AU6" s="190">
        <v>38023379.469999999</v>
      </c>
      <c r="AV6" s="190">
        <v>7338043.7000000002</v>
      </c>
      <c r="AW6" s="190">
        <v>26517269.149999999</v>
      </c>
      <c r="AX6" s="190">
        <v>84264187.140000001</v>
      </c>
      <c r="AY6" s="190">
        <v>15286957.51</v>
      </c>
      <c r="AZ6" s="190">
        <v>5476756.4500000002</v>
      </c>
      <c r="BA6" s="190">
        <v>46179542.210000001</v>
      </c>
      <c r="BB6" s="190">
        <v>93202207.090000004</v>
      </c>
      <c r="BC6" s="190">
        <v>24924784.059999999</v>
      </c>
      <c r="BD6" s="190">
        <v>23961114.329999998</v>
      </c>
      <c r="BE6" s="190">
        <v>41569553.060000002</v>
      </c>
      <c r="BF6" s="190">
        <v>15247624.57</v>
      </c>
      <c r="BG6" s="190">
        <v>9072801.4499999993</v>
      </c>
      <c r="BH6" s="190">
        <v>3953720.48</v>
      </c>
      <c r="BI6" s="190">
        <v>8929958.7300000004</v>
      </c>
      <c r="BJ6" s="190">
        <v>79954656.150000006</v>
      </c>
      <c r="BK6" s="190">
        <v>16501895.789999999</v>
      </c>
      <c r="BL6" s="190">
        <v>1184547.6499999999</v>
      </c>
      <c r="BM6" s="190">
        <v>2283919.2000000002</v>
      </c>
      <c r="BN6" s="190">
        <v>1257782.51</v>
      </c>
      <c r="BO6" s="190">
        <v>5269727.5199999996</v>
      </c>
      <c r="BP6" s="190">
        <v>6839610.0700000003</v>
      </c>
      <c r="BQ6" s="190">
        <v>6223626.7400000002</v>
      </c>
      <c r="BR6" s="190">
        <v>4161874.91</v>
      </c>
      <c r="BS6" s="190">
        <v>6621299.96</v>
      </c>
      <c r="BT6" s="190">
        <v>2899367.59</v>
      </c>
      <c r="BU6" s="190">
        <v>0</v>
      </c>
    </row>
    <row r="7" spans="1:73" x14ac:dyDescent="0.25">
      <c r="A7" s="190" t="s">
        <v>223</v>
      </c>
      <c r="B7" s="190">
        <v>33422412538.959999</v>
      </c>
      <c r="C7" s="190">
        <v>19888138941.34</v>
      </c>
      <c r="D7" s="190">
        <v>10079402425.639999</v>
      </c>
      <c r="E7" s="190">
        <v>37153716059.809998</v>
      </c>
      <c r="F7" s="190">
        <v>27019485039.27</v>
      </c>
      <c r="G7" s="190">
        <v>15429966049.17</v>
      </c>
      <c r="H7" s="190">
        <v>7751480345.1899996</v>
      </c>
      <c r="I7" s="190">
        <v>34813944151.650002</v>
      </c>
      <c r="J7" s="190">
        <v>24668759327.919998</v>
      </c>
      <c r="K7" s="190">
        <v>14081493031.25</v>
      </c>
      <c r="L7" s="190">
        <v>6699754460.9399996</v>
      </c>
      <c r="M7" s="190">
        <v>38337969320.379997</v>
      </c>
      <c r="N7" s="190">
        <v>28163868304.75</v>
      </c>
      <c r="O7" s="190">
        <v>17109594235.27</v>
      </c>
      <c r="P7" s="190">
        <v>8337699044.5900002</v>
      </c>
      <c r="Q7" s="190">
        <v>38888634737.669998</v>
      </c>
      <c r="R7" s="190">
        <v>28330233199.32</v>
      </c>
      <c r="S7" s="190">
        <v>16224837214.559999</v>
      </c>
      <c r="T7" s="190">
        <v>8066870618.9399996</v>
      </c>
      <c r="U7" s="190">
        <v>32295457014.720001</v>
      </c>
      <c r="V7" s="190">
        <v>22495295241.240002</v>
      </c>
      <c r="W7" s="190">
        <v>13989829361.1</v>
      </c>
      <c r="X7" s="190">
        <v>7072054042.1300001</v>
      </c>
      <c r="Y7" s="190">
        <v>27324302065.200001</v>
      </c>
      <c r="Z7" s="190">
        <v>20379871378.439999</v>
      </c>
      <c r="AA7" s="190">
        <v>12282782278.68</v>
      </c>
      <c r="AB7" s="190">
        <v>5980700975.8299999</v>
      </c>
      <c r="AC7" s="190">
        <v>25144802849.200001</v>
      </c>
      <c r="AD7" s="190">
        <v>18510880094.299999</v>
      </c>
      <c r="AE7" s="190">
        <v>11489061258.700001</v>
      </c>
      <c r="AF7" s="190">
        <v>5916726985.6700001</v>
      </c>
      <c r="AG7" s="190">
        <v>18133272745.470001</v>
      </c>
      <c r="AH7" s="190">
        <v>13182909172.35</v>
      </c>
      <c r="AI7" s="190">
        <v>8143527486.8800001</v>
      </c>
      <c r="AJ7" s="190">
        <v>4251529559.4200001</v>
      </c>
      <c r="AK7" s="190">
        <v>13096652120.5</v>
      </c>
      <c r="AL7" s="190">
        <v>5075885490.4399996</v>
      </c>
      <c r="AM7" s="190">
        <v>3417395660.9400001</v>
      </c>
      <c r="AN7" s="190">
        <v>1522674459.21</v>
      </c>
      <c r="AO7" s="190">
        <v>8014907028.8400002</v>
      </c>
      <c r="AP7" s="190">
        <v>6130339479.9700003</v>
      </c>
      <c r="AQ7" s="190">
        <v>4222217526.04</v>
      </c>
      <c r="AR7" s="190">
        <v>2072999450.6700001</v>
      </c>
      <c r="AS7" s="190">
        <v>7418764525.3699999</v>
      </c>
      <c r="AT7" s="190">
        <v>5645102697.54</v>
      </c>
      <c r="AU7" s="190">
        <v>3858614657.7600002</v>
      </c>
      <c r="AV7" s="190">
        <v>1789972296.9400001</v>
      </c>
      <c r="AW7" s="190">
        <v>4837603965.3000002</v>
      </c>
      <c r="AX7" s="190">
        <v>2825429271.9499998</v>
      </c>
      <c r="AY7" s="190">
        <v>1786971515.1800001</v>
      </c>
      <c r="AZ7" s="190">
        <v>864964259.04999995</v>
      </c>
      <c r="BA7" s="190">
        <v>3687792909.7600002</v>
      </c>
      <c r="BB7" s="190">
        <v>2774371468.77</v>
      </c>
      <c r="BC7" s="190">
        <v>1801875889.5</v>
      </c>
      <c r="BD7" s="190">
        <v>915852134.48000002</v>
      </c>
      <c r="BE7" s="190">
        <v>2868048190.6399999</v>
      </c>
      <c r="BF7" s="190">
        <v>2172775026.96</v>
      </c>
      <c r="BG7" s="190">
        <v>1007274235.45</v>
      </c>
      <c r="BH7" s="190">
        <v>393535379.64999998</v>
      </c>
      <c r="BI7" s="190">
        <v>1731989638.6500001</v>
      </c>
      <c r="BJ7" s="190">
        <v>1470097436.28</v>
      </c>
      <c r="BK7" s="190">
        <v>982840862.91999996</v>
      </c>
      <c r="BL7" s="190">
        <v>369717184.64999998</v>
      </c>
      <c r="BM7" s="190">
        <v>448663703.06999999</v>
      </c>
      <c r="BN7" s="190">
        <v>1494348339.8699999</v>
      </c>
      <c r="BO7" s="190">
        <v>2041667080.1500001</v>
      </c>
      <c r="BP7" s="190">
        <v>679491747.26999998</v>
      </c>
      <c r="BQ7" s="190">
        <v>1895476429.8</v>
      </c>
      <c r="BR7" s="190">
        <v>663641326.59000003</v>
      </c>
      <c r="BS7" s="190">
        <v>1416033982.5599999</v>
      </c>
      <c r="BT7" s="190">
        <v>1029361487.65</v>
      </c>
      <c r="BU7" s="190">
        <v>0</v>
      </c>
    </row>
    <row r="8" spans="1:73" x14ac:dyDescent="0.25">
      <c r="A8" s="190" t="s">
        <v>224</v>
      </c>
      <c r="B8" s="190">
        <v>12767604365.15</v>
      </c>
      <c r="C8" s="190">
        <v>8085629780.1400003</v>
      </c>
      <c r="D8" s="190">
        <v>3986914392.9899998</v>
      </c>
      <c r="E8" s="190">
        <v>10574279451.389999</v>
      </c>
      <c r="F8" s="190">
        <v>7315149879.5699997</v>
      </c>
      <c r="G8" s="190">
        <v>4572569604.96</v>
      </c>
      <c r="H8" s="190">
        <v>2401489249.1799998</v>
      </c>
      <c r="I8" s="190">
        <v>7502057720.7700005</v>
      </c>
      <c r="J8" s="190">
        <v>4892154761.29</v>
      </c>
      <c r="K8" s="190">
        <v>2782454465.98</v>
      </c>
      <c r="L8" s="190">
        <v>1186027638.76</v>
      </c>
      <c r="M8" s="190">
        <v>7110463570.6099997</v>
      </c>
      <c r="N8" s="190">
        <v>5480510079.2700005</v>
      </c>
      <c r="O8" s="190">
        <v>3600912519.6199999</v>
      </c>
      <c r="P8" s="190">
        <v>1710967110.49</v>
      </c>
      <c r="Q8" s="190">
        <v>9967188517.8600006</v>
      </c>
      <c r="R8" s="190">
        <v>7642952842.9499998</v>
      </c>
      <c r="S8" s="190">
        <v>5218404450.1700001</v>
      </c>
      <c r="T8" s="190">
        <v>2701153785.3499999</v>
      </c>
      <c r="U8" s="190">
        <v>11845518663.91</v>
      </c>
      <c r="V8" s="190">
        <v>8438685654.8199997</v>
      </c>
      <c r="W8" s="190">
        <v>5833490428.1700001</v>
      </c>
      <c r="X8" s="190">
        <v>3079089562.5700002</v>
      </c>
      <c r="Y8" s="190">
        <v>14909787995.469999</v>
      </c>
      <c r="Z8" s="190">
        <v>11350679626.74</v>
      </c>
      <c r="AA8" s="190">
        <v>7174806182.3299999</v>
      </c>
      <c r="AB8" s="190">
        <v>3520755765.4400001</v>
      </c>
      <c r="AC8" s="190">
        <v>16435436517.879999</v>
      </c>
      <c r="AD8" s="190">
        <v>11575220785.940001</v>
      </c>
      <c r="AE8" s="190">
        <v>7114476338.0900002</v>
      </c>
      <c r="AF8" s="190">
        <v>3196518237.3400002</v>
      </c>
      <c r="AG8" s="190">
        <v>9922554318.0100002</v>
      </c>
      <c r="AH8" s="190">
        <v>7241412281.1099997</v>
      </c>
      <c r="AI8" s="190">
        <v>4524374485.4099998</v>
      </c>
      <c r="AJ8" s="190">
        <v>1972320001.52</v>
      </c>
      <c r="AK8" s="190">
        <v>5100052203.7799997</v>
      </c>
      <c r="AL8" s="190">
        <v>2436090294.9000001</v>
      </c>
      <c r="AM8" s="190">
        <v>1515242107.6099999</v>
      </c>
      <c r="AN8" s="190">
        <v>677115731.11000001</v>
      </c>
      <c r="AO8" s="190">
        <v>5028825427.9799995</v>
      </c>
      <c r="AP8" s="190">
        <v>3814980352.8400002</v>
      </c>
      <c r="AQ8" s="190">
        <v>2641017825.0799999</v>
      </c>
      <c r="AR8" s="190">
        <v>1332512503.1400001</v>
      </c>
      <c r="AS8" s="190">
        <v>3611279318.3000002</v>
      </c>
      <c r="AT8" s="190">
        <v>2580605219.4699998</v>
      </c>
      <c r="AU8" s="190">
        <v>1667440520.8599999</v>
      </c>
      <c r="AV8" s="190">
        <v>813047734.16999996</v>
      </c>
      <c r="AW8" s="190">
        <v>2197233028.0900002</v>
      </c>
      <c r="AX8" s="190">
        <v>1220638138.27</v>
      </c>
      <c r="AY8" s="190">
        <v>834997873.44000006</v>
      </c>
      <c r="AZ8" s="190">
        <v>384705802.52999997</v>
      </c>
      <c r="BA8" s="190">
        <v>1542300079.0999999</v>
      </c>
      <c r="BB8" s="190">
        <v>1022549707.51</v>
      </c>
      <c r="BC8" s="190">
        <v>595697130.45000005</v>
      </c>
      <c r="BD8" s="190">
        <v>287352511.75</v>
      </c>
      <c r="BE8" s="190">
        <v>1137578826.97</v>
      </c>
      <c r="BF8" s="190">
        <v>672745334.73000002</v>
      </c>
      <c r="BG8" s="190">
        <v>364219656.5</v>
      </c>
      <c r="BH8" s="190">
        <v>129012306.22</v>
      </c>
      <c r="BI8" s="190">
        <v>543040161.25</v>
      </c>
      <c r="BJ8" s="190">
        <v>387079326.68000001</v>
      </c>
      <c r="BK8" s="190">
        <v>215126481.19999999</v>
      </c>
      <c r="BL8" s="190">
        <v>87772736.049999997</v>
      </c>
      <c r="BM8" s="190">
        <v>129031839.16</v>
      </c>
      <c r="BN8" s="190">
        <v>1374898695.05</v>
      </c>
      <c r="BO8" s="190">
        <v>1866440927.53</v>
      </c>
      <c r="BP8" s="190">
        <v>650051963.75</v>
      </c>
      <c r="BQ8" s="190">
        <v>1490948818.3199999</v>
      </c>
      <c r="BR8" s="190">
        <v>465972996.25999999</v>
      </c>
      <c r="BS8" s="190">
        <v>1212222157.1700001</v>
      </c>
      <c r="BT8" s="190">
        <v>886517940.51999998</v>
      </c>
      <c r="BU8" s="190">
        <v>0</v>
      </c>
    </row>
    <row r="9" spans="1:73" x14ac:dyDescent="0.25">
      <c r="A9" s="190" t="s">
        <v>225</v>
      </c>
      <c r="B9" s="190">
        <v>1505237262.6199999</v>
      </c>
      <c r="C9" s="190">
        <v>1054251037.89</v>
      </c>
      <c r="D9" s="190">
        <v>582218914.47000003</v>
      </c>
      <c r="E9" s="190">
        <v>2036606669.1800001</v>
      </c>
      <c r="F9" s="190">
        <v>1338058118.9200001</v>
      </c>
      <c r="G9" s="190">
        <v>925734374.88999999</v>
      </c>
      <c r="H9" s="190">
        <v>538106289.23000002</v>
      </c>
      <c r="I9" s="190">
        <v>1856940995.4100001</v>
      </c>
      <c r="J9" s="190">
        <v>1264461213.3800001</v>
      </c>
      <c r="K9" s="190">
        <v>857860339.19000006</v>
      </c>
      <c r="L9" s="190">
        <v>473339506.51999998</v>
      </c>
      <c r="M9" s="190">
        <v>1709985983.6500001</v>
      </c>
      <c r="N9" s="190">
        <v>1157273962.45</v>
      </c>
      <c r="O9" s="190">
        <v>801199379.54999995</v>
      </c>
      <c r="P9" s="190">
        <v>447336243.81</v>
      </c>
      <c r="Q9" s="190">
        <v>1548493103.6300001</v>
      </c>
      <c r="R9" s="190">
        <v>1081326262.8099999</v>
      </c>
      <c r="S9" s="190">
        <v>766390143.08000004</v>
      </c>
      <c r="T9" s="190">
        <v>412984988.94999999</v>
      </c>
      <c r="U9" s="190">
        <v>1363433940.24</v>
      </c>
      <c r="V9" s="190">
        <v>974427330.69000006</v>
      </c>
      <c r="W9" s="190">
        <v>656410397.34000003</v>
      </c>
      <c r="X9" s="190">
        <v>337634595.44</v>
      </c>
      <c r="Y9" s="190">
        <v>1114492958.72</v>
      </c>
      <c r="Z9" s="190">
        <v>800260522.62</v>
      </c>
      <c r="AA9" s="190">
        <v>507331600.81</v>
      </c>
      <c r="AB9" s="190">
        <v>251427502.02000001</v>
      </c>
      <c r="AC9" s="190">
        <v>920802364.52999997</v>
      </c>
      <c r="AD9" s="190">
        <v>667491666.55999994</v>
      </c>
      <c r="AE9" s="190">
        <v>438943038.10000002</v>
      </c>
      <c r="AF9" s="190">
        <v>214091288.75</v>
      </c>
      <c r="AG9" s="190">
        <v>788637464.91999996</v>
      </c>
      <c r="AH9" s="190">
        <v>535773578.48000002</v>
      </c>
      <c r="AI9" s="190">
        <v>370261067.88999999</v>
      </c>
      <c r="AJ9" s="190">
        <v>189131569.63</v>
      </c>
      <c r="AK9" s="190">
        <v>746579699.59000003</v>
      </c>
      <c r="AL9" s="190">
        <v>294514114.75</v>
      </c>
      <c r="AM9" s="190">
        <v>190526582.49000001</v>
      </c>
      <c r="AN9" s="190">
        <v>76272440.840000004</v>
      </c>
      <c r="AO9" s="190">
        <v>398510277.18000001</v>
      </c>
      <c r="AP9" s="190">
        <v>271898365.67000002</v>
      </c>
      <c r="AQ9" s="190">
        <v>185364626.53999999</v>
      </c>
      <c r="AR9" s="190">
        <v>75108142.620000005</v>
      </c>
      <c r="AS9" s="190">
        <v>343813770.61000001</v>
      </c>
      <c r="AT9" s="190">
        <v>238027161.27000001</v>
      </c>
      <c r="AU9" s="190">
        <v>153036221.56</v>
      </c>
      <c r="AV9" s="190">
        <v>62970496.240000002</v>
      </c>
      <c r="AW9" s="190">
        <v>242235683.71000001</v>
      </c>
      <c r="AX9" s="190">
        <v>152858790.86000001</v>
      </c>
      <c r="AY9" s="190">
        <v>99956775.349999994</v>
      </c>
      <c r="AZ9" s="190">
        <v>40664397.579999998</v>
      </c>
      <c r="BA9" s="190">
        <v>194589248.75999999</v>
      </c>
      <c r="BB9" s="190">
        <v>146681966.99000001</v>
      </c>
      <c r="BC9" s="190">
        <v>92984006.019999996</v>
      </c>
      <c r="BD9" s="190">
        <v>46157383.549999997</v>
      </c>
      <c r="BE9" s="190">
        <v>181638872.97999999</v>
      </c>
      <c r="BF9" s="190">
        <v>104275903.09</v>
      </c>
      <c r="BG9" s="190">
        <v>59305414.890000001</v>
      </c>
      <c r="BH9" s="190">
        <v>21814548.25</v>
      </c>
      <c r="BI9" s="190">
        <v>110107439.56999999</v>
      </c>
      <c r="BJ9" s="190">
        <v>62541764</v>
      </c>
      <c r="BK9" s="190">
        <v>39192408.75</v>
      </c>
      <c r="BL9" s="190">
        <v>19904764.350000001</v>
      </c>
      <c r="BM9" s="190">
        <v>29019690.199999999</v>
      </c>
      <c r="BN9" s="190">
        <v>7539023.6600000001</v>
      </c>
      <c r="BO9" s="190">
        <v>35146344.859999999</v>
      </c>
      <c r="BP9" s="190">
        <v>11770817.16</v>
      </c>
      <c r="BQ9" s="190">
        <v>31620869.280000001</v>
      </c>
      <c r="BR9" s="190">
        <v>16856636.609999999</v>
      </c>
      <c r="BS9" s="190">
        <v>22453539.030000001</v>
      </c>
      <c r="BT9" s="190">
        <v>11808694.560000001</v>
      </c>
      <c r="BU9" s="190">
        <v>0</v>
      </c>
    </row>
    <row r="10" spans="1:73" x14ac:dyDescent="0.25">
      <c r="A10" s="190" t="s">
        <v>226</v>
      </c>
      <c r="B10" s="190">
        <v>4093947368.1599998</v>
      </c>
      <c r="C10" s="190">
        <v>2741822924.2399998</v>
      </c>
      <c r="D10" s="190">
        <v>1138817339.5999999</v>
      </c>
      <c r="E10" s="190">
        <v>5600232215.1000004</v>
      </c>
      <c r="F10" s="190">
        <v>3878931515.3499999</v>
      </c>
      <c r="G10" s="190">
        <v>2657076703.9299998</v>
      </c>
      <c r="H10" s="190">
        <v>1167842636.74</v>
      </c>
      <c r="I10" s="190">
        <v>5638933878.6599998</v>
      </c>
      <c r="J10" s="190">
        <v>3758029270.5599999</v>
      </c>
      <c r="K10" s="190">
        <v>2411083656.1599998</v>
      </c>
      <c r="L10" s="190">
        <v>1131926202.22</v>
      </c>
      <c r="M10" s="190">
        <v>6117247696.29</v>
      </c>
      <c r="N10" s="190">
        <v>4367793928.5299997</v>
      </c>
      <c r="O10" s="190">
        <v>2817621236.9699998</v>
      </c>
      <c r="P10" s="190">
        <v>1234999847.8399999</v>
      </c>
      <c r="Q10" s="190">
        <v>5469856752.7399998</v>
      </c>
      <c r="R10" s="190">
        <v>3643456763.4299998</v>
      </c>
      <c r="S10" s="190">
        <v>2350064985.5500002</v>
      </c>
      <c r="T10" s="190">
        <v>1154247686.6099999</v>
      </c>
      <c r="U10" s="190">
        <v>3455335329.5900002</v>
      </c>
      <c r="V10" s="190">
        <v>2222572431.5599999</v>
      </c>
      <c r="W10" s="190">
        <v>1279418196.4300001</v>
      </c>
      <c r="X10" s="190">
        <v>650760346.96000004</v>
      </c>
      <c r="Y10" s="190">
        <v>2221686827.3299999</v>
      </c>
      <c r="Z10" s="190">
        <v>1451902416.6500001</v>
      </c>
      <c r="AA10" s="190">
        <v>1006956252.4299999</v>
      </c>
      <c r="AB10" s="190">
        <v>499688133.30000001</v>
      </c>
      <c r="AC10" s="190">
        <v>1981673844.72</v>
      </c>
      <c r="AD10" s="190">
        <v>1506642317.96</v>
      </c>
      <c r="AE10" s="190">
        <v>989100212.63</v>
      </c>
      <c r="AF10" s="190">
        <v>530325070.67000002</v>
      </c>
      <c r="AG10" s="190">
        <v>1959753249.0699999</v>
      </c>
      <c r="AH10" s="190">
        <v>1418730758.72</v>
      </c>
      <c r="AI10" s="190">
        <v>972339585.40999997</v>
      </c>
      <c r="AJ10" s="190">
        <v>607908292.44000006</v>
      </c>
      <c r="AK10" s="190">
        <v>1896139982.98</v>
      </c>
      <c r="AL10" s="190">
        <v>678537043.14999998</v>
      </c>
      <c r="AM10" s="190">
        <v>466389734.08999997</v>
      </c>
      <c r="AN10" s="190">
        <v>164542354.21000001</v>
      </c>
      <c r="AO10" s="190">
        <v>757128693.87</v>
      </c>
      <c r="AP10" s="190">
        <v>624011197.99000001</v>
      </c>
      <c r="AQ10" s="190">
        <v>441443325.75999999</v>
      </c>
      <c r="AR10" s="190">
        <v>223470457.46000001</v>
      </c>
      <c r="AS10" s="190">
        <v>911093099.79999995</v>
      </c>
      <c r="AT10" s="190">
        <v>714852522.83000004</v>
      </c>
      <c r="AU10" s="190">
        <v>486164104.25999999</v>
      </c>
      <c r="AV10" s="190">
        <v>249375928.97999999</v>
      </c>
      <c r="AW10" s="190">
        <v>761330566.94000006</v>
      </c>
      <c r="AX10" s="190">
        <v>380804544.10000002</v>
      </c>
      <c r="AY10" s="190">
        <v>240686281.49000001</v>
      </c>
      <c r="AZ10" s="190">
        <v>117744582.48999999</v>
      </c>
      <c r="BA10" s="190">
        <v>493090289.77999997</v>
      </c>
      <c r="BB10" s="190">
        <v>396823279.38</v>
      </c>
      <c r="BC10" s="190">
        <v>268154442.66</v>
      </c>
      <c r="BD10" s="190">
        <v>140110558.72999999</v>
      </c>
      <c r="BE10" s="190">
        <v>386178402.31999999</v>
      </c>
      <c r="BF10" s="190">
        <v>298596389.57999998</v>
      </c>
      <c r="BG10" s="190">
        <v>193907611.65000001</v>
      </c>
      <c r="BH10" s="190">
        <v>56323748.990000002</v>
      </c>
      <c r="BI10" s="190">
        <v>257542338.03</v>
      </c>
      <c r="BJ10" s="190">
        <v>215529394.43000001</v>
      </c>
      <c r="BK10" s="190">
        <v>147868728.56</v>
      </c>
      <c r="BL10" s="190">
        <v>87020206.950000003</v>
      </c>
      <c r="BM10" s="190">
        <v>57638413.780000001</v>
      </c>
      <c r="BN10" s="190">
        <v>115292465.98999999</v>
      </c>
      <c r="BO10" s="190">
        <v>162565587.25999999</v>
      </c>
      <c r="BP10" s="190">
        <v>47903199.07</v>
      </c>
      <c r="BQ10" s="190">
        <v>153347485.31999999</v>
      </c>
      <c r="BR10" s="190">
        <v>52094519.770000003</v>
      </c>
      <c r="BS10" s="190">
        <v>112502393.43000001</v>
      </c>
      <c r="BT10" s="190">
        <v>185367945.19999999</v>
      </c>
      <c r="BU10" s="190">
        <v>0</v>
      </c>
    </row>
    <row r="11" spans="1:73" x14ac:dyDescent="0.25">
      <c r="A11" s="190" t="s">
        <v>227</v>
      </c>
      <c r="B11" s="190">
        <v>680609875.04999995</v>
      </c>
      <c r="C11" s="190">
        <v>457482756.58999997</v>
      </c>
      <c r="D11" s="190">
        <v>199567679.5</v>
      </c>
      <c r="E11" s="190">
        <v>801557925.72000003</v>
      </c>
      <c r="F11" s="190">
        <v>576065950.42999995</v>
      </c>
      <c r="G11" s="190">
        <v>330409063.36000001</v>
      </c>
      <c r="H11" s="190">
        <v>118419686.44</v>
      </c>
      <c r="I11" s="190">
        <v>749473707.30999994</v>
      </c>
      <c r="J11" s="190">
        <v>668262151.53999996</v>
      </c>
      <c r="K11" s="190">
        <v>303656735.58999997</v>
      </c>
      <c r="L11" s="190">
        <v>103768866.87</v>
      </c>
      <c r="M11" s="190">
        <v>503500420.82999998</v>
      </c>
      <c r="N11" s="190">
        <v>397642960.68000001</v>
      </c>
      <c r="O11" s="190">
        <v>180727812.28999999</v>
      </c>
      <c r="P11" s="190">
        <v>94629707.069999993</v>
      </c>
      <c r="Q11" s="190">
        <v>484115292.94</v>
      </c>
      <c r="R11" s="190">
        <v>374344410.70999998</v>
      </c>
      <c r="S11" s="190">
        <v>204598961.24000001</v>
      </c>
      <c r="T11" s="190">
        <v>99807536.129999995</v>
      </c>
      <c r="U11" s="190">
        <v>433556304.89999998</v>
      </c>
      <c r="V11" s="190">
        <v>327643289.42000002</v>
      </c>
      <c r="W11" s="190">
        <v>204629508.28</v>
      </c>
      <c r="X11" s="190">
        <v>81827816.260000005</v>
      </c>
      <c r="Y11" s="190">
        <v>471955225.39999998</v>
      </c>
      <c r="Z11" s="190">
        <v>322811732.38999999</v>
      </c>
      <c r="AA11" s="190">
        <v>194648981.50999999</v>
      </c>
      <c r="AB11" s="190">
        <v>86050540.239999995</v>
      </c>
      <c r="AC11" s="190">
        <v>430308014.61000001</v>
      </c>
      <c r="AD11" s="190">
        <v>289143874.99000001</v>
      </c>
      <c r="AE11" s="190">
        <v>195156362.59</v>
      </c>
      <c r="AF11" s="190">
        <v>129502216.04000001</v>
      </c>
      <c r="AG11" s="190">
        <v>417046207.48000002</v>
      </c>
      <c r="AH11" s="190">
        <v>439791797.94999999</v>
      </c>
      <c r="AI11" s="190">
        <v>243837483.02000001</v>
      </c>
      <c r="AJ11" s="190">
        <v>120256264.09</v>
      </c>
      <c r="AK11" s="190">
        <v>309330110.88999999</v>
      </c>
      <c r="AL11" s="190">
        <v>139191393.06999999</v>
      </c>
      <c r="AM11" s="190">
        <v>81598393.260000005</v>
      </c>
      <c r="AN11" s="190">
        <v>24305679.309999999</v>
      </c>
      <c r="AO11" s="190">
        <v>159602855.22</v>
      </c>
      <c r="AP11" s="190">
        <v>247089496.75</v>
      </c>
      <c r="AQ11" s="190">
        <v>108045032.78</v>
      </c>
      <c r="AR11" s="190">
        <v>13784137.01</v>
      </c>
      <c r="AS11" s="190">
        <v>128309541.87</v>
      </c>
      <c r="AT11" s="190">
        <v>72987866.409999996</v>
      </c>
      <c r="AU11" s="190">
        <v>61160998.630000003</v>
      </c>
      <c r="AV11" s="190">
        <v>33682451.490000002</v>
      </c>
      <c r="AW11" s="190">
        <v>96010068.840000004</v>
      </c>
      <c r="AX11" s="190">
        <v>78743429.310000002</v>
      </c>
      <c r="AY11" s="190">
        <v>43354541.789999999</v>
      </c>
      <c r="AZ11" s="190">
        <v>11346194.25</v>
      </c>
      <c r="BA11" s="190">
        <v>73311921.140000001</v>
      </c>
      <c r="BB11" s="190">
        <v>68493320.040000007</v>
      </c>
      <c r="BC11" s="190">
        <v>60439412.520000003</v>
      </c>
      <c r="BD11" s="190">
        <v>25756490.190000001</v>
      </c>
      <c r="BE11" s="190">
        <v>41895976.939999998</v>
      </c>
      <c r="BF11" s="190">
        <v>26452960.219999999</v>
      </c>
      <c r="BG11" s="190">
        <v>17351779.059999999</v>
      </c>
      <c r="BH11" s="190">
        <v>7368684.4400000004</v>
      </c>
      <c r="BI11" s="190">
        <v>26767467.68</v>
      </c>
      <c r="BJ11" s="190">
        <v>34253272.649999999</v>
      </c>
      <c r="BK11" s="190">
        <v>8683057.3900000006</v>
      </c>
      <c r="BL11" s="190">
        <v>4833443.49</v>
      </c>
      <c r="BM11" s="190">
        <v>3370887.44</v>
      </c>
      <c r="BN11" s="190">
        <v>14687323.9</v>
      </c>
      <c r="BO11" s="190">
        <v>16617991.17</v>
      </c>
      <c r="BP11" s="190">
        <v>14536829.48</v>
      </c>
      <c r="BQ11" s="190">
        <v>23816278.25</v>
      </c>
      <c r="BR11" s="190">
        <v>8603967.4199999999</v>
      </c>
      <c r="BS11" s="190">
        <v>18487870.059999999</v>
      </c>
      <c r="BT11" s="190">
        <v>14826973.65</v>
      </c>
      <c r="BU11" s="190">
        <v>0</v>
      </c>
    </row>
    <row r="12" spans="1:73" x14ac:dyDescent="0.25">
      <c r="A12" s="190" t="s">
        <v>228</v>
      </c>
      <c r="B12" s="190">
        <v>19047398870.98</v>
      </c>
      <c r="C12" s="190">
        <v>12339186498.860001</v>
      </c>
      <c r="D12" s="190">
        <v>5907518326.5600004</v>
      </c>
      <c r="E12" s="190">
        <v>19012676261.389999</v>
      </c>
      <c r="F12" s="190">
        <v>13108205464.27</v>
      </c>
      <c r="G12" s="190">
        <v>8485789747.1400003</v>
      </c>
      <c r="H12" s="190">
        <v>4225857861.5900002</v>
      </c>
      <c r="I12" s="190">
        <v>15747406302.15</v>
      </c>
      <c r="J12" s="190">
        <v>10582907396.77</v>
      </c>
      <c r="K12" s="190">
        <v>6355055196.9200001</v>
      </c>
      <c r="L12" s="190">
        <v>2895062214.3699999</v>
      </c>
      <c r="M12" s="190">
        <v>15441197671.379999</v>
      </c>
      <c r="N12" s="190">
        <v>11403220930.93</v>
      </c>
      <c r="O12" s="190">
        <v>7400460948.4300003</v>
      </c>
      <c r="P12" s="190">
        <v>3487932909.21</v>
      </c>
      <c r="Q12" s="190">
        <v>17469653667.169998</v>
      </c>
      <c r="R12" s="190">
        <v>12742080279.9</v>
      </c>
      <c r="S12" s="190">
        <v>8539458540.04</v>
      </c>
      <c r="T12" s="190">
        <v>4368193997.04</v>
      </c>
      <c r="U12" s="190">
        <v>17097844238.639999</v>
      </c>
      <c r="V12" s="190">
        <v>11963328706.49</v>
      </c>
      <c r="W12" s="190">
        <v>7973948530.2200003</v>
      </c>
      <c r="X12" s="190">
        <v>4149312321.23</v>
      </c>
      <c r="Y12" s="190">
        <v>18717923006.919998</v>
      </c>
      <c r="Z12" s="190">
        <v>13925654298.4</v>
      </c>
      <c r="AA12" s="190">
        <v>8883743017.0799999</v>
      </c>
      <c r="AB12" s="190">
        <v>4357921941</v>
      </c>
      <c r="AC12" s="190">
        <v>19768220741.740002</v>
      </c>
      <c r="AD12" s="190">
        <v>14038498645.450001</v>
      </c>
      <c r="AE12" s="190">
        <v>8737675951.4099998</v>
      </c>
      <c r="AF12" s="190">
        <v>4070436812.8000002</v>
      </c>
      <c r="AG12" s="190">
        <v>13087991239.48</v>
      </c>
      <c r="AH12" s="190">
        <v>9635708416.2600002</v>
      </c>
      <c r="AI12" s="190">
        <v>6110812621.7299995</v>
      </c>
      <c r="AJ12" s="190">
        <v>2889616127.6799998</v>
      </c>
      <c r="AK12" s="190">
        <v>8052101997.2399998</v>
      </c>
      <c r="AL12" s="190">
        <v>3548332845.8699999</v>
      </c>
      <c r="AM12" s="190">
        <v>2253756817.4499998</v>
      </c>
      <c r="AN12" s="190">
        <v>942236205.47000003</v>
      </c>
      <c r="AO12" s="190">
        <v>6344067254.25</v>
      </c>
      <c r="AP12" s="190">
        <v>4957979413.25</v>
      </c>
      <c r="AQ12" s="190">
        <v>3375870810.1599998</v>
      </c>
      <c r="AR12" s="190">
        <v>1644875240.23</v>
      </c>
      <c r="AS12" s="190">
        <v>4994495730.5799999</v>
      </c>
      <c r="AT12" s="190">
        <v>3606472769.98</v>
      </c>
      <c r="AU12" s="190">
        <v>2367801845.3099999</v>
      </c>
      <c r="AV12" s="190">
        <v>1159076610.8800001</v>
      </c>
      <c r="AW12" s="190">
        <v>3296809347.5799999</v>
      </c>
      <c r="AX12" s="190">
        <v>1833044902.54</v>
      </c>
      <c r="AY12" s="190">
        <v>1218995472.0699999</v>
      </c>
      <c r="AZ12" s="190">
        <v>554460976.85000002</v>
      </c>
      <c r="BA12" s="190">
        <v>2303291538.7800002</v>
      </c>
      <c r="BB12" s="190">
        <v>1634548273.9200001</v>
      </c>
      <c r="BC12" s="190">
        <v>1017274991.65</v>
      </c>
      <c r="BD12" s="190">
        <v>499376944.22000003</v>
      </c>
      <c r="BE12" s="190">
        <v>1747292079.21</v>
      </c>
      <c r="BF12" s="190">
        <v>1102070587.6199999</v>
      </c>
      <c r="BG12" s="190">
        <v>634784462.10000002</v>
      </c>
      <c r="BH12" s="190">
        <v>214519287.90000001</v>
      </c>
      <c r="BI12" s="190">
        <v>937457406.52999997</v>
      </c>
      <c r="BJ12" s="190">
        <v>699403757.75999999</v>
      </c>
      <c r="BK12" s="190">
        <v>410870675.89999998</v>
      </c>
      <c r="BL12" s="190">
        <v>199531150.84</v>
      </c>
      <c r="BM12" s="190">
        <v>219060830.58000001</v>
      </c>
      <c r="BN12" s="190">
        <v>1512417508.5999999</v>
      </c>
      <c r="BO12" s="190">
        <v>2080770850.8199999</v>
      </c>
      <c r="BP12" s="190">
        <v>724262809.46000004</v>
      </c>
      <c r="BQ12" s="190">
        <v>1699733451.1700001</v>
      </c>
      <c r="BR12" s="190">
        <v>543528120.05999994</v>
      </c>
      <c r="BS12" s="190">
        <v>1365665959.6900001</v>
      </c>
      <c r="BT12" s="190">
        <v>1098521553.9300001</v>
      </c>
      <c r="BU12" s="190">
        <v>0</v>
      </c>
    </row>
    <row r="13" spans="1:73" x14ac:dyDescent="0.25">
      <c r="A13" s="190" t="s">
        <v>229</v>
      </c>
      <c r="B13" s="190">
        <v>14375013667.98</v>
      </c>
      <c r="C13" s="190">
        <v>7548952442.4799995</v>
      </c>
      <c r="D13" s="190">
        <v>4171884099.0799999</v>
      </c>
      <c r="E13" s="190">
        <v>18141039798.419998</v>
      </c>
      <c r="F13" s="190">
        <v>13911279575</v>
      </c>
      <c r="G13" s="190">
        <v>6944176302.0299997</v>
      </c>
      <c r="H13" s="190">
        <v>3525622483.5999999</v>
      </c>
      <c r="I13" s="190">
        <v>19066537849.5</v>
      </c>
      <c r="J13" s="190">
        <v>14085851931.15</v>
      </c>
      <c r="K13" s="190">
        <v>7726437834.3299999</v>
      </c>
      <c r="L13" s="190">
        <v>3804692246.5700002</v>
      </c>
      <c r="M13" s="190">
        <v>22896771649</v>
      </c>
      <c r="N13" s="190">
        <v>16760647373.82</v>
      </c>
      <c r="O13" s="190">
        <v>9709133286.8400002</v>
      </c>
      <c r="P13" s="190">
        <v>4849766135.3800001</v>
      </c>
      <c r="Q13" s="190">
        <v>21418981070.5</v>
      </c>
      <c r="R13" s="190">
        <v>15588152919.42</v>
      </c>
      <c r="S13" s="190">
        <v>7685378674.5200005</v>
      </c>
      <c r="T13" s="190">
        <v>3698676621.9000001</v>
      </c>
      <c r="U13" s="190">
        <v>15197612776.08</v>
      </c>
      <c r="V13" s="190">
        <v>10531966534.75</v>
      </c>
      <c r="W13" s="190">
        <v>6015880830.8800001</v>
      </c>
      <c r="X13" s="190">
        <v>2922741720.9000001</v>
      </c>
      <c r="Y13" s="190">
        <v>8606379058.2800007</v>
      </c>
      <c r="Z13" s="190">
        <v>6454217080.04</v>
      </c>
      <c r="AA13" s="190">
        <v>3399039261.5999999</v>
      </c>
      <c r="AB13" s="190">
        <v>1622779034.8299999</v>
      </c>
      <c r="AC13" s="190">
        <v>5376582107.46</v>
      </c>
      <c r="AD13" s="190">
        <v>4472381448.8500004</v>
      </c>
      <c r="AE13" s="190">
        <v>2751385307.29</v>
      </c>
      <c r="AF13" s="190">
        <v>1846290172.8699999</v>
      </c>
      <c r="AG13" s="190">
        <v>5045281505.9899998</v>
      </c>
      <c r="AH13" s="190">
        <v>3547200756.0900002</v>
      </c>
      <c r="AI13" s="190">
        <v>2032714865.1500001</v>
      </c>
      <c r="AJ13" s="190">
        <v>1361913431.74</v>
      </c>
      <c r="AK13" s="190">
        <v>5044550123.2600002</v>
      </c>
      <c r="AL13" s="190">
        <v>1527552644.5699999</v>
      </c>
      <c r="AM13" s="190">
        <v>1163638843.49</v>
      </c>
      <c r="AN13" s="190">
        <v>580438253.74000001</v>
      </c>
      <c r="AO13" s="190">
        <v>1670839774.5899999</v>
      </c>
      <c r="AP13" s="190">
        <v>1172360066.72</v>
      </c>
      <c r="AQ13" s="190">
        <v>846346715.88</v>
      </c>
      <c r="AR13" s="190">
        <v>428124210.44</v>
      </c>
      <c r="AS13" s="190">
        <v>2424268794.79</v>
      </c>
      <c r="AT13" s="190">
        <v>2038629927.5599999</v>
      </c>
      <c r="AU13" s="190">
        <v>1490812812.45</v>
      </c>
      <c r="AV13" s="190">
        <v>630895686.05999994</v>
      </c>
      <c r="AW13" s="190">
        <v>1540794617.72</v>
      </c>
      <c r="AX13" s="190">
        <v>992384369.40999997</v>
      </c>
      <c r="AY13" s="190">
        <v>567976043.11000001</v>
      </c>
      <c r="AZ13" s="190">
        <v>310503282.19999999</v>
      </c>
      <c r="BA13" s="190">
        <v>1384501370.98</v>
      </c>
      <c r="BB13" s="190">
        <v>1139823194.8499999</v>
      </c>
      <c r="BC13" s="190">
        <v>784600897.85000002</v>
      </c>
      <c r="BD13" s="190">
        <v>416475190.25999999</v>
      </c>
      <c r="BE13" s="190">
        <v>1120756111.4300001</v>
      </c>
      <c r="BF13" s="190">
        <v>1070704439.34</v>
      </c>
      <c r="BG13" s="190">
        <v>372489773.35000002</v>
      </c>
      <c r="BH13" s="190">
        <v>179016091.75</v>
      </c>
      <c r="BI13" s="190">
        <v>794532232.12</v>
      </c>
      <c r="BJ13" s="190">
        <v>770693678.51999998</v>
      </c>
      <c r="BK13" s="190">
        <v>571970187.01999998</v>
      </c>
      <c r="BL13" s="190">
        <v>170186033.81</v>
      </c>
      <c r="BM13" s="190">
        <v>229602872.49000001</v>
      </c>
      <c r="BN13" s="190">
        <v>-18069168.73</v>
      </c>
      <c r="BO13" s="190">
        <v>-39103770.670000002</v>
      </c>
      <c r="BP13" s="190">
        <v>-44771062.189999998</v>
      </c>
      <c r="BQ13" s="190">
        <v>195742978.63</v>
      </c>
      <c r="BR13" s="190">
        <v>120113206.53</v>
      </c>
      <c r="BS13" s="190">
        <v>50368022.869999997</v>
      </c>
      <c r="BT13" s="190">
        <v>-69160066.280000001</v>
      </c>
      <c r="BU13" s="190">
        <v>0</v>
      </c>
    </row>
    <row r="14" spans="1:73" x14ac:dyDescent="0.25">
      <c r="A14" s="190" t="s">
        <v>230</v>
      </c>
    </row>
    <row r="15" spans="1:73" x14ac:dyDescent="0.25">
      <c r="A15" s="190" t="s">
        <v>231</v>
      </c>
      <c r="B15" s="190">
        <v>16185206.49</v>
      </c>
      <c r="C15" s="190">
        <v>8389956.5299999993</v>
      </c>
      <c r="D15" s="190">
        <v>4269564.4000000004</v>
      </c>
      <c r="E15" s="190">
        <v>4760</v>
      </c>
      <c r="F15" s="190">
        <v>23250403.379999999</v>
      </c>
      <c r="G15" s="190">
        <v>18908873.379999999</v>
      </c>
      <c r="H15" s="190">
        <v>10346541.119999999</v>
      </c>
      <c r="I15" s="190">
        <v>13200000</v>
      </c>
      <c r="J15" s="190">
        <v>43952260.549999997</v>
      </c>
      <c r="K15" s="190">
        <v>0</v>
      </c>
      <c r="L15" s="190">
        <v>0</v>
      </c>
      <c r="M15" s="190">
        <v>0</v>
      </c>
      <c r="N15" s="190">
        <v>0</v>
      </c>
      <c r="O15" s="190">
        <v>0</v>
      </c>
      <c r="P15" s="190">
        <v>0</v>
      </c>
      <c r="Q15" s="190">
        <v>316200000</v>
      </c>
      <c r="R15" s="190">
        <v>341200000</v>
      </c>
      <c r="S15" s="190">
        <v>116320000</v>
      </c>
      <c r="T15" s="190">
        <v>56200000</v>
      </c>
      <c r="U15" s="190">
        <v>5300000</v>
      </c>
      <c r="V15" s="190">
        <v>5674518.8799999999</v>
      </c>
      <c r="W15" s="190">
        <v>5674518.8799999999</v>
      </c>
      <c r="X15" s="190">
        <v>0</v>
      </c>
      <c r="Y15" s="190">
        <v>11000000</v>
      </c>
      <c r="Z15" s="190">
        <v>0</v>
      </c>
      <c r="AA15" s="190">
        <v>0</v>
      </c>
      <c r="AB15" s="190">
        <v>0</v>
      </c>
      <c r="AC15" s="190">
        <v>0</v>
      </c>
      <c r="AD15" s="190">
        <v>0</v>
      </c>
      <c r="AE15" s="190">
        <v>0</v>
      </c>
      <c r="AF15" s="190">
        <v>0</v>
      </c>
      <c r="AG15" s="190">
        <v>225000</v>
      </c>
      <c r="AH15" s="190">
        <v>42000000</v>
      </c>
      <c r="AI15" s="190">
        <v>0</v>
      </c>
      <c r="AJ15" s="190">
        <v>0</v>
      </c>
      <c r="AK15" s="190">
        <v>408326967.86000001</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4402580</v>
      </c>
      <c r="BP15" s="190">
        <v>0</v>
      </c>
      <c r="BQ15" s="190">
        <v>10243825.08</v>
      </c>
      <c r="BR15" s="190">
        <v>12699685.51</v>
      </c>
      <c r="BS15" s="190">
        <v>559650</v>
      </c>
      <c r="BT15" s="190">
        <v>0</v>
      </c>
      <c r="BU15" s="190">
        <v>0</v>
      </c>
    </row>
    <row r="16" spans="1:73" x14ac:dyDescent="0.25">
      <c r="A16" s="190" t="s">
        <v>232</v>
      </c>
      <c r="B16" s="190">
        <v>170698899.33000001</v>
      </c>
      <c r="C16" s="190">
        <v>157533315.27000001</v>
      </c>
      <c r="D16" s="190">
        <v>2774631.6</v>
      </c>
      <c r="E16" s="190">
        <v>478847727.70999998</v>
      </c>
      <c r="F16" s="190">
        <v>459304504.38</v>
      </c>
      <c r="G16" s="190">
        <v>355773137.54000002</v>
      </c>
      <c r="H16" s="190">
        <v>20703087.370000001</v>
      </c>
      <c r="I16" s="190">
        <v>796969308.75</v>
      </c>
      <c r="J16" s="190">
        <v>685312848.32000005</v>
      </c>
      <c r="K16" s="190">
        <v>549976421.75999999</v>
      </c>
      <c r="L16" s="190">
        <v>4648447.24</v>
      </c>
      <c r="M16" s="190">
        <v>748887235.14999998</v>
      </c>
      <c r="N16" s="190">
        <v>659932763.05999994</v>
      </c>
      <c r="O16" s="190">
        <v>367857588.25</v>
      </c>
      <c r="P16" s="190">
        <v>100778300</v>
      </c>
      <c r="Q16" s="190">
        <v>429999745.58999997</v>
      </c>
      <c r="R16" s="190">
        <v>410256467.76999998</v>
      </c>
      <c r="S16" s="190">
        <v>90718610.739999995</v>
      </c>
      <c r="T16" s="190">
        <v>383885</v>
      </c>
      <c r="U16" s="190">
        <v>205921596.49000001</v>
      </c>
      <c r="V16" s="190">
        <v>200752806.03</v>
      </c>
      <c r="W16" s="190">
        <v>33797461.600000001</v>
      </c>
      <c r="X16" s="190">
        <v>635587.57999999996</v>
      </c>
      <c r="Y16" s="190">
        <v>113689580.75</v>
      </c>
      <c r="Z16" s="190">
        <v>124083045.34</v>
      </c>
      <c r="AA16" s="190">
        <v>167225022.18000001</v>
      </c>
      <c r="AB16" s="190">
        <v>57270905.619999997</v>
      </c>
      <c r="AC16" s="190">
        <v>46614541.289999999</v>
      </c>
      <c r="AD16" s="190">
        <v>25014541.289999999</v>
      </c>
      <c r="AE16" s="190">
        <v>24846071.41</v>
      </c>
      <c r="AF16" s="190">
        <v>0</v>
      </c>
      <c r="AG16" s="190">
        <v>151506084.49000001</v>
      </c>
      <c r="AH16" s="190">
        <v>125275404.48999999</v>
      </c>
      <c r="AI16" s="190">
        <v>62277061.310000002</v>
      </c>
      <c r="AJ16" s="190">
        <v>0</v>
      </c>
      <c r="AK16" s="190">
        <v>126712680</v>
      </c>
      <c r="AL16" s="190">
        <v>104990000</v>
      </c>
      <c r="AM16" s="190">
        <v>104990000</v>
      </c>
      <c r="AN16" s="190">
        <v>0</v>
      </c>
      <c r="AO16" s="190">
        <v>119230000</v>
      </c>
      <c r="AP16" s="190">
        <v>119230000</v>
      </c>
      <c r="AQ16" s="190">
        <v>70230000</v>
      </c>
      <c r="AR16" s="190">
        <v>0</v>
      </c>
      <c r="AS16" s="190">
        <v>218462398.44</v>
      </c>
      <c r="AT16" s="190">
        <v>124181054.29000001</v>
      </c>
      <c r="AU16" s="190">
        <v>82181054.290000007</v>
      </c>
      <c r="AV16" s="190">
        <v>63000000</v>
      </c>
      <c r="AW16" s="190">
        <v>123000000</v>
      </c>
      <c r="AX16" s="190">
        <v>78000000</v>
      </c>
      <c r="AY16" s="190">
        <v>78000000</v>
      </c>
      <c r="AZ16" s="190">
        <v>55000000</v>
      </c>
      <c r="BA16" s="190">
        <v>109500000</v>
      </c>
      <c r="BB16" s="190">
        <v>64500000</v>
      </c>
      <c r="BC16" s="190">
        <v>64500000</v>
      </c>
      <c r="BD16" s="190">
        <v>42000000</v>
      </c>
      <c r="BE16" s="190">
        <v>98400000</v>
      </c>
      <c r="BF16" s="190">
        <v>68400000</v>
      </c>
      <c r="BG16" s="190">
        <v>68400000</v>
      </c>
      <c r="BH16" s="190">
        <v>30000000</v>
      </c>
      <c r="BI16" s="190">
        <v>21000000</v>
      </c>
      <c r="BJ16" s="190">
        <v>77000000</v>
      </c>
      <c r="BK16" s="190">
        <v>21000000</v>
      </c>
      <c r="BL16" s="190">
        <v>0</v>
      </c>
      <c r="BM16" s="190">
        <v>113500000</v>
      </c>
      <c r="BN16" s="190">
        <v>0</v>
      </c>
      <c r="BO16" s="190">
        <v>522340</v>
      </c>
      <c r="BP16" s="190">
        <v>522340</v>
      </c>
      <c r="BQ16" s="190">
        <v>410410</v>
      </c>
      <c r="BR16" s="190">
        <v>1114565.96</v>
      </c>
      <c r="BS16" s="190">
        <v>0</v>
      </c>
      <c r="BT16" s="190">
        <v>182000</v>
      </c>
      <c r="BU16" s="190">
        <v>0</v>
      </c>
    </row>
    <row r="17" spans="1:73" x14ac:dyDescent="0.25">
      <c r="A17" s="190" t="s">
        <v>233</v>
      </c>
      <c r="B17" s="190">
        <v>6748961</v>
      </c>
      <c r="C17" s="190">
        <v>5175595.5</v>
      </c>
      <c r="D17" s="190">
        <v>4575845.5</v>
      </c>
      <c r="E17" s="190">
        <v>10509826.98</v>
      </c>
      <c r="F17" s="190">
        <v>5105606.4800000004</v>
      </c>
      <c r="G17" s="190">
        <v>5041737</v>
      </c>
      <c r="H17" s="190">
        <v>17000</v>
      </c>
      <c r="I17" s="190">
        <v>477508.21</v>
      </c>
      <c r="J17" s="190">
        <v>106619</v>
      </c>
      <c r="K17" s="190">
        <v>95169</v>
      </c>
      <c r="L17" s="190">
        <v>1375</v>
      </c>
      <c r="M17" s="190">
        <v>1501900.44</v>
      </c>
      <c r="N17" s="190">
        <v>1061864.44</v>
      </c>
      <c r="O17" s="190">
        <v>938193.5</v>
      </c>
      <c r="P17" s="190">
        <v>45563.5</v>
      </c>
      <c r="Q17" s="190">
        <v>6428769.9000000004</v>
      </c>
      <c r="R17" s="190">
        <v>5011020</v>
      </c>
      <c r="S17" s="190">
        <v>1403467</v>
      </c>
      <c r="T17" s="190">
        <v>370071</v>
      </c>
      <c r="U17" s="190">
        <v>4899643.08</v>
      </c>
      <c r="V17" s="190">
        <v>2714203</v>
      </c>
      <c r="W17" s="190">
        <v>463600</v>
      </c>
      <c r="X17" s="190">
        <v>50000</v>
      </c>
      <c r="Y17" s="190">
        <v>1749350</v>
      </c>
      <c r="Z17" s="190">
        <v>157300</v>
      </c>
      <c r="AA17" s="190">
        <v>60400</v>
      </c>
      <c r="AB17" s="190">
        <v>7000</v>
      </c>
      <c r="AC17" s="190">
        <v>3654702.42</v>
      </c>
      <c r="AD17" s="190">
        <v>505557.7</v>
      </c>
      <c r="AE17" s="190">
        <v>488409.7</v>
      </c>
      <c r="AF17" s="190">
        <v>368359.7</v>
      </c>
      <c r="AG17" s="190">
        <v>1551631.15</v>
      </c>
      <c r="AH17" s="190">
        <v>696844.15</v>
      </c>
      <c r="AI17" s="190">
        <v>550072.15</v>
      </c>
      <c r="AJ17" s="190">
        <v>550072.15</v>
      </c>
      <c r="AK17" s="190">
        <v>46052898.509999998</v>
      </c>
      <c r="AL17" s="190">
        <v>41506471.549999997</v>
      </c>
      <c r="AM17" s="190">
        <v>17400</v>
      </c>
      <c r="AN17" s="190">
        <v>4300</v>
      </c>
      <c r="AO17" s="190">
        <v>53869945.710000001</v>
      </c>
      <c r="AP17" s="190">
        <v>20564570.710000001</v>
      </c>
      <c r="AQ17" s="190">
        <v>20534270.710000001</v>
      </c>
      <c r="AR17" s="190">
        <v>20534270.710000001</v>
      </c>
      <c r="AS17" s="190">
        <v>63162654.119999997</v>
      </c>
      <c r="AT17" s="190">
        <v>13894329.51</v>
      </c>
      <c r="AU17" s="190">
        <v>12840523.02</v>
      </c>
      <c r="AV17" s="190">
        <v>11053100</v>
      </c>
      <c r="AW17" s="190">
        <v>15715015.02</v>
      </c>
      <c r="AX17" s="190">
        <v>252600</v>
      </c>
      <c r="AY17" s="190">
        <v>252600</v>
      </c>
      <c r="AZ17" s="190">
        <v>0</v>
      </c>
      <c r="BA17" s="190">
        <v>3796509.72</v>
      </c>
      <c r="BB17" s="190">
        <v>3774509.72</v>
      </c>
      <c r="BC17" s="190">
        <v>3683036.72</v>
      </c>
      <c r="BD17" s="190">
        <v>3550389.72</v>
      </c>
      <c r="BE17" s="190">
        <v>2357740</v>
      </c>
      <c r="BF17" s="190">
        <v>987740</v>
      </c>
      <c r="BG17" s="190">
        <v>968400</v>
      </c>
      <c r="BH17" s="190">
        <v>960000</v>
      </c>
      <c r="BI17" s="190">
        <v>664000</v>
      </c>
      <c r="BJ17" s="190">
        <v>664000</v>
      </c>
      <c r="BK17" s="190">
        <v>664000</v>
      </c>
      <c r="BL17" s="190">
        <v>664000</v>
      </c>
      <c r="BM17" s="190">
        <v>0</v>
      </c>
      <c r="BN17" s="190">
        <v>0</v>
      </c>
      <c r="BO17" s="190">
        <v>88019.4</v>
      </c>
      <c r="BP17" s="190">
        <v>131319.79999999999</v>
      </c>
      <c r="BQ17" s="190">
        <v>1200000</v>
      </c>
      <c r="BR17" s="190">
        <v>0</v>
      </c>
      <c r="BS17" s="190">
        <v>58500</v>
      </c>
      <c r="BT17" s="190">
        <v>0</v>
      </c>
      <c r="BU17" s="190">
        <v>0</v>
      </c>
    </row>
    <row r="18" spans="1:73" x14ac:dyDescent="0.25">
      <c r="A18" s="190" t="s">
        <v>234</v>
      </c>
      <c r="B18" s="190">
        <v>0</v>
      </c>
      <c r="C18" s="190">
        <v>0</v>
      </c>
      <c r="D18" s="190">
        <v>0</v>
      </c>
      <c r="E18" s="190">
        <v>5997634.7999999998</v>
      </c>
      <c r="F18" s="190">
        <v>5997634.7999999998</v>
      </c>
      <c r="G18" s="190">
        <v>5997634.7999999998</v>
      </c>
      <c r="H18" s="190">
        <v>0</v>
      </c>
      <c r="I18" s="190">
        <v>0</v>
      </c>
      <c r="J18" s="190">
        <v>0</v>
      </c>
      <c r="K18" s="190">
        <v>0</v>
      </c>
      <c r="L18" s="190">
        <v>0</v>
      </c>
      <c r="M18" s="190">
        <v>0</v>
      </c>
      <c r="N18" s="190">
        <v>0</v>
      </c>
      <c r="O18" s="190">
        <v>0</v>
      </c>
      <c r="P18" s="190">
        <v>0</v>
      </c>
      <c r="Q18" s="190">
        <v>185260359.72999999</v>
      </c>
      <c r="R18" s="190">
        <v>192360306.72</v>
      </c>
      <c r="S18" s="190">
        <v>226050225.88</v>
      </c>
      <c r="T18" s="190">
        <v>0</v>
      </c>
      <c r="U18" s="190">
        <v>374518.88</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row>
    <row r="19" spans="1:73" x14ac:dyDescent="0.25">
      <c r="A19" s="190" t="s">
        <v>235</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9092787.9399999995</v>
      </c>
      <c r="R19" s="190">
        <v>108779325.69</v>
      </c>
      <c r="S19" s="190">
        <v>1020000</v>
      </c>
      <c r="T19" s="190">
        <v>0</v>
      </c>
      <c r="U19" s="190">
        <v>12200574.039999999</v>
      </c>
      <c r="V19" s="190">
        <v>8298728</v>
      </c>
      <c r="W19" s="190">
        <v>8192089</v>
      </c>
      <c r="X19" s="190">
        <v>182089</v>
      </c>
      <c r="Y19" s="190">
        <v>16890405.309999999</v>
      </c>
      <c r="Z19" s="190">
        <v>6200405.3099999996</v>
      </c>
      <c r="AA19" s="190">
        <v>2490005</v>
      </c>
      <c r="AB19" s="190">
        <v>970005</v>
      </c>
      <c r="AC19" s="190">
        <v>115870558.34</v>
      </c>
      <c r="AD19" s="190">
        <v>38627511.119999997</v>
      </c>
      <c r="AE19" s="190">
        <v>28109827.780000001</v>
      </c>
      <c r="AF19" s="190">
        <v>1710000</v>
      </c>
      <c r="AG19" s="190">
        <v>128747240.28</v>
      </c>
      <c r="AH19" s="190">
        <v>42406588.590000004</v>
      </c>
      <c r="AI19" s="190">
        <v>43353795.259999998</v>
      </c>
      <c r="AJ19" s="190">
        <v>41662241.32</v>
      </c>
      <c r="AK19" s="190">
        <v>43879176.950000003</v>
      </c>
      <c r="AL19" s="190">
        <v>9635155.0199999996</v>
      </c>
      <c r="AM19" s="190">
        <v>5627194.1399999997</v>
      </c>
      <c r="AN19" s="190">
        <v>2492839.04</v>
      </c>
      <c r="AO19" s="190">
        <v>35500824.869999997</v>
      </c>
      <c r="AP19" s="190">
        <v>5471456.1699999999</v>
      </c>
      <c r="AQ19" s="190">
        <v>3789072.52</v>
      </c>
      <c r="AR19" s="190">
        <v>2963333.65</v>
      </c>
      <c r="AS19" s="190">
        <v>40772639.189999998</v>
      </c>
      <c r="AT19" s="190">
        <v>4745531.1100000003</v>
      </c>
      <c r="AU19" s="190">
        <v>2746221.86</v>
      </c>
      <c r="AV19" s="190">
        <v>376963.03</v>
      </c>
      <c r="AW19" s="190">
        <v>277901441.43000001</v>
      </c>
      <c r="AX19" s="190">
        <v>16839657</v>
      </c>
      <c r="AY19" s="190">
        <v>15826486.460000001</v>
      </c>
      <c r="AZ19" s="190">
        <v>15297509.060000001</v>
      </c>
      <c r="BA19" s="190">
        <v>4653632.97</v>
      </c>
      <c r="BB19" s="190">
        <v>3017328.47</v>
      </c>
      <c r="BC19" s="190">
        <v>2594160.9700000002</v>
      </c>
      <c r="BD19" s="190">
        <v>855859</v>
      </c>
      <c r="BE19" s="190">
        <v>213315649.22999999</v>
      </c>
      <c r="BF19" s="190">
        <v>213148423.33000001</v>
      </c>
      <c r="BG19" s="190">
        <v>212360970.63</v>
      </c>
      <c r="BH19" s="190">
        <v>1260729.01</v>
      </c>
      <c r="BI19" s="190">
        <v>2279567.5099999998</v>
      </c>
      <c r="BJ19" s="190">
        <v>1203661.31</v>
      </c>
      <c r="BK19" s="190">
        <v>760550.33</v>
      </c>
      <c r="BL19" s="190">
        <v>50122.83</v>
      </c>
      <c r="BM19" s="190">
        <v>0</v>
      </c>
      <c r="BN19" s="190">
        <v>0</v>
      </c>
      <c r="BO19" s="190">
        <v>0</v>
      </c>
      <c r="BP19" s="190">
        <v>0</v>
      </c>
      <c r="BQ19" s="190">
        <v>0</v>
      </c>
      <c r="BR19" s="190">
        <v>0</v>
      </c>
      <c r="BS19" s="190">
        <v>0</v>
      </c>
      <c r="BT19" s="190">
        <v>0</v>
      </c>
      <c r="BU19" s="190">
        <v>0</v>
      </c>
    </row>
    <row r="20" spans="1:73" x14ac:dyDescent="0.25">
      <c r="A20" s="190" t="s">
        <v>236</v>
      </c>
      <c r="B20" s="190">
        <v>193633066.81999999</v>
      </c>
      <c r="C20" s="190">
        <v>171098867.30000001</v>
      </c>
      <c r="D20" s="190">
        <v>11620041.5</v>
      </c>
      <c r="E20" s="190">
        <v>495359949.49000001</v>
      </c>
      <c r="F20" s="190">
        <v>493658149.04000002</v>
      </c>
      <c r="G20" s="190">
        <v>385721382.72000003</v>
      </c>
      <c r="H20" s="190">
        <v>31066628.489999998</v>
      </c>
      <c r="I20" s="190">
        <v>810646816.96000004</v>
      </c>
      <c r="J20" s="190">
        <v>729371727.87</v>
      </c>
      <c r="K20" s="190">
        <v>550071590.75999999</v>
      </c>
      <c r="L20" s="190">
        <v>4649822.24</v>
      </c>
      <c r="M20" s="190">
        <v>750389135.59000003</v>
      </c>
      <c r="N20" s="190">
        <v>660994627.5</v>
      </c>
      <c r="O20" s="190">
        <v>368795781.75</v>
      </c>
      <c r="P20" s="190">
        <v>100823863.5</v>
      </c>
      <c r="Q20" s="190">
        <v>946981663.15999997</v>
      </c>
      <c r="R20" s="190">
        <v>1057607120.1799999</v>
      </c>
      <c r="S20" s="190">
        <v>435512303.62</v>
      </c>
      <c r="T20" s="190">
        <v>56953956</v>
      </c>
      <c r="U20" s="190">
        <v>228696332.49000001</v>
      </c>
      <c r="V20" s="190">
        <v>217440255.91</v>
      </c>
      <c r="W20" s="190">
        <v>48127669.479999997</v>
      </c>
      <c r="X20" s="190">
        <v>867676.58</v>
      </c>
      <c r="Y20" s="190">
        <v>143329336.06</v>
      </c>
      <c r="Z20" s="190">
        <v>130440750.65000001</v>
      </c>
      <c r="AA20" s="190">
        <v>169775427.18000001</v>
      </c>
      <c r="AB20" s="190">
        <v>58247910.619999997</v>
      </c>
      <c r="AC20" s="190">
        <v>166139802.05000001</v>
      </c>
      <c r="AD20" s="190">
        <v>64147610.109999999</v>
      </c>
      <c r="AE20" s="190">
        <v>53444308.890000001</v>
      </c>
      <c r="AF20" s="190">
        <v>2078359.7</v>
      </c>
      <c r="AG20" s="190">
        <v>282029955.92000002</v>
      </c>
      <c r="AH20" s="190">
        <v>210378837.22999999</v>
      </c>
      <c r="AI20" s="190">
        <v>106180928.72</v>
      </c>
      <c r="AJ20" s="190">
        <v>42212313.469999999</v>
      </c>
      <c r="AK20" s="190">
        <v>624971723.32000005</v>
      </c>
      <c r="AL20" s="190">
        <v>156131626.56999999</v>
      </c>
      <c r="AM20" s="190">
        <v>110634594.14</v>
      </c>
      <c r="AN20" s="190">
        <v>2497139.04</v>
      </c>
      <c r="AO20" s="190">
        <v>208600770.58000001</v>
      </c>
      <c r="AP20" s="190">
        <v>145266026.88</v>
      </c>
      <c r="AQ20" s="190">
        <v>94553343.230000004</v>
      </c>
      <c r="AR20" s="190">
        <v>23497604.359999999</v>
      </c>
      <c r="AS20" s="190">
        <v>322397691.75</v>
      </c>
      <c r="AT20" s="190">
        <v>142820914.91</v>
      </c>
      <c r="AU20" s="190">
        <v>97767799.170000002</v>
      </c>
      <c r="AV20" s="190">
        <v>74430063.030000001</v>
      </c>
      <c r="AW20" s="190">
        <v>416616456.44999999</v>
      </c>
      <c r="AX20" s="190">
        <v>95092257</v>
      </c>
      <c r="AY20" s="190">
        <v>94079086.459999993</v>
      </c>
      <c r="AZ20" s="190">
        <v>70297509.060000002</v>
      </c>
      <c r="BA20" s="190">
        <v>117950142.69</v>
      </c>
      <c r="BB20" s="190">
        <v>71291838.189999998</v>
      </c>
      <c r="BC20" s="190">
        <v>70777197.689999998</v>
      </c>
      <c r="BD20" s="190">
        <v>46406248.719999999</v>
      </c>
      <c r="BE20" s="190">
        <v>314073389.23000002</v>
      </c>
      <c r="BF20" s="190">
        <v>282536163.32999998</v>
      </c>
      <c r="BG20" s="190">
        <v>281729370.63</v>
      </c>
      <c r="BH20" s="190">
        <v>32220729.010000002</v>
      </c>
      <c r="BI20" s="190">
        <v>23943567.510000002</v>
      </c>
      <c r="BJ20" s="190">
        <v>78867661.310000002</v>
      </c>
      <c r="BK20" s="190">
        <v>22424550.329999998</v>
      </c>
      <c r="BL20" s="190">
        <v>714122.83</v>
      </c>
      <c r="BM20" s="190">
        <v>113500000</v>
      </c>
      <c r="BN20" s="190">
        <v>0</v>
      </c>
      <c r="BO20" s="190">
        <v>5012939.4000000004</v>
      </c>
      <c r="BP20" s="190">
        <v>653659.80000000005</v>
      </c>
      <c r="BQ20" s="190">
        <v>11854235.08</v>
      </c>
      <c r="BR20" s="190">
        <v>13814251.470000001</v>
      </c>
      <c r="BS20" s="190">
        <v>618150</v>
      </c>
      <c r="BT20" s="190">
        <v>182000</v>
      </c>
      <c r="BU20" s="190">
        <v>0</v>
      </c>
    </row>
    <row r="21" spans="1:73" x14ac:dyDescent="0.25">
      <c r="A21" s="190" t="s">
        <v>237</v>
      </c>
      <c r="B21" s="190">
        <v>7239926593.2399998</v>
      </c>
      <c r="C21" s="190">
        <v>3652882328.6999998</v>
      </c>
      <c r="D21" s="190">
        <v>1832254049.8599999</v>
      </c>
      <c r="E21" s="190">
        <v>11654707721.1</v>
      </c>
      <c r="F21" s="190">
        <v>8182946601.9499998</v>
      </c>
      <c r="G21" s="190">
        <v>5778890202.9099998</v>
      </c>
      <c r="H21" s="190">
        <v>2898390989.2600002</v>
      </c>
      <c r="I21" s="190">
        <v>17309294460.540001</v>
      </c>
      <c r="J21" s="190">
        <v>11415709301.51</v>
      </c>
      <c r="K21" s="190">
        <v>8310813877.8199997</v>
      </c>
      <c r="L21" s="190">
        <v>4850981603.4499998</v>
      </c>
      <c r="M21" s="190">
        <v>16332310345.91</v>
      </c>
      <c r="N21" s="190">
        <v>9533905977.1499996</v>
      </c>
      <c r="O21" s="190">
        <v>5736106677.75</v>
      </c>
      <c r="P21" s="190">
        <v>3183369657.9400001</v>
      </c>
      <c r="Q21" s="190">
        <v>14478191070.9</v>
      </c>
      <c r="R21" s="190">
        <v>9723873495.3400002</v>
      </c>
      <c r="S21" s="190">
        <v>6268437624.2600002</v>
      </c>
      <c r="T21" s="190">
        <v>3851901764.3699999</v>
      </c>
      <c r="U21" s="190">
        <v>16033894549.98</v>
      </c>
      <c r="V21" s="190">
        <v>12187423137.469999</v>
      </c>
      <c r="W21" s="190">
        <v>8228369894.3000002</v>
      </c>
      <c r="X21" s="190">
        <v>4873093277.3800001</v>
      </c>
      <c r="Y21" s="190">
        <v>19592831212.900002</v>
      </c>
      <c r="Z21" s="190">
        <v>14809719719.440001</v>
      </c>
      <c r="AA21" s="190">
        <v>9673299931.0400009</v>
      </c>
      <c r="AB21" s="190">
        <v>5035206167.1099997</v>
      </c>
      <c r="AC21" s="190">
        <v>16275384261.969999</v>
      </c>
      <c r="AD21" s="190">
        <v>11778104789.52</v>
      </c>
      <c r="AE21" s="190">
        <v>7967309702.1599998</v>
      </c>
      <c r="AF21" s="190">
        <v>3784747498.8299999</v>
      </c>
      <c r="AG21" s="190">
        <v>13018539260.190001</v>
      </c>
      <c r="AH21" s="190">
        <v>9167024948.0900002</v>
      </c>
      <c r="AI21" s="190">
        <v>5919234749.8699999</v>
      </c>
      <c r="AJ21" s="190">
        <v>3165329081.02</v>
      </c>
      <c r="AK21" s="190">
        <v>11372363892.459999</v>
      </c>
      <c r="AL21" s="190">
        <v>954856959.42999995</v>
      </c>
      <c r="AM21" s="190">
        <v>399361792.36000001</v>
      </c>
      <c r="AN21" s="190">
        <v>152578570.09</v>
      </c>
      <c r="AO21" s="190">
        <v>1508581850.6300001</v>
      </c>
      <c r="AP21" s="190">
        <v>1042538127.64</v>
      </c>
      <c r="AQ21" s="190">
        <v>728609314.88999999</v>
      </c>
      <c r="AR21" s="190">
        <v>311919982.68000001</v>
      </c>
      <c r="AS21" s="190">
        <v>1273603188.53</v>
      </c>
      <c r="AT21" s="190">
        <v>731639012.72000003</v>
      </c>
      <c r="AU21" s="190">
        <v>454134436.45999998</v>
      </c>
      <c r="AV21" s="190">
        <v>246651218.87</v>
      </c>
      <c r="AW21" s="190">
        <v>1181633435.9200001</v>
      </c>
      <c r="AX21" s="190">
        <v>774234053.01999998</v>
      </c>
      <c r="AY21" s="190">
        <v>502898381.18000001</v>
      </c>
      <c r="AZ21" s="190">
        <v>82342304.480000004</v>
      </c>
      <c r="BA21" s="190">
        <v>842831204.50999999</v>
      </c>
      <c r="BB21" s="190">
        <v>267331712</v>
      </c>
      <c r="BC21" s="190">
        <v>370872513.30000001</v>
      </c>
      <c r="BD21" s="190">
        <v>71920735.150000006</v>
      </c>
      <c r="BE21" s="190">
        <v>861287396.66999996</v>
      </c>
      <c r="BF21" s="190">
        <v>321804770.72000003</v>
      </c>
      <c r="BG21" s="190">
        <v>411308107.80000001</v>
      </c>
      <c r="BH21" s="190">
        <v>171044539.12</v>
      </c>
      <c r="BI21" s="190">
        <v>339993855.5</v>
      </c>
      <c r="BJ21" s="190">
        <v>218423060.69</v>
      </c>
      <c r="BK21" s="190">
        <v>127591650.17</v>
      </c>
      <c r="BL21" s="190">
        <v>65286676.030000001</v>
      </c>
      <c r="BM21" s="190">
        <v>98228357.890000001</v>
      </c>
      <c r="BN21" s="190">
        <v>3943079.51</v>
      </c>
      <c r="BO21" s="190">
        <v>13038807.66</v>
      </c>
      <c r="BP21" s="190">
        <v>4913271.99</v>
      </c>
      <c r="BQ21" s="190">
        <v>23203924.43</v>
      </c>
      <c r="BR21" s="190">
        <v>929270.83</v>
      </c>
      <c r="BS21" s="190">
        <v>43433244.079999998</v>
      </c>
      <c r="BT21" s="190">
        <v>87828620.189999998</v>
      </c>
      <c r="BU21" s="190">
        <v>0</v>
      </c>
    </row>
    <row r="22" spans="1:73" x14ac:dyDescent="0.25">
      <c r="A22" s="190" t="s">
        <v>238</v>
      </c>
      <c r="B22" s="190">
        <v>3935363705.8200002</v>
      </c>
      <c r="C22" s="190">
        <v>2742115213.0500002</v>
      </c>
      <c r="D22" s="190">
        <v>1878466300</v>
      </c>
      <c r="E22" s="190">
        <v>8.6999999999999993</v>
      </c>
      <c r="F22" s="190">
        <v>0</v>
      </c>
      <c r="G22" s="190">
        <v>0</v>
      </c>
      <c r="H22" s="190">
        <v>0</v>
      </c>
      <c r="I22" s="190">
        <v>5001074471.3299999</v>
      </c>
      <c r="J22" s="190">
        <v>3959446925.9099998</v>
      </c>
      <c r="K22" s="190">
        <v>3268245747.5700002</v>
      </c>
      <c r="L22" s="190">
        <v>2158240000</v>
      </c>
      <c r="M22" s="190">
        <v>110778300</v>
      </c>
      <c r="N22" s="190">
        <v>110778300</v>
      </c>
      <c r="O22" s="190">
        <v>110778300</v>
      </c>
      <c r="P22" s="190">
        <v>100778300</v>
      </c>
      <c r="Q22" s="190">
        <v>4298526.18</v>
      </c>
      <c r="R22" s="190">
        <v>203951526.18000001</v>
      </c>
      <c r="S22" s="190">
        <v>204298526.18000001</v>
      </c>
      <c r="T22" s="190">
        <v>0</v>
      </c>
      <c r="U22" s="190">
        <v>1059864430.03</v>
      </c>
      <c r="V22" s="190">
        <v>1059864430.03</v>
      </c>
      <c r="W22" s="190">
        <v>786767638.88</v>
      </c>
      <c r="X22" s="190">
        <v>731753400</v>
      </c>
      <c r="Y22" s="190">
        <v>660564400</v>
      </c>
      <c r="Z22" s="190">
        <v>660564400</v>
      </c>
      <c r="AA22" s="190">
        <v>32500000</v>
      </c>
      <c r="AB22" s="190">
        <v>32500000</v>
      </c>
      <c r="AC22" s="190">
        <v>149162400</v>
      </c>
      <c r="AD22" s="190">
        <v>149162400</v>
      </c>
      <c r="AE22" s="190">
        <v>175162400</v>
      </c>
      <c r="AF22" s="190">
        <v>149162400</v>
      </c>
      <c r="AG22" s="190">
        <v>761198142.20000005</v>
      </c>
      <c r="AH22" s="190">
        <v>761198142.20000005</v>
      </c>
      <c r="AI22" s="190">
        <v>600119250</v>
      </c>
      <c r="AJ22" s="190">
        <v>600105000</v>
      </c>
      <c r="AK22" s="190">
        <v>622187889.19000006</v>
      </c>
      <c r="AL22" s="190">
        <v>105000000</v>
      </c>
      <c r="AM22" s="190">
        <v>84000000</v>
      </c>
      <c r="AN22" s="190">
        <v>0</v>
      </c>
      <c r="AO22" s="190">
        <v>392815867</v>
      </c>
      <c r="AP22" s="190">
        <v>273984000</v>
      </c>
      <c r="AQ22" s="190">
        <v>273984000</v>
      </c>
      <c r="AR22" s="190">
        <v>163734000</v>
      </c>
      <c r="AS22" s="190">
        <v>630645110.37</v>
      </c>
      <c r="AT22" s="190">
        <v>639474325.37</v>
      </c>
      <c r="AU22" s="190">
        <v>507673030.33999997</v>
      </c>
      <c r="AV22" s="190">
        <v>260573030.34</v>
      </c>
      <c r="AW22" s="190">
        <v>1980460000</v>
      </c>
      <c r="AX22" s="190">
        <v>1440460000</v>
      </c>
      <c r="AY22" s="190">
        <v>0</v>
      </c>
      <c r="AZ22" s="190">
        <v>0</v>
      </c>
      <c r="BA22" s="190">
        <v>0</v>
      </c>
      <c r="BB22" s="190">
        <v>12500000</v>
      </c>
      <c r="BC22" s="190">
        <v>0</v>
      </c>
      <c r="BD22" s="190">
        <v>0</v>
      </c>
      <c r="BE22" s="190">
        <v>460799500</v>
      </c>
      <c r="BF22" s="190">
        <v>274700000</v>
      </c>
      <c r="BG22" s="190">
        <v>274700000</v>
      </c>
      <c r="BH22" s="190">
        <v>193700000</v>
      </c>
      <c r="BI22" s="190">
        <v>0</v>
      </c>
      <c r="BJ22" s="190">
        <v>0</v>
      </c>
      <c r="BK22" s="190">
        <v>0</v>
      </c>
      <c r="BL22" s="190">
        <v>0</v>
      </c>
      <c r="BM22" s="190">
        <v>0</v>
      </c>
      <c r="BN22" s="190">
        <v>0</v>
      </c>
      <c r="BO22" s="190">
        <v>0</v>
      </c>
      <c r="BP22" s="190">
        <v>0</v>
      </c>
      <c r="BQ22" s="190">
        <v>0</v>
      </c>
      <c r="BR22" s="190">
        <v>0</v>
      </c>
      <c r="BS22" s="190">
        <v>27800000</v>
      </c>
      <c r="BT22" s="190">
        <v>16000000</v>
      </c>
      <c r="BU22" s="190">
        <v>0</v>
      </c>
    </row>
    <row r="23" spans="1:73" x14ac:dyDescent="0.25">
      <c r="A23" s="190" t="s">
        <v>239</v>
      </c>
      <c r="B23" s="190">
        <v>0</v>
      </c>
      <c r="C23" s="190">
        <v>0</v>
      </c>
      <c r="D23" s="190">
        <v>0</v>
      </c>
      <c r="E23" s="190">
        <v>17095449.850000001</v>
      </c>
      <c r="F23" s="190">
        <v>17095449.850000001</v>
      </c>
      <c r="G23" s="190">
        <v>17095449.850000001</v>
      </c>
      <c r="H23" s="190">
        <v>17095449.850000001</v>
      </c>
      <c r="I23" s="190">
        <v>1425657189.9000001</v>
      </c>
      <c r="J23" s="190">
        <v>1499042839.4400001</v>
      </c>
      <c r="K23" s="190">
        <v>1532007901.8800001</v>
      </c>
      <c r="L23" s="190">
        <v>0</v>
      </c>
      <c r="M23" s="190">
        <v>0</v>
      </c>
      <c r="N23" s="190">
        <v>0</v>
      </c>
      <c r="O23" s="190">
        <v>0</v>
      </c>
      <c r="P23" s="190">
        <v>0</v>
      </c>
      <c r="Q23" s="190">
        <v>61624101.75</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row>
    <row r="24" spans="1:73" x14ac:dyDescent="0.25">
      <c r="A24" s="190" t="s">
        <v>240</v>
      </c>
      <c r="B24" s="190">
        <v>11518735.210000001</v>
      </c>
      <c r="C24" s="190">
        <v>8213711.9500000002</v>
      </c>
      <c r="D24" s="190">
        <v>0</v>
      </c>
      <c r="E24" s="190">
        <v>0</v>
      </c>
      <c r="F24" s="190">
        <v>345176.11</v>
      </c>
      <c r="G24" s="190">
        <v>224221.48</v>
      </c>
      <c r="H24" s="190">
        <v>113279.52</v>
      </c>
      <c r="I24" s="190">
        <v>556428918.09000003</v>
      </c>
      <c r="J24" s="190">
        <v>173655497.13</v>
      </c>
      <c r="K24" s="190">
        <v>970182.02</v>
      </c>
      <c r="L24" s="190">
        <v>687453.48</v>
      </c>
      <c r="M24" s="190">
        <v>980000</v>
      </c>
      <c r="N24" s="190">
        <v>1399653.19</v>
      </c>
      <c r="O24" s="190">
        <v>288851.74</v>
      </c>
      <c r="P24" s="190">
        <v>176509.04</v>
      </c>
      <c r="Q24" s="190">
        <v>5063006.18</v>
      </c>
      <c r="R24" s="190">
        <v>3895807.66</v>
      </c>
      <c r="S24" s="190">
        <v>3248752.7</v>
      </c>
      <c r="T24" s="190">
        <v>234140.08</v>
      </c>
      <c r="U24" s="190">
        <v>19110176.609999999</v>
      </c>
      <c r="V24" s="190">
        <v>3217020.09</v>
      </c>
      <c r="W24" s="190">
        <v>1081694.95</v>
      </c>
      <c r="X24" s="190">
        <v>766148.64</v>
      </c>
      <c r="Y24" s="190">
        <v>6241019.46</v>
      </c>
      <c r="Z24" s="190">
        <v>4405663.3899999997</v>
      </c>
      <c r="AA24" s="190">
        <v>2415313.39</v>
      </c>
      <c r="AB24" s="190">
        <v>965033.83</v>
      </c>
      <c r="AC24" s="190">
        <v>64680662.32</v>
      </c>
      <c r="AD24" s="190">
        <v>37411355.640000001</v>
      </c>
      <c r="AE24" s="190">
        <v>5816248.3700000001</v>
      </c>
      <c r="AF24" s="190">
        <v>1609811.99</v>
      </c>
      <c r="AG24" s="190">
        <v>39194840.219999999</v>
      </c>
      <c r="AH24" s="190">
        <v>36732387.630000003</v>
      </c>
      <c r="AI24" s="190">
        <v>31235957.629999999</v>
      </c>
      <c r="AJ24" s="190">
        <v>24301578</v>
      </c>
      <c r="AK24" s="190">
        <v>24738886.32</v>
      </c>
      <c r="AL24" s="190">
        <v>4350000</v>
      </c>
      <c r="AM24" s="190">
        <v>2966957</v>
      </c>
      <c r="AN24" s="190">
        <v>3672938</v>
      </c>
      <c r="AO24" s="190">
        <v>11340000</v>
      </c>
      <c r="AP24" s="190">
        <v>3377729</v>
      </c>
      <c r="AQ24" s="190">
        <v>2912729</v>
      </c>
      <c r="AR24" s="190">
        <v>861000</v>
      </c>
      <c r="AS24" s="190">
        <v>0</v>
      </c>
      <c r="AT24" s="190">
        <v>2360679.9900000002</v>
      </c>
      <c r="AU24" s="190">
        <v>609023.79</v>
      </c>
      <c r="AV24" s="190">
        <v>0</v>
      </c>
      <c r="AW24" s="190">
        <v>0</v>
      </c>
      <c r="AX24" s="190">
        <v>0</v>
      </c>
      <c r="AY24" s="190">
        <v>612225</v>
      </c>
      <c r="AZ24" s="190">
        <v>147281877.93000001</v>
      </c>
      <c r="BA24" s="190">
        <v>2832040.4</v>
      </c>
      <c r="BB24" s="190">
        <v>319447267.66000003</v>
      </c>
      <c r="BC24" s="190">
        <v>1785171.4</v>
      </c>
      <c r="BD24" s="190">
        <v>116327544.37</v>
      </c>
      <c r="BE24" s="190">
        <v>1943097.38</v>
      </c>
      <c r="BF24" s="190">
        <v>253246370.62</v>
      </c>
      <c r="BG24" s="190">
        <v>1379260.38</v>
      </c>
      <c r="BH24" s="190">
        <v>590000</v>
      </c>
      <c r="BI24" s="190">
        <v>28592666.5</v>
      </c>
      <c r="BJ24" s="190">
        <v>27863004.129999999</v>
      </c>
      <c r="BK24" s="190">
        <v>27713004.129999999</v>
      </c>
      <c r="BL24" s="190">
        <v>395558.26</v>
      </c>
      <c r="BM24" s="190">
        <v>12855830.77</v>
      </c>
      <c r="BN24" s="190">
        <v>0</v>
      </c>
      <c r="BO24" s="190">
        <v>0</v>
      </c>
      <c r="BP24" s="190">
        <v>31000</v>
      </c>
      <c r="BQ24" s="190">
        <v>0</v>
      </c>
      <c r="BR24" s="190">
        <v>0</v>
      </c>
      <c r="BS24" s="190">
        <v>0</v>
      </c>
      <c r="BT24" s="190">
        <v>0</v>
      </c>
      <c r="BU24" s="190">
        <v>0</v>
      </c>
    </row>
    <row r="25" spans="1:73" x14ac:dyDescent="0.25">
      <c r="A25" s="190" t="s">
        <v>241</v>
      </c>
      <c r="B25" s="190">
        <v>11186809034.27</v>
      </c>
      <c r="C25" s="190">
        <v>6403211253.6999998</v>
      </c>
      <c r="D25" s="190">
        <v>3710720349.8600001</v>
      </c>
      <c r="E25" s="190">
        <v>11671803179.65</v>
      </c>
      <c r="F25" s="190">
        <v>8200387227.9099998</v>
      </c>
      <c r="G25" s="190">
        <v>5796209874.2399998</v>
      </c>
      <c r="H25" s="190">
        <v>2915599718.6300001</v>
      </c>
      <c r="I25" s="190">
        <v>24292455039.860001</v>
      </c>
      <c r="J25" s="190">
        <v>17047854563.99</v>
      </c>
      <c r="K25" s="190">
        <v>13112037709.290001</v>
      </c>
      <c r="L25" s="190">
        <v>7009909056.9300003</v>
      </c>
      <c r="M25" s="190">
        <v>16444068645.91</v>
      </c>
      <c r="N25" s="190">
        <v>9646083930.3400002</v>
      </c>
      <c r="O25" s="190">
        <v>5847173829.4899998</v>
      </c>
      <c r="P25" s="190">
        <v>3284324466.98</v>
      </c>
      <c r="Q25" s="190">
        <v>14549176705.01</v>
      </c>
      <c r="R25" s="190">
        <v>9931720829.1800003</v>
      </c>
      <c r="S25" s="190">
        <v>6475984903.1400003</v>
      </c>
      <c r="T25" s="190">
        <v>3852135904.4499998</v>
      </c>
      <c r="U25" s="190">
        <v>17112869156.620001</v>
      </c>
      <c r="V25" s="190">
        <v>13250504587.59</v>
      </c>
      <c r="W25" s="190">
        <v>9016219228.1299992</v>
      </c>
      <c r="X25" s="190">
        <v>5605612826.0200005</v>
      </c>
      <c r="Y25" s="190">
        <v>20259636632.360001</v>
      </c>
      <c r="Z25" s="190">
        <v>15474689782.83</v>
      </c>
      <c r="AA25" s="190">
        <v>9708215244.4300003</v>
      </c>
      <c r="AB25" s="190">
        <v>5068671200.9399996</v>
      </c>
      <c r="AC25" s="190">
        <v>16489227324.290001</v>
      </c>
      <c r="AD25" s="190">
        <v>11964678545.16</v>
      </c>
      <c r="AE25" s="190">
        <v>8148288350.5299997</v>
      </c>
      <c r="AF25" s="190">
        <v>3935519710.8200002</v>
      </c>
      <c r="AG25" s="190">
        <v>13818932242.610001</v>
      </c>
      <c r="AH25" s="190">
        <v>9964955477.9200001</v>
      </c>
      <c r="AI25" s="190">
        <v>6550589957.5</v>
      </c>
      <c r="AJ25" s="190">
        <v>3789735659.02</v>
      </c>
      <c r="AK25" s="190">
        <v>12019290667.969999</v>
      </c>
      <c r="AL25" s="190">
        <v>1064206959.4299999</v>
      </c>
      <c r="AM25" s="190">
        <v>486328749.36000001</v>
      </c>
      <c r="AN25" s="190">
        <v>156251508.09</v>
      </c>
      <c r="AO25" s="190">
        <v>1912737717.6300001</v>
      </c>
      <c r="AP25" s="190">
        <v>1319899856.6400001</v>
      </c>
      <c r="AQ25" s="190">
        <v>1005506043.89</v>
      </c>
      <c r="AR25" s="190">
        <v>476514982.68000001</v>
      </c>
      <c r="AS25" s="190">
        <v>1904248298.9000001</v>
      </c>
      <c r="AT25" s="190">
        <v>1373474018.0799999</v>
      </c>
      <c r="AU25" s="190">
        <v>962416490.59000003</v>
      </c>
      <c r="AV25" s="190">
        <v>507224249.20999998</v>
      </c>
      <c r="AW25" s="190">
        <v>3162093435.9200001</v>
      </c>
      <c r="AX25" s="190">
        <v>2214694053.02</v>
      </c>
      <c r="AY25" s="190">
        <v>503510606.18000001</v>
      </c>
      <c r="AZ25" s="190">
        <v>229624182.41</v>
      </c>
      <c r="BA25" s="190">
        <v>845663244.90999997</v>
      </c>
      <c r="BB25" s="190">
        <v>599278979.65999997</v>
      </c>
      <c r="BC25" s="190">
        <v>372657684.69999999</v>
      </c>
      <c r="BD25" s="190">
        <v>188248279.52000001</v>
      </c>
      <c r="BE25" s="190">
        <v>1324029994.05</v>
      </c>
      <c r="BF25" s="190">
        <v>849751141.34000003</v>
      </c>
      <c r="BG25" s="190">
        <v>687387368.17999995</v>
      </c>
      <c r="BH25" s="190">
        <v>365334539.12</v>
      </c>
      <c r="BI25" s="190">
        <v>368586522</v>
      </c>
      <c r="BJ25" s="190">
        <v>246286064.81999999</v>
      </c>
      <c r="BK25" s="190">
        <v>155304654.30000001</v>
      </c>
      <c r="BL25" s="190">
        <v>65682234.289999999</v>
      </c>
      <c r="BM25" s="190">
        <v>111084188.66</v>
      </c>
      <c r="BN25" s="190">
        <v>3943079.51</v>
      </c>
      <c r="BO25" s="190">
        <v>13038807.66</v>
      </c>
      <c r="BP25" s="190">
        <v>4944271.99</v>
      </c>
      <c r="BQ25" s="190">
        <v>23203924.43</v>
      </c>
      <c r="BR25" s="190">
        <v>929270.83</v>
      </c>
      <c r="BS25" s="190">
        <v>57333244.079999998</v>
      </c>
      <c r="BT25" s="190">
        <v>95828620.189999998</v>
      </c>
      <c r="BU25" s="190">
        <v>0</v>
      </c>
    </row>
    <row r="26" spans="1:73" x14ac:dyDescent="0.25">
      <c r="A26" s="190" t="s">
        <v>242</v>
      </c>
      <c r="B26" s="190">
        <v>-10993175967.450001</v>
      </c>
      <c r="C26" s="190">
        <v>-6232112386.3999996</v>
      </c>
      <c r="D26" s="190">
        <v>-3699100308.3600001</v>
      </c>
      <c r="E26" s="190">
        <v>-11176443230.16</v>
      </c>
      <c r="F26" s="190">
        <v>-7706729078.8699999</v>
      </c>
      <c r="G26" s="190">
        <v>-5410488491.5200005</v>
      </c>
      <c r="H26" s="190">
        <v>-2884533090.1399999</v>
      </c>
      <c r="I26" s="190">
        <v>-23481808222.900002</v>
      </c>
      <c r="J26" s="190">
        <v>-16318482836.120001</v>
      </c>
      <c r="K26" s="190">
        <v>-12561966118.530001</v>
      </c>
      <c r="L26" s="190">
        <v>-7005259234.6899996</v>
      </c>
      <c r="M26" s="190">
        <v>-15693679510.32</v>
      </c>
      <c r="N26" s="190">
        <v>-8985089302.8400002</v>
      </c>
      <c r="O26" s="190">
        <v>-5478378047.7399998</v>
      </c>
      <c r="P26" s="190">
        <v>-3183500603.48</v>
      </c>
      <c r="Q26" s="190">
        <v>-13602195041.85</v>
      </c>
      <c r="R26" s="190">
        <v>-8874113709</v>
      </c>
      <c r="S26" s="190">
        <v>-6040472599.5200005</v>
      </c>
      <c r="T26" s="190">
        <v>-3795181948.4499998</v>
      </c>
      <c r="U26" s="190">
        <v>-16884172824.129999</v>
      </c>
      <c r="V26" s="190">
        <v>-13033064331.68</v>
      </c>
      <c r="W26" s="190">
        <v>-8968091558.6499996</v>
      </c>
      <c r="X26" s="190">
        <v>-5604745149.4399996</v>
      </c>
      <c r="Y26" s="190">
        <v>-20116307296.299999</v>
      </c>
      <c r="Z26" s="190">
        <v>-15344249032.18</v>
      </c>
      <c r="AA26" s="190">
        <v>-9538439817.25</v>
      </c>
      <c r="AB26" s="190">
        <v>-5010423290.3199997</v>
      </c>
      <c r="AC26" s="190">
        <v>-16323087522.24</v>
      </c>
      <c r="AD26" s="190">
        <v>-11900530935.049999</v>
      </c>
      <c r="AE26" s="190">
        <v>-8094844041.6400003</v>
      </c>
      <c r="AF26" s="190">
        <v>-3933441351.1199999</v>
      </c>
      <c r="AG26" s="190">
        <v>-13536902286.690001</v>
      </c>
      <c r="AH26" s="190">
        <v>-9754576640.6900005</v>
      </c>
      <c r="AI26" s="190">
        <v>-6444409028.7799997</v>
      </c>
      <c r="AJ26" s="190">
        <v>-3747523345.5500002</v>
      </c>
      <c r="AK26" s="190">
        <v>-11394318944.65</v>
      </c>
      <c r="AL26" s="190">
        <v>-908075332.86000001</v>
      </c>
      <c r="AM26" s="190">
        <v>-375694155.22000003</v>
      </c>
      <c r="AN26" s="190">
        <v>-153754369.05000001</v>
      </c>
      <c r="AO26" s="190">
        <v>-1704136947.05</v>
      </c>
      <c r="AP26" s="190">
        <v>-1174633829.76</v>
      </c>
      <c r="AQ26" s="190">
        <v>-910952700.65999997</v>
      </c>
      <c r="AR26" s="190">
        <v>-453017378.31999999</v>
      </c>
      <c r="AS26" s="190">
        <v>-1581850607.1500001</v>
      </c>
      <c r="AT26" s="190">
        <v>-1230653103.1700001</v>
      </c>
      <c r="AU26" s="190">
        <v>-864648691.41999996</v>
      </c>
      <c r="AV26" s="190">
        <v>-432794186.18000001</v>
      </c>
      <c r="AW26" s="190">
        <v>-2745476979.4699998</v>
      </c>
      <c r="AX26" s="190">
        <v>-2119601796.02</v>
      </c>
      <c r="AY26" s="190">
        <v>-409431519.72000003</v>
      </c>
      <c r="AZ26" s="190">
        <v>-159326673.34999999</v>
      </c>
      <c r="BA26" s="190">
        <v>-727713102.22000003</v>
      </c>
      <c r="BB26" s="190">
        <v>-527987141.47000003</v>
      </c>
      <c r="BC26" s="190">
        <v>-301880487.00999999</v>
      </c>
      <c r="BD26" s="190">
        <v>-141842030.80000001</v>
      </c>
      <c r="BE26" s="190">
        <v>-1009956604.8200001</v>
      </c>
      <c r="BF26" s="190">
        <v>-567214978.00999999</v>
      </c>
      <c r="BG26" s="190">
        <v>-405657997.55000001</v>
      </c>
      <c r="BH26" s="190">
        <v>-333113810.11000001</v>
      </c>
      <c r="BI26" s="190">
        <v>-344642954.49000001</v>
      </c>
      <c r="BJ26" s="190">
        <v>-167418403.50999999</v>
      </c>
      <c r="BK26" s="190">
        <v>-132880103.97</v>
      </c>
      <c r="BL26" s="190">
        <v>-64968111.460000001</v>
      </c>
      <c r="BM26" s="190">
        <v>2415811.34</v>
      </c>
      <c r="BN26" s="190">
        <v>-3943079.51</v>
      </c>
      <c r="BO26" s="190">
        <v>-8025868.2599999998</v>
      </c>
      <c r="BP26" s="190">
        <v>-4290612.1900000004</v>
      </c>
      <c r="BQ26" s="190">
        <v>-11349689.35</v>
      </c>
      <c r="BR26" s="190">
        <v>12884980.640000001</v>
      </c>
      <c r="BS26" s="190">
        <v>-56715094.079999998</v>
      </c>
      <c r="BT26" s="190">
        <v>-95646620.189999998</v>
      </c>
      <c r="BU26" s="190">
        <v>0</v>
      </c>
    </row>
    <row r="27" spans="1:73" x14ac:dyDescent="0.25">
      <c r="A27" s="190" t="s">
        <v>243</v>
      </c>
    </row>
    <row r="28" spans="1:73" x14ac:dyDescent="0.25">
      <c r="A28" s="190" t="s">
        <v>244</v>
      </c>
      <c r="B28" s="190">
        <v>5153710000</v>
      </c>
      <c r="C28" s="190">
        <v>2575600000</v>
      </c>
      <c r="D28" s="190">
        <v>0</v>
      </c>
      <c r="E28" s="190">
        <v>1954110000</v>
      </c>
      <c r="F28" s="190">
        <v>1522110000</v>
      </c>
      <c r="G28" s="190">
        <v>728000000</v>
      </c>
      <c r="H28" s="190">
        <v>0</v>
      </c>
      <c r="I28" s="190">
        <v>3031115509.4499998</v>
      </c>
      <c r="J28" s="190">
        <v>1690860009.1600001</v>
      </c>
      <c r="K28" s="190">
        <v>567900009.36000001</v>
      </c>
      <c r="L28" s="190">
        <v>163400000</v>
      </c>
      <c r="M28" s="190">
        <v>4517846700</v>
      </c>
      <c r="N28" s="190">
        <v>2727837700</v>
      </c>
      <c r="O28" s="190">
        <v>1700587100</v>
      </c>
      <c r="P28" s="190">
        <v>1134137100</v>
      </c>
      <c r="Q28" s="190">
        <v>1080000000</v>
      </c>
      <c r="R28" s="190">
        <v>118000000</v>
      </c>
      <c r="S28" s="190">
        <v>0</v>
      </c>
      <c r="T28" s="190">
        <v>0</v>
      </c>
      <c r="U28" s="190">
        <v>480000000</v>
      </c>
      <c r="V28" s="190">
        <v>480000000</v>
      </c>
      <c r="W28" s="190">
        <v>0</v>
      </c>
      <c r="X28" s="190">
        <v>0</v>
      </c>
      <c r="Y28" s="190">
        <v>2200708400</v>
      </c>
      <c r="Z28" s="190">
        <v>2140708400</v>
      </c>
      <c r="AA28" s="190">
        <v>1920000000</v>
      </c>
      <c r="AB28" s="190">
        <v>0</v>
      </c>
      <c r="AC28" s="190">
        <v>5772830000</v>
      </c>
      <c r="AD28" s="190">
        <v>3516700000</v>
      </c>
      <c r="AE28" s="190">
        <v>2760700000</v>
      </c>
      <c r="AF28" s="190">
        <v>56370000</v>
      </c>
      <c r="AG28" s="190">
        <v>314600000</v>
      </c>
      <c r="AH28" s="190">
        <v>311600000</v>
      </c>
      <c r="AI28" s="190">
        <v>306600000</v>
      </c>
      <c r="AJ28" s="190">
        <v>0</v>
      </c>
      <c r="AK28" s="190">
        <v>635440000</v>
      </c>
      <c r="AL28" s="190">
        <v>36660000</v>
      </c>
      <c r="AM28" s="190">
        <v>29460000</v>
      </c>
      <c r="AN28" s="190">
        <v>9000000</v>
      </c>
      <c r="AO28" s="190">
        <v>60000000</v>
      </c>
      <c r="AP28" s="190">
        <v>29500000</v>
      </c>
      <c r="AQ28" s="190">
        <v>22500000</v>
      </c>
      <c r="AR28" s="190">
        <v>0</v>
      </c>
      <c r="AS28" s="190">
        <v>1587292868.1199999</v>
      </c>
      <c r="AT28" s="190">
        <v>1572292868.1199999</v>
      </c>
      <c r="AU28" s="190">
        <v>108000000</v>
      </c>
      <c r="AV28" s="190">
        <v>0</v>
      </c>
      <c r="AW28" s="190">
        <v>2346301288</v>
      </c>
      <c r="AX28" s="190">
        <v>1662779288</v>
      </c>
      <c r="AY28" s="190">
        <v>224029288</v>
      </c>
      <c r="AZ28" s="190">
        <v>148029288</v>
      </c>
      <c r="BA28" s="190">
        <v>15000000</v>
      </c>
      <c r="BB28" s="190">
        <v>20000000</v>
      </c>
      <c r="BC28" s="190">
        <v>7500000</v>
      </c>
      <c r="BD28" s="190">
        <v>0</v>
      </c>
      <c r="BE28" s="190">
        <v>24000000</v>
      </c>
      <c r="BF28" s="190">
        <v>12000000</v>
      </c>
      <c r="BG28" s="190">
        <v>12000000</v>
      </c>
      <c r="BH28" s="190">
        <v>0</v>
      </c>
      <c r="BI28" s="190">
        <v>0</v>
      </c>
      <c r="BJ28" s="190">
        <v>0</v>
      </c>
      <c r="BK28" s="190">
        <v>0</v>
      </c>
      <c r="BL28" s="190">
        <v>0</v>
      </c>
      <c r="BM28" s="190">
        <v>25500000</v>
      </c>
      <c r="BN28" s="190">
        <v>0</v>
      </c>
      <c r="BO28" s="190">
        <v>0</v>
      </c>
      <c r="BP28" s="190">
        <v>0</v>
      </c>
      <c r="BQ28" s="190">
        <v>0</v>
      </c>
      <c r="BR28" s="190">
        <v>0</v>
      </c>
      <c r="BS28" s="190">
        <v>0</v>
      </c>
      <c r="BT28" s="190">
        <v>199040105</v>
      </c>
      <c r="BU28" s="190">
        <v>0</v>
      </c>
    </row>
    <row r="29" spans="1:73" x14ac:dyDescent="0.25">
      <c r="A29" s="190" t="s">
        <v>245</v>
      </c>
      <c r="B29" s="190">
        <v>1154510000</v>
      </c>
      <c r="C29" s="190">
        <v>576000000</v>
      </c>
      <c r="D29" s="190">
        <v>0</v>
      </c>
      <c r="E29" s="190">
        <v>1954110000</v>
      </c>
      <c r="F29" s="190">
        <v>1522110000</v>
      </c>
      <c r="G29" s="190">
        <v>728000000</v>
      </c>
      <c r="H29" s="190">
        <v>0</v>
      </c>
      <c r="I29" s="190">
        <v>3031115500</v>
      </c>
      <c r="J29" s="190">
        <v>1690860000</v>
      </c>
      <c r="K29" s="190">
        <v>567900000</v>
      </c>
      <c r="L29" s="190">
        <v>163400000</v>
      </c>
      <c r="M29" s="190">
        <v>4517846700</v>
      </c>
      <c r="N29" s="190">
        <v>2727837700</v>
      </c>
      <c r="O29" s="190">
        <v>1700587100</v>
      </c>
      <c r="P29" s="190">
        <v>1134137100</v>
      </c>
      <c r="Q29" s="190">
        <v>1080000000</v>
      </c>
      <c r="R29" s="190">
        <v>118000000</v>
      </c>
      <c r="S29" s="190">
        <v>0</v>
      </c>
      <c r="T29" s="190">
        <v>0</v>
      </c>
      <c r="U29" s="190">
        <v>480000000</v>
      </c>
      <c r="V29" s="190">
        <v>480000000</v>
      </c>
      <c r="W29" s="190">
        <v>0</v>
      </c>
      <c r="X29" s="190">
        <v>0</v>
      </c>
      <c r="Y29" s="190">
        <v>2200708400</v>
      </c>
      <c r="Z29" s="190">
        <v>2140708400</v>
      </c>
      <c r="AA29" s="190">
        <v>1920000000</v>
      </c>
      <c r="AB29" s="190">
        <v>0</v>
      </c>
      <c r="AC29" s="190">
        <v>3560800000</v>
      </c>
      <c r="AD29" s="190">
        <v>3516700000</v>
      </c>
      <c r="AE29" s="190">
        <v>2760700000</v>
      </c>
      <c r="AF29" s="190">
        <v>56370000</v>
      </c>
      <c r="AG29" s="190">
        <v>314600000</v>
      </c>
      <c r="AH29" s="190">
        <v>311600000</v>
      </c>
      <c r="AI29" s="190">
        <v>306600000</v>
      </c>
      <c r="AJ29" s="190">
        <v>0</v>
      </c>
      <c r="AK29" s="190">
        <v>635440000</v>
      </c>
      <c r="AL29" s="190">
        <v>36660000</v>
      </c>
      <c r="AM29" s="190">
        <v>29460000</v>
      </c>
      <c r="AN29" s="190">
        <v>0</v>
      </c>
      <c r="AO29" s="190">
        <v>60000000</v>
      </c>
      <c r="AP29" s="190">
        <v>0</v>
      </c>
      <c r="AQ29" s="190">
        <v>22500000</v>
      </c>
      <c r="AR29" s="190">
        <v>0</v>
      </c>
      <c r="AS29" s="190">
        <v>123000000</v>
      </c>
      <c r="AT29" s="190">
        <v>108000000</v>
      </c>
      <c r="AU29" s="190">
        <v>108000000</v>
      </c>
      <c r="AV29" s="190">
        <v>0</v>
      </c>
      <c r="AW29" s="190">
        <v>372022000</v>
      </c>
      <c r="AX29" s="190">
        <v>97500000</v>
      </c>
      <c r="AY29" s="190">
        <v>224029288</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row>
    <row r="30" spans="1:73" x14ac:dyDescent="0.25">
      <c r="A30" s="190" t="s">
        <v>246</v>
      </c>
      <c r="B30" s="190">
        <v>23854030618.84</v>
      </c>
      <c r="C30" s="190">
        <v>17025825636.959999</v>
      </c>
      <c r="D30" s="190">
        <v>8080410102.1800003</v>
      </c>
      <c r="E30" s="190">
        <v>29839624185.060001</v>
      </c>
      <c r="F30" s="190">
        <v>26745743257.07</v>
      </c>
      <c r="G30" s="190">
        <v>15737083003.75</v>
      </c>
      <c r="H30" s="190">
        <v>6536549545.5100002</v>
      </c>
      <c r="I30" s="190">
        <v>41383802322.529999</v>
      </c>
      <c r="J30" s="190">
        <v>33346061101.18</v>
      </c>
      <c r="K30" s="190">
        <v>25710882256.77</v>
      </c>
      <c r="L30" s="190">
        <v>9363233900.0100002</v>
      </c>
      <c r="M30" s="190">
        <v>30244386468.970001</v>
      </c>
      <c r="N30" s="190">
        <v>24240831169.759998</v>
      </c>
      <c r="O30" s="190">
        <v>12211845019.76</v>
      </c>
      <c r="P30" s="190">
        <v>2867000000</v>
      </c>
      <c r="Q30" s="190">
        <v>23934332690.610001</v>
      </c>
      <c r="R30" s="190">
        <v>18364434899.310001</v>
      </c>
      <c r="S30" s="190">
        <v>12584999464.57</v>
      </c>
      <c r="T30" s="190">
        <v>6448240508.1099997</v>
      </c>
      <c r="U30" s="190">
        <v>36026070042.519997</v>
      </c>
      <c r="V30" s="190">
        <v>28650678033.75</v>
      </c>
      <c r="W30" s="190">
        <v>19351497768.549999</v>
      </c>
      <c r="X30" s="190">
        <v>11732779598.610001</v>
      </c>
      <c r="Y30" s="190">
        <v>38699000855.199997</v>
      </c>
      <c r="Z30" s="190">
        <v>27911063334.400002</v>
      </c>
      <c r="AA30" s="190">
        <v>18825710064.099998</v>
      </c>
      <c r="AB30" s="190">
        <v>7414662622.8500004</v>
      </c>
      <c r="AC30" s="190">
        <v>32811271357.959999</v>
      </c>
      <c r="AD30" s="190">
        <v>19386219520.18</v>
      </c>
      <c r="AE30" s="190">
        <v>12719949779.23</v>
      </c>
      <c r="AF30" s="190">
        <v>9807299907.7900009</v>
      </c>
      <c r="AG30" s="190">
        <v>32497735688.139999</v>
      </c>
      <c r="AH30" s="190">
        <v>24757902549.709999</v>
      </c>
      <c r="AI30" s="190">
        <v>16445295534.77</v>
      </c>
      <c r="AJ30" s="190">
        <v>7311152744.3599997</v>
      </c>
      <c r="AK30" s="190">
        <v>29231541392.299999</v>
      </c>
      <c r="AL30" s="190">
        <v>3707340000</v>
      </c>
      <c r="AM30" s="190">
        <v>2390710000</v>
      </c>
      <c r="AN30" s="190">
        <v>1538210000</v>
      </c>
      <c r="AO30" s="190">
        <v>4951290000</v>
      </c>
      <c r="AP30" s="190">
        <v>3310000000</v>
      </c>
      <c r="AQ30" s="190">
        <v>2379000000</v>
      </c>
      <c r="AR30" s="190">
        <v>1033500000</v>
      </c>
      <c r="AS30" s="190">
        <v>4912800000</v>
      </c>
      <c r="AT30" s="190">
        <v>4112500000</v>
      </c>
      <c r="AU30" s="190">
        <v>2860000000</v>
      </c>
      <c r="AV30" s="190">
        <v>970800000</v>
      </c>
      <c r="AW30" s="190">
        <v>2176462142</v>
      </c>
      <c r="AX30" s="190">
        <v>1268022000</v>
      </c>
      <c r="AY30" s="190">
        <v>808022000</v>
      </c>
      <c r="AZ30" s="190">
        <v>200000000</v>
      </c>
      <c r="BA30" s="190">
        <v>1180000000</v>
      </c>
      <c r="BB30" s="190">
        <v>630000000</v>
      </c>
      <c r="BC30" s="190">
        <v>470000000</v>
      </c>
      <c r="BD30" s="190">
        <v>250000000</v>
      </c>
      <c r="BE30" s="190">
        <v>1488000000</v>
      </c>
      <c r="BF30" s="190">
        <v>1115500000</v>
      </c>
      <c r="BG30" s="190">
        <v>1035500000</v>
      </c>
      <c r="BH30" s="190">
        <v>440000000</v>
      </c>
      <c r="BI30" s="190">
        <v>440000000</v>
      </c>
      <c r="BJ30" s="190">
        <v>310000000</v>
      </c>
      <c r="BK30" s="190">
        <v>150000000</v>
      </c>
      <c r="BL30" s="190">
        <v>60000000</v>
      </c>
      <c r="BM30" s="190">
        <v>130000000</v>
      </c>
      <c r="BN30" s="190">
        <v>0</v>
      </c>
      <c r="BO30" s="190">
        <v>28000000</v>
      </c>
      <c r="BP30" s="190">
        <v>28000000</v>
      </c>
      <c r="BQ30" s="190">
        <v>81000000</v>
      </c>
      <c r="BR30" s="190">
        <v>64000000</v>
      </c>
      <c r="BS30" s="190">
        <v>74000000</v>
      </c>
      <c r="BT30" s="190">
        <v>20000000</v>
      </c>
      <c r="BU30" s="190">
        <v>0</v>
      </c>
    </row>
    <row r="31" spans="1:73" x14ac:dyDescent="0.25">
      <c r="A31" s="190" t="s">
        <v>247</v>
      </c>
      <c r="B31" s="190">
        <v>0</v>
      </c>
      <c r="C31" s="190">
        <v>0</v>
      </c>
      <c r="D31" s="190">
        <v>0</v>
      </c>
      <c r="E31" s="190">
        <v>0</v>
      </c>
      <c r="F31" s="190">
        <v>0</v>
      </c>
      <c r="G31" s="190">
        <v>0</v>
      </c>
      <c r="H31" s="190">
        <v>0</v>
      </c>
      <c r="I31" s="190">
        <v>1198920000</v>
      </c>
      <c r="J31" s="190">
        <v>0</v>
      </c>
      <c r="K31" s="190">
        <v>0</v>
      </c>
      <c r="L31" s="190">
        <v>0</v>
      </c>
      <c r="M31" s="190">
        <v>0</v>
      </c>
      <c r="N31" s="190">
        <v>0</v>
      </c>
      <c r="O31" s="190">
        <v>0</v>
      </c>
      <c r="P31" s="190">
        <v>0</v>
      </c>
      <c r="Q31" s="190">
        <v>0</v>
      </c>
      <c r="R31" s="190">
        <v>1796057400</v>
      </c>
      <c r="S31" s="190">
        <v>1796057400</v>
      </c>
      <c r="T31" s="190">
        <v>1796057400</v>
      </c>
      <c r="U31" s="190">
        <v>0</v>
      </c>
      <c r="V31" s="190">
        <v>0</v>
      </c>
      <c r="W31" s="190">
        <v>0</v>
      </c>
      <c r="X31" s="190">
        <v>0</v>
      </c>
      <c r="Y31" s="190">
        <v>0</v>
      </c>
      <c r="Z31" s="190">
        <v>0</v>
      </c>
      <c r="AA31" s="190">
        <v>0</v>
      </c>
      <c r="AB31" s="190">
        <v>0</v>
      </c>
      <c r="AC31" s="190">
        <v>0</v>
      </c>
      <c r="AD31" s="190">
        <v>4566000000</v>
      </c>
      <c r="AE31" s="190">
        <v>4566000000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row>
    <row r="32" spans="1:73" x14ac:dyDescent="0.25">
      <c r="A32" s="190" t="s">
        <v>248</v>
      </c>
      <c r="B32" s="190">
        <v>23574526.940000001</v>
      </c>
      <c r="C32" s="190">
        <v>13814333.84</v>
      </c>
      <c r="D32" s="190">
        <v>6431006.46</v>
      </c>
      <c r="E32" s="190">
        <v>26780575.649999999</v>
      </c>
      <c r="F32" s="190">
        <v>17849283.539999999</v>
      </c>
      <c r="G32" s="190">
        <v>10433704.4</v>
      </c>
      <c r="H32" s="190">
        <v>4516622.1900000004</v>
      </c>
      <c r="I32" s="190">
        <v>400060302.37</v>
      </c>
      <c r="J32" s="190">
        <v>27098656.739999998</v>
      </c>
      <c r="K32" s="190">
        <v>10046352.07</v>
      </c>
      <c r="L32" s="190">
        <v>4353823.47</v>
      </c>
      <c r="M32" s="190">
        <v>25632546.84</v>
      </c>
      <c r="N32" s="190">
        <v>20585080.739999998</v>
      </c>
      <c r="O32" s="190">
        <v>26828121.149999999</v>
      </c>
      <c r="P32" s="190">
        <v>5790659.5300000003</v>
      </c>
      <c r="Q32" s="190">
        <v>52838109.530000001</v>
      </c>
      <c r="R32" s="190">
        <v>49860627.530000001</v>
      </c>
      <c r="S32" s="190">
        <v>20787847.73</v>
      </c>
      <c r="T32" s="190">
        <v>12081148.75</v>
      </c>
      <c r="U32" s="190">
        <v>104455911.78</v>
      </c>
      <c r="V32" s="190">
        <v>98694638.840000004</v>
      </c>
      <c r="W32" s="190">
        <v>15366255.42</v>
      </c>
      <c r="X32" s="190">
        <v>8134028.79</v>
      </c>
      <c r="Y32" s="190">
        <v>174673764.81999999</v>
      </c>
      <c r="Z32" s="190">
        <v>147222827.03999999</v>
      </c>
      <c r="AA32" s="190">
        <v>2730000</v>
      </c>
      <c r="AB32" s="190">
        <v>3770947.58</v>
      </c>
      <c r="AC32" s="190">
        <v>152842723.22</v>
      </c>
      <c r="AD32" s="190">
        <v>129109204.81999999</v>
      </c>
      <c r="AE32" s="190">
        <v>3084670.93</v>
      </c>
      <c r="AF32" s="190">
        <v>1316474.98</v>
      </c>
      <c r="AG32" s="190">
        <v>208880727.11000001</v>
      </c>
      <c r="AH32" s="190">
        <v>167790955.5</v>
      </c>
      <c r="AI32" s="190">
        <v>4455925.9000000004</v>
      </c>
      <c r="AJ32" s="190">
        <v>0</v>
      </c>
      <c r="AK32" s="190">
        <v>155138933.59999999</v>
      </c>
      <c r="AL32" s="190">
        <v>0</v>
      </c>
      <c r="AM32" s="190">
        <v>0</v>
      </c>
      <c r="AN32" s="190">
        <v>48394.51</v>
      </c>
      <c r="AO32" s="190">
        <v>10017500</v>
      </c>
      <c r="AP32" s="190">
        <v>256947.33</v>
      </c>
      <c r="AQ32" s="190">
        <v>195894.43</v>
      </c>
      <c r="AR32" s="190">
        <v>109283.5</v>
      </c>
      <c r="AS32" s="190">
        <v>5977757.4699999997</v>
      </c>
      <c r="AT32" s="190">
        <v>282174.08000000002</v>
      </c>
      <c r="AU32" s="190">
        <v>125173.52</v>
      </c>
      <c r="AV32" s="190">
        <v>52503.18</v>
      </c>
      <c r="AW32" s="190">
        <v>291307.58</v>
      </c>
      <c r="AX32" s="190">
        <v>123425.2</v>
      </c>
      <c r="AY32" s="190">
        <v>64597.05</v>
      </c>
      <c r="AZ32" s="190">
        <v>19049.68</v>
      </c>
      <c r="BA32" s="190">
        <v>0</v>
      </c>
      <c r="BB32" s="190">
        <v>146181.04999999999</v>
      </c>
      <c r="BC32" s="190">
        <v>103858.93</v>
      </c>
      <c r="BD32" s="190">
        <v>42743.53</v>
      </c>
      <c r="BE32" s="190">
        <v>0</v>
      </c>
      <c r="BF32" s="190">
        <v>180248.95999999999</v>
      </c>
      <c r="BG32" s="190">
        <v>109125.18</v>
      </c>
      <c r="BH32" s="190">
        <v>50326.17</v>
      </c>
      <c r="BI32" s="190">
        <v>29295900.079999998</v>
      </c>
      <c r="BJ32" s="190">
        <v>222920.4</v>
      </c>
      <c r="BK32" s="190">
        <v>159729.44</v>
      </c>
      <c r="BL32" s="190">
        <v>95154.33</v>
      </c>
      <c r="BM32" s="190">
        <v>88831.57</v>
      </c>
      <c r="BN32" s="190">
        <v>0</v>
      </c>
      <c r="BO32" s="190">
        <v>0</v>
      </c>
      <c r="BP32" s="190">
        <v>0</v>
      </c>
      <c r="BQ32" s="190">
        <v>0</v>
      </c>
      <c r="BR32" s="190">
        <v>0</v>
      </c>
      <c r="BS32" s="190">
        <v>496402.66</v>
      </c>
      <c r="BT32" s="190">
        <v>0</v>
      </c>
      <c r="BU32" s="190">
        <v>0</v>
      </c>
    </row>
    <row r="33" spans="1:73" x14ac:dyDescent="0.25">
      <c r="A33" s="190" t="s">
        <v>249</v>
      </c>
      <c r="B33" s="190">
        <v>29031315145.779999</v>
      </c>
      <c r="C33" s="190">
        <v>19615239970.799999</v>
      </c>
      <c r="D33" s="190">
        <v>8086841108.6400003</v>
      </c>
      <c r="E33" s="190">
        <v>31820514760.709999</v>
      </c>
      <c r="F33" s="190">
        <v>28285702540.610001</v>
      </c>
      <c r="G33" s="190">
        <v>16475516708.15</v>
      </c>
      <c r="H33" s="190">
        <v>6541066167.6999998</v>
      </c>
      <c r="I33" s="190">
        <v>46013898134.349998</v>
      </c>
      <c r="J33" s="190">
        <v>35064019767.080002</v>
      </c>
      <c r="K33" s="190">
        <v>26288828618.200001</v>
      </c>
      <c r="L33" s="190">
        <v>9530987723.4799995</v>
      </c>
      <c r="M33" s="190">
        <v>34787865715.809998</v>
      </c>
      <c r="N33" s="190">
        <v>26989253950.5</v>
      </c>
      <c r="O33" s="190">
        <v>13939260240.91</v>
      </c>
      <c r="P33" s="190">
        <v>4006927759.5300002</v>
      </c>
      <c r="Q33" s="190">
        <v>25067170800.139999</v>
      </c>
      <c r="R33" s="190">
        <v>20328352926.84</v>
      </c>
      <c r="S33" s="190">
        <v>14401844712.299999</v>
      </c>
      <c r="T33" s="190">
        <v>8256379056.8599997</v>
      </c>
      <c r="U33" s="190">
        <v>36610525954.300003</v>
      </c>
      <c r="V33" s="190">
        <v>29229372672.59</v>
      </c>
      <c r="W33" s="190">
        <v>19366864023.970001</v>
      </c>
      <c r="X33" s="190">
        <v>11740913627.4</v>
      </c>
      <c r="Y33" s="190">
        <v>41074383020.019997</v>
      </c>
      <c r="Z33" s="190">
        <v>30198994561.439999</v>
      </c>
      <c r="AA33" s="190">
        <v>20748440064.099998</v>
      </c>
      <c r="AB33" s="190">
        <v>7418433570.4300003</v>
      </c>
      <c r="AC33" s="190">
        <v>38736944081.18</v>
      </c>
      <c r="AD33" s="190">
        <v>27598028725</v>
      </c>
      <c r="AE33" s="190">
        <v>20049734450.16</v>
      </c>
      <c r="AF33" s="190">
        <v>9864986382.7700005</v>
      </c>
      <c r="AG33" s="190">
        <v>33021216415.25</v>
      </c>
      <c r="AH33" s="190">
        <v>25237293505.209999</v>
      </c>
      <c r="AI33" s="190">
        <v>16756351460.67</v>
      </c>
      <c r="AJ33" s="190">
        <v>7311152744.3599997</v>
      </c>
      <c r="AK33" s="190">
        <v>30022120325.900002</v>
      </c>
      <c r="AL33" s="190">
        <v>3744000000</v>
      </c>
      <c r="AM33" s="190">
        <v>2420170000</v>
      </c>
      <c r="AN33" s="190">
        <v>1547258394.51</v>
      </c>
      <c r="AO33" s="190">
        <v>5021307500</v>
      </c>
      <c r="AP33" s="190">
        <v>3339756947.3299999</v>
      </c>
      <c r="AQ33" s="190">
        <v>2401695894.4299998</v>
      </c>
      <c r="AR33" s="190">
        <v>1033609283.5</v>
      </c>
      <c r="AS33" s="190">
        <v>6506070625.5900002</v>
      </c>
      <c r="AT33" s="190">
        <v>5685075042.1999998</v>
      </c>
      <c r="AU33" s="190">
        <v>2968125173.52</v>
      </c>
      <c r="AV33" s="190">
        <v>970852503.17999995</v>
      </c>
      <c r="AW33" s="190">
        <v>4523054737.5799999</v>
      </c>
      <c r="AX33" s="190">
        <v>2930924713.1999998</v>
      </c>
      <c r="AY33" s="190">
        <v>1032115885.05</v>
      </c>
      <c r="AZ33" s="190">
        <v>348048337.68000001</v>
      </c>
      <c r="BA33" s="190">
        <v>1195000000</v>
      </c>
      <c r="BB33" s="190">
        <v>650146181.04999995</v>
      </c>
      <c r="BC33" s="190">
        <v>477603858.93000001</v>
      </c>
      <c r="BD33" s="190">
        <v>250042743.53</v>
      </c>
      <c r="BE33" s="190">
        <v>1512000000</v>
      </c>
      <c r="BF33" s="190">
        <v>1127680248.96</v>
      </c>
      <c r="BG33" s="190">
        <v>1047609125.1799999</v>
      </c>
      <c r="BH33" s="190">
        <v>440050326.17000002</v>
      </c>
      <c r="BI33" s="190">
        <v>469295900.07999998</v>
      </c>
      <c r="BJ33" s="190">
        <v>310222920.39999998</v>
      </c>
      <c r="BK33" s="190">
        <v>150159729.44</v>
      </c>
      <c r="BL33" s="190">
        <v>60095154.329999998</v>
      </c>
      <c r="BM33" s="190">
        <v>155588831.56999999</v>
      </c>
      <c r="BN33" s="190">
        <v>0</v>
      </c>
      <c r="BO33" s="190">
        <v>28000000</v>
      </c>
      <c r="BP33" s="190">
        <v>28000000</v>
      </c>
      <c r="BQ33" s="190">
        <v>81000000</v>
      </c>
      <c r="BR33" s="190">
        <v>64000000</v>
      </c>
      <c r="BS33" s="190">
        <v>74496402.659999996</v>
      </c>
      <c r="BT33" s="190">
        <v>219040105</v>
      </c>
      <c r="BU33" s="190">
        <v>0</v>
      </c>
    </row>
    <row r="34" spans="1:73" x14ac:dyDescent="0.25">
      <c r="A34" s="190" t="s">
        <v>250</v>
      </c>
      <c r="B34" s="190">
        <v>20237174899.23</v>
      </c>
      <c r="C34" s="190">
        <v>11629060112.52</v>
      </c>
      <c r="D34" s="190">
        <v>4938288773.0699997</v>
      </c>
      <c r="E34" s="190">
        <v>27239374164.630001</v>
      </c>
      <c r="F34" s="190">
        <v>22872798645.740002</v>
      </c>
      <c r="G34" s="190">
        <v>13119265547.9</v>
      </c>
      <c r="H34" s="190">
        <v>6121857702.5900002</v>
      </c>
      <c r="I34" s="190">
        <v>31887611235.619999</v>
      </c>
      <c r="J34" s="190">
        <v>23880182530.389999</v>
      </c>
      <c r="K34" s="190">
        <v>17428050116.860001</v>
      </c>
      <c r="L34" s="190">
        <v>6935158601.4700003</v>
      </c>
      <c r="M34" s="190">
        <v>30338619993.759998</v>
      </c>
      <c r="N34" s="190">
        <v>24493917157.889999</v>
      </c>
      <c r="O34" s="190">
        <v>11660129730.940001</v>
      </c>
      <c r="P34" s="190">
        <v>3983217998.6399999</v>
      </c>
      <c r="Q34" s="190">
        <v>19445428568.77</v>
      </c>
      <c r="R34" s="190">
        <v>13638268830.059999</v>
      </c>
      <c r="S34" s="190">
        <v>7951904928.9300003</v>
      </c>
      <c r="T34" s="190">
        <v>4545835530.9099998</v>
      </c>
      <c r="U34" s="190">
        <v>28601334092.52</v>
      </c>
      <c r="V34" s="190">
        <v>22961182737.540001</v>
      </c>
      <c r="W34" s="190">
        <v>14062233896.32</v>
      </c>
      <c r="X34" s="190">
        <v>7300918546.71</v>
      </c>
      <c r="Y34" s="190">
        <v>22160489579.16</v>
      </c>
      <c r="Z34" s="190">
        <v>18587591771.73</v>
      </c>
      <c r="AA34" s="190">
        <v>10734892374.690001</v>
      </c>
      <c r="AB34" s="190">
        <v>4104731723.3400002</v>
      </c>
      <c r="AC34" s="190">
        <v>18562720369.32</v>
      </c>
      <c r="AD34" s="190">
        <v>14941317385.139999</v>
      </c>
      <c r="AE34" s="190">
        <v>10416368327.610001</v>
      </c>
      <c r="AF34" s="190">
        <v>4144652927.1399999</v>
      </c>
      <c r="AG34" s="190">
        <v>21233643479.720001</v>
      </c>
      <c r="AH34" s="190">
        <v>16491288776.790001</v>
      </c>
      <c r="AI34" s="190">
        <v>10964018151.870001</v>
      </c>
      <c r="AJ34" s="190">
        <v>5162462204.8000002</v>
      </c>
      <c r="AK34" s="190">
        <v>19979698885.459999</v>
      </c>
      <c r="AL34" s="190">
        <v>3628835406.0900002</v>
      </c>
      <c r="AM34" s="190">
        <v>2512276093.1300001</v>
      </c>
      <c r="AN34" s="190">
        <v>1437869963.26</v>
      </c>
      <c r="AO34" s="190">
        <v>4112320000</v>
      </c>
      <c r="AP34" s="190">
        <v>2629320000</v>
      </c>
      <c r="AQ34" s="190">
        <v>1916820000</v>
      </c>
      <c r="AR34" s="190">
        <v>883320000</v>
      </c>
      <c r="AS34" s="190">
        <v>5182513631.4300003</v>
      </c>
      <c r="AT34" s="190">
        <v>4673085568.5299997</v>
      </c>
      <c r="AU34" s="190">
        <v>2758285568.5300002</v>
      </c>
      <c r="AV34" s="190">
        <v>617385568.52999997</v>
      </c>
      <c r="AW34" s="190">
        <v>2328736009.0300002</v>
      </c>
      <c r="AX34" s="190">
        <v>1217310000</v>
      </c>
      <c r="AY34" s="190">
        <v>777310000</v>
      </c>
      <c r="AZ34" s="190">
        <v>242000000</v>
      </c>
      <c r="BA34" s="190">
        <v>1291927124.3</v>
      </c>
      <c r="BB34" s="190">
        <v>856631669</v>
      </c>
      <c r="BC34" s="190">
        <v>658413101.61000001</v>
      </c>
      <c r="BD34" s="190">
        <v>200000000</v>
      </c>
      <c r="BE34" s="190">
        <v>881737160</v>
      </c>
      <c r="BF34" s="190">
        <v>722003602</v>
      </c>
      <c r="BG34" s="190">
        <v>481523602</v>
      </c>
      <c r="BH34" s="190">
        <v>90410000</v>
      </c>
      <c r="BI34" s="190">
        <v>721147402</v>
      </c>
      <c r="BJ34" s="190">
        <v>621883734</v>
      </c>
      <c r="BK34" s="190">
        <v>421473734</v>
      </c>
      <c r="BL34" s="190">
        <v>84240000</v>
      </c>
      <c r="BM34" s="190">
        <v>225522864.78</v>
      </c>
      <c r="BN34" s="190">
        <v>0</v>
      </c>
      <c r="BO34" s="190">
        <v>103000000</v>
      </c>
      <c r="BP34" s="190">
        <v>91000000</v>
      </c>
      <c r="BQ34" s="190">
        <v>168000000</v>
      </c>
      <c r="BR34" s="190">
        <v>123000000</v>
      </c>
      <c r="BS34" s="190">
        <v>45000000</v>
      </c>
      <c r="BT34" s="190">
        <v>0</v>
      </c>
      <c r="BU34" s="190">
        <v>0</v>
      </c>
    </row>
    <row r="35" spans="1:73" x14ac:dyDescent="0.25">
      <c r="A35" s="190" t="s">
        <v>551</v>
      </c>
      <c r="B35" s="190">
        <v>7907986769.3000002</v>
      </c>
      <c r="C35" s="190">
        <v>5225331208.6700001</v>
      </c>
      <c r="D35" s="190">
        <v>1612756571.4100001</v>
      </c>
      <c r="E35" s="190">
        <v>10646107824.08</v>
      </c>
      <c r="F35" s="190">
        <v>9167691582.6299992</v>
      </c>
      <c r="G35" s="190">
        <v>4206398459.6700001</v>
      </c>
      <c r="H35" s="190">
        <v>1590367642.4100001</v>
      </c>
      <c r="I35" s="190">
        <v>11448063630.219999</v>
      </c>
      <c r="J35" s="190">
        <v>8745378609.3400002</v>
      </c>
      <c r="K35" s="190">
        <v>5316511778.4499998</v>
      </c>
      <c r="L35" s="190">
        <v>1641696938.1500001</v>
      </c>
      <c r="M35" s="190">
        <v>12827097372.52</v>
      </c>
      <c r="N35" s="190">
        <v>10019959182.799999</v>
      </c>
      <c r="O35" s="190">
        <v>7159172631.5500002</v>
      </c>
      <c r="P35" s="190">
        <v>1802995800.1900001</v>
      </c>
      <c r="Q35" s="190">
        <v>9951287379.4500008</v>
      </c>
      <c r="R35" s="190">
        <v>7949402694.3199997</v>
      </c>
      <c r="S35" s="190">
        <v>5588361727.3800001</v>
      </c>
      <c r="T35" s="190">
        <v>1711994271.29</v>
      </c>
      <c r="U35" s="190">
        <v>8347564539.3500004</v>
      </c>
      <c r="V35" s="190">
        <v>6139742877.2200003</v>
      </c>
      <c r="W35" s="190">
        <v>4575914509.3299999</v>
      </c>
      <c r="X35" s="190">
        <v>1791644338.8399999</v>
      </c>
      <c r="Y35" s="190">
        <v>6211630911.1000004</v>
      </c>
      <c r="Z35" s="190">
        <v>4550535263.4799995</v>
      </c>
      <c r="AA35" s="190">
        <v>3165686128.3099999</v>
      </c>
      <c r="AB35" s="190">
        <v>1376204707.1400001</v>
      </c>
      <c r="AC35" s="190">
        <v>5315083293.8900003</v>
      </c>
      <c r="AD35" s="190">
        <v>3950929664.0799999</v>
      </c>
      <c r="AE35" s="190">
        <v>2745041212.3200002</v>
      </c>
      <c r="AF35" s="190">
        <v>1019018372.36</v>
      </c>
      <c r="AG35" s="190">
        <v>4464419747.3900003</v>
      </c>
      <c r="AH35" s="190">
        <v>3521049562.4899998</v>
      </c>
      <c r="AI35" s="190">
        <v>2398703952.8899999</v>
      </c>
      <c r="AJ35" s="190">
        <v>928597136.23000002</v>
      </c>
      <c r="AK35" s="190">
        <v>3912246310.73</v>
      </c>
      <c r="AL35" s="190">
        <v>956287702.01999998</v>
      </c>
      <c r="AM35" s="190">
        <v>730748734.77999997</v>
      </c>
      <c r="AN35" s="190">
        <v>166401482.12</v>
      </c>
      <c r="AO35" s="190">
        <v>1141736534.5999999</v>
      </c>
      <c r="AP35" s="190">
        <v>870565462.96000004</v>
      </c>
      <c r="AQ35" s="190">
        <v>683093337.10000002</v>
      </c>
      <c r="AR35" s="190">
        <v>248788831.77000001</v>
      </c>
      <c r="AS35" s="190">
        <v>1333909945.79</v>
      </c>
      <c r="AT35" s="190">
        <v>968867201.75</v>
      </c>
      <c r="AU35" s="190">
        <v>722037239.01999998</v>
      </c>
      <c r="AV35" s="190">
        <v>244181254.52000001</v>
      </c>
      <c r="AW35" s="190">
        <v>636465393.46000004</v>
      </c>
      <c r="AX35" s="190">
        <v>497852070.95999998</v>
      </c>
      <c r="AY35" s="190">
        <v>371662402.5</v>
      </c>
      <c r="AZ35" s="190">
        <v>91863708.269999996</v>
      </c>
      <c r="BA35" s="190">
        <v>770732808.53999996</v>
      </c>
      <c r="BB35" s="190">
        <v>370290642.63</v>
      </c>
      <c r="BC35" s="190">
        <v>290643259.72000003</v>
      </c>
      <c r="BD35" s="190">
        <v>110041137.77</v>
      </c>
      <c r="BE35" s="190">
        <v>420909518.76999998</v>
      </c>
      <c r="BF35" s="190">
        <v>288521731.20999998</v>
      </c>
      <c r="BG35" s="190">
        <v>179971802.77000001</v>
      </c>
      <c r="BH35" s="190">
        <v>149929840.18000001</v>
      </c>
      <c r="BI35" s="190">
        <v>243040644.53999999</v>
      </c>
      <c r="BJ35" s="190">
        <v>307242504.5</v>
      </c>
      <c r="BK35" s="190">
        <v>132377378.98999999</v>
      </c>
      <c r="BL35" s="190">
        <v>40884211.5</v>
      </c>
      <c r="BM35" s="190">
        <v>36475508.68</v>
      </c>
      <c r="BN35" s="190">
        <v>0</v>
      </c>
      <c r="BO35" s="190">
        <v>2180750</v>
      </c>
      <c r="BP35" s="190">
        <v>1868262.5</v>
      </c>
      <c r="BQ35" s="190">
        <v>7695265</v>
      </c>
      <c r="BR35" s="190">
        <v>4596566.63</v>
      </c>
      <c r="BS35" s="190">
        <v>10389909.789999999</v>
      </c>
      <c r="BT35" s="190">
        <v>19286436.18</v>
      </c>
      <c r="BU35" s="190">
        <v>0</v>
      </c>
    </row>
    <row r="36" spans="1:73" x14ac:dyDescent="0.25">
      <c r="A36" s="190" t="s">
        <v>251</v>
      </c>
      <c r="B36" s="190">
        <v>2201791395.0599999</v>
      </c>
      <c r="C36" s="190">
        <v>2200154824.9299998</v>
      </c>
      <c r="D36" s="190">
        <v>105142893.55</v>
      </c>
      <c r="E36" s="190">
        <v>3355415599.9699998</v>
      </c>
      <c r="F36" s="190">
        <v>2622930176.1599998</v>
      </c>
      <c r="G36" s="190">
        <v>1250130176.1600001</v>
      </c>
      <c r="H36" s="190">
        <v>128195000</v>
      </c>
      <c r="I36" s="190">
        <v>3720696087.48</v>
      </c>
      <c r="J36" s="190">
        <v>2509645815.8099999</v>
      </c>
      <c r="K36" s="190">
        <v>1398645707.6400001</v>
      </c>
      <c r="L36" s="190">
        <v>119000000</v>
      </c>
      <c r="M36" s="190">
        <v>3965234317.3800001</v>
      </c>
      <c r="N36" s="190">
        <v>2718759009.46</v>
      </c>
      <c r="O36" s="190">
        <v>1842896658.1900001</v>
      </c>
      <c r="P36" s="190">
        <v>70000000</v>
      </c>
      <c r="Q36" s="190">
        <v>1946911716.2</v>
      </c>
      <c r="R36" s="190">
        <v>1614980114.1900001</v>
      </c>
      <c r="S36" s="190">
        <v>1161054002.49</v>
      </c>
      <c r="T36" s="190">
        <v>78660000</v>
      </c>
      <c r="U36" s="190">
        <v>975189907.08000004</v>
      </c>
      <c r="V36" s="190">
        <v>972612194.72000003</v>
      </c>
      <c r="W36" s="190">
        <v>966085378.02999997</v>
      </c>
      <c r="X36" s="190">
        <v>230000000</v>
      </c>
      <c r="Y36" s="190">
        <v>444086184.38</v>
      </c>
      <c r="Z36" s="190">
        <v>310290132.06</v>
      </c>
      <c r="AA36" s="190">
        <v>310290132.06</v>
      </c>
      <c r="AB36" s="190">
        <v>40000000</v>
      </c>
      <c r="AC36" s="190">
        <v>774904307.27999997</v>
      </c>
      <c r="AD36" s="190">
        <v>648147607.27999997</v>
      </c>
      <c r="AE36" s="190">
        <v>617940507.27999997</v>
      </c>
      <c r="AF36" s="190">
        <v>0</v>
      </c>
      <c r="AG36" s="190">
        <v>769436339.97000003</v>
      </c>
      <c r="AH36" s="190">
        <v>220409142.25</v>
      </c>
      <c r="AI36" s="190">
        <v>715859939.97000003</v>
      </c>
      <c r="AJ36" s="190">
        <v>0</v>
      </c>
      <c r="AK36" s="190">
        <v>285393220.58999997</v>
      </c>
      <c r="AL36" s="190">
        <v>165850220.59</v>
      </c>
      <c r="AM36" s="190">
        <v>82300220.590000004</v>
      </c>
      <c r="AN36" s="190">
        <v>0</v>
      </c>
      <c r="AO36" s="190">
        <v>297222920.06999999</v>
      </c>
      <c r="AP36" s="190">
        <v>0</v>
      </c>
      <c r="AQ36" s="190">
        <v>214340920.06999999</v>
      </c>
      <c r="AR36" s="190">
        <v>80351360</v>
      </c>
      <c r="AS36" s="190">
        <v>491293418.07999998</v>
      </c>
      <c r="AT36" s="190">
        <v>365850515.11000001</v>
      </c>
      <c r="AU36" s="190">
        <v>284850515.11000001</v>
      </c>
      <c r="AV36" s="190">
        <v>0</v>
      </c>
      <c r="AW36" s="190">
        <v>171459493.55000001</v>
      </c>
      <c r="AX36" s="190">
        <v>184252504.36000001</v>
      </c>
      <c r="AY36" s="190">
        <v>139652504.36000001</v>
      </c>
      <c r="AZ36" s="190">
        <v>0</v>
      </c>
      <c r="BA36" s="190">
        <v>0</v>
      </c>
      <c r="BB36" s="190">
        <v>0</v>
      </c>
      <c r="BC36" s="190">
        <v>70000000</v>
      </c>
      <c r="BD36" s="190">
        <v>0</v>
      </c>
      <c r="BE36" s="190">
        <v>139500000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row>
    <row r="37" spans="1:73" x14ac:dyDescent="0.25">
      <c r="A37" s="190" t="s">
        <v>252</v>
      </c>
      <c r="B37" s="190">
        <v>57938092.82</v>
      </c>
      <c r="C37" s="190">
        <v>46445131.369999997</v>
      </c>
      <c r="D37" s="190">
        <v>36892630.799999997</v>
      </c>
      <c r="E37" s="190">
        <v>73350443.480000004</v>
      </c>
      <c r="F37" s="190">
        <v>70688687.019999996</v>
      </c>
      <c r="G37" s="190">
        <v>55377557.659999996</v>
      </c>
      <c r="H37" s="190">
        <v>56694441.369999997</v>
      </c>
      <c r="I37" s="190">
        <v>236440600.53999999</v>
      </c>
      <c r="J37" s="190">
        <v>57236064.670000002</v>
      </c>
      <c r="K37" s="190">
        <v>53506818.240000002</v>
      </c>
      <c r="L37" s="190">
        <v>33249272.68</v>
      </c>
      <c r="M37" s="190">
        <v>78801653.609999999</v>
      </c>
      <c r="N37" s="190">
        <v>41702711.07</v>
      </c>
      <c r="O37" s="190">
        <v>37868591</v>
      </c>
      <c r="P37" s="190">
        <v>34592666.420000002</v>
      </c>
      <c r="Q37" s="190">
        <v>84073209.609999999</v>
      </c>
      <c r="R37" s="190">
        <v>70928573.579999998</v>
      </c>
      <c r="S37" s="190">
        <v>65894092.990000002</v>
      </c>
      <c r="T37" s="190">
        <v>46694647.600000001</v>
      </c>
      <c r="U37" s="190">
        <v>164377740.66</v>
      </c>
      <c r="V37" s="190">
        <v>168546484.24000001</v>
      </c>
      <c r="W37" s="190">
        <v>161699149.97</v>
      </c>
      <c r="X37" s="190">
        <v>139724711.33000001</v>
      </c>
      <c r="Y37" s="190">
        <v>109656872.17</v>
      </c>
      <c r="Z37" s="190">
        <v>46405973.5</v>
      </c>
      <c r="AA37" s="190">
        <v>28376487.07</v>
      </c>
      <c r="AB37" s="190">
        <v>926548.36</v>
      </c>
      <c r="AC37" s="190">
        <v>96668404.379999995</v>
      </c>
      <c r="AD37" s="190">
        <v>87891771.189999998</v>
      </c>
      <c r="AE37" s="190">
        <v>20659422.219999999</v>
      </c>
      <c r="AF37" s="190">
        <v>2079404.3</v>
      </c>
      <c r="AG37" s="190">
        <v>43338598.909999996</v>
      </c>
      <c r="AH37" s="190">
        <v>25871525.640000001</v>
      </c>
      <c r="AI37" s="190">
        <v>4245023.6500000004</v>
      </c>
      <c r="AJ37" s="190">
        <v>2509744.08</v>
      </c>
      <c r="AK37" s="190">
        <v>65786587.759999998</v>
      </c>
      <c r="AL37" s="190">
        <v>1063600</v>
      </c>
      <c r="AM37" s="190">
        <v>4800</v>
      </c>
      <c r="AN37" s="190">
        <v>11578.12</v>
      </c>
      <c r="AO37" s="190">
        <v>937500</v>
      </c>
      <c r="AP37" s="190">
        <v>129837.83</v>
      </c>
      <c r="AQ37" s="190">
        <v>35844.870000000003</v>
      </c>
      <c r="AR37" s="190">
        <v>7781.4</v>
      </c>
      <c r="AS37" s="190">
        <v>2045280.47</v>
      </c>
      <c r="AT37" s="190">
        <v>7886527.3300000001</v>
      </c>
      <c r="AU37" s="190">
        <v>434508.99</v>
      </c>
      <c r="AV37" s="190">
        <v>3928.97</v>
      </c>
      <c r="AW37" s="190">
        <v>2987118.38</v>
      </c>
      <c r="AX37" s="190">
        <v>2976509.68</v>
      </c>
      <c r="AY37" s="190">
        <v>349269.91</v>
      </c>
      <c r="AZ37" s="190">
        <v>12739.06</v>
      </c>
      <c r="BA37" s="190">
        <v>307104.56</v>
      </c>
      <c r="BB37" s="190">
        <v>217482.02</v>
      </c>
      <c r="BC37" s="190">
        <v>331792</v>
      </c>
      <c r="BD37" s="190">
        <v>3494.8</v>
      </c>
      <c r="BE37" s="190">
        <v>87248800</v>
      </c>
      <c r="BF37" s="190">
        <v>654188.67000000004</v>
      </c>
      <c r="BG37" s="190">
        <v>50020265.670000002</v>
      </c>
      <c r="BH37" s="190">
        <v>3301.3</v>
      </c>
      <c r="BI37" s="190">
        <v>10815.56</v>
      </c>
      <c r="BJ37" s="190">
        <v>7676.76</v>
      </c>
      <c r="BK37" s="190">
        <v>5710.46</v>
      </c>
      <c r="BL37" s="190">
        <v>3553.5</v>
      </c>
      <c r="BM37" s="190">
        <v>22500000</v>
      </c>
      <c r="BN37" s="190">
        <v>0</v>
      </c>
      <c r="BO37" s="190">
        <v>0</v>
      </c>
      <c r="BP37" s="190">
        <v>5000</v>
      </c>
      <c r="BQ37" s="190">
        <v>0</v>
      </c>
      <c r="BR37" s="190">
        <v>0</v>
      </c>
      <c r="BS37" s="190">
        <v>0</v>
      </c>
      <c r="BT37" s="190">
        <v>2730000</v>
      </c>
      <c r="BU37" s="190">
        <v>0</v>
      </c>
    </row>
    <row r="38" spans="1:73" x14ac:dyDescent="0.25">
      <c r="A38" s="190" t="s">
        <v>253</v>
      </c>
      <c r="B38" s="190">
        <v>28203099761.349998</v>
      </c>
      <c r="C38" s="190">
        <v>16900836452.559999</v>
      </c>
      <c r="D38" s="190">
        <v>6587937975.2799997</v>
      </c>
      <c r="E38" s="190">
        <v>37958832432.190002</v>
      </c>
      <c r="F38" s="190">
        <v>32111178915.389999</v>
      </c>
      <c r="G38" s="190">
        <v>17381041565.23</v>
      </c>
      <c r="H38" s="190">
        <v>7768919786.3699999</v>
      </c>
      <c r="I38" s="190">
        <v>43572115466.379997</v>
      </c>
      <c r="J38" s="190">
        <v>32682797204.400002</v>
      </c>
      <c r="K38" s="190">
        <v>22798068713.549999</v>
      </c>
      <c r="L38" s="190">
        <v>8610104812.2999992</v>
      </c>
      <c r="M38" s="190">
        <v>43244519019.889999</v>
      </c>
      <c r="N38" s="190">
        <v>34555579051.760002</v>
      </c>
      <c r="O38" s="190">
        <v>18857170953.490002</v>
      </c>
      <c r="P38" s="190">
        <v>5820806465.25</v>
      </c>
      <c r="Q38" s="190">
        <v>29480789157.830002</v>
      </c>
      <c r="R38" s="190">
        <v>21658600097.959999</v>
      </c>
      <c r="S38" s="190">
        <v>13606160749.299999</v>
      </c>
      <c r="T38" s="190">
        <v>6304524449.8000002</v>
      </c>
      <c r="U38" s="190">
        <v>37113276372.529999</v>
      </c>
      <c r="V38" s="190">
        <v>29269472099</v>
      </c>
      <c r="W38" s="190">
        <v>18799847555.619999</v>
      </c>
      <c r="X38" s="190">
        <v>9232287596.8799992</v>
      </c>
      <c r="Y38" s="190">
        <v>28481777362.43</v>
      </c>
      <c r="Z38" s="190">
        <v>23184533008.709999</v>
      </c>
      <c r="AA38" s="190">
        <v>13928954990.07</v>
      </c>
      <c r="AB38" s="190">
        <v>5481862978.8400002</v>
      </c>
      <c r="AC38" s="190">
        <v>23974472067.59</v>
      </c>
      <c r="AD38" s="190">
        <v>18980138820.41</v>
      </c>
      <c r="AE38" s="190">
        <v>13182068962.15</v>
      </c>
      <c r="AF38" s="190">
        <v>5165750703.8000002</v>
      </c>
      <c r="AG38" s="190">
        <v>25741401826.02</v>
      </c>
      <c r="AH38" s="190">
        <v>20038209864.919998</v>
      </c>
      <c r="AI38" s="190">
        <v>13366967128.41</v>
      </c>
      <c r="AJ38" s="190">
        <v>6093569085.1099997</v>
      </c>
      <c r="AK38" s="190">
        <v>23957731783.950001</v>
      </c>
      <c r="AL38" s="190">
        <v>4586186708.1099997</v>
      </c>
      <c r="AM38" s="190">
        <v>3243029627.9099998</v>
      </c>
      <c r="AN38" s="190">
        <v>1604283023.5</v>
      </c>
      <c r="AO38" s="190">
        <v>5254994034.6000004</v>
      </c>
      <c r="AP38" s="190">
        <v>3500015300.79</v>
      </c>
      <c r="AQ38" s="190">
        <v>2599949181.9699998</v>
      </c>
      <c r="AR38" s="190">
        <v>1132116613.1700001</v>
      </c>
      <c r="AS38" s="190">
        <v>6518468857.6899996</v>
      </c>
      <c r="AT38" s="190">
        <v>5649839297.6099997</v>
      </c>
      <c r="AU38" s="190">
        <v>3480757316.54</v>
      </c>
      <c r="AV38" s="190">
        <v>861570752.01999998</v>
      </c>
      <c r="AW38" s="190">
        <v>2968188520.8699999</v>
      </c>
      <c r="AX38" s="190">
        <v>1718138580.6400001</v>
      </c>
      <c r="AY38" s="190">
        <v>1149321672.4100001</v>
      </c>
      <c r="AZ38" s="190">
        <v>333876447.32999998</v>
      </c>
      <c r="BA38" s="190">
        <v>2062967037.4000001</v>
      </c>
      <c r="BB38" s="190">
        <v>1227139793.6500001</v>
      </c>
      <c r="BC38" s="190">
        <v>952188153.33000004</v>
      </c>
      <c r="BD38" s="190">
        <v>310044632.56999999</v>
      </c>
      <c r="BE38" s="190">
        <v>1389895478.77</v>
      </c>
      <c r="BF38" s="190">
        <v>1011179521.88</v>
      </c>
      <c r="BG38" s="190">
        <v>711515670.44000006</v>
      </c>
      <c r="BH38" s="190">
        <v>240343141.47999999</v>
      </c>
      <c r="BI38" s="190">
        <v>964198862.10000002</v>
      </c>
      <c r="BJ38" s="190">
        <v>929133915.25999999</v>
      </c>
      <c r="BK38" s="190">
        <v>553856823.45000005</v>
      </c>
      <c r="BL38" s="190">
        <v>125127765</v>
      </c>
      <c r="BM38" s="190">
        <v>284498373.45999998</v>
      </c>
      <c r="BN38" s="190">
        <v>0</v>
      </c>
      <c r="BO38" s="190">
        <v>105180750</v>
      </c>
      <c r="BP38" s="190">
        <v>92873262.5</v>
      </c>
      <c r="BQ38" s="190">
        <v>175695265</v>
      </c>
      <c r="BR38" s="190">
        <v>127596566.63</v>
      </c>
      <c r="BS38" s="190">
        <v>55389909.789999999</v>
      </c>
      <c r="BT38" s="190">
        <v>22016436.18</v>
      </c>
      <c r="BU38" s="190">
        <v>0</v>
      </c>
    </row>
    <row r="39" spans="1:73" x14ac:dyDescent="0.25">
      <c r="A39" s="190" t="s">
        <v>254</v>
      </c>
      <c r="B39" s="190">
        <v>828215384.42999995</v>
      </c>
      <c r="C39" s="190">
        <v>2714403518.2399998</v>
      </c>
      <c r="D39" s="190">
        <v>1498903133.3599999</v>
      </c>
      <c r="E39" s="190">
        <v>-6138317671.4799995</v>
      </c>
      <c r="F39" s="190">
        <v>-3825476374.7800002</v>
      </c>
      <c r="G39" s="190">
        <v>-905524857.08000004</v>
      </c>
      <c r="H39" s="190">
        <v>-1227853618.6700001</v>
      </c>
      <c r="I39" s="190">
        <v>2441782667.9699998</v>
      </c>
      <c r="J39" s="190">
        <v>2381222562.6799998</v>
      </c>
      <c r="K39" s="190">
        <v>3490759904.6500001</v>
      </c>
      <c r="L39" s="190">
        <v>920882911.17999995</v>
      </c>
      <c r="M39" s="190">
        <v>-8456653304.0799999</v>
      </c>
      <c r="N39" s="190">
        <v>-7566325101.2600002</v>
      </c>
      <c r="O39" s="190">
        <v>-4917910712.5799999</v>
      </c>
      <c r="P39" s="190">
        <v>-1813878705.72</v>
      </c>
      <c r="Q39" s="190">
        <v>-4413618357.6899996</v>
      </c>
      <c r="R39" s="190">
        <v>-1330247171.1199999</v>
      </c>
      <c r="S39" s="190">
        <v>795683963</v>
      </c>
      <c r="T39" s="190">
        <v>1951854607.0599999</v>
      </c>
      <c r="U39" s="190">
        <v>-502750418.23000002</v>
      </c>
      <c r="V39" s="190">
        <v>-40099426.409999996</v>
      </c>
      <c r="W39" s="190">
        <v>567016468.35000002</v>
      </c>
      <c r="X39" s="190">
        <v>2508626030.52</v>
      </c>
      <c r="Y39" s="190">
        <v>12592605657.59</v>
      </c>
      <c r="Z39" s="190">
        <v>7014461552.7299995</v>
      </c>
      <c r="AA39" s="190">
        <v>6819485074.0299997</v>
      </c>
      <c r="AB39" s="190">
        <v>1936570591.5899999</v>
      </c>
      <c r="AC39" s="190">
        <v>14762472013.59</v>
      </c>
      <c r="AD39" s="190">
        <v>8617889904.5900002</v>
      </c>
      <c r="AE39" s="190">
        <v>6867665488.0100002</v>
      </c>
      <c r="AF39" s="190">
        <v>4699235678.9700003</v>
      </c>
      <c r="AG39" s="190">
        <v>7279814589.2299995</v>
      </c>
      <c r="AH39" s="190">
        <v>5199083640.29</v>
      </c>
      <c r="AI39" s="190">
        <v>3389384332.2600002</v>
      </c>
      <c r="AJ39" s="190">
        <v>1217583659.25</v>
      </c>
      <c r="AK39" s="190">
        <v>6064388541.9499998</v>
      </c>
      <c r="AL39" s="190">
        <v>-842186708.11000001</v>
      </c>
      <c r="AM39" s="190">
        <v>-822859627.90999997</v>
      </c>
      <c r="AN39" s="190">
        <v>-57024628.990000002</v>
      </c>
      <c r="AO39" s="190">
        <v>-233686534.59999999</v>
      </c>
      <c r="AP39" s="190">
        <v>-160258353.46000001</v>
      </c>
      <c r="AQ39" s="190">
        <v>-198253287.53999999</v>
      </c>
      <c r="AR39" s="190">
        <v>-98507329.670000002</v>
      </c>
      <c r="AS39" s="190">
        <v>-12398232.1</v>
      </c>
      <c r="AT39" s="190">
        <v>35235744.590000004</v>
      </c>
      <c r="AU39" s="190">
        <v>-512632143.01999998</v>
      </c>
      <c r="AV39" s="190">
        <v>109281751.16</v>
      </c>
      <c r="AW39" s="190">
        <v>1554866216.71</v>
      </c>
      <c r="AX39" s="190">
        <v>1212786132.5599999</v>
      </c>
      <c r="AY39" s="190">
        <v>-117205787.36</v>
      </c>
      <c r="AZ39" s="190">
        <v>14171890.35</v>
      </c>
      <c r="BA39" s="190">
        <v>-867967037.39999998</v>
      </c>
      <c r="BB39" s="190">
        <v>-576993612.60000002</v>
      </c>
      <c r="BC39" s="190">
        <v>-474584294.39999998</v>
      </c>
      <c r="BD39" s="190">
        <v>-60001889.039999999</v>
      </c>
      <c r="BE39" s="190">
        <v>122104521.23</v>
      </c>
      <c r="BF39" s="190">
        <v>116500727.08</v>
      </c>
      <c r="BG39" s="190">
        <v>336093454.74000001</v>
      </c>
      <c r="BH39" s="190">
        <v>199707184.69</v>
      </c>
      <c r="BI39" s="190">
        <v>-494902962.01999998</v>
      </c>
      <c r="BJ39" s="190">
        <v>-618910994.86000001</v>
      </c>
      <c r="BK39" s="190">
        <v>-403697094.00999999</v>
      </c>
      <c r="BL39" s="190">
        <v>-65032610.670000002</v>
      </c>
      <c r="BM39" s="190">
        <v>-128909541.89</v>
      </c>
      <c r="BN39" s="190">
        <v>0</v>
      </c>
      <c r="BO39" s="190">
        <v>-77180750</v>
      </c>
      <c r="BP39" s="190">
        <v>-64873262.5</v>
      </c>
      <c r="BQ39" s="190">
        <v>-94695265</v>
      </c>
      <c r="BR39" s="190">
        <v>-63596566.630000003</v>
      </c>
      <c r="BS39" s="190">
        <v>19106492.870000001</v>
      </c>
      <c r="BT39" s="190">
        <v>197023668.81999999</v>
      </c>
      <c r="BU39" s="190">
        <v>0</v>
      </c>
    </row>
    <row r="40" spans="1:73" x14ac:dyDescent="0.25">
      <c r="A40" s="190" t="s">
        <v>255</v>
      </c>
      <c r="B40" s="190">
        <v>12952302.41</v>
      </c>
      <c r="C40" s="190">
        <v>-2896106.9</v>
      </c>
      <c r="D40" s="190">
        <v>-7312010.5899999999</v>
      </c>
      <c r="E40" s="190">
        <v>-8269342.54</v>
      </c>
      <c r="F40" s="190">
        <v>-357608.62</v>
      </c>
      <c r="G40" s="190">
        <v>2107122.09</v>
      </c>
      <c r="H40" s="190">
        <v>801460.71</v>
      </c>
      <c r="I40" s="190">
        <v>4466824.5199999996</v>
      </c>
      <c r="J40" s="190">
        <v>-19040254.690000001</v>
      </c>
      <c r="K40" s="190">
        <v>-20974911.960000001</v>
      </c>
      <c r="L40" s="190">
        <v>-149.61000000000001</v>
      </c>
      <c r="M40" s="190">
        <v>2.14</v>
      </c>
      <c r="N40" s="190">
        <v>-28.74</v>
      </c>
      <c r="O40" s="190">
        <v>-293.58999999999997</v>
      </c>
      <c r="P40" s="190">
        <v>-384.49</v>
      </c>
      <c r="Q40" s="190">
        <v>-1356.64</v>
      </c>
      <c r="R40" s="190">
        <v>-1092.94</v>
      </c>
      <c r="S40" s="190">
        <v>0</v>
      </c>
      <c r="T40" s="190">
        <v>0</v>
      </c>
      <c r="U40" s="190">
        <v>-60.9</v>
      </c>
      <c r="V40" s="190">
        <v>0</v>
      </c>
      <c r="W40" s="190">
        <v>0</v>
      </c>
      <c r="X40" s="190">
        <v>0</v>
      </c>
      <c r="Y40" s="190">
        <v>-5.52</v>
      </c>
      <c r="Z40" s="190">
        <v>22.41</v>
      </c>
      <c r="AA40" s="190">
        <v>22.41</v>
      </c>
      <c r="AB40" s="190">
        <v>0</v>
      </c>
      <c r="AC40" s="190">
        <v>-55.76</v>
      </c>
      <c r="AD40" s="190">
        <v>0</v>
      </c>
      <c r="AE40" s="190">
        <v>0</v>
      </c>
      <c r="AF40" s="190">
        <v>0</v>
      </c>
      <c r="AG40" s="190">
        <v>-1350.48</v>
      </c>
      <c r="AH40" s="190">
        <v>0</v>
      </c>
      <c r="AI40" s="190">
        <v>0</v>
      </c>
      <c r="AJ40" s="190">
        <v>0</v>
      </c>
      <c r="AK40" s="190">
        <v>-41.23</v>
      </c>
      <c r="AL40" s="190">
        <v>0</v>
      </c>
      <c r="AM40" s="190">
        <v>0</v>
      </c>
      <c r="AN40" s="190">
        <v>0</v>
      </c>
      <c r="AO40" s="190">
        <v>0</v>
      </c>
      <c r="AP40" s="190">
        <v>0</v>
      </c>
      <c r="AQ40" s="190">
        <v>0</v>
      </c>
      <c r="AR40" s="190">
        <v>0</v>
      </c>
      <c r="AS40" s="190">
        <v>-546.61</v>
      </c>
      <c r="AT40" s="190">
        <v>-757.85</v>
      </c>
      <c r="AU40" s="190">
        <v>-543.85</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row>
    <row r="41" spans="1:73" x14ac:dyDescent="0.25">
      <c r="A41" s="190" t="s">
        <v>256</v>
      </c>
      <c r="B41" s="190">
        <v>4223005387.3699999</v>
      </c>
      <c r="C41" s="190">
        <v>4028347467.4200001</v>
      </c>
      <c r="D41" s="190">
        <v>1964374913.49</v>
      </c>
      <c r="E41" s="190">
        <v>818009554.24000001</v>
      </c>
      <c r="F41" s="190">
        <v>2378716512.73</v>
      </c>
      <c r="G41" s="190">
        <v>630270075.51999998</v>
      </c>
      <c r="H41" s="190">
        <v>-585962764.5</v>
      </c>
      <c r="I41" s="190">
        <v>-1969020880.9100001</v>
      </c>
      <c r="J41" s="190">
        <v>129551403.02</v>
      </c>
      <c r="K41" s="190">
        <v>-1365743291.51</v>
      </c>
      <c r="L41" s="190">
        <v>-2279684226.5500002</v>
      </c>
      <c r="M41" s="190">
        <v>-1253561163.26</v>
      </c>
      <c r="N41" s="190">
        <v>209232940.97999999</v>
      </c>
      <c r="O41" s="190">
        <v>-687155767.07000005</v>
      </c>
      <c r="P41" s="190">
        <v>-147613558.31</v>
      </c>
      <c r="Q41" s="190">
        <v>3403166314.3200002</v>
      </c>
      <c r="R41" s="190">
        <v>5383790946.3599997</v>
      </c>
      <c r="S41" s="190">
        <v>2440590038</v>
      </c>
      <c r="T41" s="190">
        <v>1855349280.51</v>
      </c>
      <c r="U41" s="190">
        <v>-2189310527.1799998</v>
      </c>
      <c r="V41" s="190">
        <v>-2541197223.3400002</v>
      </c>
      <c r="W41" s="190">
        <v>-2385194259.4200001</v>
      </c>
      <c r="X41" s="190">
        <v>-173377398.02000001</v>
      </c>
      <c r="Y41" s="190">
        <v>1082677414.05</v>
      </c>
      <c r="Z41" s="190">
        <v>-1875570377</v>
      </c>
      <c r="AA41" s="190">
        <v>680084540.78999996</v>
      </c>
      <c r="AB41" s="190">
        <v>-1451073663.9000001</v>
      </c>
      <c r="AC41" s="190">
        <v>3815966543.0500002</v>
      </c>
      <c r="AD41" s="190">
        <v>1189740418.3900001</v>
      </c>
      <c r="AE41" s="190">
        <v>1524206753.6600001</v>
      </c>
      <c r="AF41" s="190">
        <v>2612084500.7199998</v>
      </c>
      <c r="AG41" s="190">
        <v>-1211807541.95</v>
      </c>
      <c r="AH41" s="190">
        <v>-1008292244.3099999</v>
      </c>
      <c r="AI41" s="190">
        <v>-1022309831.37</v>
      </c>
      <c r="AJ41" s="190">
        <v>-1168026254.5599999</v>
      </c>
      <c r="AK41" s="190">
        <v>-285380320.67000002</v>
      </c>
      <c r="AL41" s="190">
        <v>-222709396.40000001</v>
      </c>
      <c r="AM41" s="190">
        <v>-34914939.640000001</v>
      </c>
      <c r="AN41" s="190">
        <v>369659255.69999999</v>
      </c>
      <c r="AO41" s="190">
        <v>-266983707.06</v>
      </c>
      <c r="AP41" s="190">
        <v>-162532116.5</v>
      </c>
      <c r="AQ41" s="190">
        <v>-262859272.31999999</v>
      </c>
      <c r="AR41" s="190">
        <v>-123400497.55</v>
      </c>
      <c r="AS41" s="190">
        <v>830019408.92999995</v>
      </c>
      <c r="AT41" s="190">
        <v>843211811.13</v>
      </c>
      <c r="AU41" s="190">
        <v>113531434.16</v>
      </c>
      <c r="AV41" s="190">
        <v>307383251.04000002</v>
      </c>
      <c r="AW41" s="190">
        <v>350183854.95999998</v>
      </c>
      <c r="AX41" s="190">
        <v>85568705.950000003</v>
      </c>
      <c r="AY41" s="190">
        <v>41338736.030000001</v>
      </c>
      <c r="AZ41" s="190">
        <v>165348499.19999999</v>
      </c>
      <c r="BA41" s="190">
        <v>-211178768.63999999</v>
      </c>
      <c r="BB41" s="190">
        <v>34842440.780000001</v>
      </c>
      <c r="BC41" s="190">
        <v>8136116.4400000004</v>
      </c>
      <c r="BD41" s="190">
        <v>214631270.41999999</v>
      </c>
      <c r="BE41" s="190">
        <v>232904027.84</v>
      </c>
      <c r="BF41" s="190">
        <v>619990188.40999997</v>
      </c>
      <c r="BG41" s="190">
        <v>302925230.54000002</v>
      </c>
      <c r="BH41" s="190">
        <v>45609466.329999998</v>
      </c>
      <c r="BI41" s="190">
        <v>-45013684.390000001</v>
      </c>
      <c r="BJ41" s="190">
        <v>-15635719.85</v>
      </c>
      <c r="BK41" s="190">
        <v>35392989.039999999</v>
      </c>
      <c r="BL41" s="190">
        <v>40185311.68</v>
      </c>
      <c r="BM41" s="190">
        <v>103109141.94</v>
      </c>
      <c r="BN41" s="190">
        <v>-22012248.239999998</v>
      </c>
      <c r="BO41" s="190">
        <v>-124310388.93000001</v>
      </c>
      <c r="BP41" s="190">
        <v>-113934936.88</v>
      </c>
      <c r="BQ41" s="190">
        <v>89698024.280000001</v>
      </c>
      <c r="BR41" s="190">
        <v>69401620.540000007</v>
      </c>
      <c r="BS41" s="190">
        <v>12759421.66</v>
      </c>
      <c r="BT41" s="190">
        <v>32216982.350000001</v>
      </c>
      <c r="BU41" s="190">
        <v>0</v>
      </c>
    </row>
    <row r="42" spans="1:73" x14ac:dyDescent="0.25">
      <c r="A42" s="190" t="s">
        <v>257</v>
      </c>
      <c r="B42" s="190">
        <v>4999815826.4399996</v>
      </c>
      <c r="C42" s="190">
        <v>4972355059.2399998</v>
      </c>
      <c r="D42" s="190">
        <v>4972355059.2399998</v>
      </c>
      <c r="E42" s="190">
        <v>4154345505</v>
      </c>
      <c r="F42" s="190">
        <v>4154345505</v>
      </c>
      <c r="G42" s="190">
        <v>4154345505</v>
      </c>
      <c r="H42" s="190">
        <v>4154345505</v>
      </c>
      <c r="I42" s="190">
        <v>6123366385.9099998</v>
      </c>
      <c r="J42" s="190">
        <v>6123366385.9099998</v>
      </c>
      <c r="K42" s="190">
        <v>6123366385.9099998</v>
      </c>
      <c r="L42" s="190">
        <v>6123366385.9099998</v>
      </c>
      <c r="M42" s="190">
        <v>7376927549.1700001</v>
      </c>
      <c r="N42" s="190">
        <v>7372153445.9200001</v>
      </c>
      <c r="O42" s="190">
        <v>7370571065.9200001</v>
      </c>
      <c r="P42" s="190">
        <v>7388928588.9300003</v>
      </c>
      <c r="Q42" s="190">
        <v>3967404751.5999999</v>
      </c>
      <c r="R42" s="190">
        <v>3967404751.5999999</v>
      </c>
      <c r="S42" s="190">
        <v>3967404751.5999999</v>
      </c>
      <c r="T42" s="190">
        <v>3972163811.5999999</v>
      </c>
      <c r="U42" s="190">
        <v>6156715278.7799997</v>
      </c>
      <c r="V42" s="190">
        <v>6161149078.7799997</v>
      </c>
      <c r="W42" s="190">
        <v>6156715278.7799997</v>
      </c>
      <c r="X42" s="190">
        <v>6161149078.7799997</v>
      </c>
      <c r="Y42" s="190">
        <v>5074037864.7299995</v>
      </c>
      <c r="Z42" s="190">
        <v>5074037864.7299995</v>
      </c>
      <c r="AA42" s="190">
        <v>4933101414.8999996</v>
      </c>
      <c r="AB42" s="190">
        <v>4933101414.8999996</v>
      </c>
      <c r="AC42" s="190">
        <v>1117134871.8499999</v>
      </c>
      <c r="AD42" s="190">
        <v>1117134871.8499999</v>
      </c>
      <c r="AE42" s="190">
        <v>1117134871.8499999</v>
      </c>
      <c r="AF42" s="190">
        <v>1117134871.8499999</v>
      </c>
      <c r="AG42" s="190">
        <v>2054993923.9000001</v>
      </c>
      <c r="AH42" s="190">
        <v>2054993923.9000001</v>
      </c>
      <c r="AI42" s="190">
        <v>2054993923.9000001</v>
      </c>
      <c r="AJ42" s="190">
        <v>2054993923.9000001</v>
      </c>
      <c r="AK42" s="190">
        <v>2340374244.5700002</v>
      </c>
      <c r="AL42" s="190">
        <v>1070983977.46</v>
      </c>
      <c r="AM42" s="190">
        <v>1070983977.46</v>
      </c>
      <c r="AN42" s="190">
        <v>1070983977.46</v>
      </c>
      <c r="AO42" s="190">
        <v>1337967684.52</v>
      </c>
      <c r="AP42" s="190">
        <v>1337967684.52</v>
      </c>
      <c r="AQ42" s="190">
        <v>1337967684.52</v>
      </c>
      <c r="AR42" s="190">
        <v>1337967684.52</v>
      </c>
      <c r="AS42" s="190">
        <v>507948275.58999997</v>
      </c>
      <c r="AT42" s="190">
        <v>507948275.58999997</v>
      </c>
      <c r="AU42" s="190">
        <v>507948275.58999997</v>
      </c>
      <c r="AV42" s="190">
        <v>507948275.58999997</v>
      </c>
      <c r="AW42" s="190">
        <v>157764420.63</v>
      </c>
      <c r="AX42" s="190">
        <v>157764420.63</v>
      </c>
      <c r="AY42" s="190">
        <v>157764420.63</v>
      </c>
      <c r="AZ42" s="190">
        <v>157764420.63</v>
      </c>
      <c r="BA42" s="190">
        <v>368943189.26999998</v>
      </c>
      <c r="BB42" s="190">
        <v>368943189.26999998</v>
      </c>
      <c r="BC42" s="190">
        <v>368943189.26999998</v>
      </c>
      <c r="BD42" s="190">
        <v>368943189.26999998</v>
      </c>
      <c r="BE42" s="190">
        <v>136039161.43000001</v>
      </c>
      <c r="BF42" s="190">
        <v>136039161.43000001</v>
      </c>
      <c r="BG42" s="190">
        <v>136039161.43000001</v>
      </c>
      <c r="BH42" s="190">
        <v>136039161.43000001</v>
      </c>
      <c r="BI42" s="190">
        <v>181052845.81999999</v>
      </c>
      <c r="BJ42" s="190">
        <v>180854121.41999999</v>
      </c>
      <c r="BK42" s="190">
        <v>181052845.81999999</v>
      </c>
      <c r="BL42" s="190">
        <v>181052845.81999999</v>
      </c>
      <c r="BM42" s="190">
        <v>77943703.879999995</v>
      </c>
      <c r="BN42" s="190">
        <v>34561500.75</v>
      </c>
      <c r="BO42" s="190">
        <v>158871889.68000001</v>
      </c>
      <c r="BP42" s="190">
        <v>158871889.68000001</v>
      </c>
      <c r="BQ42" s="190">
        <v>69173865.400000006</v>
      </c>
      <c r="BR42" s="190">
        <v>69173865.400000006</v>
      </c>
      <c r="BS42" s="190">
        <v>66780312.18</v>
      </c>
      <c r="BT42" s="190">
        <v>20521683.670000002</v>
      </c>
      <c r="BU42" s="190">
        <v>0</v>
      </c>
    </row>
    <row r="43" spans="1:73" x14ac:dyDescent="0.25">
      <c r="A43" s="190" t="s">
        <v>258</v>
      </c>
      <c r="B43" s="190">
        <v>9222821213.8099995</v>
      </c>
      <c r="C43" s="190">
        <v>9000702526.6599998</v>
      </c>
      <c r="D43" s="190">
        <v>6936729972.7299995</v>
      </c>
      <c r="E43" s="190">
        <v>4972355059.2399998</v>
      </c>
      <c r="F43" s="190">
        <v>6533062017.7299995</v>
      </c>
      <c r="G43" s="190">
        <v>4784615580.5200005</v>
      </c>
      <c r="H43" s="190">
        <v>3568382740.5</v>
      </c>
      <c r="I43" s="190">
        <v>4154345505</v>
      </c>
      <c r="J43" s="190">
        <v>6252917788.9300003</v>
      </c>
      <c r="K43" s="190">
        <v>4757623094.3999996</v>
      </c>
      <c r="L43" s="190">
        <v>3843682159.3600001</v>
      </c>
      <c r="M43" s="190">
        <v>6123366385.9099998</v>
      </c>
      <c r="N43" s="190">
        <v>7581386386.8999996</v>
      </c>
      <c r="O43" s="190">
        <v>6683415298.8500004</v>
      </c>
      <c r="P43" s="190">
        <v>7241315030.6199999</v>
      </c>
      <c r="Q43" s="190">
        <v>7370571065.9200001</v>
      </c>
      <c r="R43" s="190">
        <v>9351195697.9599991</v>
      </c>
      <c r="S43" s="190">
        <v>6407994789.6000004</v>
      </c>
      <c r="T43" s="190">
        <v>5827513092.1099997</v>
      </c>
      <c r="U43" s="190">
        <v>3967404751.5999999</v>
      </c>
      <c r="V43" s="190">
        <v>3619951855.4400001</v>
      </c>
      <c r="W43" s="190">
        <v>3771521019.3600001</v>
      </c>
      <c r="X43" s="190">
        <v>5987771680.7600002</v>
      </c>
      <c r="Y43" s="190">
        <v>6156715278.7799997</v>
      </c>
      <c r="Z43" s="190">
        <v>3198467487.73</v>
      </c>
      <c r="AA43" s="190">
        <v>5613185955.6899996</v>
      </c>
      <c r="AB43" s="190">
        <v>3482027751</v>
      </c>
      <c r="AC43" s="190">
        <v>4933101414.8999996</v>
      </c>
      <c r="AD43" s="190">
        <v>2306875290.2399998</v>
      </c>
      <c r="AE43" s="190">
        <v>2641341625.5100002</v>
      </c>
      <c r="AF43" s="190">
        <v>3729219372.5700002</v>
      </c>
      <c r="AG43" s="190">
        <v>843186381.95000005</v>
      </c>
      <c r="AH43" s="190">
        <v>1046701679.59</v>
      </c>
      <c r="AI43" s="190">
        <v>1032684092.53</v>
      </c>
      <c r="AJ43" s="190">
        <v>886967669.34000003</v>
      </c>
      <c r="AK43" s="190">
        <v>2054993923.9000001</v>
      </c>
      <c r="AL43" s="190">
        <v>848274581.05999994</v>
      </c>
      <c r="AM43" s="190">
        <v>1036069037.8200001</v>
      </c>
      <c r="AN43" s="190">
        <v>1440643233.1600001</v>
      </c>
      <c r="AO43" s="190">
        <v>1070983977.46</v>
      </c>
      <c r="AP43" s="190">
        <v>1175435568.02</v>
      </c>
      <c r="AQ43" s="190">
        <v>1075108412.2</v>
      </c>
      <c r="AR43" s="190">
        <v>1214567186.97</v>
      </c>
      <c r="AS43" s="190">
        <v>1337967684.52</v>
      </c>
      <c r="AT43" s="190">
        <v>1351160086.72</v>
      </c>
      <c r="AU43" s="190">
        <v>621479709.75</v>
      </c>
      <c r="AV43" s="190">
        <v>815331526.63</v>
      </c>
      <c r="AW43" s="190">
        <v>507948275.58999997</v>
      </c>
      <c r="AX43" s="190">
        <v>243333126.58000001</v>
      </c>
      <c r="AY43" s="190">
        <v>199103156.66</v>
      </c>
      <c r="AZ43" s="190">
        <v>323112919.82999998</v>
      </c>
      <c r="BA43" s="190">
        <v>157764420.63</v>
      </c>
      <c r="BB43" s="190">
        <v>403785630.05000001</v>
      </c>
      <c r="BC43" s="190">
        <v>377079305.70999998</v>
      </c>
      <c r="BD43" s="190">
        <v>583574459.69000006</v>
      </c>
      <c r="BE43" s="190">
        <v>368943189.26999998</v>
      </c>
      <c r="BF43" s="190">
        <v>756029349.84000003</v>
      </c>
      <c r="BG43" s="190">
        <v>438964391.97000003</v>
      </c>
      <c r="BH43" s="190">
        <v>181648627.75999999</v>
      </c>
      <c r="BI43" s="190">
        <v>136039161.43000001</v>
      </c>
      <c r="BJ43" s="190">
        <v>165218401.56999999</v>
      </c>
      <c r="BK43" s="190">
        <v>216445834.86000001</v>
      </c>
      <c r="BL43" s="190">
        <v>221238157.5</v>
      </c>
      <c r="BM43" s="190">
        <v>181052845.81999999</v>
      </c>
      <c r="BN43" s="190">
        <v>12549252.51</v>
      </c>
      <c r="BO43" s="190">
        <v>34561500.75</v>
      </c>
      <c r="BP43" s="190">
        <v>44936952.799999997</v>
      </c>
      <c r="BQ43" s="190">
        <v>158871889.68000001</v>
      </c>
      <c r="BR43" s="190">
        <v>138575485.94</v>
      </c>
      <c r="BS43" s="190">
        <v>79539733.840000004</v>
      </c>
      <c r="BT43" s="190">
        <v>52738666.020000003</v>
      </c>
      <c r="BU43" s="190">
        <v>0</v>
      </c>
    </row>
    <row r="44" spans="1:73" x14ac:dyDescent="0.25">
      <c r="A44" s="190" t="s">
        <v>259</v>
      </c>
    </row>
    <row r="45" spans="1:73" x14ac:dyDescent="0.25">
      <c r="A45" s="190" t="s">
        <v>260</v>
      </c>
      <c r="B45" s="190">
        <v>0</v>
      </c>
      <c r="C45" s="190">
        <v>3092647847.0799999</v>
      </c>
      <c r="D45" s="190">
        <v>0</v>
      </c>
      <c r="E45" s="190">
        <v>6559490691.3999996</v>
      </c>
      <c r="F45" s="190">
        <v>0</v>
      </c>
      <c r="G45" s="190">
        <v>2652979952.0300002</v>
      </c>
      <c r="H45" s="190">
        <v>0</v>
      </c>
      <c r="I45" s="190">
        <v>7859609801.9099998</v>
      </c>
      <c r="J45" s="190">
        <v>0</v>
      </c>
      <c r="K45" s="190">
        <v>3232389460.6100001</v>
      </c>
      <c r="L45" s="190">
        <v>0</v>
      </c>
      <c r="M45" s="190">
        <v>10102582821.57</v>
      </c>
      <c r="N45" s="190">
        <v>0</v>
      </c>
      <c r="O45" s="190">
        <v>4553369526.8100004</v>
      </c>
      <c r="P45" s="190">
        <v>0</v>
      </c>
      <c r="Q45" s="190">
        <v>10161221537.33</v>
      </c>
      <c r="R45" s="190">
        <v>0</v>
      </c>
      <c r="S45" s="190">
        <v>3432534943.52</v>
      </c>
      <c r="T45" s="190">
        <v>0</v>
      </c>
      <c r="U45" s="190">
        <v>5877018770.04</v>
      </c>
      <c r="V45" s="190">
        <v>0</v>
      </c>
      <c r="W45" s="190">
        <v>2058868171.6500001</v>
      </c>
      <c r="X45" s="190">
        <v>0</v>
      </c>
      <c r="Y45" s="190">
        <v>2017558718.79</v>
      </c>
      <c r="Z45" s="190">
        <v>0</v>
      </c>
      <c r="AA45" s="190">
        <v>123640074.62</v>
      </c>
      <c r="AB45" s="190">
        <v>0</v>
      </c>
      <c r="AC45" s="190">
        <v>672297859.65999997</v>
      </c>
      <c r="AD45" s="190">
        <v>0</v>
      </c>
      <c r="AE45" s="190">
        <v>249515222.90000001</v>
      </c>
      <c r="AF45" s="190">
        <v>0</v>
      </c>
      <c r="AG45" s="190">
        <v>1064039754.54</v>
      </c>
      <c r="AH45" s="190">
        <v>0</v>
      </c>
      <c r="AI45" s="190">
        <v>222532970.84</v>
      </c>
      <c r="AJ45" s="190">
        <v>0</v>
      </c>
      <c r="AK45" s="190">
        <v>1009355978.66</v>
      </c>
      <c r="AL45" s="190">
        <v>0</v>
      </c>
      <c r="AM45" s="190">
        <v>144476104.5</v>
      </c>
      <c r="AN45" s="190">
        <v>0</v>
      </c>
      <c r="AO45" s="190">
        <v>167573514.66999999</v>
      </c>
      <c r="AP45" s="190">
        <v>0</v>
      </c>
      <c r="AQ45" s="190">
        <v>170530603.08000001</v>
      </c>
      <c r="AR45" s="190">
        <v>0</v>
      </c>
      <c r="AS45" s="190">
        <v>552421164.46000004</v>
      </c>
      <c r="AT45" s="190">
        <v>0</v>
      </c>
      <c r="AU45" s="190">
        <v>566791969.87</v>
      </c>
      <c r="AV45" s="190">
        <v>0</v>
      </c>
      <c r="AW45" s="190">
        <v>410736833.61000001</v>
      </c>
      <c r="AX45" s="190">
        <v>283929570.63999999</v>
      </c>
      <c r="AY45" s="190">
        <v>175177309.66</v>
      </c>
      <c r="AZ45" s="190">
        <v>72622862.640000001</v>
      </c>
      <c r="BA45" s="190">
        <v>379532697.27999997</v>
      </c>
      <c r="BB45" s="190">
        <v>324307989.54000002</v>
      </c>
      <c r="BC45" s="190">
        <v>203013769.72999999</v>
      </c>
      <c r="BD45" s="190">
        <v>109230824</v>
      </c>
      <c r="BE45" s="190">
        <v>328464518.62</v>
      </c>
      <c r="BF45" s="190">
        <v>240113707.53999999</v>
      </c>
      <c r="BG45" s="190">
        <v>168928962.33000001</v>
      </c>
      <c r="BH45" s="190">
        <v>69191321.659999996</v>
      </c>
      <c r="BI45" s="190">
        <v>214810697.72</v>
      </c>
      <c r="BJ45" s="190">
        <v>142770158.03</v>
      </c>
      <c r="BK45" s="190">
        <v>88721770.989999995</v>
      </c>
      <c r="BL45" s="190">
        <v>47253737.909999996</v>
      </c>
      <c r="BM45" s="190">
        <v>54093315.759999998</v>
      </c>
      <c r="BN45" s="190">
        <v>-66360798.609999999</v>
      </c>
      <c r="BO45" s="190">
        <v>-39628397.740000002</v>
      </c>
      <c r="BP45" s="190">
        <v>-1476614.96</v>
      </c>
      <c r="BQ45" s="190">
        <v>5923689.0800000001</v>
      </c>
      <c r="BR45" s="190">
        <v>-34426689.479999997</v>
      </c>
      <c r="BS45" s="190">
        <v>-51462881.590000004</v>
      </c>
      <c r="BT45" s="190">
        <v>71620461.5</v>
      </c>
      <c r="BU45" s="190">
        <v>0</v>
      </c>
    </row>
    <row r="46" spans="1:7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367133105.37</v>
      </c>
      <c r="AT46" s="190">
        <v>0</v>
      </c>
      <c r="AU46" s="190">
        <v>0</v>
      </c>
      <c r="AV46" s="190">
        <v>0</v>
      </c>
      <c r="AW46" s="190">
        <v>339324702.83999997</v>
      </c>
      <c r="AX46" s="190">
        <v>223362547.15000001</v>
      </c>
      <c r="AY46" s="190">
        <v>143782085.87</v>
      </c>
      <c r="AZ46" s="190">
        <v>50811784.939999998</v>
      </c>
      <c r="BA46" s="190">
        <v>280615690.88</v>
      </c>
      <c r="BB46" s="190">
        <v>250552936.69999999</v>
      </c>
      <c r="BC46" s="190">
        <v>173686489.58000001</v>
      </c>
      <c r="BD46" s="190">
        <v>99682578.129999995</v>
      </c>
      <c r="BE46" s="190">
        <v>247905632.59</v>
      </c>
      <c r="BF46" s="190">
        <v>181712340.81999999</v>
      </c>
      <c r="BG46" s="190">
        <v>134402380.53999999</v>
      </c>
      <c r="BH46" s="190">
        <v>43496585.700000003</v>
      </c>
      <c r="BI46" s="190">
        <v>143908549.56999999</v>
      </c>
      <c r="BJ46" s="190">
        <v>90450729.780000001</v>
      </c>
      <c r="BK46" s="190">
        <v>57743462.979999997</v>
      </c>
      <c r="BL46" s="190">
        <v>29259522.899999999</v>
      </c>
      <c r="BM46" s="190">
        <v>33620224.5</v>
      </c>
      <c r="BN46" s="190">
        <v>0</v>
      </c>
      <c r="BO46" s="190">
        <v>0</v>
      </c>
      <c r="BP46" s="190">
        <v>0</v>
      </c>
      <c r="BQ46" s="190">
        <v>0</v>
      </c>
      <c r="BR46" s="190">
        <v>0</v>
      </c>
      <c r="BS46" s="190">
        <v>0</v>
      </c>
      <c r="BT46" s="190">
        <v>0</v>
      </c>
      <c r="BU46" s="190">
        <v>0</v>
      </c>
    </row>
    <row r="47" spans="1:7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row>
    <row r="48" spans="1:73" x14ac:dyDescent="0.25">
      <c r="A48" s="190" t="s">
        <v>262</v>
      </c>
      <c r="B48" s="190">
        <v>0</v>
      </c>
      <c r="C48" s="190">
        <v>77853995.219999999</v>
      </c>
      <c r="D48" s="190">
        <v>0</v>
      </c>
      <c r="E48" s="190">
        <v>118982486.23</v>
      </c>
      <c r="F48" s="190">
        <v>0</v>
      </c>
      <c r="G48" s="190">
        <v>18472726.899999999</v>
      </c>
      <c r="H48" s="190">
        <v>0</v>
      </c>
      <c r="I48" s="190">
        <v>49459770.420000002</v>
      </c>
      <c r="J48" s="190">
        <v>0</v>
      </c>
      <c r="K48" s="190">
        <v>22604406.59</v>
      </c>
      <c r="L48" s="190">
        <v>0</v>
      </c>
      <c r="M48" s="190">
        <v>103043941.31999999</v>
      </c>
      <c r="N48" s="190">
        <v>0</v>
      </c>
      <c r="O48" s="190">
        <v>32216401.280000001</v>
      </c>
      <c r="P48" s="190">
        <v>0</v>
      </c>
      <c r="Q48" s="190">
        <v>39430262.850000001</v>
      </c>
      <c r="R48" s="190">
        <v>0</v>
      </c>
      <c r="S48" s="190">
        <v>7551480.5</v>
      </c>
      <c r="T48" s="190">
        <v>0</v>
      </c>
      <c r="U48" s="190">
        <v>19412194.149999999</v>
      </c>
      <c r="V48" s="190">
        <v>0</v>
      </c>
      <c r="W48" s="190">
        <v>6455482.5199999996</v>
      </c>
      <c r="X48" s="190">
        <v>0</v>
      </c>
      <c r="Y48" s="190">
        <v>5711269.1100000003</v>
      </c>
      <c r="Z48" s="190">
        <v>0</v>
      </c>
      <c r="AA48" s="190">
        <v>7986243.21</v>
      </c>
      <c r="AB48" s="190">
        <v>0</v>
      </c>
      <c r="AC48" s="190">
        <v>12107454.17</v>
      </c>
      <c r="AD48" s="190">
        <v>0</v>
      </c>
      <c r="AE48" s="190">
        <v>4673224.3899999997</v>
      </c>
      <c r="AF48" s="190">
        <v>0</v>
      </c>
      <c r="AG48" s="190">
        <v>1547865.64</v>
      </c>
      <c r="AH48" s="190">
        <v>0</v>
      </c>
      <c r="AI48" s="190">
        <v>-42500</v>
      </c>
      <c r="AJ48" s="190">
        <v>0</v>
      </c>
      <c r="AK48" s="190">
        <v>-5488499.1799999997</v>
      </c>
      <c r="AL48" s="190">
        <v>0</v>
      </c>
      <c r="AM48" s="190">
        <v>2332847.23</v>
      </c>
      <c r="AN48" s="190">
        <v>0</v>
      </c>
      <c r="AO48" s="190">
        <v>20769937.809999999</v>
      </c>
      <c r="AP48" s="190">
        <v>0</v>
      </c>
      <c r="AQ48" s="190">
        <v>-252503.37</v>
      </c>
      <c r="AR48" s="190">
        <v>0</v>
      </c>
      <c r="AS48" s="190">
        <v>-10718194.720000001</v>
      </c>
      <c r="AT48" s="190">
        <v>0</v>
      </c>
      <c r="AU48" s="190">
        <v>0</v>
      </c>
      <c r="AV48" s="190">
        <v>0</v>
      </c>
      <c r="AW48" s="190">
        <v>5285403.6900000004</v>
      </c>
      <c r="AX48" s="190">
        <v>500000</v>
      </c>
      <c r="AY48" s="190">
        <v>500000</v>
      </c>
      <c r="AZ48" s="190">
        <v>500000</v>
      </c>
      <c r="BA48" s="190">
        <v>-7026422.6100000003</v>
      </c>
      <c r="BB48" s="190">
        <v>64717.43</v>
      </c>
      <c r="BC48" s="190">
        <v>279312.02</v>
      </c>
      <c r="BD48" s="190">
        <v>0</v>
      </c>
      <c r="BE48" s="190">
        <v>545039.79</v>
      </c>
      <c r="BF48" s="190">
        <v>0</v>
      </c>
      <c r="BG48" s="190">
        <v>-2568223.7000000002</v>
      </c>
      <c r="BH48" s="190">
        <v>0</v>
      </c>
      <c r="BI48" s="190">
        <v>-23096081.859999999</v>
      </c>
      <c r="BJ48" s="190">
        <v>-13551374.27</v>
      </c>
      <c r="BK48" s="190">
        <v>-13551374.27</v>
      </c>
      <c r="BL48" s="190">
        <v>0</v>
      </c>
      <c r="BM48" s="190">
        <v>-2130017.7599999998</v>
      </c>
      <c r="BN48" s="190">
        <v>0</v>
      </c>
      <c r="BO48" s="190">
        <v>1355617.02</v>
      </c>
      <c r="BP48" s="190">
        <v>573128.86</v>
      </c>
      <c r="BQ48" s="190">
        <v>-3279254.2</v>
      </c>
      <c r="BR48" s="190">
        <v>-3507950.44</v>
      </c>
      <c r="BS48" s="190">
        <v>-3777326.71</v>
      </c>
      <c r="BT48" s="190">
        <v>625657.79</v>
      </c>
      <c r="BU48" s="190">
        <v>0</v>
      </c>
    </row>
    <row r="49" spans="1:73" x14ac:dyDescent="0.25">
      <c r="A49" s="190" t="s">
        <v>263</v>
      </c>
      <c r="B49" s="190">
        <v>0</v>
      </c>
      <c r="C49" s="190">
        <v>3270456431.0799999</v>
      </c>
      <c r="D49" s="190">
        <v>0</v>
      </c>
      <c r="E49" s="190">
        <v>6235786475.1300001</v>
      </c>
      <c r="F49" s="190">
        <v>0</v>
      </c>
      <c r="G49" s="190">
        <v>2983489446.3699999</v>
      </c>
      <c r="H49" s="190">
        <v>0</v>
      </c>
      <c r="I49" s="190">
        <v>5746058714.0799999</v>
      </c>
      <c r="J49" s="190">
        <v>0</v>
      </c>
      <c r="K49" s="190">
        <v>2818040060.4899998</v>
      </c>
      <c r="L49" s="190">
        <v>0</v>
      </c>
      <c r="M49" s="190">
        <v>5768491723.7299995</v>
      </c>
      <c r="N49" s="190">
        <v>0</v>
      </c>
      <c r="O49" s="190">
        <v>2716808983.1999998</v>
      </c>
      <c r="P49" s="190">
        <v>0</v>
      </c>
      <c r="Q49" s="190">
        <v>5213457675.7799997</v>
      </c>
      <c r="R49" s="190">
        <v>0</v>
      </c>
      <c r="S49" s="190">
        <v>2608135619.1700001</v>
      </c>
      <c r="T49" s="190">
        <v>0</v>
      </c>
      <c r="U49" s="190">
        <v>4392446513.04</v>
      </c>
      <c r="V49" s="190">
        <v>0</v>
      </c>
      <c r="W49" s="190">
        <v>1969973201.51</v>
      </c>
      <c r="X49" s="190">
        <v>0</v>
      </c>
      <c r="Y49" s="190">
        <v>3326713875.1799998</v>
      </c>
      <c r="Z49" s="190">
        <v>0</v>
      </c>
      <c r="AA49" s="190">
        <v>1497524723.46</v>
      </c>
      <c r="AB49" s="190">
        <v>0</v>
      </c>
      <c r="AC49" s="190">
        <v>3008553395.54</v>
      </c>
      <c r="AD49" s="190">
        <v>0</v>
      </c>
      <c r="AE49" s="190">
        <v>1488734486.4000001</v>
      </c>
      <c r="AF49" s="190">
        <v>0</v>
      </c>
      <c r="AG49" s="190">
        <v>2866484786.8899999</v>
      </c>
      <c r="AH49" s="190">
        <v>0</v>
      </c>
      <c r="AI49" s="190">
        <v>1406347894.5599999</v>
      </c>
      <c r="AJ49" s="190">
        <v>0</v>
      </c>
      <c r="AK49" s="190">
        <v>2484039925.1700001</v>
      </c>
      <c r="AL49" s="190">
        <v>0</v>
      </c>
      <c r="AM49" s="190">
        <v>524584879.39999998</v>
      </c>
      <c r="AN49" s="190">
        <v>0</v>
      </c>
      <c r="AO49" s="190">
        <v>993876736.08000004</v>
      </c>
      <c r="AP49" s="190">
        <v>0</v>
      </c>
      <c r="AQ49" s="190">
        <v>492248870.66000003</v>
      </c>
      <c r="AR49" s="190">
        <v>0</v>
      </c>
      <c r="AS49" s="190">
        <v>1022563410.29</v>
      </c>
      <c r="AT49" s="190">
        <v>0</v>
      </c>
      <c r="AU49" s="190">
        <v>569743662.73000002</v>
      </c>
      <c r="AV49" s="190">
        <v>0</v>
      </c>
      <c r="AW49" s="190">
        <v>762117461.03999996</v>
      </c>
      <c r="AX49" s="190">
        <v>485915672.58999997</v>
      </c>
      <c r="AY49" s="190">
        <v>313320761.12</v>
      </c>
      <c r="AZ49" s="190">
        <v>156657093.13999999</v>
      </c>
      <c r="BA49" s="190">
        <v>625586208.60000002</v>
      </c>
      <c r="BB49" s="190">
        <v>442983878.06999999</v>
      </c>
      <c r="BC49" s="190">
        <v>297832419.63999999</v>
      </c>
      <c r="BD49" s="190">
        <v>149784322.19</v>
      </c>
      <c r="BE49" s="190">
        <v>501889832.94</v>
      </c>
      <c r="BF49" s="190">
        <v>352146729.62</v>
      </c>
      <c r="BG49" s="190">
        <v>212489689.69999999</v>
      </c>
      <c r="BH49" s="190">
        <v>81704290.379999995</v>
      </c>
      <c r="BI49" s="190">
        <v>323459146.94999999</v>
      </c>
      <c r="BJ49" s="190">
        <v>242318921.84999999</v>
      </c>
      <c r="BK49" s="190">
        <v>161327127.46000001</v>
      </c>
      <c r="BL49" s="190">
        <v>81116326</v>
      </c>
      <c r="BM49" s="190">
        <v>83617648.200000003</v>
      </c>
      <c r="BN49" s="190">
        <v>37459556.079999998</v>
      </c>
      <c r="BO49" s="190">
        <v>71161670.640000001</v>
      </c>
      <c r="BP49" s="190">
        <v>35822433.299999997</v>
      </c>
      <c r="BQ49" s="190">
        <v>87260281.569999993</v>
      </c>
      <c r="BR49" s="190">
        <v>32502718.489999998</v>
      </c>
      <c r="BS49" s="190">
        <v>70441083.25</v>
      </c>
      <c r="BT49" s="190">
        <v>31543644.899999999</v>
      </c>
      <c r="BU49" s="190">
        <v>0</v>
      </c>
    </row>
    <row r="50" spans="1:73" x14ac:dyDescent="0.25">
      <c r="A50" s="190" t="s">
        <v>264</v>
      </c>
      <c r="B50" s="190">
        <v>0</v>
      </c>
      <c r="C50" s="190">
        <v>166334186.28999999</v>
      </c>
      <c r="D50" s="190">
        <v>0</v>
      </c>
      <c r="E50" s="190">
        <v>328441642.16000003</v>
      </c>
      <c r="F50" s="190">
        <v>0</v>
      </c>
      <c r="G50" s="190">
        <v>164445800.41</v>
      </c>
      <c r="H50" s="190">
        <v>0</v>
      </c>
      <c r="I50" s="190">
        <v>317966670.13999999</v>
      </c>
      <c r="J50" s="190">
        <v>0</v>
      </c>
      <c r="K50" s="190">
        <v>160992694.63999999</v>
      </c>
      <c r="L50" s="190">
        <v>0</v>
      </c>
      <c r="M50" s="190">
        <v>331301637.95999998</v>
      </c>
      <c r="N50" s="190">
        <v>0</v>
      </c>
      <c r="O50" s="190">
        <v>164667720.87</v>
      </c>
      <c r="P50" s="190">
        <v>0</v>
      </c>
      <c r="Q50" s="190">
        <v>198680774.97999999</v>
      </c>
      <c r="R50" s="190">
        <v>0</v>
      </c>
      <c r="S50" s="190">
        <v>41952282.909999996</v>
      </c>
      <c r="T50" s="190">
        <v>0</v>
      </c>
      <c r="U50" s="190">
        <v>86699333.359999999</v>
      </c>
      <c r="V50" s="190">
        <v>0</v>
      </c>
      <c r="W50" s="190">
        <v>44527566.859999999</v>
      </c>
      <c r="X50" s="190">
        <v>0</v>
      </c>
      <c r="Y50" s="190">
        <v>68315819.769999996</v>
      </c>
      <c r="Z50" s="190">
        <v>0</v>
      </c>
      <c r="AA50" s="190">
        <v>27064015.77</v>
      </c>
      <c r="AB50" s="190">
        <v>0</v>
      </c>
      <c r="AC50" s="190">
        <v>33632372.289999999</v>
      </c>
      <c r="AD50" s="190">
        <v>0</v>
      </c>
      <c r="AE50" s="190">
        <v>15685204.060000001</v>
      </c>
      <c r="AF50" s="190">
        <v>0</v>
      </c>
      <c r="AG50" s="190">
        <v>39203742.390000001</v>
      </c>
      <c r="AH50" s="190">
        <v>0</v>
      </c>
      <c r="AI50" s="190">
        <v>17682144.899999999</v>
      </c>
      <c r="AJ50" s="190">
        <v>0</v>
      </c>
      <c r="AK50" s="190">
        <v>32141705.09</v>
      </c>
      <c r="AL50" s="190">
        <v>0</v>
      </c>
      <c r="AM50" s="190">
        <v>4972603.0599999996</v>
      </c>
      <c r="AN50" s="190">
        <v>0</v>
      </c>
      <c r="AO50" s="190">
        <v>11115785.01</v>
      </c>
      <c r="AP50" s="190">
        <v>0</v>
      </c>
      <c r="AQ50" s="190">
        <v>1442030.83</v>
      </c>
      <c r="AR50" s="190">
        <v>0</v>
      </c>
      <c r="AS50" s="190">
        <v>5797318.0599999996</v>
      </c>
      <c r="AT50" s="190">
        <v>0</v>
      </c>
      <c r="AU50" s="190">
        <v>7435659.6600000001</v>
      </c>
      <c r="AV50" s="190">
        <v>0</v>
      </c>
      <c r="AW50" s="190">
        <v>2792225.98</v>
      </c>
      <c r="AX50" s="190">
        <v>9863027.0899999999</v>
      </c>
      <c r="AY50" s="190">
        <v>6771024.3499999996</v>
      </c>
      <c r="AZ50" s="190">
        <v>1829489.34</v>
      </c>
      <c r="BA50" s="190">
        <v>443132.6</v>
      </c>
      <c r="BB50" s="190">
        <v>335236.95</v>
      </c>
      <c r="BC50" s="190">
        <v>395478.95</v>
      </c>
      <c r="BD50" s="190">
        <v>111745.65</v>
      </c>
      <c r="BE50" s="190">
        <v>773631.6</v>
      </c>
      <c r="BF50" s="190">
        <v>-2225000.4500000002</v>
      </c>
      <c r="BG50" s="190">
        <v>232043.14</v>
      </c>
      <c r="BH50" s="190">
        <v>96857.22</v>
      </c>
      <c r="BI50" s="190">
        <v>4163838.62</v>
      </c>
      <c r="BJ50" s="190">
        <v>277322.17</v>
      </c>
      <c r="BK50" s="190">
        <v>184436.44</v>
      </c>
      <c r="BL50" s="190">
        <v>468227.4</v>
      </c>
      <c r="BM50" s="190">
        <v>90168.21</v>
      </c>
      <c r="BN50" s="190">
        <v>563706.84</v>
      </c>
      <c r="BO50" s="190">
        <v>1127413.68</v>
      </c>
      <c r="BP50" s="190">
        <v>563706.84</v>
      </c>
      <c r="BQ50" s="190">
        <v>1132681.92</v>
      </c>
      <c r="BR50" s="190">
        <v>561775.02</v>
      </c>
      <c r="BS50" s="190">
        <v>1132680.6599999999</v>
      </c>
      <c r="BT50" s="190">
        <v>524372.61</v>
      </c>
      <c r="BU50" s="190">
        <v>0</v>
      </c>
    </row>
    <row r="51" spans="1:73" x14ac:dyDescent="0.25">
      <c r="A51" s="190" t="s">
        <v>265</v>
      </c>
      <c r="B51" s="190">
        <v>0</v>
      </c>
      <c r="C51" s="190">
        <v>90080606.760000005</v>
      </c>
      <c r="D51" s="190">
        <v>0</v>
      </c>
      <c r="E51" s="190">
        <v>25760319.609999999</v>
      </c>
      <c r="F51" s="190">
        <v>0</v>
      </c>
      <c r="G51" s="190">
        <v>13569275.51</v>
      </c>
      <c r="H51" s="190">
        <v>0</v>
      </c>
      <c r="I51" s="190">
        <v>18647915.649999999</v>
      </c>
      <c r="J51" s="190">
        <v>0</v>
      </c>
      <c r="K51" s="190">
        <v>8400413</v>
      </c>
      <c r="L51" s="190">
        <v>0</v>
      </c>
      <c r="M51" s="190">
        <v>14550731.189999999</v>
      </c>
      <c r="N51" s="190">
        <v>0</v>
      </c>
      <c r="O51" s="190">
        <v>6357473.0199999996</v>
      </c>
      <c r="P51" s="190">
        <v>0</v>
      </c>
      <c r="Q51" s="190">
        <v>134980960</v>
      </c>
      <c r="R51" s="190">
        <v>0</v>
      </c>
      <c r="S51" s="190">
        <v>67264105.079999998</v>
      </c>
      <c r="T51" s="190">
        <v>0</v>
      </c>
      <c r="U51" s="190">
        <v>201850227.81999999</v>
      </c>
      <c r="V51" s="190">
        <v>0</v>
      </c>
      <c r="W51" s="190">
        <v>75205099.209999993</v>
      </c>
      <c r="X51" s="190">
        <v>0</v>
      </c>
      <c r="Y51" s="190">
        <v>97399936.609999999</v>
      </c>
      <c r="Z51" s="190">
        <v>0</v>
      </c>
      <c r="AA51" s="190">
        <v>46006710.990000002</v>
      </c>
      <c r="AB51" s="190">
        <v>0</v>
      </c>
      <c r="AC51" s="190">
        <v>16236146.460000001</v>
      </c>
      <c r="AD51" s="190">
        <v>0</v>
      </c>
      <c r="AE51" s="190">
        <v>8122979</v>
      </c>
      <c r="AF51" s="190">
        <v>0</v>
      </c>
      <c r="AG51" s="190">
        <v>16348256.859999999</v>
      </c>
      <c r="AH51" s="190">
        <v>0</v>
      </c>
      <c r="AI51" s="190">
        <v>8976544.5</v>
      </c>
      <c r="AJ51" s="190">
        <v>0</v>
      </c>
      <c r="AK51" s="190">
        <v>16146768.619999999</v>
      </c>
      <c r="AL51" s="190">
        <v>0</v>
      </c>
      <c r="AM51" s="190">
        <v>7871188.2800000003</v>
      </c>
      <c r="AN51" s="190">
        <v>0</v>
      </c>
      <c r="AO51" s="190">
        <v>18497858.16</v>
      </c>
      <c r="AP51" s="190">
        <v>0</v>
      </c>
      <c r="AQ51" s="190">
        <v>9643929.1199999992</v>
      </c>
      <c r="AR51" s="190">
        <v>0</v>
      </c>
      <c r="AS51" s="190">
        <v>18991458.16</v>
      </c>
      <c r="AT51" s="190">
        <v>0</v>
      </c>
      <c r="AU51" s="190">
        <v>3403554.36</v>
      </c>
      <c r="AV51" s="190">
        <v>0</v>
      </c>
      <c r="AW51" s="190">
        <v>14340736.26</v>
      </c>
      <c r="AX51" s="190">
        <v>780000</v>
      </c>
      <c r="AY51" s="190">
        <v>520000</v>
      </c>
      <c r="AZ51" s="190">
        <v>0</v>
      </c>
      <c r="BA51" s="190">
        <v>12637549.48</v>
      </c>
      <c r="BB51" s="190">
        <v>9213162.1099999994</v>
      </c>
      <c r="BC51" s="190">
        <v>6318774.7400000002</v>
      </c>
      <c r="BD51" s="190">
        <v>2894387.37</v>
      </c>
      <c r="BE51" s="190">
        <v>9518162.1099999994</v>
      </c>
      <c r="BF51" s="190">
        <v>8683162.1099999994</v>
      </c>
      <c r="BG51" s="190">
        <v>3254387.37</v>
      </c>
      <c r="BH51" s="190">
        <v>0</v>
      </c>
      <c r="BI51" s="190">
        <v>21063514.670000002</v>
      </c>
      <c r="BJ51" s="190">
        <v>1128402.54</v>
      </c>
      <c r="BK51" s="190">
        <v>752268.36</v>
      </c>
      <c r="BL51" s="190">
        <v>0</v>
      </c>
      <c r="BM51" s="190">
        <v>376134.19</v>
      </c>
      <c r="BN51" s="190">
        <v>1009480.68</v>
      </c>
      <c r="BO51" s="190">
        <v>841233.9</v>
      </c>
      <c r="BP51" s="190">
        <v>0</v>
      </c>
      <c r="BQ51" s="190">
        <v>0</v>
      </c>
      <c r="BR51" s="190">
        <v>0</v>
      </c>
      <c r="BS51" s="190">
        <v>0</v>
      </c>
      <c r="BT51" s="190">
        <v>0</v>
      </c>
      <c r="BU51" s="190">
        <v>0</v>
      </c>
    </row>
    <row r="52" spans="1:7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1278216.28</v>
      </c>
      <c r="AX52" s="190">
        <v>-1983228.82</v>
      </c>
      <c r="AY52" s="190">
        <v>-4036258.06</v>
      </c>
      <c r="AZ52" s="190">
        <v>-5828965.1100000003</v>
      </c>
      <c r="BA52" s="190">
        <v>98824.81</v>
      </c>
      <c r="BB52" s="190">
        <v>-2111261.08</v>
      </c>
      <c r="BC52" s="190">
        <v>-4301340.04</v>
      </c>
      <c r="BD52" s="190">
        <v>-6072142.5599999996</v>
      </c>
      <c r="BE52" s="190">
        <v>4006258.64</v>
      </c>
      <c r="BF52" s="190">
        <v>2391685.96</v>
      </c>
      <c r="BG52" s="190">
        <v>547432.80000000005</v>
      </c>
      <c r="BH52" s="190">
        <v>0</v>
      </c>
      <c r="BI52" s="190">
        <v>0</v>
      </c>
      <c r="BJ52" s="190">
        <v>0</v>
      </c>
      <c r="BK52" s="190">
        <v>0</v>
      </c>
      <c r="BL52" s="190">
        <v>0</v>
      </c>
      <c r="BM52" s="190">
        <v>2142778.86</v>
      </c>
      <c r="BN52" s="190">
        <v>0</v>
      </c>
      <c r="BO52" s="190">
        <v>0</v>
      </c>
      <c r="BP52" s="190">
        <v>-4732427.47</v>
      </c>
      <c r="BQ52" s="190">
        <v>0</v>
      </c>
      <c r="BR52" s="190">
        <v>0</v>
      </c>
      <c r="BS52" s="190">
        <v>0</v>
      </c>
      <c r="BT52" s="190">
        <v>-6840374.9400000004</v>
      </c>
      <c r="BU52" s="190">
        <v>0</v>
      </c>
    </row>
    <row r="53" spans="1:7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4232952.1100000003</v>
      </c>
      <c r="AX53" s="190">
        <v>33002931.539999999</v>
      </c>
      <c r="AY53" s="190">
        <v>30011679.579999998</v>
      </c>
      <c r="AZ53" s="190">
        <v>22131389.5</v>
      </c>
      <c r="BA53" s="190">
        <v>-5182393.45</v>
      </c>
      <c r="BB53" s="190">
        <v>3570.4</v>
      </c>
      <c r="BC53" s="190">
        <v>19760459.870000001</v>
      </c>
      <c r="BD53" s="190">
        <v>5875687.9400000004</v>
      </c>
      <c r="BE53" s="190">
        <v>-35560185.380000003</v>
      </c>
      <c r="BF53" s="190">
        <v>11005120.02</v>
      </c>
      <c r="BG53" s="190">
        <v>31237643.649999999</v>
      </c>
      <c r="BH53" s="190">
        <v>8271223.0999999996</v>
      </c>
      <c r="BI53" s="190">
        <v>-2248222.11</v>
      </c>
      <c r="BJ53" s="190">
        <v>40510610.340000004</v>
      </c>
      <c r="BK53" s="190">
        <v>27458476.100000001</v>
      </c>
      <c r="BL53" s="190">
        <v>42820922.469999999</v>
      </c>
      <c r="BM53" s="190">
        <v>-28684399.719999999</v>
      </c>
      <c r="BN53" s="190">
        <v>0</v>
      </c>
      <c r="BO53" s="190">
        <v>0</v>
      </c>
      <c r="BP53" s="190">
        <v>633643.56999999995</v>
      </c>
      <c r="BQ53" s="190">
        <v>0</v>
      </c>
      <c r="BR53" s="190">
        <v>0</v>
      </c>
      <c r="BS53" s="190">
        <v>0</v>
      </c>
      <c r="BT53" s="190">
        <v>-2423941.5299999998</v>
      </c>
      <c r="BU53" s="190">
        <v>0</v>
      </c>
    </row>
    <row r="54" spans="1:73" x14ac:dyDescent="0.25">
      <c r="A54" s="190" t="s">
        <v>268</v>
      </c>
      <c r="B54" s="190">
        <v>0</v>
      </c>
      <c r="C54" s="190">
        <v>125972.83</v>
      </c>
      <c r="D54" s="190">
        <v>0</v>
      </c>
      <c r="E54" s="190">
        <v>-3325052.04</v>
      </c>
      <c r="F54" s="190">
        <v>0</v>
      </c>
      <c r="G54" s="190">
        <v>-3383975.66</v>
      </c>
      <c r="H54" s="190">
        <v>0</v>
      </c>
      <c r="I54" s="190">
        <v>2602144.5099999998</v>
      </c>
      <c r="J54" s="190">
        <v>0</v>
      </c>
      <c r="K54" s="190">
        <v>807410.74</v>
      </c>
      <c r="L54" s="190">
        <v>0</v>
      </c>
      <c r="M54" s="190">
        <v>22307289.07</v>
      </c>
      <c r="N54" s="190">
        <v>0</v>
      </c>
      <c r="O54" s="190">
        <v>-144469.32</v>
      </c>
      <c r="P54" s="190">
        <v>0</v>
      </c>
      <c r="Q54" s="190">
        <v>6448470.9800000004</v>
      </c>
      <c r="R54" s="190">
        <v>0</v>
      </c>
      <c r="S54" s="190">
        <v>71830.080000000002</v>
      </c>
      <c r="T54" s="190">
        <v>0</v>
      </c>
      <c r="U54" s="190">
        <v>4406059.21</v>
      </c>
      <c r="V54" s="190">
        <v>0</v>
      </c>
      <c r="W54" s="190">
        <v>243428.64</v>
      </c>
      <c r="X54" s="190">
        <v>0</v>
      </c>
      <c r="Y54" s="190">
        <v>8291660.8099999996</v>
      </c>
      <c r="Z54" s="190">
        <v>0</v>
      </c>
      <c r="AA54" s="190">
        <v>2695771.71</v>
      </c>
      <c r="AB54" s="190">
        <v>0</v>
      </c>
      <c r="AC54" s="190">
        <v>816492.02</v>
      </c>
      <c r="AD54" s="190">
        <v>0</v>
      </c>
      <c r="AE54" s="190">
        <v>-66761.62</v>
      </c>
      <c r="AF54" s="190">
        <v>0</v>
      </c>
      <c r="AG54" s="190">
        <v>10147039.130000001</v>
      </c>
      <c r="AH54" s="190">
        <v>0</v>
      </c>
      <c r="AI54" s="190">
        <v>-720109.21</v>
      </c>
      <c r="AJ54" s="190">
        <v>0</v>
      </c>
      <c r="AK54" s="190">
        <v>4049531.72</v>
      </c>
      <c r="AL54" s="190">
        <v>0</v>
      </c>
      <c r="AM54" s="190">
        <v>-6100</v>
      </c>
      <c r="AN54" s="190">
        <v>0</v>
      </c>
      <c r="AO54" s="190">
        <v>9875144.1999999993</v>
      </c>
      <c r="AP54" s="190">
        <v>0</v>
      </c>
      <c r="AQ54" s="190">
        <v>-84075.13</v>
      </c>
      <c r="AR54" s="190">
        <v>0</v>
      </c>
      <c r="AS54" s="190">
        <v>-9657853.9100000001</v>
      </c>
      <c r="AT54" s="190">
        <v>0</v>
      </c>
      <c r="AU54" s="190">
        <v>514452.75</v>
      </c>
      <c r="AV54" s="190">
        <v>0</v>
      </c>
      <c r="AW54" s="190">
        <v>1624763.39</v>
      </c>
      <c r="AX54" s="190">
        <v>0</v>
      </c>
      <c r="AY54" s="190">
        <v>0</v>
      </c>
      <c r="AZ54" s="190">
        <v>0</v>
      </c>
      <c r="BA54" s="190">
        <v>-36000</v>
      </c>
      <c r="BB54" s="190">
        <v>40174462.380000003</v>
      </c>
      <c r="BC54" s="190">
        <v>163570.4</v>
      </c>
      <c r="BD54" s="190">
        <v>3570.4</v>
      </c>
      <c r="BE54" s="190">
        <v>1866773.82</v>
      </c>
      <c r="BF54" s="190">
        <v>1719127.57</v>
      </c>
      <c r="BG54" s="190">
        <v>80048.72</v>
      </c>
      <c r="BH54" s="190">
        <v>0</v>
      </c>
      <c r="BI54" s="190">
        <v>-309916.63</v>
      </c>
      <c r="BJ54" s="190">
        <v>-323032.02</v>
      </c>
      <c r="BK54" s="190">
        <v>-323032.02</v>
      </c>
      <c r="BL54" s="190">
        <v>-323032.02</v>
      </c>
      <c r="BM54" s="190">
        <v>0</v>
      </c>
      <c r="BN54" s="190">
        <v>0</v>
      </c>
      <c r="BO54" s="190">
        <v>-88019.4</v>
      </c>
      <c r="BP54" s="190">
        <v>0</v>
      </c>
      <c r="BQ54" s="190">
        <v>4545464.91</v>
      </c>
      <c r="BR54" s="190">
        <v>0</v>
      </c>
      <c r="BS54" s="190">
        <v>0</v>
      </c>
      <c r="BT54" s="190">
        <v>0</v>
      </c>
      <c r="BU54" s="190">
        <v>0</v>
      </c>
    </row>
    <row r="55" spans="1:73" x14ac:dyDescent="0.25">
      <c r="A55" s="190" t="s">
        <v>269</v>
      </c>
      <c r="B55" s="190">
        <v>0</v>
      </c>
      <c r="C55" s="190">
        <v>0</v>
      </c>
      <c r="D55" s="190">
        <v>0</v>
      </c>
      <c r="E55" s="190">
        <v>89424334.859999999</v>
      </c>
      <c r="F55" s="190">
        <v>0</v>
      </c>
      <c r="G55" s="190">
        <v>0</v>
      </c>
      <c r="H55" s="190">
        <v>0</v>
      </c>
      <c r="I55" s="190">
        <v>34907974.399999999</v>
      </c>
      <c r="J55" s="190">
        <v>0</v>
      </c>
      <c r="K55" s="190">
        <v>0</v>
      </c>
      <c r="L55" s="190">
        <v>0</v>
      </c>
      <c r="M55" s="190">
        <v>9099799.2799999993</v>
      </c>
      <c r="N55" s="190">
        <v>0</v>
      </c>
      <c r="O55" s="190">
        <v>0</v>
      </c>
      <c r="P55" s="190">
        <v>0</v>
      </c>
      <c r="Q55" s="190">
        <v>727863.99</v>
      </c>
      <c r="R55" s="190">
        <v>0</v>
      </c>
      <c r="S55" s="190">
        <v>0</v>
      </c>
      <c r="T55" s="190">
        <v>0</v>
      </c>
      <c r="U55" s="190">
        <v>6025499.9100000001</v>
      </c>
      <c r="V55" s="190">
        <v>0</v>
      </c>
      <c r="W55" s="190">
        <v>9072.2900000000009</v>
      </c>
      <c r="X55" s="190">
        <v>0</v>
      </c>
      <c r="Y55" s="190">
        <v>18903604.489999998</v>
      </c>
      <c r="Z55" s="190">
        <v>0</v>
      </c>
      <c r="AA55" s="190">
        <v>0</v>
      </c>
      <c r="AB55" s="190">
        <v>0</v>
      </c>
      <c r="AC55" s="190">
        <v>2606289.5699999998</v>
      </c>
      <c r="AD55" s="190">
        <v>0</v>
      </c>
      <c r="AE55" s="190">
        <v>11328.5</v>
      </c>
      <c r="AF55" s="190">
        <v>0</v>
      </c>
      <c r="AG55" s="190">
        <v>0</v>
      </c>
      <c r="AH55" s="190">
        <v>0</v>
      </c>
      <c r="AI55" s="190">
        <v>6655</v>
      </c>
      <c r="AJ55" s="190">
        <v>0</v>
      </c>
      <c r="AK55" s="190">
        <v>0</v>
      </c>
      <c r="AL55" s="190">
        <v>0</v>
      </c>
      <c r="AM55" s="190">
        <v>0</v>
      </c>
      <c r="AN55" s="190">
        <v>0</v>
      </c>
      <c r="AO55" s="190">
        <v>0</v>
      </c>
      <c r="AP55" s="190">
        <v>0</v>
      </c>
      <c r="AQ55" s="190">
        <v>0</v>
      </c>
      <c r="AR55" s="190">
        <v>0</v>
      </c>
      <c r="AS55" s="190">
        <v>10957401</v>
      </c>
      <c r="AT55" s="190">
        <v>0</v>
      </c>
      <c r="AU55" s="190">
        <v>-86000</v>
      </c>
      <c r="AV55" s="190">
        <v>0</v>
      </c>
      <c r="AW55" s="190">
        <v>7142262.8300000001</v>
      </c>
      <c r="AX55" s="190">
        <v>92906.16</v>
      </c>
      <c r="AY55" s="190">
        <v>92906.16</v>
      </c>
      <c r="AZ55" s="190">
        <v>0</v>
      </c>
      <c r="BA55" s="190">
        <v>22718744.600000001</v>
      </c>
      <c r="BB55" s="190">
        <v>3357888.3</v>
      </c>
      <c r="BC55" s="190">
        <v>21290.85</v>
      </c>
      <c r="BD55" s="190">
        <v>21290.85</v>
      </c>
      <c r="BE55" s="190">
        <v>8354618.4199999999</v>
      </c>
      <c r="BF55" s="190">
        <v>0</v>
      </c>
      <c r="BG55" s="190">
        <v>0</v>
      </c>
      <c r="BH55" s="190">
        <v>0</v>
      </c>
      <c r="BI55" s="190">
        <v>0</v>
      </c>
      <c r="BJ55" s="190">
        <v>0</v>
      </c>
      <c r="BK55" s="190">
        <v>0</v>
      </c>
      <c r="BL55" s="190">
        <v>0</v>
      </c>
      <c r="BM55" s="190">
        <v>0</v>
      </c>
      <c r="BN55" s="190">
        <v>0</v>
      </c>
      <c r="BO55" s="190">
        <v>1301366.8500000001</v>
      </c>
      <c r="BP55" s="190">
        <v>452916.94</v>
      </c>
      <c r="BQ55" s="190">
        <v>357535.35</v>
      </c>
      <c r="BR55" s="190">
        <v>9030508.7799999993</v>
      </c>
      <c r="BS55" s="190">
        <v>514492.74</v>
      </c>
      <c r="BT55" s="190">
        <v>7539.1</v>
      </c>
      <c r="BU55" s="190">
        <v>0</v>
      </c>
    </row>
    <row r="56" spans="1:7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row>
    <row r="57" spans="1:7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row>
    <row r="58" spans="1:7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row>
    <row r="59" spans="1:73" x14ac:dyDescent="0.25">
      <c r="A59" s="190" t="s">
        <v>197</v>
      </c>
      <c r="B59" s="190">
        <v>0</v>
      </c>
      <c r="C59" s="190">
        <v>2449074097.9299998</v>
      </c>
      <c r="D59" s="190">
        <v>0</v>
      </c>
      <c r="E59" s="190">
        <v>4903196579.6599998</v>
      </c>
      <c r="F59" s="190">
        <v>0</v>
      </c>
      <c r="G59" s="190">
        <v>2352271842.9200001</v>
      </c>
      <c r="H59" s="190">
        <v>0</v>
      </c>
      <c r="I59" s="190">
        <v>5000113916.4899998</v>
      </c>
      <c r="J59" s="190">
        <v>0</v>
      </c>
      <c r="K59" s="190">
        <v>2519370555.8699999</v>
      </c>
      <c r="L59" s="190">
        <v>0</v>
      </c>
      <c r="M59" s="190">
        <v>5901446446.1199999</v>
      </c>
      <c r="N59" s="190">
        <v>0</v>
      </c>
      <c r="O59" s="190">
        <v>3055055862.1500001</v>
      </c>
      <c r="P59" s="190">
        <v>0</v>
      </c>
      <c r="Q59" s="190">
        <v>6178007990.4099998</v>
      </c>
      <c r="R59" s="190">
        <v>0</v>
      </c>
      <c r="S59" s="190">
        <v>2751818671.2199998</v>
      </c>
      <c r="T59" s="190">
        <v>0</v>
      </c>
      <c r="U59" s="190">
        <v>4473174502.4399996</v>
      </c>
      <c r="V59" s="190">
        <v>0</v>
      </c>
      <c r="W59" s="190">
        <v>1928073910.74</v>
      </c>
      <c r="X59" s="190">
        <v>0</v>
      </c>
      <c r="Y59" s="190">
        <v>3087460245.1399999</v>
      </c>
      <c r="Z59" s="190">
        <v>0</v>
      </c>
      <c r="AA59" s="190">
        <v>1360872265.26</v>
      </c>
      <c r="AB59" s="190">
        <v>0</v>
      </c>
      <c r="AC59" s="190">
        <v>2186558665.1799998</v>
      </c>
      <c r="AD59" s="190">
        <v>0</v>
      </c>
      <c r="AE59" s="190">
        <v>1068825249.04</v>
      </c>
      <c r="AF59" s="190">
        <v>0</v>
      </c>
      <c r="AG59" s="190">
        <v>1757302395</v>
      </c>
      <c r="AH59" s="190">
        <v>0</v>
      </c>
      <c r="AI59" s="190">
        <v>840276497.78999996</v>
      </c>
      <c r="AJ59" s="190">
        <v>0</v>
      </c>
      <c r="AK59" s="190">
        <v>1709131756.95</v>
      </c>
      <c r="AL59" s="190">
        <v>0</v>
      </c>
      <c r="AM59" s="190">
        <v>306950954.45999998</v>
      </c>
      <c r="AN59" s="190">
        <v>0</v>
      </c>
      <c r="AO59" s="190">
        <v>648136857.03999996</v>
      </c>
      <c r="AP59" s="190">
        <v>0</v>
      </c>
      <c r="AQ59" s="190">
        <v>308661665.07999998</v>
      </c>
      <c r="AR59" s="190">
        <v>0</v>
      </c>
      <c r="AS59" s="190">
        <v>607738739.10000002</v>
      </c>
      <c r="AT59" s="190">
        <v>0</v>
      </c>
      <c r="AU59" s="190">
        <v>281677034.57999998</v>
      </c>
      <c r="AV59" s="190">
        <v>0</v>
      </c>
      <c r="AW59" s="190">
        <v>344319993.83999997</v>
      </c>
      <c r="AX59" s="190">
        <v>204967711.38999999</v>
      </c>
      <c r="AY59" s="190">
        <v>137541231.19999999</v>
      </c>
      <c r="AZ59" s="190">
        <v>76688486.510000005</v>
      </c>
      <c r="BA59" s="190">
        <v>297203890.10000002</v>
      </c>
      <c r="BB59" s="190">
        <v>219788548.78999999</v>
      </c>
      <c r="BC59" s="190">
        <v>152208014.96000001</v>
      </c>
      <c r="BD59" s="190">
        <v>72503022.540000007</v>
      </c>
      <c r="BE59" s="190">
        <v>228856759.22</v>
      </c>
      <c r="BF59" s="190">
        <v>199925930.09</v>
      </c>
      <c r="BG59" s="190">
        <v>86837773.790000007</v>
      </c>
      <c r="BH59" s="190">
        <v>27384061.66</v>
      </c>
      <c r="BI59" s="190">
        <v>137070390.15000001</v>
      </c>
      <c r="BJ59" s="190">
        <v>115120739.03</v>
      </c>
      <c r="BK59" s="190">
        <v>84114244.159999996</v>
      </c>
      <c r="BL59" s="190">
        <v>36534211.100000001</v>
      </c>
      <c r="BM59" s="190">
        <v>40944721.82</v>
      </c>
      <c r="BN59" s="190">
        <v>-179364.31</v>
      </c>
      <c r="BO59" s="190">
        <v>2180750</v>
      </c>
      <c r="BP59" s="190">
        <v>1304580.56</v>
      </c>
      <c r="BQ59" s="190">
        <v>6732600.2400000002</v>
      </c>
      <c r="BR59" s="190">
        <v>4596566.63</v>
      </c>
      <c r="BS59" s="190">
        <v>9893507.1300000008</v>
      </c>
      <c r="BT59" s="190">
        <v>3426316</v>
      </c>
      <c r="BU59" s="190">
        <v>0</v>
      </c>
    </row>
    <row r="60" spans="1:73" x14ac:dyDescent="0.25">
      <c r="A60" s="190" t="s">
        <v>273</v>
      </c>
      <c r="B60" s="190">
        <v>0</v>
      </c>
      <c r="C60" s="190">
        <v>-219996694.03</v>
      </c>
      <c r="D60" s="190">
        <v>0</v>
      </c>
      <c r="E60" s="190">
        <v>-345540745.06</v>
      </c>
      <c r="F60" s="190">
        <v>0</v>
      </c>
      <c r="G60" s="190">
        <v>-171093266.88</v>
      </c>
      <c r="H60" s="190">
        <v>0</v>
      </c>
      <c r="I60" s="190">
        <v>-807777307.99000001</v>
      </c>
      <c r="J60" s="190">
        <v>0</v>
      </c>
      <c r="K60" s="190">
        <v>-367201620.48000002</v>
      </c>
      <c r="L60" s="190">
        <v>0</v>
      </c>
      <c r="M60" s="190">
        <v>-579339517.47000003</v>
      </c>
      <c r="N60" s="190">
        <v>0</v>
      </c>
      <c r="O60" s="190">
        <v>-329653106.22000003</v>
      </c>
      <c r="P60" s="190">
        <v>0</v>
      </c>
      <c r="Q60" s="190">
        <v>-664380926.67999995</v>
      </c>
      <c r="R60" s="190">
        <v>0</v>
      </c>
      <c r="S60" s="190">
        <v>-449625264.54000002</v>
      </c>
      <c r="T60" s="190">
        <v>0</v>
      </c>
      <c r="U60" s="190">
        <v>-548154373.60000002</v>
      </c>
      <c r="V60" s="190">
        <v>0</v>
      </c>
      <c r="W60" s="190">
        <v>-231938493.88</v>
      </c>
      <c r="X60" s="190">
        <v>0</v>
      </c>
      <c r="Y60" s="190">
        <v>-196014695.81</v>
      </c>
      <c r="Z60" s="190">
        <v>0</v>
      </c>
      <c r="AA60" s="190">
        <v>-55113368.869999997</v>
      </c>
      <c r="AB60" s="190">
        <v>0</v>
      </c>
      <c r="AC60" s="190">
        <v>-75131555.75</v>
      </c>
      <c r="AD60" s="190">
        <v>0</v>
      </c>
      <c r="AE60" s="190">
        <v>-51124634.079999998</v>
      </c>
      <c r="AF60" s="190">
        <v>0</v>
      </c>
      <c r="AG60" s="190">
        <v>-78627518.829999998</v>
      </c>
      <c r="AH60" s="190">
        <v>0</v>
      </c>
      <c r="AI60" s="190">
        <v>-64605346.560000002</v>
      </c>
      <c r="AJ60" s="190">
        <v>0</v>
      </c>
      <c r="AK60" s="190">
        <v>-102161989.84</v>
      </c>
      <c r="AL60" s="190">
        <v>0</v>
      </c>
      <c r="AM60" s="190">
        <v>-37110688.369999997</v>
      </c>
      <c r="AN60" s="190">
        <v>0</v>
      </c>
      <c r="AO60" s="190">
        <v>-68631860.040000007</v>
      </c>
      <c r="AP60" s="190">
        <v>0</v>
      </c>
      <c r="AQ60" s="190">
        <v>-60573408.009999998</v>
      </c>
      <c r="AR60" s="190">
        <v>0</v>
      </c>
      <c r="AS60" s="190">
        <v>-158460456.44</v>
      </c>
      <c r="AT60" s="190">
        <v>0</v>
      </c>
      <c r="AU60" s="190">
        <v>-66186031.729999997</v>
      </c>
      <c r="AV60" s="190">
        <v>0</v>
      </c>
      <c r="AW60" s="190">
        <v>-91896385.170000002</v>
      </c>
      <c r="AX60" s="190">
        <v>-91210465.540000007</v>
      </c>
      <c r="AY60" s="190">
        <v>-53081694.579999998</v>
      </c>
      <c r="AZ60" s="190">
        <v>-24609672.469999999</v>
      </c>
      <c r="BA60" s="190">
        <v>-128703469.58</v>
      </c>
      <c r="BB60" s="190">
        <v>-106163840.43000001</v>
      </c>
      <c r="BC60" s="190">
        <v>-53481238.909999996</v>
      </c>
      <c r="BD60" s="190">
        <v>-26156224.609999999</v>
      </c>
      <c r="BE60" s="190">
        <v>-95925561.390000001</v>
      </c>
      <c r="BF60" s="190">
        <v>-68689482.879999995</v>
      </c>
      <c r="BG60" s="190">
        <v>-39337239.340000004</v>
      </c>
      <c r="BH60" s="190">
        <v>-26915646.969999999</v>
      </c>
      <c r="BI60" s="190">
        <v>-67336835.930000007</v>
      </c>
      <c r="BJ60" s="190">
        <v>-55785335.399999999</v>
      </c>
      <c r="BK60" s="190">
        <v>-33176741.760000002</v>
      </c>
      <c r="BL60" s="190">
        <v>-18993250.530000001</v>
      </c>
      <c r="BM60" s="190">
        <v>-19774032.600000001</v>
      </c>
      <c r="BN60" s="190">
        <v>0</v>
      </c>
      <c r="BO60" s="190">
        <v>-2566409.36</v>
      </c>
      <c r="BP60" s="190">
        <v>-522340</v>
      </c>
      <c r="BQ60" s="190">
        <v>997944.79</v>
      </c>
      <c r="BR60" s="190">
        <v>-1114565.96</v>
      </c>
      <c r="BS60" s="190">
        <v>208395.35</v>
      </c>
      <c r="BT60" s="190">
        <v>-182000</v>
      </c>
      <c r="BU60" s="190">
        <v>0</v>
      </c>
    </row>
    <row r="61" spans="1:73" x14ac:dyDescent="0.25">
      <c r="A61" s="190" t="s">
        <v>274</v>
      </c>
      <c r="B61" s="190">
        <v>0</v>
      </c>
      <c r="C61" s="190">
        <v>-17325979.460000001</v>
      </c>
      <c r="D61" s="190">
        <v>0</v>
      </c>
      <c r="E61" s="190">
        <v>-27344197.469999999</v>
      </c>
      <c r="F61" s="190">
        <v>0</v>
      </c>
      <c r="G61" s="190">
        <v>-4412830.8600000003</v>
      </c>
      <c r="H61" s="190">
        <v>0</v>
      </c>
      <c r="I61" s="190">
        <v>-52310482.740000002</v>
      </c>
      <c r="J61" s="190">
        <v>0</v>
      </c>
      <c r="K61" s="190">
        <v>-10193165.99</v>
      </c>
      <c r="L61" s="190">
        <v>0</v>
      </c>
      <c r="M61" s="190">
        <v>-37330582.950000003</v>
      </c>
      <c r="N61" s="190">
        <v>0</v>
      </c>
      <c r="O61" s="190">
        <v>-2961217.11</v>
      </c>
      <c r="P61" s="190">
        <v>0</v>
      </c>
      <c r="Q61" s="190">
        <v>-1092915.33</v>
      </c>
      <c r="R61" s="190">
        <v>0</v>
      </c>
      <c r="S61" s="190">
        <v>-80273.83</v>
      </c>
      <c r="T61" s="190">
        <v>0</v>
      </c>
      <c r="U61" s="190">
        <v>11899461.689999999</v>
      </c>
      <c r="V61" s="190">
        <v>0</v>
      </c>
      <c r="W61" s="190">
        <v>-29188.23</v>
      </c>
      <c r="X61" s="190">
        <v>0</v>
      </c>
      <c r="Y61" s="190">
        <v>941375.6</v>
      </c>
      <c r="Z61" s="190">
        <v>0</v>
      </c>
      <c r="AA61" s="190">
        <v>0</v>
      </c>
      <c r="AB61" s="190">
        <v>0</v>
      </c>
      <c r="AC61" s="190">
        <v>387396.84</v>
      </c>
      <c r="AD61" s="190">
        <v>0</v>
      </c>
      <c r="AE61" s="190">
        <v>2871547.37</v>
      </c>
      <c r="AF61" s="190">
        <v>0</v>
      </c>
      <c r="AG61" s="190">
        <v>48089913.859999999</v>
      </c>
      <c r="AH61" s="190">
        <v>0</v>
      </c>
      <c r="AI61" s="190">
        <v>1768435.63</v>
      </c>
      <c r="AJ61" s="190">
        <v>0</v>
      </c>
      <c r="AK61" s="190">
        <v>-60784323.289999999</v>
      </c>
      <c r="AL61" s="190">
        <v>0</v>
      </c>
      <c r="AM61" s="190">
        <v>-10610970.67</v>
      </c>
      <c r="AN61" s="190">
        <v>0</v>
      </c>
      <c r="AO61" s="190">
        <v>-4955860.5599999996</v>
      </c>
      <c r="AP61" s="190">
        <v>0</v>
      </c>
      <c r="AQ61" s="190">
        <v>-409333.37</v>
      </c>
      <c r="AR61" s="190">
        <v>0</v>
      </c>
      <c r="AS61" s="190">
        <v>-3036809.88</v>
      </c>
      <c r="AT61" s="190">
        <v>0</v>
      </c>
      <c r="AU61" s="190">
        <v>198976.97</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row>
    <row r="62" spans="1:73" x14ac:dyDescent="0.25">
      <c r="A62" s="190" t="s">
        <v>275</v>
      </c>
      <c r="B62" s="190">
        <v>0</v>
      </c>
      <c r="C62" s="190">
        <v>-442491.25</v>
      </c>
      <c r="D62" s="190">
        <v>0</v>
      </c>
      <c r="E62" s="190">
        <v>5759392.0199999996</v>
      </c>
      <c r="F62" s="190">
        <v>0</v>
      </c>
      <c r="G62" s="190">
        <v>15946494.869999999</v>
      </c>
      <c r="H62" s="190">
        <v>0</v>
      </c>
      <c r="I62" s="190">
        <v>-6188210.3600000003</v>
      </c>
      <c r="J62" s="190">
        <v>0</v>
      </c>
      <c r="K62" s="190">
        <v>-6053924.4699999997</v>
      </c>
      <c r="L62" s="190">
        <v>0</v>
      </c>
      <c r="M62" s="190">
        <v>-1328022.69</v>
      </c>
      <c r="N62" s="190">
        <v>0</v>
      </c>
      <c r="O62" s="190">
        <v>0</v>
      </c>
      <c r="P62" s="190">
        <v>0</v>
      </c>
      <c r="Q62" s="190">
        <v>-23651357.699999999</v>
      </c>
      <c r="R62" s="190">
        <v>0</v>
      </c>
      <c r="S62" s="190">
        <v>0</v>
      </c>
      <c r="T62" s="190">
        <v>0</v>
      </c>
      <c r="U62" s="190">
        <v>-26324486.32</v>
      </c>
      <c r="V62" s="190">
        <v>0</v>
      </c>
      <c r="W62" s="190">
        <v>0</v>
      </c>
      <c r="X62" s="190">
        <v>0</v>
      </c>
      <c r="Y62" s="190">
        <v>-29757248.899999999</v>
      </c>
      <c r="Z62" s="190">
        <v>0</v>
      </c>
      <c r="AA62" s="190">
        <v>0</v>
      </c>
      <c r="AB62" s="190">
        <v>0</v>
      </c>
      <c r="AC62" s="190">
        <v>5400270.9900000002</v>
      </c>
      <c r="AD62" s="190">
        <v>0</v>
      </c>
      <c r="AE62" s="190">
        <v>0</v>
      </c>
      <c r="AF62" s="190">
        <v>0</v>
      </c>
      <c r="AG62" s="190">
        <v>-26419158.27</v>
      </c>
      <c r="AH62" s="190">
        <v>0</v>
      </c>
      <c r="AI62" s="190">
        <v>0</v>
      </c>
      <c r="AJ62" s="190">
        <v>0</v>
      </c>
      <c r="AK62" s="190">
        <v>-13689428.109999999</v>
      </c>
      <c r="AL62" s="190">
        <v>0</v>
      </c>
      <c r="AM62" s="190">
        <v>-3525521.61</v>
      </c>
      <c r="AN62" s="190">
        <v>0</v>
      </c>
      <c r="AO62" s="190">
        <v>-7981126.21</v>
      </c>
      <c r="AP62" s="190">
        <v>0</v>
      </c>
      <c r="AQ62" s="190">
        <v>0</v>
      </c>
      <c r="AR62" s="190">
        <v>0</v>
      </c>
      <c r="AS62" s="190">
        <v>21847705.329999998</v>
      </c>
      <c r="AT62" s="190">
        <v>0</v>
      </c>
      <c r="AU62" s="190">
        <v>0</v>
      </c>
      <c r="AV62" s="190">
        <v>0</v>
      </c>
      <c r="AW62" s="190">
        <v>741333.11</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-2992352.45</v>
      </c>
      <c r="BN62" s="190">
        <v>0</v>
      </c>
      <c r="BO62" s="190">
        <v>0</v>
      </c>
      <c r="BP62" s="190">
        <v>0</v>
      </c>
      <c r="BQ62" s="190">
        <v>0</v>
      </c>
      <c r="BR62" s="190">
        <v>0</v>
      </c>
      <c r="BS62" s="190">
        <v>0</v>
      </c>
      <c r="BT62" s="190">
        <v>0</v>
      </c>
      <c r="BU62" s="190">
        <v>0</v>
      </c>
    </row>
    <row r="63" spans="1:73" x14ac:dyDescent="0.25">
      <c r="A63" s="190" t="s">
        <v>276</v>
      </c>
      <c r="B63" s="190">
        <v>0</v>
      </c>
      <c r="C63" s="190">
        <v>-299724676.56</v>
      </c>
      <c r="D63" s="190">
        <v>0</v>
      </c>
      <c r="E63" s="190">
        <v>-114476628.36</v>
      </c>
      <c r="F63" s="190">
        <v>0</v>
      </c>
      <c r="G63" s="190">
        <v>-205497715.86000001</v>
      </c>
      <c r="H63" s="190">
        <v>0</v>
      </c>
      <c r="I63" s="190">
        <v>-222689617.74000001</v>
      </c>
      <c r="J63" s="190">
        <v>0</v>
      </c>
      <c r="K63" s="190">
        <v>-167132.54</v>
      </c>
      <c r="L63" s="190">
        <v>0</v>
      </c>
      <c r="M63" s="190">
        <v>246235130.71000001</v>
      </c>
      <c r="N63" s="190">
        <v>0</v>
      </c>
      <c r="O63" s="190">
        <v>159636730.34999999</v>
      </c>
      <c r="P63" s="190">
        <v>0</v>
      </c>
      <c r="Q63" s="190">
        <v>-120285899.72</v>
      </c>
      <c r="R63" s="190">
        <v>0</v>
      </c>
      <c r="S63" s="190">
        <v>77922969.420000002</v>
      </c>
      <c r="T63" s="190">
        <v>0</v>
      </c>
      <c r="U63" s="190">
        <v>277139288.81</v>
      </c>
      <c r="V63" s="190">
        <v>0</v>
      </c>
      <c r="W63" s="190">
        <v>209493065.53</v>
      </c>
      <c r="X63" s="190">
        <v>0</v>
      </c>
      <c r="Y63" s="190">
        <v>206686576.84</v>
      </c>
      <c r="Z63" s="190">
        <v>0</v>
      </c>
      <c r="AA63" s="190">
        <v>33803063.609999999</v>
      </c>
      <c r="AB63" s="190">
        <v>0</v>
      </c>
      <c r="AC63" s="190">
        <v>-135145550.97</v>
      </c>
      <c r="AD63" s="190">
        <v>0</v>
      </c>
      <c r="AE63" s="190">
        <v>126087019.91</v>
      </c>
      <c r="AF63" s="190">
        <v>0</v>
      </c>
      <c r="AG63" s="190">
        <v>-384511431.58999997</v>
      </c>
      <c r="AH63" s="190">
        <v>0</v>
      </c>
      <c r="AI63" s="190">
        <v>-236605776.37</v>
      </c>
      <c r="AJ63" s="190">
        <v>0</v>
      </c>
      <c r="AK63" s="190">
        <v>221847279.09</v>
      </c>
      <c r="AL63" s="190">
        <v>0</v>
      </c>
      <c r="AM63" s="190">
        <v>294409148.92000002</v>
      </c>
      <c r="AN63" s="190">
        <v>0</v>
      </c>
      <c r="AO63" s="190">
        <v>-447251008.04000002</v>
      </c>
      <c r="AP63" s="190">
        <v>0</v>
      </c>
      <c r="AQ63" s="190">
        <v>-255246813.68000001</v>
      </c>
      <c r="AR63" s="190">
        <v>0</v>
      </c>
      <c r="AS63" s="190">
        <v>8327271.8700000001</v>
      </c>
      <c r="AT63" s="190">
        <v>0</v>
      </c>
      <c r="AU63" s="190">
        <v>90244415.980000004</v>
      </c>
      <c r="AV63" s="190">
        <v>0</v>
      </c>
      <c r="AW63" s="190">
        <v>30106895.210000001</v>
      </c>
      <c r="AX63" s="190">
        <v>-18114820.260000002</v>
      </c>
      <c r="AY63" s="190">
        <v>-19905140.129999999</v>
      </c>
      <c r="AZ63" s="190">
        <v>-10030294.16</v>
      </c>
      <c r="BA63" s="190">
        <v>5406747.0800000001</v>
      </c>
      <c r="BB63" s="190">
        <v>0</v>
      </c>
      <c r="BC63" s="190">
        <v>-15791897.300000001</v>
      </c>
      <c r="BD63" s="190">
        <v>-7224113.0999999996</v>
      </c>
      <c r="BE63" s="190">
        <v>-56060386.149999999</v>
      </c>
      <c r="BF63" s="190">
        <v>-6432240.7400000002</v>
      </c>
      <c r="BG63" s="190">
        <v>-27201150.09</v>
      </c>
      <c r="BH63" s="190">
        <v>-11275262.67</v>
      </c>
      <c r="BI63" s="190">
        <v>-5665068.1100000003</v>
      </c>
      <c r="BJ63" s="190">
        <v>-2810430.31</v>
      </c>
      <c r="BK63" s="190">
        <v>-4978946.29</v>
      </c>
      <c r="BL63" s="190">
        <v>-1198596.1499999999</v>
      </c>
      <c r="BM63" s="190">
        <v>5961794.7199999997</v>
      </c>
      <c r="BN63" s="190">
        <v>-48597227.659999996</v>
      </c>
      <c r="BO63" s="190">
        <v>25052977.48</v>
      </c>
      <c r="BP63" s="190">
        <v>-248113795.65000001</v>
      </c>
      <c r="BQ63" s="190">
        <v>-20775480.75</v>
      </c>
      <c r="BR63" s="190">
        <v>-19990277.59</v>
      </c>
      <c r="BS63" s="190">
        <v>27724420.170000002</v>
      </c>
      <c r="BT63" s="190">
        <v>-52712380.539999999</v>
      </c>
      <c r="BU63" s="190">
        <v>0</v>
      </c>
    </row>
    <row r="64" spans="1:73" x14ac:dyDescent="0.25">
      <c r="A64" s="190" t="s">
        <v>277</v>
      </c>
      <c r="B64" s="190">
        <v>0</v>
      </c>
      <c r="C64" s="190">
        <v>-793144480.53999996</v>
      </c>
      <c r="D64" s="190">
        <v>0</v>
      </c>
      <c r="E64" s="190">
        <v>-1033879360.52</v>
      </c>
      <c r="F64" s="190">
        <v>0</v>
      </c>
      <c r="G64" s="190">
        <v>-1375191632.05</v>
      </c>
      <c r="H64" s="190">
        <v>0</v>
      </c>
      <c r="I64" s="190">
        <v>226227663.71000001</v>
      </c>
      <c r="J64" s="190">
        <v>0</v>
      </c>
      <c r="K64" s="190">
        <v>-1335726553.96</v>
      </c>
      <c r="L64" s="190">
        <v>0</v>
      </c>
      <c r="M64" s="190">
        <v>399565643.38</v>
      </c>
      <c r="N64" s="190">
        <v>0</v>
      </c>
      <c r="O64" s="190">
        <v>-1959644294.6199999</v>
      </c>
      <c r="P64" s="190">
        <v>0</v>
      </c>
      <c r="Q64" s="190">
        <v>537487516.61000001</v>
      </c>
      <c r="R64" s="190">
        <v>0</v>
      </c>
      <c r="S64" s="190">
        <v>-108271569.01000001</v>
      </c>
      <c r="T64" s="190">
        <v>0</v>
      </c>
      <c r="U64" s="190">
        <v>277517488.07999998</v>
      </c>
      <c r="V64" s="190">
        <v>0</v>
      </c>
      <c r="W64" s="190">
        <v>-330628027.52999997</v>
      </c>
      <c r="X64" s="190">
        <v>0</v>
      </c>
      <c r="Y64" s="190">
        <v>75562097.670000002</v>
      </c>
      <c r="Z64" s="190">
        <v>0</v>
      </c>
      <c r="AA64" s="190">
        <v>-3579120606.3699999</v>
      </c>
      <c r="AB64" s="190">
        <v>0</v>
      </c>
      <c r="AC64" s="190">
        <v>-1084362506.3800001</v>
      </c>
      <c r="AD64" s="190">
        <v>0</v>
      </c>
      <c r="AE64" s="190">
        <v>-1089044748.9100001</v>
      </c>
      <c r="AF64" s="190">
        <v>0</v>
      </c>
      <c r="AG64" s="190">
        <v>-221816640.53999999</v>
      </c>
      <c r="AH64" s="190">
        <v>0</v>
      </c>
      <c r="AI64" s="190">
        <v>-101548512.91</v>
      </c>
      <c r="AJ64" s="190">
        <v>0</v>
      </c>
      <c r="AK64" s="190">
        <v>-848381591.16999996</v>
      </c>
      <c r="AL64" s="190">
        <v>0</v>
      </c>
      <c r="AM64" s="190">
        <v>-241474408.28</v>
      </c>
      <c r="AN64" s="190">
        <v>0</v>
      </c>
      <c r="AO64" s="190">
        <v>445564003.20999998</v>
      </c>
      <c r="AP64" s="190">
        <v>0</v>
      </c>
      <c r="AQ64" s="190">
        <v>-202933672.90000001</v>
      </c>
      <c r="AR64" s="190">
        <v>0</v>
      </c>
      <c r="AS64" s="190">
        <v>-280724024.56999999</v>
      </c>
      <c r="AT64" s="190">
        <v>0</v>
      </c>
      <c r="AU64" s="190">
        <v>-111161554.14</v>
      </c>
      <c r="AV64" s="190">
        <v>0</v>
      </c>
      <c r="AW64" s="190">
        <v>-775900750.01999998</v>
      </c>
      <c r="AX64" s="190">
        <v>-300183055.04000002</v>
      </c>
      <c r="AY64" s="190">
        <v>-126082121.34</v>
      </c>
      <c r="AZ64" s="190">
        <v>-92800145.230000004</v>
      </c>
      <c r="BA64" s="190">
        <v>35440378.5</v>
      </c>
      <c r="BB64" s="190">
        <v>-42809335.75</v>
      </c>
      <c r="BC64" s="190">
        <v>-84094118.370000005</v>
      </c>
      <c r="BD64" s="190">
        <v>-6705969.0199999996</v>
      </c>
      <c r="BE64" s="190">
        <v>260946144.52000001</v>
      </c>
      <c r="BF64" s="190">
        <v>240554891.34</v>
      </c>
      <c r="BG64" s="190">
        <v>-124952026.92</v>
      </c>
      <c r="BH64" s="190">
        <v>-45961586.460000001</v>
      </c>
      <c r="BI64" s="190">
        <v>125655350.7</v>
      </c>
      <c r="BJ64" s="190">
        <v>82811505.650000006</v>
      </c>
      <c r="BK64" s="190">
        <v>164520910.55000001</v>
      </c>
      <c r="BL64" s="190">
        <v>-67362627.25</v>
      </c>
      <c r="BM64" s="190">
        <v>80546073.719999999</v>
      </c>
      <c r="BN64" s="190">
        <v>-8976528.0700000003</v>
      </c>
      <c r="BO64" s="190">
        <v>20440358.199999999</v>
      </c>
      <c r="BP64" s="190">
        <v>12190492.689999999</v>
      </c>
      <c r="BQ64" s="190">
        <v>25207534.510000002</v>
      </c>
      <c r="BR64" s="190">
        <v>111531443.76000001</v>
      </c>
      <c r="BS64" s="190">
        <v>20682153.34</v>
      </c>
      <c r="BT64" s="190">
        <v>-181563622.41</v>
      </c>
      <c r="BU64" s="190">
        <v>0</v>
      </c>
    </row>
    <row r="65" spans="1:73" x14ac:dyDescent="0.25">
      <c r="A65" s="190" t="s">
        <v>278</v>
      </c>
      <c r="B65" s="190">
        <v>0</v>
      </c>
      <c r="C65" s="190">
        <v>-266986372.87</v>
      </c>
      <c r="D65" s="190">
        <v>0</v>
      </c>
      <c r="E65" s="190">
        <v>1398763860.8</v>
      </c>
      <c r="F65" s="190">
        <v>0</v>
      </c>
      <c r="G65" s="190">
        <v>502580184.32999998</v>
      </c>
      <c r="H65" s="190">
        <v>0</v>
      </c>
      <c r="I65" s="190">
        <v>899908897.01999998</v>
      </c>
      <c r="J65" s="190">
        <v>0</v>
      </c>
      <c r="K65" s="190">
        <v>683175229.83000004</v>
      </c>
      <c r="L65" s="190">
        <v>0</v>
      </c>
      <c r="M65" s="190">
        <v>616144607.77999997</v>
      </c>
      <c r="N65" s="190">
        <v>0</v>
      </c>
      <c r="O65" s="190">
        <v>1313423676.4300001</v>
      </c>
      <c r="P65" s="190">
        <v>0</v>
      </c>
      <c r="Q65" s="190">
        <v>-242050883</v>
      </c>
      <c r="R65" s="190">
        <v>0</v>
      </c>
      <c r="S65" s="190">
        <v>-743896120</v>
      </c>
      <c r="T65" s="190">
        <v>0</v>
      </c>
      <c r="U65" s="190">
        <v>144502297.44999999</v>
      </c>
      <c r="V65" s="190">
        <v>0</v>
      </c>
      <c r="W65" s="190">
        <v>285627541.56999999</v>
      </c>
      <c r="X65" s="190">
        <v>0</v>
      </c>
      <c r="Y65" s="190">
        <v>-81394177.019999996</v>
      </c>
      <c r="Z65" s="190">
        <v>0</v>
      </c>
      <c r="AA65" s="190">
        <v>3933680368.21</v>
      </c>
      <c r="AB65" s="190">
        <v>0</v>
      </c>
      <c r="AC65" s="190">
        <v>732625377.84000003</v>
      </c>
      <c r="AD65" s="190">
        <v>0</v>
      </c>
      <c r="AE65" s="190">
        <v>927095190.33000004</v>
      </c>
      <c r="AF65" s="190">
        <v>0</v>
      </c>
      <c r="AG65" s="190">
        <v>-46507499.090000004</v>
      </c>
      <c r="AH65" s="190">
        <v>0</v>
      </c>
      <c r="AI65" s="190">
        <v>-61354033.020000003</v>
      </c>
      <c r="AJ65" s="190">
        <v>0</v>
      </c>
      <c r="AK65" s="190">
        <v>598343009.54999995</v>
      </c>
      <c r="AL65" s="190">
        <v>0</v>
      </c>
      <c r="AM65" s="190">
        <v>170768806.56999999</v>
      </c>
      <c r="AN65" s="190">
        <v>0</v>
      </c>
      <c r="AO65" s="190">
        <v>-114525206.73999999</v>
      </c>
      <c r="AP65" s="190">
        <v>0</v>
      </c>
      <c r="AQ65" s="190">
        <v>304805823.64999998</v>
      </c>
      <c r="AR65" s="190">
        <v>0</v>
      </c>
      <c r="AS65" s="190">
        <v>271088560.67000002</v>
      </c>
      <c r="AT65" s="190">
        <v>0</v>
      </c>
      <c r="AU65" s="190">
        <v>97024970.810000002</v>
      </c>
      <c r="AV65" s="190">
        <v>0</v>
      </c>
      <c r="AW65" s="190">
        <v>484547972.72000003</v>
      </c>
      <c r="AX65" s="190">
        <v>150380569.41</v>
      </c>
      <c r="AY65" s="190">
        <v>-36731857.759999998</v>
      </c>
      <c r="AZ65" s="190">
        <v>33557246.18</v>
      </c>
      <c r="BA65" s="190">
        <v>-134234207.31</v>
      </c>
      <c r="BB65" s="190">
        <v>-133999537.56999999</v>
      </c>
      <c r="BC65" s="190">
        <v>88589911.730000004</v>
      </c>
      <c r="BD65" s="190">
        <v>22473698.550000001</v>
      </c>
      <c r="BE65" s="190">
        <v>-284825127.92000002</v>
      </c>
      <c r="BF65" s="190">
        <v>-90201531.659999996</v>
      </c>
      <c r="BG65" s="190">
        <v>-71461948.640000001</v>
      </c>
      <c r="BH65" s="190">
        <v>33024248.129999999</v>
      </c>
      <c r="BI65" s="190">
        <v>-76943131.620000005</v>
      </c>
      <c r="BJ65" s="190">
        <v>127775461.13</v>
      </c>
      <c r="BK65" s="190">
        <v>39177584.32</v>
      </c>
      <c r="BL65" s="190">
        <v>20610591.98</v>
      </c>
      <c r="BM65" s="190">
        <v>-18338001.859999999</v>
      </c>
      <c r="BN65" s="190">
        <v>70465411.019999996</v>
      </c>
      <c r="BO65" s="190">
        <v>-98265396.379999995</v>
      </c>
      <c r="BP65" s="190">
        <v>169080286.38999999</v>
      </c>
      <c r="BQ65" s="190">
        <v>72063759.909999996</v>
      </c>
      <c r="BR65" s="190">
        <v>9789169.3399999999</v>
      </c>
      <c r="BS65" s="190">
        <v>-28074138.52</v>
      </c>
      <c r="BT65" s="190">
        <v>66814261.240000002</v>
      </c>
      <c r="BU65" s="190">
        <v>0</v>
      </c>
    </row>
    <row r="66" spans="1:7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row>
    <row r="67" spans="1:7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row>
    <row r="68" spans="1:73"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-1225000</v>
      </c>
      <c r="AP68" s="190">
        <v>0</v>
      </c>
      <c r="AQ68" s="190">
        <v>78513599.920000002</v>
      </c>
      <c r="AR68" s="190">
        <v>0</v>
      </c>
      <c r="AS68" s="190">
        <v>0</v>
      </c>
      <c r="AT68" s="190">
        <v>0</v>
      </c>
      <c r="AU68" s="190">
        <v>51211700.609999999</v>
      </c>
      <c r="AV68" s="190">
        <v>0</v>
      </c>
      <c r="AW68" s="190">
        <v>0</v>
      </c>
      <c r="AX68" s="190">
        <v>11081003.1</v>
      </c>
      <c r="AY68" s="190">
        <v>96117.05</v>
      </c>
      <c r="AZ68" s="190">
        <v>28974006.920000002</v>
      </c>
      <c r="BA68" s="190">
        <v>0</v>
      </c>
      <c r="BB68" s="190">
        <v>0</v>
      </c>
      <c r="BC68" s="190">
        <v>0</v>
      </c>
      <c r="BD68" s="190">
        <v>52511.93</v>
      </c>
      <c r="BE68" s="190">
        <v>0</v>
      </c>
      <c r="BF68" s="190">
        <v>0</v>
      </c>
      <c r="BG68" s="190">
        <v>0</v>
      </c>
      <c r="BH68" s="190">
        <v>0</v>
      </c>
      <c r="BI68" s="190">
        <v>0</v>
      </c>
      <c r="BJ68" s="190">
        <v>0</v>
      </c>
      <c r="BK68" s="190">
        <v>0</v>
      </c>
      <c r="BL68" s="190">
        <v>0</v>
      </c>
      <c r="BM68" s="190">
        <v>128816.82</v>
      </c>
      <c r="BN68" s="190">
        <v>-3453404.7</v>
      </c>
      <c r="BO68" s="190">
        <v>-22016935.559999999</v>
      </c>
      <c r="BP68" s="190">
        <v>-10547073.26</v>
      </c>
      <c r="BQ68" s="190">
        <v>15576221.300000001</v>
      </c>
      <c r="BR68" s="190">
        <v>11140507.98</v>
      </c>
      <c r="BS68" s="190">
        <v>3085637.05</v>
      </c>
      <c r="BT68" s="190">
        <v>0</v>
      </c>
      <c r="BU68" s="190">
        <v>0</v>
      </c>
    </row>
    <row r="69" spans="1:73" x14ac:dyDescent="0.25">
      <c r="A69" s="190" t="s">
        <v>282</v>
      </c>
      <c r="B69" s="190">
        <v>0</v>
      </c>
      <c r="C69" s="190">
        <v>7548952442.4799995</v>
      </c>
      <c r="D69" s="190">
        <v>0</v>
      </c>
      <c r="E69" s="190">
        <v>18141039798.419998</v>
      </c>
      <c r="F69" s="190">
        <v>0</v>
      </c>
      <c r="G69" s="190">
        <v>6944176302.0299997</v>
      </c>
      <c r="H69" s="190">
        <v>0</v>
      </c>
      <c r="I69" s="190">
        <v>19066537849.5</v>
      </c>
      <c r="J69" s="190">
        <v>0</v>
      </c>
      <c r="K69" s="190">
        <v>7726437834.3299999</v>
      </c>
      <c r="L69" s="190">
        <v>0</v>
      </c>
      <c r="M69" s="190">
        <v>22896771649</v>
      </c>
      <c r="N69" s="190">
        <v>0</v>
      </c>
      <c r="O69" s="190">
        <v>9709133286.8400002</v>
      </c>
      <c r="P69" s="190">
        <v>0</v>
      </c>
      <c r="Q69" s="190">
        <v>21418981070.5</v>
      </c>
      <c r="R69" s="190">
        <v>0</v>
      </c>
      <c r="S69" s="190">
        <v>7685378674.5200005</v>
      </c>
      <c r="T69" s="190">
        <v>0</v>
      </c>
      <c r="U69" s="190">
        <v>15197612776.08</v>
      </c>
      <c r="V69" s="190">
        <v>0</v>
      </c>
      <c r="W69" s="190">
        <v>6015880830.8800001</v>
      </c>
      <c r="X69" s="190">
        <v>0</v>
      </c>
      <c r="Y69" s="190">
        <v>8606379058.2800007</v>
      </c>
      <c r="Z69" s="190">
        <v>0</v>
      </c>
      <c r="AA69" s="190">
        <v>3399039261.5999999</v>
      </c>
      <c r="AB69" s="190">
        <v>0</v>
      </c>
      <c r="AC69" s="190">
        <v>5376582107.46</v>
      </c>
      <c r="AD69" s="190">
        <v>0</v>
      </c>
      <c r="AE69" s="190">
        <v>2751385307.29</v>
      </c>
      <c r="AF69" s="190">
        <v>0</v>
      </c>
      <c r="AG69" s="190">
        <v>5045281505.9899998</v>
      </c>
      <c r="AH69" s="190">
        <v>0</v>
      </c>
      <c r="AI69" s="190">
        <v>2032714865.1500001</v>
      </c>
      <c r="AJ69" s="190">
        <v>0</v>
      </c>
      <c r="AK69" s="190">
        <v>5044550123.2600002</v>
      </c>
      <c r="AL69" s="190">
        <v>0</v>
      </c>
      <c r="AM69" s="190">
        <v>1163638843.49</v>
      </c>
      <c r="AN69" s="190">
        <v>0</v>
      </c>
      <c r="AO69" s="190">
        <v>1670839774.5899999</v>
      </c>
      <c r="AP69" s="190">
        <v>0</v>
      </c>
      <c r="AQ69" s="190">
        <v>846346715.88</v>
      </c>
      <c r="AR69" s="190">
        <v>0</v>
      </c>
      <c r="AS69" s="190">
        <v>2424268794.79</v>
      </c>
      <c r="AT69" s="190">
        <v>0</v>
      </c>
      <c r="AU69" s="190">
        <v>1490812812.45</v>
      </c>
      <c r="AV69" s="190">
        <v>0</v>
      </c>
      <c r="AW69" s="190">
        <v>1540794617.72</v>
      </c>
      <c r="AX69" s="190">
        <v>992384369.40999997</v>
      </c>
      <c r="AY69" s="190">
        <v>567976043.11000001</v>
      </c>
      <c r="AZ69" s="190">
        <v>310503282.19999999</v>
      </c>
      <c r="BA69" s="190">
        <v>1384501370.98</v>
      </c>
      <c r="BB69" s="190">
        <v>1139823194.8499999</v>
      </c>
      <c r="BC69" s="190">
        <v>784600897.85000002</v>
      </c>
      <c r="BD69" s="190">
        <v>416475190.25999999</v>
      </c>
      <c r="BE69" s="190">
        <v>1120756111.4300001</v>
      </c>
      <c r="BF69" s="190">
        <v>1070704439.34</v>
      </c>
      <c r="BG69" s="190">
        <v>372489773.35000002</v>
      </c>
      <c r="BH69" s="190">
        <v>179016091.75</v>
      </c>
      <c r="BI69" s="190">
        <v>794532232.12</v>
      </c>
      <c r="BJ69" s="190">
        <v>770693678.51999998</v>
      </c>
      <c r="BK69" s="190">
        <v>571970187.01999998</v>
      </c>
      <c r="BL69" s="190">
        <v>170186033.81</v>
      </c>
      <c r="BM69" s="190">
        <v>229602872.41</v>
      </c>
      <c r="BN69" s="190">
        <v>-18069168.73</v>
      </c>
      <c r="BO69" s="190">
        <v>-39103770.670000002</v>
      </c>
      <c r="BP69" s="190">
        <v>-44771062.189999998</v>
      </c>
      <c r="BQ69" s="190">
        <v>195742978.63</v>
      </c>
      <c r="BR69" s="190">
        <v>120113206.53</v>
      </c>
      <c r="BS69" s="190">
        <v>50368022.869999997</v>
      </c>
      <c r="BT69" s="190">
        <v>-69160066.280000001</v>
      </c>
      <c r="BU69" s="190">
        <v>0</v>
      </c>
    </row>
    <row r="70" spans="1:7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row>
    <row r="71" spans="1:7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row>
    <row r="72" spans="1:7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row>
    <row r="73" spans="1:73" x14ac:dyDescent="0.25">
      <c r="A73" s="190" t="s">
        <v>286</v>
      </c>
      <c r="B73" s="190">
        <v>0</v>
      </c>
      <c r="C73" s="190">
        <v>9000702526.6599998</v>
      </c>
      <c r="D73" s="190">
        <v>0</v>
      </c>
      <c r="E73" s="190">
        <v>4972355059.2399998</v>
      </c>
      <c r="F73" s="190">
        <v>0</v>
      </c>
      <c r="G73" s="190">
        <v>4784615580.5200005</v>
      </c>
      <c r="H73" s="190">
        <v>0</v>
      </c>
      <c r="I73" s="190">
        <v>4154345505</v>
      </c>
      <c r="J73" s="190">
        <v>0</v>
      </c>
      <c r="K73" s="190">
        <v>4757623094.3999996</v>
      </c>
      <c r="L73" s="190">
        <v>0</v>
      </c>
      <c r="M73" s="190">
        <v>6123366385.9099998</v>
      </c>
      <c r="N73" s="190">
        <v>0</v>
      </c>
      <c r="O73" s="190">
        <v>6683415298.8500004</v>
      </c>
      <c r="P73" s="190">
        <v>0</v>
      </c>
      <c r="Q73" s="190">
        <v>7370571065.9200001</v>
      </c>
      <c r="R73" s="190">
        <v>0</v>
      </c>
      <c r="S73" s="190">
        <v>6407994789.6000004</v>
      </c>
      <c r="T73" s="190">
        <v>0</v>
      </c>
      <c r="U73" s="190">
        <v>3967404751.5999999</v>
      </c>
      <c r="V73" s="190">
        <v>0</v>
      </c>
      <c r="W73" s="190">
        <v>3771521019.3600001</v>
      </c>
      <c r="X73" s="190">
        <v>0</v>
      </c>
      <c r="Y73" s="190">
        <v>6156715278.7799997</v>
      </c>
      <c r="Z73" s="190">
        <v>0</v>
      </c>
      <c r="AA73" s="190">
        <v>5613185955.6899996</v>
      </c>
      <c r="AB73" s="190">
        <v>0</v>
      </c>
      <c r="AC73" s="190">
        <v>4933101414.8999996</v>
      </c>
      <c r="AD73" s="190">
        <v>0</v>
      </c>
      <c r="AE73" s="190">
        <v>2551161085.5100002</v>
      </c>
      <c r="AF73" s="190">
        <v>3729219372.5700002</v>
      </c>
      <c r="AG73" s="190">
        <v>810466107.5</v>
      </c>
      <c r="AH73" s="190">
        <v>1046701679.59</v>
      </c>
      <c r="AI73" s="190">
        <v>1032684092.53</v>
      </c>
      <c r="AJ73" s="190">
        <v>886967669.34000003</v>
      </c>
      <c r="AK73" s="190">
        <v>2039723923.9000001</v>
      </c>
      <c r="AL73" s="190">
        <v>848274581.05999994</v>
      </c>
      <c r="AM73" s="190">
        <v>1036069037.8200001</v>
      </c>
      <c r="AN73" s="190">
        <v>1440643233.1600001</v>
      </c>
      <c r="AO73" s="190">
        <v>1070983977.46</v>
      </c>
      <c r="AP73" s="190">
        <v>1175435568.02</v>
      </c>
      <c r="AQ73" s="190">
        <v>1075108412.2</v>
      </c>
      <c r="AR73" s="190">
        <v>1214567186.97</v>
      </c>
      <c r="AS73" s="190">
        <v>1337967684.52</v>
      </c>
      <c r="AT73" s="190">
        <v>1351160086.72</v>
      </c>
      <c r="AU73" s="190">
        <v>621479709.75</v>
      </c>
      <c r="AV73" s="190">
        <v>815331526.63</v>
      </c>
      <c r="AW73" s="190">
        <v>507948275.58999997</v>
      </c>
      <c r="AX73" s="190">
        <v>243333126.58000001</v>
      </c>
      <c r="AY73" s="190">
        <v>199103156.66</v>
      </c>
      <c r="AZ73" s="190">
        <v>323112919.82999998</v>
      </c>
      <c r="BA73" s="190">
        <v>157764420.63</v>
      </c>
      <c r="BB73" s="190">
        <v>403785630.05000001</v>
      </c>
      <c r="BC73" s="190">
        <v>377079305.70999998</v>
      </c>
      <c r="BD73" s="190">
        <v>583574459.69000006</v>
      </c>
      <c r="BE73" s="190">
        <v>368943189.26999998</v>
      </c>
      <c r="BF73" s="190">
        <v>756029349.84000003</v>
      </c>
      <c r="BG73" s="190">
        <v>438964391.97000003</v>
      </c>
      <c r="BH73" s="190">
        <v>181648627.75999999</v>
      </c>
      <c r="BI73" s="190">
        <v>136039161.43000001</v>
      </c>
      <c r="BJ73" s="190">
        <v>165218401.56999999</v>
      </c>
      <c r="BK73" s="190">
        <v>216445834.86000001</v>
      </c>
      <c r="BL73" s="190">
        <v>221238157.5</v>
      </c>
      <c r="BM73" s="190">
        <v>181052845.81999999</v>
      </c>
      <c r="BN73" s="190">
        <v>12549252.51</v>
      </c>
      <c r="BO73" s="190">
        <v>34561500.75</v>
      </c>
      <c r="BP73" s="190">
        <v>44936952.799999997</v>
      </c>
      <c r="BQ73" s="190">
        <v>158871889.68000001</v>
      </c>
      <c r="BR73" s="190">
        <v>138575485.94</v>
      </c>
      <c r="BS73" s="190">
        <v>79539733.840000004</v>
      </c>
      <c r="BT73" s="190">
        <v>52738666.020000003</v>
      </c>
      <c r="BU73" s="190">
        <v>0</v>
      </c>
    </row>
    <row r="74" spans="1:73" x14ac:dyDescent="0.25">
      <c r="A74" s="190" t="s">
        <v>287</v>
      </c>
      <c r="B74" s="190">
        <v>0</v>
      </c>
      <c r="C74" s="190">
        <v>4972355059.2399998</v>
      </c>
      <c r="D74" s="190">
        <v>0</v>
      </c>
      <c r="E74" s="190">
        <v>4154345505</v>
      </c>
      <c r="F74" s="190">
        <v>0</v>
      </c>
      <c r="G74" s="190">
        <v>4154345505</v>
      </c>
      <c r="H74" s="190">
        <v>0</v>
      </c>
      <c r="I74" s="190">
        <v>6123366385.9099998</v>
      </c>
      <c r="J74" s="190">
        <v>0</v>
      </c>
      <c r="K74" s="190">
        <v>6123366385.9099998</v>
      </c>
      <c r="L74" s="190">
        <v>0</v>
      </c>
      <c r="M74" s="190">
        <v>7376927549.1700001</v>
      </c>
      <c r="N74" s="190">
        <v>0</v>
      </c>
      <c r="O74" s="190">
        <v>7370571065.9200001</v>
      </c>
      <c r="P74" s="190">
        <v>0</v>
      </c>
      <c r="Q74" s="190">
        <v>3967404751.5999999</v>
      </c>
      <c r="R74" s="190">
        <v>0</v>
      </c>
      <c r="S74" s="190">
        <v>3967404751.5999999</v>
      </c>
      <c r="T74" s="190">
        <v>0</v>
      </c>
      <c r="U74" s="190">
        <v>6156715278.7799997</v>
      </c>
      <c r="V74" s="190">
        <v>0</v>
      </c>
      <c r="W74" s="190">
        <v>6156715278.7799997</v>
      </c>
      <c r="X74" s="190">
        <v>0</v>
      </c>
      <c r="Y74" s="190">
        <v>5074037864.7299995</v>
      </c>
      <c r="Z74" s="190">
        <v>0</v>
      </c>
      <c r="AA74" s="190">
        <v>4933101414.8999996</v>
      </c>
      <c r="AB74" s="190">
        <v>0</v>
      </c>
      <c r="AC74" s="190">
        <v>1084414597.4000001</v>
      </c>
      <c r="AD74" s="190">
        <v>0</v>
      </c>
      <c r="AE74" s="190">
        <v>1084414597.4000001</v>
      </c>
      <c r="AF74" s="190">
        <v>1117134871.8499999</v>
      </c>
      <c r="AG74" s="190">
        <v>2039723923.9000001</v>
      </c>
      <c r="AH74" s="190">
        <v>2054993923.9000001</v>
      </c>
      <c r="AI74" s="190">
        <v>2039723923.9000001</v>
      </c>
      <c r="AJ74" s="190">
        <v>2054993923.9000001</v>
      </c>
      <c r="AK74" s="190">
        <v>2340374244.5700002</v>
      </c>
      <c r="AL74" s="190">
        <v>1070983977.46</v>
      </c>
      <c r="AM74" s="190">
        <v>1070983977.46</v>
      </c>
      <c r="AN74" s="190">
        <v>1070983977.46</v>
      </c>
      <c r="AO74" s="190">
        <v>1337967684.52</v>
      </c>
      <c r="AP74" s="190">
        <v>1337967684.52</v>
      </c>
      <c r="AQ74" s="190">
        <v>1337967684.52</v>
      </c>
      <c r="AR74" s="190">
        <v>1337967684.52</v>
      </c>
      <c r="AS74" s="190">
        <v>507948275.58999997</v>
      </c>
      <c r="AT74" s="190">
        <v>507948275.58999997</v>
      </c>
      <c r="AU74" s="190">
        <v>507948275.58999997</v>
      </c>
      <c r="AV74" s="190">
        <v>507948275.58999997</v>
      </c>
      <c r="AW74" s="190">
        <v>157764420.63</v>
      </c>
      <c r="AX74" s="190">
        <v>157764420.63</v>
      </c>
      <c r="AY74" s="190">
        <v>157764420.63</v>
      </c>
      <c r="AZ74" s="190">
        <v>157764420.63</v>
      </c>
      <c r="BA74" s="190">
        <v>368943189.26999998</v>
      </c>
      <c r="BB74" s="190">
        <v>368943189.26999998</v>
      </c>
      <c r="BC74" s="190">
        <v>368943189.26999998</v>
      </c>
      <c r="BD74" s="190">
        <v>368943189.26999998</v>
      </c>
      <c r="BE74" s="190">
        <v>136039161.43000001</v>
      </c>
      <c r="BF74" s="190">
        <v>136039161.43000001</v>
      </c>
      <c r="BG74" s="190">
        <v>136039161.43000001</v>
      </c>
      <c r="BH74" s="190">
        <v>136039161.43000001</v>
      </c>
      <c r="BI74" s="190">
        <v>181052845.81999999</v>
      </c>
      <c r="BJ74" s="190">
        <v>180854121.41999999</v>
      </c>
      <c r="BK74" s="190">
        <v>181052845.81999999</v>
      </c>
      <c r="BL74" s="190">
        <v>181052845.81999999</v>
      </c>
      <c r="BM74" s="190">
        <v>77943703.879999995</v>
      </c>
      <c r="BN74" s="190">
        <v>34561500.75</v>
      </c>
      <c r="BO74" s="190">
        <v>158871889.68000001</v>
      </c>
      <c r="BP74" s="190">
        <v>158871889.68000001</v>
      </c>
      <c r="BQ74" s="190">
        <v>69173865.400000006</v>
      </c>
      <c r="BR74" s="190">
        <v>69173865.400000006</v>
      </c>
      <c r="BS74" s="190">
        <v>66780312.18</v>
      </c>
      <c r="BT74" s="190">
        <v>20521683.670000002</v>
      </c>
      <c r="BU74" s="190">
        <v>0</v>
      </c>
    </row>
    <row r="75" spans="1:7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90180540</v>
      </c>
      <c r="AF75" s="190">
        <v>0</v>
      </c>
      <c r="AG75" s="190">
        <v>32720274.449999999</v>
      </c>
      <c r="AH75" s="190">
        <v>0</v>
      </c>
      <c r="AI75" s="190">
        <v>0</v>
      </c>
      <c r="AJ75" s="190">
        <v>0</v>
      </c>
      <c r="AK75" s="190">
        <v>15270000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row>
    <row r="76" spans="1:7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32720274.449999999</v>
      </c>
      <c r="AD76" s="190">
        <v>0</v>
      </c>
      <c r="AE76" s="190">
        <v>32720274.449999999</v>
      </c>
      <c r="AF76" s="190">
        <v>0</v>
      </c>
      <c r="AG76" s="190">
        <v>15270000</v>
      </c>
      <c r="AH76" s="190">
        <v>0</v>
      </c>
      <c r="AI76" s="190">
        <v>15270000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row>
    <row r="77" spans="1:73" x14ac:dyDescent="0.25">
      <c r="A77" s="190" t="s">
        <v>290</v>
      </c>
      <c r="B77" s="190">
        <v>0</v>
      </c>
      <c r="C77" s="190">
        <v>4028347467.4200001</v>
      </c>
      <c r="D77" s="190">
        <v>0</v>
      </c>
      <c r="E77" s="190">
        <v>818009554.24000001</v>
      </c>
      <c r="F77" s="190">
        <v>0</v>
      </c>
      <c r="G77" s="190">
        <v>630270075.51999998</v>
      </c>
      <c r="H77" s="190">
        <v>0</v>
      </c>
      <c r="I77" s="190">
        <v>-1969020880.9100001</v>
      </c>
      <c r="J77" s="190">
        <v>0</v>
      </c>
      <c r="K77" s="190">
        <v>-1365743291.51</v>
      </c>
      <c r="L77" s="190">
        <v>0</v>
      </c>
      <c r="M77" s="190">
        <v>-1253561163.26</v>
      </c>
      <c r="N77" s="190">
        <v>0</v>
      </c>
      <c r="O77" s="190">
        <v>-687155767.07000005</v>
      </c>
      <c r="P77" s="190">
        <v>0</v>
      </c>
      <c r="Q77" s="190">
        <v>3403166314.3200002</v>
      </c>
      <c r="R77" s="190">
        <v>0</v>
      </c>
      <c r="S77" s="190">
        <v>2440590038</v>
      </c>
      <c r="T77" s="190">
        <v>0</v>
      </c>
      <c r="U77" s="190">
        <v>-2189310527.1799998</v>
      </c>
      <c r="V77" s="190">
        <v>0</v>
      </c>
      <c r="W77" s="190">
        <v>-2385194259.4200001</v>
      </c>
      <c r="X77" s="190">
        <v>0</v>
      </c>
      <c r="Y77" s="190">
        <v>1082677414.05</v>
      </c>
      <c r="Z77" s="190">
        <v>0</v>
      </c>
      <c r="AA77" s="190">
        <v>680084540.78999996</v>
      </c>
      <c r="AB77" s="190">
        <v>0</v>
      </c>
      <c r="AC77" s="190">
        <v>3815966543.0500002</v>
      </c>
      <c r="AD77" s="190">
        <v>0</v>
      </c>
      <c r="AE77" s="190">
        <v>1524206753.6600001</v>
      </c>
      <c r="AF77" s="190">
        <v>2612084500.7199998</v>
      </c>
      <c r="AG77" s="190">
        <v>-1211807541.95</v>
      </c>
      <c r="AH77" s="190">
        <v>-1008292244.3099999</v>
      </c>
      <c r="AI77" s="190">
        <v>-1022309831.37</v>
      </c>
      <c r="AJ77" s="190">
        <v>-1168026254.5599999</v>
      </c>
      <c r="AK77" s="190">
        <v>-285380320.67000002</v>
      </c>
      <c r="AL77" s="190">
        <v>-222709396.40000001</v>
      </c>
      <c r="AM77" s="190">
        <v>-34914939.640000001</v>
      </c>
      <c r="AN77" s="190">
        <v>369659255.69999999</v>
      </c>
      <c r="AO77" s="190">
        <v>-266983707.06</v>
      </c>
      <c r="AP77" s="190">
        <v>-162532116.5</v>
      </c>
      <c r="AQ77" s="190">
        <v>-262859272.31999999</v>
      </c>
      <c r="AR77" s="190">
        <v>-123400497.55</v>
      </c>
      <c r="AS77" s="190">
        <v>830019408.92999995</v>
      </c>
      <c r="AT77" s="190">
        <v>843211811.13</v>
      </c>
      <c r="AU77" s="190">
        <v>113531434.16</v>
      </c>
      <c r="AV77" s="190">
        <v>307383251.04000002</v>
      </c>
      <c r="AW77" s="190">
        <v>350183854.95999998</v>
      </c>
      <c r="AX77" s="190">
        <v>85568705.950000003</v>
      </c>
      <c r="AY77" s="190">
        <v>41338736.030000001</v>
      </c>
      <c r="AZ77" s="190">
        <v>165348499.19999999</v>
      </c>
      <c r="BA77" s="190">
        <v>-211178768.63999999</v>
      </c>
      <c r="BB77" s="190">
        <v>34842440.780000001</v>
      </c>
      <c r="BC77" s="190">
        <v>8136116.4400000004</v>
      </c>
      <c r="BD77" s="190">
        <v>214631270.41999999</v>
      </c>
      <c r="BE77" s="190">
        <v>232904027.84</v>
      </c>
      <c r="BF77" s="190">
        <v>619990188.40999997</v>
      </c>
      <c r="BG77" s="190">
        <v>302925230.54000002</v>
      </c>
      <c r="BH77" s="190">
        <v>45609466.329999998</v>
      </c>
      <c r="BI77" s="190">
        <v>-45013684.390000001</v>
      </c>
      <c r="BJ77" s="190">
        <v>-15635719.85</v>
      </c>
      <c r="BK77" s="190">
        <v>35392989.039999999</v>
      </c>
      <c r="BL77" s="190">
        <v>40185311.68</v>
      </c>
      <c r="BM77" s="190">
        <v>103109141.94</v>
      </c>
      <c r="BN77" s="190">
        <v>-22012248.239999998</v>
      </c>
      <c r="BO77" s="190">
        <v>-124310388.93000001</v>
      </c>
      <c r="BP77" s="190">
        <v>-113934936.88</v>
      </c>
      <c r="BQ77" s="190">
        <v>89698024.280000001</v>
      </c>
      <c r="BR77" s="190">
        <v>69401620.540000007</v>
      </c>
      <c r="BS77" s="190">
        <v>12759421.66</v>
      </c>
      <c r="BT77" s="190">
        <v>32216982.350000001</v>
      </c>
      <c r="BU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3.88671875" bestFit="1" customWidth="1"/>
    <col min="6" max="8" width="23.88671875" hidden="1" customWidth="1"/>
    <col min="9" max="9" width="23.88671875" bestFit="1" customWidth="1"/>
    <col min="10" max="11" width="23.88671875" hidden="1" customWidth="1"/>
    <col min="12" max="12" width="22.6640625" hidden="1" customWidth="1"/>
    <col min="13" max="13" width="22.6640625" bestFit="1" customWidth="1"/>
    <col min="14" max="14" width="22.6640625" hidden="1" customWidth="1"/>
    <col min="15" max="16" width="23.88671875" hidden="1" customWidth="1"/>
    <col min="17" max="17" width="23.88671875" bestFit="1" customWidth="1"/>
    <col min="18" max="20" width="23.88671875" hidden="1" customWidth="1"/>
    <col min="21" max="21" width="23.8867187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17.21875" hidden="1" customWidth="1"/>
    <col min="69" max="69" width="17.21875" bestFit="1" customWidth="1"/>
    <col min="70" max="70" width="17.77734375" hidden="1" customWidth="1"/>
    <col min="71" max="71" width="17.77734375" bestFit="1" customWidth="1"/>
    <col min="72" max="72" width="19.33203125" hidden="1" customWidth="1"/>
    <col min="73" max="73" width="19.33203125" bestFit="1" customWidth="1"/>
    <col min="74" max="74" width="19.33203125" hidden="1" customWidth="1"/>
    <col min="75" max="75" width="19.33203125" bestFit="1" customWidth="1"/>
    <col min="76" max="76" width="19" hidden="1" customWidth="1"/>
    <col min="77" max="77" width="19" bestFit="1" customWidth="1"/>
    <col min="78" max="78" width="17.21875" hidden="1" customWidth="1"/>
    <col min="79" max="79" width="19" bestFit="1" customWidth="1"/>
    <col min="80" max="80" width="17.21875" hidden="1" customWidth="1"/>
    <col min="81" max="81" width="19" bestFit="1" customWidth="1"/>
    <col min="82" max="82" width="17.21875" bestFit="1" customWidth="1"/>
    <col min="83" max="83" width="9.5546875" hidden="1" customWidth="1"/>
    <col min="84"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19941231</v>
      </c>
      <c r="CE1" s="190">
        <v>19700101</v>
      </c>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9419449947.0599995</v>
      </c>
      <c r="C4" s="190">
        <v>9195492777.4599991</v>
      </c>
      <c r="D4" s="190">
        <v>7095863790.3299999</v>
      </c>
      <c r="E4" s="190">
        <v>5130675837.9799995</v>
      </c>
      <c r="F4" s="190">
        <v>6690045271.3299999</v>
      </c>
      <c r="G4" s="190">
        <v>4939231197.5699997</v>
      </c>
      <c r="H4" s="190">
        <v>3745988380.3099999</v>
      </c>
      <c r="I4" s="190">
        <v>4340632063</v>
      </c>
      <c r="J4" s="190">
        <v>6440217790.4700003</v>
      </c>
      <c r="K4" s="190">
        <v>4950257604.3900003</v>
      </c>
      <c r="L4" s="190">
        <v>4033124758.8200002</v>
      </c>
      <c r="M4" s="190">
        <v>6326753352.6300001</v>
      </c>
      <c r="N4" s="190">
        <v>7826965573.0100002</v>
      </c>
      <c r="O4" s="190">
        <v>6912957543.6400003</v>
      </c>
      <c r="P4" s="190">
        <v>7458490444.7200003</v>
      </c>
      <c r="Q4" s="190">
        <v>7600933209.9399996</v>
      </c>
      <c r="R4" s="190">
        <v>9407241846.4899998</v>
      </c>
      <c r="S4" s="190">
        <v>6450077278.5200005</v>
      </c>
      <c r="T4" s="190">
        <v>5852475023.3400002</v>
      </c>
      <c r="U4" s="190">
        <v>3994354964.9899998</v>
      </c>
      <c r="V4" s="190">
        <v>3638315200.54</v>
      </c>
      <c r="W4" s="190">
        <v>3796897505.5700002</v>
      </c>
      <c r="X4" s="190">
        <v>5995975997.2600002</v>
      </c>
      <c r="Y4" s="190">
        <v>6268350125.5100002</v>
      </c>
      <c r="Z4" s="190">
        <v>3307772855.48</v>
      </c>
      <c r="AA4" s="190">
        <v>5635222909.2600002</v>
      </c>
      <c r="AB4" s="190">
        <v>3509431834.46</v>
      </c>
      <c r="AC4" s="190">
        <v>5101432558</v>
      </c>
      <c r="AD4" s="190">
        <v>2202569664.5900002</v>
      </c>
      <c r="AE4" s="190">
        <v>2561609220.6199999</v>
      </c>
      <c r="AF4" s="190">
        <v>3684581633.8899999</v>
      </c>
      <c r="AG4" s="190">
        <v>1170924553.96</v>
      </c>
      <c r="AH4" s="190">
        <v>1070562500.4400001</v>
      </c>
      <c r="AI4" s="190">
        <v>1051591778.36</v>
      </c>
      <c r="AJ4" s="190">
        <v>906334359.41999996</v>
      </c>
      <c r="AK4" s="190">
        <v>2084415547.1900001</v>
      </c>
      <c r="AL4" s="190">
        <v>848274581.05999994</v>
      </c>
      <c r="AM4" s="190">
        <v>1036069037.8200001</v>
      </c>
      <c r="AN4" s="190">
        <v>1440643233.1600001</v>
      </c>
      <c r="AO4" s="190">
        <v>1070983977.46</v>
      </c>
      <c r="AP4" s="190">
        <v>1175435568.02</v>
      </c>
      <c r="AQ4" s="190">
        <v>1075108412.2</v>
      </c>
      <c r="AR4" s="190">
        <v>1214567186.97</v>
      </c>
      <c r="AS4" s="190">
        <v>1337967684.52</v>
      </c>
      <c r="AT4" s="190">
        <v>1351160086.72</v>
      </c>
      <c r="AU4" s="190">
        <v>621479709.75</v>
      </c>
      <c r="AV4" s="190">
        <v>815331526.63</v>
      </c>
      <c r="AW4" s="190">
        <v>507948275.58999997</v>
      </c>
      <c r="AX4" s="190">
        <v>243333126.58000001</v>
      </c>
      <c r="AY4" s="190">
        <v>199103156.66</v>
      </c>
      <c r="AZ4" s="190">
        <v>323112919.82999998</v>
      </c>
      <c r="BA4" s="190">
        <v>157764420.63</v>
      </c>
      <c r="BB4" s="190">
        <v>403785630.05000001</v>
      </c>
      <c r="BC4" s="190">
        <v>377079305.70999998</v>
      </c>
      <c r="BD4" s="190">
        <v>583574459.69000006</v>
      </c>
      <c r="BE4" s="190">
        <v>368943189.26999998</v>
      </c>
      <c r="BF4" s="190">
        <v>756029349.84000003</v>
      </c>
      <c r="BG4" s="190">
        <v>438964391.97000003</v>
      </c>
      <c r="BH4" s="190">
        <v>181648627.75999999</v>
      </c>
      <c r="BI4" s="190">
        <v>136039161.43000001</v>
      </c>
      <c r="BJ4" s="190">
        <v>165218401.56999999</v>
      </c>
      <c r="BK4" s="190">
        <v>216644559.25999999</v>
      </c>
      <c r="BL4" s="190">
        <v>221238157.5</v>
      </c>
      <c r="BM4" s="190">
        <v>181052845.81999999</v>
      </c>
      <c r="BN4" s="190">
        <v>2000000</v>
      </c>
      <c r="BO4" s="190">
        <v>12549252.51</v>
      </c>
      <c r="BP4" s="190">
        <v>23167485.93</v>
      </c>
      <c r="BQ4" s="190">
        <v>34561500.75</v>
      </c>
      <c r="BR4" s="190">
        <v>44936952.799999997</v>
      </c>
      <c r="BS4" s="190">
        <v>158871889.68000001</v>
      </c>
      <c r="BT4" s="190">
        <v>138575485.94</v>
      </c>
      <c r="BU4" s="190">
        <v>79539733.840000004</v>
      </c>
      <c r="BV4" s="190">
        <v>74614056.719999999</v>
      </c>
      <c r="BW4" s="190">
        <v>52738666.020000003</v>
      </c>
      <c r="BX4" s="190">
        <v>35689075.340000004</v>
      </c>
      <c r="BY4" s="190">
        <v>20521683.670000002</v>
      </c>
      <c r="BZ4" s="190">
        <v>0</v>
      </c>
      <c r="CA4" s="190">
        <v>65358944.289999999</v>
      </c>
      <c r="CB4" s="190">
        <v>0</v>
      </c>
      <c r="CC4" s="190">
        <v>19363072.760000002</v>
      </c>
      <c r="CD4" s="190">
        <v>75719397.290000007</v>
      </c>
      <c r="CE4" s="190">
        <v>0</v>
      </c>
      <c r="CF4" s="190"/>
      <c r="CG4" s="190"/>
      <c r="CH4" s="190"/>
      <c r="CI4" s="190"/>
      <c r="CJ4" s="190"/>
      <c r="CK4" s="190"/>
      <c r="CL4" s="190"/>
    </row>
    <row r="5" spans="1:90" x14ac:dyDescent="0.25">
      <c r="A5" s="17" t="s">
        <v>2</v>
      </c>
      <c r="B5" s="190">
        <v>836490400</v>
      </c>
      <c r="C5" s="190">
        <v>819954400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0</v>
      </c>
      <c r="CD5" s="190">
        <v>1100000</v>
      </c>
      <c r="CE5" s="190">
        <v>0</v>
      </c>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v>0</v>
      </c>
      <c r="CF7" s="190"/>
      <c r="CG7" s="190"/>
      <c r="CH7" s="190"/>
      <c r="CI7" s="190"/>
      <c r="CJ7" s="190"/>
      <c r="CK7" s="190"/>
      <c r="CL7" s="190"/>
    </row>
    <row r="8" spans="1:90" x14ac:dyDescent="0.25">
      <c r="A8" s="17" t="s">
        <v>5</v>
      </c>
      <c r="B8" s="190">
        <v>125871900</v>
      </c>
      <c r="C8" s="190">
        <v>125774035</v>
      </c>
      <c r="D8" s="190">
        <v>904763295.63</v>
      </c>
      <c r="E8" s="190">
        <v>95254881.299999997</v>
      </c>
      <c r="F8" s="190">
        <v>94831100.549999997</v>
      </c>
      <c r="G8" s="190">
        <v>94831100.549999997</v>
      </c>
      <c r="H8" s="190">
        <v>90000000</v>
      </c>
      <c r="I8" s="190">
        <v>90000000</v>
      </c>
      <c r="J8" s="190">
        <v>70000000</v>
      </c>
      <c r="K8" s="190">
        <v>289000000</v>
      </c>
      <c r="L8" s="190">
        <v>289000000</v>
      </c>
      <c r="M8" s="190">
        <v>289000000</v>
      </c>
      <c r="N8" s="190">
        <v>289000000</v>
      </c>
      <c r="O8" s="190">
        <v>289000000</v>
      </c>
      <c r="P8" s="190">
        <v>279000000</v>
      </c>
      <c r="Q8" s="190">
        <v>279000000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v>0</v>
      </c>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v>0</v>
      </c>
      <c r="BV9" s="190">
        <v>0</v>
      </c>
      <c r="BW9" s="190">
        <v>0</v>
      </c>
      <c r="BX9" s="190">
        <v>0</v>
      </c>
      <c r="BY9" s="190">
        <v>0</v>
      </c>
      <c r="BZ9" s="190">
        <v>0</v>
      </c>
      <c r="CA9" s="190">
        <v>0</v>
      </c>
      <c r="CB9" s="190">
        <v>0</v>
      </c>
      <c r="CC9" s="190">
        <v>0</v>
      </c>
      <c r="CD9" s="190">
        <v>0</v>
      </c>
      <c r="CE9" s="190">
        <v>0</v>
      </c>
      <c r="CF9" s="190"/>
      <c r="CG9" s="190"/>
      <c r="CH9" s="190"/>
      <c r="CI9" s="190"/>
      <c r="CJ9" s="190"/>
      <c r="CK9" s="190"/>
      <c r="CL9" s="190"/>
    </row>
    <row r="10" spans="1:90" x14ac:dyDescent="0.25">
      <c r="A10" s="19" t="s">
        <v>7</v>
      </c>
      <c r="B10" s="190">
        <v>104972207.02</v>
      </c>
      <c r="C10" s="190">
        <v>106668301.76000001</v>
      </c>
      <c r="D10" s="190">
        <v>108364396.47</v>
      </c>
      <c r="E10" s="190">
        <v>110060491.13</v>
      </c>
      <c r="F10" s="190">
        <v>111598943.62</v>
      </c>
      <c r="G10" s="190">
        <v>112389477.19</v>
      </c>
      <c r="H10" s="190">
        <v>113260734.36</v>
      </c>
      <c r="I10" s="190">
        <v>115951582.65000001</v>
      </c>
      <c r="J10" s="190">
        <v>117566146.28</v>
      </c>
      <c r="K10" s="190">
        <v>244649370.59</v>
      </c>
      <c r="L10" s="190">
        <v>247373520.63</v>
      </c>
      <c r="M10" s="190">
        <v>253248841.05000001</v>
      </c>
      <c r="N10" s="190">
        <v>252144448.02000001</v>
      </c>
      <c r="O10" s="190">
        <v>252102794.69</v>
      </c>
      <c r="P10" s="190">
        <v>246871649.28999999</v>
      </c>
      <c r="Q10" s="190">
        <v>250326628.00999999</v>
      </c>
      <c r="R10" s="190">
        <v>253559842.31</v>
      </c>
      <c r="S10" s="190">
        <v>257100145.22999999</v>
      </c>
      <c r="T10" s="190">
        <v>252196628.59999999</v>
      </c>
      <c r="U10" s="190">
        <v>245610397.18000001</v>
      </c>
      <c r="V10" s="190">
        <v>227958624.41999999</v>
      </c>
      <c r="W10" s="190">
        <v>230845630.05000001</v>
      </c>
      <c r="X10" s="190">
        <v>233634658.71000001</v>
      </c>
      <c r="Y10" s="190">
        <v>236546710.16999999</v>
      </c>
      <c r="Z10" s="190">
        <v>239280561.13</v>
      </c>
      <c r="AA10" s="190">
        <v>242241212.72999999</v>
      </c>
      <c r="AB10" s="190">
        <v>163021429.61000001</v>
      </c>
      <c r="AC10" s="190">
        <v>164942552.68000001</v>
      </c>
      <c r="AD10" s="190">
        <v>36368953.469999999</v>
      </c>
      <c r="AE10" s="190">
        <v>37120046.039999999</v>
      </c>
      <c r="AF10" s="190">
        <v>37871138.700000003</v>
      </c>
      <c r="AG10" s="190">
        <v>38622231.299999997</v>
      </c>
      <c r="AH10" s="190">
        <v>38668845.950000003</v>
      </c>
      <c r="AI10" s="190">
        <v>49769855.75</v>
      </c>
      <c r="AJ10" s="190">
        <v>50692440.869999997</v>
      </c>
      <c r="AK10" s="190">
        <v>51615026.689999998</v>
      </c>
      <c r="AL10" s="190">
        <v>38851957.590000004</v>
      </c>
      <c r="AM10" s="190">
        <v>40111275.030000001</v>
      </c>
      <c r="AN10" s="190">
        <v>41370591.299999997</v>
      </c>
      <c r="AO10" s="190">
        <v>42629908.909999996</v>
      </c>
      <c r="AP10" s="190">
        <v>43068458.619999997</v>
      </c>
      <c r="AQ10" s="190">
        <v>44272361.5</v>
      </c>
      <c r="AR10" s="190">
        <v>45476264.060000002</v>
      </c>
      <c r="AS10" s="190">
        <v>46680167.030000001</v>
      </c>
      <c r="AT10" s="190">
        <v>44331516.25</v>
      </c>
      <c r="AU10" s="190">
        <v>45455483.990000002</v>
      </c>
      <c r="AV10" s="190">
        <v>44351286.579999998</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c r="CG10" s="190"/>
      <c r="CH10" s="190"/>
      <c r="CI10" s="190"/>
      <c r="CJ10" s="190"/>
      <c r="CK10" s="190"/>
      <c r="CL10" s="190"/>
    </row>
    <row r="11" spans="1:90" x14ac:dyDescent="0.25">
      <c r="A11" s="17" t="s">
        <v>8</v>
      </c>
      <c r="B11" s="190">
        <v>133067488.43000001</v>
      </c>
      <c r="C11" s="190">
        <v>146270393.03</v>
      </c>
      <c r="D11" s="190">
        <v>0</v>
      </c>
      <c r="E11" s="190">
        <v>0</v>
      </c>
      <c r="F11" s="190">
        <v>97093375.060000002</v>
      </c>
      <c r="G11" s="190">
        <v>173368868.74000001</v>
      </c>
      <c r="H11" s="190">
        <v>0</v>
      </c>
      <c r="I11" s="190">
        <v>20703087.370000001</v>
      </c>
      <c r="J11" s="190">
        <v>107804723.23999999</v>
      </c>
      <c r="K11" s="190">
        <v>177684723.24000001</v>
      </c>
      <c r="L11" s="190">
        <v>14850000</v>
      </c>
      <c r="M11" s="190">
        <v>14850000</v>
      </c>
      <c r="N11" s="190">
        <v>103804472.09</v>
      </c>
      <c r="O11" s="190">
        <v>254498723.84999999</v>
      </c>
      <c r="P11" s="190">
        <v>118381270.56</v>
      </c>
      <c r="Q11" s="190">
        <v>219159570.56</v>
      </c>
      <c r="R11" s="190">
        <v>204321769.52000001</v>
      </c>
      <c r="S11" s="190">
        <v>263422182.37</v>
      </c>
      <c r="T11" s="190">
        <v>75995354.060000002</v>
      </c>
      <c r="U11" s="190">
        <v>115995354.06</v>
      </c>
      <c r="V11" s="190">
        <v>115995354.06</v>
      </c>
      <c r="W11" s="190">
        <v>115995354.06</v>
      </c>
      <c r="X11" s="190">
        <v>0</v>
      </c>
      <c r="Y11" s="190">
        <v>0</v>
      </c>
      <c r="Z11" s="190">
        <v>0</v>
      </c>
      <c r="AA11" s="190">
        <v>0</v>
      </c>
      <c r="AB11" s="190">
        <v>0</v>
      </c>
      <c r="AC11" s="190">
        <v>53008645.899999999</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66173073.759999998</v>
      </c>
      <c r="AS11" s="190">
        <v>66173073.759999998</v>
      </c>
      <c r="AT11" s="190">
        <v>0</v>
      </c>
      <c r="AU11" s="190">
        <v>0</v>
      </c>
      <c r="AV11" s="190">
        <v>0</v>
      </c>
      <c r="AW11" s="190">
        <v>63000000</v>
      </c>
      <c r="AX11" s="190">
        <v>0</v>
      </c>
      <c r="AY11" s="190">
        <v>0</v>
      </c>
      <c r="AZ11" s="190">
        <v>23000000</v>
      </c>
      <c r="BA11" s="190">
        <v>53304000</v>
      </c>
      <c r="BB11" s="190">
        <v>0</v>
      </c>
      <c r="BC11" s="190">
        <v>0</v>
      </c>
      <c r="BD11" s="190">
        <v>0</v>
      </c>
      <c r="BE11" s="190">
        <v>42000000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c r="CG12" s="190"/>
      <c r="CH12" s="190"/>
      <c r="CI12" s="190"/>
      <c r="CJ12" s="190"/>
      <c r="CK12" s="190"/>
      <c r="CL12" s="190"/>
    </row>
    <row r="13" spans="1:90" x14ac:dyDescent="0.25">
      <c r="A13" s="17" t="s">
        <v>10</v>
      </c>
      <c r="B13" s="190">
        <v>9582410.1699999999</v>
      </c>
      <c r="C13" s="190">
        <v>15194061.130000001</v>
      </c>
      <c r="D13" s="190">
        <v>12977686.689999999</v>
      </c>
      <c r="E13" s="190">
        <v>12019746.539999999</v>
      </c>
      <c r="F13" s="190">
        <v>12744231.689999999</v>
      </c>
      <c r="G13" s="190">
        <v>9823639</v>
      </c>
      <c r="H13" s="190">
        <v>8150153.9100000001</v>
      </c>
      <c r="I13" s="190">
        <v>5952343.5499999998</v>
      </c>
      <c r="J13" s="190">
        <v>8362761.7699999996</v>
      </c>
      <c r="K13" s="190">
        <v>6211006.9500000002</v>
      </c>
      <c r="L13" s="190">
        <v>12384019.01</v>
      </c>
      <c r="M13" s="190">
        <v>12214911.619999999</v>
      </c>
      <c r="N13" s="190">
        <v>12038366.359999999</v>
      </c>
      <c r="O13" s="190">
        <v>20245909.920000002</v>
      </c>
      <c r="P13" s="190">
        <v>17295752.300000001</v>
      </c>
      <c r="Q13" s="190">
        <v>21915240.960000001</v>
      </c>
      <c r="R13" s="190">
        <v>18624947.390000001</v>
      </c>
      <c r="S13" s="190">
        <v>7479571.2400000002</v>
      </c>
      <c r="T13" s="190">
        <v>5921194.4100000001</v>
      </c>
      <c r="U13" s="190">
        <v>5636597.7800000003</v>
      </c>
      <c r="V13" s="190">
        <v>5824630.9299999997</v>
      </c>
      <c r="W13" s="190">
        <v>5659076.4000000004</v>
      </c>
      <c r="X13" s="190">
        <v>8016010.9199999999</v>
      </c>
      <c r="Y13" s="190">
        <v>7446604.5700000003</v>
      </c>
      <c r="Z13" s="190">
        <v>10931596.720000001</v>
      </c>
      <c r="AA13" s="190">
        <v>12546632.529999999</v>
      </c>
      <c r="AB13" s="190">
        <v>10549121.050000001</v>
      </c>
      <c r="AC13" s="190">
        <v>4125816.82</v>
      </c>
      <c r="AD13" s="190">
        <v>3604872.88</v>
      </c>
      <c r="AE13" s="190">
        <v>5133381.8499999996</v>
      </c>
      <c r="AF13" s="190">
        <v>4382530.5599999996</v>
      </c>
      <c r="AG13" s="190">
        <v>2908891.16</v>
      </c>
      <c r="AH13" s="190">
        <v>0</v>
      </c>
      <c r="AI13" s="190">
        <v>0</v>
      </c>
      <c r="AJ13" s="190">
        <v>215662.11</v>
      </c>
      <c r="AK13" s="190">
        <v>2845291.4</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10629434352.68</v>
      </c>
      <c r="C17" s="33">
        <f t="shared" ref="C17:BN17" si="0">SUM(C4:C13)</f>
        <v>10409353968.379999</v>
      </c>
      <c r="D17" s="33">
        <f t="shared" si="0"/>
        <v>8121969169.1199999</v>
      </c>
      <c r="E17" s="33">
        <f t="shared" si="0"/>
        <v>5348010956.9499998</v>
      </c>
      <c r="F17" s="33">
        <f t="shared" si="0"/>
        <v>7006312922.25</v>
      </c>
      <c r="G17" s="33">
        <f t="shared" si="0"/>
        <v>5329644283.0499992</v>
      </c>
      <c r="H17" s="33">
        <f t="shared" si="0"/>
        <v>3957399268.5799999</v>
      </c>
      <c r="I17" s="33">
        <f t="shared" si="0"/>
        <v>4573239076.5699997</v>
      </c>
      <c r="J17" s="33">
        <f t="shared" si="0"/>
        <v>6743951421.7600002</v>
      </c>
      <c r="K17" s="33">
        <f t="shared" si="0"/>
        <v>5667802705.1700001</v>
      </c>
      <c r="L17" s="33">
        <f t="shared" si="0"/>
        <v>4596732298.46</v>
      </c>
      <c r="M17" s="33">
        <f t="shared" si="0"/>
        <v>6896067105.3000002</v>
      </c>
      <c r="N17" s="33">
        <f t="shared" si="0"/>
        <v>8483952859.4800005</v>
      </c>
      <c r="O17" s="33">
        <f t="shared" si="0"/>
        <v>7728804972.1000004</v>
      </c>
      <c r="P17" s="33">
        <f t="shared" si="0"/>
        <v>8120039116.8700008</v>
      </c>
      <c r="Q17" s="33">
        <f t="shared" si="0"/>
        <v>8371334649.4700003</v>
      </c>
      <c r="R17" s="33">
        <f t="shared" si="0"/>
        <v>9883748405.7099991</v>
      </c>
      <c r="S17" s="33">
        <f t="shared" si="0"/>
        <v>6978079177.3599997</v>
      </c>
      <c r="T17" s="33">
        <f t="shared" si="0"/>
        <v>6186588200.4100008</v>
      </c>
      <c r="U17" s="33">
        <f t="shared" si="0"/>
        <v>4361597314.0099993</v>
      </c>
      <c r="V17" s="33">
        <f t="shared" si="0"/>
        <v>3988093809.9499998</v>
      </c>
      <c r="W17" s="33">
        <f t="shared" si="0"/>
        <v>4149397566.0800004</v>
      </c>
      <c r="X17" s="33">
        <f t="shared" si="0"/>
        <v>6237626666.8900003</v>
      </c>
      <c r="Y17" s="33">
        <f t="shared" si="0"/>
        <v>6512343440.25</v>
      </c>
      <c r="Z17" s="33">
        <f t="shared" si="0"/>
        <v>3557985013.3299999</v>
      </c>
      <c r="AA17" s="33">
        <f t="shared" si="0"/>
        <v>5890010754.5199995</v>
      </c>
      <c r="AB17" s="33">
        <f t="shared" si="0"/>
        <v>3683002385.1200004</v>
      </c>
      <c r="AC17" s="33">
        <f t="shared" si="0"/>
        <v>5323509573.3999996</v>
      </c>
      <c r="AD17" s="33">
        <f t="shared" si="0"/>
        <v>2242543490.9400001</v>
      </c>
      <c r="AE17" s="33">
        <f t="shared" si="0"/>
        <v>2603862648.5099998</v>
      </c>
      <c r="AF17" s="33">
        <f t="shared" si="0"/>
        <v>3726835303.1499996</v>
      </c>
      <c r="AG17" s="33">
        <f t="shared" si="0"/>
        <v>1212455676.4200001</v>
      </c>
      <c r="AH17" s="33">
        <f t="shared" si="0"/>
        <v>1109231346.3900001</v>
      </c>
      <c r="AI17" s="33">
        <f t="shared" si="0"/>
        <v>1101361634.1100001</v>
      </c>
      <c r="AJ17" s="33">
        <f t="shared" si="0"/>
        <v>957242462.39999998</v>
      </c>
      <c r="AK17" s="33">
        <f t="shared" si="0"/>
        <v>2138875865.2800002</v>
      </c>
      <c r="AL17" s="33">
        <f t="shared" si="0"/>
        <v>887126538.64999998</v>
      </c>
      <c r="AM17" s="33">
        <f t="shared" si="0"/>
        <v>1076180312.8500001</v>
      </c>
      <c r="AN17" s="33">
        <f t="shared" si="0"/>
        <v>1482013824.46</v>
      </c>
      <c r="AO17" s="33">
        <f t="shared" si="0"/>
        <v>1113613886.3700001</v>
      </c>
      <c r="AP17" s="33">
        <f t="shared" si="0"/>
        <v>1218504026.6399999</v>
      </c>
      <c r="AQ17" s="33">
        <f t="shared" si="0"/>
        <v>1119380773.7</v>
      </c>
      <c r="AR17" s="33">
        <f t="shared" si="0"/>
        <v>1326216524.79</v>
      </c>
      <c r="AS17" s="33">
        <f t="shared" si="0"/>
        <v>1450820925.3099999</v>
      </c>
      <c r="AT17" s="33">
        <f t="shared" si="0"/>
        <v>1395491602.97</v>
      </c>
      <c r="AU17" s="33">
        <f t="shared" si="0"/>
        <v>666935193.74000001</v>
      </c>
      <c r="AV17" s="33">
        <f t="shared" si="0"/>
        <v>859682813.21000004</v>
      </c>
      <c r="AW17" s="33">
        <f t="shared" si="0"/>
        <v>570948275.58999991</v>
      </c>
      <c r="AX17" s="33">
        <f t="shared" si="0"/>
        <v>243333126.58000001</v>
      </c>
      <c r="AY17" s="33">
        <f t="shared" si="0"/>
        <v>199103156.66</v>
      </c>
      <c r="AZ17" s="33">
        <f t="shared" si="0"/>
        <v>346112919.82999998</v>
      </c>
      <c r="BA17" s="33">
        <f t="shared" si="0"/>
        <v>211068420.63</v>
      </c>
      <c r="BB17" s="33">
        <f t="shared" si="0"/>
        <v>403785630.05000001</v>
      </c>
      <c r="BC17" s="33">
        <f t="shared" si="0"/>
        <v>377079305.70999998</v>
      </c>
      <c r="BD17" s="33">
        <f t="shared" si="0"/>
        <v>583574459.69000006</v>
      </c>
      <c r="BE17" s="33">
        <f t="shared" si="0"/>
        <v>410943189.26999998</v>
      </c>
      <c r="BF17" s="33">
        <f t="shared" si="0"/>
        <v>756029349.84000003</v>
      </c>
      <c r="BG17" s="33">
        <f t="shared" si="0"/>
        <v>438964391.97000003</v>
      </c>
      <c r="BH17" s="33">
        <f t="shared" si="0"/>
        <v>181648627.75999999</v>
      </c>
      <c r="BI17" s="33">
        <f t="shared" si="0"/>
        <v>136039161.43000001</v>
      </c>
      <c r="BJ17" s="33">
        <f t="shared" si="0"/>
        <v>165218401.56999999</v>
      </c>
      <c r="BK17" s="33">
        <f t="shared" si="0"/>
        <v>216644559.25999999</v>
      </c>
      <c r="BL17" s="33">
        <f t="shared" si="0"/>
        <v>221238157.5</v>
      </c>
      <c r="BM17" s="33">
        <f t="shared" si="0"/>
        <v>181052845.81999999</v>
      </c>
      <c r="BN17" s="33">
        <f t="shared" si="0"/>
        <v>2000000</v>
      </c>
      <c r="BO17" s="33">
        <f t="shared" ref="BO17:CK17" si="1">SUM(BO4:BO13)</f>
        <v>12549252.51</v>
      </c>
      <c r="BP17" s="33">
        <f t="shared" si="1"/>
        <v>23167485.93</v>
      </c>
      <c r="BQ17" s="33">
        <f t="shared" si="1"/>
        <v>34561500.75</v>
      </c>
      <c r="BR17" s="33">
        <f t="shared" si="1"/>
        <v>44936952.799999997</v>
      </c>
      <c r="BS17" s="33">
        <f t="shared" si="1"/>
        <v>158871889.68000001</v>
      </c>
      <c r="BT17" s="33">
        <f t="shared" si="1"/>
        <v>138575485.94</v>
      </c>
      <c r="BU17" s="33">
        <f t="shared" si="1"/>
        <v>79539733.840000004</v>
      </c>
      <c r="BV17" s="33">
        <f t="shared" si="1"/>
        <v>74614056.719999999</v>
      </c>
      <c r="BW17" s="33">
        <f t="shared" si="1"/>
        <v>52738666.020000003</v>
      </c>
      <c r="BX17" s="33">
        <f t="shared" si="1"/>
        <v>35689075.340000004</v>
      </c>
      <c r="BY17" s="33">
        <f t="shared" si="1"/>
        <v>20521683.670000002</v>
      </c>
      <c r="BZ17" s="33">
        <f t="shared" si="1"/>
        <v>0</v>
      </c>
      <c r="CA17" s="33">
        <f t="shared" si="1"/>
        <v>65358944.289999999</v>
      </c>
      <c r="CB17" s="33">
        <f t="shared" si="1"/>
        <v>0</v>
      </c>
      <c r="CC17" s="33">
        <f t="shared" si="1"/>
        <v>19363072.760000002</v>
      </c>
      <c r="CD17" s="33">
        <f t="shared" si="1"/>
        <v>76819397.290000007</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10424457082.379999</v>
      </c>
      <c r="C19" s="190">
        <v>9587387511.1499996</v>
      </c>
      <c r="D19" s="190">
        <v>8805797330.4799995</v>
      </c>
      <c r="E19" s="190">
        <v>8729612779.75</v>
      </c>
      <c r="F19" s="190">
        <v>8679760447.7099991</v>
      </c>
      <c r="G19" s="190">
        <v>8562046822.4300003</v>
      </c>
      <c r="H19" s="190">
        <v>8919850139.6499996</v>
      </c>
      <c r="I19" s="190">
        <v>8846824928.5300007</v>
      </c>
      <c r="J19" s="190">
        <v>7312406516.4799995</v>
      </c>
      <c r="K19" s="190">
        <v>6268767675.3199997</v>
      </c>
      <c r="L19" s="190">
        <v>4984330317.3400002</v>
      </c>
      <c r="M19" s="190">
        <v>2639024894.1900001</v>
      </c>
      <c r="N19" s="190">
        <v>2507148433.9499998</v>
      </c>
      <c r="O19" s="190">
        <v>2530719406</v>
      </c>
      <c r="P19" s="190">
        <v>2760483019.1300001</v>
      </c>
      <c r="Q19" s="190">
        <v>2503484741.3099999</v>
      </c>
      <c r="R19" s="190">
        <v>2637521922.96</v>
      </c>
      <c r="S19" s="190">
        <v>2808010267.1799998</v>
      </c>
      <c r="T19" s="190">
        <v>2912177181.96</v>
      </c>
      <c r="U19" s="190">
        <v>2807747136.46</v>
      </c>
      <c r="V19" s="190">
        <v>2686661408.8099999</v>
      </c>
      <c r="W19" s="190">
        <v>2437586084.9699998</v>
      </c>
      <c r="X19" s="190">
        <v>2541979629.1199999</v>
      </c>
      <c r="Y19" s="190">
        <v>1573141463.02</v>
      </c>
      <c r="Z19" s="190">
        <v>1478355523.4100001</v>
      </c>
      <c r="AA19" s="190">
        <v>1440376022.6700001</v>
      </c>
      <c r="AB19" s="190">
        <v>1467523948.79</v>
      </c>
      <c r="AC19" s="190">
        <v>1436367984.1300001</v>
      </c>
      <c r="AD19" s="190">
        <v>1510746593.74</v>
      </c>
      <c r="AE19" s="190">
        <v>1502618178.24</v>
      </c>
      <c r="AF19" s="190">
        <v>1498992613.53</v>
      </c>
      <c r="AG19" s="190">
        <v>1476329115.5699999</v>
      </c>
      <c r="AH19" s="190">
        <v>1537121964.28</v>
      </c>
      <c r="AI19" s="190">
        <v>1551762623.3</v>
      </c>
      <c r="AJ19" s="190">
        <v>1587635239.8</v>
      </c>
      <c r="AK19" s="190">
        <v>1549432681.23</v>
      </c>
      <c r="AL19" s="190">
        <v>853967856.78999996</v>
      </c>
      <c r="AM19" s="190">
        <v>811189653.53999996</v>
      </c>
      <c r="AN19" s="190">
        <v>907031149.46000004</v>
      </c>
      <c r="AO19" s="190">
        <v>876706465.16999996</v>
      </c>
      <c r="AP19" s="190">
        <v>1006433920.66</v>
      </c>
      <c r="AQ19" s="190">
        <v>1029898013.13</v>
      </c>
      <c r="AR19" s="190">
        <v>1035113073.83</v>
      </c>
      <c r="AS19" s="190">
        <v>863131531.36000001</v>
      </c>
      <c r="AT19" s="190">
        <v>918229206.58000004</v>
      </c>
      <c r="AU19" s="190">
        <v>912015493.66999996</v>
      </c>
      <c r="AV19" s="190">
        <v>856051667.25999999</v>
      </c>
      <c r="AW19" s="190">
        <v>1412186711.3399999</v>
      </c>
      <c r="AX19" s="190">
        <v>424059053.56999999</v>
      </c>
      <c r="AY19" s="190">
        <v>425490282.61000001</v>
      </c>
      <c r="AZ19" s="190">
        <v>397018259.50999999</v>
      </c>
      <c r="BA19" s="190">
        <v>397104587.04000002</v>
      </c>
      <c r="BB19" s="190">
        <v>475475153.05000001</v>
      </c>
      <c r="BC19" s="190">
        <v>422786356.37</v>
      </c>
      <c r="BD19" s="190">
        <v>417961342.06999999</v>
      </c>
      <c r="BE19" s="190">
        <v>391805117.45999998</v>
      </c>
      <c r="BF19" s="190">
        <v>355564289.75999999</v>
      </c>
      <c r="BG19" s="190">
        <v>326216795.41000003</v>
      </c>
      <c r="BH19" s="190">
        <v>303744932.42000002</v>
      </c>
      <c r="BI19" s="190">
        <v>246829285.46000001</v>
      </c>
      <c r="BJ19" s="190">
        <v>235277784.91999999</v>
      </c>
      <c r="BK19" s="190">
        <v>212669191.28</v>
      </c>
      <c r="BL19" s="190">
        <v>253268542.19</v>
      </c>
      <c r="BM19" s="190">
        <v>234275291.65000001</v>
      </c>
      <c r="BN19" s="190">
        <v>17198219.629999999</v>
      </c>
      <c r="BO19" s="190">
        <v>16803778.039999999</v>
      </c>
      <c r="BP19" s="190">
        <v>16803778.039999999</v>
      </c>
      <c r="BQ19" s="190">
        <v>16803778.039999999</v>
      </c>
      <c r="BR19" s="190">
        <v>19162288.68</v>
      </c>
      <c r="BS19" s="190">
        <v>19162288.68</v>
      </c>
      <c r="BT19" s="190">
        <v>22274799.460000001</v>
      </c>
      <c r="BU19" s="190">
        <v>35171954.649999999</v>
      </c>
      <c r="BV19" s="190">
        <v>39940000</v>
      </c>
      <c r="BW19" s="190">
        <v>10500000</v>
      </c>
      <c r="BX19" s="190">
        <v>2500000</v>
      </c>
      <c r="BY19" s="190">
        <v>2500000</v>
      </c>
      <c r="BZ19" s="190">
        <v>2850000</v>
      </c>
      <c r="CA19" s="190">
        <v>2850000</v>
      </c>
      <c r="CB19" s="190">
        <v>2850000</v>
      </c>
      <c r="CC19" s="190">
        <v>2850000</v>
      </c>
      <c r="CD19" s="190">
        <v>3115107.7</v>
      </c>
      <c r="CE19" s="190">
        <v>0</v>
      </c>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513138666.44</v>
      </c>
      <c r="C22" s="190">
        <v>820152099.07000005</v>
      </c>
      <c r="D22" s="190">
        <v>553090585.33000004</v>
      </c>
      <c r="E22" s="190">
        <v>484585043.01999998</v>
      </c>
      <c r="F22" s="190">
        <v>746797542.67999995</v>
      </c>
      <c r="G22" s="190">
        <v>814447021.73000002</v>
      </c>
      <c r="H22" s="190">
        <v>693270623.19000006</v>
      </c>
      <c r="I22" s="190">
        <v>450743580.54000002</v>
      </c>
      <c r="J22" s="190">
        <v>613724567.95000005</v>
      </c>
      <c r="K22" s="190">
        <v>544751256.34000003</v>
      </c>
      <c r="L22" s="190">
        <v>301701672.25</v>
      </c>
      <c r="M22" s="190">
        <v>238650339.43000001</v>
      </c>
      <c r="N22" s="190">
        <v>351105636.06999999</v>
      </c>
      <c r="O22" s="190">
        <v>385974326.13</v>
      </c>
      <c r="P22" s="190">
        <v>330030075.31999999</v>
      </c>
      <c r="Q22" s="190">
        <v>287839007.63999999</v>
      </c>
      <c r="R22" s="190">
        <v>356460520.99000001</v>
      </c>
      <c r="S22" s="190">
        <v>435373637.19999999</v>
      </c>
      <c r="T22" s="190">
        <v>353309288.99000001</v>
      </c>
      <c r="U22" s="190">
        <v>286771435.88</v>
      </c>
      <c r="V22" s="190">
        <v>439954039.97000003</v>
      </c>
      <c r="W22" s="190">
        <v>243701595</v>
      </c>
      <c r="X22" s="190">
        <v>316750242.55000001</v>
      </c>
      <c r="Y22" s="190">
        <v>254045345.40000001</v>
      </c>
      <c r="Z22" s="190">
        <v>313987710.01999998</v>
      </c>
      <c r="AA22" s="190">
        <v>184991465.97999999</v>
      </c>
      <c r="AB22" s="190">
        <v>192235902.22</v>
      </c>
      <c r="AC22" s="190">
        <v>189905262.22</v>
      </c>
      <c r="AD22" s="190">
        <v>245975600.22999999</v>
      </c>
      <c r="AE22" s="190">
        <v>225288914.00999999</v>
      </c>
      <c r="AF22" s="190">
        <v>173132381.94</v>
      </c>
      <c r="AG22" s="190">
        <v>181574115.87</v>
      </c>
      <c r="AH22" s="190">
        <v>131396877.04000001</v>
      </c>
      <c r="AI22" s="190">
        <v>182271780.41999999</v>
      </c>
      <c r="AJ22" s="190">
        <v>119163942.40000001</v>
      </c>
      <c r="AK22" s="190">
        <v>126460633.89</v>
      </c>
      <c r="AL22" s="190">
        <v>71218395.560000002</v>
      </c>
      <c r="AM22" s="190">
        <v>63481534.270000003</v>
      </c>
      <c r="AN22" s="190">
        <v>69665788.569999993</v>
      </c>
      <c r="AO22" s="190">
        <v>51845227</v>
      </c>
      <c r="AP22" s="190">
        <v>220328125.41</v>
      </c>
      <c r="AQ22" s="190">
        <v>280052283.92000002</v>
      </c>
      <c r="AR22" s="190">
        <v>264476782.68000001</v>
      </c>
      <c r="AS22" s="190">
        <v>213234278.36000001</v>
      </c>
      <c r="AT22" s="190">
        <v>165184121.06</v>
      </c>
      <c r="AU22" s="190">
        <v>143567386.34</v>
      </c>
      <c r="AV22" s="190">
        <v>122318721.92</v>
      </c>
      <c r="AW22" s="190">
        <v>83668360.099999994</v>
      </c>
      <c r="AX22" s="190">
        <v>21177153.879999999</v>
      </c>
      <c r="AY22" s="190">
        <v>10100000</v>
      </c>
      <c r="AZ22" s="190">
        <v>10000000</v>
      </c>
      <c r="BA22" s="190">
        <v>35000000</v>
      </c>
      <c r="BB22" s="190">
        <v>86800955.099999994</v>
      </c>
      <c r="BC22" s="190">
        <v>15797800</v>
      </c>
      <c r="BD22" s="190">
        <v>7720000</v>
      </c>
      <c r="BE22" s="190">
        <v>47140118.810000002</v>
      </c>
      <c r="BF22" s="190">
        <v>56000000</v>
      </c>
      <c r="BG22" s="190">
        <v>78000000</v>
      </c>
      <c r="BH22" s="190">
        <v>55200000</v>
      </c>
      <c r="BI22" s="190">
        <v>85945000</v>
      </c>
      <c r="BJ22" s="190">
        <v>19450426.600000001</v>
      </c>
      <c r="BK22" s="190">
        <v>9600273.1699999999</v>
      </c>
      <c r="BL22" s="190">
        <v>26780000</v>
      </c>
      <c r="BM22" s="190">
        <v>55818537</v>
      </c>
      <c r="BN22" s="190">
        <v>0</v>
      </c>
      <c r="BO22" s="190">
        <v>0</v>
      </c>
      <c r="BP22" s="190">
        <v>0</v>
      </c>
      <c r="BQ22" s="190">
        <v>140000</v>
      </c>
      <c r="BR22" s="190">
        <v>3656450</v>
      </c>
      <c r="BS22" s="190">
        <v>3100000</v>
      </c>
      <c r="BT22" s="190">
        <v>112669.12</v>
      </c>
      <c r="BU22" s="190">
        <v>3780000</v>
      </c>
      <c r="BV22" s="190">
        <v>5752500</v>
      </c>
      <c r="BW22" s="190">
        <v>17730547.870000001</v>
      </c>
      <c r="BX22" s="190">
        <v>0</v>
      </c>
      <c r="BY22" s="190">
        <v>0</v>
      </c>
      <c r="BZ22" s="190">
        <v>0</v>
      </c>
      <c r="CA22" s="190">
        <v>0</v>
      </c>
      <c r="CB22" s="190">
        <v>0</v>
      </c>
      <c r="CC22" s="190">
        <v>0</v>
      </c>
      <c r="CD22" s="190">
        <v>0</v>
      </c>
      <c r="CE22" s="190">
        <v>0</v>
      </c>
      <c r="CF22" s="190"/>
      <c r="CG22" s="190"/>
      <c r="CH22" s="190"/>
      <c r="CI22" s="190"/>
      <c r="CJ22" s="190"/>
      <c r="CK22" s="190"/>
      <c r="CL22" s="190"/>
    </row>
    <row r="23" spans="1:90" x14ac:dyDescent="0.25">
      <c r="A23" s="17" t="s">
        <v>15</v>
      </c>
      <c r="B23" s="190">
        <v>5029240933.3500004</v>
      </c>
      <c r="C23" s="190">
        <v>3734592923.3699999</v>
      </c>
      <c r="D23" s="190">
        <v>4079782251.0799999</v>
      </c>
      <c r="E23" s="190">
        <v>3551602655.9899998</v>
      </c>
      <c r="F23" s="190">
        <v>3762431085.3800001</v>
      </c>
      <c r="G23" s="190">
        <v>3574264461.79</v>
      </c>
      <c r="H23" s="190">
        <v>3613078193.1999998</v>
      </c>
      <c r="I23" s="190">
        <v>2577731009.8699999</v>
      </c>
      <c r="J23" s="190">
        <v>3986538742.5100002</v>
      </c>
      <c r="K23" s="190">
        <v>3622197803.75</v>
      </c>
      <c r="L23" s="190">
        <v>3788902890.6300001</v>
      </c>
      <c r="M23" s="190">
        <v>2406316337.1799998</v>
      </c>
      <c r="N23" s="190">
        <v>4016591172.73</v>
      </c>
      <c r="O23" s="190">
        <v>3595613420.4200001</v>
      </c>
      <c r="P23" s="190">
        <v>3513934715.21</v>
      </c>
      <c r="Q23" s="190">
        <v>2948421172.7399998</v>
      </c>
      <c r="R23" s="190">
        <v>4542106076.54</v>
      </c>
      <c r="S23" s="190">
        <v>3581531847.1799998</v>
      </c>
      <c r="T23" s="190">
        <v>3617431687.1199999</v>
      </c>
      <c r="U23" s="190">
        <v>3276895476.7399998</v>
      </c>
      <c r="V23" s="190">
        <v>3840879528.5500002</v>
      </c>
      <c r="W23" s="190">
        <v>3142091807.9200001</v>
      </c>
      <c r="X23" s="190">
        <v>2889352241.0500002</v>
      </c>
      <c r="Y23" s="190">
        <v>3148726220.6799998</v>
      </c>
      <c r="Z23" s="190">
        <v>2699742976.5900002</v>
      </c>
      <c r="AA23" s="190">
        <v>2644021517.5</v>
      </c>
      <c r="AB23" s="190">
        <v>2200889199.9899998</v>
      </c>
      <c r="AC23" s="190">
        <v>2515974718.8600001</v>
      </c>
      <c r="AD23" s="190">
        <v>2611342271.75</v>
      </c>
      <c r="AE23" s="190">
        <v>2175898564.0599999</v>
      </c>
      <c r="AF23" s="190">
        <v>1758876238.3099999</v>
      </c>
      <c r="AG23" s="190">
        <v>2069958027.6099999</v>
      </c>
      <c r="AH23" s="190">
        <v>2137004228.0699999</v>
      </c>
      <c r="AI23" s="190">
        <v>1658575546.8299999</v>
      </c>
      <c r="AJ23" s="190">
        <v>1651829682.95</v>
      </c>
      <c r="AK23" s="190">
        <v>1795040003.05</v>
      </c>
      <c r="AL23" s="190">
        <v>856671651.63</v>
      </c>
      <c r="AM23" s="190">
        <v>880685623.13</v>
      </c>
      <c r="AN23" s="190">
        <v>840114994.38999999</v>
      </c>
      <c r="AO23" s="190">
        <v>637316071.52999997</v>
      </c>
      <c r="AP23" s="190">
        <v>870983817.03999996</v>
      </c>
      <c r="AQ23" s="190">
        <v>701241945.75999999</v>
      </c>
      <c r="AR23" s="190">
        <v>880368282.63999999</v>
      </c>
      <c r="AS23" s="190">
        <v>863491981.40999997</v>
      </c>
      <c r="AT23" s="190">
        <v>731429587.17999995</v>
      </c>
      <c r="AU23" s="190">
        <v>841685630.74000001</v>
      </c>
      <c r="AV23" s="190">
        <v>969597001.92999995</v>
      </c>
      <c r="AW23" s="190">
        <v>755236716.35000002</v>
      </c>
      <c r="AX23" s="190">
        <v>486247102.82999998</v>
      </c>
      <c r="AY23" s="190">
        <v>422011759.25</v>
      </c>
      <c r="AZ23" s="190">
        <v>405536295.07999998</v>
      </c>
      <c r="BA23" s="190">
        <v>352811804.73000002</v>
      </c>
      <c r="BB23" s="190">
        <v>458873982.00999999</v>
      </c>
      <c r="BC23" s="190">
        <v>507610298.25999999</v>
      </c>
      <c r="BD23" s="190">
        <v>553848302.10000002</v>
      </c>
      <c r="BE23" s="190">
        <v>393342169.30000001</v>
      </c>
      <c r="BF23" s="190">
        <v>454934363.02999997</v>
      </c>
      <c r="BG23" s="190">
        <v>846332545.14999998</v>
      </c>
      <c r="BH23" s="190">
        <v>347087412.26999998</v>
      </c>
      <c r="BI23" s="190">
        <v>332670982.79000002</v>
      </c>
      <c r="BJ23" s="190">
        <v>324074164.38999999</v>
      </c>
      <c r="BK23" s="190">
        <v>386150985.73000002</v>
      </c>
      <c r="BL23" s="190">
        <v>613881783.49000001</v>
      </c>
      <c r="BM23" s="190">
        <v>525922356.98000002</v>
      </c>
      <c r="BN23" s="190">
        <v>132135629.06999999</v>
      </c>
      <c r="BO23" s="190">
        <v>183865606.08000001</v>
      </c>
      <c r="BP23" s="190">
        <v>139562136.83000001</v>
      </c>
      <c r="BQ23" s="190">
        <v>142708154.59999999</v>
      </c>
      <c r="BR23" s="190">
        <v>187156539.31</v>
      </c>
      <c r="BS23" s="190">
        <v>197515634.88999999</v>
      </c>
      <c r="BT23" s="190">
        <v>95734429.959999993</v>
      </c>
      <c r="BU23" s="190">
        <v>204922484.36000001</v>
      </c>
      <c r="BV23" s="190">
        <v>152304010.09</v>
      </c>
      <c r="BW23" s="190">
        <v>208552596.06999999</v>
      </c>
      <c r="BX23" s="190">
        <v>172005529.80000001</v>
      </c>
      <c r="BY23" s="190">
        <v>40996978.090000004</v>
      </c>
      <c r="BZ23" s="190">
        <v>0</v>
      </c>
      <c r="CA23" s="190">
        <v>16574602.5</v>
      </c>
      <c r="CB23" s="190">
        <v>0</v>
      </c>
      <c r="CC23" s="190">
        <v>749756.31</v>
      </c>
      <c r="CD23" s="190">
        <v>1088086.03</v>
      </c>
      <c r="CE23" s="190">
        <v>0</v>
      </c>
      <c r="CF23" s="190"/>
      <c r="CG23" s="190"/>
      <c r="CH23" s="190"/>
      <c r="CI23" s="190"/>
      <c r="CJ23" s="190"/>
      <c r="CK23" s="190"/>
      <c r="CL23" s="190"/>
    </row>
    <row r="24" spans="1:90" x14ac:dyDescent="0.25">
      <c r="A24" s="17" t="s">
        <v>16</v>
      </c>
      <c r="B24" s="190">
        <v>1962623242.8299999</v>
      </c>
      <c r="C24" s="190">
        <v>1461483391.9400001</v>
      </c>
      <c r="D24" s="190">
        <v>1642420042.1800001</v>
      </c>
      <c r="E24" s="190">
        <v>369992500.22000003</v>
      </c>
      <c r="F24" s="190">
        <v>464019158.25999999</v>
      </c>
      <c r="G24" s="190">
        <v>422841777.73000002</v>
      </c>
      <c r="H24" s="190">
        <v>440183379.74000001</v>
      </c>
      <c r="I24" s="190">
        <v>380486745.60000002</v>
      </c>
      <c r="J24" s="190">
        <v>1084587349.95</v>
      </c>
      <c r="K24" s="190">
        <v>1167663572.6300001</v>
      </c>
      <c r="L24" s="190">
        <v>1736976902.26</v>
      </c>
      <c r="M24" s="190">
        <v>1607915486.72</v>
      </c>
      <c r="N24" s="190">
        <v>3489085104.54</v>
      </c>
      <c r="O24" s="190">
        <v>3259863422.5700002</v>
      </c>
      <c r="P24" s="190">
        <v>1299819059.73</v>
      </c>
      <c r="Q24" s="190">
        <v>1107166232.54</v>
      </c>
      <c r="R24" s="190">
        <v>1956571398.8199999</v>
      </c>
      <c r="S24" s="190">
        <v>1373737300.4200001</v>
      </c>
      <c r="T24" s="190">
        <v>1872082305.0799999</v>
      </c>
      <c r="U24" s="190">
        <v>1385627926.3</v>
      </c>
      <c r="V24" s="190">
        <v>1799563908.6400001</v>
      </c>
      <c r="W24" s="190">
        <v>2000291600.3699999</v>
      </c>
      <c r="X24" s="190">
        <v>2044266960.6600001</v>
      </c>
      <c r="Y24" s="190">
        <v>1784883849.53</v>
      </c>
      <c r="Z24" s="190">
        <v>3923124035.6199999</v>
      </c>
      <c r="AA24" s="190">
        <v>3792283706.0799999</v>
      </c>
      <c r="AB24" s="190">
        <v>3627211350.23</v>
      </c>
      <c r="AC24" s="190">
        <v>3337944515.3200002</v>
      </c>
      <c r="AD24" s="190">
        <v>3183026305.46</v>
      </c>
      <c r="AE24" s="190">
        <v>3514407911.5300002</v>
      </c>
      <c r="AF24" s="190">
        <v>3398585429.2600002</v>
      </c>
      <c r="AG24" s="190">
        <v>2687576297.9299998</v>
      </c>
      <c r="AH24" s="190">
        <v>3807186759.3499999</v>
      </c>
      <c r="AI24" s="190">
        <v>3459569824.46</v>
      </c>
      <c r="AJ24" s="190">
        <v>2779508699.4899998</v>
      </c>
      <c r="AK24" s="190">
        <v>2307776743.1900001</v>
      </c>
      <c r="AL24" s="190">
        <v>485270443.89999998</v>
      </c>
      <c r="AM24" s="190">
        <v>460492756.19</v>
      </c>
      <c r="AN24" s="190">
        <v>226037648.31999999</v>
      </c>
      <c r="AO24" s="190">
        <v>310615018.25999999</v>
      </c>
      <c r="AP24" s="190">
        <v>361745331.22000003</v>
      </c>
      <c r="AQ24" s="190">
        <v>442483123.82999998</v>
      </c>
      <c r="AR24" s="190">
        <v>231011833.69999999</v>
      </c>
      <c r="AS24" s="190">
        <v>152133449.09999999</v>
      </c>
      <c r="AT24" s="190">
        <v>240883830.03</v>
      </c>
      <c r="AU24" s="190">
        <v>347245516.54000002</v>
      </c>
      <c r="AV24" s="190">
        <v>308542766.80000001</v>
      </c>
      <c r="AW24" s="190">
        <v>185954725.22</v>
      </c>
      <c r="AX24" s="190">
        <v>1652573247.71</v>
      </c>
      <c r="AY24" s="190">
        <v>159571641.74000001</v>
      </c>
      <c r="AZ24" s="190">
        <v>143244668.55000001</v>
      </c>
      <c r="BA24" s="190">
        <v>60438033.829999998</v>
      </c>
      <c r="BB24" s="190">
        <v>71966848.319999993</v>
      </c>
      <c r="BC24" s="190">
        <v>21978235.079999998</v>
      </c>
      <c r="BD24" s="190">
        <v>130453092.02</v>
      </c>
      <c r="BE24" s="190">
        <v>5738470.1100000003</v>
      </c>
      <c r="BF24" s="190">
        <v>51239088.119999997</v>
      </c>
      <c r="BG24" s="190">
        <v>17080661.600000001</v>
      </c>
      <c r="BH24" s="190">
        <v>357836111.06</v>
      </c>
      <c r="BI24" s="190">
        <v>52843687.799999997</v>
      </c>
      <c r="BJ24" s="190">
        <v>68967819.650000006</v>
      </c>
      <c r="BK24" s="190">
        <v>9699839.9600000009</v>
      </c>
      <c r="BL24" s="190">
        <v>6045761.3099999996</v>
      </c>
      <c r="BM24" s="190">
        <v>912009.66</v>
      </c>
      <c r="BN24" s="190">
        <v>0</v>
      </c>
      <c r="BO24" s="190">
        <v>30313.119999999999</v>
      </c>
      <c r="BP24" s="190">
        <v>23464287.84</v>
      </c>
      <c r="BQ24" s="190">
        <v>33923265.369999997</v>
      </c>
      <c r="BR24" s="190">
        <v>0</v>
      </c>
      <c r="BS24" s="190">
        <v>0</v>
      </c>
      <c r="BT24" s="190">
        <v>0</v>
      </c>
      <c r="BU24" s="190">
        <v>454548.83</v>
      </c>
      <c r="BV24" s="190">
        <v>1500000</v>
      </c>
      <c r="BW24" s="190">
        <v>6440863.5</v>
      </c>
      <c r="BX24" s="190">
        <v>0</v>
      </c>
      <c r="BY24" s="190">
        <v>15000000</v>
      </c>
      <c r="BZ24" s="190">
        <v>0</v>
      </c>
      <c r="CA24" s="190">
        <v>0</v>
      </c>
      <c r="CB24" s="190">
        <v>0</v>
      </c>
      <c r="CC24" s="190">
        <v>0</v>
      </c>
      <c r="CD24" s="190">
        <v>0</v>
      </c>
      <c r="CE24" s="190">
        <v>0</v>
      </c>
      <c r="CF24" s="190"/>
      <c r="CG24" s="190"/>
      <c r="CH24" s="190"/>
      <c r="CI24" s="190"/>
      <c r="CJ24" s="190"/>
      <c r="CK24" s="190"/>
      <c r="CL24" s="190"/>
    </row>
    <row r="25" spans="1:90" x14ac:dyDescent="0.25">
      <c r="A25" s="17" t="s">
        <v>17</v>
      </c>
      <c r="B25" s="190">
        <v>336975606.74000001</v>
      </c>
      <c r="C25" s="190">
        <v>159632194.93000001</v>
      </c>
      <c r="D25" s="190">
        <v>166037023.87</v>
      </c>
      <c r="E25" s="190">
        <v>158212879.91999999</v>
      </c>
      <c r="F25" s="190">
        <v>152304571.24000001</v>
      </c>
      <c r="G25" s="190">
        <v>69622252.329999998</v>
      </c>
      <c r="H25" s="190">
        <v>86831167.980000004</v>
      </c>
      <c r="I25" s="190">
        <v>64579312.43</v>
      </c>
      <c r="J25" s="190">
        <v>155842292.91</v>
      </c>
      <c r="K25" s="190">
        <v>154714156.34999999</v>
      </c>
      <c r="L25" s="190">
        <v>175954769.68000001</v>
      </c>
      <c r="M25" s="190">
        <v>106806917.16</v>
      </c>
      <c r="N25" s="190">
        <v>134966204.19999999</v>
      </c>
      <c r="O25" s="190">
        <v>129154780.93000001</v>
      </c>
      <c r="P25" s="190">
        <v>198429572.03999999</v>
      </c>
      <c r="Q25" s="190">
        <v>224532401.40000001</v>
      </c>
      <c r="R25" s="190">
        <v>265420266.78</v>
      </c>
      <c r="S25" s="190">
        <v>262693337.47999999</v>
      </c>
      <c r="T25" s="190">
        <v>212349366.66999999</v>
      </c>
      <c r="U25" s="190">
        <v>195581754.86000001</v>
      </c>
      <c r="V25" s="190">
        <v>1122196237.77</v>
      </c>
      <c r="W25" s="190">
        <v>1146483405.0599999</v>
      </c>
      <c r="X25" s="190">
        <v>1096354588.8199999</v>
      </c>
      <c r="Y25" s="190">
        <v>1127536637.8</v>
      </c>
      <c r="Z25" s="190">
        <v>1267683178.9300001</v>
      </c>
      <c r="AA25" s="190">
        <v>1333436560.1800001</v>
      </c>
      <c r="AB25" s="190">
        <v>1280808269.6600001</v>
      </c>
      <c r="AC25" s="190">
        <v>1529403997.3399999</v>
      </c>
      <c r="AD25" s="190">
        <v>1417233263.96</v>
      </c>
      <c r="AE25" s="190">
        <v>1217031254.4400001</v>
      </c>
      <c r="AF25" s="190">
        <v>1069348112.51</v>
      </c>
      <c r="AG25" s="190">
        <v>854154405.19000006</v>
      </c>
      <c r="AH25" s="190">
        <v>734038199.63</v>
      </c>
      <c r="AI25" s="190">
        <v>715721868.57000005</v>
      </c>
      <c r="AJ25" s="190">
        <v>632089873.67999995</v>
      </c>
      <c r="AK25" s="190">
        <v>899467919.58000004</v>
      </c>
      <c r="AL25" s="190">
        <v>401261406.16000003</v>
      </c>
      <c r="AM25" s="190">
        <v>440046150.73000002</v>
      </c>
      <c r="AN25" s="190">
        <v>333435251.86000001</v>
      </c>
      <c r="AO25" s="190">
        <v>309138073.87</v>
      </c>
      <c r="AP25" s="190">
        <v>139125822.15000001</v>
      </c>
      <c r="AQ25" s="190">
        <v>121080729.25</v>
      </c>
      <c r="AR25" s="190">
        <v>104596626.03</v>
      </c>
      <c r="AS25" s="190">
        <v>124472517.5</v>
      </c>
      <c r="AT25" s="190">
        <v>154365280.47</v>
      </c>
      <c r="AU25" s="190">
        <v>107336507.13</v>
      </c>
      <c r="AV25" s="190">
        <v>83214716.599999994</v>
      </c>
      <c r="AW25" s="190">
        <v>73249716.890000001</v>
      </c>
      <c r="AX25" s="190">
        <v>18250746.66</v>
      </c>
      <c r="AY25" s="190">
        <v>21647634.530000001</v>
      </c>
      <c r="AZ25" s="190">
        <v>9970289.8399999999</v>
      </c>
      <c r="BA25" s="190">
        <v>9323501.6699999999</v>
      </c>
      <c r="BB25" s="190">
        <v>12231545.16</v>
      </c>
      <c r="BC25" s="190">
        <v>10514543.109999999</v>
      </c>
      <c r="BD25" s="190">
        <v>988140.96</v>
      </c>
      <c r="BE25" s="190">
        <v>11643865.050000001</v>
      </c>
      <c r="BF25" s="190">
        <v>96380695.629999995</v>
      </c>
      <c r="BG25" s="190">
        <v>93692629.760000005</v>
      </c>
      <c r="BH25" s="190">
        <v>7533892.8099999996</v>
      </c>
      <c r="BI25" s="190">
        <v>10807393.050000001</v>
      </c>
      <c r="BJ25" s="190">
        <v>47630907.469999999</v>
      </c>
      <c r="BK25" s="190">
        <v>7057090.4000000004</v>
      </c>
      <c r="BL25" s="190">
        <v>10924205.99</v>
      </c>
      <c r="BM25" s="190">
        <v>9392877.4700000007</v>
      </c>
      <c r="BN25" s="190">
        <v>24655889.5</v>
      </c>
      <c r="BO25" s="190">
        <v>1962804.53</v>
      </c>
      <c r="BP25" s="190">
        <v>556370.27</v>
      </c>
      <c r="BQ25" s="190">
        <v>110775.69</v>
      </c>
      <c r="BR25" s="190">
        <v>403169.61</v>
      </c>
      <c r="BS25" s="190">
        <v>833208.25</v>
      </c>
      <c r="BT25" s="190">
        <v>1881262.61</v>
      </c>
      <c r="BU25" s="190">
        <v>7050832.4500000002</v>
      </c>
      <c r="BV25" s="190">
        <v>5700032.04</v>
      </c>
      <c r="BW25" s="190">
        <v>5073369.22</v>
      </c>
      <c r="BX25" s="190">
        <v>3581621.69</v>
      </c>
      <c r="BY25" s="190">
        <v>236776.16</v>
      </c>
      <c r="BZ25" s="190">
        <v>0</v>
      </c>
      <c r="CA25" s="190">
        <v>317715.43</v>
      </c>
      <c r="CB25" s="190">
        <v>0</v>
      </c>
      <c r="CC25" s="190">
        <v>3145407.74</v>
      </c>
      <c r="CD25" s="190">
        <v>2513132.59</v>
      </c>
      <c r="CE25" s="190">
        <v>0</v>
      </c>
      <c r="CF25" s="190"/>
      <c r="CG25" s="190"/>
      <c r="CH25" s="190"/>
      <c r="CI25" s="190"/>
      <c r="CJ25" s="190"/>
      <c r="CK25" s="190"/>
      <c r="CL25" s="190"/>
    </row>
    <row r="26" spans="1:90" x14ac:dyDescent="0.25">
      <c r="A26" s="17" t="s">
        <v>18</v>
      </c>
      <c r="B26" s="190">
        <v>1636268257.9400001</v>
      </c>
      <c r="C26" s="190">
        <v>1482898083.6900001</v>
      </c>
      <c r="D26" s="190">
        <v>1518114570.3699999</v>
      </c>
      <c r="E26" s="190">
        <v>1183173407.1300001</v>
      </c>
      <c r="F26" s="190">
        <v>1244943912.8099999</v>
      </c>
      <c r="G26" s="190">
        <v>1273559512.6500001</v>
      </c>
      <c r="H26" s="190">
        <v>1173959574.6400001</v>
      </c>
      <c r="I26" s="190">
        <v>1068061796.79</v>
      </c>
      <c r="J26" s="190">
        <v>964863461.77999997</v>
      </c>
      <c r="K26" s="190">
        <v>845539311.59000003</v>
      </c>
      <c r="L26" s="190">
        <v>839395110.07000005</v>
      </c>
      <c r="M26" s="190">
        <v>845372179.04999995</v>
      </c>
      <c r="N26" s="190">
        <v>879586874.70000005</v>
      </c>
      <c r="O26" s="190">
        <v>931970579.40999997</v>
      </c>
      <c r="P26" s="190">
        <v>995242167.38</v>
      </c>
      <c r="Q26" s="190">
        <v>1091607309.76</v>
      </c>
      <c r="R26" s="190">
        <v>993976495.19000006</v>
      </c>
      <c r="S26" s="190">
        <v>893398440.62</v>
      </c>
      <c r="T26" s="190">
        <v>1033070153.26</v>
      </c>
      <c r="U26" s="190">
        <v>971321410.03999996</v>
      </c>
      <c r="V26" s="190">
        <v>1001361452.15</v>
      </c>
      <c r="W26" s="190">
        <v>1041506435.52</v>
      </c>
      <c r="X26" s="190">
        <v>1216910222.3199999</v>
      </c>
      <c r="Y26" s="190">
        <v>1248460698.8499999</v>
      </c>
      <c r="Z26" s="190">
        <v>972539273.42999995</v>
      </c>
      <c r="AA26" s="190">
        <v>1102908492.9100001</v>
      </c>
      <c r="AB26" s="190">
        <v>1129487618.99</v>
      </c>
      <c r="AC26" s="190">
        <v>1455147275.6900001</v>
      </c>
      <c r="AD26" s="190">
        <v>1025897172.5</v>
      </c>
      <c r="AE26" s="190">
        <v>875578740</v>
      </c>
      <c r="AF26" s="190">
        <v>942678213.64999998</v>
      </c>
      <c r="AG26" s="190">
        <v>1001665759.91</v>
      </c>
      <c r="AH26" s="190">
        <v>1011180236.92</v>
      </c>
      <c r="AI26" s="190">
        <v>839637005.85000002</v>
      </c>
      <c r="AJ26" s="190">
        <v>787361962.60000002</v>
      </c>
      <c r="AK26" s="190">
        <v>605032240.13</v>
      </c>
      <c r="AL26" s="190">
        <v>322521036.56</v>
      </c>
      <c r="AM26" s="190">
        <v>352594765.35000002</v>
      </c>
      <c r="AN26" s="190">
        <v>404665097.97000003</v>
      </c>
      <c r="AO26" s="190">
        <v>660730821.15999997</v>
      </c>
      <c r="AP26" s="190">
        <v>525311810.88999999</v>
      </c>
      <c r="AQ26" s="190">
        <v>482691386.45999998</v>
      </c>
      <c r="AR26" s="190">
        <v>284593271.41000003</v>
      </c>
      <c r="AS26" s="190">
        <v>227444572.78</v>
      </c>
      <c r="AT26" s="190">
        <v>244802099.09</v>
      </c>
      <c r="AU26" s="190">
        <v>143802290.30000001</v>
      </c>
      <c r="AV26" s="190">
        <v>193714722.81</v>
      </c>
      <c r="AW26" s="190">
        <v>234046706.28</v>
      </c>
      <c r="AX26" s="190">
        <v>127244911.31999999</v>
      </c>
      <c r="AY26" s="190">
        <v>129035231.19</v>
      </c>
      <c r="AZ26" s="190">
        <v>119054635.70999999</v>
      </c>
      <c r="BA26" s="190">
        <v>109130091.06</v>
      </c>
      <c r="BB26" s="190">
        <v>146741773.41999999</v>
      </c>
      <c r="BC26" s="190">
        <v>126198735.44</v>
      </c>
      <c r="BD26" s="190">
        <v>118170564.59999999</v>
      </c>
      <c r="BE26" s="190">
        <v>110406838.14</v>
      </c>
      <c r="BF26" s="190">
        <v>61740561.869999997</v>
      </c>
      <c r="BG26" s="190">
        <v>81821348.459999993</v>
      </c>
      <c r="BH26" s="190">
        <v>38528874.049999997</v>
      </c>
      <c r="BI26" s="190">
        <v>27253611.379999999</v>
      </c>
      <c r="BJ26" s="190">
        <v>24398973.579999998</v>
      </c>
      <c r="BK26" s="190">
        <v>26567489.559999999</v>
      </c>
      <c r="BL26" s="190">
        <v>22787139.420000002</v>
      </c>
      <c r="BM26" s="190">
        <v>21588543.27</v>
      </c>
      <c r="BN26" s="190">
        <v>34126082.219999999</v>
      </c>
      <c r="BO26" s="190">
        <v>82981423.459999993</v>
      </c>
      <c r="BP26" s="190">
        <v>51974046.170000002</v>
      </c>
      <c r="BQ26" s="190">
        <v>30787067</v>
      </c>
      <c r="BR26" s="190">
        <v>301640094.26999998</v>
      </c>
      <c r="BS26" s="190">
        <v>59437173.280000001</v>
      </c>
      <c r="BT26" s="190">
        <v>58044607.799999997</v>
      </c>
      <c r="BU26" s="190">
        <v>37886608.409999996</v>
      </c>
      <c r="BV26" s="190">
        <v>138359369.99000001</v>
      </c>
      <c r="BW26" s="190">
        <v>66386112.700000003</v>
      </c>
      <c r="BX26" s="190">
        <v>65347812.509999998</v>
      </c>
      <c r="BY26" s="190">
        <v>13673732.16</v>
      </c>
      <c r="BZ26" s="190">
        <v>0</v>
      </c>
      <c r="CA26" s="190">
        <v>3101452.24</v>
      </c>
      <c r="CB26" s="190">
        <v>0</v>
      </c>
      <c r="CC26" s="190">
        <v>3834379.37</v>
      </c>
      <c r="CD26" s="190">
        <v>883954.61</v>
      </c>
      <c r="CE26" s="190">
        <v>0</v>
      </c>
      <c r="CF26" s="190"/>
      <c r="CG26" s="190"/>
      <c r="CH26" s="190"/>
      <c r="CI26" s="190"/>
      <c r="CJ26" s="190"/>
      <c r="CK26" s="190"/>
      <c r="CL26" s="190"/>
    </row>
    <row r="27" spans="1:90" x14ac:dyDescent="0.25">
      <c r="A27" s="17" t="s">
        <v>19</v>
      </c>
      <c r="B27" s="190">
        <v>1108876169.1400001</v>
      </c>
      <c r="C27" s="190">
        <v>1069696635.01</v>
      </c>
      <c r="D27" s="190">
        <v>1181498293.6400001</v>
      </c>
      <c r="E27" s="190">
        <v>1384865400.4400001</v>
      </c>
      <c r="F27" s="190">
        <v>1405676810.23</v>
      </c>
      <c r="G27" s="190">
        <v>1514297057.1300001</v>
      </c>
      <c r="H27" s="190">
        <v>1567396116.6700001</v>
      </c>
      <c r="I27" s="190">
        <v>1711280481.0699999</v>
      </c>
      <c r="J27" s="190">
        <v>0</v>
      </c>
      <c r="K27" s="190">
        <v>0</v>
      </c>
      <c r="L27" s="190">
        <v>0</v>
      </c>
      <c r="M27" s="190">
        <v>0</v>
      </c>
      <c r="N27" s="190">
        <v>0</v>
      </c>
      <c r="O27" s="190">
        <v>0</v>
      </c>
      <c r="P27" s="190">
        <v>0</v>
      </c>
      <c r="Q27" s="190">
        <v>0</v>
      </c>
      <c r="R27" s="190">
        <v>0</v>
      </c>
      <c r="S27" s="190">
        <v>199880000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c r="CG27" s="190"/>
      <c r="CH27" s="190"/>
      <c r="CI27" s="190"/>
      <c r="CJ27" s="190"/>
      <c r="CK27" s="190"/>
      <c r="CL27" s="190"/>
    </row>
    <row r="28" spans="1:90" x14ac:dyDescent="0.25">
      <c r="A28" s="17" t="s">
        <v>76</v>
      </c>
      <c r="B28" s="190">
        <v>656030162.92999995</v>
      </c>
      <c r="C28" s="190">
        <v>587985103.64999998</v>
      </c>
      <c r="D28" s="190">
        <v>524015153.11000001</v>
      </c>
      <c r="E28" s="190">
        <v>530705899.19999999</v>
      </c>
      <c r="F28" s="190">
        <v>544425809.58000004</v>
      </c>
      <c r="G28" s="190">
        <v>507286180.17000002</v>
      </c>
      <c r="H28" s="190">
        <v>515414032.25999999</v>
      </c>
      <c r="I28" s="190">
        <v>517859114.39999998</v>
      </c>
      <c r="J28" s="190">
        <v>387798355.36000001</v>
      </c>
      <c r="K28" s="190">
        <v>323093359.58999997</v>
      </c>
      <c r="L28" s="190">
        <v>0</v>
      </c>
      <c r="M28" s="190">
        <v>0</v>
      </c>
      <c r="N28" s="190">
        <v>0</v>
      </c>
      <c r="O28" s="190">
        <v>0</v>
      </c>
      <c r="P28" s="190">
        <v>0</v>
      </c>
      <c r="Q28" s="190">
        <v>0</v>
      </c>
      <c r="R28" s="190">
        <v>0</v>
      </c>
      <c r="S28" s="190">
        <v>0</v>
      </c>
      <c r="T28" s="190">
        <v>0</v>
      </c>
      <c r="U28" s="190">
        <v>16200000</v>
      </c>
      <c r="V28" s="190">
        <v>16200000</v>
      </c>
      <c r="W28" s="190">
        <v>16200000</v>
      </c>
      <c r="X28" s="190">
        <v>21500000</v>
      </c>
      <c r="Y28" s="190">
        <v>21500000</v>
      </c>
      <c r="Z28" s="190">
        <v>32500000</v>
      </c>
      <c r="AA28" s="190">
        <v>32500000</v>
      </c>
      <c r="AB28" s="190">
        <v>32500000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11243153039.369999</v>
      </c>
      <c r="C33" s="35">
        <f t="shared" ref="C33:BN33" si="2">SUM(C22:C29)</f>
        <v>9316440431.6599998</v>
      </c>
      <c r="D33" s="35">
        <f t="shared" si="2"/>
        <v>9664957919.5799999</v>
      </c>
      <c r="E33" s="35">
        <f t="shared" si="2"/>
        <v>7663137785.9199991</v>
      </c>
      <c r="F33" s="35">
        <f t="shared" si="2"/>
        <v>8320598890.1800003</v>
      </c>
      <c r="G33" s="35">
        <f t="shared" si="2"/>
        <v>8176318263.5299997</v>
      </c>
      <c r="H33" s="35">
        <f t="shared" si="2"/>
        <v>8090133087.6799994</v>
      </c>
      <c r="I33" s="35">
        <f t="shared" si="2"/>
        <v>6770742040.6999989</v>
      </c>
      <c r="J33" s="35">
        <f t="shared" si="2"/>
        <v>7193354770.4599991</v>
      </c>
      <c r="K33" s="35">
        <f t="shared" si="2"/>
        <v>6657959460.250001</v>
      </c>
      <c r="L33" s="35">
        <f t="shared" si="2"/>
        <v>6842931344.8900003</v>
      </c>
      <c r="M33" s="35">
        <f t="shared" si="2"/>
        <v>5205061259.54</v>
      </c>
      <c r="N33" s="35">
        <f t="shared" si="2"/>
        <v>8871334992.2399998</v>
      </c>
      <c r="O33" s="35">
        <f t="shared" si="2"/>
        <v>8302576529.460001</v>
      </c>
      <c r="P33" s="35">
        <f t="shared" si="2"/>
        <v>6337455589.6800003</v>
      </c>
      <c r="Q33" s="35">
        <f t="shared" si="2"/>
        <v>5659566124.0799999</v>
      </c>
      <c r="R33" s="35">
        <f t="shared" si="2"/>
        <v>8114534758.3199997</v>
      </c>
      <c r="S33" s="35">
        <f t="shared" si="2"/>
        <v>6746614562.8999987</v>
      </c>
      <c r="T33" s="35">
        <f t="shared" si="2"/>
        <v>7088242801.1199999</v>
      </c>
      <c r="U33" s="35">
        <f t="shared" si="2"/>
        <v>6132398003.8199997</v>
      </c>
      <c r="V33" s="35">
        <f t="shared" si="2"/>
        <v>8220155167.0799999</v>
      </c>
      <c r="W33" s="35">
        <f t="shared" si="2"/>
        <v>7590274843.8700008</v>
      </c>
      <c r="X33" s="35">
        <f t="shared" si="2"/>
        <v>7585134255.3999996</v>
      </c>
      <c r="Y33" s="35">
        <f t="shared" si="2"/>
        <v>7585152752.2600002</v>
      </c>
      <c r="Z33" s="35">
        <f t="shared" si="2"/>
        <v>9209577174.5900002</v>
      </c>
      <c r="AA33" s="35">
        <f t="shared" si="2"/>
        <v>9090141742.6499996</v>
      </c>
      <c r="AB33" s="35">
        <f t="shared" si="2"/>
        <v>8463132341.0899992</v>
      </c>
      <c r="AC33" s="35">
        <f t="shared" si="2"/>
        <v>9028375769.4300003</v>
      </c>
      <c r="AD33" s="35">
        <f t="shared" si="2"/>
        <v>8483474613.9000006</v>
      </c>
      <c r="AE33" s="35">
        <f t="shared" si="2"/>
        <v>8008205384.0400009</v>
      </c>
      <c r="AF33" s="35">
        <f t="shared" si="2"/>
        <v>7342620375.6700001</v>
      </c>
      <c r="AG33" s="35">
        <f t="shared" si="2"/>
        <v>6794928606.5100002</v>
      </c>
      <c r="AH33" s="35">
        <f t="shared" si="2"/>
        <v>7820806301.0100002</v>
      </c>
      <c r="AI33" s="35">
        <f t="shared" si="2"/>
        <v>6855776026.1300001</v>
      </c>
      <c r="AJ33" s="35">
        <f t="shared" si="2"/>
        <v>5969954161.1200008</v>
      </c>
      <c r="AK33" s="35">
        <f t="shared" si="2"/>
        <v>5733777539.8400002</v>
      </c>
      <c r="AL33" s="35">
        <f t="shared" si="2"/>
        <v>2136942933.8100002</v>
      </c>
      <c r="AM33" s="35">
        <f t="shared" si="2"/>
        <v>2197300829.6700001</v>
      </c>
      <c r="AN33" s="35">
        <f t="shared" si="2"/>
        <v>1873918781.1099999</v>
      </c>
      <c r="AO33" s="35">
        <f t="shared" si="2"/>
        <v>1969645211.8199997</v>
      </c>
      <c r="AP33" s="35">
        <f t="shared" si="2"/>
        <v>2117494906.71</v>
      </c>
      <c r="AQ33" s="35">
        <f t="shared" si="2"/>
        <v>2027549469.22</v>
      </c>
      <c r="AR33" s="35">
        <f t="shared" si="2"/>
        <v>1765046796.46</v>
      </c>
      <c r="AS33" s="35">
        <f t="shared" si="2"/>
        <v>1580776799.1499999</v>
      </c>
      <c r="AT33" s="35">
        <f t="shared" si="2"/>
        <v>1536664917.8299999</v>
      </c>
      <c r="AU33" s="35">
        <f t="shared" si="2"/>
        <v>1583637331.05</v>
      </c>
      <c r="AV33" s="35">
        <f t="shared" si="2"/>
        <v>1677387930.0599997</v>
      </c>
      <c r="AW33" s="35">
        <f t="shared" si="2"/>
        <v>1332156224.8400002</v>
      </c>
      <c r="AX33" s="35">
        <f t="shared" si="2"/>
        <v>2305493162.4000001</v>
      </c>
      <c r="AY33" s="35">
        <f t="shared" si="2"/>
        <v>742366266.71000004</v>
      </c>
      <c r="AZ33" s="35">
        <f t="shared" si="2"/>
        <v>687805889.18000007</v>
      </c>
      <c r="BA33" s="35">
        <f t="shared" si="2"/>
        <v>566703431.28999996</v>
      </c>
      <c r="BB33" s="35">
        <f t="shared" si="2"/>
        <v>776615104.00999999</v>
      </c>
      <c r="BC33" s="35">
        <f t="shared" si="2"/>
        <v>682099611.8900001</v>
      </c>
      <c r="BD33" s="35">
        <f t="shared" si="2"/>
        <v>811180099.68000007</v>
      </c>
      <c r="BE33" s="35">
        <f t="shared" si="2"/>
        <v>568271461.41000009</v>
      </c>
      <c r="BF33" s="35">
        <f t="shared" si="2"/>
        <v>720294708.64999998</v>
      </c>
      <c r="BG33" s="35">
        <f t="shared" si="2"/>
        <v>1116927184.97</v>
      </c>
      <c r="BH33" s="35">
        <f t="shared" si="2"/>
        <v>806186290.18999982</v>
      </c>
      <c r="BI33" s="35">
        <f t="shared" si="2"/>
        <v>509520675.02000004</v>
      </c>
      <c r="BJ33" s="35">
        <f t="shared" si="2"/>
        <v>484522291.69</v>
      </c>
      <c r="BK33" s="35">
        <f t="shared" si="2"/>
        <v>439075678.81999999</v>
      </c>
      <c r="BL33" s="35">
        <f t="shared" si="2"/>
        <v>680418890.20999992</v>
      </c>
      <c r="BM33" s="35">
        <f t="shared" si="2"/>
        <v>613634324.38</v>
      </c>
      <c r="BN33" s="35">
        <f t="shared" si="2"/>
        <v>190917600.78999999</v>
      </c>
      <c r="BO33" s="35">
        <f t="shared" ref="BO33:CK33" si="3">SUM(BO22:BO29)</f>
        <v>268840147.19</v>
      </c>
      <c r="BP33" s="35">
        <f t="shared" si="3"/>
        <v>215556841.11000001</v>
      </c>
      <c r="BQ33" s="35">
        <f t="shared" si="3"/>
        <v>207669262.66</v>
      </c>
      <c r="BR33" s="35">
        <f t="shared" si="3"/>
        <v>492856253.19</v>
      </c>
      <c r="BS33" s="35">
        <f t="shared" si="3"/>
        <v>260886016.41999999</v>
      </c>
      <c r="BT33" s="35">
        <f t="shared" si="3"/>
        <v>155772969.49000001</v>
      </c>
      <c r="BU33" s="35">
        <f t="shared" si="3"/>
        <v>254094474.05000001</v>
      </c>
      <c r="BV33" s="35">
        <f t="shared" si="3"/>
        <v>303615912.12</v>
      </c>
      <c r="BW33" s="35">
        <f t="shared" si="3"/>
        <v>304183489.36000001</v>
      </c>
      <c r="BX33" s="35">
        <f t="shared" si="3"/>
        <v>240934964</v>
      </c>
      <c r="BY33" s="35">
        <f t="shared" si="3"/>
        <v>69907486.409999996</v>
      </c>
      <c r="BZ33" s="35">
        <f t="shared" si="3"/>
        <v>0</v>
      </c>
      <c r="CA33" s="35">
        <f t="shared" si="3"/>
        <v>19993770.170000002</v>
      </c>
      <c r="CB33" s="35">
        <f t="shared" si="3"/>
        <v>0</v>
      </c>
      <c r="CC33" s="35">
        <f t="shared" si="3"/>
        <v>7729543.4199999999</v>
      </c>
      <c r="CD33" s="35">
        <f t="shared" si="3"/>
        <v>4485173.2300000004</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894070759.66999996</v>
      </c>
      <c r="D35" s="190">
        <v>990810858.30999994</v>
      </c>
      <c r="E35" s="190">
        <v>820191952.29999995</v>
      </c>
      <c r="F35" s="190">
        <v>548353912.96000004</v>
      </c>
      <c r="G35" s="190">
        <v>553425423.17999995</v>
      </c>
      <c r="H35" s="190">
        <v>1067250866.91</v>
      </c>
      <c r="I35" s="190">
        <v>1150271510.21</v>
      </c>
      <c r="J35" s="190">
        <v>903326582.63999999</v>
      </c>
      <c r="K35" s="190">
        <v>979756678.44000006</v>
      </c>
      <c r="L35" s="190">
        <v>1184515472.6300001</v>
      </c>
      <c r="M35" s="190">
        <v>1530485300</v>
      </c>
      <c r="N35" s="190">
        <v>557790322.20000005</v>
      </c>
      <c r="O35" s="190">
        <v>503243572.19999999</v>
      </c>
      <c r="P35" s="190">
        <v>495618600</v>
      </c>
      <c r="Q35" s="190">
        <v>595286120</v>
      </c>
      <c r="R35" s="190">
        <v>697697560</v>
      </c>
      <c r="S35" s="190">
        <v>757883590</v>
      </c>
      <c r="T35" s="190">
        <v>1074608668.02</v>
      </c>
      <c r="U35" s="190">
        <v>692473008.01999998</v>
      </c>
      <c r="V35" s="190">
        <v>463696730</v>
      </c>
      <c r="W35" s="190">
        <v>893846000</v>
      </c>
      <c r="X35" s="190">
        <v>994992980</v>
      </c>
      <c r="Y35" s="190">
        <v>918548792.20000005</v>
      </c>
      <c r="Z35" s="190">
        <v>998825013.60000002</v>
      </c>
      <c r="AA35" s="190">
        <v>1187964462</v>
      </c>
      <c r="AB35" s="190">
        <v>1665850914.02</v>
      </c>
      <c r="AC35" s="190">
        <v>1840374896.6800001</v>
      </c>
      <c r="AD35" s="190">
        <v>1000774905.15</v>
      </c>
      <c r="AE35" s="190">
        <v>988264291.35000002</v>
      </c>
      <c r="AF35" s="190">
        <v>1629907193.1199999</v>
      </c>
      <c r="AG35" s="190">
        <v>1230023584.1900001</v>
      </c>
      <c r="AH35" s="190">
        <v>629335071.27999997</v>
      </c>
      <c r="AI35" s="190">
        <v>595485922.77999997</v>
      </c>
      <c r="AJ35" s="190">
        <v>784461474.21000004</v>
      </c>
      <c r="AK35" s="190">
        <v>791567520.80999994</v>
      </c>
      <c r="AL35" s="190">
        <v>92300000</v>
      </c>
      <c r="AM35" s="190">
        <v>105500000</v>
      </c>
      <c r="AN35" s="190">
        <v>5000000</v>
      </c>
      <c r="AO35" s="190">
        <v>0</v>
      </c>
      <c r="AP35" s="190">
        <v>12900000</v>
      </c>
      <c r="AQ35" s="190">
        <v>12900000</v>
      </c>
      <c r="AR35" s="190">
        <v>0</v>
      </c>
      <c r="AS35" s="190">
        <v>29550000</v>
      </c>
      <c r="AT35" s="190">
        <v>82350000</v>
      </c>
      <c r="AU35" s="190">
        <v>52800000</v>
      </c>
      <c r="AV35" s="190">
        <v>0</v>
      </c>
      <c r="AW35" s="190">
        <v>0</v>
      </c>
      <c r="AX35" s="190">
        <v>0</v>
      </c>
      <c r="AY35" s="190">
        <v>0</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10000000</v>
      </c>
      <c r="BS35" s="190">
        <v>0</v>
      </c>
      <c r="BT35" s="190">
        <v>0</v>
      </c>
      <c r="BU35" s="190">
        <v>0</v>
      </c>
      <c r="BV35" s="190">
        <v>0</v>
      </c>
      <c r="BW35" s="190">
        <v>0</v>
      </c>
      <c r="BX35" s="190">
        <v>0</v>
      </c>
      <c r="BY35" s="190">
        <v>0</v>
      </c>
      <c r="BZ35" s="190">
        <v>0</v>
      </c>
      <c r="CA35" s="190">
        <v>0</v>
      </c>
      <c r="CB35" s="190">
        <v>0</v>
      </c>
      <c r="CC35" s="190">
        <v>0</v>
      </c>
      <c r="CD35" s="190">
        <v>0</v>
      </c>
      <c r="CE35" s="190">
        <v>0</v>
      </c>
      <c r="CF35" s="190"/>
      <c r="CG35" s="190"/>
      <c r="CH35" s="190"/>
      <c r="CI35" s="190"/>
      <c r="CJ35" s="190"/>
      <c r="CK35" s="190"/>
      <c r="CL35" s="190"/>
    </row>
    <row r="36" spans="1:90" x14ac:dyDescent="0.25">
      <c r="A36" s="17" t="s">
        <v>22</v>
      </c>
      <c r="B36" s="190">
        <v>0</v>
      </c>
      <c r="C36" s="190">
        <v>4248937752.4000001</v>
      </c>
      <c r="D36" s="190">
        <v>4824587034.7799997</v>
      </c>
      <c r="E36" s="190">
        <v>4834705931.4700003</v>
      </c>
      <c r="F36" s="190">
        <v>4925834849.3999996</v>
      </c>
      <c r="G36" s="190">
        <v>5154143028.71</v>
      </c>
      <c r="H36" s="190">
        <v>5355861264.0200005</v>
      </c>
      <c r="I36" s="190">
        <v>5561378145.2600002</v>
      </c>
      <c r="J36" s="190">
        <v>4204319038.1100001</v>
      </c>
      <c r="K36" s="190">
        <v>3771529404.5500002</v>
      </c>
      <c r="L36" s="190">
        <v>3558836073.0300002</v>
      </c>
      <c r="M36" s="190">
        <v>3553330902.8600001</v>
      </c>
      <c r="N36" s="190">
        <v>1655934044.8399999</v>
      </c>
      <c r="O36" s="190">
        <v>1424622052.99</v>
      </c>
      <c r="P36" s="190">
        <v>1291606624.8199999</v>
      </c>
      <c r="Q36" s="190">
        <v>1241214480.72</v>
      </c>
      <c r="R36" s="190">
        <v>1454632245.45</v>
      </c>
      <c r="S36" s="190">
        <v>1571801277.9400001</v>
      </c>
      <c r="T36" s="190">
        <v>2311291725.7600002</v>
      </c>
      <c r="U36" s="190">
        <v>2400149146.5900002</v>
      </c>
      <c r="V36" s="190">
        <v>2077902225.8599999</v>
      </c>
      <c r="W36" s="190">
        <v>2010150701.0899999</v>
      </c>
      <c r="X36" s="190">
        <v>2544249870.5999999</v>
      </c>
      <c r="Y36" s="190">
        <v>2500994847.7399998</v>
      </c>
      <c r="Z36" s="190">
        <v>1809647571.6600001</v>
      </c>
      <c r="AA36" s="190">
        <v>1879163626.48</v>
      </c>
      <c r="AB36" s="190">
        <v>1830943620.8599999</v>
      </c>
      <c r="AC36" s="190">
        <v>1504812291.7</v>
      </c>
      <c r="AD36" s="190">
        <v>1391749534.04</v>
      </c>
      <c r="AE36" s="190">
        <v>1391283178.75</v>
      </c>
      <c r="AF36" s="190">
        <v>991015486.14999998</v>
      </c>
      <c r="AG36" s="190">
        <v>730728074.20000005</v>
      </c>
      <c r="AH36" s="190">
        <v>1291508879.6700001</v>
      </c>
      <c r="AI36" s="190">
        <v>1072216123.4</v>
      </c>
      <c r="AJ36" s="190">
        <v>1303523004.1199999</v>
      </c>
      <c r="AK36" s="190">
        <v>670911231.58000004</v>
      </c>
      <c r="AL36" s="190">
        <v>779144745.50999999</v>
      </c>
      <c r="AM36" s="190">
        <v>558529763</v>
      </c>
      <c r="AN36" s="190">
        <v>656303899.59000003</v>
      </c>
      <c r="AO36" s="190">
        <v>604977308.75</v>
      </c>
      <c r="AP36" s="190">
        <v>1197665856.3900001</v>
      </c>
      <c r="AQ36" s="190">
        <v>1218173337.29</v>
      </c>
      <c r="AR36" s="190">
        <v>968722361.41999996</v>
      </c>
      <c r="AS36" s="190">
        <v>842371186.13</v>
      </c>
      <c r="AT36" s="190">
        <v>521421637.50999999</v>
      </c>
      <c r="AU36" s="190">
        <v>504967870.02999997</v>
      </c>
      <c r="AV36" s="190">
        <v>586097510.74000001</v>
      </c>
      <c r="AW36" s="190">
        <v>413939732.82999998</v>
      </c>
      <c r="AX36" s="190">
        <v>432044275.62</v>
      </c>
      <c r="AY36" s="190">
        <v>270202723.92000002</v>
      </c>
      <c r="AZ36" s="190">
        <v>317266260.16000003</v>
      </c>
      <c r="BA36" s="190">
        <v>278027652.87</v>
      </c>
      <c r="BB36" s="190">
        <v>330192289.61000001</v>
      </c>
      <c r="BC36" s="190">
        <v>460231042.29000002</v>
      </c>
      <c r="BD36" s="190">
        <v>334456714.19</v>
      </c>
      <c r="BE36" s="190">
        <v>300163790.81999999</v>
      </c>
      <c r="BF36" s="190">
        <v>236218633.56</v>
      </c>
      <c r="BG36" s="190">
        <v>347470654.12</v>
      </c>
      <c r="BH36" s="190">
        <v>127732192.54000001</v>
      </c>
      <c r="BI36" s="190">
        <v>149421840.66999999</v>
      </c>
      <c r="BJ36" s="190">
        <v>168570675.40000001</v>
      </c>
      <c r="BK36" s="190">
        <v>179502910.66999999</v>
      </c>
      <c r="BL36" s="190">
        <v>187335016.84999999</v>
      </c>
      <c r="BM36" s="190">
        <v>182976366.65000001</v>
      </c>
      <c r="BN36" s="190">
        <v>2480733.08</v>
      </c>
      <c r="BO36" s="190">
        <v>109054488.70999999</v>
      </c>
      <c r="BP36" s="190">
        <v>34244634.890000001</v>
      </c>
      <c r="BQ36" s="190">
        <v>31813960.059999999</v>
      </c>
      <c r="BR36" s="190">
        <v>288038170.98000002</v>
      </c>
      <c r="BS36" s="190">
        <v>88452405.959999993</v>
      </c>
      <c r="BT36" s="190">
        <v>62302934.840000004</v>
      </c>
      <c r="BU36" s="190">
        <v>42671454.840000004</v>
      </c>
      <c r="BV36" s="190">
        <v>153682277</v>
      </c>
      <c r="BW36" s="190">
        <v>81295197.310000002</v>
      </c>
      <c r="BX36" s="190">
        <v>32628352.75</v>
      </c>
      <c r="BY36" s="190">
        <v>12861032.43</v>
      </c>
      <c r="BZ36" s="190">
        <v>0</v>
      </c>
      <c r="CA36" s="190">
        <v>6136859.5899999999</v>
      </c>
      <c r="CB36" s="190">
        <v>0</v>
      </c>
      <c r="CC36" s="190">
        <v>252608.65</v>
      </c>
      <c r="CD36" s="190">
        <v>8936373.5800000001</v>
      </c>
      <c r="CE36" s="190">
        <v>0</v>
      </c>
      <c r="CF36" s="190"/>
      <c r="CG36" s="190"/>
      <c r="CH36" s="190"/>
      <c r="CI36" s="190"/>
      <c r="CJ36" s="190"/>
      <c r="CK36" s="190"/>
      <c r="CL36" s="190"/>
    </row>
    <row r="37" spans="1:90" x14ac:dyDescent="0.25">
      <c r="A37" s="17" t="s">
        <v>23</v>
      </c>
      <c r="B37" s="190">
        <v>417718386.81999999</v>
      </c>
      <c r="C37" s="190">
        <v>570504901.64999998</v>
      </c>
      <c r="D37" s="190">
        <v>583391842.84000003</v>
      </c>
      <c r="E37" s="190">
        <v>582916617.45000005</v>
      </c>
      <c r="F37" s="190">
        <v>498372558.20999998</v>
      </c>
      <c r="G37" s="190">
        <v>342642765.14999998</v>
      </c>
      <c r="H37" s="190">
        <v>258524683.68000001</v>
      </c>
      <c r="I37" s="190">
        <v>256836241.80000001</v>
      </c>
      <c r="J37" s="190">
        <v>25157345.699999999</v>
      </c>
      <c r="K37" s="190">
        <v>9075710.7100000009</v>
      </c>
      <c r="L37" s="190">
        <v>9979890.6500000004</v>
      </c>
      <c r="M37" s="190">
        <v>37087029.119999997</v>
      </c>
      <c r="N37" s="190">
        <v>7655615.6299999999</v>
      </c>
      <c r="O37" s="190">
        <v>10905330.960000001</v>
      </c>
      <c r="P37" s="190">
        <v>8714898.1699999999</v>
      </c>
      <c r="Q37" s="190">
        <v>6091339.8200000003</v>
      </c>
      <c r="R37" s="190">
        <v>20450501.870000001</v>
      </c>
      <c r="S37" s="190">
        <v>32681690.670000002</v>
      </c>
      <c r="T37" s="190">
        <v>48755989.18</v>
      </c>
      <c r="U37" s="190">
        <v>50723602.640000001</v>
      </c>
      <c r="V37" s="190">
        <v>22137021.16</v>
      </c>
      <c r="W37" s="190">
        <v>40347818.969999999</v>
      </c>
      <c r="X37" s="190">
        <v>170492469.03999999</v>
      </c>
      <c r="Y37" s="190">
        <v>60089027.619999997</v>
      </c>
      <c r="Z37" s="190">
        <v>179034358.50999999</v>
      </c>
      <c r="AA37" s="190">
        <v>238532730.33000001</v>
      </c>
      <c r="AB37" s="190">
        <v>116022031.98999999</v>
      </c>
      <c r="AC37" s="190">
        <v>250154985.52000001</v>
      </c>
      <c r="AD37" s="190">
        <v>308654518.73000002</v>
      </c>
      <c r="AE37" s="190">
        <v>337346383.85000002</v>
      </c>
      <c r="AF37" s="190">
        <v>322836354.47000003</v>
      </c>
      <c r="AG37" s="190">
        <v>95624010.120000005</v>
      </c>
      <c r="AH37" s="190">
        <v>8724102.7799999993</v>
      </c>
      <c r="AI37" s="190">
        <v>167450146.27000001</v>
      </c>
      <c r="AJ37" s="190">
        <v>4250567.6100000003</v>
      </c>
      <c r="AK37" s="190">
        <v>2281394.6</v>
      </c>
      <c r="AL37" s="190">
        <v>49968</v>
      </c>
      <c r="AM37" s="190">
        <v>0</v>
      </c>
      <c r="AN37" s="190">
        <v>0</v>
      </c>
      <c r="AO37" s="190">
        <v>0</v>
      </c>
      <c r="AP37" s="190">
        <v>413500</v>
      </c>
      <c r="AQ37" s="190">
        <v>0</v>
      </c>
      <c r="AR37" s="190">
        <v>0</v>
      </c>
      <c r="AS37" s="190">
        <v>0</v>
      </c>
      <c r="AT37" s="190">
        <v>0</v>
      </c>
      <c r="AU37" s="190">
        <v>550000</v>
      </c>
      <c r="AV37" s="190">
        <v>0</v>
      </c>
      <c r="AW37" s="190">
        <v>0</v>
      </c>
      <c r="AX37" s="190">
        <v>170000</v>
      </c>
      <c r="AY37" s="190">
        <v>0</v>
      </c>
      <c r="AZ37" s="190">
        <v>0</v>
      </c>
      <c r="BA37" s="190">
        <v>12677.2</v>
      </c>
      <c r="BB37" s="190">
        <v>128050.5</v>
      </c>
      <c r="BC37" s="190">
        <v>128050.5</v>
      </c>
      <c r="BD37" s="190">
        <v>128050.5</v>
      </c>
      <c r="BE37" s="190">
        <v>150000</v>
      </c>
      <c r="BF37" s="190">
        <v>550000</v>
      </c>
      <c r="BG37" s="190">
        <v>0</v>
      </c>
      <c r="BH37" s="190">
        <v>0</v>
      </c>
      <c r="BI37" s="190">
        <v>0</v>
      </c>
      <c r="BJ37" s="190">
        <v>0</v>
      </c>
      <c r="BK37" s="190">
        <v>0</v>
      </c>
      <c r="BL37" s="190">
        <v>0</v>
      </c>
      <c r="BM37" s="190">
        <v>0</v>
      </c>
      <c r="BN37" s="190">
        <v>0</v>
      </c>
      <c r="BO37" s="190">
        <v>1246082.9099999999</v>
      </c>
      <c r="BP37" s="190">
        <v>7253712.29</v>
      </c>
      <c r="BQ37" s="190">
        <v>7107397.3200000003</v>
      </c>
      <c r="BR37" s="190">
        <v>8960785.4700000007</v>
      </c>
      <c r="BS37" s="190">
        <v>6635294.9000000004</v>
      </c>
      <c r="BT37" s="190">
        <v>10417998.289999999</v>
      </c>
      <c r="BU37" s="190">
        <v>31211387.960000001</v>
      </c>
      <c r="BV37" s="190">
        <v>15090711.880000001</v>
      </c>
      <c r="BW37" s="190">
        <v>1222584.1399999999</v>
      </c>
      <c r="BX37" s="190">
        <v>213307.7</v>
      </c>
      <c r="BY37" s="190">
        <v>427672.05</v>
      </c>
      <c r="BZ37" s="190">
        <v>0</v>
      </c>
      <c r="CA37" s="190">
        <v>411206.59</v>
      </c>
      <c r="CB37" s="190">
        <v>0</v>
      </c>
      <c r="CC37" s="190">
        <v>1263174.31</v>
      </c>
      <c r="CD37" s="190">
        <v>0</v>
      </c>
      <c r="CE37" s="190">
        <v>0</v>
      </c>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c r="CG38" s="190"/>
      <c r="CH38" s="190"/>
      <c r="CI38" s="190"/>
      <c r="CJ38" s="190"/>
      <c r="CK38" s="190"/>
      <c r="CL38" s="190"/>
    </row>
    <row r="39" spans="1:90" x14ac:dyDescent="0.25">
      <c r="A39" s="17" t="s">
        <v>25</v>
      </c>
      <c r="B39" s="190">
        <v>264815584.19999999</v>
      </c>
      <c r="C39" s="190">
        <v>253022788.53999999</v>
      </c>
      <c r="D39" s="190">
        <v>252113725.90000001</v>
      </c>
      <c r="E39" s="190">
        <v>218283168</v>
      </c>
      <c r="F39" s="190">
        <v>335290227.25</v>
      </c>
      <c r="G39" s="190">
        <v>277338437.86000001</v>
      </c>
      <c r="H39" s="190">
        <v>270998878.67000002</v>
      </c>
      <c r="I39" s="190">
        <v>323628247.33999997</v>
      </c>
      <c r="J39" s="190">
        <v>361610766.88999999</v>
      </c>
      <c r="K39" s="190">
        <v>266328520.81</v>
      </c>
      <c r="L39" s="190">
        <v>264278190.87</v>
      </c>
      <c r="M39" s="190">
        <v>338716119.47000003</v>
      </c>
      <c r="N39" s="190">
        <v>393703027.25</v>
      </c>
      <c r="O39" s="190">
        <v>257210289.05000001</v>
      </c>
      <c r="P39" s="190">
        <v>251709425.15000001</v>
      </c>
      <c r="Q39" s="190">
        <v>360311131.56999999</v>
      </c>
      <c r="R39" s="190">
        <v>255014080.25999999</v>
      </c>
      <c r="S39" s="190">
        <v>231378734.59999999</v>
      </c>
      <c r="T39" s="190">
        <v>289124384.01999998</v>
      </c>
      <c r="U39" s="190">
        <v>408798978.33999997</v>
      </c>
      <c r="V39" s="190">
        <v>513769556.79000002</v>
      </c>
      <c r="W39" s="190">
        <v>412458334</v>
      </c>
      <c r="X39" s="190">
        <v>302919936.20999998</v>
      </c>
      <c r="Y39" s="190">
        <v>408295434.36000001</v>
      </c>
      <c r="Z39" s="190">
        <v>348967828.25</v>
      </c>
      <c r="AA39" s="190">
        <v>202945834.63999999</v>
      </c>
      <c r="AB39" s="190">
        <v>249541165.88999999</v>
      </c>
      <c r="AC39" s="190">
        <v>366212355.73000002</v>
      </c>
      <c r="AD39" s="190">
        <v>411224249.38999999</v>
      </c>
      <c r="AE39" s="190">
        <v>307664620.55000001</v>
      </c>
      <c r="AF39" s="190">
        <v>341574045.29000002</v>
      </c>
      <c r="AG39" s="190">
        <v>419493170.67000002</v>
      </c>
      <c r="AH39" s="190">
        <v>358764402.70999998</v>
      </c>
      <c r="AI39" s="190">
        <v>281858948.37</v>
      </c>
      <c r="AJ39" s="190">
        <v>308491330.22000003</v>
      </c>
      <c r="AK39" s="190">
        <v>370911994.48000002</v>
      </c>
      <c r="AL39" s="190">
        <v>161033684.97999999</v>
      </c>
      <c r="AM39" s="190">
        <v>165210788.28</v>
      </c>
      <c r="AN39" s="190">
        <v>161772118.81999999</v>
      </c>
      <c r="AO39" s="190">
        <v>166111725.34</v>
      </c>
      <c r="AP39" s="190">
        <v>150592414.03999999</v>
      </c>
      <c r="AQ39" s="190">
        <v>155854744.5</v>
      </c>
      <c r="AR39" s="190">
        <v>175641075.49000001</v>
      </c>
      <c r="AS39" s="190">
        <v>167274087.40000001</v>
      </c>
      <c r="AT39" s="190">
        <v>106125067.41</v>
      </c>
      <c r="AU39" s="190">
        <v>119158408.98</v>
      </c>
      <c r="AV39" s="190">
        <v>111186149.34999999</v>
      </c>
      <c r="AW39" s="190">
        <v>56004201.539999999</v>
      </c>
      <c r="AX39" s="190">
        <v>18865957.07</v>
      </c>
      <c r="AY39" s="190">
        <v>17476906.030000001</v>
      </c>
      <c r="AZ39" s="190">
        <v>19462133.079999998</v>
      </c>
      <c r="BA39" s="190">
        <v>19642583.260000002</v>
      </c>
      <c r="BB39" s="190">
        <v>5942786.7999999998</v>
      </c>
      <c r="BC39" s="190">
        <v>5435725.6799999997</v>
      </c>
      <c r="BD39" s="190">
        <v>21301586.149999999</v>
      </c>
      <c r="BE39" s="190">
        <v>19799000.949999999</v>
      </c>
      <c r="BF39" s="190">
        <v>33880981.119999997</v>
      </c>
      <c r="BG39" s="190">
        <v>45138003.049999997</v>
      </c>
      <c r="BH39" s="190">
        <v>42894484.060000002</v>
      </c>
      <c r="BI39" s="190">
        <v>40367721.539999999</v>
      </c>
      <c r="BJ39" s="190">
        <v>31237189.489999998</v>
      </c>
      <c r="BK39" s="190">
        <v>37162959.950000003</v>
      </c>
      <c r="BL39" s="190">
        <v>31300184.66</v>
      </c>
      <c r="BM39" s="190">
        <v>28599949.079999998</v>
      </c>
      <c r="BN39" s="190">
        <v>4477913.4000000004</v>
      </c>
      <c r="BO39" s="190">
        <v>3680735.79</v>
      </c>
      <c r="BP39" s="190">
        <v>1121674.31</v>
      </c>
      <c r="BQ39" s="190">
        <v>-611306.27</v>
      </c>
      <c r="BR39" s="190">
        <v>5290487.5199999996</v>
      </c>
      <c r="BS39" s="190">
        <v>723518.05</v>
      </c>
      <c r="BT39" s="190">
        <v>6294122.3399999999</v>
      </c>
      <c r="BU39" s="190">
        <v>7076758.9500000002</v>
      </c>
      <c r="BV39" s="190">
        <v>9344688.4299999997</v>
      </c>
      <c r="BW39" s="190">
        <v>5035620.3099999996</v>
      </c>
      <c r="BX39" s="190">
        <v>7893318.4100000001</v>
      </c>
      <c r="BY39" s="190">
        <v>873888.98</v>
      </c>
      <c r="BZ39" s="190">
        <v>0</v>
      </c>
      <c r="CA39" s="190">
        <v>488841.2</v>
      </c>
      <c r="CB39" s="190">
        <v>0</v>
      </c>
      <c r="CC39" s="190">
        <v>802462.19</v>
      </c>
      <c r="CD39" s="190">
        <v>231156.37</v>
      </c>
      <c r="CE39" s="190">
        <v>0</v>
      </c>
      <c r="CF39" s="190"/>
      <c r="CG39" s="190"/>
      <c r="CH39" s="190"/>
      <c r="CI39" s="190"/>
      <c r="CJ39" s="190"/>
      <c r="CK39" s="190"/>
      <c r="CL39" s="190"/>
    </row>
    <row r="40" spans="1:90" x14ac:dyDescent="0.25">
      <c r="A40" s="17" t="s">
        <v>26</v>
      </c>
      <c r="B40" s="190">
        <v>1264258139.3299999</v>
      </c>
      <c r="C40" s="190">
        <v>570479991.62</v>
      </c>
      <c r="D40" s="190">
        <v>796545970.76999998</v>
      </c>
      <c r="E40" s="190">
        <v>732576980.55999994</v>
      </c>
      <c r="F40" s="190">
        <v>1161283819.6400001</v>
      </c>
      <c r="G40" s="190">
        <v>614639419.71000004</v>
      </c>
      <c r="H40" s="190">
        <v>875143817.28999996</v>
      </c>
      <c r="I40" s="190">
        <v>730010418.39999998</v>
      </c>
      <c r="J40" s="190">
        <v>163878314.91999999</v>
      </c>
      <c r="K40" s="190">
        <v>-307084003.41000003</v>
      </c>
      <c r="L40" s="190">
        <v>-48394197.509999998</v>
      </c>
      <c r="M40" s="190">
        <v>-415875204.88</v>
      </c>
      <c r="N40" s="190">
        <v>600373800.90999997</v>
      </c>
      <c r="O40" s="190">
        <v>342023754.52999997</v>
      </c>
      <c r="P40" s="190">
        <v>442104369.77999997</v>
      </c>
      <c r="Q40" s="190">
        <v>91499041.709999993</v>
      </c>
      <c r="R40" s="190">
        <v>745444036.48000002</v>
      </c>
      <c r="S40" s="190">
        <v>-33880452.479999997</v>
      </c>
      <c r="T40" s="190">
        <v>-133104783.17</v>
      </c>
      <c r="U40" s="190">
        <v>-430488676.92000002</v>
      </c>
      <c r="V40" s="190">
        <v>-240617880.21000001</v>
      </c>
      <c r="W40" s="190">
        <v>-714520192.83000004</v>
      </c>
      <c r="X40" s="190">
        <v>-863711273.17999995</v>
      </c>
      <c r="Y40" s="190">
        <v>-879649134.24000001</v>
      </c>
      <c r="Z40" s="190">
        <v>-576446215.38999999</v>
      </c>
      <c r="AA40" s="190">
        <v>-755287581.53999996</v>
      </c>
      <c r="AB40" s="190">
        <v>-582440377.12</v>
      </c>
      <c r="AC40" s="190">
        <v>-573203957.73000002</v>
      </c>
      <c r="AD40" s="190">
        <v>-210146127.58000001</v>
      </c>
      <c r="AE40" s="190">
        <v>-319435059.31999999</v>
      </c>
      <c r="AF40" s="190">
        <v>-393548246.88999999</v>
      </c>
      <c r="AG40" s="190">
        <v>-296615471.44</v>
      </c>
      <c r="AH40" s="190">
        <v>-104902913.58</v>
      </c>
      <c r="AI40" s="190">
        <v>-395248716.58999997</v>
      </c>
      <c r="AJ40" s="190">
        <v>-410459029.50999999</v>
      </c>
      <c r="AK40" s="190">
        <v>-232776642.38</v>
      </c>
      <c r="AL40" s="190">
        <v>-46025544.450000003</v>
      </c>
      <c r="AM40" s="190">
        <v>52054594.899999999</v>
      </c>
      <c r="AN40" s="190">
        <v>154178475.77000001</v>
      </c>
      <c r="AO40" s="190">
        <v>116157318.19</v>
      </c>
      <c r="AP40" s="190">
        <v>123045764.03</v>
      </c>
      <c r="AQ40" s="190">
        <v>96720312.120000005</v>
      </c>
      <c r="AR40" s="190">
        <v>110851735.3</v>
      </c>
      <c r="AS40" s="190">
        <v>127506845.31</v>
      </c>
      <c r="AT40" s="190">
        <v>101417404.02</v>
      </c>
      <c r="AU40" s="190">
        <v>141977490.16999999</v>
      </c>
      <c r="AV40" s="190">
        <v>140961355.77000001</v>
      </c>
      <c r="AW40" s="190">
        <v>100605162.56</v>
      </c>
      <c r="AX40" s="190">
        <v>62542334.719999999</v>
      </c>
      <c r="AY40" s="190">
        <v>54443395.609999999</v>
      </c>
      <c r="AZ40" s="190">
        <v>50436913.640000001</v>
      </c>
      <c r="BA40" s="190">
        <v>53609274.859999999</v>
      </c>
      <c r="BB40" s="190">
        <v>51460884.100000001</v>
      </c>
      <c r="BC40" s="190">
        <v>44691849.630000003</v>
      </c>
      <c r="BD40" s="190">
        <v>59894699.829999998</v>
      </c>
      <c r="BE40" s="190">
        <v>61305079.479999997</v>
      </c>
      <c r="BF40" s="190">
        <v>55742490.020000003</v>
      </c>
      <c r="BG40" s="190">
        <v>71819109.140000001</v>
      </c>
      <c r="BH40" s="190">
        <v>45038395.600000001</v>
      </c>
      <c r="BI40" s="190">
        <v>38630706.219999999</v>
      </c>
      <c r="BJ40" s="190">
        <v>40240899.280000001</v>
      </c>
      <c r="BK40" s="190">
        <v>48927059.609999999</v>
      </c>
      <c r="BL40" s="190">
        <v>39477814.079999998</v>
      </c>
      <c r="BM40" s="190">
        <v>55080732.950000003</v>
      </c>
      <c r="BN40" s="190">
        <v>23422419.559999999</v>
      </c>
      <c r="BO40" s="190">
        <v>4653050.76</v>
      </c>
      <c r="BP40" s="190">
        <v>17650708.039999999</v>
      </c>
      <c r="BQ40" s="190">
        <v>8869749.7799999993</v>
      </c>
      <c r="BR40" s="190">
        <v>-13831713.890000001</v>
      </c>
      <c r="BS40" s="190">
        <v>33845948.07</v>
      </c>
      <c r="BT40" s="190">
        <v>23920198</v>
      </c>
      <c r="BU40" s="190">
        <v>35937846.100000001</v>
      </c>
      <c r="BV40" s="190">
        <v>-10478019.199999999</v>
      </c>
      <c r="BW40" s="190">
        <v>33020231.739999998</v>
      </c>
      <c r="BX40" s="190">
        <v>92521674.239999995</v>
      </c>
      <c r="BY40" s="190">
        <v>35698051.340000004</v>
      </c>
      <c r="BZ40" s="190">
        <v>0</v>
      </c>
      <c r="CA40" s="190">
        <v>72137299.840000004</v>
      </c>
      <c r="CB40" s="190">
        <v>0</v>
      </c>
      <c r="CC40" s="190">
        <v>27067111.02</v>
      </c>
      <c r="CD40" s="190">
        <v>14438170.33</v>
      </c>
      <c r="CE40" s="190">
        <v>0</v>
      </c>
      <c r="CF40" s="190"/>
      <c r="CG40" s="190"/>
      <c r="CH40" s="190"/>
      <c r="CI40" s="190"/>
      <c r="CJ40" s="190"/>
      <c r="CK40" s="190"/>
      <c r="CL40" s="190"/>
    </row>
    <row r="41" spans="1:90" x14ac:dyDescent="0.25">
      <c r="A41" s="17" t="s">
        <v>27</v>
      </c>
      <c r="B41" s="190">
        <v>6198086988.96</v>
      </c>
      <c r="C41" s="190">
        <v>5080333509.1499996</v>
      </c>
      <c r="D41" s="190">
        <v>5759069663.6300001</v>
      </c>
      <c r="E41" s="190">
        <v>6366017656.7600002</v>
      </c>
      <c r="F41" s="190">
        <v>7017708813.4200001</v>
      </c>
      <c r="G41" s="190">
        <v>6181016850.46</v>
      </c>
      <c r="H41" s="190">
        <v>6319909860.1700001</v>
      </c>
      <c r="I41" s="190">
        <v>6958764222.8599997</v>
      </c>
      <c r="J41" s="190">
        <v>7478498150.3500004</v>
      </c>
      <c r="K41" s="190">
        <v>6271704041.6800003</v>
      </c>
      <c r="L41" s="190">
        <v>6153350454.5299997</v>
      </c>
      <c r="M41" s="190">
        <v>6965212099.4799995</v>
      </c>
      <c r="N41" s="190">
        <v>6387657825.5</v>
      </c>
      <c r="O41" s="190">
        <v>6454219433</v>
      </c>
      <c r="P41" s="190">
        <v>6394587115.1700001</v>
      </c>
      <c r="Q41" s="190">
        <v>7300081162.9300003</v>
      </c>
      <c r="R41" s="190">
        <v>7995786144.0799999</v>
      </c>
      <c r="S41" s="190">
        <v>6287076272.8999996</v>
      </c>
      <c r="T41" s="190">
        <v>5200027638.4099998</v>
      </c>
      <c r="U41" s="190">
        <v>7079989023.8699999</v>
      </c>
      <c r="V41" s="190">
        <v>7092103864.0100002</v>
      </c>
      <c r="W41" s="190">
        <v>6045386956.1199999</v>
      </c>
      <c r="X41" s="190">
        <v>5816177169.0100002</v>
      </c>
      <c r="Y41" s="190">
        <v>5656557788.1099997</v>
      </c>
      <c r="Z41" s="190">
        <v>3791352494.3000002</v>
      </c>
      <c r="AA41" s="190">
        <v>4169404423.5100002</v>
      </c>
      <c r="AB41" s="190">
        <v>3455015381.6100001</v>
      </c>
      <c r="AC41" s="190">
        <v>4406190929.9799995</v>
      </c>
      <c r="AD41" s="190">
        <v>6586632609.2600002</v>
      </c>
      <c r="AE41" s="190">
        <v>5072082304.5299997</v>
      </c>
      <c r="AF41" s="190">
        <v>5009079266.3999996</v>
      </c>
      <c r="AG41" s="190">
        <v>5264530980.6499996</v>
      </c>
      <c r="AH41" s="190">
        <v>3810749529.5900002</v>
      </c>
      <c r="AI41" s="190">
        <v>3898577252.9099998</v>
      </c>
      <c r="AJ41" s="190">
        <v>3632895481.75</v>
      </c>
      <c r="AK41" s="190">
        <v>4024383989.0799999</v>
      </c>
      <c r="AL41" s="190">
        <v>178796179.93000001</v>
      </c>
      <c r="AM41" s="190">
        <v>292311954.06999999</v>
      </c>
      <c r="AN41" s="190">
        <v>181505296.84</v>
      </c>
      <c r="AO41" s="190">
        <v>206918024.5</v>
      </c>
      <c r="AP41" s="190">
        <v>223400434.53999999</v>
      </c>
      <c r="AQ41" s="190">
        <v>201578617.41999999</v>
      </c>
      <c r="AR41" s="190">
        <v>201583481.80000001</v>
      </c>
      <c r="AS41" s="190">
        <v>173426060.87</v>
      </c>
      <c r="AT41" s="190">
        <v>667580422.05999994</v>
      </c>
      <c r="AU41" s="190">
        <v>942234250.73000002</v>
      </c>
      <c r="AV41" s="190">
        <v>825955282.44000006</v>
      </c>
      <c r="AW41" s="190">
        <v>1076426672.05</v>
      </c>
      <c r="AX41" s="190">
        <v>489316324.33999997</v>
      </c>
      <c r="AY41" s="190">
        <v>400283790.25</v>
      </c>
      <c r="AZ41" s="190">
        <v>374107872.19999999</v>
      </c>
      <c r="BA41" s="190">
        <v>167935334.75999999</v>
      </c>
      <c r="BB41" s="190">
        <v>197394281</v>
      </c>
      <c r="BC41" s="190">
        <v>161855025.75</v>
      </c>
      <c r="BD41" s="190">
        <v>140991961.52000001</v>
      </c>
      <c r="BE41" s="190">
        <v>162440047.61000001</v>
      </c>
      <c r="BF41" s="190">
        <v>357616582.74000001</v>
      </c>
      <c r="BG41" s="190">
        <v>350415935.23000002</v>
      </c>
      <c r="BH41" s="190">
        <v>75500912.819999993</v>
      </c>
      <c r="BI41" s="190">
        <v>85585024.459999993</v>
      </c>
      <c r="BJ41" s="190">
        <v>82269647.370000005</v>
      </c>
      <c r="BK41" s="190">
        <v>70249619.200000003</v>
      </c>
      <c r="BL41" s="190">
        <v>159636051.66999999</v>
      </c>
      <c r="BM41" s="190">
        <v>122594290.53</v>
      </c>
      <c r="BN41" s="190">
        <v>2847687.94</v>
      </c>
      <c r="BO41" s="190">
        <v>1910584.68</v>
      </c>
      <c r="BP41" s="190">
        <v>4556720.6900000004</v>
      </c>
      <c r="BQ41" s="190">
        <v>3331056.25</v>
      </c>
      <c r="BR41" s="190">
        <v>8535167.9900000002</v>
      </c>
      <c r="BS41" s="190">
        <v>8645694.9199999999</v>
      </c>
      <c r="BT41" s="190">
        <v>6077485.46</v>
      </c>
      <c r="BU41" s="190">
        <v>7609750.4500000002</v>
      </c>
      <c r="BV41" s="190">
        <v>5266452.96</v>
      </c>
      <c r="BW41" s="190">
        <v>1943475.76</v>
      </c>
      <c r="BX41" s="190">
        <v>2480998.67</v>
      </c>
      <c r="BY41" s="190">
        <v>5842203.2199999997</v>
      </c>
      <c r="BZ41" s="190">
        <v>0</v>
      </c>
      <c r="CA41" s="190">
        <v>4664413.96</v>
      </c>
      <c r="CB41" s="190">
        <v>0</v>
      </c>
      <c r="CC41" s="190">
        <v>5377872.3700000001</v>
      </c>
      <c r="CD41" s="190">
        <v>1801671.96</v>
      </c>
      <c r="CE41" s="190">
        <v>0</v>
      </c>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c r="CG42" s="190"/>
      <c r="CH42" s="190"/>
      <c r="CI42" s="190"/>
      <c r="CJ42" s="190"/>
      <c r="CK42" s="190"/>
      <c r="CL42" s="190"/>
    </row>
    <row r="43" spans="1:90" x14ac:dyDescent="0.25">
      <c r="A43" s="17" t="s">
        <v>29</v>
      </c>
      <c r="B43" s="190">
        <v>201621052.37</v>
      </c>
      <c r="C43" s="190">
        <v>207184000.27000001</v>
      </c>
      <c r="D43" s="190">
        <v>227118451.38999999</v>
      </c>
      <c r="E43" s="190">
        <v>233701723.75999999</v>
      </c>
      <c r="F43" s="190">
        <v>232045306.08000001</v>
      </c>
      <c r="G43" s="190">
        <v>236160542.88999999</v>
      </c>
      <c r="H43" s="190">
        <v>236783093.30000001</v>
      </c>
      <c r="I43" s="190">
        <v>242450588.86000001</v>
      </c>
      <c r="J43" s="190">
        <v>241988216.36000001</v>
      </c>
      <c r="K43" s="190">
        <v>246001199.87</v>
      </c>
      <c r="L43" s="190">
        <v>244106337.66999999</v>
      </c>
      <c r="M43" s="190">
        <v>248638799.22</v>
      </c>
      <c r="N43" s="190">
        <v>116125535.41</v>
      </c>
      <c r="O43" s="190">
        <v>117680386.2</v>
      </c>
      <c r="P43" s="190">
        <v>117104374.02</v>
      </c>
      <c r="Q43" s="190">
        <v>120539902.17</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c r="CG43" s="190"/>
      <c r="CH43" s="190"/>
      <c r="CI43" s="190"/>
      <c r="CJ43" s="190"/>
      <c r="CK43" s="190"/>
      <c r="CL43" s="190"/>
    </row>
    <row r="44" spans="1:90" x14ac:dyDescent="0.25">
      <c r="A44" s="17" t="s">
        <v>30</v>
      </c>
      <c r="B44" s="190">
        <v>0</v>
      </c>
      <c r="C44" s="190">
        <v>0</v>
      </c>
      <c r="D44" s="190">
        <v>150000</v>
      </c>
      <c r="E44" s="190">
        <v>150000</v>
      </c>
      <c r="F44" s="190">
        <v>1237768.1000000001</v>
      </c>
      <c r="G44" s="190">
        <v>1237768.1000000001</v>
      </c>
      <c r="H44" s="190">
        <v>1237768.1000000001</v>
      </c>
      <c r="I44" s="190">
        <v>1137768.1000000001</v>
      </c>
      <c r="J44" s="190">
        <v>610622.15</v>
      </c>
      <c r="K44" s="190">
        <v>610622.15</v>
      </c>
      <c r="L44" s="190">
        <v>610622.15</v>
      </c>
      <c r="M44" s="190">
        <v>610622.15</v>
      </c>
      <c r="N44" s="190">
        <v>0</v>
      </c>
      <c r="O44" s="190">
        <v>0</v>
      </c>
      <c r="P44" s="190">
        <v>0</v>
      </c>
      <c r="Q44" s="190">
        <v>0</v>
      </c>
      <c r="R44" s="190">
        <v>0</v>
      </c>
      <c r="S44" s="190">
        <v>0</v>
      </c>
      <c r="T44" s="190">
        <v>0</v>
      </c>
      <c r="U44" s="190">
        <v>0</v>
      </c>
      <c r="V44" s="190">
        <v>0</v>
      </c>
      <c r="W44" s="190">
        <v>169000</v>
      </c>
      <c r="X44" s="190">
        <v>0</v>
      </c>
      <c r="Y44" s="190">
        <v>0</v>
      </c>
      <c r="Z44" s="190">
        <v>0</v>
      </c>
      <c r="AA44" s="190">
        <v>0</v>
      </c>
      <c r="AB44" s="190">
        <v>0</v>
      </c>
      <c r="AC44" s="190">
        <v>0</v>
      </c>
      <c r="AD44" s="190">
        <v>7188397</v>
      </c>
      <c r="AE44" s="190">
        <v>7188397</v>
      </c>
      <c r="AF44" s="190">
        <v>7188397</v>
      </c>
      <c r="AG44" s="190">
        <v>7188397</v>
      </c>
      <c r="AH44" s="190">
        <v>0</v>
      </c>
      <c r="AI44" s="190">
        <v>7188397</v>
      </c>
      <c r="AJ44" s="190">
        <v>7188397</v>
      </c>
      <c r="AK44" s="190">
        <v>7188397</v>
      </c>
      <c r="AL44" s="190">
        <v>7188397</v>
      </c>
      <c r="AM44" s="190">
        <v>7188397</v>
      </c>
      <c r="AN44" s="190">
        <v>7188397</v>
      </c>
      <c r="AO44" s="190">
        <v>7188397</v>
      </c>
      <c r="AP44" s="190">
        <v>12438397</v>
      </c>
      <c r="AQ44" s="190">
        <v>12438397</v>
      </c>
      <c r="AR44" s="190">
        <v>12438397</v>
      </c>
      <c r="AS44" s="190">
        <v>12438397</v>
      </c>
      <c r="AT44" s="190">
        <v>12438397</v>
      </c>
      <c r="AU44" s="190">
        <v>12438397</v>
      </c>
      <c r="AV44" s="190">
        <v>12438397</v>
      </c>
      <c r="AW44" s="190">
        <v>12438397</v>
      </c>
      <c r="AX44" s="190">
        <v>7288397</v>
      </c>
      <c r="AY44" s="190">
        <v>7288397</v>
      </c>
      <c r="AZ44" s="190">
        <v>7388397</v>
      </c>
      <c r="BA44" s="190">
        <v>7288397</v>
      </c>
      <c r="BB44" s="190">
        <v>7288397</v>
      </c>
      <c r="BC44" s="190">
        <v>7288397</v>
      </c>
      <c r="BD44" s="190">
        <v>7288397</v>
      </c>
      <c r="BE44" s="190">
        <v>8788397</v>
      </c>
      <c r="BF44" s="190">
        <v>11766397</v>
      </c>
      <c r="BG44" s="190">
        <v>11766397</v>
      </c>
      <c r="BH44" s="190">
        <v>5828900</v>
      </c>
      <c r="BI44" s="190">
        <v>5828900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c r="CG44" s="190"/>
      <c r="CH44" s="190"/>
      <c r="CI44" s="190"/>
      <c r="CJ44" s="190"/>
      <c r="CK44" s="190"/>
      <c r="CL44" s="190"/>
    </row>
    <row r="45" spans="1:90" x14ac:dyDescent="0.25">
      <c r="A45" s="17" t="s">
        <v>31</v>
      </c>
      <c r="B45" s="190">
        <v>1023311998.9400001</v>
      </c>
      <c r="C45" s="190">
        <v>1223015743.54</v>
      </c>
      <c r="D45" s="190">
        <v>1228957031.8499999</v>
      </c>
      <c r="E45" s="190">
        <v>1225202043.22</v>
      </c>
      <c r="F45" s="190">
        <v>1222771561</v>
      </c>
      <c r="G45" s="190">
        <v>2022703488.77</v>
      </c>
      <c r="H45" s="190">
        <v>3521813465.77</v>
      </c>
      <c r="I45" s="190">
        <v>4522234133.7700005</v>
      </c>
      <c r="J45" s="190">
        <v>5518187171.6400003</v>
      </c>
      <c r="K45" s="190">
        <v>4019452460.9299998</v>
      </c>
      <c r="L45" s="190">
        <v>4019102383.3499999</v>
      </c>
      <c r="M45" s="190">
        <v>3519102383.3499999</v>
      </c>
      <c r="N45" s="190">
        <v>3517526871.4299998</v>
      </c>
      <c r="O45" s="190">
        <v>3517526871.4299998</v>
      </c>
      <c r="P45" s="190">
        <v>2017414571.9400001</v>
      </c>
      <c r="Q45" s="190">
        <v>2017418738.9400001</v>
      </c>
      <c r="R45" s="190">
        <v>2012795157.96</v>
      </c>
      <c r="S45" s="190">
        <v>12795157.960000001</v>
      </c>
      <c r="T45" s="190">
        <v>14403602.85</v>
      </c>
      <c r="U45" s="190">
        <v>1514403602.8499999</v>
      </c>
      <c r="V45" s="190">
        <v>2711601166.6500001</v>
      </c>
      <c r="W45" s="190">
        <v>2711601166.6500001</v>
      </c>
      <c r="X45" s="190">
        <v>4212407347.0900002</v>
      </c>
      <c r="Y45" s="190">
        <v>4212415680.4299998</v>
      </c>
      <c r="Z45" s="190">
        <v>10808479.4</v>
      </c>
      <c r="AA45" s="190">
        <v>10408479.4</v>
      </c>
      <c r="AB45" s="190">
        <v>10408479.4</v>
      </c>
      <c r="AC45" s="190">
        <v>10808479.4</v>
      </c>
      <c r="AD45" s="190">
        <v>10408479.4</v>
      </c>
      <c r="AE45" s="190">
        <v>11008479.4</v>
      </c>
      <c r="AF45" s="190">
        <v>11008479.4</v>
      </c>
      <c r="AG45" s="190">
        <v>11008479.4</v>
      </c>
      <c r="AH45" s="190">
        <v>126175676.42</v>
      </c>
      <c r="AI45" s="190">
        <v>0</v>
      </c>
      <c r="AJ45" s="190">
        <v>122982096.70999999</v>
      </c>
      <c r="AK45" s="190">
        <v>125458362.41</v>
      </c>
      <c r="AL45" s="190">
        <v>0</v>
      </c>
      <c r="AM45" s="190">
        <v>0</v>
      </c>
      <c r="AN45" s="190">
        <v>128894048.92</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9369812150.6199989</v>
      </c>
      <c r="C49" s="35">
        <f>SUM(C35:C41)+SUM(C43:C45)</f>
        <v>13047549446.839998</v>
      </c>
      <c r="D49" s="35">
        <f>SUM(D35:D41)+SUM(D43:D45)</f>
        <v>14662744579.469999</v>
      </c>
      <c r="E49" s="35">
        <f>SUM(E35:E45)</f>
        <v>15013746073.52</v>
      </c>
      <c r="F49" s="35">
        <f t="shared" ref="F49:BQ49" si="4">SUM(F35:F45)</f>
        <v>15942898816.060001</v>
      </c>
      <c r="G49" s="35">
        <f t="shared" si="4"/>
        <v>15383307724.83</v>
      </c>
      <c r="H49" s="35">
        <f t="shared" si="4"/>
        <v>17907523697.91</v>
      </c>
      <c r="I49" s="35">
        <f t="shared" si="4"/>
        <v>19746711276.599998</v>
      </c>
      <c r="J49" s="35">
        <f t="shared" si="4"/>
        <v>18897576208.760002</v>
      </c>
      <c r="K49" s="35">
        <f t="shared" si="4"/>
        <v>15257374635.730001</v>
      </c>
      <c r="L49" s="35">
        <f t="shared" si="4"/>
        <v>15386385227.369999</v>
      </c>
      <c r="M49" s="35">
        <f t="shared" si="4"/>
        <v>15777308050.769999</v>
      </c>
      <c r="N49" s="35">
        <f t="shared" si="4"/>
        <v>13236767043.17</v>
      </c>
      <c r="O49" s="35">
        <f t="shared" si="4"/>
        <v>12627431690.360001</v>
      </c>
      <c r="P49" s="35">
        <f t="shared" si="4"/>
        <v>11018859979.050001</v>
      </c>
      <c r="Q49" s="35">
        <f t="shared" si="4"/>
        <v>11732441917.860001</v>
      </c>
      <c r="R49" s="35">
        <f t="shared" si="4"/>
        <v>13181819726.099998</v>
      </c>
      <c r="S49" s="35">
        <f t="shared" si="4"/>
        <v>8859736271.5899982</v>
      </c>
      <c r="T49" s="35">
        <f t="shared" si="4"/>
        <v>8805107225.0699997</v>
      </c>
      <c r="U49" s="35">
        <f t="shared" si="4"/>
        <v>11716048685.390001</v>
      </c>
      <c r="V49" s="35">
        <f t="shared" si="4"/>
        <v>12640592684.26</v>
      </c>
      <c r="W49" s="35">
        <f t="shared" si="4"/>
        <v>11399439784</v>
      </c>
      <c r="X49" s="35">
        <f t="shared" si="4"/>
        <v>13177528498.77</v>
      </c>
      <c r="Y49" s="35">
        <f t="shared" si="4"/>
        <v>12877252436.219999</v>
      </c>
      <c r="Z49" s="35">
        <f t="shared" si="4"/>
        <v>6562189530.3299999</v>
      </c>
      <c r="AA49" s="35">
        <f t="shared" si="4"/>
        <v>6933131974.8199997</v>
      </c>
      <c r="AB49" s="35">
        <f t="shared" si="4"/>
        <v>6745341216.6499996</v>
      </c>
      <c r="AC49" s="35">
        <f t="shared" si="4"/>
        <v>7805349981.2799988</v>
      </c>
      <c r="AD49" s="35">
        <f t="shared" si="4"/>
        <v>9506486565.3899994</v>
      </c>
      <c r="AE49" s="35">
        <f t="shared" si="4"/>
        <v>7795402596.1099987</v>
      </c>
      <c r="AF49" s="35">
        <f t="shared" si="4"/>
        <v>7919060974.9399986</v>
      </c>
      <c r="AG49" s="35">
        <f t="shared" si="4"/>
        <v>7461981224.789999</v>
      </c>
      <c r="AH49" s="35">
        <f t="shared" si="4"/>
        <v>6120354748.8700008</v>
      </c>
      <c r="AI49" s="35">
        <f t="shared" si="4"/>
        <v>5627528074.1399994</v>
      </c>
      <c r="AJ49" s="35">
        <f t="shared" si="4"/>
        <v>5753333322.1099997</v>
      </c>
      <c r="AK49" s="35">
        <f t="shared" si="4"/>
        <v>5759926247.5799999</v>
      </c>
      <c r="AL49" s="35">
        <f t="shared" si="4"/>
        <v>1172487430.97</v>
      </c>
      <c r="AM49" s="35">
        <f t="shared" si="4"/>
        <v>1180795497.25</v>
      </c>
      <c r="AN49" s="35">
        <f t="shared" si="4"/>
        <v>1294842236.9400001</v>
      </c>
      <c r="AO49" s="35">
        <f t="shared" si="4"/>
        <v>1101352773.78</v>
      </c>
      <c r="AP49" s="35">
        <f t="shared" si="4"/>
        <v>1720456366</v>
      </c>
      <c r="AQ49" s="35">
        <f t="shared" si="4"/>
        <v>1697665408.3299999</v>
      </c>
      <c r="AR49" s="35">
        <f t="shared" si="4"/>
        <v>1469237051.0099998</v>
      </c>
      <c r="AS49" s="35">
        <f t="shared" si="4"/>
        <v>1352566576.71</v>
      </c>
      <c r="AT49" s="35">
        <f t="shared" si="4"/>
        <v>1491332928</v>
      </c>
      <c r="AU49" s="35">
        <f t="shared" si="4"/>
        <v>1774126416.9099998</v>
      </c>
      <c r="AV49" s="35">
        <f t="shared" si="4"/>
        <v>1676638695.3000002</v>
      </c>
      <c r="AW49" s="35">
        <f t="shared" si="4"/>
        <v>1659414165.98</v>
      </c>
      <c r="AX49" s="35">
        <f t="shared" si="4"/>
        <v>1010227288.75</v>
      </c>
      <c r="AY49" s="35">
        <f t="shared" si="4"/>
        <v>749695212.81000006</v>
      </c>
      <c r="AZ49" s="35">
        <f t="shared" si="4"/>
        <v>768661576.07999992</v>
      </c>
      <c r="BA49" s="35">
        <f t="shared" si="4"/>
        <v>526515919.94999999</v>
      </c>
      <c r="BB49" s="35">
        <f t="shared" si="4"/>
        <v>592406689.00999999</v>
      </c>
      <c r="BC49" s="35">
        <f t="shared" si="4"/>
        <v>679630090.85000002</v>
      </c>
      <c r="BD49" s="35">
        <f t="shared" si="4"/>
        <v>564061409.18999994</v>
      </c>
      <c r="BE49" s="35">
        <f t="shared" si="4"/>
        <v>552646315.86000001</v>
      </c>
      <c r="BF49" s="35">
        <f t="shared" si="4"/>
        <v>695775084.44000006</v>
      </c>
      <c r="BG49" s="35">
        <f t="shared" si="4"/>
        <v>826610098.53999996</v>
      </c>
      <c r="BH49" s="35">
        <f t="shared" si="4"/>
        <v>296994885.01999998</v>
      </c>
      <c r="BI49" s="35">
        <f t="shared" si="4"/>
        <v>319834192.88999999</v>
      </c>
      <c r="BJ49" s="35">
        <f t="shared" si="4"/>
        <v>322318411.54000002</v>
      </c>
      <c r="BK49" s="35">
        <f t="shared" si="4"/>
        <v>335842549.43000001</v>
      </c>
      <c r="BL49" s="35">
        <f t="shared" si="4"/>
        <v>417749067.25999999</v>
      </c>
      <c r="BM49" s="35">
        <f t="shared" si="4"/>
        <v>389251339.21000004</v>
      </c>
      <c r="BN49" s="35">
        <f t="shared" si="4"/>
        <v>33228753.98</v>
      </c>
      <c r="BO49" s="35">
        <f t="shared" si="4"/>
        <v>120544942.85000001</v>
      </c>
      <c r="BP49" s="35">
        <f t="shared" si="4"/>
        <v>64827450.219999999</v>
      </c>
      <c r="BQ49" s="35">
        <f t="shared" si="4"/>
        <v>50510857.139999993</v>
      </c>
      <c r="BR49" s="35">
        <f t="shared" ref="BR49:CK49" si="5">SUM(BR35:BR45)</f>
        <v>306992898.07000005</v>
      </c>
      <c r="BS49" s="35">
        <f t="shared" si="5"/>
        <v>138302861.89999998</v>
      </c>
      <c r="BT49" s="35">
        <f t="shared" si="5"/>
        <v>109012738.92999999</v>
      </c>
      <c r="BU49" s="35">
        <f t="shared" si="5"/>
        <v>124507198.30000003</v>
      </c>
      <c r="BV49" s="35">
        <f t="shared" si="5"/>
        <v>172906111.07000002</v>
      </c>
      <c r="BW49" s="35">
        <f t="shared" si="5"/>
        <v>122517109.26000001</v>
      </c>
      <c r="BX49" s="35">
        <f t="shared" si="5"/>
        <v>135737651.76999998</v>
      </c>
      <c r="BY49" s="35">
        <f t="shared" si="5"/>
        <v>55702848.020000003</v>
      </c>
      <c r="BZ49" s="35">
        <f t="shared" si="5"/>
        <v>0</v>
      </c>
      <c r="CA49" s="35">
        <f t="shared" si="5"/>
        <v>83838621.179999992</v>
      </c>
      <c r="CB49" s="35">
        <f t="shared" si="5"/>
        <v>0</v>
      </c>
      <c r="CC49" s="35">
        <f t="shared" si="5"/>
        <v>34763228.539999999</v>
      </c>
      <c r="CD49" s="35">
        <f t="shared" si="5"/>
        <v>25407372.240000002</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1873340888.75</v>
      </c>
      <c r="C50" s="36">
        <f t="shared" ref="C50:BN50" si="6">C33-C49</f>
        <v>-3731109015.1799984</v>
      </c>
      <c r="D50" s="36">
        <f t="shared" si="6"/>
        <v>-4997786659.8899994</v>
      </c>
      <c r="E50" s="36">
        <f t="shared" si="6"/>
        <v>-7350608287.6000013</v>
      </c>
      <c r="F50" s="36">
        <f t="shared" si="6"/>
        <v>-7622299925.8800011</v>
      </c>
      <c r="G50" s="36">
        <f t="shared" si="6"/>
        <v>-7206989461.3000002</v>
      </c>
      <c r="H50" s="36">
        <f t="shared" si="6"/>
        <v>-9817390610.2299995</v>
      </c>
      <c r="I50" s="36">
        <f t="shared" si="6"/>
        <v>-12975969235.9</v>
      </c>
      <c r="J50" s="36">
        <f t="shared" si="6"/>
        <v>-11704221438.300003</v>
      </c>
      <c r="K50" s="36">
        <f t="shared" si="6"/>
        <v>-8599415175.4799995</v>
      </c>
      <c r="L50" s="36">
        <f t="shared" si="6"/>
        <v>-8543453882.4799986</v>
      </c>
      <c r="M50" s="36">
        <f t="shared" si="6"/>
        <v>-10572246791.23</v>
      </c>
      <c r="N50" s="36">
        <f t="shared" si="6"/>
        <v>-4365432050.9300003</v>
      </c>
      <c r="O50" s="36">
        <f t="shared" si="6"/>
        <v>-4324855160.8999996</v>
      </c>
      <c r="P50" s="36">
        <f t="shared" si="6"/>
        <v>-4681404389.3700008</v>
      </c>
      <c r="Q50" s="36">
        <f t="shared" si="6"/>
        <v>-6072875793.7800007</v>
      </c>
      <c r="R50" s="36">
        <f t="shared" si="6"/>
        <v>-5067284967.7799988</v>
      </c>
      <c r="S50" s="36">
        <f t="shared" si="6"/>
        <v>-2113121708.6899996</v>
      </c>
      <c r="T50" s="36">
        <f t="shared" si="6"/>
        <v>-1716864423.9499998</v>
      </c>
      <c r="U50" s="36">
        <f t="shared" si="6"/>
        <v>-5583650681.5700016</v>
      </c>
      <c r="V50" s="36">
        <f t="shared" si="6"/>
        <v>-4420437517.1800003</v>
      </c>
      <c r="W50" s="36">
        <f t="shared" si="6"/>
        <v>-3809164940.1299992</v>
      </c>
      <c r="X50" s="36">
        <f t="shared" si="6"/>
        <v>-5592394243.3700008</v>
      </c>
      <c r="Y50" s="36">
        <f t="shared" si="6"/>
        <v>-5292099683.9599991</v>
      </c>
      <c r="Z50" s="36">
        <f t="shared" si="6"/>
        <v>2647387644.2600002</v>
      </c>
      <c r="AA50" s="36">
        <f t="shared" si="6"/>
        <v>2157009767.8299999</v>
      </c>
      <c r="AB50" s="36">
        <f t="shared" si="6"/>
        <v>1717791124.4399996</v>
      </c>
      <c r="AC50" s="36">
        <f t="shared" si="6"/>
        <v>1223025788.1500015</v>
      </c>
      <c r="AD50" s="36">
        <f t="shared" si="6"/>
        <v>-1023011951.4899988</v>
      </c>
      <c r="AE50" s="36">
        <f t="shared" si="6"/>
        <v>212802787.93000221</v>
      </c>
      <c r="AF50" s="36">
        <f t="shared" si="6"/>
        <v>-576440599.26999855</v>
      </c>
      <c r="AG50" s="36">
        <f t="shared" si="6"/>
        <v>-667052618.27999878</v>
      </c>
      <c r="AH50" s="36">
        <f t="shared" si="6"/>
        <v>1700451552.1399994</v>
      </c>
      <c r="AI50" s="36">
        <f t="shared" si="6"/>
        <v>1228247951.9900007</v>
      </c>
      <c r="AJ50" s="36">
        <f t="shared" si="6"/>
        <v>216620839.01000118</v>
      </c>
      <c r="AK50" s="36">
        <f t="shared" si="6"/>
        <v>-26148707.739999771</v>
      </c>
      <c r="AL50" s="36">
        <f t="shared" si="6"/>
        <v>964455502.84000015</v>
      </c>
      <c r="AM50" s="36">
        <f t="shared" si="6"/>
        <v>1016505332.4200001</v>
      </c>
      <c r="AN50" s="36">
        <f t="shared" si="6"/>
        <v>579076544.16999984</v>
      </c>
      <c r="AO50" s="36">
        <f t="shared" si="6"/>
        <v>868292438.03999972</v>
      </c>
      <c r="AP50" s="36">
        <f t="shared" si="6"/>
        <v>397038540.71000004</v>
      </c>
      <c r="AQ50" s="36">
        <f t="shared" si="6"/>
        <v>329884060.8900001</v>
      </c>
      <c r="AR50" s="36">
        <f t="shared" si="6"/>
        <v>295809745.45000029</v>
      </c>
      <c r="AS50" s="36">
        <f t="shared" si="6"/>
        <v>228210222.43999982</v>
      </c>
      <c r="AT50" s="36">
        <f t="shared" si="6"/>
        <v>45331989.829999924</v>
      </c>
      <c r="AU50" s="36">
        <f t="shared" si="6"/>
        <v>-190489085.8599999</v>
      </c>
      <c r="AV50" s="36">
        <f t="shared" si="6"/>
        <v>749234.75999951363</v>
      </c>
      <c r="AW50" s="36">
        <f t="shared" si="6"/>
        <v>-327257941.13999987</v>
      </c>
      <c r="AX50" s="36">
        <f t="shared" si="6"/>
        <v>1295265873.6500001</v>
      </c>
      <c r="AY50" s="36">
        <f t="shared" si="6"/>
        <v>-7328946.1000000238</v>
      </c>
      <c r="AZ50" s="36">
        <f t="shared" si="6"/>
        <v>-80855686.899999857</v>
      </c>
      <c r="BA50" s="36">
        <f t="shared" si="6"/>
        <v>40187511.339999974</v>
      </c>
      <c r="BB50" s="36">
        <f t="shared" si="6"/>
        <v>184208415</v>
      </c>
      <c r="BC50" s="36">
        <f t="shared" si="6"/>
        <v>2469521.0400000811</v>
      </c>
      <c r="BD50" s="36">
        <f t="shared" si="6"/>
        <v>247118690.49000013</v>
      </c>
      <c r="BE50" s="36">
        <f t="shared" si="6"/>
        <v>15625145.550000072</v>
      </c>
      <c r="BF50" s="36">
        <f t="shared" si="6"/>
        <v>24519624.209999919</v>
      </c>
      <c r="BG50" s="36">
        <f t="shared" si="6"/>
        <v>290317086.43000007</v>
      </c>
      <c r="BH50" s="36">
        <f t="shared" si="6"/>
        <v>509191405.16999984</v>
      </c>
      <c r="BI50" s="36">
        <f t="shared" si="6"/>
        <v>189686482.13000005</v>
      </c>
      <c r="BJ50" s="36">
        <f t="shared" si="6"/>
        <v>162203880.14999998</v>
      </c>
      <c r="BK50" s="36">
        <f t="shared" si="6"/>
        <v>103233129.38999999</v>
      </c>
      <c r="BL50" s="36">
        <f t="shared" si="6"/>
        <v>262669822.94999993</v>
      </c>
      <c r="BM50" s="36">
        <f t="shared" si="6"/>
        <v>224382985.16999996</v>
      </c>
      <c r="BN50" s="36">
        <f t="shared" si="6"/>
        <v>157688846.81</v>
      </c>
      <c r="BO50" s="36">
        <f t="shared" ref="BO50:CK50" si="7">BO33-BO49</f>
        <v>148295204.33999997</v>
      </c>
      <c r="BP50" s="36">
        <f t="shared" si="7"/>
        <v>150729390.89000002</v>
      </c>
      <c r="BQ50" s="36">
        <f t="shared" si="7"/>
        <v>157158405.52000001</v>
      </c>
      <c r="BR50" s="36">
        <f t="shared" si="7"/>
        <v>185863355.11999995</v>
      </c>
      <c r="BS50" s="36">
        <f t="shared" si="7"/>
        <v>122583154.52000001</v>
      </c>
      <c r="BT50" s="36">
        <f t="shared" si="7"/>
        <v>46760230.560000017</v>
      </c>
      <c r="BU50" s="36">
        <f t="shared" si="7"/>
        <v>129587275.74999999</v>
      </c>
      <c r="BV50" s="36">
        <f t="shared" si="7"/>
        <v>130709801.04999998</v>
      </c>
      <c r="BW50" s="36">
        <f t="shared" si="7"/>
        <v>181666380.10000002</v>
      </c>
      <c r="BX50" s="36">
        <f t="shared" si="7"/>
        <v>105197312.23000002</v>
      </c>
      <c r="BY50" s="36">
        <f t="shared" si="7"/>
        <v>14204638.389999993</v>
      </c>
      <c r="BZ50" s="36">
        <f t="shared" si="7"/>
        <v>0</v>
      </c>
      <c r="CA50" s="36">
        <f t="shared" si="7"/>
        <v>-63844851.00999999</v>
      </c>
      <c r="CB50" s="36">
        <f t="shared" si="7"/>
        <v>0</v>
      </c>
      <c r="CC50" s="36">
        <f t="shared" si="7"/>
        <v>-27033685.119999997</v>
      </c>
      <c r="CD50" s="36">
        <f t="shared" si="7"/>
        <v>-20922199.010000002</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138676393375.60999</v>
      </c>
      <c r="C52" s="190">
        <v>137994903751.39999</v>
      </c>
      <c r="D52" s="190">
        <v>133438026122.33</v>
      </c>
      <c r="E52" s="190">
        <v>134490691353.69</v>
      </c>
      <c r="F52" s="190">
        <v>130003900793.34</v>
      </c>
      <c r="G52" s="190">
        <v>126012559356.41</v>
      </c>
      <c r="H52" s="190">
        <v>125943645531.47</v>
      </c>
      <c r="I52" s="190">
        <v>126883562835.75</v>
      </c>
      <c r="J52" s="190">
        <v>125894296032.16</v>
      </c>
      <c r="K52" s="190">
        <v>122738978326.55</v>
      </c>
      <c r="L52" s="190">
        <v>124044010534.39999</v>
      </c>
      <c r="M52" s="190">
        <v>124572873454.98</v>
      </c>
      <c r="N52" s="190">
        <v>120449334915.41</v>
      </c>
      <c r="O52" s="190">
        <v>120535982071.61</v>
      </c>
      <c r="P52" s="190">
        <v>121898213544.73</v>
      </c>
      <c r="Q52" s="190">
        <v>122797376716.92999</v>
      </c>
      <c r="R52" s="190">
        <v>116862791401.77</v>
      </c>
      <c r="S52" s="190">
        <v>114775540769.37</v>
      </c>
      <c r="T52" s="190">
        <v>111448380105.53</v>
      </c>
      <c r="U52" s="190">
        <v>112147071012.86</v>
      </c>
      <c r="V52" s="190">
        <v>105463681435.27</v>
      </c>
      <c r="W52" s="190">
        <v>71358179588.080002</v>
      </c>
      <c r="X52" s="190">
        <v>72239781322.720001</v>
      </c>
      <c r="Y52" s="190">
        <v>55796883536.519997</v>
      </c>
      <c r="Z52" s="190">
        <v>54397249151.32</v>
      </c>
      <c r="AA52" s="190">
        <v>51807500811.290001</v>
      </c>
      <c r="AB52" s="190">
        <v>42343047278.400002</v>
      </c>
      <c r="AC52" s="190">
        <v>45906717101.080002</v>
      </c>
      <c r="AD52" s="190">
        <v>43436899618.809998</v>
      </c>
      <c r="AE52" s="190">
        <v>44188087052.489998</v>
      </c>
      <c r="AF52" s="190">
        <v>44544451559.160004</v>
      </c>
      <c r="AG52" s="190">
        <v>43723354579.099998</v>
      </c>
      <c r="AH52" s="190">
        <v>41123415267.949997</v>
      </c>
      <c r="AI52" s="190">
        <v>41546432254.279999</v>
      </c>
      <c r="AJ52" s="190">
        <v>41803601288.860001</v>
      </c>
      <c r="AK52" s="190">
        <v>42442533935</v>
      </c>
      <c r="AL52" s="190">
        <v>13112471150.530001</v>
      </c>
      <c r="AM52" s="190">
        <v>13349288937.4</v>
      </c>
      <c r="AN52" s="190">
        <v>13197064216.08</v>
      </c>
      <c r="AO52" s="190">
        <v>13226804587.370001</v>
      </c>
      <c r="AP52" s="190">
        <v>12157718927.860001</v>
      </c>
      <c r="AQ52" s="190">
        <v>12374129290.6</v>
      </c>
      <c r="AR52" s="190">
        <v>12609612883.42</v>
      </c>
      <c r="AS52" s="190">
        <v>12848168138.610001</v>
      </c>
      <c r="AT52" s="190">
        <v>12472735363.6</v>
      </c>
      <c r="AU52" s="190">
        <v>12621971924.879999</v>
      </c>
      <c r="AV52" s="190">
        <v>12987057547.49</v>
      </c>
      <c r="AW52" s="190">
        <v>12077036527.969999</v>
      </c>
      <c r="AX52" s="190">
        <v>6128283390.04</v>
      </c>
      <c r="AY52" s="190">
        <v>6294781345.4099998</v>
      </c>
      <c r="AZ52" s="190">
        <v>6447791861.1499996</v>
      </c>
      <c r="BA52" s="190">
        <v>6587945814.2299995</v>
      </c>
      <c r="BB52" s="190">
        <v>6736215143.8800001</v>
      </c>
      <c r="BC52" s="190">
        <v>6889128356.2600002</v>
      </c>
      <c r="BD52" s="190">
        <v>6860706350.6499996</v>
      </c>
      <c r="BE52" s="190">
        <v>6820591642.0299997</v>
      </c>
      <c r="BF52" s="190">
        <v>5914775555.6000004</v>
      </c>
      <c r="BG52" s="190">
        <v>6076675419</v>
      </c>
      <c r="BH52" s="190">
        <v>2871496250.3699999</v>
      </c>
      <c r="BI52" s="190">
        <v>2953878559.3200002</v>
      </c>
      <c r="BJ52" s="190">
        <v>3015405844.5100002</v>
      </c>
      <c r="BK52" s="190">
        <v>3086572050.8000002</v>
      </c>
      <c r="BL52" s="190">
        <v>3162442546.1100001</v>
      </c>
      <c r="BM52" s="190">
        <v>3242264206.2600002</v>
      </c>
      <c r="BN52" s="190">
        <v>548081423.50999999</v>
      </c>
      <c r="BO52" s="190">
        <v>560455013.63</v>
      </c>
      <c r="BP52" s="190">
        <v>579113745.69000006</v>
      </c>
      <c r="BQ52" s="190">
        <v>597755490.29999995</v>
      </c>
      <c r="BR52" s="190">
        <v>628063572.84000003</v>
      </c>
      <c r="BS52" s="190">
        <v>610297953.53999996</v>
      </c>
      <c r="BT52" s="190">
        <v>753634841.63</v>
      </c>
      <c r="BU52" s="190">
        <v>783320284.83000004</v>
      </c>
      <c r="BV52" s="190">
        <v>713405947.82000005</v>
      </c>
      <c r="BW52" s="190">
        <v>815665418.22000003</v>
      </c>
      <c r="BX52" s="190">
        <v>365805087.82999998</v>
      </c>
      <c r="BY52" s="190">
        <v>336574372.44</v>
      </c>
      <c r="BZ52" s="190">
        <v>349982951.49000001</v>
      </c>
      <c r="CA52" s="190">
        <v>311739863.24000001</v>
      </c>
      <c r="CB52" s="190">
        <v>16978250.68</v>
      </c>
      <c r="CC52" s="190">
        <v>18651726.149999999</v>
      </c>
      <c r="CD52" s="190">
        <v>22132692.41</v>
      </c>
      <c r="CE52" s="190">
        <v>0</v>
      </c>
      <c r="CF52" s="190"/>
      <c r="CG52" s="190"/>
      <c r="CH52" s="190"/>
      <c r="CI52" s="190"/>
      <c r="CJ52" s="190"/>
      <c r="CK52" s="190"/>
      <c r="CL52" s="190"/>
    </row>
    <row r="53" spans="1:90" s="193" customFormat="1" x14ac:dyDescent="0.25">
      <c r="A53" s="193" t="s">
        <v>35</v>
      </c>
      <c r="B53" s="190">
        <v>43554637344.589996</v>
      </c>
      <c r="C53" s="190">
        <v>41807758817.540001</v>
      </c>
      <c r="D53" s="190">
        <v>46987287670.919998</v>
      </c>
      <c r="E53" s="190">
        <v>46023596957.230003</v>
      </c>
      <c r="F53" s="190">
        <v>49587257283.690002</v>
      </c>
      <c r="G53" s="190">
        <v>52160282513.199997</v>
      </c>
      <c r="H53" s="190">
        <v>51530179706.57</v>
      </c>
      <c r="I53" s="190">
        <v>49891194159.050003</v>
      </c>
      <c r="J53" s="190">
        <v>44496489181.209999</v>
      </c>
      <c r="K53" s="190">
        <v>44295269873.160004</v>
      </c>
      <c r="L53" s="190">
        <v>40859039129.419998</v>
      </c>
      <c r="M53" s="190">
        <v>38308505229.620003</v>
      </c>
      <c r="N53" s="190">
        <v>32564005738.279999</v>
      </c>
      <c r="O53" s="190">
        <v>30347896851.209999</v>
      </c>
      <c r="P53" s="190">
        <v>28420270298.23</v>
      </c>
      <c r="Q53" s="190">
        <v>26846036635.240002</v>
      </c>
      <c r="R53" s="190">
        <v>30593175732.919998</v>
      </c>
      <c r="S53" s="190">
        <v>29432476699.439999</v>
      </c>
      <c r="T53" s="190">
        <v>32527316097.27</v>
      </c>
      <c r="U53" s="190">
        <v>30838788766.119999</v>
      </c>
      <c r="V53" s="190">
        <v>32895170244.27</v>
      </c>
      <c r="W53" s="190">
        <v>62715948518.730003</v>
      </c>
      <c r="X53" s="190">
        <v>58789226079.839996</v>
      </c>
      <c r="Y53" s="190">
        <v>70817400040.509995</v>
      </c>
      <c r="Z53" s="190">
        <v>63812626336.190002</v>
      </c>
      <c r="AA53" s="190">
        <v>58886495357.230003</v>
      </c>
      <c r="AB53" s="190">
        <v>65786417114.019997</v>
      </c>
      <c r="AC53" s="190">
        <v>61599707183.190002</v>
      </c>
      <c r="AD53" s="190">
        <v>56885552309.239998</v>
      </c>
      <c r="AE53" s="190">
        <v>52677469130.230003</v>
      </c>
      <c r="AF53" s="190">
        <v>48441721420.5</v>
      </c>
      <c r="AG53" s="190">
        <v>46393765217.419998</v>
      </c>
      <c r="AH53" s="190">
        <v>42998236538.139999</v>
      </c>
      <c r="AI53" s="190">
        <v>39898359576.080002</v>
      </c>
      <c r="AJ53" s="190">
        <v>38046633910.68</v>
      </c>
      <c r="AK53" s="190">
        <v>35223061715.260002</v>
      </c>
      <c r="AL53" s="190">
        <v>780522793.95000005</v>
      </c>
      <c r="AM53" s="190">
        <v>110266844.67</v>
      </c>
      <c r="AN53" s="190">
        <v>598285311.46000004</v>
      </c>
      <c r="AO53" s="190">
        <v>637515956.35000002</v>
      </c>
      <c r="AP53" s="190">
        <v>1884493782.5799999</v>
      </c>
      <c r="AQ53" s="190">
        <v>1550139893.25</v>
      </c>
      <c r="AR53" s="190">
        <v>1173659978.6600001</v>
      </c>
      <c r="AS53" s="190">
        <v>973591349.27999997</v>
      </c>
      <c r="AT53" s="190">
        <v>994390881.71000004</v>
      </c>
      <c r="AU53" s="190">
        <v>860052565.5</v>
      </c>
      <c r="AV53" s="190">
        <v>524908881.60000002</v>
      </c>
      <c r="AW53" s="190">
        <v>1426774902.6700001</v>
      </c>
      <c r="AX53" s="190">
        <v>1605560618.3800001</v>
      </c>
      <c r="AY53" s="190">
        <v>1458750843.49</v>
      </c>
      <c r="AZ53" s="190">
        <v>1155706961.8199999</v>
      </c>
      <c r="BA53" s="190">
        <v>1055711299.78</v>
      </c>
      <c r="BB53" s="190">
        <v>587209913.85000002</v>
      </c>
      <c r="BC53" s="190">
        <v>506359542.94</v>
      </c>
      <c r="BD53" s="190">
        <v>488698733.06999999</v>
      </c>
      <c r="BE53" s="190">
        <v>645476222.71000004</v>
      </c>
      <c r="BF53" s="190">
        <v>1262283695.9100001</v>
      </c>
      <c r="BG53" s="190">
        <v>1134200954.0699999</v>
      </c>
      <c r="BH53" s="190">
        <v>822003100.52999997</v>
      </c>
      <c r="BI53" s="190">
        <v>740826332.76999998</v>
      </c>
      <c r="BJ53" s="190">
        <v>594213766.77999997</v>
      </c>
      <c r="BK53" s="190">
        <v>498302118.88</v>
      </c>
      <c r="BL53" s="190">
        <v>433413876.50999999</v>
      </c>
      <c r="BM53" s="190">
        <v>371393200.51999998</v>
      </c>
      <c r="BN53" s="190">
        <v>0</v>
      </c>
      <c r="BO53" s="190">
        <v>8699502.9700000007</v>
      </c>
      <c r="BP53" s="190">
        <v>5952002.9500000002</v>
      </c>
      <c r="BQ53" s="190">
        <v>4879862.66</v>
      </c>
      <c r="BR53" s="190">
        <v>36139291.210000001</v>
      </c>
      <c r="BS53" s="190">
        <v>17556596.489999998</v>
      </c>
      <c r="BT53" s="190">
        <v>34965869.119999997</v>
      </c>
      <c r="BU53" s="190">
        <v>36029814.649999999</v>
      </c>
      <c r="BV53" s="190">
        <v>52918804.310000002</v>
      </c>
      <c r="BW53" s="190">
        <v>36114702.409999996</v>
      </c>
      <c r="BX53" s="190">
        <v>131177778.64</v>
      </c>
      <c r="BY53" s="190">
        <v>153591643.77000001</v>
      </c>
      <c r="BZ53" s="190">
        <v>30499431.960000001</v>
      </c>
      <c r="CA53" s="190">
        <v>79293548.060000002</v>
      </c>
      <c r="CB53" s="190">
        <v>335660952.62</v>
      </c>
      <c r="CC53" s="190">
        <v>262353047.19</v>
      </c>
      <c r="CD53" s="190">
        <v>40091530.899999999</v>
      </c>
      <c r="CE53" s="190">
        <v>0</v>
      </c>
      <c r="CF53" s="190"/>
      <c r="CG53" s="190"/>
      <c r="CH53" s="190"/>
      <c r="CI53" s="190"/>
      <c r="CJ53" s="190"/>
      <c r="CK53" s="190"/>
      <c r="CL53" s="190"/>
    </row>
    <row r="54" spans="1:90" s="193" customFormat="1" x14ac:dyDescent="0.25">
      <c r="A54" s="193" t="s">
        <v>36</v>
      </c>
      <c r="B54" s="190">
        <v>0</v>
      </c>
      <c r="C54" s="190">
        <v>83218569.430000007</v>
      </c>
      <c r="D54" s="190">
        <v>11883719.470000001</v>
      </c>
      <c r="E54" s="190">
        <v>4315376.83</v>
      </c>
      <c r="F54" s="190">
        <v>48846607.109999999</v>
      </c>
      <c r="G54" s="190">
        <v>322890514.76999998</v>
      </c>
      <c r="H54" s="190">
        <v>511296944.07999998</v>
      </c>
      <c r="I54" s="190">
        <v>503759930.29000002</v>
      </c>
      <c r="J54" s="190">
        <v>1673448946.5699999</v>
      </c>
      <c r="K54" s="190">
        <v>1624118110.5899999</v>
      </c>
      <c r="L54" s="190">
        <v>843561684.59000003</v>
      </c>
      <c r="M54" s="190">
        <v>620130001.01999998</v>
      </c>
      <c r="N54" s="190">
        <v>389904423.31</v>
      </c>
      <c r="O54" s="190">
        <v>205885093.94999999</v>
      </c>
      <c r="P54" s="190">
        <v>1218163828.72</v>
      </c>
      <c r="Q54" s="190">
        <v>973895789.96000004</v>
      </c>
      <c r="R54" s="190">
        <v>7686314.9400000004</v>
      </c>
      <c r="S54" s="190">
        <v>27465622.07</v>
      </c>
      <c r="T54" s="190">
        <v>6726375.1299999999</v>
      </c>
      <c r="U54" s="190">
        <v>5258259.75</v>
      </c>
      <c r="V54" s="190">
        <v>79951127.920000002</v>
      </c>
      <c r="W54" s="190">
        <v>404927808.38</v>
      </c>
      <c r="X54" s="190">
        <v>340502079.91000003</v>
      </c>
      <c r="Y54" s="190">
        <v>619071138.02999997</v>
      </c>
      <c r="Z54" s="190">
        <v>532383750.76999998</v>
      </c>
      <c r="AA54" s="190">
        <v>226764579.80000001</v>
      </c>
      <c r="AB54" s="190">
        <v>119361966.25</v>
      </c>
      <c r="AC54" s="190">
        <v>139585867.28</v>
      </c>
      <c r="AD54" s="190">
        <v>157649083.03999999</v>
      </c>
      <c r="AE54" s="190">
        <v>144771244.27000001</v>
      </c>
      <c r="AF54" s="190">
        <v>147752539.19</v>
      </c>
      <c r="AG54" s="190">
        <v>160164154.06</v>
      </c>
      <c r="AH54" s="190">
        <v>234166773.55000001</v>
      </c>
      <c r="AI54" s="190">
        <v>221174766.65000001</v>
      </c>
      <c r="AJ54" s="190">
        <v>191676328.47999999</v>
      </c>
      <c r="AK54" s="190">
        <v>175961146.63</v>
      </c>
      <c r="AL54" s="190">
        <v>10783073.550000001</v>
      </c>
      <c r="AM54" s="190">
        <v>8533007.7100000009</v>
      </c>
      <c r="AN54" s="190">
        <v>2394230.1800000002</v>
      </c>
      <c r="AO54" s="190">
        <v>1435326.81</v>
      </c>
      <c r="AP54" s="190">
        <v>3284374.04</v>
      </c>
      <c r="AQ54" s="190">
        <v>23284799.920000002</v>
      </c>
      <c r="AR54" s="190">
        <v>3752830.8</v>
      </c>
      <c r="AS54" s="190">
        <v>4766879.92</v>
      </c>
      <c r="AT54" s="190">
        <v>11341.9</v>
      </c>
      <c r="AU54" s="190">
        <v>11341.9</v>
      </c>
      <c r="AV54" s="190">
        <v>11341.9</v>
      </c>
      <c r="AW54" s="190">
        <v>118097082.8</v>
      </c>
      <c r="AX54" s="190">
        <v>362569561.26999998</v>
      </c>
      <c r="AY54" s="190">
        <v>134346867.75</v>
      </c>
      <c r="AZ54" s="190">
        <v>119419828.02</v>
      </c>
      <c r="BA54" s="190">
        <v>19931285.66</v>
      </c>
      <c r="BB54" s="190">
        <v>241311581.03999999</v>
      </c>
      <c r="BC54" s="190">
        <v>242277585.59</v>
      </c>
      <c r="BD54" s="190">
        <v>318236</v>
      </c>
      <c r="BE54" s="190">
        <v>2475662.61</v>
      </c>
      <c r="BF54" s="190">
        <v>2439416.5099999998</v>
      </c>
      <c r="BG54" s="190">
        <v>31018389.940000001</v>
      </c>
      <c r="BH54" s="190">
        <v>9431558</v>
      </c>
      <c r="BI54" s="190">
        <v>12621974</v>
      </c>
      <c r="BJ54" s="190">
        <v>13438532</v>
      </c>
      <c r="BK54" s="190">
        <v>15186096.07</v>
      </c>
      <c r="BL54" s="190">
        <v>15286654.07</v>
      </c>
      <c r="BM54" s="190">
        <v>20170024.07</v>
      </c>
      <c r="BN54" s="190">
        <v>374024</v>
      </c>
      <c r="BO54" s="190">
        <v>374024</v>
      </c>
      <c r="BP54" s="190">
        <v>374024</v>
      </c>
      <c r="BQ54" s="190">
        <v>374024</v>
      </c>
      <c r="BR54" s="190">
        <v>374024</v>
      </c>
      <c r="BS54" s="190">
        <v>437330</v>
      </c>
      <c r="BT54" s="190">
        <v>0</v>
      </c>
      <c r="BU54" s="190">
        <v>0</v>
      </c>
      <c r="BV54" s="190">
        <v>0</v>
      </c>
      <c r="BW54" s="190">
        <v>0</v>
      </c>
      <c r="BX54" s="190">
        <v>0</v>
      </c>
      <c r="BY54" s="190">
        <v>0</v>
      </c>
      <c r="BZ54" s="190">
        <v>0</v>
      </c>
      <c r="CA54" s="190">
        <v>0</v>
      </c>
      <c r="CB54" s="190">
        <v>0</v>
      </c>
      <c r="CC54" s="190">
        <v>0</v>
      </c>
      <c r="CD54" s="190">
        <v>0</v>
      </c>
      <c r="CE54" s="190">
        <v>0</v>
      </c>
      <c r="CF54" s="190"/>
      <c r="CG54" s="190"/>
      <c r="CH54" s="190"/>
      <c r="CI54" s="190"/>
      <c r="CJ54" s="190"/>
      <c r="CK54" s="190"/>
      <c r="CL54" s="190"/>
    </row>
    <row r="55" spans="1:90" s="193" customFormat="1" x14ac:dyDescent="0.25">
      <c r="A55" s="193" t="s">
        <v>37</v>
      </c>
      <c r="B55" s="190">
        <v>0</v>
      </c>
      <c r="C55" s="190">
        <v>13419131.15</v>
      </c>
      <c r="D55" s="190">
        <v>7524239.2000000002</v>
      </c>
      <c r="E55" s="190">
        <v>7523810.9500000002</v>
      </c>
      <c r="F55" s="190">
        <v>7564145.2999999998</v>
      </c>
      <c r="G55" s="190">
        <v>7626737.5499999998</v>
      </c>
      <c r="H55" s="190">
        <v>7387771.5499999998</v>
      </c>
      <c r="I55" s="190">
        <v>7406571.5499999998</v>
      </c>
      <c r="J55" s="190">
        <v>10949919.880000001</v>
      </c>
      <c r="K55" s="190">
        <v>11377401.880000001</v>
      </c>
      <c r="L55" s="190">
        <v>7363108.6200000001</v>
      </c>
      <c r="M55" s="190">
        <v>8567905.2699999996</v>
      </c>
      <c r="N55" s="190">
        <v>45352301.340000004</v>
      </c>
      <c r="O55" s="190">
        <v>18311217.23</v>
      </c>
      <c r="P55" s="190">
        <v>0</v>
      </c>
      <c r="Q55" s="190">
        <v>0</v>
      </c>
      <c r="R55" s="190">
        <v>14734.85</v>
      </c>
      <c r="S55" s="190">
        <v>-13508.08</v>
      </c>
      <c r="T55" s="190">
        <v>2884.6</v>
      </c>
      <c r="U55" s="190">
        <v>0</v>
      </c>
      <c r="V55" s="190">
        <v>-19827.73</v>
      </c>
      <c r="W55" s="190">
        <v>816.65</v>
      </c>
      <c r="X55" s="190">
        <v>-46000</v>
      </c>
      <c r="Y55" s="190">
        <v>0</v>
      </c>
      <c r="Z55" s="190">
        <v>0</v>
      </c>
      <c r="AA55" s="190">
        <v>0</v>
      </c>
      <c r="AB55" s="190">
        <v>0</v>
      </c>
      <c r="AC55" s="190">
        <v>47271.839999999997</v>
      </c>
      <c r="AD55" s="190">
        <v>32983.339999999997</v>
      </c>
      <c r="AE55" s="190">
        <v>30000</v>
      </c>
      <c r="AF55" s="190">
        <v>0</v>
      </c>
      <c r="AG55" s="190">
        <v>66015.64</v>
      </c>
      <c r="AH55" s="190">
        <v>3659297.48</v>
      </c>
      <c r="AI55" s="190">
        <v>0</v>
      </c>
      <c r="AJ55" s="190">
        <v>-55100</v>
      </c>
      <c r="AK55" s="190">
        <v>25680</v>
      </c>
      <c r="AL55" s="190">
        <v>0</v>
      </c>
      <c r="AM55" s="190">
        <v>0</v>
      </c>
      <c r="AN55" s="190">
        <v>0</v>
      </c>
      <c r="AO55" s="190">
        <v>0</v>
      </c>
      <c r="AP55" s="190">
        <v>359043</v>
      </c>
      <c r="AQ55" s="190">
        <v>0</v>
      </c>
      <c r="AR55" s="190">
        <v>0</v>
      </c>
      <c r="AS55" s="190">
        <v>0</v>
      </c>
      <c r="AT55" s="190">
        <v>2885806.5</v>
      </c>
      <c r="AU55" s="190">
        <v>918747.01</v>
      </c>
      <c r="AV55" s="190">
        <v>69245</v>
      </c>
      <c r="AW55" s="190">
        <v>0</v>
      </c>
      <c r="AX55" s="190">
        <v>0</v>
      </c>
      <c r="AY55" s="190">
        <v>-240000</v>
      </c>
      <c r="AZ55" s="190">
        <v>0</v>
      </c>
      <c r="BA55" s="190">
        <v>0</v>
      </c>
      <c r="BB55" s="190">
        <v>2641950.2200000002</v>
      </c>
      <c r="BC55" s="190">
        <v>2641950.2200000002</v>
      </c>
      <c r="BD55" s="190">
        <v>2641950.2200000002</v>
      </c>
      <c r="BE55" s="190">
        <v>0</v>
      </c>
      <c r="BF55" s="190">
        <v>183876.68</v>
      </c>
      <c r="BG55" s="190">
        <v>6011.3</v>
      </c>
      <c r="BH55" s="190">
        <v>35115.39</v>
      </c>
      <c r="BI55" s="190">
        <v>0</v>
      </c>
      <c r="BJ55" s="190">
        <v>0</v>
      </c>
      <c r="BK55" s="190">
        <v>0</v>
      </c>
      <c r="BL55" s="190">
        <v>0</v>
      </c>
      <c r="BM55" s="190">
        <v>0</v>
      </c>
      <c r="BN55" s="190">
        <v>0</v>
      </c>
      <c r="BO55" s="190">
        <v>0</v>
      </c>
      <c r="BP55" s="190">
        <v>0</v>
      </c>
      <c r="BQ55" s="190">
        <v>0</v>
      </c>
      <c r="BR55" s="190">
        <v>0</v>
      </c>
      <c r="BS55" s="190">
        <v>0</v>
      </c>
      <c r="BT55" s="190">
        <v>0</v>
      </c>
      <c r="BU55" s="190">
        <v>8945012.8800000008</v>
      </c>
      <c r="BV55" s="190">
        <v>0</v>
      </c>
      <c r="BW55" s="190">
        <v>0</v>
      </c>
      <c r="BX55" s="190">
        <v>-608025</v>
      </c>
      <c r="BY55" s="190">
        <v>0</v>
      </c>
      <c r="BZ55" s="190">
        <v>0</v>
      </c>
      <c r="CA55" s="190">
        <v>0</v>
      </c>
      <c r="CB55" s="190">
        <v>0</v>
      </c>
      <c r="CC55" s="190">
        <v>0</v>
      </c>
      <c r="CD55" s="190">
        <v>0</v>
      </c>
      <c r="CE55" s="190">
        <v>0</v>
      </c>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c r="CG57" s="190"/>
      <c r="CH57" s="190"/>
      <c r="CI57" s="190"/>
      <c r="CJ57" s="190"/>
      <c r="CK57" s="190"/>
      <c r="CL57" s="190"/>
    </row>
    <row r="58" spans="1:90" s="193" customFormat="1" x14ac:dyDescent="0.25">
      <c r="A58" s="193" t="s">
        <v>40</v>
      </c>
      <c r="B58" s="190">
        <v>4290249750.1100001</v>
      </c>
      <c r="C58" s="190">
        <v>4346054802.4700003</v>
      </c>
      <c r="D58" s="190">
        <v>4413737961.2299995</v>
      </c>
      <c r="E58" s="190">
        <v>4494322111.9499998</v>
      </c>
      <c r="F58" s="190">
        <v>4564609752.6599998</v>
      </c>
      <c r="G58" s="190">
        <v>4625557887.8999996</v>
      </c>
      <c r="H58" s="190">
        <v>4653909651.8199997</v>
      </c>
      <c r="I58" s="190">
        <v>4736826341.54</v>
      </c>
      <c r="J58" s="190">
        <v>4784309048.96</v>
      </c>
      <c r="K58" s="190">
        <v>4851949118.5500002</v>
      </c>
      <c r="L58" s="190">
        <v>4927715266.1700001</v>
      </c>
      <c r="M58" s="190">
        <v>5006539456.2200003</v>
      </c>
      <c r="N58" s="190">
        <v>5011283236.6599998</v>
      </c>
      <c r="O58" s="190">
        <v>5082432205.9899998</v>
      </c>
      <c r="P58" s="190">
        <v>5118760688.6199999</v>
      </c>
      <c r="Q58" s="190">
        <v>5231000185.0299997</v>
      </c>
      <c r="R58" s="190">
        <v>5186413920.96</v>
      </c>
      <c r="S58" s="190">
        <v>2832177133.8299999</v>
      </c>
      <c r="T58" s="190">
        <v>2899195250.6700001</v>
      </c>
      <c r="U58" s="190">
        <v>2919778218.77</v>
      </c>
      <c r="V58" s="190">
        <v>2935462019.4699998</v>
      </c>
      <c r="W58" s="190">
        <v>2956066354.3800001</v>
      </c>
      <c r="X58" s="190">
        <v>2949640925.8499999</v>
      </c>
      <c r="Y58" s="190">
        <v>2715494288.8600001</v>
      </c>
      <c r="Z58" s="190">
        <v>2699794883.5900002</v>
      </c>
      <c r="AA58" s="190">
        <v>2575255355.6300001</v>
      </c>
      <c r="AB58" s="190">
        <v>1300187954.2</v>
      </c>
      <c r="AC58" s="190">
        <v>1453038911.76</v>
      </c>
      <c r="AD58" s="190">
        <v>1303791158.9100001</v>
      </c>
      <c r="AE58" s="190">
        <v>1163970805.3599999</v>
      </c>
      <c r="AF58" s="190">
        <v>1131420792.23</v>
      </c>
      <c r="AG58" s="190">
        <v>1138947755.4000001</v>
      </c>
      <c r="AH58" s="190">
        <v>979979398.14999998</v>
      </c>
      <c r="AI58" s="190">
        <v>989211143.62</v>
      </c>
      <c r="AJ58" s="190">
        <v>826894395.38</v>
      </c>
      <c r="AK58" s="190">
        <v>831512928.21000004</v>
      </c>
      <c r="AL58" s="190">
        <v>300546749.76999998</v>
      </c>
      <c r="AM58" s="190">
        <v>301290899.44999999</v>
      </c>
      <c r="AN58" s="190">
        <v>303752786.95999998</v>
      </c>
      <c r="AO58" s="190">
        <v>305298898.91000003</v>
      </c>
      <c r="AP58" s="190">
        <v>240728700.77000001</v>
      </c>
      <c r="AQ58" s="190">
        <v>239987599.44999999</v>
      </c>
      <c r="AR58" s="190">
        <v>217058162.49000001</v>
      </c>
      <c r="AS58" s="190">
        <v>165817533.09999999</v>
      </c>
      <c r="AT58" s="190">
        <v>135329885</v>
      </c>
      <c r="AU58" s="190">
        <v>136109598.21000001</v>
      </c>
      <c r="AV58" s="190">
        <v>107289423.17</v>
      </c>
      <c r="AW58" s="190">
        <v>107748067.56999999</v>
      </c>
      <c r="AX58" s="190">
        <v>20374372.329999998</v>
      </c>
      <c r="AY58" s="190">
        <v>17043549.289999999</v>
      </c>
      <c r="AZ58" s="190">
        <v>17149519.940000001</v>
      </c>
      <c r="BA58" s="190">
        <v>17255490.59</v>
      </c>
      <c r="BB58" s="190">
        <v>20774474.629999999</v>
      </c>
      <c r="BC58" s="190">
        <v>20714232.629999999</v>
      </c>
      <c r="BD58" s="190">
        <v>17586877.539999999</v>
      </c>
      <c r="BE58" s="190">
        <v>21109711.579999998</v>
      </c>
      <c r="BF58" s="190">
        <v>2417757.0499999998</v>
      </c>
      <c r="BG58" s="190">
        <v>1312615.83</v>
      </c>
      <c r="BH58" s="190">
        <v>740683.13</v>
      </c>
      <c r="BI58" s="190">
        <v>792540.35</v>
      </c>
      <c r="BJ58" s="190">
        <v>4682106.8</v>
      </c>
      <c r="BK58" s="190">
        <v>4729792.53</v>
      </c>
      <c r="BL58" s="190">
        <v>4525035.12</v>
      </c>
      <c r="BM58" s="190">
        <v>4899228.97</v>
      </c>
      <c r="BN58" s="190">
        <v>44266146.579999998</v>
      </c>
      <c r="BO58" s="190">
        <v>44548000</v>
      </c>
      <c r="BP58" s="190">
        <v>44829853.420000002</v>
      </c>
      <c r="BQ58" s="190">
        <v>45111706.840000004</v>
      </c>
      <c r="BR58" s="190">
        <v>45675413.68</v>
      </c>
      <c r="BS58" s="190">
        <v>46239120.520000003</v>
      </c>
      <c r="BT58" s="190">
        <v>46810027.420000002</v>
      </c>
      <c r="BU58" s="190">
        <v>46850495.409999996</v>
      </c>
      <c r="BV58" s="190">
        <v>47412270.43</v>
      </c>
      <c r="BW58" s="190">
        <v>48237267.93</v>
      </c>
      <c r="BX58" s="190">
        <v>3392541.55</v>
      </c>
      <c r="BY58" s="190">
        <v>3504383.59</v>
      </c>
      <c r="BZ58" s="190">
        <v>3616225.63</v>
      </c>
      <c r="CA58" s="190">
        <v>3728067.67</v>
      </c>
      <c r="CB58" s="190">
        <v>3839909.71</v>
      </c>
      <c r="CC58" s="190">
        <v>3951751.75</v>
      </c>
      <c r="CD58" s="190">
        <v>4175435.83</v>
      </c>
      <c r="CE58" s="190">
        <v>0</v>
      </c>
      <c r="CF58" s="190"/>
      <c r="CG58" s="190"/>
      <c r="CH58" s="190"/>
      <c r="CI58" s="190"/>
      <c r="CJ58" s="190"/>
      <c r="CK58" s="190"/>
      <c r="CL58" s="190"/>
    </row>
    <row r="59" spans="1:90" s="193" customFormat="1" x14ac:dyDescent="0.25">
      <c r="A59" s="193" t="s">
        <v>41</v>
      </c>
      <c r="B59" s="190">
        <v>0</v>
      </c>
      <c r="C59" s="190">
        <v>0</v>
      </c>
      <c r="D59" s="190">
        <v>0</v>
      </c>
      <c r="E59" s="190">
        <v>0</v>
      </c>
      <c r="F59" s="190">
        <v>25644.25</v>
      </c>
      <c r="G59" s="190">
        <v>19150.75</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c r="CG59" s="190"/>
      <c r="CH59" s="190"/>
      <c r="CI59" s="190"/>
      <c r="CJ59" s="190"/>
      <c r="CK59" s="190"/>
      <c r="CL59" s="190"/>
    </row>
    <row r="60" spans="1:90" s="193" customFormat="1" x14ac:dyDescent="0.25">
      <c r="A60" s="193" t="s">
        <v>42</v>
      </c>
      <c r="B60" s="190">
        <v>424541255.45999998</v>
      </c>
      <c r="C60" s="190">
        <v>408420540.73000002</v>
      </c>
      <c r="D60" s="190">
        <v>416061573.14999998</v>
      </c>
      <c r="E60" s="190">
        <v>414202565.87</v>
      </c>
      <c r="F60" s="190">
        <v>420995630.05000001</v>
      </c>
      <c r="G60" s="190">
        <v>415842592.33999997</v>
      </c>
      <c r="H60" s="190">
        <v>406407780.98000002</v>
      </c>
      <c r="I60" s="190">
        <v>401632135.72000003</v>
      </c>
      <c r="J60" s="190">
        <v>402492600.87</v>
      </c>
      <c r="K60" s="190">
        <v>414732048.43000001</v>
      </c>
      <c r="L60" s="190">
        <v>5165055.18</v>
      </c>
      <c r="M60" s="190">
        <v>5165055.18</v>
      </c>
      <c r="N60" s="190">
        <v>5165055.18</v>
      </c>
      <c r="O60" s="190">
        <v>5165055.18</v>
      </c>
      <c r="P60" s="190">
        <v>5165055.18</v>
      </c>
      <c r="Q60" s="190">
        <v>5165055.18</v>
      </c>
      <c r="R60" s="190">
        <v>5165055.18</v>
      </c>
      <c r="S60" s="190">
        <v>5165055.18</v>
      </c>
      <c r="T60" s="190">
        <v>5165055.18</v>
      </c>
      <c r="U60" s="190">
        <v>5165055.18</v>
      </c>
      <c r="V60" s="190">
        <v>5165055.18</v>
      </c>
      <c r="W60" s="190">
        <v>5165055.18</v>
      </c>
      <c r="X60" s="190">
        <v>5165055.18</v>
      </c>
      <c r="Y60" s="190">
        <v>5165055.18</v>
      </c>
      <c r="Z60" s="190">
        <v>5165055.18</v>
      </c>
      <c r="AA60" s="190">
        <v>5165055.18</v>
      </c>
      <c r="AB60" s="190">
        <v>5165055.18</v>
      </c>
      <c r="AC60" s="190">
        <v>5165055.18</v>
      </c>
      <c r="AD60" s="190">
        <v>5165055.18</v>
      </c>
      <c r="AE60" s="190">
        <v>5165055.18</v>
      </c>
      <c r="AF60" s="190">
        <v>5165055.18</v>
      </c>
      <c r="AG60" s="190">
        <v>5165055.18</v>
      </c>
      <c r="AH60" s="190">
        <v>5165055.18</v>
      </c>
      <c r="AI60" s="190">
        <v>5165055.18</v>
      </c>
      <c r="AJ60" s="190">
        <v>5165055.18</v>
      </c>
      <c r="AK60" s="190">
        <v>5165055.18</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v>0</v>
      </c>
      <c r="CF60" s="190"/>
      <c r="CG60" s="190"/>
      <c r="CH60" s="190"/>
      <c r="CI60" s="190"/>
      <c r="CJ60" s="190"/>
      <c r="CK60" s="190"/>
      <c r="CL60" s="190"/>
    </row>
    <row r="61" spans="1:90" s="193" customFormat="1" x14ac:dyDescent="0.25">
      <c r="A61" s="193" t="s">
        <v>43</v>
      </c>
      <c r="B61" s="190">
        <v>200274979.31999999</v>
      </c>
      <c r="C61" s="190">
        <v>207853649</v>
      </c>
      <c r="D61" s="190">
        <v>205953309.34999999</v>
      </c>
      <c r="E61" s="190">
        <v>210438363.08000001</v>
      </c>
      <c r="F61" s="190">
        <v>205127952.12</v>
      </c>
      <c r="G61" s="190">
        <v>211932218.94</v>
      </c>
      <c r="H61" s="190">
        <v>218713216.78999999</v>
      </c>
      <c r="I61" s="190">
        <v>213829308.66</v>
      </c>
      <c r="J61" s="190">
        <v>118265018.04000001</v>
      </c>
      <c r="K61" s="190">
        <v>121999576.67</v>
      </c>
      <c r="L61" s="190">
        <v>125598194.43000001</v>
      </c>
      <c r="M61" s="190">
        <v>129825187.47</v>
      </c>
      <c r="N61" s="190">
        <v>123979839.31999999</v>
      </c>
      <c r="O61" s="190">
        <v>107611021.98999999</v>
      </c>
      <c r="P61" s="190">
        <v>110906975.34</v>
      </c>
      <c r="Q61" s="190">
        <v>113765103.12</v>
      </c>
      <c r="R61" s="190">
        <v>98283812.790000007</v>
      </c>
      <c r="S61" s="190">
        <v>116099705.5</v>
      </c>
      <c r="T61" s="190">
        <v>222384650.63</v>
      </c>
      <c r="U61" s="190">
        <v>226364116.47</v>
      </c>
      <c r="V61" s="190">
        <v>108631976.42</v>
      </c>
      <c r="W61" s="190">
        <v>232870583.41</v>
      </c>
      <c r="X61" s="190">
        <v>235366552.22999999</v>
      </c>
      <c r="Y61" s="190">
        <v>145196613.02000001</v>
      </c>
      <c r="Z61" s="190">
        <v>173421113.22</v>
      </c>
      <c r="AA61" s="190">
        <v>121052638.93000001</v>
      </c>
      <c r="AB61" s="190">
        <v>71968434.159999996</v>
      </c>
      <c r="AC61" s="190">
        <v>76024756.239999995</v>
      </c>
      <c r="AD61" s="190">
        <v>80081078.319999993</v>
      </c>
      <c r="AE61" s="190">
        <v>84136163.700000003</v>
      </c>
      <c r="AF61" s="190">
        <v>88184321.439999998</v>
      </c>
      <c r="AG61" s="190">
        <v>92249342.700000003</v>
      </c>
      <c r="AH61" s="190">
        <v>96325300</v>
      </c>
      <c r="AI61" s="190">
        <v>100416066.52</v>
      </c>
      <c r="AJ61" s="190">
        <v>104506833.04000001</v>
      </c>
      <c r="AK61" s="190">
        <v>108597599.56</v>
      </c>
      <c r="AL61" s="190">
        <v>112310440.90000001</v>
      </c>
      <c r="AM61" s="190">
        <v>116354183.77</v>
      </c>
      <c r="AN61" s="190">
        <v>121530807.5</v>
      </c>
      <c r="AO61" s="190">
        <v>126045372.05</v>
      </c>
      <c r="AP61" s="190">
        <v>130819936.53</v>
      </c>
      <c r="AQ61" s="190">
        <v>136479301.09</v>
      </c>
      <c r="AR61" s="190">
        <v>141594644.34999999</v>
      </c>
      <c r="AS61" s="190">
        <v>146123230.21000001</v>
      </c>
      <c r="AT61" s="190">
        <v>152685014.78999999</v>
      </c>
      <c r="AU61" s="190">
        <v>156838228.94999999</v>
      </c>
      <c r="AV61" s="190">
        <v>161398523.81</v>
      </c>
      <c r="AW61" s="190">
        <v>166254688.37</v>
      </c>
      <c r="AX61" s="190">
        <v>128439309.48</v>
      </c>
      <c r="AY61" s="190">
        <v>131686133.73999999</v>
      </c>
      <c r="AZ61" s="190">
        <v>135192958.09999999</v>
      </c>
      <c r="BA61" s="190">
        <v>136916476.78999999</v>
      </c>
      <c r="BB61" s="190">
        <v>140340864.16</v>
      </c>
      <c r="BC61" s="190">
        <v>143235251.53</v>
      </c>
      <c r="BD61" s="190">
        <v>146659638.90000001</v>
      </c>
      <c r="BE61" s="190">
        <v>149554026.27000001</v>
      </c>
      <c r="BF61" s="190">
        <v>144844732.21000001</v>
      </c>
      <c r="BG61" s="190">
        <v>155817801.00999999</v>
      </c>
      <c r="BH61" s="190">
        <v>0</v>
      </c>
      <c r="BI61" s="190">
        <v>0</v>
      </c>
      <c r="BJ61" s="190">
        <v>19935112.129999999</v>
      </c>
      <c r="BK61" s="190">
        <v>20311246.309999999</v>
      </c>
      <c r="BL61" s="190">
        <v>20969481.120000001</v>
      </c>
      <c r="BM61" s="190">
        <v>21063514.670000002</v>
      </c>
      <c r="BN61" s="190">
        <v>2014254.94</v>
      </c>
      <c r="BO61" s="190">
        <v>2518995.2799999998</v>
      </c>
      <c r="BP61" s="190">
        <v>3023735.62</v>
      </c>
      <c r="BQ61" s="190">
        <v>3528475.96</v>
      </c>
      <c r="BR61" s="190">
        <v>0</v>
      </c>
      <c r="BS61" s="190">
        <v>0</v>
      </c>
      <c r="BT61" s="190">
        <v>0</v>
      </c>
      <c r="BU61" s="190">
        <v>0</v>
      </c>
      <c r="BV61" s="190">
        <v>0</v>
      </c>
      <c r="BW61" s="190">
        <v>0</v>
      </c>
      <c r="BX61" s="190">
        <v>0</v>
      </c>
      <c r="BY61" s="190">
        <v>0</v>
      </c>
      <c r="BZ61" s="190">
        <v>0</v>
      </c>
      <c r="CA61" s="190">
        <v>0</v>
      </c>
      <c r="CB61" s="190">
        <v>0</v>
      </c>
      <c r="CC61" s="190">
        <v>0</v>
      </c>
      <c r="CD61" s="190">
        <v>0</v>
      </c>
      <c r="CE61" s="190">
        <v>0</v>
      </c>
      <c r="CF61" s="190"/>
      <c r="CG61" s="190"/>
      <c r="CH61" s="190"/>
      <c r="CI61" s="190"/>
      <c r="CJ61" s="190"/>
      <c r="CK61" s="190"/>
      <c r="CL61" s="190"/>
    </row>
    <row r="62" spans="1:90" s="193" customFormat="1" x14ac:dyDescent="0.25">
      <c r="A62" s="193" t="s">
        <v>44</v>
      </c>
      <c r="B62" s="190">
        <v>265012925.63999999</v>
      </c>
      <c r="C62" s="190">
        <v>254736020.94999999</v>
      </c>
      <c r="D62" s="190">
        <v>237406800.62</v>
      </c>
      <c r="E62" s="190">
        <v>237410041.49000001</v>
      </c>
      <c r="F62" s="190">
        <v>209758336.25</v>
      </c>
      <c r="G62" s="190">
        <v>209744932.65000001</v>
      </c>
      <c r="H62" s="190">
        <v>205591592.00999999</v>
      </c>
      <c r="I62" s="190">
        <v>205332101.78999999</v>
      </c>
      <c r="J62" s="190">
        <v>206318483.18000001</v>
      </c>
      <c r="K62" s="190">
        <v>163670833.30000001</v>
      </c>
      <c r="L62" s="190">
        <v>153021619.05000001</v>
      </c>
      <c r="M62" s="190">
        <v>153021619.05000001</v>
      </c>
      <c r="N62" s="190">
        <v>118652253.20999999</v>
      </c>
      <c r="O62" s="190">
        <v>118652253.20999999</v>
      </c>
      <c r="P62" s="190">
        <v>115691036.09999999</v>
      </c>
      <c r="Q62" s="190">
        <v>115691036.09999999</v>
      </c>
      <c r="R62" s="190">
        <v>114509051.84</v>
      </c>
      <c r="S62" s="190">
        <v>114509051.84</v>
      </c>
      <c r="T62" s="190">
        <v>114598120.77</v>
      </c>
      <c r="U62" s="190">
        <v>114598120.77</v>
      </c>
      <c r="V62" s="190">
        <v>123614955.25</v>
      </c>
      <c r="W62" s="190">
        <v>125445537.89</v>
      </c>
      <c r="X62" s="190">
        <v>127999644.95999999</v>
      </c>
      <c r="Y62" s="190">
        <v>126497582.45999999</v>
      </c>
      <c r="Z62" s="190">
        <v>119667304.70999999</v>
      </c>
      <c r="AA62" s="190">
        <v>127508862.55</v>
      </c>
      <c r="AB62" s="190">
        <v>129647038.31</v>
      </c>
      <c r="AC62" s="190">
        <v>129647038.31</v>
      </c>
      <c r="AD62" s="190">
        <v>132736730.67</v>
      </c>
      <c r="AE62" s="190">
        <v>131537631.63</v>
      </c>
      <c r="AF62" s="190">
        <v>132617344.20999999</v>
      </c>
      <c r="AG62" s="190">
        <v>134409179</v>
      </c>
      <c r="AH62" s="190">
        <v>177977775.47</v>
      </c>
      <c r="AI62" s="190">
        <v>178861993.28</v>
      </c>
      <c r="AJ62" s="190">
        <v>182454718.19999999</v>
      </c>
      <c r="AK62" s="190">
        <v>182454718.19999999</v>
      </c>
      <c r="AL62" s="190">
        <v>23530704.66</v>
      </c>
      <c r="AM62" s="190">
        <v>23530704.66</v>
      </c>
      <c r="AN62" s="190">
        <v>12919733.99</v>
      </c>
      <c r="AO62" s="190">
        <v>12919733.99</v>
      </c>
      <c r="AP62" s="190">
        <v>7963873.4299999997</v>
      </c>
      <c r="AQ62" s="190">
        <v>7963873.4299999997</v>
      </c>
      <c r="AR62" s="190">
        <v>7963873.4299999997</v>
      </c>
      <c r="AS62" s="190">
        <v>7963873.4299999997</v>
      </c>
      <c r="AT62" s="190">
        <v>4728086.58</v>
      </c>
      <c r="AU62" s="190">
        <v>4728086.58</v>
      </c>
      <c r="AV62" s="190">
        <v>4927063.55</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v>0</v>
      </c>
      <c r="CF62" s="190"/>
      <c r="CG62" s="190"/>
      <c r="CH62" s="190"/>
      <c r="CI62" s="190"/>
      <c r="CJ62" s="190"/>
      <c r="CK62" s="190"/>
      <c r="CL62" s="190"/>
    </row>
    <row r="63" spans="1:90" s="193" customFormat="1" x14ac:dyDescent="0.25">
      <c r="A63" s="193" t="s">
        <v>45</v>
      </c>
      <c r="B63" s="190">
        <v>42052897.409999996</v>
      </c>
      <c r="C63" s="190">
        <v>42052897.409999996</v>
      </c>
      <c r="D63" s="190">
        <v>41610406.159999996</v>
      </c>
      <c r="E63" s="190">
        <v>41610406.159999996</v>
      </c>
      <c r="F63" s="190">
        <v>47577438</v>
      </c>
      <c r="G63" s="190">
        <v>47063766.780000001</v>
      </c>
      <c r="H63" s="190">
        <v>31117271.91</v>
      </c>
      <c r="I63" s="190">
        <v>31117271.91</v>
      </c>
      <c r="J63" s="190">
        <v>35846779.700000003</v>
      </c>
      <c r="K63" s="190">
        <v>35846779.700000003</v>
      </c>
      <c r="L63" s="190">
        <v>41444655.909999996</v>
      </c>
      <c r="M63" s="190">
        <v>41444655.909999996</v>
      </c>
      <c r="N63" s="190">
        <v>42772678.600000001</v>
      </c>
      <c r="O63" s="190">
        <v>42772678.600000001</v>
      </c>
      <c r="P63" s="190">
        <v>42772678.600000001</v>
      </c>
      <c r="Q63" s="190">
        <v>42772678.600000001</v>
      </c>
      <c r="R63" s="190">
        <v>81782247.629999995</v>
      </c>
      <c r="S63" s="190">
        <v>66424036.299999997</v>
      </c>
      <c r="T63" s="190">
        <v>66424036.299999997</v>
      </c>
      <c r="U63" s="190">
        <v>66424036.299999997</v>
      </c>
      <c r="V63" s="190">
        <v>92748522.620000005</v>
      </c>
      <c r="W63" s="190">
        <v>92748522.620000005</v>
      </c>
      <c r="X63" s="190">
        <v>92748522.620000005</v>
      </c>
      <c r="Y63" s="190">
        <v>92748522.620000005</v>
      </c>
      <c r="Z63" s="190">
        <v>114420003.23</v>
      </c>
      <c r="AA63" s="190">
        <v>122505771.52</v>
      </c>
      <c r="AB63" s="190">
        <v>122505771.52</v>
      </c>
      <c r="AC63" s="190">
        <v>122505771.52</v>
      </c>
      <c r="AD63" s="190">
        <v>128871550.59</v>
      </c>
      <c r="AE63" s="190">
        <v>117105500.53</v>
      </c>
      <c r="AF63" s="190">
        <v>117105500.53</v>
      </c>
      <c r="AG63" s="190">
        <v>117105500.53</v>
      </c>
      <c r="AH63" s="190">
        <v>143524658.80000001</v>
      </c>
      <c r="AI63" s="190">
        <v>143524658.80000001</v>
      </c>
      <c r="AJ63" s="190">
        <v>143524658.80000001</v>
      </c>
      <c r="AK63" s="190">
        <v>143524658.80000001</v>
      </c>
      <c r="AL63" s="190">
        <v>73965719.930000007</v>
      </c>
      <c r="AM63" s="190">
        <v>73965719.930000007</v>
      </c>
      <c r="AN63" s="190">
        <v>77491241.540000007</v>
      </c>
      <c r="AO63" s="190">
        <v>77491241.540000007</v>
      </c>
      <c r="AP63" s="190">
        <v>85472367.75</v>
      </c>
      <c r="AQ63" s="190">
        <v>85472367.75</v>
      </c>
      <c r="AR63" s="190">
        <v>85472367.75</v>
      </c>
      <c r="AS63" s="190">
        <v>85472367.75</v>
      </c>
      <c r="AT63" s="190">
        <v>28303518.809999999</v>
      </c>
      <c r="AU63" s="190">
        <v>28303518.809999999</v>
      </c>
      <c r="AV63" s="190">
        <v>28303518.809999999</v>
      </c>
      <c r="AW63" s="190">
        <v>0</v>
      </c>
      <c r="AX63" s="190">
        <v>0</v>
      </c>
      <c r="AY63" s="190">
        <v>0</v>
      </c>
      <c r="AZ63" s="190">
        <v>33283608.370000001</v>
      </c>
      <c r="BA63" s="190">
        <v>0</v>
      </c>
      <c r="BB63" s="190">
        <v>0</v>
      </c>
      <c r="BC63" s="190">
        <v>0</v>
      </c>
      <c r="BD63" s="190">
        <v>0</v>
      </c>
      <c r="BE63" s="190">
        <v>0</v>
      </c>
      <c r="BF63" s="190">
        <v>154934294.87</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c r="CF63" s="190"/>
      <c r="CG63" s="190"/>
      <c r="CH63" s="190"/>
      <c r="CI63" s="190"/>
      <c r="CJ63" s="190"/>
      <c r="CK63" s="190"/>
      <c r="CL63" s="190"/>
    </row>
    <row r="64" spans="1:90" s="193" customFormat="1" x14ac:dyDescent="0.25">
      <c r="A64" s="193" t="s">
        <v>46</v>
      </c>
      <c r="B64" s="190">
        <v>748623230.02999997</v>
      </c>
      <c r="C64" s="190">
        <v>685433296.58000004</v>
      </c>
      <c r="D64" s="190">
        <v>526921253.02999997</v>
      </c>
      <c r="E64" s="190">
        <v>664740458.48000002</v>
      </c>
      <c r="F64" s="190">
        <v>434147467.41000003</v>
      </c>
      <c r="G64" s="190">
        <v>311040532.30000001</v>
      </c>
      <c r="H64" s="190">
        <v>303576589.10000002</v>
      </c>
      <c r="I64" s="190">
        <v>256680888.22</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v>0</v>
      </c>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188117679963.34998</v>
      </c>
      <c r="C68" s="36">
        <f t="shared" ref="C68:BN68" si="8">SUM(C52:C64)-2*C63</f>
        <v>185759745681.84</v>
      </c>
      <c r="D68" s="36">
        <f t="shared" si="8"/>
        <v>186203192243.14001</v>
      </c>
      <c r="E68" s="36">
        <f t="shared" si="8"/>
        <v>186505630633.41</v>
      </c>
      <c r="F68" s="36">
        <f t="shared" si="8"/>
        <v>185434656174.17996</v>
      </c>
      <c r="G68" s="36">
        <f t="shared" si="8"/>
        <v>184230432670.02994</v>
      </c>
      <c r="H68" s="36">
        <f t="shared" si="8"/>
        <v>183749591512.46002</v>
      </c>
      <c r="I68" s="36">
        <f t="shared" si="8"/>
        <v>183069107000.66</v>
      </c>
      <c r="J68" s="36">
        <f t="shared" si="8"/>
        <v>177550722451.17001</v>
      </c>
      <c r="K68" s="36">
        <f t="shared" si="8"/>
        <v>174186248509.43002</v>
      </c>
      <c r="L68" s="36">
        <f t="shared" si="8"/>
        <v>170924029935.94998</v>
      </c>
      <c r="M68" s="36">
        <f t="shared" si="8"/>
        <v>168763183252.89996</v>
      </c>
      <c r="N68" s="36">
        <f t="shared" si="8"/>
        <v>158664905084.10999</v>
      </c>
      <c r="O68" s="36">
        <f t="shared" si="8"/>
        <v>156379163091.76999</v>
      </c>
      <c r="P68" s="36">
        <f t="shared" si="8"/>
        <v>156844398748.31998</v>
      </c>
      <c r="Q68" s="36">
        <f t="shared" si="8"/>
        <v>156040157842.95996</v>
      </c>
      <c r="R68" s="36">
        <f t="shared" si="8"/>
        <v>152786257777.62</v>
      </c>
      <c r="S68" s="36">
        <f t="shared" si="8"/>
        <v>147236996492.84998</v>
      </c>
      <c r="T68" s="36">
        <f t="shared" si="8"/>
        <v>147157344503.47998</v>
      </c>
      <c r="U68" s="36">
        <f t="shared" si="8"/>
        <v>146190599513.61996</v>
      </c>
      <c r="V68" s="36">
        <f t="shared" si="8"/>
        <v>141518908463.43002</v>
      </c>
      <c r="W68" s="36">
        <f t="shared" si="8"/>
        <v>137705855740.08002</v>
      </c>
      <c r="X68" s="36">
        <f t="shared" si="8"/>
        <v>134594887138.06999</v>
      </c>
      <c r="Y68" s="36">
        <f t="shared" si="8"/>
        <v>130132959731.95999</v>
      </c>
      <c r="Z68" s="36">
        <f t="shared" si="8"/>
        <v>121625887591.75</v>
      </c>
      <c r="AA68" s="36">
        <f t="shared" si="8"/>
        <v>113627236889.09001</v>
      </c>
      <c r="AB68" s="36">
        <f t="shared" si="8"/>
        <v>109633289069</v>
      </c>
      <c r="AC68" s="36">
        <f t="shared" si="8"/>
        <v>109187427413.36</v>
      </c>
      <c r="AD68" s="36">
        <f t="shared" si="8"/>
        <v>101873036466.91998</v>
      </c>
      <c r="AE68" s="36">
        <f t="shared" si="8"/>
        <v>98278061582.330002</v>
      </c>
      <c r="AF68" s="36">
        <f t="shared" si="8"/>
        <v>94374207531.380005</v>
      </c>
      <c r="AG68" s="36">
        <f t="shared" si="8"/>
        <v>91531015797.969971</v>
      </c>
      <c r="AH68" s="36">
        <f t="shared" si="8"/>
        <v>85475400747.11998</v>
      </c>
      <c r="AI68" s="36">
        <f t="shared" si="8"/>
        <v>82796096196.809982</v>
      </c>
      <c r="AJ68" s="36">
        <f t="shared" si="8"/>
        <v>81017352771.019989</v>
      </c>
      <c r="AK68" s="36">
        <f t="shared" si="8"/>
        <v>78825788119.240005</v>
      </c>
      <c r="AL68" s="36">
        <f t="shared" si="8"/>
        <v>14266199193.43</v>
      </c>
      <c r="AM68" s="36">
        <f t="shared" si="8"/>
        <v>13835298857.73</v>
      </c>
      <c r="AN68" s="36">
        <f t="shared" si="8"/>
        <v>14158455844.630001</v>
      </c>
      <c r="AO68" s="36">
        <f t="shared" si="8"/>
        <v>14232528633.940001</v>
      </c>
      <c r="AP68" s="36">
        <f t="shared" si="8"/>
        <v>14339896270.460003</v>
      </c>
      <c r="AQ68" s="36">
        <f t="shared" si="8"/>
        <v>14246512389.990002</v>
      </c>
      <c r="AR68" s="36">
        <f t="shared" si="8"/>
        <v>14068170005.4</v>
      </c>
      <c r="AS68" s="36">
        <f t="shared" si="8"/>
        <v>14060958636.800001</v>
      </c>
      <c r="AT68" s="36">
        <f t="shared" si="8"/>
        <v>13734462861.27</v>
      </c>
      <c r="AU68" s="36">
        <f t="shared" si="8"/>
        <v>13752326974.219997</v>
      </c>
      <c r="AV68" s="36">
        <f t="shared" si="8"/>
        <v>13757358507.709997</v>
      </c>
      <c r="AW68" s="36">
        <f t="shared" si="8"/>
        <v>13895911269.379999</v>
      </c>
      <c r="AX68" s="36">
        <f t="shared" si="8"/>
        <v>8245227251.5</v>
      </c>
      <c r="AY68" s="36">
        <f t="shared" si="8"/>
        <v>8036368739.6799994</v>
      </c>
      <c r="AZ68" s="36">
        <f t="shared" si="8"/>
        <v>7841977520.6599998</v>
      </c>
      <c r="BA68" s="36">
        <f t="shared" si="8"/>
        <v>7817760367.0499992</v>
      </c>
      <c r="BB68" s="36">
        <f t="shared" si="8"/>
        <v>7728493927.7800007</v>
      </c>
      <c r="BC68" s="36">
        <f t="shared" si="8"/>
        <v>7804356919.1700001</v>
      </c>
      <c r="BD68" s="36">
        <f t="shared" si="8"/>
        <v>7516611786.3799992</v>
      </c>
      <c r="BE68" s="36">
        <f t="shared" si="8"/>
        <v>7639207265.1999998</v>
      </c>
      <c r="BF68" s="36">
        <f t="shared" si="8"/>
        <v>7172010739.0900011</v>
      </c>
      <c r="BG68" s="36">
        <f t="shared" si="8"/>
        <v>7399031191.1499996</v>
      </c>
      <c r="BH68" s="36">
        <f t="shared" si="8"/>
        <v>3703706707.4199996</v>
      </c>
      <c r="BI68" s="36">
        <f t="shared" si="8"/>
        <v>3708119406.4400001</v>
      </c>
      <c r="BJ68" s="36">
        <f t="shared" si="8"/>
        <v>3647675362.2200003</v>
      </c>
      <c r="BK68" s="36">
        <f t="shared" si="8"/>
        <v>3625101304.5900006</v>
      </c>
      <c r="BL68" s="36">
        <f t="shared" si="8"/>
        <v>3636637592.9299998</v>
      </c>
      <c r="BM68" s="36">
        <f t="shared" si="8"/>
        <v>3659790174.4900002</v>
      </c>
      <c r="BN68" s="36">
        <f t="shared" si="8"/>
        <v>594735849.03000009</v>
      </c>
      <c r="BO68" s="36">
        <f t="shared" ref="BO68:CK68" si="9">SUM(BO52:BO64)-2*BO63</f>
        <v>616595535.88</v>
      </c>
      <c r="BP68" s="36">
        <f t="shared" si="9"/>
        <v>633293361.68000007</v>
      </c>
      <c r="BQ68" s="36">
        <f t="shared" si="9"/>
        <v>651649559.75999999</v>
      </c>
      <c r="BR68" s="36">
        <f t="shared" si="9"/>
        <v>710252301.73000002</v>
      </c>
      <c r="BS68" s="36">
        <f t="shared" si="9"/>
        <v>674531000.54999995</v>
      </c>
      <c r="BT68" s="36">
        <f t="shared" si="9"/>
        <v>835410738.16999996</v>
      </c>
      <c r="BU68" s="36">
        <f t="shared" si="9"/>
        <v>875145607.76999998</v>
      </c>
      <c r="BV68" s="36">
        <f t="shared" si="9"/>
        <v>813737022.56000006</v>
      </c>
      <c r="BW68" s="36">
        <f t="shared" si="9"/>
        <v>900017388.55999994</v>
      </c>
      <c r="BX68" s="36">
        <f t="shared" si="9"/>
        <v>499767383.01999998</v>
      </c>
      <c r="BY68" s="36">
        <f t="shared" si="9"/>
        <v>493670399.80000001</v>
      </c>
      <c r="BZ68" s="36">
        <f t="shared" si="9"/>
        <v>384098609.07999998</v>
      </c>
      <c r="CA68" s="36">
        <f t="shared" si="9"/>
        <v>394761478.97000003</v>
      </c>
      <c r="CB68" s="36">
        <f t="shared" si="9"/>
        <v>356479113.00999999</v>
      </c>
      <c r="CC68" s="36">
        <f t="shared" si="9"/>
        <v>284956525.08999997</v>
      </c>
      <c r="CD68" s="36">
        <f t="shared" si="9"/>
        <v>66399659.140000001</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189991020852.09998</v>
      </c>
      <c r="C69" s="33">
        <f t="shared" ref="C69:BN69" si="10">C50+C68</f>
        <v>182028636666.66</v>
      </c>
      <c r="D69" s="33">
        <f t="shared" si="10"/>
        <v>181205405583.25</v>
      </c>
      <c r="E69" s="33">
        <f t="shared" si="10"/>
        <v>179155022345.81</v>
      </c>
      <c r="F69" s="33">
        <f t="shared" si="10"/>
        <v>177812356248.29996</v>
      </c>
      <c r="G69" s="33">
        <f t="shared" si="10"/>
        <v>177023443208.72995</v>
      </c>
      <c r="H69" s="33">
        <f t="shared" si="10"/>
        <v>173932200902.23001</v>
      </c>
      <c r="I69" s="33">
        <f t="shared" si="10"/>
        <v>170093137764.76001</v>
      </c>
      <c r="J69" s="33">
        <f t="shared" si="10"/>
        <v>165846501012.87</v>
      </c>
      <c r="K69" s="33">
        <f t="shared" si="10"/>
        <v>165586833333.95001</v>
      </c>
      <c r="L69" s="33">
        <f t="shared" si="10"/>
        <v>162380576053.46997</v>
      </c>
      <c r="M69" s="33">
        <f t="shared" si="10"/>
        <v>158190936461.66995</v>
      </c>
      <c r="N69" s="33">
        <f t="shared" si="10"/>
        <v>154299473033.17999</v>
      </c>
      <c r="O69" s="33">
        <f t="shared" si="10"/>
        <v>152054307930.87</v>
      </c>
      <c r="P69" s="33">
        <f t="shared" si="10"/>
        <v>152162994358.94998</v>
      </c>
      <c r="Q69" s="33">
        <f t="shared" si="10"/>
        <v>149967282049.17996</v>
      </c>
      <c r="R69" s="33">
        <f t="shared" si="10"/>
        <v>147718972809.84</v>
      </c>
      <c r="S69" s="33">
        <f t="shared" si="10"/>
        <v>145123874784.15997</v>
      </c>
      <c r="T69" s="33">
        <f t="shared" si="10"/>
        <v>145440480079.52997</v>
      </c>
      <c r="U69" s="33">
        <f t="shared" si="10"/>
        <v>140606948832.04996</v>
      </c>
      <c r="V69" s="33">
        <f t="shared" si="10"/>
        <v>137098470946.25003</v>
      </c>
      <c r="W69" s="33">
        <f t="shared" si="10"/>
        <v>133896690799.95001</v>
      </c>
      <c r="X69" s="33">
        <f t="shared" si="10"/>
        <v>129002492894.7</v>
      </c>
      <c r="Y69" s="33">
        <f t="shared" si="10"/>
        <v>124840860048</v>
      </c>
      <c r="Z69" s="33">
        <f t="shared" si="10"/>
        <v>124273275236.00999</v>
      </c>
      <c r="AA69" s="33">
        <f t="shared" si="10"/>
        <v>115784246656.92001</v>
      </c>
      <c r="AB69" s="33">
        <f t="shared" si="10"/>
        <v>111351080193.44</v>
      </c>
      <c r="AC69" s="33">
        <f t="shared" si="10"/>
        <v>110410453201.51001</v>
      </c>
      <c r="AD69" s="33">
        <f t="shared" si="10"/>
        <v>100850024515.42998</v>
      </c>
      <c r="AE69" s="33">
        <f t="shared" si="10"/>
        <v>98490864370.26001</v>
      </c>
      <c r="AF69" s="33">
        <f t="shared" si="10"/>
        <v>93797766932.110001</v>
      </c>
      <c r="AG69" s="33">
        <f t="shared" si="10"/>
        <v>90863963179.689972</v>
      </c>
      <c r="AH69" s="33">
        <f t="shared" si="10"/>
        <v>87175852299.259979</v>
      </c>
      <c r="AI69" s="33">
        <f t="shared" si="10"/>
        <v>84024344148.799988</v>
      </c>
      <c r="AJ69" s="33">
        <f t="shared" si="10"/>
        <v>81233973610.029984</v>
      </c>
      <c r="AK69" s="33">
        <f t="shared" si="10"/>
        <v>78799639411.5</v>
      </c>
      <c r="AL69" s="33">
        <f t="shared" si="10"/>
        <v>15230654696.27</v>
      </c>
      <c r="AM69" s="33">
        <f t="shared" si="10"/>
        <v>14851804190.15</v>
      </c>
      <c r="AN69" s="33">
        <f t="shared" si="10"/>
        <v>14737532388.800001</v>
      </c>
      <c r="AO69" s="33">
        <f t="shared" si="10"/>
        <v>15100821071.98</v>
      </c>
      <c r="AP69" s="33">
        <f t="shared" si="10"/>
        <v>14736934811.170002</v>
      </c>
      <c r="AQ69" s="33">
        <f t="shared" si="10"/>
        <v>14576396450.880001</v>
      </c>
      <c r="AR69" s="33">
        <f t="shared" si="10"/>
        <v>14363979750.85</v>
      </c>
      <c r="AS69" s="33">
        <f t="shared" si="10"/>
        <v>14289168859.240002</v>
      </c>
      <c r="AT69" s="33">
        <f t="shared" si="10"/>
        <v>13779794851.1</v>
      </c>
      <c r="AU69" s="33">
        <f t="shared" si="10"/>
        <v>13561837888.359997</v>
      </c>
      <c r="AV69" s="33">
        <f t="shared" si="10"/>
        <v>13758107742.469997</v>
      </c>
      <c r="AW69" s="33">
        <f t="shared" si="10"/>
        <v>13568653328.24</v>
      </c>
      <c r="AX69" s="33">
        <f t="shared" si="10"/>
        <v>9540493125.1499996</v>
      </c>
      <c r="AY69" s="33">
        <f t="shared" si="10"/>
        <v>8029039793.579999</v>
      </c>
      <c r="AZ69" s="33">
        <f t="shared" si="10"/>
        <v>7761121833.7600002</v>
      </c>
      <c r="BA69" s="33">
        <f t="shared" si="10"/>
        <v>7857947878.3899994</v>
      </c>
      <c r="BB69" s="33">
        <f t="shared" si="10"/>
        <v>7912702342.7800007</v>
      </c>
      <c r="BC69" s="33">
        <f t="shared" si="10"/>
        <v>7806826440.21</v>
      </c>
      <c r="BD69" s="33">
        <f t="shared" si="10"/>
        <v>7763730476.8699989</v>
      </c>
      <c r="BE69" s="33">
        <f t="shared" si="10"/>
        <v>7654832410.75</v>
      </c>
      <c r="BF69" s="33">
        <f t="shared" si="10"/>
        <v>7196530363.3000011</v>
      </c>
      <c r="BG69" s="33">
        <f t="shared" si="10"/>
        <v>7689348277.5799999</v>
      </c>
      <c r="BH69" s="33">
        <f t="shared" si="10"/>
        <v>4212898112.5899992</v>
      </c>
      <c r="BI69" s="33">
        <f t="shared" si="10"/>
        <v>3897805888.5700002</v>
      </c>
      <c r="BJ69" s="33">
        <f t="shared" si="10"/>
        <v>3809879242.3700004</v>
      </c>
      <c r="BK69" s="33">
        <f t="shared" si="10"/>
        <v>3728334433.9800005</v>
      </c>
      <c r="BL69" s="33">
        <f t="shared" si="10"/>
        <v>3899307415.8799996</v>
      </c>
      <c r="BM69" s="33">
        <f t="shared" si="10"/>
        <v>3884173159.6600003</v>
      </c>
      <c r="BN69" s="33">
        <f t="shared" si="10"/>
        <v>752424695.84000015</v>
      </c>
      <c r="BO69" s="33">
        <f t="shared" ref="BO69:CL69" si="11">BO50+BO68</f>
        <v>764890740.22000003</v>
      </c>
      <c r="BP69" s="33">
        <f t="shared" si="11"/>
        <v>784022752.57000005</v>
      </c>
      <c r="BQ69" s="33">
        <f t="shared" si="11"/>
        <v>808807965.27999997</v>
      </c>
      <c r="BR69" s="33">
        <f t="shared" si="11"/>
        <v>896115656.8499999</v>
      </c>
      <c r="BS69" s="33">
        <f t="shared" si="11"/>
        <v>797114155.06999993</v>
      </c>
      <c r="BT69" s="33">
        <f t="shared" si="11"/>
        <v>882170968.73000002</v>
      </c>
      <c r="BU69" s="33">
        <f t="shared" si="11"/>
        <v>1004732883.52</v>
      </c>
      <c r="BV69" s="33">
        <f t="shared" si="11"/>
        <v>944446823.61000001</v>
      </c>
      <c r="BW69" s="33">
        <f t="shared" si="11"/>
        <v>1081683768.6599998</v>
      </c>
      <c r="BX69" s="33">
        <f t="shared" si="11"/>
        <v>604964695.25</v>
      </c>
      <c r="BY69" s="33">
        <f t="shared" si="11"/>
        <v>507875038.19</v>
      </c>
      <c r="BZ69" s="33">
        <f t="shared" si="11"/>
        <v>384098609.07999998</v>
      </c>
      <c r="CA69" s="33">
        <f t="shared" si="11"/>
        <v>330916627.96000004</v>
      </c>
      <c r="CB69" s="33">
        <f t="shared" si="11"/>
        <v>356479113.00999999</v>
      </c>
      <c r="CC69" s="33">
        <f t="shared" si="11"/>
        <v>257922839.96999997</v>
      </c>
      <c r="CD69" s="33">
        <f t="shared" si="11"/>
        <v>45477460.129999995</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211044912287.15997</v>
      </c>
      <c r="C70" s="37">
        <f t="shared" ref="C70:BN70" si="12">C17+C19+C69</f>
        <v>202025378146.19</v>
      </c>
      <c r="D70" s="37">
        <f t="shared" si="12"/>
        <v>198133172082.85001</v>
      </c>
      <c r="E70" s="37">
        <f t="shared" si="12"/>
        <v>193232646082.51001</v>
      </c>
      <c r="F70" s="37">
        <f t="shared" si="12"/>
        <v>193498429618.25995</v>
      </c>
      <c r="G70" s="37">
        <f t="shared" si="12"/>
        <v>190915134314.20996</v>
      </c>
      <c r="H70" s="37">
        <f t="shared" si="12"/>
        <v>186809450310.46002</v>
      </c>
      <c r="I70" s="37">
        <f t="shared" si="12"/>
        <v>183513201769.86002</v>
      </c>
      <c r="J70" s="37">
        <f t="shared" si="12"/>
        <v>179902858951.10999</v>
      </c>
      <c r="K70" s="37">
        <f t="shared" si="12"/>
        <v>177523403714.44</v>
      </c>
      <c r="L70" s="37">
        <f t="shared" si="12"/>
        <v>171961638669.26996</v>
      </c>
      <c r="M70" s="37">
        <f t="shared" si="12"/>
        <v>167726028461.15994</v>
      </c>
      <c r="N70" s="37">
        <f t="shared" si="12"/>
        <v>165290574326.60999</v>
      </c>
      <c r="O70" s="37">
        <f t="shared" si="12"/>
        <v>162313832308.97</v>
      </c>
      <c r="P70" s="37">
        <f t="shared" si="12"/>
        <v>163043516494.94998</v>
      </c>
      <c r="Q70" s="37">
        <f t="shared" si="12"/>
        <v>160842101439.95996</v>
      </c>
      <c r="R70" s="37">
        <f t="shared" si="12"/>
        <v>160240243138.51001</v>
      </c>
      <c r="S70" s="37">
        <f t="shared" si="12"/>
        <v>154909964228.69998</v>
      </c>
      <c r="T70" s="37">
        <f t="shared" si="12"/>
        <v>154539245461.89996</v>
      </c>
      <c r="U70" s="37">
        <f t="shared" si="12"/>
        <v>147776293282.51996</v>
      </c>
      <c r="V70" s="37">
        <f t="shared" si="12"/>
        <v>143773226165.01004</v>
      </c>
      <c r="W70" s="37">
        <f t="shared" si="12"/>
        <v>140483674451</v>
      </c>
      <c r="X70" s="37">
        <f t="shared" si="12"/>
        <v>137782099190.70999</v>
      </c>
      <c r="Y70" s="37">
        <f t="shared" si="12"/>
        <v>132926344951.27</v>
      </c>
      <c r="Z70" s="37">
        <f t="shared" si="12"/>
        <v>129309615772.75</v>
      </c>
      <c r="AA70" s="37">
        <f t="shared" si="12"/>
        <v>123114633434.11002</v>
      </c>
      <c r="AB70" s="37">
        <f t="shared" si="12"/>
        <v>116501606527.35001</v>
      </c>
      <c r="AC70" s="37">
        <f t="shared" si="12"/>
        <v>117170330759.04001</v>
      </c>
      <c r="AD70" s="37">
        <f t="shared" si="12"/>
        <v>104603314600.10999</v>
      </c>
      <c r="AE70" s="37">
        <f t="shared" si="12"/>
        <v>102597345197.01001</v>
      </c>
      <c r="AF70" s="37">
        <f t="shared" si="12"/>
        <v>99023594848.789993</v>
      </c>
      <c r="AG70" s="37">
        <f t="shared" si="12"/>
        <v>93552747971.679977</v>
      </c>
      <c r="AH70" s="37">
        <f t="shared" si="12"/>
        <v>89822205609.929977</v>
      </c>
      <c r="AI70" s="37">
        <f t="shared" si="12"/>
        <v>86677468406.209991</v>
      </c>
      <c r="AJ70" s="37">
        <f t="shared" si="12"/>
        <v>83778851312.22998</v>
      </c>
      <c r="AK70" s="37">
        <f t="shared" si="12"/>
        <v>82487947958.009995</v>
      </c>
      <c r="AL70" s="37">
        <f t="shared" si="12"/>
        <v>16971749091.710001</v>
      </c>
      <c r="AM70" s="37">
        <f t="shared" si="12"/>
        <v>16739174156.539999</v>
      </c>
      <c r="AN70" s="37">
        <f t="shared" si="12"/>
        <v>17126577362.720001</v>
      </c>
      <c r="AO70" s="37">
        <f t="shared" si="12"/>
        <v>17091141423.52</v>
      </c>
      <c r="AP70" s="37">
        <f t="shared" si="12"/>
        <v>16961872758.470001</v>
      </c>
      <c r="AQ70" s="37">
        <f t="shared" si="12"/>
        <v>16725675237.710001</v>
      </c>
      <c r="AR70" s="37">
        <f t="shared" si="12"/>
        <v>16725309349.470001</v>
      </c>
      <c r="AS70" s="37">
        <f t="shared" si="12"/>
        <v>16603121315.910002</v>
      </c>
      <c r="AT70" s="37">
        <f t="shared" si="12"/>
        <v>16093515660.650002</v>
      </c>
      <c r="AU70" s="37">
        <f t="shared" si="12"/>
        <v>15140788575.769997</v>
      </c>
      <c r="AV70" s="37">
        <f t="shared" si="12"/>
        <v>15473842222.939997</v>
      </c>
      <c r="AW70" s="37">
        <f t="shared" si="12"/>
        <v>15551788315.17</v>
      </c>
      <c r="AX70" s="37">
        <f t="shared" si="12"/>
        <v>10207885305.299999</v>
      </c>
      <c r="AY70" s="37">
        <f t="shared" si="12"/>
        <v>8653633232.8499985</v>
      </c>
      <c r="AZ70" s="37">
        <f t="shared" si="12"/>
        <v>8504253013.1000004</v>
      </c>
      <c r="BA70" s="37">
        <f t="shared" si="12"/>
        <v>8466120886.0599995</v>
      </c>
      <c r="BB70" s="37">
        <f t="shared" si="12"/>
        <v>8791963125.8800011</v>
      </c>
      <c r="BC70" s="37">
        <f t="shared" si="12"/>
        <v>8606692102.2900009</v>
      </c>
      <c r="BD70" s="37">
        <f t="shared" si="12"/>
        <v>8765266278.6299992</v>
      </c>
      <c r="BE70" s="37">
        <f t="shared" si="12"/>
        <v>8457580717.4799995</v>
      </c>
      <c r="BF70" s="37">
        <f t="shared" si="12"/>
        <v>8308124002.9000015</v>
      </c>
      <c r="BG70" s="37">
        <f t="shared" si="12"/>
        <v>8454529464.96</v>
      </c>
      <c r="BH70" s="37">
        <f t="shared" si="12"/>
        <v>4698291672.7699995</v>
      </c>
      <c r="BI70" s="37">
        <f t="shared" si="12"/>
        <v>4280674335.46</v>
      </c>
      <c r="BJ70" s="37">
        <f t="shared" si="12"/>
        <v>4210375428.8600006</v>
      </c>
      <c r="BK70" s="37">
        <f t="shared" si="12"/>
        <v>4157648184.5200005</v>
      </c>
      <c r="BL70" s="37">
        <f t="shared" si="12"/>
        <v>4373814115.5699997</v>
      </c>
      <c r="BM70" s="37">
        <f t="shared" si="12"/>
        <v>4299501297.1300001</v>
      </c>
      <c r="BN70" s="37">
        <f t="shared" si="12"/>
        <v>771622915.47000015</v>
      </c>
      <c r="BO70" s="37">
        <f t="shared" ref="BO70:CL70" si="13">BO17+BO19+BO69</f>
        <v>794243770.76999998</v>
      </c>
      <c r="BP70" s="37">
        <f t="shared" si="13"/>
        <v>823994016.54000008</v>
      </c>
      <c r="BQ70" s="37">
        <f t="shared" si="13"/>
        <v>860173244.06999993</v>
      </c>
      <c r="BR70" s="37">
        <f t="shared" si="13"/>
        <v>960214898.32999992</v>
      </c>
      <c r="BS70" s="37">
        <f t="shared" si="13"/>
        <v>975148333.42999995</v>
      </c>
      <c r="BT70" s="37">
        <f t="shared" si="13"/>
        <v>1043021254.13</v>
      </c>
      <c r="BU70" s="37">
        <f t="shared" si="13"/>
        <v>1119444572.01</v>
      </c>
      <c r="BV70" s="37">
        <f t="shared" si="13"/>
        <v>1059000880.33</v>
      </c>
      <c r="BW70" s="37">
        <f t="shared" si="13"/>
        <v>1144922434.6799998</v>
      </c>
      <c r="BX70" s="37">
        <f t="shared" si="13"/>
        <v>643153770.59000003</v>
      </c>
      <c r="BY70" s="37">
        <f t="shared" si="13"/>
        <v>530896721.86000001</v>
      </c>
      <c r="BZ70" s="37">
        <f t="shared" si="13"/>
        <v>386948609.07999998</v>
      </c>
      <c r="CA70" s="37">
        <f t="shared" si="13"/>
        <v>399125572.25</v>
      </c>
      <c r="CB70" s="37">
        <f t="shared" si="13"/>
        <v>359329113.00999999</v>
      </c>
      <c r="CC70" s="37">
        <f t="shared" si="13"/>
        <v>280135912.72999996</v>
      </c>
      <c r="CD70" s="37">
        <f t="shared" si="13"/>
        <v>125411965.12</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19270798972.66</v>
      </c>
      <c r="F72" s="28">
        <f t="shared" ref="F72:BQ72" si="14">SUM(F73:F77)</f>
        <v>17269076586.129997</v>
      </c>
      <c r="G72" s="28">
        <f t="shared" si="14"/>
        <v>16497306343.279999</v>
      </c>
      <c r="H72" s="28">
        <f t="shared" si="14"/>
        <v>15558353447.380001</v>
      </c>
      <c r="I72" s="28">
        <f t="shared" si="14"/>
        <v>17141533878.880001</v>
      </c>
      <c r="J72" s="28">
        <f t="shared" si="14"/>
        <v>14861031972.02</v>
      </c>
      <c r="K72" s="28">
        <f t="shared" si="14"/>
        <v>18219677020.43</v>
      </c>
      <c r="L72" s="28">
        <f t="shared" si="14"/>
        <v>18444748409.150002</v>
      </c>
      <c r="M72" s="28">
        <f t="shared" si="14"/>
        <v>19617472101.889999</v>
      </c>
      <c r="N72" s="28">
        <f t="shared" si="14"/>
        <v>17177312189.920002</v>
      </c>
      <c r="O72" s="28">
        <f t="shared" si="14"/>
        <v>16644265153.490002</v>
      </c>
      <c r="P72" s="28">
        <f t="shared" si="14"/>
        <v>16069506289.530001</v>
      </c>
      <c r="Q72" s="28">
        <f t="shared" si="14"/>
        <v>17491092518.68</v>
      </c>
      <c r="R72" s="28">
        <f t="shared" si="14"/>
        <v>16500121528.119999</v>
      </c>
      <c r="S72" s="28">
        <f t="shared" si="14"/>
        <v>15717076726.98</v>
      </c>
      <c r="T72" s="28">
        <f t="shared" si="14"/>
        <v>12613955322.58</v>
      </c>
      <c r="U72" s="28">
        <f t="shared" si="14"/>
        <v>12829776601.360001</v>
      </c>
      <c r="V72" s="28">
        <f t="shared" si="14"/>
        <v>11381939095.169998</v>
      </c>
      <c r="W72" s="28">
        <f t="shared" si="14"/>
        <v>16332380749.629999</v>
      </c>
      <c r="X72" s="28">
        <f t="shared" si="14"/>
        <v>16711198366.799999</v>
      </c>
      <c r="Y72" s="28">
        <f t="shared" si="14"/>
        <v>20131250151.850002</v>
      </c>
      <c r="Z72" s="28">
        <f t="shared" si="14"/>
        <v>18834203471.700001</v>
      </c>
      <c r="AA72" s="28">
        <f t="shared" si="14"/>
        <v>21633447818.130001</v>
      </c>
      <c r="AB72" s="28">
        <f t="shared" si="14"/>
        <v>21801181462.830002</v>
      </c>
      <c r="AC72" s="28">
        <f t="shared" si="14"/>
        <v>19464414442.349998</v>
      </c>
      <c r="AD72" s="28">
        <f t="shared" si="14"/>
        <v>17328090551.869999</v>
      </c>
      <c r="AE72" s="28">
        <f t="shared" si="14"/>
        <v>14803216704.940002</v>
      </c>
      <c r="AF72" s="28">
        <f t="shared" si="14"/>
        <v>14091417454.380001</v>
      </c>
      <c r="AG72" s="28">
        <f t="shared" si="14"/>
        <v>15709856897.639999</v>
      </c>
      <c r="AH72" s="28">
        <f t="shared" si="14"/>
        <v>14984628859.380001</v>
      </c>
      <c r="AI72" s="28">
        <f t="shared" si="14"/>
        <v>13447501459</v>
      </c>
      <c r="AJ72" s="28">
        <f t="shared" si="14"/>
        <v>13086140710.59</v>
      </c>
      <c r="AK72" s="28">
        <f t="shared" si="14"/>
        <v>15662439118.470001</v>
      </c>
      <c r="AL72" s="28">
        <f t="shared" si="14"/>
        <v>2622502447.5999999</v>
      </c>
      <c r="AM72" s="28">
        <f t="shared" si="14"/>
        <v>2628215730.9300003</v>
      </c>
      <c r="AN72" s="28">
        <f t="shared" si="14"/>
        <v>2750166271.0500002</v>
      </c>
      <c r="AO72" s="28">
        <f t="shared" si="14"/>
        <v>3064990877.96</v>
      </c>
      <c r="AP72" s="28">
        <f t="shared" si="14"/>
        <v>2519186271.6399999</v>
      </c>
      <c r="AQ72" s="28">
        <f t="shared" si="14"/>
        <v>2407143759.4400001</v>
      </c>
      <c r="AR72" s="28">
        <f t="shared" si="14"/>
        <v>2228561090.6599998</v>
      </c>
      <c r="AS72" s="28">
        <f t="shared" si="14"/>
        <v>2433849830.1999998</v>
      </c>
      <c r="AT72" s="28">
        <f t="shared" si="14"/>
        <v>1551792517.21</v>
      </c>
      <c r="AU72" s="28">
        <f t="shared" si="14"/>
        <v>2436555255.4899998</v>
      </c>
      <c r="AV72" s="28">
        <f t="shared" si="14"/>
        <v>2743981416.2399998</v>
      </c>
      <c r="AW72" s="28">
        <f t="shared" si="14"/>
        <v>2597000000</v>
      </c>
      <c r="AX72" s="28">
        <f t="shared" si="14"/>
        <v>915550000</v>
      </c>
      <c r="AY72" s="28">
        <f t="shared" si="14"/>
        <v>1135550000</v>
      </c>
      <c r="AZ72" s="28">
        <f t="shared" si="14"/>
        <v>1325860000</v>
      </c>
      <c r="BA72" s="28">
        <f t="shared" si="14"/>
        <v>1367860000</v>
      </c>
      <c r="BB72" s="28">
        <f t="shared" si="14"/>
        <v>1379985632.76</v>
      </c>
      <c r="BC72" s="28">
        <f t="shared" si="14"/>
        <v>1394985632.76</v>
      </c>
      <c r="BD72" s="28">
        <f t="shared" si="14"/>
        <v>1448946047.76</v>
      </c>
      <c r="BE72" s="28">
        <f t="shared" si="14"/>
        <v>1478946047.76</v>
      </c>
      <c r="BF72" s="28">
        <f t="shared" si="14"/>
        <v>1116711278</v>
      </c>
      <c r="BG72" s="28">
        <f t="shared" si="14"/>
        <v>1099211278</v>
      </c>
      <c r="BH72" s="28">
        <f t="shared" si="14"/>
        <v>661120000</v>
      </c>
      <c r="BI72" s="28">
        <f t="shared" si="14"/>
        <v>555991700</v>
      </c>
      <c r="BJ72" s="28">
        <f t="shared" si="14"/>
        <v>180350000</v>
      </c>
      <c r="BK72" s="28">
        <f t="shared" si="14"/>
        <v>372581028</v>
      </c>
      <c r="BL72" s="28">
        <f t="shared" si="14"/>
        <v>355350000</v>
      </c>
      <c r="BM72" s="28">
        <f t="shared" si="14"/>
        <v>644052012</v>
      </c>
      <c r="BN72" s="28">
        <f t="shared" si="14"/>
        <v>0</v>
      </c>
      <c r="BO72" s="28">
        <f t="shared" si="14"/>
        <v>0</v>
      </c>
      <c r="BP72" s="28">
        <f t="shared" si="14"/>
        <v>0</v>
      </c>
      <c r="BQ72" s="28">
        <f t="shared" si="14"/>
        <v>0</v>
      </c>
      <c r="BR72" s="28">
        <f t="shared" ref="BR72:CL72" si="15">SUM(BR73:BR77)</f>
        <v>12000000</v>
      </c>
      <c r="BS72" s="28">
        <f t="shared" si="15"/>
        <v>75000000</v>
      </c>
      <c r="BT72" s="28">
        <f t="shared" si="15"/>
        <v>103000000</v>
      </c>
      <c r="BU72" s="28">
        <f t="shared" si="15"/>
        <v>162000000</v>
      </c>
      <c r="BV72" s="28">
        <f t="shared" si="15"/>
        <v>163000000</v>
      </c>
      <c r="BW72" s="28">
        <f t="shared" si="15"/>
        <v>133000000</v>
      </c>
      <c r="BX72" s="28">
        <f t="shared" si="15"/>
        <v>133000000</v>
      </c>
      <c r="BY72" s="28">
        <f t="shared" si="15"/>
        <v>113000000</v>
      </c>
      <c r="BZ72" s="28">
        <f t="shared" si="15"/>
        <v>0</v>
      </c>
      <c r="CA72" s="28">
        <f t="shared" si="15"/>
        <v>25000000</v>
      </c>
      <c r="CB72" s="28">
        <f t="shared" si="15"/>
        <v>0</v>
      </c>
      <c r="CC72" s="28">
        <f t="shared" si="15"/>
        <v>8000000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5757205936.4300003</v>
      </c>
      <c r="C73" s="190">
        <v>6233986753.3900003</v>
      </c>
      <c r="D73" s="190">
        <v>4991486000</v>
      </c>
      <c r="E73" s="190">
        <v>4741270178.0799999</v>
      </c>
      <c r="F73" s="190">
        <v>5989957077.8800001</v>
      </c>
      <c r="G73" s="190">
        <v>5740060020.5</v>
      </c>
      <c r="H73" s="190">
        <v>5869588448.54</v>
      </c>
      <c r="I73" s="190">
        <v>7917901596.4399996</v>
      </c>
      <c r="J73" s="190">
        <v>7432933588.0900002</v>
      </c>
      <c r="K73" s="190">
        <v>10879032345.639999</v>
      </c>
      <c r="L73" s="190">
        <v>9001000000</v>
      </c>
      <c r="M73" s="190">
        <v>8021000000</v>
      </c>
      <c r="N73" s="190">
        <v>5426740300</v>
      </c>
      <c r="O73" s="190">
        <v>4163640300</v>
      </c>
      <c r="P73" s="190">
        <v>2633659845.9299998</v>
      </c>
      <c r="Q73" s="190">
        <v>4445568605.1700001</v>
      </c>
      <c r="R73" s="190">
        <v>5453893057.3400002</v>
      </c>
      <c r="S73" s="190">
        <v>7453207394.0100002</v>
      </c>
      <c r="T73" s="190">
        <v>6713459471.1599998</v>
      </c>
      <c r="U73" s="190">
        <v>6851173685.29</v>
      </c>
      <c r="V73" s="190">
        <v>6869418132.6899996</v>
      </c>
      <c r="W73" s="190">
        <v>8852994522.9099998</v>
      </c>
      <c r="X73" s="190">
        <v>9569668355.2399998</v>
      </c>
      <c r="Y73" s="190">
        <v>9204490020.1900005</v>
      </c>
      <c r="Z73" s="190">
        <v>11697769859.16</v>
      </c>
      <c r="AA73" s="190">
        <v>13322267910.33</v>
      </c>
      <c r="AB73" s="190">
        <v>13171945997.200001</v>
      </c>
      <c r="AC73" s="190">
        <v>13031288688.33</v>
      </c>
      <c r="AD73" s="190">
        <v>11882468402.290001</v>
      </c>
      <c r="AE73" s="190">
        <v>11456000456.290001</v>
      </c>
      <c r="AF73" s="190">
        <v>11234086469.530001</v>
      </c>
      <c r="AG73" s="190">
        <v>12161797549</v>
      </c>
      <c r="AH73" s="190">
        <v>11945736074.73</v>
      </c>
      <c r="AI73" s="190">
        <v>10384628977.9</v>
      </c>
      <c r="AJ73" s="190">
        <v>10157165864.030001</v>
      </c>
      <c r="AK73" s="190">
        <v>12142323938.290001</v>
      </c>
      <c r="AL73" s="190">
        <v>2294630000</v>
      </c>
      <c r="AM73" s="190">
        <v>2077000000</v>
      </c>
      <c r="AN73" s="190">
        <v>2113000000</v>
      </c>
      <c r="AO73" s="190">
        <v>2245290000</v>
      </c>
      <c r="AP73" s="190">
        <v>2255000000</v>
      </c>
      <c r="AQ73" s="190">
        <v>1945000000</v>
      </c>
      <c r="AR73" s="190">
        <v>1564500000</v>
      </c>
      <c r="AS73" s="190">
        <v>1578300000</v>
      </c>
      <c r="AT73" s="190">
        <v>1308200000</v>
      </c>
      <c r="AU73" s="190">
        <v>2053000000</v>
      </c>
      <c r="AV73" s="190">
        <v>2195200000</v>
      </c>
      <c r="AW73" s="190">
        <v>1964000000</v>
      </c>
      <c r="AX73" s="190">
        <v>705000000</v>
      </c>
      <c r="AY73" s="190">
        <v>825000000</v>
      </c>
      <c r="AZ73" s="190">
        <v>647000000</v>
      </c>
      <c r="BA73" s="190">
        <v>657000000</v>
      </c>
      <c r="BB73" s="190">
        <v>897000000</v>
      </c>
      <c r="BC73" s="190">
        <v>777000000</v>
      </c>
      <c r="BD73" s="190">
        <v>727000000</v>
      </c>
      <c r="BE73" s="190">
        <v>737000000</v>
      </c>
      <c r="BF73" s="190">
        <v>577000000</v>
      </c>
      <c r="BG73" s="190">
        <v>547000000</v>
      </c>
      <c r="BH73" s="190">
        <v>500000000</v>
      </c>
      <c r="BI73" s="190">
        <v>140000000</v>
      </c>
      <c r="BJ73" s="190">
        <v>120000000</v>
      </c>
      <c r="BK73" s="190">
        <v>130000000</v>
      </c>
      <c r="BL73" s="190">
        <v>160000000</v>
      </c>
      <c r="BM73" s="190">
        <v>160000000</v>
      </c>
      <c r="BN73" s="190">
        <v>0</v>
      </c>
      <c r="BO73" s="190">
        <v>0</v>
      </c>
      <c r="BP73" s="190">
        <v>0</v>
      </c>
      <c r="BQ73" s="190">
        <v>0</v>
      </c>
      <c r="BR73" s="190">
        <v>12000000</v>
      </c>
      <c r="BS73" s="190">
        <v>75000000</v>
      </c>
      <c r="BT73" s="190">
        <v>103000000</v>
      </c>
      <c r="BU73" s="190">
        <v>162000000</v>
      </c>
      <c r="BV73" s="190">
        <v>163000000</v>
      </c>
      <c r="BW73" s="190">
        <v>133000000</v>
      </c>
      <c r="BX73" s="190">
        <v>133000000</v>
      </c>
      <c r="BY73" s="190">
        <v>113000000</v>
      </c>
      <c r="BZ73" s="190">
        <v>0</v>
      </c>
      <c r="CA73" s="190">
        <v>25000000</v>
      </c>
      <c r="CB73" s="190">
        <v>0</v>
      </c>
      <c r="CC73" s="190">
        <v>8000000</v>
      </c>
      <c r="CD73" s="190">
        <v>0</v>
      </c>
      <c r="CE73" s="190">
        <v>0</v>
      </c>
      <c r="CF73" s="190"/>
      <c r="CG73" s="190"/>
      <c r="CH73" s="190"/>
      <c r="CI73" s="190"/>
      <c r="CJ73" s="190"/>
      <c r="CK73" s="190"/>
      <c r="CL73" s="190"/>
    </row>
    <row r="74" spans="1:90" x14ac:dyDescent="0.25">
      <c r="A74" s="128" t="s">
        <v>77</v>
      </c>
      <c r="B74" s="190">
        <v>561827763.47000003</v>
      </c>
      <c r="C74" s="190">
        <v>543657475.20000005</v>
      </c>
      <c r="D74" s="190">
        <v>521986544.94</v>
      </c>
      <c r="E74" s="190">
        <v>547193421.73000002</v>
      </c>
      <c r="F74" s="190">
        <v>498649551.37</v>
      </c>
      <c r="G74" s="190">
        <v>523216022.29000002</v>
      </c>
      <c r="H74" s="190">
        <v>505349306.13999999</v>
      </c>
      <c r="I74" s="190">
        <v>546556001.24000001</v>
      </c>
      <c r="J74" s="190">
        <v>568906811.58000004</v>
      </c>
      <c r="K74" s="190">
        <v>491858735.13</v>
      </c>
      <c r="L74" s="190">
        <v>470856423.44</v>
      </c>
      <c r="M74" s="190">
        <v>515269996.10000002</v>
      </c>
      <c r="N74" s="190">
        <v>589604349.63999999</v>
      </c>
      <c r="O74" s="190">
        <v>753901825.37</v>
      </c>
      <c r="P74" s="190">
        <v>683348751.82000005</v>
      </c>
      <c r="Q74" s="190">
        <v>721341641.86000001</v>
      </c>
      <c r="R74" s="190">
        <v>734369709.38999999</v>
      </c>
      <c r="S74" s="190">
        <v>684458405.54999995</v>
      </c>
      <c r="T74" s="190">
        <v>670958104.64999998</v>
      </c>
      <c r="U74" s="190">
        <v>542220194.88999999</v>
      </c>
      <c r="V74" s="190">
        <v>601101575.14999998</v>
      </c>
      <c r="W74" s="190">
        <v>462651496.30000001</v>
      </c>
      <c r="X74" s="190">
        <v>502575426.82999998</v>
      </c>
      <c r="Y74" s="190">
        <v>456973115.51999998</v>
      </c>
      <c r="Z74" s="190">
        <v>403274000.18000001</v>
      </c>
      <c r="AA74" s="190">
        <v>288338753.61000001</v>
      </c>
      <c r="AB74" s="190">
        <v>283853133.02999997</v>
      </c>
      <c r="AC74" s="190">
        <v>215243421.41999999</v>
      </c>
      <c r="AD74" s="190">
        <v>144628877.05000001</v>
      </c>
      <c r="AE74" s="190">
        <v>148631837.62</v>
      </c>
      <c r="AF74" s="190">
        <v>179173918.36000001</v>
      </c>
      <c r="AG74" s="190">
        <v>145257282.15000001</v>
      </c>
      <c r="AH74" s="190">
        <v>117748762.08</v>
      </c>
      <c r="AI74" s="190">
        <v>123287054.05</v>
      </c>
      <c r="AJ74" s="190">
        <v>127266835.53</v>
      </c>
      <c r="AK74" s="190">
        <v>112878394.56999999</v>
      </c>
      <c r="AL74" s="190">
        <v>12872447.6</v>
      </c>
      <c r="AM74" s="190">
        <v>10215730.93</v>
      </c>
      <c r="AN74" s="190">
        <v>12166271.050000001</v>
      </c>
      <c r="AO74" s="190">
        <v>16700877.960000001</v>
      </c>
      <c r="AP74" s="190">
        <v>10686271.640000001</v>
      </c>
      <c r="AQ74" s="190">
        <v>13643759.439999999</v>
      </c>
      <c r="AR74" s="190">
        <v>14061090.66</v>
      </c>
      <c r="AS74" s="190">
        <v>16529830.199999999</v>
      </c>
      <c r="AT74" s="190">
        <v>37592517.210000001</v>
      </c>
      <c r="AU74" s="190">
        <v>10055255.49</v>
      </c>
      <c r="AV74" s="190">
        <v>10781416.24</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v>0</v>
      </c>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1128951.76</v>
      </c>
      <c r="U75" s="190">
        <v>1128951.76</v>
      </c>
      <c r="V75" s="190">
        <v>7940687.6900000004</v>
      </c>
      <c r="W75" s="190">
        <v>7940687.6900000004</v>
      </c>
      <c r="X75" s="190">
        <v>15148906.35</v>
      </c>
      <c r="Y75" s="190">
        <v>15148906.35</v>
      </c>
      <c r="Z75" s="190">
        <v>15614936.289999999</v>
      </c>
      <c r="AA75" s="190">
        <v>15614936.289999999</v>
      </c>
      <c r="AB75" s="190">
        <v>29869441.34</v>
      </c>
      <c r="AC75" s="190">
        <v>29869441.34</v>
      </c>
      <c r="AD75" s="190">
        <v>41757441.640000001</v>
      </c>
      <c r="AE75" s="190">
        <v>57687502.840000004</v>
      </c>
      <c r="AF75" s="190">
        <v>59034400.310000002</v>
      </c>
      <c r="AG75" s="190">
        <v>59034400.310000002</v>
      </c>
      <c r="AH75" s="190">
        <v>52671019.520000003</v>
      </c>
      <c r="AI75" s="190">
        <v>52671019.520000003</v>
      </c>
      <c r="AJ75" s="190">
        <v>64832948.149999999</v>
      </c>
      <c r="AK75" s="190">
        <v>64832948.149999999</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v>0</v>
      </c>
      <c r="CF75" s="190"/>
      <c r="CG75" s="190"/>
      <c r="CH75" s="190"/>
      <c r="CI75" s="190"/>
      <c r="CJ75" s="190"/>
      <c r="CK75" s="190"/>
      <c r="CL75" s="190"/>
    </row>
    <row r="76" spans="1:90" x14ac:dyDescent="0.25">
      <c r="A76" s="128" t="s">
        <v>54</v>
      </c>
      <c r="B76" s="190">
        <v>12814722193.059999</v>
      </c>
      <c r="C76" s="190">
        <v>15165390878.24</v>
      </c>
      <c r="D76" s="190">
        <v>13156865648.57</v>
      </c>
      <c r="E76" s="190">
        <v>13982335372.85</v>
      </c>
      <c r="F76" s="190">
        <v>10780469956.879999</v>
      </c>
      <c r="G76" s="190">
        <v>10234030300.49</v>
      </c>
      <c r="H76" s="190">
        <v>9183415692.7000008</v>
      </c>
      <c r="I76" s="190">
        <v>8677076281.2000008</v>
      </c>
      <c r="J76" s="190">
        <v>6859191572.3500004</v>
      </c>
      <c r="K76" s="190">
        <v>6848785939.6599998</v>
      </c>
      <c r="L76" s="190">
        <v>8972891985.7099991</v>
      </c>
      <c r="M76" s="190">
        <v>11081202105.790001</v>
      </c>
      <c r="N76" s="190">
        <v>11160967540.280001</v>
      </c>
      <c r="O76" s="190">
        <v>11726723028.120001</v>
      </c>
      <c r="P76" s="190">
        <v>12752497691.780001</v>
      </c>
      <c r="Q76" s="190">
        <v>12324182271.65</v>
      </c>
      <c r="R76" s="190">
        <v>10311858761.389999</v>
      </c>
      <c r="S76" s="190">
        <v>7579410927.4200001</v>
      </c>
      <c r="T76" s="190">
        <v>5228408795.0100002</v>
      </c>
      <c r="U76" s="190">
        <v>5435253769.4200001</v>
      </c>
      <c r="V76" s="190">
        <v>3903478699.6399999</v>
      </c>
      <c r="W76" s="190">
        <v>7008794042.7299995</v>
      </c>
      <c r="X76" s="190">
        <v>6623805678.3800001</v>
      </c>
      <c r="Y76" s="190">
        <v>10454638109.790001</v>
      </c>
      <c r="Z76" s="190">
        <v>6717544676.0699997</v>
      </c>
      <c r="AA76" s="190">
        <v>8007226217.8999996</v>
      </c>
      <c r="AB76" s="190">
        <v>8315512891.2600002</v>
      </c>
      <c r="AC76" s="190">
        <v>6188012891.2600002</v>
      </c>
      <c r="AD76" s="190">
        <v>5259235830.8900003</v>
      </c>
      <c r="AE76" s="190">
        <v>3140896908.1900001</v>
      </c>
      <c r="AF76" s="190">
        <v>2619122666.1799998</v>
      </c>
      <c r="AG76" s="190">
        <v>3343767666.1799998</v>
      </c>
      <c r="AH76" s="190">
        <v>2868473003.0500002</v>
      </c>
      <c r="AI76" s="190">
        <v>2886914407.5300002</v>
      </c>
      <c r="AJ76" s="190">
        <v>2736875062.8800001</v>
      </c>
      <c r="AK76" s="190">
        <v>3342403837.46</v>
      </c>
      <c r="AL76" s="190">
        <v>315000000</v>
      </c>
      <c r="AM76" s="190">
        <v>541000000</v>
      </c>
      <c r="AN76" s="190">
        <v>625000000</v>
      </c>
      <c r="AO76" s="190">
        <v>803000000</v>
      </c>
      <c r="AP76" s="190">
        <v>253500000</v>
      </c>
      <c r="AQ76" s="190">
        <v>448500000</v>
      </c>
      <c r="AR76" s="190">
        <v>650000000</v>
      </c>
      <c r="AS76" s="190">
        <v>839020000</v>
      </c>
      <c r="AT76" s="190">
        <v>206000000</v>
      </c>
      <c r="AU76" s="190">
        <v>373500000</v>
      </c>
      <c r="AV76" s="190">
        <v>538000000</v>
      </c>
      <c r="AW76" s="190">
        <v>633000000</v>
      </c>
      <c r="AX76" s="190">
        <v>210550000</v>
      </c>
      <c r="AY76" s="190">
        <v>310550000</v>
      </c>
      <c r="AZ76" s="190">
        <v>678860000</v>
      </c>
      <c r="BA76" s="190">
        <v>710860000</v>
      </c>
      <c r="BB76" s="190">
        <v>482985632.75999999</v>
      </c>
      <c r="BC76" s="190">
        <v>617985632.75999999</v>
      </c>
      <c r="BD76" s="190">
        <v>721946047.75999999</v>
      </c>
      <c r="BE76" s="190">
        <v>741946047.75999999</v>
      </c>
      <c r="BF76" s="190">
        <v>539711278</v>
      </c>
      <c r="BG76" s="190">
        <v>552211278</v>
      </c>
      <c r="BH76" s="190">
        <v>161120000</v>
      </c>
      <c r="BI76" s="190">
        <v>415991700</v>
      </c>
      <c r="BJ76" s="190">
        <v>60350000</v>
      </c>
      <c r="BK76" s="190">
        <v>242581028</v>
      </c>
      <c r="BL76" s="190">
        <v>195350000</v>
      </c>
      <c r="BM76" s="190">
        <v>484052012</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112734467481.95001</v>
      </c>
      <c r="F81" s="28">
        <f t="shared" ref="F81:BQ81" si="16">SUM(F82:F85)</f>
        <v>116048757829.75</v>
      </c>
      <c r="G81" s="28">
        <f t="shared" si="16"/>
        <v>114795545461.17</v>
      </c>
      <c r="H81" s="28">
        <f t="shared" si="16"/>
        <v>112012890202.62</v>
      </c>
      <c r="I81" s="28">
        <f t="shared" si="16"/>
        <v>108832540369.11</v>
      </c>
      <c r="J81" s="28">
        <f t="shared" si="16"/>
        <v>108812246521.71001</v>
      </c>
      <c r="K81" s="28">
        <f t="shared" si="16"/>
        <v>105670736608.42</v>
      </c>
      <c r="L81" s="28">
        <f t="shared" si="16"/>
        <v>99630355623.919998</v>
      </c>
      <c r="M81" s="28">
        <f t="shared" si="16"/>
        <v>96575993873.570007</v>
      </c>
      <c r="N81" s="28">
        <f t="shared" si="16"/>
        <v>98872820284.51001</v>
      </c>
      <c r="O81" s="28">
        <f t="shared" si="16"/>
        <v>100343884460.14</v>
      </c>
      <c r="P81" s="28">
        <f t="shared" si="16"/>
        <v>100752121196.98</v>
      </c>
      <c r="Q81" s="28">
        <f t="shared" si="16"/>
        <v>100478237931.8</v>
      </c>
      <c r="R81" s="28">
        <f t="shared" si="16"/>
        <v>103419063769.48999</v>
      </c>
      <c r="S81" s="28">
        <f t="shared" si="16"/>
        <v>104126947038.18001</v>
      </c>
      <c r="T81" s="28">
        <f t="shared" si="16"/>
        <v>106660355722.98001</v>
      </c>
      <c r="U81" s="28">
        <f t="shared" si="16"/>
        <v>101110978693.61</v>
      </c>
      <c r="V81" s="28">
        <f t="shared" si="16"/>
        <v>99702113543.970016</v>
      </c>
      <c r="W81" s="28">
        <f t="shared" si="16"/>
        <v>94999807499.330002</v>
      </c>
      <c r="X81" s="28">
        <f t="shared" si="16"/>
        <v>94310271948.73999</v>
      </c>
      <c r="Y81" s="28">
        <f t="shared" si="16"/>
        <v>86837431829.389999</v>
      </c>
      <c r="Z81" s="28">
        <f t="shared" si="16"/>
        <v>85066499693.850006</v>
      </c>
      <c r="AA81" s="28">
        <f t="shared" si="16"/>
        <v>77639713836.930008</v>
      </c>
      <c r="AB81" s="28">
        <f t="shared" si="16"/>
        <v>72686504295.730011</v>
      </c>
      <c r="AC81" s="28">
        <f t="shared" si="16"/>
        <v>74828045491.919998</v>
      </c>
      <c r="AD81" s="28">
        <f t="shared" si="16"/>
        <v>67051965026.169998</v>
      </c>
      <c r="AE81" s="28">
        <f t="shared" si="16"/>
        <v>68763465501.320007</v>
      </c>
      <c r="AF81" s="28">
        <f t="shared" si="16"/>
        <v>68174580500.250008</v>
      </c>
      <c r="AG81" s="28">
        <f t="shared" si="16"/>
        <v>61517153796.029999</v>
      </c>
      <c r="AH81" s="28">
        <f t="shared" si="16"/>
        <v>58834576672.220001</v>
      </c>
      <c r="AI81" s="28">
        <f t="shared" si="16"/>
        <v>57540253200.220001</v>
      </c>
      <c r="AJ81" s="28">
        <f t="shared" si="16"/>
        <v>54985643593.769997</v>
      </c>
      <c r="AK81" s="28">
        <f t="shared" si="16"/>
        <v>50083311593.769997</v>
      </c>
      <c r="AL81" s="28">
        <f t="shared" si="16"/>
        <v>8264441233.9099998</v>
      </c>
      <c r="AM81" s="28">
        <f t="shared" si="16"/>
        <v>8055883906.8699999</v>
      </c>
      <c r="AN81" s="28">
        <f t="shared" si="16"/>
        <v>8157790036.7399998</v>
      </c>
      <c r="AO81" s="28">
        <f t="shared" si="16"/>
        <v>7747160000</v>
      </c>
      <c r="AP81" s="28">
        <f t="shared" si="16"/>
        <v>8108660000</v>
      </c>
      <c r="AQ81" s="28">
        <f t="shared" si="16"/>
        <v>8005160000</v>
      </c>
      <c r="AR81" s="28">
        <f t="shared" si="16"/>
        <v>7892160000</v>
      </c>
      <c r="AS81" s="28">
        <f t="shared" si="16"/>
        <v>7539160000</v>
      </c>
      <c r="AT81" s="28">
        <f t="shared" si="16"/>
        <v>8138180000</v>
      </c>
      <c r="AU81" s="28">
        <f t="shared" si="16"/>
        <v>7888180000</v>
      </c>
      <c r="AV81" s="28">
        <f t="shared" si="16"/>
        <v>7833180000</v>
      </c>
      <c r="AW81" s="28">
        <f t="shared" si="16"/>
        <v>7606230000</v>
      </c>
      <c r="AX81" s="28">
        <f t="shared" si="16"/>
        <v>4870586265.6300001</v>
      </c>
      <c r="AY81" s="28">
        <f t="shared" si="16"/>
        <v>4630616044.3800001</v>
      </c>
      <c r="AZ81" s="28">
        <f t="shared" si="16"/>
        <v>4501159430</v>
      </c>
      <c r="BA81" s="28">
        <f t="shared" si="16"/>
        <v>4501180000</v>
      </c>
      <c r="BB81" s="28">
        <f t="shared" si="16"/>
        <v>4378823961.3400002</v>
      </c>
      <c r="BC81" s="28">
        <f t="shared" si="16"/>
        <v>4397680000</v>
      </c>
      <c r="BD81" s="28">
        <f t="shared" si="16"/>
        <v>4587760865.3199997</v>
      </c>
      <c r="BE81" s="28">
        <f t="shared" si="16"/>
        <v>4502040000</v>
      </c>
      <c r="BF81" s="28">
        <f t="shared" si="16"/>
        <v>4751505643.6999998</v>
      </c>
      <c r="BG81" s="28">
        <f t="shared" si="16"/>
        <v>4879485643.6999998</v>
      </c>
      <c r="BH81" s="28">
        <f t="shared" si="16"/>
        <v>2297167839.6399999</v>
      </c>
      <c r="BI81" s="28">
        <f t="shared" si="16"/>
        <v>2052706139.6400001</v>
      </c>
      <c r="BJ81" s="28">
        <f t="shared" si="16"/>
        <v>2397608977.4699998</v>
      </c>
      <c r="BK81" s="28">
        <f t="shared" si="16"/>
        <v>2245788301.2399998</v>
      </c>
      <c r="BL81" s="28">
        <f t="shared" si="16"/>
        <v>2510236394.5700002</v>
      </c>
      <c r="BM81" s="28">
        <f t="shared" si="16"/>
        <v>2247470535.29</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105000000</v>
      </c>
      <c r="CB81" s="28">
        <f t="shared" si="17"/>
        <v>0</v>
      </c>
      <c r="CC81" s="28">
        <f t="shared" si="17"/>
        <v>107655628</v>
      </c>
      <c r="CD81" s="28">
        <f t="shared" si="17"/>
        <v>700000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115873776112.75</v>
      </c>
      <c r="C82" s="190">
        <v>112414087118.27</v>
      </c>
      <c r="D82" s="190">
        <v>112054712106</v>
      </c>
      <c r="E82" s="190">
        <v>108886781273.88</v>
      </c>
      <c r="F82" s="190">
        <v>112173486946.41</v>
      </c>
      <c r="G82" s="190">
        <v>110827283297.09</v>
      </c>
      <c r="H82" s="190">
        <v>107298671372.42</v>
      </c>
      <c r="I82" s="190">
        <v>103535495021.13</v>
      </c>
      <c r="J82" s="190">
        <v>104553611173.14</v>
      </c>
      <c r="K82" s="190">
        <v>101140590926.67999</v>
      </c>
      <c r="L82" s="190">
        <v>94752389519.789993</v>
      </c>
      <c r="M82" s="190">
        <v>91631988256.75</v>
      </c>
      <c r="N82" s="190">
        <v>95260584706.690002</v>
      </c>
      <c r="O82" s="190">
        <v>96405000152.220001</v>
      </c>
      <c r="P82" s="190">
        <v>96931660353.899994</v>
      </c>
      <c r="Q82" s="190">
        <v>96828216270.979996</v>
      </c>
      <c r="R82" s="190">
        <v>99371696994.119995</v>
      </c>
      <c r="S82" s="190">
        <v>100308934236.3</v>
      </c>
      <c r="T82" s="190">
        <v>102888043019.88</v>
      </c>
      <c r="U82" s="190">
        <v>99300648619.880005</v>
      </c>
      <c r="V82" s="190">
        <v>98558305658.050003</v>
      </c>
      <c r="W82" s="190">
        <v>92861604745.610001</v>
      </c>
      <c r="X82" s="190">
        <v>89793670425.179993</v>
      </c>
      <c r="Y82" s="190">
        <v>81855710056.630005</v>
      </c>
      <c r="Z82" s="190">
        <v>79337134015.600006</v>
      </c>
      <c r="AA82" s="190">
        <v>71795688584.210007</v>
      </c>
      <c r="AB82" s="190">
        <v>67306621553.040001</v>
      </c>
      <c r="AC82" s="190">
        <v>70005048948.509995</v>
      </c>
      <c r="AD82" s="190">
        <v>63979833023.980003</v>
      </c>
      <c r="AE82" s="190">
        <v>65546070815.260002</v>
      </c>
      <c r="AF82" s="190">
        <v>65177197887.290001</v>
      </c>
      <c r="AG82" s="190">
        <v>61404632431.769997</v>
      </c>
      <c r="AH82" s="190">
        <v>58834576672.220001</v>
      </c>
      <c r="AI82" s="190">
        <v>57540253200.220001</v>
      </c>
      <c r="AJ82" s="190">
        <v>54985643593.769997</v>
      </c>
      <c r="AK82" s="190">
        <v>50083311593.769997</v>
      </c>
      <c r="AL82" s="190">
        <v>8264441233.9099998</v>
      </c>
      <c r="AM82" s="190">
        <v>8055883906.8699999</v>
      </c>
      <c r="AN82" s="190">
        <v>8157790036.7399998</v>
      </c>
      <c r="AO82" s="190">
        <v>7747160000</v>
      </c>
      <c r="AP82" s="190">
        <v>8108660000</v>
      </c>
      <c r="AQ82" s="190">
        <v>8005160000</v>
      </c>
      <c r="AR82" s="190">
        <v>7892160000</v>
      </c>
      <c r="AS82" s="190">
        <v>7539160000</v>
      </c>
      <c r="AT82" s="190">
        <v>8138180000</v>
      </c>
      <c r="AU82" s="190">
        <v>7888180000</v>
      </c>
      <c r="AV82" s="190">
        <v>7833180000</v>
      </c>
      <c r="AW82" s="190">
        <v>7606230000</v>
      </c>
      <c r="AX82" s="190">
        <v>4870586265.6300001</v>
      </c>
      <c r="AY82" s="190">
        <v>4630616044.3800001</v>
      </c>
      <c r="AZ82" s="190">
        <v>4501159430</v>
      </c>
      <c r="BA82" s="190">
        <v>4501180000</v>
      </c>
      <c r="BB82" s="190">
        <v>4378823961.3400002</v>
      </c>
      <c r="BC82" s="190">
        <v>4397680000</v>
      </c>
      <c r="BD82" s="190">
        <v>4586260865.3199997</v>
      </c>
      <c r="BE82" s="190">
        <v>4502040000</v>
      </c>
      <c r="BF82" s="190">
        <v>4751505643.6999998</v>
      </c>
      <c r="BG82" s="190">
        <v>4879485643.6999998</v>
      </c>
      <c r="BH82" s="190">
        <v>2297167839.6399999</v>
      </c>
      <c r="BI82" s="190">
        <v>2052706139.6400001</v>
      </c>
      <c r="BJ82" s="190">
        <v>2397608977.4699998</v>
      </c>
      <c r="BK82" s="190">
        <v>2245788301.2399998</v>
      </c>
      <c r="BL82" s="190">
        <v>2510236394.5700002</v>
      </c>
      <c r="BM82" s="190">
        <v>2247470535.29</v>
      </c>
      <c r="BN82" s="190">
        <v>0</v>
      </c>
      <c r="BO82" s="190">
        <v>0</v>
      </c>
      <c r="BP82" s="190">
        <v>0</v>
      </c>
      <c r="BQ82" s="190">
        <v>0</v>
      </c>
      <c r="BR82" s="190">
        <v>0</v>
      </c>
      <c r="BS82" s="190">
        <v>0</v>
      </c>
      <c r="BT82" s="190">
        <v>0</v>
      </c>
      <c r="BU82" s="190">
        <v>0</v>
      </c>
      <c r="BV82" s="190">
        <v>0</v>
      </c>
      <c r="BW82" s="190">
        <v>0</v>
      </c>
      <c r="BX82" s="190">
        <v>0</v>
      </c>
      <c r="BY82" s="190">
        <v>0</v>
      </c>
      <c r="BZ82" s="190">
        <v>0</v>
      </c>
      <c r="CA82" s="190">
        <v>105000000</v>
      </c>
      <c r="CB82" s="190">
        <v>0</v>
      </c>
      <c r="CC82" s="190">
        <v>101000000</v>
      </c>
      <c r="CD82" s="190">
        <v>0</v>
      </c>
      <c r="CE82" s="190">
        <v>0</v>
      </c>
      <c r="CF82" s="190"/>
      <c r="CG82" s="190"/>
      <c r="CH82" s="190"/>
      <c r="CI82" s="190"/>
      <c r="CJ82" s="190"/>
      <c r="CK82" s="190"/>
      <c r="CL82" s="190"/>
    </row>
    <row r="83" spans="1:90" x14ac:dyDescent="0.25">
      <c r="A83" s="128" t="s">
        <v>58</v>
      </c>
      <c r="B83" s="190">
        <v>2200000000</v>
      </c>
      <c r="C83" s="190">
        <v>2200000000</v>
      </c>
      <c r="D83" s="190">
        <v>3000000000</v>
      </c>
      <c r="E83" s="190">
        <v>3000000000</v>
      </c>
      <c r="F83" s="190">
        <v>3000000000</v>
      </c>
      <c r="G83" s="190">
        <v>3000000000</v>
      </c>
      <c r="H83" s="190">
        <v>3000000000</v>
      </c>
      <c r="I83" s="190">
        <v>3000000000</v>
      </c>
      <c r="J83" s="190">
        <v>1800000000</v>
      </c>
      <c r="K83" s="190">
        <v>1800000000</v>
      </c>
      <c r="L83" s="190">
        <v>1800000000</v>
      </c>
      <c r="M83" s="190">
        <v>1800000000</v>
      </c>
      <c r="N83" s="190">
        <v>1800000000</v>
      </c>
      <c r="O83" s="190">
        <v>1800000000</v>
      </c>
      <c r="P83" s="190">
        <v>1800000000</v>
      </c>
      <c r="Q83" s="190">
        <v>1800000000</v>
      </c>
      <c r="R83" s="190">
        <v>1800000000</v>
      </c>
      <c r="S83" s="190">
        <v>1800000000</v>
      </c>
      <c r="T83" s="190">
        <v>1800000000</v>
      </c>
      <c r="U83" s="190">
        <v>0</v>
      </c>
      <c r="V83" s="190">
        <v>0</v>
      </c>
      <c r="W83" s="190">
        <v>773499399.33000004</v>
      </c>
      <c r="X83" s="190">
        <v>2971354579.2199998</v>
      </c>
      <c r="Y83" s="190">
        <v>3227911651.6700001</v>
      </c>
      <c r="Z83" s="190">
        <v>3214769998.5500002</v>
      </c>
      <c r="AA83" s="190">
        <v>3186126119.9099998</v>
      </c>
      <c r="AB83" s="190">
        <v>3157484081.23</v>
      </c>
      <c r="AC83" s="190">
        <v>3128700635.1199999</v>
      </c>
      <c r="AD83" s="190">
        <v>2936673941.9499998</v>
      </c>
      <c r="AE83" s="190">
        <v>2911877561.5</v>
      </c>
      <c r="AF83" s="190">
        <v>2887081181.0500002</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c r="CF83" s="190"/>
      <c r="CG83" s="190"/>
      <c r="CH83" s="190"/>
      <c r="CI83" s="190"/>
      <c r="CJ83" s="190"/>
      <c r="CK83" s="190"/>
      <c r="CL83" s="190"/>
    </row>
    <row r="84" spans="1:90" x14ac:dyDescent="0.25">
      <c r="A84" s="128" t="s">
        <v>59</v>
      </c>
      <c r="B84" s="190">
        <v>729420389.90999997</v>
      </c>
      <c r="C84" s="190">
        <v>832382626.53999996</v>
      </c>
      <c r="D84" s="190">
        <v>820496662.36000001</v>
      </c>
      <c r="E84" s="190">
        <v>847686208.07000005</v>
      </c>
      <c r="F84" s="190">
        <v>875270883.34000003</v>
      </c>
      <c r="G84" s="190">
        <v>968262164.08000004</v>
      </c>
      <c r="H84" s="190">
        <v>1714218830.2</v>
      </c>
      <c r="I84" s="190">
        <v>2297045347.98</v>
      </c>
      <c r="J84" s="190">
        <v>2458635348.5700002</v>
      </c>
      <c r="K84" s="190">
        <v>2730145681.7399998</v>
      </c>
      <c r="L84" s="190">
        <v>3077966104.1300001</v>
      </c>
      <c r="M84" s="190">
        <v>3144005616.8200002</v>
      </c>
      <c r="N84" s="190">
        <v>1812235577.8199999</v>
      </c>
      <c r="O84" s="190">
        <v>2138884307.9200001</v>
      </c>
      <c r="P84" s="190">
        <v>2020460843.0799999</v>
      </c>
      <c r="Q84" s="190">
        <v>1850021660.8199999</v>
      </c>
      <c r="R84" s="190">
        <v>2155377570.6900001</v>
      </c>
      <c r="S84" s="190">
        <v>1926063858.6700001</v>
      </c>
      <c r="T84" s="190">
        <v>1861643684.97</v>
      </c>
      <c r="U84" s="190">
        <v>1696049321.55</v>
      </c>
      <c r="V84" s="190">
        <v>1036607638.1</v>
      </c>
      <c r="W84" s="190">
        <v>1254463648.2</v>
      </c>
      <c r="X84" s="190">
        <v>1437225000.78</v>
      </c>
      <c r="Y84" s="190">
        <v>1642554084.8900001</v>
      </c>
      <c r="Z84" s="190">
        <v>2412412765.5900002</v>
      </c>
      <c r="AA84" s="190">
        <v>2553054932.1599998</v>
      </c>
      <c r="AB84" s="190">
        <v>2114813174.27</v>
      </c>
      <c r="AC84" s="190">
        <v>1583969134.5699999</v>
      </c>
      <c r="AD84" s="190">
        <v>0</v>
      </c>
      <c r="AE84" s="190">
        <v>198000000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v>0</v>
      </c>
      <c r="BV84" s="190">
        <v>0</v>
      </c>
      <c r="BW84" s="190">
        <v>0</v>
      </c>
      <c r="BX84" s="190">
        <v>0</v>
      </c>
      <c r="BY84" s="190">
        <v>0</v>
      </c>
      <c r="BZ84" s="190">
        <v>0</v>
      </c>
      <c r="CA84" s="190">
        <v>0</v>
      </c>
      <c r="CB84" s="190">
        <v>0</v>
      </c>
      <c r="CC84" s="190">
        <v>6655628</v>
      </c>
      <c r="CD84" s="190">
        <v>0</v>
      </c>
      <c r="CE84" s="190">
        <v>0</v>
      </c>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91989204.680000007</v>
      </c>
      <c r="S85" s="190">
        <v>91948943.209999993</v>
      </c>
      <c r="T85" s="190">
        <v>110669018.13</v>
      </c>
      <c r="U85" s="190">
        <v>114280752.18000001</v>
      </c>
      <c r="V85" s="190">
        <v>107200247.81999999</v>
      </c>
      <c r="W85" s="190">
        <v>110239706.19</v>
      </c>
      <c r="X85" s="190">
        <v>108021943.56</v>
      </c>
      <c r="Y85" s="190">
        <v>111256036.2</v>
      </c>
      <c r="Z85" s="190">
        <v>102182914.11</v>
      </c>
      <c r="AA85" s="190">
        <v>104844200.65000001</v>
      </c>
      <c r="AB85" s="190">
        <v>107585487.19</v>
      </c>
      <c r="AC85" s="190">
        <v>110326773.72</v>
      </c>
      <c r="AD85" s="190">
        <v>135458060.24000001</v>
      </c>
      <c r="AE85" s="190">
        <v>107517124.56</v>
      </c>
      <c r="AF85" s="190">
        <v>110301431.91</v>
      </c>
      <c r="AG85" s="190">
        <v>112521364.26000001</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1500000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190">
        <v>0</v>
      </c>
      <c r="CA85" s="190">
        <v>0</v>
      </c>
      <c r="CB85" s="190">
        <v>0</v>
      </c>
      <c r="CC85" s="190">
        <v>0</v>
      </c>
      <c r="CD85" s="190">
        <v>700000</v>
      </c>
      <c r="CE85" s="190">
        <v>0</v>
      </c>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137936952395.62</v>
      </c>
      <c r="C89" s="33">
        <f>SUM(C73:C85)</f>
        <v>137389504851.64</v>
      </c>
      <c r="D89" s="33">
        <f>SUM(D73:D85)</f>
        <v>134545546961.87</v>
      </c>
      <c r="E89" s="33">
        <f>E72+E81</f>
        <v>132005266454.61002</v>
      </c>
      <c r="F89" s="33">
        <f t="shared" ref="F89:BQ89" si="18">F72+F81</f>
        <v>133317834415.88</v>
      </c>
      <c r="G89" s="33">
        <f t="shared" si="18"/>
        <v>131292851804.45</v>
      </c>
      <c r="H89" s="33">
        <f t="shared" si="18"/>
        <v>127571243650</v>
      </c>
      <c r="I89" s="33">
        <f t="shared" si="18"/>
        <v>125974074247.99001</v>
      </c>
      <c r="J89" s="33">
        <f t="shared" si="18"/>
        <v>123673278493.73001</v>
      </c>
      <c r="K89" s="33">
        <f t="shared" si="18"/>
        <v>123890413628.85001</v>
      </c>
      <c r="L89" s="33">
        <f t="shared" si="18"/>
        <v>118075104033.07001</v>
      </c>
      <c r="M89" s="33">
        <f t="shared" si="18"/>
        <v>116193465975.46001</v>
      </c>
      <c r="N89" s="33">
        <f t="shared" si="18"/>
        <v>116050132474.43001</v>
      </c>
      <c r="O89" s="33">
        <f t="shared" si="18"/>
        <v>116988149613.63</v>
      </c>
      <c r="P89" s="33">
        <f t="shared" si="18"/>
        <v>116821627486.50999</v>
      </c>
      <c r="Q89" s="33">
        <f t="shared" si="18"/>
        <v>117969330450.48001</v>
      </c>
      <c r="R89" s="33">
        <f t="shared" si="18"/>
        <v>119919185297.60999</v>
      </c>
      <c r="S89" s="33">
        <f t="shared" si="18"/>
        <v>119844023765.16</v>
      </c>
      <c r="T89" s="33">
        <f t="shared" si="18"/>
        <v>119274311045.56001</v>
      </c>
      <c r="U89" s="33">
        <f t="shared" si="18"/>
        <v>113940755294.97</v>
      </c>
      <c r="V89" s="33">
        <f t="shared" si="18"/>
        <v>111084052639.14001</v>
      </c>
      <c r="W89" s="33">
        <f t="shared" si="18"/>
        <v>111332188248.96001</v>
      </c>
      <c r="X89" s="33">
        <f t="shared" si="18"/>
        <v>111021470315.53999</v>
      </c>
      <c r="Y89" s="33">
        <f t="shared" si="18"/>
        <v>106968681981.24001</v>
      </c>
      <c r="Z89" s="33">
        <f t="shared" si="18"/>
        <v>103900703165.55</v>
      </c>
      <c r="AA89" s="33">
        <f t="shared" si="18"/>
        <v>99273161655.060013</v>
      </c>
      <c r="AB89" s="33">
        <f t="shared" si="18"/>
        <v>94487685758.560013</v>
      </c>
      <c r="AC89" s="33">
        <f t="shared" si="18"/>
        <v>94292459934.269989</v>
      </c>
      <c r="AD89" s="33">
        <f t="shared" si="18"/>
        <v>84380055578.039993</v>
      </c>
      <c r="AE89" s="33">
        <f t="shared" si="18"/>
        <v>83566682206.26001</v>
      </c>
      <c r="AF89" s="33">
        <f t="shared" si="18"/>
        <v>82265997954.630005</v>
      </c>
      <c r="AG89" s="33">
        <f t="shared" si="18"/>
        <v>77227010693.669998</v>
      </c>
      <c r="AH89" s="33">
        <f t="shared" si="18"/>
        <v>73819205531.600006</v>
      </c>
      <c r="AI89" s="33">
        <f t="shared" si="18"/>
        <v>70987754659.220001</v>
      </c>
      <c r="AJ89" s="33">
        <f t="shared" si="18"/>
        <v>68071784304.360001</v>
      </c>
      <c r="AK89" s="33">
        <f t="shared" si="18"/>
        <v>65745750712.239998</v>
      </c>
      <c r="AL89" s="33">
        <f t="shared" si="18"/>
        <v>10886943681.51</v>
      </c>
      <c r="AM89" s="33">
        <f t="shared" si="18"/>
        <v>10684099637.799999</v>
      </c>
      <c r="AN89" s="33">
        <f t="shared" si="18"/>
        <v>10907956307.790001</v>
      </c>
      <c r="AO89" s="33">
        <f t="shared" si="18"/>
        <v>10812150877.959999</v>
      </c>
      <c r="AP89" s="33">
        <f t="shared" si="18"/>
        <v>10627846271.639999</v>
      </c>
      <c r="AQ89" s="33">
        <f t="shared" si="18"/>
        <v>10412303759.440001</v>
      </c>
      <c r="AR89" s="33">
        <f t="shared" si="18"/>
        <v>10120721090.66</v>
      </c>
      <c r="AS89" s="33">
        <f t="shared" si="18"/>
        <v>9973009830.2000008</v>
      </c>
      <c r="AT89" s="33">
        <f t="shared" si="18"/>
        <v>9689972517.2099991</v>
      </c>
      <c r="AU89" s="33">
        <f t="shared" si="18"/>
        <v>10324735255.49</v>
      </c>
      <c r="AV89" s="33">
        <f t="shared" si="18"/>
        <v>10577161416.24</v>
      </c>
      <c r="AW89" s="33">
        <f t="shared" si="18"/>
        <v>10203230000</v>
      </c>
      <c r="AX89" s="33">
        <f t="shared" si="18"/>
        <v>5786136265.6300001</v>
      </c>
      <c r="AY89" s="33">
        <f t="shared" si="18"/>
        <v>5766166044.3800001</v>
      </c>
      <c r="AZ89" s="33">
        <f t="shared" si="18"/>
        <v>5827019430</v>
      </c>
      <c r="BA89" s="33">
        <f t="shared" si="18"/>
        <v>5869040000</v>
      </c>
      <c r="BB89" s="33">
        <f t="shared" si="18"/>
        <v>5758809594.1000004</v>
      </c>
      <c r="BC89" s="33">
        <f t="shared" si="18"/>
        <v>5792665632.7600002</v>
      </c>
      <c r="BD89" s="33">
        <f t="shared" si="18"/>
        <v>6036706913.0799999</v>
      </c>
      <c r="BE89" s="33">
        <f t="shared" si="18"/>
        <v>5980986047.7600002</v>
      </c>
      <c r="BF89" s="33">
        <f t="shared" si="18"/>
        <v>5868216921.6999998</v>
      </c>
      <c r="BG89" s="33">
        <f t="shared" si="18"/>
        <v>5978696921.6999998</v>
      </c>
      <c r="BH89" s="33">
        <f t="shared" si="18"/>
        <v>2958287839.6399999</v>
      </c>
      <c r="BI89" s="33">
        <f t="shared" si="18"/>
        <v>2608697839.6400003</v>
      </c>
      <c r="BJ89" s="33">
        <f t="shared" si="18"/>
        <v>2577958977.4699998</v>
      </c>
      <c r="BK89" s="33">
        <f t="shared" si="18"/>
        <v>2618369329.2399998</v>
      </c>
      <c r="BL89" s="33">
        <f t="shared" si="18"/>
        <v>2865586394.5700002</v>
      </c>
      <c r="BM89" s="33">
        <f t="shared" si="18"/>
        <v>2891522547.29</v>
      </c>
      <c r="BN89" s="33">
        <f t="shared" si="18"/>
        <v>0</v>
      </c>
      <c r="BO89" s="33">
        <f t="shared" si="18"/>
        <v>0</v>
      </c>
      <c r="BP89" s="33">
        <f t="shared" si="18"/>
        <v>0</v>
      </c>
      <c r="BQ89" s="33">
        <f t="shared" si="18"/>
        <v>0</v>
      </c>
      <c r="BR89" s="33">
        <f t="shared" ref="BR89:CK89" si="19">BR72+BR81</f>
        <v>12000000</v>
      </c>
      <c r="BS89" s="33">
        <f t="shared" si="19"/>
        <v>75000000</v>
      </c>
      <c r="BT89" s="33">
        <f t="shared" si="19"/>
        <v>103000000</v>
      </c>
      <c r="BU89" s="33">
        <f t="shared" si="19"/>
        <v>162000000</v>
      </c>
      <c r="BV89" s="33">
        <f t="shared" si="19"/>
        <v>163000000</v>
      </c>
      <c r="BW89" s="33">
        <f t="shared" si="19"/>
        <v>133000000</v>
      </c>
      <c r="BX89" s="33">
        <f t="shared" si="19"/>
        <v>133000000</v>
      </c>
      <c r="BY89" s="33">
        <f t="shared" si="19"/>
        <v>113000000</v>
      </c>
      <c r="BZ89" s="33">
        <f t="shared" si="19"/>
        <v>0</v>
      </c>
      <c r="CA89" s="33">
        <f t="shared" si="19"/>
        <v>130000000</v>
      </c>
      <c r="CB89" s="33">
        <f t="shared" si="19"/>
        <v>0</v>
      </c>
      <c r="CC89" s="33">
        <f t="shared" si="19"/>
        <v>115655628</v>
      </c>
      <c r="CD89" s="33">
        <f t="shared" si="19"/>
        <v>700000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6786023347</v>
      </c>
      <c r="C91" s="190">
        <v>6786023347</v>
      </c>
      <c r="D91" s="190">
        <v>6786023347</v>
      </c>
      <c r="E91" s="190">
        <v>6786023347</v>
      </c>
      <c r="F91" s="190">
        <v>6786023347</v>
      </c>
      <c r="G91" s="190">
        <v>6786023347</v>
      </c>
      <c r="H91" s="190">
        <v>6786023347</v>
      </c>
      <c r="I91" s="190">
        <v>6786023347</v>
      </c>
      <c r="J91" s="190">
        <v>6786023347</v>
      </c>
      <c r="K91" s="190">
        <v>6786023347</v>
      </c>
      <c r="L91" s="190">
        <v>6786023347</v>
      </c>
      <c r="M91" s="190">
        <v>6786023347</v>
      </c>
      <c r="N91" s="190">
        <v>6786023347</v>
      </c>
      <c r="O91" s="190">
        <v>6786023347</v>
      </c>
      <c r="P91" s="190">
        <v>6786023347</v>
      </c>
      <c r="Q91" s="190">
        <v>6786023347</v>
      </c>
      <c r="R91" s="190">
        <v>6786023347</v>
      </c>
      <c r="S91" s="190">
        <v>6786023347</v>
      </c>
      <c r="T91" s="190">
        <v>6786023347</v>
      </c>
      <c r="U91" s="190">
        <v>6786023347</v>
      </c>
      <c r="V91" s="190">
        <v>6786023347</v>
      </c>
      <c r="W91" s="190">
        <v>6515830323</v>
      </c>
      <c r="X91" s="190">
        <v>3587577747</v>
      </c>
      <c r="Y91" s="190">
        <v>3520295539</v>
      </c>
      <c r="Z91" s="190">
        <v>3517654407</v>
      </c>
      <c r="AA91" s="190">
        <v>3517654407</v>
      </c>
      <c r="AB91" s="190">
        <v>2345102751</v>
      </c>
      <c r="AC91" s="190">
        <v>2345102751</v>
      </c>
      <c r="AD91" s="190">
        <v>1995101102</v>
      </c>
      <c r="AE91" s="190">
        <v>1995101102</v>
      </c>
      <c r="AF91" s="190">
        <v>1995101102</v>
      </c>
      <c r="AG91" s="190">
        <v>1995101102</v>
      </c>
      <c r="AH91" s="190">
        <v>1995101102</v>
      </c>
      <c r="AI91" s="190">
        <v>1995101102</v>
      </c>
      <c r="AJ91" s="190">
        <v>1995101102</v>
      </c>
      <c r="AK91" s="190">
        <v>1995101102</v>
      </c>
      <c r="AL91" s="190">
        <v>1054628336</v>
      </c>
      <c r="AM91" s="190">
        <v>1054628336</v>
      </c>
      <c r="AN91" s="190">
        <v>1054628336</v>
      </c>
      <c r="AO91" s="190">
        <v>1054628336</v>
      </c>
      <c r="AP91" s="190">
        <v>1054628336</v>
      </c>
      <c r="AQ91" s="190">
        <v>1054628336</v>
      </c>
      <c r="AR91" s="190">
        <v>1054628336</v>
      </c>
      <c r="AS91" s="190">
        <v>1054628336</v>
      </c>
      <c r="AT91" s="190">
        <v>1054628336</v>
      </c>
      <c r="AU91" s="190">
        <v>813491652</v>
      </c>
      <c r="AV91" s="190">
        <v>813491652</v>
      </c>
      <c r="AW91" s="190">
        <v>813491652</v>
      </c>
      <c r="AX91" s="190">
        <v>813491652</v>
      </c>
      <c r="AY91" s="190">
        <v>563491652</v>
      </c>
      <c r="AZ91" s="190">
        <v>563491652</v>
      </c>
      <c r="BA91" s="190">
        <v>563491652</v>
      </c>
      <c r="BB91" s="190">
        <v>563491652</v>
      </c>
      <c r="BC91" s="190">
        <v>563491652</v>
      </c>
      <c r="BD91" s="190">
        <v>563491652</v>
      </c>
      <c r="BE91" s="190">
        <v>563491652</v>
      </c>
      <c r="BF91" s="190">
        <v>563491652</v>
      </c>
      <c r="BG91" s="190">
        <v>281745826</v>
      </c>
      <c r="BH91" s="190">
        <v>281745826</v>
      </c>
      <c r="BI91" s="190">
        <v>281745826</v>
      </c>
      <c r="BJ91" s="190">
        <v>281745826</v>
      </c>
      <c r="BK91" s="190">
        <v>281745826</v>
      </c>
      <c r="BL91" s="190">
        <v>281745826</v>
      </c>
      <c r="BM91" s="190">
        <v>281745826</v>
      </c>
      <c r="BN91" s="190">
        <v>281745826</v>
      </c>
      <c r="BO91" s="190">
        <v>281745826</v>
      </c>
      <c r="BP91" s="190">
        <v>281745826</v>
      </c>
      <c r="BQ91" s="190">
        <v>281745826</v>
      </c>
      <c r="BR91" s="190">
        <v>281745826</v>
      </c>
      <c r="BS91" s="190">
        <v>281745826</v>
      </c>
      <c r="BT91" s="190">
        <v>281745826</v>
      </c>
      <c r="BU91" s="190">
        <v>281745826</v>
      </c>
      <c r="BV91" s="190">
        <v>281745826</v>
      </c>
      <c r="BW91" s="190">
        <v>281745826</v>
      </c>
      <c r="BX91" s="190">
        <v>244996372</v>
      </c>
      <c r="BY91" s="190">
        <v>122498186</v>
      </c>
      <c r="BZ91" s="190">
        <v>122498186</v>
      </c>
      <c r="CA91" s="190">
        <v>122498186</v>
      </c>
      <c r="CB91" s="190">
        <v>87498704</v>
      </c>
      <c r="CC91" s="190">
        <v>58332469</v>
      </c>
      <c r="CD91" s="190">
        <v>58332469</v>
      </c>
      <c r="CE91" s="190">
        <v>0</v>
      </c>
      <c r="CF91" s="190"/>
      <c r="CG91" s="190"/>
      <c r="CH91" s="190"/>
      <c r="CI91" s="190"/>
      <c r="CJ91" s="190"/>
      <c r="CK91" s="190"/>
      <c r="CL91" s="190"/>
    </row>
    <row r="92" spans="1:90" x14ac:dyDescent="0.25">
      <c r="A92" s="128" t="s">
        <v>63</v>
      </c>
      <c r="B92" s="190">
        <v>6471321166.9300003</v>
      </c>
      <c r="C92" s="190">
        <v>6471216171.6999998</v>
      </c>
      <c r="D92" s="190">
        <v>6471156236.0100002</v>
      </c>
      <c r="E92" s="190">
        <v>6471153550.6000004</v>
      </c>
      <c r="F92" s="190">
        <v>6471132092.4799995</v>
      </c>
      <c r="G92" s="190">
        <v>6471132092.4799995</v>
      </c>
      <c r="H92" s="190">
        <v>6471132058.3699999</v>
      </c>
      <c r="I92" s="190">
        <v>6471132058.3699999</v>
      </c>
      <c r="J92" s="190">
        <v>6472370008.5699997</v>
      </c>
      <c r="K92" s="190">
        <v>6469407705.8400002</v>
      </c>
      <c r="L92" s="190">
        <v>6469407705.8400002</v>
      </c>
      <c r="M92" s="190">
        <v>6469407705.8400002</v>
      </c>
      <c r="N92" s="190">
        <v>6460524925.4399996</v>
      </c>
      <c r="O92" s="190">
        <v>6460444751.7200003</v>
      </c>
      <c r="P92" s="190">
        <v>6460197683.5299997</v>
      </c>
      <c r="Q92" s="190">
        <v>6460197683.5299997</v>
      </c>
      <c r="R92" s="190">
        <v>6459998538.4200001</v>
      </c>
      <c r="S92" s="190">
        <v>6392383708.4700003</v>
      </c>
      <c r="T92" s="190">
        <v>6392544711.79</v>
      </c>
      <c r="U92" s="190">
        <v>6392544711.79</v>
      </c>
      <c r="V92" s="190">
        <v>6389358715.2299995</v>
      </c>
      <c r="W92" s="190">
        <v>5897720590</v>
      </c>
      <c r="X92" s="190">
        <v>6593718826.4499998</v>
      </c>
      <c r="Y92" s="190">
        <v>6472555223.6800003</v>
      </c>
      <c r="Z92" s="190">
        <v>6519321555.1000004</v>
      </c>
      <c r="AA92" s="190">
        <v>6597080000.2399998</v>
      </c>
      <c r="AB92" s="190">
        <v>7763329284.9799995</v>
      </c>
      <c r="AC92" s="190">
        <v>8312000264.9799995</v>
      </c>
      <c r="AD92" s="190">
        <v>6044519588.4799995</v>
      </c>
      <c r="AE92" s="190">
        <v>6037478501.4300003</v>
      </c>
      <c r="AF92" s="190">
        <v>6024194638.0299997</v>
      </c>
      <c r="AG92" s="190">
        <v>5693765333.4899998</v>
      </c>
      <c r="AH92" s="190">
        <v>5640270047.8100004</v>
      </c>
      <c r="AI92" s="190">
        <v>5640270047.8100004</v>
      </c>
      <c r="AJ92" s="190">
        <v>5634894475.3500004</v>
      </c>
      <c r="AK92" s="190">
        <v>6406796544.8800001</v>
      </c>
      <c r="AL92" s="190">
        <v>2401290494.0999999</v>
      </c>
      <c r="AM92" s="190">
        <v>2401290494.0999999</v>
      </c>
      <c r="AN92" s="190">
        <v>2398550694.0999999</v>
      </c>
      <c r="AO92" s="190">
        <v>2398550694.0999999</v>
      </c>
      <c r="AP92" s="190">
        <v>2398550694.0999999</v>
      </c>
      <c r="AQ92" s="190">
        <v>2398550694.0999999</v>
      </c>
      <c r="AR92" s="190">
        <v>2398550694.0999999</v>
      </c>
      <c r="AS92" s="190">
        <v>2454537768.5500002</v>
      </c>
      <c r="AT92" s="190">
        <v>2474846210.6900001</v>
      </c>
      <c r="AU92" s="190">
        <v>1400250172.71</v>
      </c>
      <c r="AV92" s="190">
        <v>1400250172.71</v>
      </c>
      <c r="AW92" s="190">
        <v>1400250172.71</v>
      </c>
      <c r="AX92" s="190">
        <v>1400851342.4300001</v>
      </c>
      <c r="AY92" s="190">
        <v>219570598.87</v>
      </c>
      <c r="AZ92" s="190">
        <v>219570598.87</v>
      </c>
      <c r="BA92" s="190">
        <v>219570598.87</v>
      </c>
      <c r="BB92" s="190">
        <v>219584678.87</v>
      </c>
      <c r="BC92" s="190">
        <v>219570598.87</v>
      </c>
      <c r="BD92" s="190">
        <v>218910598.87</v>
      </c>
      <c r="BE92" s="190">
        <v>218910598.87</v>
      </c>
      <c r="BF92" s="190">
        <v>218910598.87</v>
      </c>
      <c r="BG92" s="190">
        <v>500656424.87</v>
      </c>
      <c r="BH92" s="190">
        <v>500539004.87</v>
      </c>
      <c r="BI92" s="190">
        <v>500539004.87</v>
      </c>
      <c r="BJ92" s="190">
        <v>500539004.87</v>
      </c>
      <c r="BK92" s="190">
        <v>500539004.87</v>
      </c>
      <c r="BL92" s="190">
        <v>506052421.48000002</v>
      </c>
      <c r="BM92" s="190">
        <v>506052421.48000002</v>
      </c>
      <c r="BN92" s="190">
        <v>506052421.48000002</v>
      </c>
      <c r="BO92" s="190">
        <v>506052421.48000002</v>
      </c>
      <c r="BP92" s="190">
        <v>506052421.48000002</v>
      </c>
      <c r="BQ92" s="190">
        <v>506052421.48000002</v>
      </c>
      <c r="BR92" s="190">
        <v>506052421.48000002</v>
      </c>
      <c r="BS92" s="190">
        <v>505925721.48000002</v>
      </c>
      <c r="BT92" s="190">
        <v>505925721.48000002</v>
      </c>
      <c r="BU92" s="190">
        <v>505925721.48000002</v>
      </c>
      <c r="BV92" s="190">
        <v>505925721.48000002</v>
      </c>
      <c r="BW92" s="190">
        <v>505925721.48000002</v>
      </c>
      <c r="BX92" s="190">
        <v>2631265.48</v>
      </c>
      <c r="BY92" s="190">
        <v>2631265.48</v>
      </c>
      <c r="BZ92" s="190">
        <v>2631265.48</v>
      </c>
      <c r="CA92" s="190">
        <v>2631265.48</v>
      </c>
      <c r="CB92" s="190">
        <v>20131006.48</v>
      </c>
      <c r="CC92" s="190">
        <v>20131006.48</v>
      </c>
      <c r="CD92" s="190">
        <v>20131006.48</v>
      </c>
      <c r="CE92" s="190">
        <v>0</v>
      </c>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152689666.56999999</v>
      </c>
      <c r="C94" s="190">
        <v>133905640.73999999</v>
      </c>
      <c r="D94" s="190">
        <v>120920628.78</v>
      </c>
      <c r="E94" s="190">
        <v>96655882.670000002</v>
      </c>
      <c r="F94" s="190">
        <v>72308056.340000004</v>
      </c>
      <c r="G94" s="190">
        <v>69925961.090000004</v>
      </c>
      <c r="H94" s="190">
        <v>76419573.489999995</v>
      </c>
      <c r="I94" s="190">
        <v>83393743.780000001</v>
      </c>
      <c r="J94" s="190">
        <v>-9016658.6899999995</v>
      </c>
      <c r="K94" s="190">
        <v>-24414036.800000001</v>
      </c>
      <c r="L94" s="190">
        <v>0</v>
      </c>
      <c r="M94" s="190">
        <v>0</v>
      </c>
      <c r="N94" s="190">
        <v>49082.63</v>
      </c>
      <c r="O94" s="190">
        <v>49082.63</v>
      </c>
      <c r="P94" s="190">
        <v>-96188.479999999996</v>
      </c>
      <c r="Q94" s="190">
        <v>-96188.479999999996</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1395573887.72</v>
      </c>
      <c r="C96" s="190">
        <v>1395573887.72</v>
      </c>
      <c r="D96" s="190">
        <v>1395573887.72</v>
      </c>
      <c r="E96" s="190">
        <v>1395573887.72</v>
      </c>
      <c r="F96" s="190">
        <v>1067139169.8200001</v>
      </c>
      <c r="G96" s="190">
        <v>1067139169.8200001</v>
      </c>
      <c r="H96" s="190">
        <v>1067139169.8200001</v>
      </c>
      <c r="I96" s="190">
        <v>1067139169.8200001</v>
      </c>
      <c r="J96" s="190">
        <v>812214844.86000001</v>
      </c>
      <c r="K96" s="190">
        <v>812214844.86000001</v>
      </c>
      <c r="L96" s="190">
        <v>812214844.86000001</v>
      </c>
      <c r="M96" s="190">
        <v>812214844.86000001</v>
      </c>
      <c r="N96" s="190">
        <v>517146088.36000001</v>
      </c>
      <c r="O96" s="190">
        <v>517146088.36000001</v>
      </c>
      <c r="P96" s="190">
        <v>517146088.36000001</v>
      </c>
      <c r="Q96" s="190">
        <v>517146088.36000001</v>
      </c>
      <c r="R96" s="190">
        <v>397929893.52999997</v>
      </c>
      <c r="S96" s="190">
        <v>399949756.94999999</v>
      </c>
      <c r="T96" s="190">
        <v>399949756.94999999</v>
      </c>
      <c r="U96" s="190">
        <v>399949756.94999999</v>
      </c>
      <c r="V96" s="190">
        <v>300662950.07999998</v>
      </c>
      <c r="W96" s="190">
        <v>300662950.07999998</v>
      </c>
      <c r="X96" s="190">
        <v>300662950.07999998</v>
      </c>
      <c r="Y96" s="190">
        <v>300662950.07999998</v>
      </c>
      <c r="Z96" s="190">
        <v>291643098.06999999</v>
      </c>
      <c r="AA96" s="190">
        <v>291643098.06999999</v>
      </c>
      <c r="AB96" s="190">
        <v>291643098.06999999</v>
      </c>
      <c r="AC96" s="190">
        <v>291643098.06999999</v>
      </c>
      <c r="AD96" s="190">
        <v>291643098.07999998</v>
      </c>
      <c r="AE96" s="190">
        <v>291643098.07999998</v>
      </c>
      <c r="AF96" s="190">
        <v>291643098.07999998</v>
      </c>
      <c r="AG96" s="190">
        <v>291643098.07999998</v>
      </c>
      <c r="AH96" s="190">
        <v>275129069.83999997</v>
      </c>
      <c r="AI96" s="190">
        <v>275129069.83999997</v>
      </c>
      <c r="AJ96" s="190">
        <v>275129069.83999997</v>
      </c>
      <c r="AK96" s="190">
        <v>275129069.83999997</v>
      </c>
      <c r="AL96" s="190">
        <v>239342521.22999999</v>
      </c>
      <c r="AM96" s="190">
        <v>239342521.22999999</v>
      </c>
      <c r="AN96" s="190">
        <v>239342521.22999999</v>
      </c>
      <c r="AO96" s="190">
        <v>239342521.22999999</v>
      </c>
      <c r="AP96" s="190">
        <v>193861169.96000001</v>
      </c>
      <c r="AQ96" s="190">
        <v>193861169.96000001</v>
      </c>
      <c r="AR96" s="190">
        <v>193861169.96000001</v>
      </c>
      <c r="AS96" s="190">
        <v>193861169.96000001</v>
      </c>
      <c r="AT96" s="190">
        <v>165930092.90000001</v>
      </c>
      <c r="AU96" s="190">
        <v>165930092.90000001</v>
      </c>
      <c r="AV96" s="190">
        <v>167003430.66999999</v>
      </c>
      <c r="AW96" s="190">
        <v>230767222.50999999</v>
      </c>
      <c r="AX96" s="190">
        <v>191564696.37</v>
      </c>
      <c r="AY96" s="190">
        <v>191564696.37</v>
      </c>
      <c r="AZ96" s="190">
        <v>191564696.37</v>
      </c>
      <c r="BA96" s="190">
        <v>191564696.37</v>
      </c>
      <c r="BB96" s="190">
        <v>166623390.08000001</v>
      </c>
      <c r="BC96" s="190">
        <v>166623390.08000001</v>
      </c>
      <c r="BD96" s="190">
        <v>136171324.62</v>
      </c>
      <c r="BE96" s="190">
        <v>136171324.62</v>
      </c>
      <c r="BF96" s="190">
        <v>88574714.370000005</v>
      </c>
      <c r="BG96" s="190">
        <v>88574714.370000005</v>
      </c>
      <c r="BH96" s="190">
        <v>88574714.370000005</v>
      </c>
      <c r="BI96" s="190">
        <v>88574714.370000005</v>
      </c>
      <c r="BJ96" s="190">
        <v>45880184.090000004</v>
      </c>
      <c r="BK96" s="190">
        <v>45880184.090000004</v>
      </c>
      <c r="BL96" s="190">
        <v>116539539.09999999</v>
      </c>
      <c r="BM96" s="190">
        <v>116539539.09999999</v>
      </c>
      <c r="BN96" s="190">
        <v>112539069.48</v>
      </c>
      <c r="BO96" s="190">
        <v>112539069.48</v>
      </c>
      <c r="BP96" s="190">
        <v>112539069.48</v>
      </c>
      <c r="BQ96" s="190">
        <v>112539069.48</v>
      </c>
      <c r="BR96" s="190">
        <v>153185287.08000001</v>
      </c>
      <c r="BS96" s="190">
        <v>112539069.48</v>
      </c>
      <c r="BT96" s="190">
        <v>153185287.08000001</v>
      </c>
      <c r="BU96" s="190">
        <v>153185287.08000001</v>
      </c>
      <c r="BV96" s="190">
        <v>130897450.45</v>
      </c>
      <c r="BW96" s="190">
        <v>155004139.22</v>
      </c>
      <c r="BX96" s="190">
        <v>140680046.91999999</v>
      </c>
      <c r="BY96" s="190">
        <v>140680046.91999999</v>
      </c>
      <c r="BZ96" s="190">
        <v>89817909.019999996</v>
      </c>
      <c r="CA96" s="190">
        <v>89817909.019999996</v>
      </c>
      <c r="CB96" s="190">
        <v>28387873.52</v>
      </c>
      <c r="CC96" s="190">
        <v>28387873.52</v>
      </c>
      <c r="CD96" s="190">
        <v>7038294.8200000003</v>
      </c>
      <c r="CE96" s="190">
        <v>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18203224886.07</v>
      </c>
      <c r="C98" s="190">
        <v>16225566899.709999</v>
      </c>
      <c r="D98" s="190">
        <v>16793775373.059999</v>
      </c>
      <c r="E98" s="190">
        <v>15805818418.77</v>
      </c>
      <c r="F98" s="190">
        <v>15854772351.93</v>
      </c>
      <c r="G98" s="190">
        <v>15562759812.76</v>
      </c>
      <c r="H98" s="190">
        <v>15202736931.49</v>
      </c>
      <c r="I98" s="190">
        <v>14272729834.780001</v>
      </c>
      <c r="J98" s="190">
        <v>14020438342.030001</v>
      </c>
      <c r="K98" s="190">
        <v>12097533811.43</v>
      </c>
      <c r="L98" s="190">
        <v>13752003269.74</v>
      </c>
      <c r="M98" s="190">
        <v>12510828619.440001</v>
      </c>
      <c r="N98" s="190">
        <v>11911920147.9</v>
      </c>
      <c r="O98" s="190">
        <v>9825867007.6599998</v>
      </c>
      <c r="P98" s="190">
        <v>10583513192.219999</v>
      </c>
      <c r="Q98" s="190">
        <v>9357384782.9400005</v>
      </c>
      <c r="R98" s="190">
        <v>8521702610.9399996</v>
      </c>
      <c r="S98" s="190">
        <v>5905655669.8500004</v>
      </c>
      <c r="T98" s="190">
        <v>5724061399.3500004</v>
      </c>
      <c r="U98" s="190">
        <v>4881403611.3500004</v>
      </c>
      <c r="V98" s="190">
        <v>4136806835.0999999</v>
      </c>
      <c r="W98" s="190">
        <v>2827644963.9000001</v>
      </c>
      <c r="X98" s="190">
        <v>2464172737.98</v>
      </c>
      <c r="Y98" s="190">
        <v>1993466180.25</v>
      </c>
      <c r="Z98" s="190">
        <v>1632293872.27</v>
      </c>
      <c r="AA98" s="190">
        <v>1060664582.4</v>
      </c>
      <c r="AB98" s="190">
        <v>1011357146.64</v>
      </c>
      <c r="AC98" s="190">
        <v>983713411.76999998</v>
      </c>
      <c r="AD98" s="190">
        <v>1171985489.03</v>
      </c>
      <c r="AE98" s="190">
        <v>1009770339.05</v>
      </c>
      <c r="AF98" s="190">
        <v>908224081.42999995</v>
      </c>
      <c r="AG98" s="190">
        <v>888094039.22000003</v>
      </c>
      <c r="AH98" s="190">
        <v>847222873.74000001</v>
      </c>
      <c r="AI98" s="190">
        <v>672845714.5</v>
      </c>
      <c r="AJ98" s="190">
        <v>602167950.84000003</v>
      </c>
      <c r="AK98" s="190">
        <v>563667939.75</v>
      </c>
      <c r="AL98" s="190">
        <v>282320387.99000001</v>
      </c>
      <c r="AM98" s="190">
        <v>199386644.37</v>
      </c>
      <c r="AN98" s="190">
        <v>468296259.19999999</v>
      </c>
      <c r="AO98" s="190">
        <v>425406985.97000003</v>
      </c>
      <c r="AP98" s="190">
        <v>508185839.54000002</v>
      </c>
      <c r="AQ98" s="190">
        <v>485766573.63999999</v>
      </c>
      <c r="AR98" s="190">
        <v>556928061.27999997</v>
      </c>
      <c r="AS98" s="190">
        <v>483609786.74000001</v>
      </c>
      <c r="AT98" s="190">
        <v>426872068.44</v>
      </c>
      <c r="AU98" s="190">
        <v>300121884.77999997</v>
      </c>
      <c r="AV98" s="190">
        <v>301171350.88</v>
      </c>
      <c r="AW98" s="190">
        <v>683938294.45000005</v>
      </c>
      <c r="AX98" s="190">
        <v>608006940.14999998</v>
      </c>
      <c r="AY98" s="190">
        <v>499254679.17000002</v>
      </c>
      <c r="AZ98" s="190">
        <v>396700232.14999998</v>
      </c>
      <c r="BA98" s="190">
        <v>404369473.94999999</v>
      </c>
      <c r="BB98" s="190">
        <v>666061370.75</v>
      </c>
      <c r="BC98" s="190">
        <v>544781230.94000006</v>
      </c>
      <c r="BD98" s="190">
        <v>537799515.87</v>
      </c>
      <c r="BE98" s="190">
        <v>428568691.87</v>
      </c>
      <c r="BF98" s="190">
        <v>398968274.69</v>
      </c>
      <c r="BG98" s="190">
        <v>327783529.48000002</v>
      </c>
      <c r="BH98" s="190">
        <v>228045888.81</v>
      </c>
      <c r="BI98" s="190">
        <v>158854567.15000001</v>
      </c>
      <c r="BJ98" s="190">
        <v>138769688.41</v>
      </c>
      <c r="BK98" s="190">
        <v>84721301.370000005</v>
      </c>
      <c r="BL98" s="190">
        <v>-32919503.329999998</v>
      </c>
      <c r="BM98" s="190">
        <v>-80173241.239999995</v>
      </c>
      <c r="BN98" s="190">
        <v>-127812995.59999999</v>
      </c>
      <c r="BO98" s="190">
        <v>-105989196.34999999</v>
      </c>
      <c r="BP98" s="190">
        <v>-76039858.829999998</v>
      </c>
      <c r="BQ98" s="190">
        <v>-39628397.740000002</v>
      </c>
      <c r="BR98" s="190">
        <v>11426680.98</v>
      </c>
      <c r="BS98" s="190">
        <v>12903295.939999999</v>
      </c>
      <c r="BT98" s="190">
        <v>-17905804.949999999</v>
      </c>
      <c r="BU98" s="190">
        <v>16520884.529999999</v>
      </c>
      <c r="BV98" s="190">
        <v>-17772880.350000001</v>
      </c>
      <c r="BW98" s="190">
        <v>74715901.629999995</v>
      </c>
      <c r="BX98" s="190">
        <v>125355438.06</v>
      </c>
      <c r="BY98" s="190">
        <v>148817718.41999999</v>
      </c>
      <c r="BZ98" s="190">
        <v>117353216.45999999</v>
      </c>
      <c r="CA98" s="190">
        <v>54459462.350000001</v>
      </c>
      <c r="CB98" s="190">
        <v>50074130.920000002</v>
      </c>
      <c r="CC98" s="190">
        <v>10529167.85</v>
      </c>
      <c r="CD98" s="190">
        <v>38825650.479999997</v>
      </c>
      <c r="CE98" s="190">
        <v>0</v>
      </c>
      <c r="CF98" s="190">
        <v>81321459.170000002</v>
      </c>
      <c r="CG98" s="190">
        <v>12975517.09</v>
      </c>
      <c r="CH98" s="190">
        <v>0</v>
      </c>
      <c r="CI98" s="190">
        <v>0</v>
      </c>
      <c r="CJ98" s="190">
        <v>0</v>
      </c>
      <c r="CK98" s="190">
        <v>0</v>
      </c>
      <c r="CL98" s="190">
        <v>0</v>
      </c>
    </row>
    <row r="99" spans="1:90" x14ac:dyDescent="0.25">
      <c r="A99" s="128" t="s">
        <v>70</v>
      </c>
      <c r="B99" s="190">
        <v>829576232.02999997</v>
      </c>
      <c r="C99" s="190">
        <v>1905011726.53</v>
      </c>
      <c r="D99" s="190">
        <v>1304276.28</v>
      </c>
      <c r="E99" s="190">
        <v>5166347.91</v>
      </c>
      <c r="F99" s="190">
        <v>32296291.800000001</v>
      </c>
      <c r="G99" s="190">
        <v>2030507796.2</v>
      </c>
      <c r="H99" s="190">
        <v>27121628.940000001</v>
      </c>
      <c r="I99" s="190">
        <v>168546628.94</v>
      </c>
      <c r="J99" s="190">
        <v>1180546011.3099999</v>
      </c>
      <c r="K99" s="190">
        <v>3225710217.73</v>
      </c>
      <c r="L99" s="190">
        <v>23920000</v>
      </c>
      <c r="M99" s="190">
        <v>142920000</v>
      </c>
      <c r="N99" s="190">
        <v>1031384852.35</v>
      </c>
      <c r="O99" s="190">
        <v>1991384852.3499999</v>
      </c>
      <c r="P99" s="190">
        <v>81039400</v>
      </c>
      <c r="Q99" s="190">
        <v>156832800</v>
      </c>
      <c r="R99" s="190">
        <v>57957710.259999998</v>
      </c>
      <c r="S99" s="190">
        <v>545138510.25999999</v>
      </c>
      <c r="T99" s="190">
        <v>23089200</v>
      </c>
      <c r="U99" s="190">
        <v>101749200</v>
      </c>
      <c r="V99" s="190">
        <v>50346849.149999999</v>
      </c>
      <c r="W99" s="190">
        <v>50346849.149999999</v>
      </c>
      <c r="X99" s="190">
        <v>247623500</v>
      </c>
      <c r="Y99" s="190">
        <v>477623500</v>
      </c>
      <c r="Z99" s="190">
        <v>364144377.01999998</v>
      </c>
      <c r="AA99" s="190">
        <v>364144377.01999998</v>
      </c>
      <c r="AB99" s="190">
        <v>334046500</v>
      </c>
      <c r="AC99" s="190">
        <v>374046500</v>
      </c>
      <c r="AD99" s="190">
        <v>259708200</v>
      </c>
      <c r="AE99" s="190">
        <v>259658200</v>
      </c>
      <c r="AF99" s="190">
        <v>112012000</v>
      </c>
      <c r="AG99" s="190">
        <v>112012000</v>
      </c>
      <c r="AH99" s="190">
        <v>112012000</v>
      </c>
      <c r="AI99" s="190">
        <v>112012000</v>
      </c>
      <c r="AJ99" s="190">
        <v>255797615.88999999</v>
      </c>
      <c r="AK99" s="190">
        <v>380148703.94999999</v>
      </c>
      <c r="AL99" s="190">
        <v>176163888.06</v>
      </c>
      <c r="AM99" s="190">
        <v>180466088.06</v>
      </c>
      <c r="AN99" s="190">
        <v>126808088.06</v>
      </c>
      <c r="AO99" s="190">
        <v>126808088.06</v>
      </c>
      <c r="AP99" s="190">
        <v>101538088.06</v>
      </c>
      <c r="AQ99" s="190">
        <v>101538088.06</v>
      </c>
      <c r="AR99" s="190">
        <v>101426088.06</v>
      </c>
      <c r="AS99" s="190">
        <v>101426088.06</v>
      </c>
      <c r="AT99" s="190">
        <v>132176088.06</v>
      </c>
      <c r="AU99" s="190">
        <v>162950088.06</v>
      </c>
      <c r="AV99" s="190">
        <v>157491298.96000001</v>
      </c>
      <c r="AW99" s="190">
        <v>182491298.96000001</v>
      </c>
      <c r="AX99" s="190">
        <v>42892902.969999999</v>
      </c>
      <c r="AY99" s="190">
        <v>67492902.969999999</v>
      </c>
      <c r="AZ99" s="190">
        <v>155091914.75999999</v>
      </c>
      <c r="BA99" s="190">
        <v>76690000</v>
      </c>
      <c r="BB99" s="190">
        <v>57144000</v>
      </c>
      <c r="BC99" s="190">
        <v>57144000</v>
      </c>
      <c r="BD99" s="190">
        <v>27144000</v>
      </c>
      <c r="BE99" s="190">
        <v>42544000</v>
      </c>
      <c r="BF99" s="190">
        <v>70494000</v>
      </c>
      <c r="BG99" s="190">
        <v>50494000</v>
      </c>
      <c r="BH99" s="190">
        <v>10250000</v>
      </c>
      <c r="BI99" s="190">
        <v>4250000</v>
      </c>
      <c r="BJ99" s="190">
        <v>0</v>
      </c>
      <c r="BK99" s="190">
        <v>5400000</v>
      </c>
      <c r="BL99" s="190">
        <v>42500000</v>
      </c>
      <c r="BM99" s="190">
        <v>0</v>
      </c>
      <c r="BN99" s="190">
        <v>0</v>
      </c>
      <c r="BO99" s="190">
        <v>0</v>
      </c>
      <c r="BP99" s="190">
        <v>0</v>
      </c>
      <c r="BQ99" s="190">
        <v>0</v>
      </c>
      <c r="BR99" s="190">
        <v>0</v>
      </c>
      <c r="BS99" s="190">
        <v>0</v>
      </c>
      <c r="BT99" s="190">
        <v>0</v>
      </c>
      <c r="BU99" s="190">
        <v>0</v>
      </c>
      <c r="BV99" s="190">
        <v>0</v>
      </c>
      <c r="BW99" s="190">
        <v>0</v>
      </c>
      <c r="BX99" s="190">
        <v>0</v>
      </c>
      <c r="BY99" s="190">
        <v>0</v>
      </c>
      <c r="BZ99" s="190">
        <v>0</v>
      </c>
      <c r="CA99" s="190">
        <v>0</v>
      </c>
      <c r="CB99" s="190">
        <v>0</v>
      </c>
      <c r="CC99" s="190">
        <v>47333882.200000003</v>
      </c>
      <c r="CD99" s="190">
        <v>391690.49</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37008078237.309998</v>
      </c>
      <c r="C102" s="190">
        <v>33011908588.380001</v>
      </c>
      <c r="D102" s="190">
        <v>32067349472.57</v>
      </c>
      <c r="E102" s="190">
        <v>30555225086.759998</v>
      </c>
      <c r="F102" s="190">
        <v>30251375017.57</v>
      </c>
      <c r="G102" s="190">
        <v>29956980383.150002</v>
      </c>
      <c r="H102" s="190">
        <v>29603451080.169998</v>
      </c>
      <c r="I102" s="190">
        <v>28680418153.75</v>
      </c>
      <c r="J102" s="190">
        <v>28082029883.77</v>
      </c>
      <c r="K102" s="190">
        <v>26140765672.330002</v>
      </c>
      <c r="L102" s="190">
        <v>27819649167.439999</v>
      </c>
      <c r="M102" s="190">
        <v>26578474517.139999</v>
      </c>
      <c r="N102" s="190">
        <v>25675663591.330002</v>
      </c>
      <c r="O102" s="190">
        <v>23589530277.369999</v>
      </c>
      <c r="P102" s="190">
        <v>24346784122.630001</v>
      </c>
      <c r="Q102" s="190">
        <v>23120655713.349998</v>
      </c>
      <c r="R102" s="190">
        <v>22165654389.889999</v>
      </c>
      <c r="S102" s="190">
        <v>19484012482.27</v>
      </c>
      <c r="T102" s="190">
        <v>19302579215.09</v>
      </c>
      <c r="U102" s="190">
        <v>18459921427.09</v>
      </c>
      <c r="V102" s="190">
        <v>17612851847.41</v>
      </c>
      <c r="W102" s="190">
        <v>15541858826.98</v>
      </c>
      <c r="X102" s="190">
        <v>12946132261.51</v>
      </c>
      <c r="Y102" s="190">
        <v>12286979893.01</v>
      </c>
      <c r="Z102" s="190">
        <v>11960912932.440001</v>
      </c>
      <c r="AA102" s="190">
        <v>11467042087.709999</v>
      </c>
      <c r="AB102" s="190">
        <v>11411432280.690001</v>
      </c>
      <c r="AC102" s="190">
        <v>11932459525.82</v>
      </c>
      <c r="AD102" s="190">
        <v>9503249277.5900002</v>
      </c>
      <c r="AE102" s="190">
        <v>9333993040.5599995</v>
      </c>
      <c r="AF102" s="190">
        <v>9219162919.5400009</v>
      </c>
      <c r="AG102" s="190">
        <v>8868603572.7900009</v>
      </c>
      <c r="AH102" s="190">
        <v>8757723093.3899994</v>
      </c>
      <c r="AI102" s="190">
        <v>8583345934.1499996</v>
      </c>
      <c r="AJ102" s="190">
        <v>8507292598.0299997</v>
      </c>
      <c r="AK102" s="190">
        <v>9240694656.4699993</v>
      </c>
      <c r="AL102" s="190">
        <v>3977581739.3200002</v>
      </c>
      <c r="AM102" s="190">
        <v>3894647995.6999998</v>
      </c>
      <c r="AN102" s="190">
        <v>4160817810.5300002</v>
      </c>
      <c r="AO102" s="190">
        <v>4117928537.3000002</v>
      </c>
      <c r="AP102" s="190">
        <v>4155226039.5999999</v>
      </c>
      <c r="AQ102" s="190">
        <v>4132806773.6999998</v>
      </c>
      <c r="AR102" s="190">
        <v>4203968261.3400002</v>
      </c>
      <c r="AS102" s="190">
        <v>4186637061.25</v>
      </c>
      <c r="AT102" s="190">
        <v>4122276708.0300002</v>
      </c>
      <c r="AU102" s="190">
        <v>2679793802.3899999</v>
      </c>
      <c r="AV102" s="190">
        <v>2681916606.2600002</v>
      </c>
      <c r="AW102" s="190">
        <v>3128447341.6700001</v>
      </c>
      <c r="AX102" s="190">
        <v>3013914630.9499998</v>
      </c>
      <c r="AY102" s="190">
        <v>1473881626.4100001</v>
      </c>
      <c r="AZ102" s="190">
        <v>1371327179.3900001</v>
      </c>
      <c r="BA102" s="190">
        <v>1378996421.1900001</v>
      </c>
      <c r="BB102" s="190">
        <v>1615761091.7</v>
      </c>
      <c r="BC102" s="190">
        <v>1494466871.8900001</v>
      </c>
      <c r="BD102" s="190">
        <v>1456373091.3599999</v>
      </c>
      <c r="BE102" s="190">
        <v>1347142267.3599999</v>
      </c>
      <c r="BF102" s="190">
        <v>1269945239.9300001</v>
      </c>
      <c r="BG102" s="190">
        <v>1198760494.72</v>
      </c>
      <c r="BH102" s="190">
        <v>1098905434.05</v>
      </c>
      <c r="BI102" s="190">
        <v>1029714112.39</v>
      </c>
      <c r="BJ102" s="190">
        <v>966934703.37</v>
      </c>
      <c r="BK102" s="190">
        <v>912886316.33000004</v>
      </c>
      <c r="BL102" s="190">
        <v>871418283.25</v>
      </c>
      <c r="BM102" s="190">
        <v>824164545.34000003</v>
      </c>
      <c r="BN102" s="190">
        <v>772524321.36000001</v>
      </c>
      <c r="BO102" s="190">
        <v>794348120.61000001</v>
      </c>
      <c r="BP102" s="190">
        <v>824297458.13</v>
      </c>
      <c r="BQ102" s="190">
        <v>860708919.22000003</v>
      </c>
      <c r="BR102" s="190">
        <v>952410215.53999996</v>
      </c>
      <c r="BS102" s="190">
        <v>900210616.96000004</v>
      </c>
      <c r="BT102" s="190">
        <v>922951029.61000001</v>
      </c>
      <c r="BU102" s="190">
        <v>957377719.09000003</v>
      </c>
      <c r="BV102" s="190">
        <v>900796117.58000004</v>
      </c>
      <c r="BW102" s="190">
        <v>1017391588.33</v>
      </c>
      <c r="BX102" s="190">
        <v>513663122.45999998</v>
      </c>
      <c r="BY102" s="190">
        <v>414727216.82999998</v>
      </c>
      <c r="BZ102" s="190">
        <v>332300576.95999998</v>
      </c>
      <c r="CA102" s="190">
        <v>269406822.85000002</v>
      </c>
      <c r="CB102" s="190">
        <v>186091714.91999999</v>
      </c>
      <c r="CC102" s="190">
        <v>117380516.84999999</v>
      </c>
      <c r="CD102" s="190">
        <v>124327420.78</v>
      </c>
      <c r="CE102" s="190">
        <v>0</v>
      </c>
      <c r="CF102" s="190">
        <v>1003922431.86</v>
      </c>
      <c r="CG102" s="190">
        <v>492362941.67000002</v>
      </c>
      <c r="CH102" s="190">
        <v>203800000</v>
      </c>
      <c r="CI102" s="190">
        <v>162870000</v>
      </c>
      <c r="CJ102" s="190">
        <v>92660000</v>
      </c>
      <c r="CK102" s="190">
        <v>75420000</v>
      </c>
      <c r="CL102" s="190">
        <v>0</v>
      </c>
    </row>
    <row r="103" spans="1:90" x14ac:dyDescent="0.25">
      <c r="A103" s="128" t="s">
        <v>73</v>
      </c>
      <c r="B103" s="190">
        <v>31785295504.110001</v>
      </c>
      <c r="C103" s="190">
        <v>29278113551.549999</v>
      </c>
      <c r="D103" s="190">
        <v>31038579128.82</v>
      </c>
      <c r="E103" s="190">
        <v>30152334767.150002</v>
      </c>
      <c r="F103" s="190">
        <v>29341256147.470001</v>
      </c>
      <c r="G103" s="190">
        <v>27045004807.32</v>
      </c>
      <c r="H103" s="190">
        <v>28989264002.259998</v>
      </c>
      <c r="I103" s="190">
        <v>28037360173.380001</v>
      </c>
      <c r="J103" s="190">
        <v>26318449403.25</v>
      </c>
      <c r="K103" s="190">
        <v>23577858638.73</v>
      </c>
      <c r="L103" s="190">
        <v>26042965468.759998</v>
      </c>
      <c r="M103" s="190">
        <v>24811167968.560001</v>
      </c>
      <c r="N103" s="190">
        <v>22533393408.5</v>
      </c>
      <c r="O103" s="190">
        <v>19744767565.619999</v>
      </c>
      <c r="P103" s="190">
        <v>21794065485.810001</v>
      </c>
      <c r="Q103" s="190">
        <v>19595282476.130001</v>
      </c>
      <c r="R103" s="190">
        <v>18097445740.75</v>
      </c>
      <c r="S103" s="190">
        <v>15036789471.01</v>
      </c>
      <c r="T103" s="190">
        <v>15939266001.25</v>
      </c>
      <c r="U103" s="190">
        <v>15273867360.459999</v>
      </c>
      <c r="V103" s="190">
        <v>15025974829.309999</v>
      </c>
      <c r="W103" s="190">
        <v>13559280525.91</v>
      </c>
      <c r="X103" s="190">
        <v>13566873113.66</v>
      </c>
      <c r="Y103" s="190">
        <v>13193059577.02</v>
      </c>
      <c r="Z103" s="190">
        <v>13083855297.74</v>
      </c>
      <c r="AA103" s="190">
        <v>12010285314.32</v>
      </c>
      <c r="AB103" s="190">
        <v>10268441988.1</v>
      </c>
      <c r="AC103" s="190">
        <v>10571364798.950001</v>
      </c>
      <c r="AD103" s="190">
        <v>10460301544.48</v>
      </c>
      <c r="AE103" s="190">
        <v>9437011750.1900005</v>
      </c>
      <c r="AF103" s="190">
        <v>7426421974.6199999</v>
      </c>
      <c r="AG103" s="190">
        <v>7343717100.2200003</v>
      </c>
      <c r="AH103" s="190">
        <v>7133264984.9399996</v>
      </c>
      <c r="AI103" s="190">
        <v>6870449981.8299999</v>
      </c>
      <c r="AJ103" s="190">
        <v>6943976793.9499998</v>
      </c>
      <c r="AK103" s="190">
        <v>7121353885.3500004</v>
      </c>
      <c r="AL103" s="190">
        <v>1807143753.3499999</v>
      </c>
      <c r="AM103" s="190">
        <v>1850585126.98</v>
      </c>
      <c r="AN103" s="190">
        <v>1930995156.3399999</v>
      </c>
      <c r="AO103" s="190">
        <v>1908994475.76</v>
      </c>
      <c r="AP103" s="190">
        <v>1980136204.98</v>
      </c>
      <c r="AQ103" s="190">
        <v>1982237563.4400001</v>
      </c>
      <c r="AR103" s="190">
        <v>2200719135.3400002</v>
      </c>
      <c r="AS103" s="190">
        <v>2235982341.3299999</v>
      </c>
      <c r="AT103" s="190">
        <v>2149090347.3499999</v>
      </c>
      <c r="AU103" s="190">
        <v>1973309429.8299999</v>
      </c>
      <c r="AV103" s="190">
        <v>2057272901.48</v>
      </c>
      <c r="AW103" s="190">
        <v>1998839923.02</v>
      </c>
      <c r="AX103" s="190">
        <v>1252835369.0699999</v>
      </c>
      <c r="AY103" s="190">
        <v>1273254907.79</v>
      </c>
      <c r="AZ103" s="190">
        <v>1112788509.0999999</v>
      </c>
      <c r="BA103" s="190">
        <v>1125624484.1700001</v>
      </c>
      <c r="BB103" s="190">
        <v>1210553845.1800001</v>
      </c>
      <c r="BC103" s="190">
        <v>1133695282.8599999</v>
      </c>
      <c r="BD103" s="190">
        <v>1133851371.4200001</v>
      </c>
      <c r="BE103" s="190">
        <v>1059168793.29</v>
      </c>
      <c r="BF103" s="190">
        <v>1006824001.92</v>
      </c>
      <c r="BG103" s="190">
        <v>1009594614.7</v>
      </c>
      <c r="BH103" s="190">
        <v>581467216.55999994</v>
      </c>
      <c r="BI103" s="190">
        <v>597970630.86000001</v>
      </c>
      <c r="BJ103" s="190">
        <v>587012811.07000005</v>
      </c>
      <c r="BK103" s="190">
        <v>554305544.27999997</v>
      </c>
      <c r="BL103" s="190">
        <v>539321604.21000004</v>
      </c>
      <c r="BM103" s="190">
        <v>552562081.29999995</v>
      </c>
      <c r="BN103" s="190">
        <v>0</v>
      </c>
      <c r="BO103" s="190">
        <v>0</v>
      </c>
      <c r="BP103" s="190">
        <v>0</v>
      </c>
      <c r="BQ103" s="190">
        <v>0</v>
      </c>
      <c r="BR103" s="190">
        <v>0</v>
      </c>
      <c r="BS103" s="190">
        <v>0</v>
      </c>
      <c r="BT103" s="190">
        <v>0</v>
      </c>
      <c r="BU103" s="190">
        <v>0</v>
      </c>
      <c r="BV103" s="190">
        <v>0</v>
      </c>
      <c r="BW103" s="190">
        <v>0</v>
      </c>
      <c r="BX103" s="190">
        <v>0</v>
      </c>
      <c r="BY103" s="190">
        <v>0</v>
      </c>
      <c r="BZ103" s="190">
        <v>0</v>
      </c>
      <c r="CA103" s="190">
        <v>0</v>
      </c>
      <c r="CB103" s="190">
        <v>0</v>
      </c>
      <c r="CC103" s="190">
        <v>0</v>
      </c>
      <c r="CD103" s="190">
        <v>0</v>
      </c>
      <c r="CE103" s="190">
        <v>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68793373741.419998</v>
      </c>
      <c r="C107" s="33">
        <f>C102+C103</f>
        <v>62290022139.93</v>
      </c>
      <c r="D107" s="33">
        <f>D102+D103</f>
        <v>63105928601.389999</v>
      </c>
      <c r="E107" s="33">
        <f>E102+E103</f>
        <v>60707559853.910004</v>
      </c>
      <c r="F107" s="33">
        <f t="shared" ref="F107:BQ107" si="20">F102+F103</f>
        <v>59592631165.040001</v>
      </c>
      <c r="G107" s="33">
        <f t="shared" si="20"/>
        <v>57001985190.470001</v>
      </c>
      <c r="H107" s="33">
        <f t="shared" si="20"/>
        <v>58592715082.429993</v>
      </c>
      <c r="I107" s="33">
        <f t="shared" si="20"/>
        <v>56717778327.130005</v>
      </c>
      <c r="J107" s="33">
        <f t="shared" si="20"/>
        <v>54400479287.020004</v>
      </c>
      <c r="K107" s="33">
        <f t="shared" si="20"/>
        <v>49718624311.059998</v>
      </c>
      <c r="L107" s="33">
        <f t="shared" si="20"/>
        <v>53862614636.199997</v>
      </c>
      <c r="M107" s="33">
        <f t="shared" si="20"/>
        <v>51389642485.699997</v>
      </c>
      <c r="N107" s="33">
        <f t="shared" si="20"/>
        <v>48209056999.830002</v>
      </c>
      <c r="O107" s="33">
        <f t="shared" si="20"/>
        <v>43334297842.989998</v>
      </c>
      <c r="P107" s="33">
        <f t="shared" si="20"/>
        <v>46140849608.440002</v>
      </c>
      <c r="Q107" s="33">
        <f t="shared" si="20"/>
        <v>42715938189.479996</v>
      </c>
      <c r="R107" s="33">
        <f t="shared" si="20"/>
        <v>40263100130.639999</v>
      </c>
      <c r="S107" s="33">
        <f t="shared" si="20"/>
        <v>34520801953.279999</v>
      </c>
      <c r="T107" s="33">
        <f t="shared" si="20"/>
        <v>35241845216.339996</v>
      </c>
      <c r="U107" s="33">
        <f t="shared" si="20"/>
        <v>33733788787.549999</v>
      </c>
      <c r="V107" s="33">
        <f t="shared" si="20"/>
        <v>32638826676.720001</v>
      </c>
      <c r="W107" s="33">
        <f t="shared" si="20"/>
        <v>29101139352.889999</v>
      </c>
      <c r="X107" s="33">
        <f t="shared" si="20"/>
        <v>26513005375.169998</v>
      </c>
      <c r="Y107" s="33">
        <f t="shared" si="20"/>
        <v>25480039470.029999</v>
      </c>
      <c r="Z107" s="33">
        <f t="shared" si="20"/>
        <v>25044768230.18</v>
      </c>
      <c r="AA107" s="33">
        <f t="shared" si="20"/>
        <v>23477327402.029999</v>
      </c>
      <c r="AB107" s="33">
        <f t="shared" si="20"/>
        <v>21679874268.790001</v>
      </c>
      <c r="AC107" s="33">
        <f t="shared" si="20"/>
        <v>22503824324.77</v>
      </c>
      <c r="AD107" s="33">
        <f t="shared" si="20"/>
        <v>19963550822.07</v>
      </c>
      <c r="AE107" s="33">
        <f t="shared" si="20"/>
        <v>18771004790.75</v>
      </c>
      <c r="AF107" s="33">
        <f t="shared" si="20"/>
        <v>16645584894.16</v>
      </c>
      <c r="AG107" s="33">
        <f t="shared" si="20"/>
        <v>16212320673.010002</v>
      </c>
      <c r="AH107" s="33">
        <f t="shared" si="20"/>
        <v>15890988078.329998</v>
      </c>
      <c r="AI107" s="33">
        <f t="shared" si="20"/>
        <v>15453795915.98</v>
      </c>
      <c r="AJ107" s="33">
        <f t="shared" si="20"/>
        <v>15451269391.98</v>
      </c>
      <c r="AK107" s="33">
        <f t="shared" si="20"/>
        <v>16362048541.82</v>
      </c>
      <c r="AL107" s="33">
        <f t="shared" si="20"/>
        <v>5784725492.6700001</v>
      </c>
      <c r="AM107" s="33">
        <f t="shared" si="20"/>
        <v>5745233122.6800003</v>
      </c>
      <c r="AN107" s="33">
        <f t="shared" si="20"/>
        <v>6091812966.8699999</v>
      </c>
      <c r="AO107" s="33">
        <f t="shared" si="20"/>
        <v>6026923013.0600004</v>
      </c>
      <c r="AP107" s="33">
        <f t="shared" si="20"/>
        <v>6135362244.5799999</v>
      </c>
      <c r="AQ107" s="33">
        <f t="shared" si="20"/>
        <v>6115044337.1399994</v>
      </c>
      <c r="AR107" s="33">
        <f t="shared" si="20"/>
        <v>6404687396.6800003</v>
      </c>
      <c r="AS107" s="33">
        <f t="shared" si="20"/>
        <v>6422619402.5799999</v>
      </c>
      <c r="AT107" s="33">
        <f t="shared" si="20"/>
        <v>6271367055.3800001</v>
      </c>
      <c r="AU107" s="33">
        <f t="shared" si="20"/>
        <v>4653103232.2199993</v>
      </c>
      <c r="AV107" s="33">
        <f t="shared" si="20"/>
        <v>4739189507.7399998</v>
      </c>
      <c r="AW107" s="33">
        <f t="shared" si="20"/>
        <v>5127287264.6900005</v>
      </c>
      <c r="AX107" s="33">
        <f t="shared" si="20"/>
        <v>4266750000.0199995</v>
      </c>
      <c r="AY107" s="33">
        <f t="shared" si="20"/>
        <v>2747136534.1999998</v>
      </c>
      <c r="AZ107" s="33">
        <f t="shared" si="20"/>
        <v>2484115688.4899998</v>
      </c>
      <c r="BA107" s="33">
        <f t="shared" si="20"/>
        <v>2504620905.3600001</v>
      </c>
      <c r="BB107" s="33">
        <f t="shared" si="20"/>
        <v>2826314936.8800001</v>
      </c>
      <c r="BC107" s="33">
        <f t="shared" si="20"/>
        <v>2628162154.75</v>
      </c>
      <c r="BD107" s="33">
        <f t="shared" si="20"/>
        <v>2590224462.7799997</v>
      </c>
      <c r="BE107" s="33">
        <f t="shared" si="20"/>
        <v>2406311060.6499996</v>
      </c>
      <c r="BF107" s="33">
        <f t="shared" si="20"/>
        <v>2276769241.8499999</v>
      </c>
      <c r="BG107" s="33">
        <f t="shared" si="20"/>
        <v>2208355109.4200001</v>
      </c>
      <c r="BH107" s="33">
        <f t="shared" si="20"/>
        <v>1680372650.6099999</v>
      </c>
      <c r="BI107" s="33">
        <f t="shared" si="20"/>
        <v>1627684743.25</v>
      </c>
      <c r="BJ107" s="33">
        <f t="shared" si="20"/>
        <v>1553947514.4400001</v>
      </c>
      <c r="BK107" s="33">
        <f t="shared" si="20"/>
        <v>1467191860.6100001</v>
      </c>
      <c r="BL107" s="33">
        <f t="shared" si="20"/>
        <v>1410739887.46</v>
      </c>
      <c r="BM107" s="33">
        <f t="shared" si="20"/>
        <v>1376726626.6399999</v>
      </c>
      <c r="BN107" s="33">
        <f t="shared" si="20"/>
        <v>772524321.36000001</v>
      </c>
      <c r="BO107" s="33">
        <f t="shared" si="20"/>
        <v>794348120.61000001</v>
      </c>
      <c r="BP107" s="33">
        <f t="shared" si="20"/>
        <v>824297458.13</v>
      </c>
      <c r="BQ107" s="33">
        <f t="shared" si="20"/>
        <v>860708919.22000003</v>
      </c>
      <c r="BR107" s="33">
        <f t="shared" ref="BR107:CK107" si="21">BR102+BR103</f>
        <v>952410215.53999996</v>
      </c>
      <c r="BS107" s="33">
        <f t="shared" si="21"/>
        <v>900210616.96000004</v>
      </c>
      <c r="BT107" s="33">
        <f t="shared" si="21"/>
        <v>922951029.61000001</v>
      </c>
      <c r="BU107" s="33">
        <f t="shared" si="21"/>
        <v>957377719.09000003</v>
      </c>
      <c r="BV107" s="33">
        <f t="shared" si="21"/>
        <v>900796117.58000004</v>
      </c>
      <c r="BW107" s="33">
        <f t="shared" si="21"/>
        <v>1017391588.33</v>
      </c>
      <c r="BX107" s="33">
        <f t="shared" si="21"/>
        <v>513663122.45999998</v>
      </c>
      <c r="BY107" s="33">
        <f t="shared" si="21"/>
        <v>414727216.82999998</v>
      </c>
      <c r="BZ107" s="33">
        <f t="shared" si="21"/>
        <v>332300576.95999998</v>
      </c>
      <c r="CA107" s="33">
        <f t="shared" si="21"/>
        <v>269406822.85000002</v>
      </c>
      <c r="CB107" s="33">
        <f t="shared" si="21"/>
        <v>186091714.91999999</v>
      </c>
      <c r="CC107" s="33">
        <f t="shared" si="21"/>
        <v>117380516.84999999</v>
      </c>
      <c r="CD107" s="33">
        <f t="shared" si="21"/>
        <v>124327420.78</v>
      </c>
      <c r="CE107" s="33">
        <f t="shared" si="21"/>
        <v>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206730326137.03998</v>
      </c>
      <c r="C108" s="38">
        <f t="shared" ref="C108:BN108" si="22">SUM(C89+C107)</f>
        <v>199679526991.57001</v>
      </c>
      <c r="D108" s="38">
        <f t="shared" si="22"/>
        <v>197651475563.26001</v>
      </c>
      <c r="E108" s="38">
        <f>SUM(E107+E89)</f>
        <v>192712826308.52002</v>
      </c>
      <c r="F108" s="38">
        <f t="shared" si="22"/>
        <v>192910465580.92001</v>
      </c>
      <c r="G108" s="38">
        <f t="shared" si="22"/>
        <v>188294836994.91998</v>
      </c>
      <c r="H108" s="38">
        <f t="shared" si="22"/>
        <v>186163958732.42999</v>
      </c>
      <c r="I108" s="38">
        <f t="shared" si="22"/>
        <v>182691852575.12</v>
      </c>
      <c r="J108" s="38">
        <f t="shared" si="22"/>
        <v>178073757780.75</v>
      </c>
      <c r="K108" s="38">
        <f t="shared" si="22"/>
        <v>173609037939.91</v>
      </c>
      <c r="L108" s="38">
        <f t="shared" si="22"/>
        <v>171937718669.27002</v>
      </c>
      <c r="M108" s="38">
        <f t="shared" si="22"/>
        <v>167583108461.16</v>
      </c>
      <c r="N108" s="38">
        <f t="shared" si="22"/>
        <v>164259189474.26001</v>
      </c>
      <c r="O108" s="38">
        <f t="shared" si="22"/>
        <v>160322447456.62</v>
      </c>
      <c r="P108" s="38">
        <f t="shared" si="22"/>
        <v>162962477094.95001</v>
      </c>
      <c r="Q108" s="38">
        <f t="shared" si="22"/>
        <v>160685268639.96002</v>
      </c>
      <c r="R108" s="38">
        <f t="shared" si="22"/>
        <v>160182285428.25</v>
      </c>
      <c r="S108" s="38">
        <f t="shared" si="22"/>
        <v>154364825718.44</v>
      </c>
      <c r="T108" s="38">
        <f t="shared" si="22"/>
        <v>154516156261.90002</v>
      </c>
      <c r="U108" s="38">
        <f t="shared" si="22"/>
        <v>147674544082.51999</v>
      </c>
      <c r="V108" s="38">
        <f t="shared" si="22"/>
        <v>143722879315.86002</v>
      </c>
      <c r="W108" s="38">
        <f t="shared" si="22"/>
        <v>140433327601.85001</v>
      </c>
      <c r="X108" s="38">
        <f t="shared" si="22"/>
        <v>137534475690.70999</v>
      </c>
      <c r="Y108" s="38">
        <f t="shared" si="22"/>
        <v>132448721451.27</v>
      </c>
      <c r="Z108" s="38">
        <f t="shared" si="22"/>
        <v>128945471395.73001</v>
      </c>
      <c r="AA108" s="38">
        <f t="shared" si="22"/>
        <v>122750489057.09001</v>
      </c>
      <c r="AB108" s="38">
        <f t="shared" si="22"/>
        <v>116167560027.35001</v>
      </c>
      <c r="AC108" s="38">
        <f t="shared" si="22"/>
        <v>116796284259.03999</v>
      </c>
      <c r="AD108" s="38">
        <f t="shared" si="22"/>
        <v>104343606400.10999</v>
      </c>
      <c r="AE108" s="38">
        <f t="shared" si="22"/>
        <v>102337686997.01001</v>
      </c>
      <c r="AF108" s="38">
        <f t="shared" si="22"/>
        <v>98911582848.790009</v>
      </c>
      <c r="AG108" s="38">
        <f t="shared" si="22"/>
        <v>93439331366.679993</v>
      </c>
      <c r="AH108" s="38">
        <f t="shared" si="22"/>
        <v>89710193609.930008</v>
      </c>
      <c r="AI108" s="38">
        <f t="shared" si="22"/>
        <v>86441550575.199997</v>
      </c>
      <c r="AJ108" s="38">
        <f t="shared" si="22"/>
        <v>83523053696.339996</v>
      </c>
      <c r="AK108" s="38">
        <f t="shared" si="22"/>
        <v>82107799254.059998</v>
      </c>
      <c r="AL108" s="38">
        <f t="shared" si="22"/>
        <v>16671669174.18</v>
      </c>
      <c r="AM108" s="38">
        <f t="shared" si="22"/>
        <v>16429332760.48</v>
      </c>
      <c r="AN108" s="38">
        <f t="shared" si="22"/>
        <v>16999769274.66</v>
      </c>
      <c r="AO108" s="38">
        <f t="shared" si="22"/>
        <v>16839073891.02</v>
      </c>
      <c r="AP108" s="38">
        <f t="shared" si="22"/>
        <v>16763208516.219999</v>
      </c>
      <c r="AQ108" s="38">
        <f t="shared" si="22"/>
        <v>16527348096.58</v>
      </c>
      <c r="AR108" s="38">
        <f t="shared" si="22"/>
        <v>16525408487.34</v>
      </c>
      <c r="AS108" s="38">
        <f t="shared" si="22"/>
        <v>16395629232.780001</v>
      </c>
      <c r="AT108" s="38">
        <f t="shared" si="22"/>
        <v>15961339572.59</v>
      </c>
      <c r="AU108" s="38">
        <f t="shared" si="22"/>
        <v>14977838487.709999</v>
      </c>
      <c r="AV108" s="38">
        <f t="shared" si="22"/>
        <v>15316350923.98</v>
      </c>
      <c r="AW108" s="38">
        <f t="shared" si="22"/>
        <v>15330517264.690001</v>
      </c>
      <c r="AX108" s="38">
        <f t="shared" si="22"/>
        <v>10052886265.65</v>
      </c>
      <c r="AY108" s="38">
        <f t="shared" si="22"/>
        <v>8513302578.5799999</v>
      </c>
      <c r="AZ108" s="38">
        <f t="shared" si="22"/>
        <v>8311135118.4899998</v>
      </c>
      <c r="BA108" s="38">
        <f t="shared" si="22"/>
        <v>8373660905.3600006</v>
      </c>
      <c r="BB108" s="38">
        <f t="shared" si="22"/>
        <v>8585124530.9800005</v>
      </c>
      <c r="BC108" s="38">
        <f t="shared" si="22"/>
        <v>8420827787.5100002</v>
      </c>
      <c r="BD108" s="38">
        <f t="shared" si="22"/>
        <v>8626931375.8600006</v>
      </c>
      <c r="BE108" s="38">
        <f t="shared" si="22"/>
        <v>8387297108.4099998</v>
      </c>
      <c r="BF108" s="38">
        <f t="shared" si="22"/>
        <v>8144986163.5499992</v>
      </c>
      <c r="BG108" s="38">
        <f t="shared" si="22"/>
        <v>8187052031.1199999</v>
      </c>
      <c r="BH108" s="38">
        <f t="shared" si="22"/>
        <v>4638660490.25</v>
      </c>
      <c r="BI108" s="38">
        <f t="shared" si="22"/>
        <v>4236382582.8900003</v>
      </c>
      <c r="BJ108" s="38">
        <f t="shared" si="22"/>
        <v>4131906491.9099998</v>
      </c>
      <c r="BK108" s="38">
        <f t="shared" si="22"/>
        <v>4085561189.8499999</v>
      </c>
      <c r="BL108" s="38">
        <f t="shared" si="22"/>
        <v>4276326282.0300002</v>
      </c>
      <c r="BM108" s="38">
        <f t="shared" si="22"/>
        <v>4268249173.9299998</v>
      </c>
      <c r="BN108" s="38">
        <f t="shared" si="22"/>
        <v>772524321.36000001</v>
      </c>
      <c r="BO108" s="38">
        <f t="shared" ref="BO108:CK108" si="23">SUM(BO89+BO107)</f>
        <v>794348120.61000001</v>
      </c>
      <c r="BP108" s="38">
        <f t="shared" si="23"/>
        <v>824297458.13</v>
      </c>
      <c r="BQ108" s="38">
        <f t="shared" si="23"/>
        <v>860708919.22000003</v>
      </c>
      <c r="BR108" s="38">
        <f t="shared" si="23"/>
        <v>964410215.53999996</v>
      </c>
      <c r="BS108" s="38">
        <f t="shared" si="23"/>
        <v>975210616.96000004</v>
      </c>
      <c r="BT108" s="38">
        <f t="shared" si="23"/>
        <v>1025951029.61</v>
      </c>
      <c r="BU108" s="38">
        <f t="shared" si="23"/>
        <v>1119377719.0900002</v>
      </c>
      <c r="BV108" s="38">
        <f t="shared" si="23"/>
        <v>1063796117.58</v>
      </c>
      <c r="BW108" s="38">
        <f t="shared" si="23"/>
        <v>1150391588.3299999</v>
      </c>
      <c r="BX108" s="38">
        <f t="shared" si="23"/>
        <v>646663122.46000004</v>
      </c>
      <c r="BY108" s="38">
        <f t="shared" si="23"/>
        <v>527727216.82999998</v>
      </c>
      <c r="BZ108" s="38">
        <f t="shared" si="23"/>
        <v>332300576.95999998</v>
      </c>
      <c r="CA108" s="38">
        <f t="shared" si="23"/>
        <v>399406822.85000002</v>
      </c>
      <c r="CB108" s="38">
        <f t="shared" si="23"/>
        <v>186091714.91999999</v>
      </c>
      <c r="CC108" s="38">
        <f t="shared" si="23"/>
        <v>233036144.84999999</v>
      </c>
      <c r="CD108" s="38">
        <f t="shared" si="23"/>
        <v>125027420.78</v>
      </c>
      <c r="CE108" s="38">
        <f t="shared" si="23"/>
        <v>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41" workbookViewId="0">
      <selection activeCell="AG55" sqref="AG55"/>
    </sheetView>
  </sheetViews>
  <sheetFormatPr defaultRowHeight="14.4" x14ac:dyDescent="0.25"/>
  <cols>
    <col min="1" max="1" width="57.21875" style="17" bestFit="1" customWidth="1"/>
    <col min="2" max="4" width="22.6640625" hidden="1" customWidth="1"/>
    <col min="5" max="5" width="22.6640625" bestFit="1" customWidth="1"/>
    <col min="6" max="6" width="21.44140625" hidden="1" customWidth="1"/>
    <col min="7" max="8" width="22.6640625" hidden="1" customWidth="1"/>
    <col min="9" max="9" width="22.6640625" bestFit="1" customWidth="1"/>
    <col min="10" max="10" width="22.6640625" hidden="1" customWidth="1"/>
    <col min="11" max="11" width="21.44140625" hidden="1" customWidth="1"/>
    <col min="12" max="12" width="22.6640625" hidden="1" customWidth="1"/>
    <col min="13" max="13" width="22.6640625" bestFit="1" customWidth="1"/>
    <col min="14" max="14" width="22.6640625" hidden="1" customWidth="1"/>
    <col min="15" max="15" width="21.44140625" hidden="1" customWidth="1"/>
    <col min="16" max="16" width="22.6640625" hidden="1" customWidth="1"/>
    <col min="17" max="17" width="22.6640625" bestFit="1" customWidth="1"/>
    <col min="18" max="18" width="22.6640625" hidden="1" customWidth="1"/>
    <col min="19" max="19" width="21.44140625" hidden="1" customWidth="1"/>
    <col min="20" max="20" width="22.6640625" hidden="1" customWidth="1"/>
    <col min="21" max="21" width="22.6640625" bestFit="1" customWidth="1"/>
    <col min="22" max="23" width="21.44140625" hidden="1" customWidth="1"/>
    <col min="24" max="24" width="22.6640625" hidden="1" customWidth="1"/>
    <col min="25" max="25" width="21.44140625" bestFit="1" customWidth="1"/>
    <col min="26" max="26" width="21.44140625" hidden="1" customWidth="1"/>
    <col min="27" max="28" width="22.6640625" hidden="1" customWidth="1"/>
    <col min="29" max="29" width="22.6640625" bestFit="1" customWidth="1"/>
    <col min="30" max="30" width="21.44140625" hidden="1" customWidth="1"/>
    <col min="31" max="32" width="22.6640625" hidden="1" customWidth="1"/>
    <col min="33" max="33" width="21.44140625" bestFit="1" customWidth="1"/>
    <col min="34" max="34" width="21.44140625" hidden="1" customWidth="1"/>
    <col min="35" max="36" width="22.6640625" hidden="1" customWidth="1"/>
    <col min="37" max="37" width="21.44140625" bestFit="1" customWidth="1"/>
    <col min="38" max="40" width="20.21875" hidden="1" customWidth="1"/>
    <col min="41" max="41" width="20.21875" bestFit="1" customWidth="1"/>
    <col min="42" max="44" width="20.21875" hidden="1" customWidth="1"/>
    <col min="45" max="45" width="21.44140625" bestFit="1" customWidth="1"/>
    <col min="46" max="46" width="21.44140625" hidden="1" customWidth="1"/>
    <col min="47" max="48" width="19" hidden="1" customWidth="1"/>
    <col min="49" max="49" width="21.44140625"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20.21875" hidden="1" customWidth="1"/>
    <col min="73" max="73" width="20.21875" bestFit="1" customWidth="1"/>
    <col min="74" max="74" width="20.21875"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1" width="19" bestFit="1" customWidth="1"/>
    <col min="82" max="82" width="19" hidden="1" customWidth="1"/>
    <col min="83" max="83" width="17.77734375"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x14ac:dyDescent="0.25">
      <c r="A2" s="17" t="s">
        <v>84</v>
      </c>
    </row>
    <row r="3" spans="1:89" s="6" customFormat="1" x14ac:dyDescent="0.25">
      <c r="A3" s="18" t="s">
        <v>85</v>
      </c>
    </row>
    <row r="4" spans="1:89" x14ac:dyDescent="0.25">
      <c r="A4" s="17" t="s">
        <v>385</v>
      </c>
      <c r="B4" s="190">
        <v>30287409358.619999</v>
      </c>
      <c r="C4" s="190">
        <v>17786476419.599998</v>
      </c>
      <c r="D4" s="190">
        <v>9397154643.7700005</v>
      </c>
      <c r="E4" s="190">
        <v>31645284235.709999</v>
      </c>
      <c r="F4" s="190">
        <v>24205181216.639999</v>
      </c>
      <c r="G4" s="190">
        <v>13963103340.84</v>
      </c>
      <c r="H4" s="190">
        <v>7630739661.6099997</v>
      </c>
      <c r="I4" s="190">
        <v>29270802965.48</v>
      </c>
      <c r="J4" s="190">
        <v>22139965801.990002</v>
      </c>
      <c r="K4" s="190">
        <v>13138564310.35</v>
      </c>
      <c r="L4" s="190">
        <v>6900062535.5799999</v>
      </c>
      <c r="M4" s="190">
        <v>31279699772.91</v>
      </c>
      <c r="N4" s="190">
        <v>24390224176.689999</v>
      </c>
      <c r="O4" s="190">
        <v>14926173663.58</v>
      </c>
      <c r="P4" s="190">
        <v>7600001553.6199999</v>
      </c>
      <c r="Q4" s="190">
        <v>32957169192.110001</v>
      </c>
      <c r="R4" s="190">
        <v>25532032094.880001</v>
      </c>
      <c r="S4" s="190">
        <v>14621681241.700001</v>
      </c>
      <c r="T4" s="190">
        <v>7403217065.1400003</v>
      </c>
      <c r="U4" s="190">
        <v>28338981085.049999</v>
      </c>
      <c r="V4" s="190">
        <v>20434757606.32</v>
      </c>
      <c r="W4" s="190">
        <v>12168841172.08</v>
      </c>
      <c r="X4" s="190">
        <v>5971110428.3800001</v>
      </c>
      <c r="Y4" s="190">
        <v>23867007746.380001</v>
      </c>
      <c r="Z4" s="190">
        <v>17863621703.299999</v>
      </c>
      <c r="AA4" s="190">
        <v>10926725049.4</v>
      </c>
      <c r="AB4" s="190">
        <v>5253274351.6700001</v>
      </c>
      <c r="AC4" s="190">
        <v>21703539229.470001</v>
      </c>
      <c r="AD4" s="190">
        <v>15921395685.65</v>
      </c>
      <c r="AE4" s="190">
        <v>9608183225.0499992</v>
      </c>
      <c r="AF4" s="190">
        <v>4295912033.9700003</v>
      </c>
      <c r="AG4" s="190">
        <v>15947612024.690001</v>
      </c>
      <c r="AH4" s="190">
        <v>11586634877.459999</v>
      </c>
      <c r="AI4" s="190">
        <v>6940940134.21</v>
      </c>
      <c r="AJ4" s="190">
        <v>3575394783.4299998</v>
      </c>
      <c r="AK4" s="190">
        <v>11917120466.15</v>
      </c>
      <c r="AL4" s="190">
        <v>4660474238.6400003</v>
      </c>
      <c r="AM4" s="190">
        <v>3199327190.8000002</v>
      </c>
      <c r="AN4" s="190">
        <v>1549689921.1800001</v>
      </c>
      <c r="AO4" s="190">
        <v>6580129765.1800003</v>
      </c>
      <c r="AP4" s="190">
        <v>5120647626.3500004</v>
      </c>
      <c r="AQ4" s="190">
        <v>3442075295.3600001</v>
      </c>
      <c r="AR4" s="190">
        <v>1788555071.6700001</v>
      </c>
      <c r="AS4" s="190">
        <v>6648986102.8400002</v>
      </c>
      <c r="AT4" s="190">
        <v>4881953554.7200003</v>
      </c>
      <c r="AU4" s="190">
        <v>3425705083.5500002</v>
      </c>
      <c r="AV4" s="190">
        <v>1705403569.95</v>
      </c>
      <c r="AW4" s="190">
        <v>4217034152.5999999</v>
      </c>
      <c r="AX4" s="190">
        <v>2433306901.4000001</v>
      </c>
      <c r="AY4" s="190">
        <v>1565474217.5799999</v>
      </c>
      <c r="AZ4" s="190">
        <v>746157118.29999995</v>
      </c>
      <c r="BA4" s="190">
        <v>3056764453</v>
      </c>
      <c r="BB4" s="190">
        <v>2308914489.1100001</v>
      </c>
      <c r="BC4" s="190">
        <v>1517214113.4100001</v>
      </c>
      <c r="BD4" s="190">
        <v>787189588.39999998</v>
      </c>
      <c r="BE4" s="190">
        <v>2377850873.52</v>
      </c>
      <c r="BF4" s="190">
        <v>1675492643</v>
      </c>
      <c r="BG4" s="190">
        <v>1054599281.13</v>
      </c>
      <c r="BH4" s="190">
        <v>329092815.69</v>
      </c>
      <c r="BI4" s="190">
        <v>1376597157.76</v>
      </c>
      <c r="BJ4" s="190">
        <v>1014596056.9299999</v>
      </c>
      <c r="BK4" s="190">
        <v>672223749.58000004</v>
      </c>
      <c r="BL4" s="190">
        <v>392896529.39999998</v>
      </c>
      <c r="BM4" s="190">
        <v>2536380521.7600002</v>
      </c>
      <c r="BN4" s="190">
        <v>2203933549.6900001</v>
      </c>
      <c r="BO4" s="190">
        <v>1367752390.02</v>
      </c>
      <c r="BP4" s="190">
        <v>611508372.74000001</v>
      </c>
      <c r="BQ4" s="190">
        <v>1906409322.8</v>
      </c>
      <c r="BR4" s="190">
        <v>646122321.89999998</v>
      </c>
      <c r="BS4" s="190">
        <v>1859074053.9000001</v>
      </c>
      <c r="BT4" s="190">
        <v>549623332.33000004</v>
      </c>
      <c r="BU4" s="190">
        <v>1314714236.1099999</v>
      </c>
      <c r="BV4" s="190">
        <v>566333099.61000001</v>
      </c>
      <c r="BW4" s="190">
        <v>1218895749.3699999</v>
      </c>
      <c r="BX4" s="190">
        <v>679984331.27999997</v>
      </c>
      <c r="BY4" s="190">
        <v>1365735697.6600001</v>
      </c>
      <c r="BZ4" s="190">
        <v>636022622.80999994</v>
      </c>
      <c r="CA4" s="190">
        <v>613666529.59000003</v>
      </c>
      <c r="CB4" s="190">
        <v>146955056.78</v>
      </c>
      <c r="CC4" s="190">
        <v>213156267.63999999</v>
      </c>
      <c r="CD4" s="190">
        <v>111235147.11</v>
      </c>
      <c r="CE4" s="190">
        <v>127416182.34</v>
      </c>
      <c r="CF4" s="190">
        <v>0</v>
      </c>
      <c r="CG4" s="190"/>
      <c r="CH4" s="190"/>
      <c r="CI4" s="190"/>
      <c r="CJ4" s="190"/>
      <c r="CK4" s="190"/>
    </row>
    <row r="5" spans="1:89" x14ac:dyDescent="0.25">
      <c r="A5" s="19" t="s">
        <v>386</v>
      </c>
      <c r="B5" s="190">
        <v>17335412049.029999</v>
      </c>
      <c r="C5" s="190">
        <v>10985677620.969999</v>
      </c>
      <c r="D5" s="190">
        <v>5604907455.54</v>
      </c>
      <c r="E5" s="190">
        <v>18802813425.34</v>
      </c>
      <c r="F5" s="190">
        <v>13690954012.040001</v>
      </c>
      <c r="G5" s="190">
        <v>8330800141.5900002</v>
      </c>
      <c r="H5" s="190">
        <v>4208437604.4899998</v>
      </c>
      <c r="I5" s="190">
        <v>15100628531.34</v>
      </c>
      <c r="J5" s="190">
        <v>10443343469.48</v>
      </c>
      <c r="K5" s="190">
        <v>6485138772.5900002</v>
      </c>
      <c r="L5" s="190">
        <v>3172250522.6900001</v>
      </c>
      <c r="M5" s="190">
        <v>14949958764.77</v>
      </c>
      <c r="N5" s="190">
        <v>11178937332.32</v>
      </c>
      <c r="O5" s="190">
        <v>7241149269.9300003</v>
      </c>
      <c r="P5" s="190">
        <v>3642925936.1799998</v>
      </c>
      <c r="Q5" s="190">
        <v>16240284880.75</v>
      </c>
      <c r="R5" s="190">
        <v>12182874957.18</v>
      </c>
      <c r="S5" s="190">
        <v>8097015162.4899998</v>
      </c>
      <c r="T5" s="190">
        <v>4161028247.8099999</v>
      </c>
      <c r="U5" s="190">
        <v>16859390927.969999</v>
      </c>
      <c r="V5" s="190">
        <v>12293285761.549999</v>
      </c>
      <c r="W5" s="190">
        <v>7806688265.9200001</v>
      </c>
      <c r="X5" s="190">
        <v>4048177909.9299998</v>
      </c>
      <c r="Y5" s="190">
        <v>17830993366.959999</v>
      </c>
      <c r="Z5" s="190">
        <v>13663961377.280001</v>
      </c>
      <c r="AA5" s="190">
        <v>9097131116.4599991</v>
      </c>
      <c r="AB5" s="190">
        <v>4561320252.3599997</v>
      </c>
      <c r="AC5" s="190">
        <v>18002874363.049999</v>
      </c>
      <c r="AD5" s="190">
        <v>12938008188.41</v>
      </c>
      <c r="AE5" s="190">
        <v>7966739319.9899998</v>
      </c>
      <c r="AF5" s="190">
        <v>3577707490.21</v>
      </c>
      <c r="AG5" s="190">
        <v>12300709001.91</v>
      </c>
      <c r="AH5" s="190">
        <v>8906901739.5</v>
      </c>
      <c r="AI5" s="190">
        <v>5643134194.8599997</v>
      </c>
      <c r="AJ5" s="190">
        <v>2944113800.1700001</v>
      </c>
      <c r="AK5" s="190">
        <v>8568720773.4099998</v>
      </c>
      <c r="AL5" s="190">
        <v>3822773428.0999999</v>
      </c>
      <c r="AM5" s="190">
        <v>2647537533.5799999</v>
      </c>
      <c r="AN5" s="190">
        <v>1294470262.1900001</v>
      </c>
      <c r="AO5" s="190">
        <v>5486677458.1899996</v>
      </c>
      <c r="AP5" s="190">
        <v>4308634971.3900003</v>
      </c>
      <c r="AQ5" s="190">
        <v>2872327200.3299999</v>
      </c>
      <c r="AR5" s="190">
        <v>1506918222.01</v>
      </c>
      <c r="AS5" s="190">
        <v>4953622605.0600004</v>
      </c>
      <c r="AT5" s="190">
        <v>3601428728.6300001</v>
      </c>
      <c r="AU5" s="190">
        <v>2501947941.9200001</v>
      </c>
      <c r="AV5" s="190">
        <v>1239653308.54</v>
      </c>
      <c r="AW5" s="190">
        <v>2991212940.29</v>
      </c>
      <c r="AX5" s="190">
        <v>1689003184.6900001</v>
      </c>
      <c r="AY5" s="190">
        <v>1082311276.6800001</v>
      </c>
      <c r="AZ5" s="190">
        <v>536888369.50999999</v>
      </c>
      <c r="BA5" s="190">
        <v>2064789244.8</v>
      </c>
      <c r="BB5" s="190">
        <v>1490826430.03</v>
      </c>
      <c r="BC5" s="190">
        <v>968579495.03999996</v>
      </c>
      <c r="BD5" s="190">
        <v>489318458.95999998</v>
      </c>
      <c r="BE5" s="190">
        <v>1522572226.01</v>
      </c>
      <c r="BF5" s="190">
        <v>1065345430.78</v>
      </c>
      <c r="BG5" s="190">
        <v>640497710.48000002</v>
      </c>
      <c r="BH5" s="190">
        <v>203124328.44999999</v>
      </c>
      <c r="BI5" s="190">
        <v>849294022.29999995</v>
      </c>
      <c r="BJ5" s="190">
        <v>676222967.48000002</v>
      </c>
      <c r="BK5" s="190">
        <v>448882387.26999998</v>
      </c>
      <c r="BL5" s="190">
        <v>279809126.81999999</v>
      </c>
      <c r="BM5" s="190">
        <v>2278457773.3299999</v>
      </c>
      <c r="BN5" s="190">
        <v>2078550105.47</v>
      </c>
      <c r="BO5" s="190">
        <v>1299132380.52</v>
      </c>
      <c r="BP5" s="190">
        <v>588287981.12</v>
      </c>
      <c r="BQ5" s="190">
        <v>1790471263.3099999</v>
      </c>
      <c r="BR5" s="190">
        <v>587842039.77999997</v>
      </c>
      <c r="BS5" s="190">
        <v>1686826469.3299999</v>
      </c>
      <c r="BT5" s="190">
        <v>537892038.76999998</v>
      </c>
      <c r="BU5" s="190">
        <v>1262408535.9200001</v>
      </c>
      <c r="BV5" s="190">
        <v>593242180.36000001</v>
      </c>
      <c r="BW5" s="190">
        <v>974972031.59000003</v>
      </c>
      <c r="BX5" s="190">
        <v>469798419.18000001</v>
      </c>
      <c r="BY5" s="190">
        <v>1184676713.98</v>
      </c>
      <c r="BZ5" s="190">
        <v>0</v>
      </c>
      <c r="CA5" s="190">
        <v>448903262.67000002</v>
      </c>
      <c r="CB5" s="190">
        <v>0</v>
      </c>
      <c r="CC5" s="190">
        <v>107296083.95</v>
      </c>
      <c r="CD5" s="190">
        <v>0</v>
      </c>
      <c r="CE5" s="190">
        <v>68411425.040000007</v>
      </c>
      <c r="CF5" s="190">
        <v>0</v>
      </c>
      <c r="CG5" s="190"/>
      <c r="CH5" s="190"/>
      <c r="CI5" s="190"/>
      <c r="CJ5" s="190"/>
      <c r="CK5" s="190"/>
    </row>
    <row r="6" spans="1:89" s="3" customFormat="1" x14ac:dyDescent="0.25">
      <c r="A6" s="20" t="s">
        <v>387</v>
      </c>
      <c r="B6" s="27">
        <f>B4-B5</f>
        <v>12951997309.59</v>
      </c>
      <c r="C6" s="27">
        <f t="shared" ref="C6:BN6" si="0">C4-C5</f>
        <v>6800798798.6299992</v>
      </c>
      <c r="D6" s="27">
        <f t="shared" si="0"/>
        <v>3792247188.2300005</v>
      </c>
      <c r="E6" s="27">
        <f t="shared" si="0"/>
        <v>12842470810.369999</v>
      </c>
      <c r="F6" s="27">
        <f t="shared" si="0"/>
        <v>10514227204.599998</v>
      </c>
      <c r="G6" s="27">
        <f t="shared" si="0"/>
        <v>5632303199.25</v>
      </c>
      <c r="H6" s="27">
        <f t="shared" si="0"/>
        <v>3422302057.1199999</v>
      </c>
      <c r="I6" s="27">
        <f t="shared" si="0"/>
        <v>14170174434.139999</v>
      </c>
      <c r="J6" s="27">
        <f t="shared" si="0"/>
        <v>11696622332.510002</v>
      </c>
      <c r="K6" s="27">
        <f t="shared" si="0"/>
        <v>6653425537.7600002</v>
      </c>
      <c r="L6" s="27">
        <f t="shared" si="0"/>
        <v>3727812012.8899999</v>
      </c>
      <c r="M6" s="27">
        <f t="shared" si="0"/>
        <v>16329741008.139999</v>
      </c>
      <c r="N6" s="27">
        <f t="shared" si="0"/>
        <v>13211286844.369999</v>
      </c>
      <c r="O6" s="27">
        <f t="shared" si="0"/>
        <v>7685024393.6499996</v>
      </c>
      <c r="P6" s="27">
        <f t="shared" si="0"/>
        <v>3957075617.4400001</v>
      </c>
      <c r="Q6" s="27">
        <f t="shared" si="0"/>
        <v>16716884311.360001</v>
      </c>
      <c r="R6" s="27">
        <f t="shared" si="0"/>
        <v>13349157137.700001</v>
      </c>
      <c r="S6" s="27">
        <f t="shared" si="0"/>
        <v>6524666079.210001</v>
      </c>
      <c r="T6" s="27">
        <f t="shared" si="0"/>
        <v>3242188817.3300004</v>
      </c>
      <c r="U6" s="27">
        <f t="shared" si="0"/>
        <v>11479590157.08</v>
      </c>
      <c r="V6" s="27">
        <f t="shared" si="0"/>
        <v>8141471844.7700005</v>
      </c>
      <c r="W6" s="27">
        <f t="shared" si="0"/>
        <v>4362152906.1599998</v>
      </c>
      <c r="X6" s="27">
        <f t="shared" si="0"/>
        <v>1922932518.4500003</v>
      </c>
      <c r="Y6" s="27">
        <f t="shared" si="0"/>
        <v>6036014379.420002</v>
      </c>
      <c r="Z6" s="27">
        <f t="shared" si="0"/>
        <v>4199660326.0199986</v>
      </c>
      <c r="AA6" s="27">
        <f t="shared" si="0"/>
        <v>1829593932.9400005</v>
      </c>
      <c r="AB6" s="27">
        <f t="shared" si="0"/>
        <v>691954099.31000042</v>
      </c>
      <c r="AC6" s="27">
        <f t="shared" si="0"/>
        <v>3700664866.420002</v>
      </c>
      <c r="AD6" s="27">
        <f t="shared" si="0"/>
        <v>2983387497.2399998</v>
      </c>
      <c r="AE6" s="27">
        <f t="shared" si="0"/>
        <v>1641443905.0599995</v>
      </c>
      <c r="AF6" s="27">
        <f t="shared" si="0"/>
        <v>718204543.76000023</v>
      </c>
      <c r="AG6" s="27">
        <f t="shared" si="0"/>
        <v>3646903022.7800007</v>
      </c>
      <c r="AH6" s="27">
        <f t="shared" si="0"/>
        <v>2679733137.9599991</v>
      </c>
      <c r="AI6" s="27">
        <f t="shared" si="0"/>
        <v>1297805939.3500004</v>
      </c>
      <c r="AJ6" s="27">
        <f t="shared" si="0"/>
        <v>631280983.25999975</v>
      </c>
      <c r="AK6" s="27">
        <f t="shared" si="0"/>
        <v>3348399692.7399998</v>
      </c>
      <c r="AL6" s="27">
        <f t="shared" si="0"/>
        <v>837700810.54000044</v>
      </c>
      <c r="AM6" s="27">
        <f t="shared" si="0"/>
        <v>551789657.22000027</v>
      </c>
      <c r="AN6" s="27">
        <f t="shared" si="0"/>
        <v>255219658.99000001</v>
      </c>
      <c r="AO6" s="27">
        <f t="shared" si="0"/>
        <v>1093452306.9900007</v>
      </c>
      <c r="AP6" s="27">
        <f t="shared" si="0"/>
        <v>812012654.96000004</v>
      </c>
      <c r="AQ6" s="27">
        <f t="shared" si="0"/>
        <v>569748095.03000021</v>
      </c>
      <c r="AR6" s="27">
        <f t="shared" si="0"/>
        <v>281636849.66000009</v>
      </c>
      <c r="AS6" s="27">
        <f t="shared" si="0"/>
        <v>1695363497.7799997</v>
      </c>
      <c r="AT6" s="27">
        <f t="shared" si="0"/>
        <v>1280524826.0900002</v>
      </c>
      <c r="AU6" s="27">
        <f t="shared" si="0"/>
        <v>923757141.63000011</v>
      </c>
      <c r="AV6" s="27">
        <f t="shared" si="0"/>
        <v>465750261.41000009</v>
      </c>
      <c r="AW6" s="27">
        <f t="shared" si="0"/>
        <v>1225821212.3099999</v>
      </c>
      <c r="AX6" s="27">
        <f t="shared" si="0"/>
        <v>744303716.71000004</v>
      </c>
      <c r="AY6" s="27">
        <f t="shared" si="0"/>
        <v>483162940.89999986</v>
      </c>
      <c r="AZ6" s="27">
        <f t="shared" si="0"/>
        <v>209268748.78999996</v>
      </c>
      <c r="BA6" s="27">
        <f t="shared" si="0"/>
        <v>991975208.20000005</v>
      </c>
      <c r="BB6" s="27">
        <f t="shared" si="0"/>
        <v>818088059.08000016</v>
      </c>
      <c r="BC6" s="27">
        <f t="shared" si="0"/>
        <v>548634618.37000012</v>
      </c>
      <c r="BD6" s="27">
        <f t="shared" si="0"/>
        <v>297871129.44</v>
      </c>
      <c r="BE6" s="27">
        <f t="shared" si="0"/>
        <v>855278647.50999999</v>
      </c>
      <c r="BF6" s="27">
        <f t="shared" si="0"/>
        <v>610147212.22000003</v>
      </c>
      <c r="BG6" s="27">
        <f t="shared" si="0"/>
        <v>414101570.64999998</v>
      </c>
      <c r="BH6" s="27">
        <f t="shared" si="0"/>
        <v>125968487.24000001</v>
      </c>
      <c r="BI6" s="27">
        <f t="shared" si="0"/>
        <v>527303135.46000004</v>
      </c>
      <c r="BJ6" s="27">
        <f t="shared" si="0"/>
        <v>338373089.44999993</v>
      </c>
      <c r="BK6" s="27">
        <f t="shared" si="0"/>
        <v>223341362.31000006</v>
      </c>
      <c r="BL6" s="27">
        <f t="shared" si="0"/>
        <v>113087402.57999998</v>
      </c>
      <c r="BM6" s="27">
        <f t="shared" si="0"/>
        <v>257922748.43000031</v>
      </c>
      <c r="BN6" s="27">
        <f t="shared" si="0"/>
        <v>125383444.22000003</v>
      </c>
      <c r="BO6" s="27">
        <f t="shared" ref="BO6:CK6" si="1">BO4-BO5</f>
        <v>68620009.5</v>
      </c>
      <c r="BP6" s="27">
        <f t="shared" si="1"/>
        <v>23220391.620000005</v>
      </c>
      <c r="BQ6" s="27">
        <f t="shared" si="1"/>
        <v>115938059.49000001</v>
      </c>
      <c r="BR6" s="27">
        <f t="shared" si="1"/>
        <v>58280282.120000005</v>
      </c>
      <c r="BS6" s="27">
        <f t="shared" si="1"/>
        <v>172247584.57000017</v>
      </c>
      <c r="BT6" s="27">
        <f t="shared" si="1"/>
        <v>11731293.560000062</v>
      </c>
      <c r="BU6" s="27">
        <f t="shared" si="1"/>
        <v>52305700.189999819</v>
      </c>
      <c r="BV6" s="27">
        <f t="shared" si="1"/>
        <v>-26909080.75</v>
      </c>
      <c r="BW6" s="27">
        <f t="shared" si="1"/>
        <v>243923717.77999985</v>
      </c>
      <c r="BX6" s="27">
        <f t="shared" si="1"/>
        <v>210185912.09999996</v>
      </c>
      <c r="BY6" s="27">
        <f t="shared" si="1"/>
        <v>181058983.68000007</v>
      </c>
      <c r="BZ6" s="27">
        <f t="shared" si="1"/>
        <v>636022622.80999994</v>
      </c>
      <c r="CA6" s="27">
        <f t="shared" si="1"/>
        <v>164763266.92000002</v>
      </c>
      <c r="CB6" s="27">
        <f t="shared" si="1"/>
        <v>146955056.78</v>
      </c>
      <c r="CC6" s="27">
        <f t="shared" si="1"/>
        <v>105860183.68999998</v>
      </c>
      <c r="CD6" s="27">
        <f t="shared" si="1"/>
        <v>111235147.11</v>
      </c>
      <c r="CE6" s="27">
        <f t="shared" si="1"/>
        <v>59004757.299999997</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42.763635397900998</v>
      </c>
      <c r="C7" s="57">
        <f t="shared" ref="C7:D7" si="2">C6/C4*100</f>
        <v>38.23578452635951</v>
      </c>
      <c r="D7" s="57">
        <f t="shared" si="2"/>
        <v>40.355270632309256</v>
      </c>
      <c r="E7" s="57">
        <f>E6/E4</f>
        <v>0.40582573740570049</v>
      </c>
      <c r="F7" s="57">
        <f t="shared" ref="F7:BQ7" si="3">F6/F4</f>
        <v>0.43437919801120634</v>
      </c>
      <c r="G7" s="57">
        <f t="shared" si="3"/>
        <v>0.40337044436077124</v>
      </c>
      <c r="H7" s="57">
        <f t="shared" si="3"/>
        <v>0.4484889026338415</v>
      </c>
      <c r="I7" s="57">
        <f t="shared" si="3"/>
        <v>0.48410610569349061</v>
      </c>
      <c r="J7" s="57">
        <f t="shared" si="3"/>
        <v>0.52830354107677424</v>
      </c>
      <c r="K7" s="57">
        <f t="shared" si="3"/>
        <v>0.50640430572149464</v>
      </c>
      <c r="L7" s="57">
        <f t="shared" si="3"/>
        <v>0.54025771413920243</v>
      </c>
      <c r="M7" s="57">
        <f t="shared" si="3"/>
        <v>0.52205555445524077</v>
      </c>
      <c r="N7" s="57">
        <f t="shared" si="3"/>
        <v>0.54166319869237478</v>
      </c>
      <c r="O7" s="57">
        <f t="shared" si="3"/>
        <v>0.51486901913794081</v>
      </c>
      <c r="P7" s="57">
        <f t="shared" si="3"/>
        <v>0.52066773796318278</v>
      </c>
      <c r="Q7" s="57">
        <f t="shared" si="3"/>
        <v>0.50723058809802302</v>
      </c>
      <c r="R7" s="57">
        <f t="shared" si="3"/>
        <v>0.52283958785939877</v>
      </c>
      <c r="S7" s="57">
        <f t="shared" si="3"/>
        <v>0.4462322746171018</v>
      </c>
      <c r="T7" s="57">
        <f t="shared" si="3"/>
        <v>0.43794323316503864</v>
      </c>
      <c r="U7" s="57">
        <f t="shared" si="3"/>
        <v>0.40508125971882469</v>
      </c>
      <c r="V7" s="57">
        <f t="shared" si="3"/>
        <v>0.39841293944450951</v>
      </c>
      <c r="W7" s="57">
        <f t="shared" si="3"/>
        <v>0.35846904766646603</v>
      </c>
      <c r="X7" s="57">
        <f t="shared" si="3"/>
        <v>0.32203934955054986</v>
      </c>
      <c r="Y7" s="57">
        <f t="shared" si="3"/>
        <v>0.2529020161874086</v>
      </c>
      <c r="Z7" s="57">
        <f t="shared" si="3"/>
        <v>0.23509568192681685</v>
      </c>
      <c r="AA7" s="57">
        <f t="shared" si="3"/>
        <v>0.16744211322865363</v>
      </c>
      <c r="AB7" s="57">
        <f t="shared" si="3"/>
        <v>0.13171862975137216</v>
      </c>
      <c r="AC7" s="57">
        <f t="shared" si="3"/>
        <v>0.1705097416275351</v>
      </c>
      <c r="AD7" s="57">
        <f t="shared" si="3"/>
        <v>0.18738228457753459</v>
      </c>
      <c r="AE7" s="57">
        <f t="shared" si="3"/>
        <v>0.1708381144086121</v>
      </c>
      <c r="AF7" s="57">
        <f t="shared" si="3"/>
        <v>0.16718325191037087</v>
      </c>
      <c r="AG7" s="57">
        <f t="shared" si="3"/>
        <v>0.22868019469835901</v>
      </c>
      <c r="AH7" s="57">
        <f t="shared" si="3"/>
        <v>0.23127794793749859</v>
      </c>
      <c r="AI7" s="57">
        <f t="shared" si="3"/>
        <v>0.18697840843684402</v>
      </c>
      <c r="AJ7" s="57">
        <f t="shared" si="3"/>
        <v>0.17656259560081086</v>
      </c>
      <c r="AK7" s="57">
        <f t="shared" si="3"/>
        <v>0.28097388981264104</v>
      </c>
      <c r="AL7" s="57">
        <f t="shared" si="3"/>
        <v>0.1797458300690993</v>
      </c>
      <c r="AM7" s="57">
        <f t="shared" si="3"/>
        <v>0.17247053030609971</v>
      </c>
      <c r="AN7" s="57">
        <f t="shared" si="3"/>
        <v>0.16469079104267831</v>
      </c>
      <c r="AO7" s="57">
        <f t="shared" si="3"/>
        <v>0.16617488499637351</v>
      </c>
      <c r="AP7" s="57">
        <f t="shared" si="3"/>
        <v>0.15857616344884151</v>
      </c>
      <c r="AQ7" s="57">
        <f t="shared" si="3"/>
        <v>0.16552458797110983</v>
      </c>
      <c r="AR7" s="57">
        <f t="shared" si="3"/>
        <v>0.15746613236629703</v>
      </c>
      <c r="AS7" s="57">
        <f t="shared" si="3"/>
        <v>0.25498075519451818</v>
      </c>
      <c r="AT7" s="57">
        <f t="shared" si="3"/>
        <v>0.26229762568141501</v>
      </c>
      <c r="AU7" s="57">
        <f t="shared" si="3"/>
        <v>0.26965460222066934</v>
      </c>
      <c r="AV7" s="57">
        <f t="shared" si="3"/>
        <v>0.27310266591247678</v>
      </c>
      <c r="AW7" s="57">
        <f t="shared" si="3"/>
        <v>0.29068325461728201</v>
      </c>
      <c r="AX7" s="57">
        <f t="shared" si="3"/>
        <v>0.3058815623634511</v>
      </c>
      <c r="AY7" s="57">
        <f t="shared" si="3"/>
        <v>0.30863679227301549</v>
      </c>
      <c r="AZ7" s="57">
        <f t="shared" si="3"/>
        <v>0.28046204164986788</v>
      </c>
      <c r="BA7" s="57">
        <f t="shared" si="3"/>
        <v>0.32451803972872229</v>
      </c>
      <c r="BB7" s="57">
        <f t="shared" si="3"/>
        <v>0.35431717499219401</v>
      </c>
      <c r="BC7" s="57">
        <f t="shared" si="3"/>
        <v>0.36160658770628074</v>
      </c>
      <c r="BD7" s="57">
        <f t="shared" si="3"/>
        <v>0.37839820778808464</v>
      </c>
      <c r="BE7" s="57">
        <f t="shared" si="3"/>
        <v>0.35968557029142317</v>
      </c>
      <c r="BF7" s="57">
        <f t="shared" si="3"/>
        <v>0.36415988740333732</v>
      </c>
      <c r="BG7" s="57">
        <f t="shared" si="3"/>
        <v>0.39266248143682725</v>
      </c>
      <c r="BH7" s="57">
        <f t="shared" si="3"/>
        <v>0.38277495355188867</v>
      </c>
      <c r="BI7" s="57">
        <f t="shared" si="3"/>
        <v>0.38304825234277551</v>
      </c>
      <c r="BJ7" s="57">
        <f t="shared" si="3"/>
        <v>0.33350522815341999</v>
      </c>
      <c r="BK7" s="57">
        <f t="shared" si="3"/>
        <v>0.3322425940016876</v>
      </c>
      <c r="BL7" s="57">
        <f t="shared" si="3"/>
        <v>0.28782998605942889</v>
      </c>
      <c r="BM7" s="57">
        <f t="shared" si="3"/>
        <v>0.1016892955206213</v>
      </c>
      <c r="BN7" s="57">
        <f t="shared" si="3"/>
        <v>5.6890755276009189E-2</v>
      </c>
      <c r="BO7" s="57">
        <f t="shared" si="3"/>
        <v>5.0169906483582605E-2</v>
      </c>
      <c r="BP7" s="57">
        <f t="shared" si="3"/>
        <v>3.797232001248952E-2</v>
      </c>
      <c r="BQ7" s="57">
        <f t="shared" si="3"/>
        <v>6.0814882776442966E-2</v>
      </c>
      <c r="BR7" s="57">
        <f t="shared" ref="BR7:CK7" si="4">BR6/BR4</f>
        <v>9.0200075348921341E-2</v>
      </c>
      <c r="BS7" s="57">
        <f t="shared" si="4"/>
        <v>9.265235250239548E-2</v>
      </c>
      <c r="BT7" s="57">
        <f t="shared" si="4"/>
        <v>2.1344242265458377E-2</v>
      </c>
      <c r="BU7" s="57">
        <f t="shared" si="4"/>
        <v>3.9784843544984246E-2</v>
      </c>
      <c r="BV7" s="57">
        <f t="shared" si="4"/>
        <v>-4.7514582440141125E-2</v>
      </c>
      <c r="BW7" s="57">
        <f t="shared" si="4"/>
        <v>0.20011860563635125</v>
      </c>
      <c r="BX7" s="57">
        <f t="shared" si="4"/>
        <v>0.30910405200712021</v>
      </c>
      <c r="BY7" s="57">
        <f t="shared" si="4"/>
        <v>0.13257249114174849</v>
      </c>
      <c r="BZ7" s="57">
        <f t="shared" si="4"/>
        <v>1</v>
      </c>
      <c r="CA7" s="57">
        <f t="shared" si="4"/>
        <v>0.2684899028631737</v>
      </c>
      <c r="CB7" s="57">
        <f t="shared" si="4"/>
        <v>1</v>
      </c>
      <c r="CC7" s="57">
        <f t="shared" si="4"/>
        <v>0.49663181318593663</v>
      </c>
      <c r="CD7" s="57">
        <f t="shared" si="4"/>
        <v>1</v>
      </c>
      <c r="CE7" s="57">
        <f t="shared" si="4"/>
        <v>0.46308684043405468</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693128761.88999999</v>
      </c>
      <c r="C8" s="190">
        <v>391781369.31999999</v>
      </c>
      <c r="D8" s="190">
        <v>202013478.81999999</v>
      </c>
      <c r="E8" s="190">
        <v>563632265.88</v>
      </c>
      <c r="F8" s="190">
        <v>419065660.93000001</v>
      </c>
      <c r="G8" s="190">
        <v>268221427.03</v>
      </c>
      <c r="H8" s="190">
        <v>139645399.47999999</v>
      </c>
      <c r="I8" s="190">
        <v>457552305.98000002</v>
      </c>
      <c r="J8" s="190">
        <v>310049176.24000001</v>
      </c>
      <c r="K8" s="190">
        <v>187390171.59</v>
      </c>
      <c r="L8" s="190">
        <v>108006382.68000001</v>
      </c>
      <c r="M8" s="190">
        <v>477811121.38999999</v>
      </c>
      <c r="N8" s="190">
        <v>382638589.73000002</v>
      </c>
      <c r="O8" s="190">
        <v>228206532.72</v>
      </c>
      <c r="P8" s="190">
        <v>116267597.44</v>
      </c>
      <c r="Q8" s="190">
        <v>435828042.25</v>
      </c>
      <c r="R8" s="190">
        <v>328987671.73000002</v>
      </c>
      <c r="S8" s="190">
        <v>170759759.09</v>
      </c>
      <c r="T8" s="190">
        <v>89320225.640000001</v>
      </c>
      <c r="U8" s="190">
        <v>275451532.95999998</v>
      </c>
      <c r="V8" s="190">
        <v>204351367.24000001</v>
      </c>
      <c r="W8" s="190">
        <v>98718272.170000002</v>
      </c>
      <c r="X8" s="190">
        <v>46405928.890000001</v>
      </c>
      <c r="Y8" s="190">
        <v>195450929.24000001</v>
      </c>
      <c r="Z8" s="190">
        <v>130711364.63</v>
      </c>
      <c r="AA8" s="190">
        <v>71452206.560000002</v>
      </c>
      <c r="AB8" s="190">
        <v>31511762.120000001</v>
      </c>
      <c r="AC8" s="190">
        <v>143245951.97</v>
      </c>
      <c r="AD8" s="190">
        <v>113793938.73999999</v>
      </c>
      <c r="AE8" s="190">
        <v>65402651.609999999</v>
      </c>
      <c r="AF8" s="190">
        <v>27549512.530000001</v>
      </c>
      <c r="AG8" s="190">
        <v>122161669.63</v>
      </c>
      <c r="AH8" s="190">
        <v>88387121.469999999</v>
      </c>
      <c r="AI8" s="190">
        <v>42257616.039999999</v>
      </c>
      <c r="AJ8" s="190">
        <v>20950309.27</v>
      </c>
      <c r="AK8" s="190">
        <v>105974818.13</v>
      </c>
      <c r="AL8" s="190">
        <v>22852516.710000001</v>
      </c>
      <c r="AM8" s="190">
        <v>14196169.82</v>
      </c>
      <c r="AN8" s="190">
        <v>6460568.0999999996</v>
      </c>
      <c r="AO8" s="190">
        <v>29625736.52</v>
      </c>
      <c r="AP8" s="190">
        <v>22996582.84</v>
      </c>
      <c r="AQ8" s="190">
        <v>13849189.49</v>
      </c>
      <c r="AR8" s="190">
        <v>5817043.3300000001</v>
      </c>
      <c r="AS8" s="190">
        <v>20969908.780000001</v>
      </c>
      <c r="AT8" s="190">
        <v>14892376.74</v>
      </c>
      <c r="AU8" s="190">
        <v>9519602.4900000002</v>
      </c>
      <c r="AV8" s="190">
        <v>4002052.76</v>
      </c>
      <c r="AW8" s="190">
        <v>11595240.35</v>
      </c>
      <c r="AX8" s="190">
        <v>8999867.1300000008</v>
      </c>
      <c r="AY8" s="190">
        <v>6007357.4500000002</v>
      </c>
      <c r="AZ8" s="190">
        <v>2104577.39</v>
      </c>
      <c r="BA8" s="190">
        <v>10353101.16</v>
      </c>
      <c r="BB8" s="190">
        <v>7809508.6100000003</v>
      </c>
      <c r="BC8" s="190">
        <v>4567452.24</v>
      </c>
      <c r="BD8" s="190">
        <v>1599302.77</v>
      </c>
      <c r="BE8" s="190">
        <v>7060017.4100000001</v>
      </c>
      <c r="BF8" s="190">
        <v>4845746.53</v>
      </c>
      <c r="BG8" s="190">
        <v>3073461.2</v>
      </c>
      <c r="BH8" s="190">
        <v>1017184.82</v>
      </c>
      <c r="BI8" s="190">
        <v>5804603.5899999999</v>
      </c>
      <c r="BJ8" s="190">
        <v>3871150.02</v>
      </c>
      <c r="BK8" s="190">
        <v>2056249.88</v>
      </c>
      <c r="BL8" s="190">
        <v>735429.71</v>
      </c>
      <c r="BM8" s="190">
        <v>159710794.02000001</v>
      </c>
      <c r="BN8" s="190">
        <v>158154103.47</v>
      </c>
      <c r="BO8" s="190">
        <v>101327612.17</v>
      </c>
      <c r="BP8" s="190">
        <v>49735643.399999999</v>
      </c>
      <c r="BQ8" s="190">
        <v>115145718.44</v>
      </c>
      <c r="BR8" s="190">
        <v>25944218.300000001</v>
      </c>
      <c r="BS8" s="190">
        <v>104025004.81</v>
      </c>
      <c r="BT8" s="190">
        <v>26012204.870000001</v>
      </c>
      <c r="BU8" s="190">
        <v>75296582.010000005</v>
      </c>
      <c r="BV8" s="190">
        <v>24452956.84</v>
      </c>
      <c r="BW8" s="190">
        <v>118571168.17</v>
      </c>
      <c r="BX8" s="190">
        <v>75754759.849999994</v>
      </c>
      <c r="BY8" s="190">
        <v>1714519.81</v>
      </c>
      <c r="BZ8" s="190">
        <v>0</v>
      </c>
      <c r="CA8" s="190">
        <v>1626136.71</v>
      </c>
      <c r="CB8" s="190">
        <v>0</v>
      </c>
      <c r="CC8" s="190">
        <v>1611066.23</v>
      </c>
      <c r="CD8" s="190">
        <v>0</v>
      </c>
      <c r="CE8" s="190">
        <v>1162940.06</v>
      </c>
      <c r="CF8" s="190">
        <v>0</v>
      </c>
      <c r="CG8" s="190"/>
      <c r="CH8" s="190"/>
      <c r="CI8" s="190"/>
      <c r="CJ8" s="190"/>
      <c r="CK8" s="190"/>
    </row>
    <row r="9" spans="1:89" x14ac:dyDescent="0.25">
      <c r="A9" s="17" t="s">
        <v>390</v>
      </c>
      <c r="B9" s="190">
        <v>5188673.41</v>
      </c>
      <c r="C9" s="190">
        <v>3555185.7</v>
      </c>
      <c r="D9" s="190">
        <v>1093503.06</v>
      </c>
      <c r="E9" s="190">
        <v>7555575.1600000001</v>
      </c>
      <c r="F9" s="190">
        <v>5294391.33</v>
      </c>
      <c r="G9" s="190">
        <v>3457929.07</v>
      </c>
      <c r="H9" s="190">
        <v>1360352.63</v>
      </c>
      <c r="I9" s="190">
        <v>5996781.04</v>
      </c>
      <c r="J9" s="190">
        <v>4483665.4400000004</v>
      </c>
      <c r="K9" s="190">
        <v>3033969.4</v>
      </c>
      <c r="L9" s="190">
        <v>737978.25</v>
      </c>
      <c r="M9" s="190">
        <v>6555754.2699999996</v>
      </c>
      <c r="N9" s="190">
        <v>5260996.84</v>
      </c>
      <c r="O9" s="190">
        <v>3543648.71</v>
      </c>
      <c r="P9" s="190">
        <v>1103936.22</v>
      </c>
      <c r="Q9" s="190">
        <v>16938541.219999999</v>
      </c>
      <c r="R9" s="190">
        <v>14829495.98</v>
      </c>
      <c r="S9" s="190">
        <v>12019350.76</v>
      </c>
      <c r="T9" s="190">
        <v>6333692.1900000004</v>
      </c>
      <c r="U9" s="190">
        <v>50430538.899999999</v>
      </c>
      <c r="V9" s="190">
        <v>39250424.280000001</v>
      </c>
      <c r="W9" s="190">
        <v>30832709.100000001</v>
      </c>
      <c r="X9" s="190">
        <v>23815566.629999999</v>
      </c>
      <c r="Y9" s="190">
        <v>43366409.82</v>
      </c>
      <c r="Z9" s="190">
        <v>24082564.879999999</v>
      </c>
      <c r="AA9" s="190">
        <v>15032374.119999999</v>
      </c>
      <c r="AB9" s="190">
        <v>6308215.2999999998</v>
      </c>
      <c r="AC9" s="190">
        <v>33250545.010000002</v>
      </c>
      <c r="AD9" s="190">
        <v>27369745.41</v>
      </c>
      <c r="AE9" s="190">
        <v>6807124.5800000001</v>
      </c>
      <c r="AF9" s="190">
        <v>9782521.8699999992</v>
      </c>
      <c r="AG9" s="190">
        <v>14740158.970000001</v>
      </c>
      <c r="AH9" s="190">
        <v>10551877.33</v>
      </c>
      <c r="AI9" s="190">
        <v>7202900.3499999996</v>
      </c>
      <c r="AJ9" s="190">
        <v>2476554.2000000002</v>
      </c>
      <c r="AK9" s="190">
        <v>4458340.32</v>
      </c>
      <c r="AL9" s="190">
        <v>5592608.0099999998</v>
      </c>
      <c r="AM9" s="190">
        <v>2524391.86</v>
      </c>
      <c r="AN9" s="190">
        <v>2803319.25</v>
      </c>
      <c r="AO9" s="190">
        <v>11690672.310000001</v>
      </c>
      <c r="AP9" s="190">
        <v>17037598.199999999</v>
      </c>
      <c r="AQ9" s="190">
        <v>13059786.779999999</v>
      </c>
      <c r="AR9" s="190">
        <v>6536243.0599999996</v>
      </c>
      <c r="AS9" s="190">
        <v>9443784.8100000005</v>
      </c>
      <c r="AT9" s="190">
        <v>7240704.79</v>
      </c>
      <c r="AU9" s="190">
        <v>5037153.51</v>
      </c>
      <c r="AV9" s="190">
        <v>2675133.1</v>
      </c>
      <c r="AW9" s="190">
        <v>10928492.16</v>
      </c>
      <c r="AX9" s="190">
        <v>7067642.7300000004</v>
      </c>
      <c r="AY9" s="190">
        <v>4461398.3899999997</v>
      </c>
      <c r="AZ9" s="190">
        <v>2604944.2999999998</v>
      </c>
      <c r="BA9" s="190">
        <v>10374715.279999999</v>
      </c>
      <c r="BB9" s="190">
        <v>7903097.6299999999</v>
      </c>
      <c r="BC9" s="190">
        <v>4812201.45</v>
      </c>
      <c r="BD9" s="190">
        <v>2718559.54</v>
      </c>
      <c r="BE9" s="190">
        <v>9491683.5600000005</v>
      </c>
      <c r="BF9" s="190">
        <v>6705755.3399999999</v>
      </c>
      <c r="BG9" s="190">
        <v>4776275.22</v>
      </c>
      <c r="BH9" s="190">
        <v>2339110.8199999998</v>
      </c>
      <c r="BI9" s="190">
        <v>8252358.5099999998</v>
      </c>
      <c r="BJ9" s="190">
        <v>5720975.7199999997</v>
      </c>
      <c r="BK9" s="190">
        <v>4159667.56</v>
      </c>
      <c r="BL9" s="190">
        <v>2159355.7400000002</v>
      </c>
      <c r="BM9" s="190">
        <v>5254365.47</v>
      </c>
      <c r="BN9" s="190">
        <v>2652487.39</v>
      </c>
      <c r="BO9" s="190">
        <v>3625229.47</v>
      </c>
      <c r="BP9" s="190">
        <v>808986.43</v>
      </c>
      <c r="BQ9" s="190">
        <v>3045031.1</v>
      </c>
      <c r="BR9" s="190">
        <v>1269103.17</v>
      </c>
      <c r="BS9" s="190">
        <v>2715260.55</v>
      </c>
      <c r="BT9" s="190">
        <v>836402.46</v>
      </c>
      <c r="BU9" s="190">
        <v>6424518.5700000003</v>
      </c>
      <c r="BV9" s="190">
        <v>5384556.7999999998</v>
      </c>
      <c r="BW9" s="190">
        <v>6024911.4100000001</v>
      </c>
      <c r="BX9" s="190">
        <v>4316092.0999999996</v>
      </c>
      <c r="BY9" s="190">
        <v>1238907.43</v>
      </c>
      <c r="BZ9" s="190">
        <v>0</v>
      </c>
      <c r="CA9" s="190">
        <v>1132037.73</v>
      </c>
      <c r="CB9" s="190">
        <v>0</v>
      </c>
      <c r="CC9" s="190">
        <v>370359.06</v>
      </c>
      <c r="CD9" s="190">
        <v>0</v>
      </c>
      <c r="CE9" s="190">
        <v>685814.42</v>
      </c>
      <c r="CF9" s="190">
        <v>0</v>
      </c>
      <c r="CG9" s="190"/>
      <c r="CH9" s="190"/>
      <c r="CI9" s="190"/>
      <c r="CJ9" s="190"/>
      <c r="CK9" s="190"/>
    </row>
    <row r="10" spans="1:89" x14ac:dyDescent="0.25">
      <c r="A10" s="17" t="s">
        <v>391</v>
      </c>
      <c r="B10" s="190">
        <v>769015966.67999995</v>
      </c>
      <c r="C10" s="190">
        <v>539768112.92999995</v>
      </c>
      <c r="D10" s="190">
        <v>245824352.93000001</v>
      </c>
      <c r="E10" s="190">
        <v>999062914.15999997</v>
      </c>
      <c r="F10" s="190">
        <v>674137933.04999995</v>
      </c>
      <c r="G10" s="190">
        <v>395650449.10000002</v>
      </c>
      <c r="H10" s="190">
        <v>212660948.59</v>
      </c>
      <c r="I10" s="190">
        <v>935503345.89999998</v>
      </c>
      <c r="J10" s="190">
        <v>690956986.73000002</v>
      </c>
      <c r="K10" s="190">
        <v>411099346.33999997</v>
      </c>
      <c r="L10" s="190">
        <v>206145180.44</v>
      </c>
      <c r="M10" s="190">
        <v>867126250.90999997</v>
      </c>
      <c r="N10" s="190">
        <v>587548571.40999997</v>
      </c>
      <c r="O10" s="190">
        <v>360286687.81</v>
      </c>
      <c r="P10" s="190">
        <v>174274830.13</v>
      </c>
      <c r="Q10" s="190">
        <v>805069824.28999996</v>
      </c>
      <c r="R10" s="190">
        <v>523092708.31</v>
      </c>
      <c r="S10" s="190">
        <v>331897299.69999999</v>
      </c>
      <c r="T10" s="190">
        <v>157559215.53999999</v>
      </c>
      <c r="U10" s="190">
        <v>740755626.61000001</v>
      </c>
      <c r="V10" s="190">
        <v>467945851.72000003</v>
      </c>
      <c r="W10" s="190">
        <v>284288843.19</v>
      </c>
      <c r="X10" s="190">
        <v>128137886.11</v>
      </c>
      <c r="Y10" s="190">
        <v>640802468.13999999</v>
      </c>
      <c r="Z10" s="190">
        <v>403806222.29000002</v>
      </c>
      <c r="AA10" s="190">
        <v>232526542.46000001</v>
      </c>
      <c r="AB10" s="190">
        <v>106282419.84</v>
      </c>
      <c r="AC10" s="190">
        <v>560265677.49000001</v>
      </c>
      <c r="AD10" s="190">
        <v>356419102.73000002</v>
      </c>
      <c r="AE10" s="190">
        <v>216999361.90000001</v>
      </c>
      <c r="AF10" s="190">
        <v>102658594.41</v>
      </c>
      <c r="AG10" s="190">
        <v>464798208.04000002</v>
      </c>
      <c r="AH10" s="190">
        <v>305782238.52999997</v>
      </c>
      <c r="AI10" s="190">
        <v>186564185.31</v>
      </c>
      <c r="AJ10" s="190">
        <v>85180433.5</v>
      </c>
      <c r="AK10" s="190">
        <v>444250932.95999998</v>
      </c>
      <c r="AL10" s="190">
        <v>128281686.22</v>
      </c>
      <c r="AM10" s="190">
        <v>84555407.530000001</v>
      </c>
      <c r="AN10" s="190">
        <v>47597222.909999996</v>
      </c>
      <c r="AO10" s="190">
        <v>193049342.69999999</v>
      </c>
      <c r="AP10" s="190">
        <v>148783494.94999999</v>
      </c>
      <c r="AQ10" s="190">
        <v>93540898.670000002</v>
      </c>
      <c r="AR10" s="190">
        <v>50396407.299999997</v>
      </c>
      <c r="AS10" s="190">
        <v>181845598.19999999</v>
      </c>
      <c r="AT10" s="190">
        <v>121185186.06999999</v>
      </c>
      <c r="AU10" s="190">
        <v>80605125.230000004</v>
      </c>
      <c r="AV10" s="190">
        <v>40071653.979999997</v>
      </c>
      <c r="AW10" s="190">
        <v>136723054.75999999</v>
      </c>
      <c r="AX10" s="190">
        <v>60228640.909999996</v>
      </c>
      <c r="AY10" s="190">
        <v>42556360.710000001</v>
      </c>
      <c r="AZ10" s="190">
        <v>16854309.300000001</v>
      </c>
      <c r="BA10" s="190">
        <v>81930840.450000003</v>
      </c>
      <c r="BB10" s="190">
        <v>57732292.060000002</v>
      </c>
      <c r="BC10" s="190">
        <v>37135849.020000003</v>
      </c>
      <c r="BD10" s="190">
        <v>23690920.059999999</v>
      </c>
      <c r="BE10" s="190">
        <v>65974899.07</v>
      </c>
      <c r="BF10" s="190">
        <v>43554251.159999996</v>
      </c>
      <c r="BG10" s="190">
        <v>34435209.549999997</v>
      </c>
      <c r="BH10" s="190">
        <v>6847007.2300000004</v>
      </c>
      <c r="BI10" s="190">
        <v>38018187.740000002</v>
      </c>
      <c r="BJ10" s="190">
        <v>13115630.390000001</v>
      </c>
      <c r="BK10" s="190">
        <v>1930144.23</v>
      </c>
      <c r="BL10" s="190">
        <v>8054116.8600000003</v>
      </c>
      <c r="BM10" s="190">
        <v>66697920.439999998</v>
      </c>
      <c r="BN10" s="190">
        <v>54551692.140000001</v>
      </c>
      <c r="BO10" s="190">
        <v>30638188.09</v>
      </c>
      <c r="BP10" s="190">
        <v>9606170.3699999992</v>
      </c>
      <c r="BQ10" s="190">
        <v>47905028.289999999</v>
      </c>
      <c r="BR10" s="190">
        <v>14389505.550000001</v>
      </c>
      <c r="BS10" s="190">
        <v>29360730.66</v>
      </c>
      <c r="BT10" s="190">
        <v>7711478.6100000003</v>
      </c>
      <c r="BU10" s="190">
        <v>11282548.199999999</v>
      </c>
      <c r="BV10" s="190">
        <v>6499523.8600000003</v>
      </c>
      <c r="BW10" s="190">
        <v>16182357.470000001</v>
      </c>
      <c r="BX10" s="190">
        <v>4203332.2300000004</v>
      </c>
      <c r="BY10" s="190">
        <v>7277503.9400000004</v>
      </c>
      <c r="BZ10" s="190">
        <v>0</v>
      </c>
      <c r="CA10" s="190">
        <v>9238054.9299999997</v>
      </c>
      <c r="CB10" s="190">
        <v>0</v>
      </c>
      <c r="CC10" s="190">
        <v>6201153.5800000001</v>
      </c>
      <c r="CD10" s="190">
        <v>0</v>
      </c>
      <c r="CE10" s="190">
        <v>3503307.24</v>
      </c>
      <c r="CF10" s="190">
        <v>0</v>
      </c>
      <c r="CG10" s="190"/>
      <c r="CH10" s="190"/>
      <c r="CI10" s="190"/>
      <c r="CJ10" s="190"/>
      <c r="CK10" s="190"/>
    </row>
    <row r="11" spans="1:89" x14ac:dyDescent="0.25">
      <c r="A11" s="17" t="s">
        <v>392</v>
      </c>
      <c r="B11" s="190">
        <v>103536839.64</v>
      </c>
      <c r="C11" s="190">
        <v>77853995.219999999</v>
      </c>
      <c r="D11" s="190">
        <v>37527327.369999997</v>
      </c>
      <c r="E11" s="190">
        <v>118982486.23</v>
      </c>
      <c r="F11" s="190">
        <v>18459957.870000001</v>
      </c>
      <c r="G11" s="190">
        <v>18472726.899999999</v>
      </c>
      <c r="H11" s="190">
        <v>-405471.2</v>
      </c>
      <c r="I11" s="190">
        <v>49459770.420000002</v>
      </c>
      <c r="J11" s="190">
        <v>22604406.59</v>
      </c>
      <c r="K11" s="190">
        <v>22604406.59</v>
      </c>
      <c r="L11" s="190">
        <v>-318.92</v>
      </c>
      <c r="M11" s="190">
        <v>103043941.31999999</v>
      </c>
      <c r="N11" s="190">
        <v>53096508.909999996</v>
      </c>
      <c r="O11" s="190">
        <v>32216401.280000001</v>
      </c>
      <c r="P11" s="190">
        <v>0</v>
      </c>
      <c r="Q11" s="190">
        <v>39430262.850000001</v>
      </c>
      <c r="R11" s="190">
        <v>7551480.5</v>
      </c>
      <c r="S11" s="190">
        <v>7551480.5</v>
      </c>
      <c r="T11" s="190">
        <v>0</v>
      </c>
      <c r="U11" s="190">
        <v>19412194.149999999</v>
      </c>
      <c r="V11" s="190">
        <v>6434154.0899999999</v>
      </c>
      <c r="W11" s="190">
        <v>6455482.5199999996</v>
      </c>
      <c r="X11" s="190">
        <v>0</v>
      </c>
      <c r="Y11" s="190">
        <v>5711269.1100000003</v>
      </c>
      <c r="Z11" s="190">
        <v>9089125.4800000004</v>
      </c>
      <c r="AA11" s="190">
        <v>7986243.21</v>
      </c>
      <c r="AB11" s="190">
        <v>0</v>
      </c>
      <c r="AC11" s="190">
        <v>12107454.17</v>
      </c>
      <c r="AD11" s="190">
        <v>4780409.71</v>
      </c>
      <c r="AE11" s="190">
        <v>4673224.3899999997</v>
      </c>
      <c r="AF11" s="190">
        <v>0</v>
      </c>
      <c r="AG11" s="190">
        <v>1547865.64</v>
      </c>
      <c r="AH11" s="190">
        <v>-42500</v>
      </c>
      <c r="AI11" s="190">
        <v>-42500</v>
      </c>
      <c r="AJ11" s="190">
        <v>-42500</v>
      </c>
      <c r="AK11" s="190">
        <v>8612439.5800000001</v>
      </c>
      <c r="AL11" s="190">
        <v>-1582793.35</v>
      </c>
      <c r="AM11" s="190">
        <v>2332847.23</v>
      </c>
      <c r="AN11" s="190">
        <v>0</v>
      </c>
      <c r="AO11" s="190">
        <v>20769937.809999999</v>
      </c>
      <c r="AP11" s="190">
        <v>-253303.37</v>
      </c>
      <c r="AQ11" s="190">
        <v>-252503.37</v>
      </c>
      <c r="AR11" s="190">
        <v>-21325.37</v>
      </c>
      <c r="AS11" s="190">
        <v>-10718194.720000001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-775084.12</v>
      </c>
      <c r="BT11" s="190">
        <v>-167721.79999999999</v>
      </c>
      <c r="BU11" s="190">
        <v>775084.12</v>
      </c>
      <c r="BV11" s="190">
        <v>0</v>
      </c>
      <c r="BW11" s="190">
        <v>0</v>
      </c>
      <c r="BX11" s="190">
        <v>0</v>
      </c>
      <c r="BY11" s="190">
        <v>0</v>
      </c>
      <c r="BZ11" s="190">
        <v>0</v>
      </c>
      <c r="CA11" s="190">
        <v>0</v>
      </c>
      <c r="CB11" s="190">
        <v>0</v>
      </c>
      <c r="CC11" s="190">
        <v>0</v>
      </c>
      <c r="CD11" s="190">
        <v>0</v>
      </c>
      <c r="CE11" s="190">
        <v>0</v>
      </c>
      <c r="CF11" s="190">
        <v>0</v>
      </c>
      <c r="CG11" s="190"/>
      <c r="CH11" s="190"/>
      <c r="CI11" s="190"/>
      <c r="CJ11" s="190"/>
      <c r="CK11" s="190"/>
    </row>
    <row r="12" spans="1:89" s="7" customFormat="1" x14ac:dyDescent="0.25">
      <c r="A12" s="21" t="s">
        <v>393</v>
      </c>
      <c r="B12" s="29">
        <f>B55</f>
        <v>463</v>
      </c>
      <c r="C12" s="29">
        <f t="shared" ref="C12:BN12" si="5">C55</f>
        <v>603</v>
      </c>
      <c r="D12" s="29">
        <f t="shared" si="5"/>
        <v>653</v>
      </c>
      <c r="E12" s="29">
        <f t="shared" si="5"/>
        <v>56101537.369999997</v>
      </c>
      <c r="F12" s="29">
        <f t="shared" si="5"/>
        <v>1204</v>
      </c>
      <c r="G12" s="29">
        <f t="shared" si="5"/>
        <v>868</v>
      </c>
      <c r="H12" s="29">
        <f t="shared" si="5"/>
        <v>644</v>
      </c>
      <c r="I12" s="29">
        <f t="shared" si="5"/>
        <v>65394715.479999997</v>
      </c>
      <c r="J12" s="29">
        <f t="shared" si="5"/>
        <v>0</v>
      </c>
      <c r="K12" s="29">
        <f t="shared" si="5"/>
        <v>0</v>
      </c>
      <c r="L12" s="29">
        <f t="shared" si="5"/>
        <v>0</v>
      </c>
      <c r="M12" s="29">
        <f t="shared" si="5"/>
        <v>48644769.100000001</v>
      </c>
      <c r="N12" s="29">
        <f t="shared" si="5"/>
        <v>0</v>
      </c>
      <c r="O12" s="29">
        <f t="shared" si="5"/>
        <v>0</v>
      </c>
      <c r="P12" s="29">
        <f t="shared" si="5"/>
        <v>0</v>
      </c>
      <c r="Q12" s="29">
        <f t="shared" si="5"/>
        <v>66127569.869999997</v>
      </c>
      <c r="R12" s="29">
        <f t="shared" si="5"/>
        <v>0</v>
      </c>
      <c r="S12" s="29">
        <f t="shared" si="5"/>
        <v>0</v>
      </c>
      <c r="T12" s="29">
        <f t="shared" si="5"/>
        <v>0</v>
      </c>
      <c r="U12" s="29">
        <f t="shared" si="5"/>
        <v>34607509.600000001</v>
      </c>
      <c r="V12" s="29">
        <f t="shared" si="5"/>
        <v>0</v>
      </c>
      <c r="W12" s="29">
        <f t="shared" si="5"/>
        <v>0</v>
      </c>
      <c r="X12" s="29">
        <f t="shared" si="5"/>
        <v>0</v>
      </c>
      <c r="Y12" s="29">
        <f t="shared" si="5"/>
        <v>29649964.809999999</v>
      </c>
      <c r="Z12" s="29">
        <f t="shared" si="5"/>
        <v>0</v>
      </c>
      <c r="AA12" s="29">
        <f t="shared" si="5"/>
        <v>0</v>
      </c>
      <c r="AB12" s="29">
        <f t="shared" si="5"/>
        <v>0</v>
      </c>
      <c r="AC12" s="29">
        <f t="shared" si="5"/>
        <v>8397985.5600000005</v>
      </c>
      <c r="AD12" s="29">
        <f t="shared" si="5"/>
        <v>0</v>
      </c>
      <c r="AE12" s="29">
        <f t="shared" si="5"/>
        <v>0</v>
      </c>
      <c r="AF12" s="29">
        <f t="shared" si="5"/>
        <v>0</v>
      </c>
      <c r="AG12" s="29">
        <f t="shared" si="5"/>
        <v>8357133.4500000002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26509057.02</v>
      </c>
      <c r="C13" s="190">
        <v>11151128</v>
      </c>
      <c r="D13" s="190">
        <v>3073549.29</v>
      </c>
      <c r="E13" s="190">
        <v>54791432.93</v>
      </c>
      <c r="F13" s="190">
        <v>46883061.100000001</v>
      </c>
      <c r="G13" s="190">
        <v>409847954.24000001</v>
      </c>
      <c r="H13" s="190">
        <v>156067446.31</v>
      </c>
      <c r="I13" s="190">
        <v>1038940844.22</v>
      </c>
      <c r="J13" s="190">
        <v>790863977.11000001</v>
      </c>
      <c r="K13" s="190">
        <v>508809094.42000002</v>
      </c>
      <c r="L13" s="190">
        <v>318680803.69</v>
      </c>
      <c r="M13" s="190">
        <v>1666535101.02</v>
      </c>
      <c r="N13" s="190">
        <v>1134266867.1600001</v>
      </c>
      <c r="O13" s="190">
        <v>721643599.95000005</v>
      </c>
      <c r="P13" s="190">
        <v>286073505.13</v>
      </c>
      <c r="Q13" s="190">
        <v>1037125774.46</v>
      </c>
      <c r="R13" s="190">
        <v>513818117.5</v>
      </c>
      <c r="S13" s="190">
        <v>168496247.09999999</v>
      </c>
      <c r="T13" s="190">
        <v>12101226.640000001</v>
      </c>
      <c r="U13" s="190">
        <v>68309958.189999998</v>
      </c>
      <c r="V13" s="190">
        <v>38707744.590000004</v>
      </c>
      <c r="W13" s="190">
        <v>32443147.949999999</v>
      </c>
      <c r="X13" s="190">
        <v>57713456.289999999</v>
      </c>
      <c r="Y13" s="190">
        <v>87745066.640000001</v>
      </c>
      <c r="Z13" s="190">
        <v>38411366.979999997</v>
      </c>
      <c r="AA13" s="190">
        <v>20983791.530000001</v>
      </c>
      <c r="AB13" s="190">
        <v>13495204.49</v>
      </c>
      <c r="AC13" s="190">
        <v>110445884.38</v>
      </c>
      <c r="AD13" s="190">
        <v>21226991.940000001</v>
      </c>
      <c r="AE13" s="190">
        <v>8583723.5299999993</v>
      </c>
      <c r="AF13" s="190">
        <v>4363671.5999999996</v>
      </c>
      <c r="AG13" s="190">
        <v>41214129.159999996</v>
      </c>
      <c r="AH13" s="190">
        <v>26812788.300000001</v>
      </c>
      <c r="AI13" s="190">
        <v>18587383.260000002</v>
      </c>
      <c r="AJ13" s="190">
        <v>3599127.9</v>
      </c>
      <c r="AK13" s="190">
        <v>61939664.799999997</v>
      </c>
      <c r="AL13" s="190">
        <v>9798188.4199999999</v>
      </c>
      <c r="AM13" s="190">
        <v>7083138.71</v>
      </c>
      <c r="AN13" s="190">
        <v>3593107.94</v>
      </c>
      <c r="AO13" s="190">
        <v>19235637.489999998</v>
      </c>
      <c r="AP13" s="190">
        <v>6712643.8200000003</v>
      </c>
      <c r="AQ13" s="190">
        <v>4454850.75</v>
      </c>
      <c r="AR13" s="190">
        <v>2251086</v>
      </c>
      <c r="AS13" s="190">
        <v>19361996.510000002</v>
      </c>
      <c r="AT13" s="190">
        <v>8031339.6299999999</v>
      </c>
      <c r="AU13" s="190">
        <v>7686689.0999999996</v>
      </c>
      <c r="AV13" s="190">
        <v>7164775</v>
      </c>
      <c r="AW13" s="190">
        <v>371584.2</v>
      </c>
      <c r="AX13" s="190">
        <v>254523.11</v>
      </c>
      <c r="AY13" s="190">
        <v>228323.09</v>
      </c>
      <c r="AZ13" s="190">
        <v>91000</v>
      </c>
      <c r="BA13" s="190">
        <v>201451.11</v>
      </c>
      <c r="BB13" s="190">
        <v>102685.54</v>
      </c>
      <c r="BC13" s="190">
        <v>49485.54</v>
      </c>
      <c r="BD13" s="190">
        <v>5000</v>
      </c>
      <c r="BE13" s="190">
        <v>517601.67</v>
      </c>
      <c r="BF13" s="190">
        <v>40510</v>
      </c>
      <c r="BG13" s="190">
        <v>32700</v>
      </c>
      <c r="BH13" s="190">
        <v>1500</v>
      </c>
      <c r="BI13" s="190">
        <v>325710.78000000003</v>
      </c>
      <c r="BJ13" s="190">
        <v>337332.02</v>
      </c>
      <c r="BK13" s="190">
        <v>332032.02</v>
      </c>
      <c r="BL13" s="190">
        <v>323032.02</v>
      </c>
      <c r="BM13" s="190">
        <v>4698012.41</v>
      </c>
      <c r="BN13" s="190">
        <v>26979.81</v>
      </c>
      <c r="BO13" s="190">
        <v>27367.31</v>
      </c>
      <c r="BP13" s="190">
        <v>0</v>
      </c>
      <c r="BQ13" s="190">
        <v>655105.65</v>
      </c>
      <c r="BR13" s="190">
        <v>113821.2</v>
      </c>
      <c r="BS13" s="190">
        <v>179438.86</v>
      </c>
      <c r="BT13" s="190">
        <v>355247.06</v>
      </c>
      <c r="BU13" s="190">
        <v>916962.13</v>
      </c>
      <c r="BV13" s="190">
        <v>30213.84</v>
      </c>
      <c r="BW13" s="190">
        <v>6333.3</v>
      </c>
      <c r="BX13" s="190">
        <v>3333.3</v>
      </c>
      <c r="BY13" s="190">
        <v>119226.55</v>
      </c>
      <c r="BZ13" s="190">
        <v>0</v>
      </c>
      <c r="CA13" s="190">
        <v>4843.3</v>
      </c>
      <c r="CB13" s="190">
        <v>0</v>
      </c>
      <c r="CC13" s="190">
        <v>23220</v>
      </c>
      <c r="CD13" s="190">
        <v>0</v>
      </c>
      <c r="CE13" s="190">
        <v>417</v>
      </c>
      <c r="CF13" s="190">
        <v>0</v>
      </c>
      <c r="CG13" s="190"/>
      <c r="CH13" s="190"/>
      <c r="CI13" s="190"/>
      <c r="CJ13" s="190"/>
      <c r="CK13" s="190"/>
    </row>
    <row r="14" spans="1:89" x14ac:dyDescent="0.25">
      <c r="A14" s="17" t="s">
        <v>395</v>
      </c>
      <c r="B14" s="190">
        <v>11896184.84</v>
      </c>
      <c r="C14" s="190">
        <v>3998962.16</v>
      </c>
      <c r="D14" s="190">
        <v>2039128.83</v>
      </c>
      <c r="E14" s="190">
        <v>95042749.109999999</v>
      </c>
      <c r="F14" s="190">
        <v>44797450.25</v>
      </c>
      <c r="G14" s="190">
        <v>649486.72</v>
      </c>
      <c r="H14" s="190">
        <v>2255519.59</v>
      </c>
      <c r="I14" s="190">
        <v>609082339.66999996</v>
      </c>
      <c r="J14" s="190">
        <v>602577875.27999997</v>
      </c>
      <c r="K14" s="190">
        <v>578370963.10000002</v>
      </c>
      <c r="L14" s="190">
        <v>3813886.88</v>
      </c>
      <c r="M14" s="190">
        <v>250298527.09</v>
      </c>
      <c r="N14" s="190">
        <v>8402400.7400000002</v>
      </c>
      <c r="O14" s="190">
        <v>4217831.09</v>
      </c>
      <c r="P14" s="190">
        <v>1371913.32</v>
      </c>
      <c r="Q14" s="190">
        <v>21312009.289999999</v>
      </c>
      <c r="R14" s="190">
        <v>4221899.53</v>
      </c>
      <c r="S14" s="190">
        <v>3122912.1</v>
      </c>
      <c r="T14" s="190">
        <v>1069140.1499999999</v>
      </c>
      <c r="U14" s="190">
        <v>20840477.899999999</v>
      </c>
      <c r="V14" s="190">
        <v>8722941.5</v>
      </c>
      <c r="W14" s="190">
        <v>8180576.2199999997</v>
      </c>
      <c r="X14" s="190">
        <v>186314.28</v>
      </c>
      <c r="Y14" s="190">
        <v>33276387.23</v>
      </c>
      <c r="Z14" s="190">
        <v>8348496.75</v>
      </c>
      <c r="AA14" s="190">
        <v>4758157.9000000004</v>
      </c>
      <c r="AB14" s="190">
        <v>62895.64</v>
      </c>
      <c r="AC14" s="190">
        <v>7256069.4299999997</v>
      </c>
      <c r="AD14" s="190">
        <v>932959.89</v>
      </c>
      <c r="AE14" s="190">
        <v>229989.19</v>
      </c>
      <c r="AF14" s="190">
        <v>27919.13</v>
      </c>
      <c r="AG14" s="190">
        <v>24253684.16</v>
      </c>
      <c r="AH14" s="190">
        <v>6634810.9400000004</v>
      </c>
      <c r="AI14" s="190">
        <v>3872795.83</v>
      </c>
      <c r="AJ14" s="190">
        <v>2691786.04</v>
      </c>
      <c r="AK14" s="190">
        <v>12038528.449999999</v>
      </c>
      <c r="AL14" s="190">
        <v>1423268.2</v>
      </c>
      <c r="AM14" s="190">
        <v>228899.5</v>
      </c>
      <c r="AN14" s="190">
        <v>123394</v>
      </c>
      <c r="AO14" s="190">
        <v>15450994.48</v>
      </c>
      <c r="AP14" s="190">
        <v>4240793.66</v>
      </c>
      <c r="AQ14" s="190">
        <v>2872825.35</v>
      </c>
      <c r="AR14" s="190">
        <v>1500000</v>
      </c>
      <c r="AS14" s="190">
        <v>13226104.52</v>
      </c>
      <c r="AT14" s="190">
        <v>809632.52</v>
      </c>
      <c r="AU14" s="190">
        <v>570416.85</v>
      </c>
      <c r="AV14" s="190">
        <v>80379.17</v>
      </c>
      <c r="AW14" s="190">
        <v>9313940.4800000004</v>
      </c>
      <c r="AX14" s="190">
        <v>2969751.02</v>
      </c>
      <c r="AY14" s="190">
        <v>646906.16</v>
      </c>
      <c r="AZ14" s="190">
        <v>550000</v>
      </c>
      <c r="BA14" s="190">
        <v>20638940.559999999</v>
      </c>
      <c r="BB14" s="190">
        <v>3767975.61</v>
      </c>
      <c r="BC14" s="190">
        <v>419378.16</v>
      </c>
      <c r="BD14" s="190">
        <v>142661.25</v>
      </c>
      <c r="BE14" s="190">
        <v>20304869.68</v>
      </c>
      <c r="BF14" s="190">
        <v>8431925.5700000003</v>
      </c>
      <c r="BG14" s="190">
        <v>93448.72</v>
      </c>
      <c r="BH14" s="190">
        <v>0</v>
      </c>
      <c r="BI14" s="190">
        <v>14224514.84</v>
      </c>
      <c r="BJ14" s="190">
        <v>13000000</v>
      </c>
      <c r="BK14" s="190">
        <v>12980000</v>
      </c>
      <c r="BL14" s="190">
        <v>0</v>
      </c>
      <c r="BM14" s="190">
        <v>10511.5</v>
      </c>
      <c r="BN14" s="190">
        <v>10511.5</v>
      </c>
      <c r="BO14" s="190">
        <v>1999</v>
      </c>
      <c r="BP14" s="190">
        <v>650</v>
      </c>
      <c r="BQ14" s="190">
        <v>8141639.1399999997</v>
      </c>
      <c r="BR14" s="190">
        <v>17674850.710000001</v>
      </c>
      <c r="BS14" s="190">
        <v>22954239.890000001</v>
      </c>
      <c r="BT14" s="190">
        <v>9030508.7799999993</v>
      </c>
      <c r="BU14" s="190">
        <v>924192.74</v>
      </c>
      <c r="BV14" s="190">
        <v>436504.13</v>
      </c>
      <c r="BW14" s="190">
        <v>13753051.85</v>
      </c>
      <c r="BX14" s="190">
        <v>7192810.4000000004</v>
      </c>
      <c r="BY14" s="190">
        <v>735052.5</v>
      </c>
      <c r="BZ14" s="190">
        <v>0</v>
      </c>
      <c r="CA14" s="190">
        <v>86268.02</v>
      </c>
      <c r="CB14" s="190">
        <v>0</v>
      </c>
      <c r="CC14" s="190">
        <v>14606.2</v>
      </c>
      <c r="CD14" s="190">
        <v>72830.37</v>
      </c>
      <c r="CE14" s="190">
        <v>1410</v>
      </c>
      <c r="CF14" s="190">
        <v>0</v>
      </c>
      <c r="CG14" s="190"/>
      <c r="CH14" s="190"/>
      <c r="CI14" s="190"/>
      <c r="CJ14" s="190"/>
      <c r="CK14" s="190"/>
    </row>
    <row r="15" spans="1:89" s="2" customFormat="1" x14ac:dyDescent="0.25">
      <c r="A15" s="20" t="s">
        <v>398</v>
      </c>
      <c r="B15" s="28">
        <f>B6-(B8+B9+B10+B11+B12)+B13-B14</f>
        <v>11395739477.15</v>
      </c>
      <c r="C15" s="28">
        <f t="shared" ref="C15:BN15" si="7">C6-(C8+C9+C10+C11+C12)+C13-C14</f>
        <v>5794991698.2999992</v>
      </c>
      <c r="D15" s="28">
        <f t="shared" si="7"/>
        <v>3306822293.5100007</v>
      </c>
      <c r="E15" s="28">
        <f t="shared" si="7"/>
        <v>11056884715.389999</v>
      </c>
      <c r="F15" s="28">
        <f t="shared" si="7"/>
        <v>9399353668.2699986</v>
      </c>
      <c r="G15" s="28">
        <f t="shared" si="7"/>
        <v>5355698266.6699991</v>
      </c>
      <c r="H15" s="28">
        <f t="shared" si="7"/>
        <v>3222852110.3399997</v>
      </c>
      <c r="I15" s="28">
        <f t="shared" si="7"/>
        <v>13086126019.869999</v>
      </c>
      <c r="J15" s="28">
        <f t="shared" si="7"/>
        <v>10856814199.340002</v>
      </c>
      <c r="K15" s="28">
        <f t="shared" si="7"/>
        <v>5959735775.1599998</v>
      </c>
      <c r="L15" s="28">
        <f t="shared" si="7"/>
        <v>3727789707.25</v>
      </c>
      <c r="M15" s="28">
        <f t="shared" si="7"/>
        <v>16242795745.08</v>
      </c>
      <c r="N15" s="28">
        <f t="shared" si="7"/>
        <v>13308606643.9</v>
      </c>
      <c r="O15" s="28">
        <f t="shared" si="7"/>
        <v>7778196891.9899988</v>
      </c>
      <c r="P15" s="28">
        <f t="shared" si="7"/>
        <v>3950130845.46</v>
      </c>
      <c r="Q15" s="28">
        <f t="shared" si="7"/>
        <v>16369303836.049999</v>
      </c>
      <c r="R15" s="28">
        <f t="shared" si="7"/>
        <v>12984291999.15</v>
      </c>
      <c r="S15" s="28">
        <f t="shared" si="7"/>
        <v>6167811524.1600008</v>
      </c>
      <c r="T15" s="28">
        <f t="shared" si="7"/>
        <v>3000007770.4500003</v>
      </c>
      <c r="U15" s="28">
        <f t="shared" si="7"/>
        <v>10406402235.150002</v>
      </c>
      <c r="V15" s="28">
        <f t="shared" si="7"/>
        <v>7453474850.5300007</v>
      </c>
      <c r="W15" s="28">
        <f t="shared" si="7"/>
        <v>3966120170.9099998</v>
      </c>
      <c r="X15" s="28">
        <f t="shared" si="7"/>
        <v>1782100278.8300002</v>
      </c>
      <c r="Y15" s="28">
        <f t="shared" si="7"/>
        <v>5175502017.7100029</v>
      </c>
      <c r="Z15" s="28">
        <f t="shared" si="7"/>
        <v>3662033918.9699988</v>
      </c>
      <c r="AA15" s="28">
        <f t="shared" si="7"/>
        <v>1518822200.2200005</v>
      </c>
      <c r="AB15" s="28">
        <f t="shared" si="7"/>
        <v>561284010.90000045</v>
      </c>
      <c r="AC15" s="28">
        <f t="shared" si="7"/>
        <v>3046587067.1700025</v>
      </c>
      <c r="AD15" s="28">
        <f t="shared" si="7"/>
        <v>2501318332.6999998</v>
      </c>
      <c r="AE15" s="28">
        <f t="shared" si="7"/>
        <v>1355915276.9199994</v>
      </c>
      <c r="AF15" s="28">
        <f t="shared" si="7"/>
        <v>582549667.42000031</v>
      </c>
      <c r="AG15" s="28">
        <f t="shared" si="7"/>
        <v>3052258432.0500007</v>
      </c>
      <c r="AH15" s="28">
        <f t="shared" si="7"/>
        <v>2295232377.9899993</v>
      </c>
      <c r="AI15" s="28">
        <f t="shared" si="7"/>
        <v>1076538325.0800004</v>
      </c>
      <c r="AJ15" s="28">
        <f t="shared" si="7"/>
        <v>523623528.14999968</v>
      </c>
      <c r="AK15" s="28">
        <f t="shared" si="7"/>
        <v>2835004298.1000004</v>
      </c>
      <c r="AL15" s="28">
        <f t="shared" si="7"/>
        <v>690931713.17000031</v>
      </c>
      <c r="AM15" s="28">
        <f t="shared" si="7"/>
        <v>455035079.99000025</v>
      </c>
      <c r="AN15" s="28">
        <f t="shared" si="7"/>
        <v>201828262.67000002</v>
      </c>
      <c r="AO15" s="28">
        <f t="shared" si="7"/>
        <v>842101260.6600008</v>
      </c>
      <c r="AP15" s="28">
        <f t="shared" si="7"/>
        <v>625920132.50000012</v>
      </c>
      <c r="AQ15" s="28">
        <f t="shared" si="7"/>
        <v>451132748.86000019</v>
      </c>
      <c r="AR15" s="28">
        <f t="shared" si="7"/>
        <v>219659567.34000009</v>
      </c>
      <c r="AS15" s="28">
        <f t="shared" si="7"/>
        <v>1499958292.6999998</v>
      </c>
      <c r="AT15" s="28">
        <f t="shared" si="7"/>
        <v>1144428265.6000004</v>
      </c>
      <c r="AU15" s="28">
        <f t="shared" si="7"/>
        <v>835711532.6500001</v>
      </c>
      <c r="AV15" s="28">
        <f t="shared" si="7"/>
        <v>426085817.4000001</v>
      </c>
      <c r="AW15" s="28">
        <f t="shared" si="7"/>
        <v>1057632068.76</v>
      </c>
      <c r="AX15" s="28">
        <f t="shared" si="7"/>
        <v>665292338.03000009</v>
      </c>
      <c r="AY15" s="28">
        <f t="shared" si="7"/>
        <v>429719241.27999979</v>
      </c>
      <c r="AZ15" s="28">
        <f t="shared" si="7"/>
        <v>187245917.79999995</v>
      </c>
      <c r="BA15" s="28">
        <f t="shared" si="7"/>
        <v>868879061.86000013</v>
      </c>
      <c r="BB15" s="28">
        <f t="shared" si="7"/>
        <v>740977870.71000016</v>
      </c>
      <c r="BC15" s="28">
        <f t="shared" si="7"/>
        <v>501749223.04000008</v>
      </c>
      <c r="BD15" s="28">
        <f t="shared" si="7"/>
        <v>269724685.81999999</v>
      </c>
      <c r="BE15" s="28">
        <f t="shared" si="7"/>
        <v>752964779.46000004</v>
      </c>
      <c r="BF15" s="28">
        <f t="shared" si="7"/>
        <v>546650043.62</v>
      </c>
      <c r="BG15" s="28">
        <f t="shared" si="7"/>
        <v>371755875.95999992</v>
      </c>
      <c r="BH15" s="28">
        <f t="shared" si="7"/>
        <v>115766684.37</v>
      </c>
      <c r="BI15" s="28">
        <f t="shared" si="7"/>
        <v>461329181.56</v>
      </c>
      <c r="BJ15" s="28">
        <f t="shared" si="7"/>
        <v>303002665.33999991</v>
      </c>
      <c r="BK15" s="28">
        <f t="shared" si="7"/>
        <v>202547332.66000009</v>
      </c>
      <c r="BL15" s="28">
        <f t="shared" si="7"/>
        <v>102461532.28999998</v>
      </c>
      <c r="BM15" s="28">
        <f t="shared" si="7"/>
        <v>30947169.410000298</v>
      </c>
      <c r="BN15" s="28">
        <f t="shared" si="7"/>
        <v>-89958370.469999969</v>
      </c>
      <c r="BO15" s="28">
        <f t="shared" ref="BO15:CJ15" si="8">BO6-(BO8+BO9+BO10+BO11+BO12)+BO13-BO14</f>
        <v>-66945651.919999987</v>
      </c>
      <c r="BP15" s="28">
        <f t="shared" si="8"/>
        <v>-36931058.579999991</v>
      </c>
      <c r="BQ15" s="28">
        <f t="shared" si="8"/>
        <v>-57644251.829999976</v>
      </c>
      <c r="BR15" s="28">
        <f t="shared" si="8"/>
        <v>-883574.4099999927</v>
      </c>
      <c r="BS15" s="28">
        <f t="shared" si="8"/>
        <v>14146871.640000165</v>
      </c>
      <c r="BT15" s="28">
        <f t="shared" si="8"/>
        <v>-31336332.299999945</v>
      </c>
      <c r="BU15" s="28">
        <f t="shared" si="8"/>
        <v>-41480263.320000201</v>
      </c>
      <c r="BV15" s="28">
        <f t="shared" si="8"/>
        <v>-63652408.539999999</v>
      </c>
      <c r="BW15" s="28">
        <f t="shared" si="8"/>
        <v>89398562.179999843</v>
      </c>
      <c r="BX15" s="28">
        <f t="shared" si="8"/>
        <v>118722250.81999996</v>
      </c>
      <c r="BY15" s="28">
        <f t="shared" si="8"/>
        <v>170212226.55000007</v>
      </c>
      <c r="BZ15" s="28">
        <f t="shared" si="8"/>
        <v>636022622.80999994</v>
      </c>
      <c r="CA15" s="28">
        <f t="shared" si="8"/>
        <v>152685612.83000001</v>
      </c>
      <c r="CB15" s="28">
        <f t="shared" si="8"/>
        <v>146955056.78</v>
      </c>
      <c r="CC15" s="28">
        <f t="shared" si="8"/>
        <v>97686218.619999975</v>
      </c>
      <c r="CD15" s="28">
        <f t="shared" si="8"/>
        <v>111162316.73999999</v>
      </c>
      <c r="CE15" s="28">
        <f t="shared" si="8"/>
        <v>53651702.579999998</v>
      </c>
      <c r="CF15" s="28">
        <f t="shared" si="8"/>
        <v>0</v>
      </c>
      <c r="CG15" s="28">
        <f t="shared" si="8"/>
        <v>0</v>
      </c>
      <c r="CH15" s="28">
        <f t="shared" si="8"/>
        <v>0</v>
      </c>
      <c r="CI15" s="28">
        <f t="shared" si="8"/>
        <v>0</v>
      </c>
      <c r="CJ15" s="28">
        <f t="shared" si="8"/>
        <v>0</v>
      </c>
    </row>
    <row r="16" spans="1:89" s="23" customFormat="1" x14ac:dyDescent="0.25">
      <c r="A16" s="17" t="s">
        <v>396</v>
      </c>
      <c r="B16" s="26">
        <f>B15*B41</f>
        <v>1620923576.990298</v>
      </c>
      <c r="C16" s="26">
        <f t="shared" ref="C16:BN16" si="9">C15*C41</f>
        <v>990429582.67982459</v>
      </c>
      <c r="D16" s="26">
        <f t="shared" si="9"/>
        <v>477570928.69649696</v>
      </c>
      <c r="E16" s="26">
        <f t="shared" si="9"/>
        <v>1607349154.8204551</v>
      </c>
      <c r="F16" s="26">
        <f t="shared" si="9"/>
        <v>1368165351.0339911</v>
      </c>
      <c r="G16" s="26">
        <f t="shared" si="9"/>
        <v>879463886.28003097</v>
      </c>
      <c r="H16" s="26">
        <f t="shared" si="9"/>
        <v>386393861.37355345</v>
      </c>
      <c r="I16" s="26">
        <f t="shared" si="9"/>
        <v>1554774833.4161122</v>
      </c>
      <c r="J16" s="26">
        <f t="shared" si="9"/>
        <v>1387407234.3529484</v>
      </c>
      <c r="K16" s="26">
        <f t="shared" si="9"/>
        <v>856631074.33235824</v>
      </c>
      <c r="L16" s="26">
        <f t="shared" si="9"/>
        <v>436953917.21668524</v>
      </c>
      <c r="M16" s="26">
        <f t="shared" si="9"/>
        <v>1310761258.5777979</v>
      </c>
      <c r="N16" s="26">
        <f t="shared" si="9"/>
        <v>1137154849.1448512</v>
      </c>
      <c r="O16" s="26">
        <f t="shared" si="9"/>
        <v>800918450.91434658</v>
      </c>
      <c r="P16" s="26">
        <f t="shared" si="9"/>
        <v>409417025.48085016</v>
      </c>
      <c r="Q16" s="26">
        <f t="shared" si="9"/>
        <v>1178772024.861886</v>
      </c>
      <c r="R16" s="26">
        <f t="shared" si="9"/>
        <v>969394134.61793232</v>
      </c>
      <c r="S16" s="26">
        <f t="shared" si="9"/>
        <v>642706003.4533416</v>
      </c>
      <c r="T16" s="26">
        <f t="shared" si="9"/>
        <v>379057830.56983542</v>
      </c>
      <c r="U16" s="26">
        <f t="shared" si="9"/>
        <v>1102719958.9548275</v>
      </c>
      <c r="V16" s="26">
        <f t="shared" si="9"/>
        <v>745761571.59984314</v>
      </c>
      <c r="W16" s="26">
        <f t="shared" si="9"/>
        <v>377078699.92328656</v>
      </c>
      <c r="X16" s="26">
        <f t="shared" si="9"/>
        <v>181117264.08946297</v>
      </c>
      <c r="Y16" s="26">
        <f t="shared" si="9"/>
        <v>675975742.43770802</v>
      </c>
      <c r="Z16" s="26">
        <f t="shared" si="9"/>
        <v>510079787.74241155</v>
      </c>
      <c r="AA16" s="26">
        <f t="shared" si="9"/>
        <v>588003424.63049865</v>
      </c>
      <c r="AB16" s="26">
        <f t="shared" si="9"/>
        <v>-428537378.13938332</v>
      </c>
      <c r="AC16" s="26">
        <f t="shared" si="9"/>
        <v>781155609.83466423</v>
      </c>
      <c r="AD16" s="26">
        <f t="shared" si="9"/>
        <v>659657549.3930974</v>
      </c>
      <c r="AE16" s="26">
        <f t="shared" si="9"/>
        <v>403693933.85559201</v>
      </c>
      <c r="AF16" s="26">
        <f t="shared" si="9"/>
        <v>281633468.18081391</v>
      </c>
      <c r="AG16" s="26">
        <f t="shared" si="9"/>
        <v>644803684.45454192</v>
      </c>
      <c r="AH16" s="26">
        <f t="shared" si="9"/>
        <v>414244178.9052642</v>
      </c>
      <c r="AI16" s="26">
        <f t="shared" si="9"/>
        <v>244163668.02847186</v>
      </c>
      <c r="AJ16" s="26">
        <f t="shared" si="9"/>
        <v>119022692.08033386</v>
      </c>
      <c r="AK16" s="26">
        <f t="shared" si="9"/>
        <v>524998185.92398232</v>
      </c>
      <c r="AL16" s="26">
        <f t="shared" si="9"/>
        <v>142109580.05924109</v>
      </c>
      <c r="AM16" s="26">
        <f t="shared" si="9"/>
        <v>106373074.99090995</v>
      </c>
      <c r="AN16" s="26">
        <f t="shared" si="9"/>
        <v>60917551.789483204</v>
      </c>
      <c r="AO16" s="26">
        <f t="shared" si="9"/>
        <v>335974431.99015027</v>
      </c>
      <c r="AP16" s="26">
        <f t="shared" si="9"/>
        <v>153296729.5121423</v>
      </c>
      <c r="AQ16" s="26">
        <f t="shared" si="9"/>
        <v>84234640.022364989</v>
      </c>
      <c r="AR16" s="26">
        <f t="shared" si="9"/>
        <v>33650050.849379346</v>
      </c>
      <c r="AS16" s="26">
        <f t="shared" si="9"/>
        <v>198011931.17539287</v>
      </c>
      <c r="AT16" s="26">
        <f t="shared" si="9"/>
        <v>113794834.60977282</v>
      </c>
      <c r="AU16" s="26">
        <f t="shared" si="9"/>
        <v>74281492.560101762</v>
      </c>
      <c r="AV16" s="26">
        <f t="shared" si="9"/>
        <v>48061776.943546832</v>
      </c>
      <c r="AW16" s="26">
        <f t="shared" si="9"/>
        <v>94841688.284222111</v>
      </c>
      <c r="AX16" s="26">
        <f t="shared" si="9"/>
        <v>63413422.22680451</v>
      </c>
      <c r="AY16" s="26">
        <f t="shared" si="9"/>
        <v>36886746.400421903</v>
      </c>
      <c r="AZ16" s="26">
        <f t="shared" si="9"/>
        <v>18044811.706991211</v>
      </c>
      <c r="BA16" s="26">
        <f t="shared" si="9"/>
        <v>60669426.755678944</v>
      </c>
      <c r="BB16" s="26">
        <f t="shared" si="9"/>
        <v>55591485.861354679</v>
      </c>
      <c r="BC16" s="26">
        <f t="shared" si="9"/>
        <v>36383052.038262673</v>
      </c>
      <c r="BD16" s="26">
        <f t="shared" si="9"/>
        <v>16218351.781868285</v>
      </c>
      <c r="BE16" s="26">
        <f t="shared" si="9"/>
        <v>52589288.560626753</v>
      </c>
      <c r="BF16" s="26">
        <f t="shared" si="9"/>
        <v>38370035.275403969</v>
      </c>
      <c r="BG16" s="26">
        <f t="shared" si="9"/>
        <v>24885510.948384579</v>
      </c>
      <c r="BH16" s="26">
        <f t="shared" si="9"/>
        <v>2988939.5256420225</v>
      </c>
      <c r="BI16" s="26">
        <f t="shared" si="9"/>
        <v>39771314.595598929</v>
      </c>
      <c r="BJ16" s="26">
        <f t="shared" si="9"/>
        <v>24717733.222132288</v>
      </c>
      <c r="BK16" s="26">
        <f t="shared" si="9"/>
        <v>18117740.376536503</v>
      </c>
      <c r="BL16" s="26">
        <f t="shared" si="9"/>
        <v>10211789.094482956</v>
      </c>
      <c r="BM16" s="26">
        <f t="shared" si="9"/>
        <v>36611412.555336937</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34111341.994816996</v>
      </c>
      <c r="BX16" s="26">
        <f t="shared" si="10"/>
        <v>41392167.593318112</v>
      </c>
      <c r="BY16" s="26">
        <f t="shared" si="10"/>
        <v>57276572.851792663</v>
      </c>
      <c r="BZ16" s="26">
        <f t="shared" si="10"/>
        <v>30977520.690000001</v>
      </c>
      <c r="CA16" s="26">
        <f t="shared" si="10"/>
        <v>54804255.211762846</v>
      </c>
      <c r="CB16" s="26">
        <f t="shared" si="10"/>
        <v>19432357.661819339</v>
      </c>
      <c r="CC16" s="26">
        <f t="shared" si="10"/>
        <v>32415003.14714342</v>
      </c>
      <c r="CD16" s="26">
        <f t="shared" si="10"/>
        <v>21515684.028190825</v>
      </c>
      <c r="CE16" s="26">
        <f t="shared" si="10"/>
        <v>17796481.977269027</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9774815900.1597023</v>
      </c>
      <c r="C17" s="27">
        <f t="shared" ref="C17:BN17" si="11">C15-C16</f>
        <v>4804562115.6201744</v>
      </c>
      <c r="D17" s="27">
        <f t="shared" si="11"/>
        <v>2829251364.8135037</v>
      </c>
      <c r="E17" s="27">
        <f t="shared" si="11"/>
        <v>9449535560.5695438</v>
      </c>
      <c r="F17" s="27">
        <f t="shared" si="11"/>
        <v>8031188317.2360077</v>
      </c>
      <c r="G17" s="27">
        <f t="shared" si="11"/>
        <v>4476234380.3899679</v>
      </c>
      <c r="H17" s="27">
        <f t="shared" si="11"/>
        <v>2836458248.9664464</v>
      </c>
      <c r="I17" s="27">
        <f t="shared" si="11"/>
        <v>11531351186.453886</v>
      </c>
      <c r="J17" s="27">
        <f t="shared" si="11"/>
        <v>9469406964.9870529</v>
      </c>
      <c r="K17" s="27">
        <f t="shared" si="11"/>
        <v>5103104700.8276415</v>
      </c>
      <c r="L17" s="27">
        <f t="shared" si="11"/>
        <v>3290835790.0333147</v>
      </c>
      <c r="M17" s="27">
        <f t="shared" si="11"/>
        <v>14932034486.502201</v>
      </c>
      <c r="N17" s="27">
        <f t="shared" si="11"/>
        <v>12171451794.755148</v>
      </c>
      <c r="O17" s="27">
        <f t="shared" si="11"/>
        <v>6977278441.0756521</v>
      </c>
      <c r="P17" s="27">
        <f t="shared" si="11"/>
        <v>3540713819.9791498</v>
      </c>
      <c r="Q17" s="27">
        <f t="shared" si="11"/>
        <v>15190531811.188114</v>
      </c>
      <c r="R17" s="27">
        <f t="shared" si="11"/>
        <v>12014897864.532066</v>
      </c>
      <c r="S17" s="27">
        <f t="shared" si="11"/>
        <v>5525105520.7066593</v>
      </c>
      <c r="T17" s="27">
        <f t="shared" si="11"/>
        <v>2620949939.8801651</v>
      </c>
      <c r="U17" s="27">
        <f t="shared" si="11"/>
        <v>9303682276.1951733</v>
      </c>
      <c r="V17" s="27">
        <f t="shared" si="11"/>
        <v>6707713278.9301577</v>
      </c>
      <c r="W17" s="27">
        <f t="shared" si="11"/>
        <v>3589041470.9867134</v>
      </c>
      <c r="X17" s="27">
        <f t="shared" si="11"/>
        <v>1600983014.7405372</v>
      </c>
      <c r="Y17" s="27">
        <f t="shared" si="11"/>
        <v>4499526275.272295</v>
      </c>
      <c r="Z17" s="27">
        <f t="shared" si="11"/>
        <v>3151954131.2275872</v>
      </c>
      <c r="AA17" s="27">
        <f t="shared" si="11"/>
        <v>930818775.58950186</v>
      </c>
      <c r="AB17" s="27">
        <f t="shared" si="11"/>
        <v>989821389.03938377</v>
      </c>
      <c r="AC17" s="27">
        <f t="shared" si="11"/>
        <v>2265431457.3353381</v>
      </c>
      <c r="AD17" s="27">
        <f t="shared" si="11"/>
        <v>1841660783.3069024</v>
      </c>
      <c r="AE17" s="27">
        <f t="shared" si="11"/>
        <v>952221343.06440735</v>
      </c>
      <c r="AF17" s="27">
        <f t="shared" si="11"/>
        <v>300916199.23918641</v>
      </c>
      <c r="AG17" s="27">
        <f t="shared" si="11"/>
        <v>2407454747.595459</v>
      </c>
      <c r="AH17" s="27">
        <f t="shared" si="11"/>
        <v>1880988199.0847352</v>
      </c>
      <c r="AI17" s="27">
        <f t="shared" si="11"/>
        <v>832374657.05152857</v>
      </c>
      <c r="AJ17" s="27">
        <f t="shared" si="11"/>
        <v>404600836.06966579</v>
      </c>
      <c r="AK17" s="27">
        <f t="shared" si="11"/>
        <v>2310006112.1760182</v>
      </c>
      <c r="AL17" s="27">
        <f t="shared" si="11"/>
        <v>548822133.11075926</v>
      </c>
      <c r="AM17" s="27">
        <f t="shared" si="11"/>
        <v>348662004.99909031</v>
      </c>
      <c r="AN17" s="27">
        <f t="shared" si="11"/>
        <v>140910710.88051683</v>
      </c>
      <c r="AO17" s="27">
        <f t="shared" si="11"/>
        <v>506126828.66985053</v>
      </c>
      <c r="AP17" s="27">
        <f t="shared" si="11"/>
        <v>472623402.98785782</v>
      </c>
      <c r="AQ17" s="27">
        <f t="shared" si="11"/>
        <v>366898108.83763522</v>
      </c>
      <c r="AR17" s="27">
        <f t="shared" si="11"/>
        <v>186009516.49062073</v>
      </c>
      <c r="AS17" s="27">
        <f t="shared" si="11"/>
        <v>1301946361.5246069</v>
      </c>
      <c r="AT17" s="27">
        <f t="shared" si="11"/>
        <v>1030633430.9902276</v>
      </c>
      <c r="AU17" s="27">
        <f t="shared" si="11"/>
        <v>761430040.08989835</v>
      </c>
      <c r="AV17" s="27">
        <f t="shared" si="11"/>
        <v>378024040.45645326</v>
      </c>
      <c r="AW17" s="27">
        <f t="shared" si="11"/>
        <v>962790380.47577786</v>
      </c>
      <c r="AX17" s="27">
        <f t="shared" si="11"/>
        <v>601878915.8031956</v>
      </c>
      <c r="AY17" s="27">
        <f t="shared" si="11"/>
        <v>392832494.87957788</v>
      </c>
      <c r="AZ17" s="27">
        <f t="shared" si="11"/>
        <v>169201106.09300876</v>
      </c>
      <c r="BA17" s="27">
        <f t="shared" si="11"/>
        <v>808209635.10432124</v>
      </c>
      <c r="BB17" s="27">
        <f t="shared" si="11"/>
        <v>685386384.84864545</v>
      </c>
      <c r="BC17" s="27">
        <f t="shared" si="11"/>
        <v>465366171.00173742</v>
      </c>
      <c r="BD17" s="27">
        <f t="shared" si="11"/>
        <v>253506334.03813171</v>
      </c>
      <c r="BE17" s="27">
        <f t="shared" si="11"/>
        <v>700375490.89937329</v>
      </c>
      <c r="BF17" s="27">
        <f t="shared" si="11"/>
        <v>508280008.34459603</v>
      </c>
      <c r="BG17" s="27">
        <f t="shared" si="11"/>
        <v>346870365.01161534</v>
      </c>
      <c r="BH17" s="27">
        <f t="shared" si="11"/>
        <v>112777744.84435798</v>
      </c>
      <c r="BI17" s="27">
        <f t="shared" si="11"/>
        <v>421557866.96440107</v>
      </c>
      <c r="BJ17" s="27">
        <f t="shared" si="11"/>
        <v>278284932.11786765</v>
      </c>
      <c r="BK17" s="27">
        <f t="shared" si="11"/>
        <v>184429592.2834636</v>
      </c>
      <c r="BL17" s="27">
        <f t="shared" si="11"/>
        <v>92249743.195517018</v>
      </c>
      <c r="BM17" s="27">
        <f t="shared" si="11"/>
        <v>-5664243.1453366391</v>
      </c>
      <c r="BN17" s="27">
        <f t="shared" si="11"/>
        <v>-89958370.469999969</v>
      </c>
      <c r="BO17" s="27">
        <f t="shared" ref="BO17:CJ17" si="12">BO15-BO16</f>
        <v>-66945651.919999987</v>
      </c>
      <c r="BP17" s="27">
        <f t="shared" si="12"/>
        <v>-36931058.579999991</v>
      </c>
      <c r="BQ17" s="27">
        <f t="shared" si="12"/>
        <v>-57644251.829999976</v>
      </c>
      <c r="BR17" s="27">
        <f t="shared" si="12"/>
        <v>-883574.4099999927</v>
      </c>
      <c r="BS17" s="27">
        <f t="shared" si="12"/>
        <v>14146871.640000165</v>
      </c>
      <c r="BT17" s="27">
        <f t="shared" si="12"/>
        <v>-31336332.299999945</v>
      </c>
      <c r="BU17" s="27">
        <f t="shared" si="12"/>
        <v>-41480263.320000201</v>
      </c>
      <c r="BV17" s="27">
        <f t="shared" si="12"/>
        <v>-63652408.539999999</v>
      </c>
      <c r="BW17" s="27">
        <f t="shared" si="12"/>
        <v>55287220.185182847</v>
      </c>
      <c r="BX17" s="27">
        <f t="shared" si="12"/>
        <v>77330083.226681858</v>
      </c>
      <c r="BY17" s="27">
        <f t="shared" si="12"/>
        <v>112935653.69820741</v>
      </c>
      <c r="BZ17" s="27">
        <f t="shared" si="12"/>
        <v>605045102.11999989</v>
      </c>
      <c r="CA17" s="27">
        <f t="shared" si="12"/>
        <v>97881357.618237168</v>
      </c>
      <c r="CB17" s="27">
        <f t="shared" si="12"/>
        <v>127522699.11818066</v>
      </c>
      <c r="CC17" s="27">
        <f t="shared" si="12"/>
        <v>65271215.472856551</v>
      </c>
      <c r="CD17" s="27">
        <f t="shared" si="12"/>
        <v>89646632.711809173</v>
      </c>
      <c r="CE17" s="27">
        <f t="shared" si="12"/>
        <v>35855220.602730975</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32.273529189705108</v>
      </c>
      <c r="C18" s="57">
        <f t="shared" ref="C18:D18" si="13">C17/C4*100</f>
        <v>27.012444748897739</v>
      </c>
      <c r="D18" s="57">
        <f t="shared" si="13"/>
        <v>30.107532248489736</v>
      </c>
      <c r="E18" s="57">
        <f>E17/E4</f>
        <v>0.29860801660634956</v>
      </c>
      <c r="F18" s="57">
        <f t="shared" ref="F18:BQ18" si="14">F17/F4</f>
        <v>0.33179624830550403</v>
      </c>
      <c r="G18" s="57">
        <f t="shared" si="14"/>
        <v>0.32057589714298312</v>
      </c>
      <c r="H18" s="57">
        <f t="shared" si="14"/>
        <v>0.37171471898544445</v>
      </c>
      <c r="I18" s="57">
        <f t="shared" si="14"/>
        <v>0.3939540435584627</v>
      </c>
      <c r="J18" s="57">
        <f t="shared" si="14"/>
        <v>0.42770648562320346</v>
      </c>
      <c r="K18" s="57">
        <f t="shared" si="14"/>
        <v>0.3884065701765933</v>
      </c>
      <c r="L18" s="57">
        <f t="shared" si="14"/>
        <v>0.47692840073031256</v>
      </c>
      <c r="M18" s="57">
        <f t="shared" si="14"/>
        <v>0.4773714132459223</v>
      </c>
      <c r="N18" s="57">
        <f t="shared" si="14"/>
        <v>0.49902992717826417</v>
      </c>
      <c r="O18" s="57">
        <f t="shared" si="14"/>
        <v>0.46745258351778896</v>
      </c>
      <c r="P18" s="57">
        <f t="shared" si="14"/>
        <v>0.46588330212809659</v>
      </c>
      <c r="Q18" s="57">
        <f t="shared" si="14"/>
        <v>0.46091737195756338</v>
      </c>
      <c r="R18" s="57">
        <f t="shared" si="14"/>
        <v>0.47058133954568554</v>
      </c>
      <c r="S18" s="57">
        <f t="shared" si="14"/>
        <v>0.37787074067443416</v>
      </c>
      <c r="T18" s="57">
        <f t="shared" si="14"/>
        <v>0.3540285144713099</v>
      </c>
      <c r="U18" s="57">
        <f t="shared" si="14"/>
        <v>0.32829981601220148</v>
      </c>
      <c r="V18" s="57">
        <f t="shared" si="14"/>
        <v>0.32825020037700942</v>
      </c>
      <c r="W18" s="57">
        <f t="shared" si="14"/>
        <v>0.29493699689509911</v>
      </c>
      <c r="X18" s="57">
        <f t="shared" si="14"/>
        <v>0.26812148827984311</v>
      </c>
      <c r="Y18" s="57">
        <f t="shared" si="14"/>
        <v>0.18852494301279787</v>
      </c>
      <c r="Z18" s="57">
        <f t="shared" si="14"/>
        <v>0.17644541423788199</v>
      </c>
      <c r="AA18" s="57">
        <f t="shared" si="14"/>
        <v>8.5187352237861447E-2</v>
      </c>
      <c r="AB18" s="57">
        <f t="shared" si="14"/>
        <v>0.18841989258084771</v>
      </c>
      <c r="AC18" s="57">
        <f t="shared" si="14"/>
        <v>0.10438073870731819</v>
      </c>
      <c r="AD18" s="57">
        <f t="shared" si="14"/>
        <v>0.11567206918717539</v>
      </c>
      <c r="AE18" s="57">
        <f t="shared" si="14"/>
        <v>9.9105244015520136E-2</v>
      </c>
      <c r="AF18" s="57">
        <f t="shared" si="14"/>
        <v>7.0047104516965483E-2</v>
      </c>
      <c r="AG18" s="57">
        <f t="shared" si="14"/>
        <v>0.15096020293622966</v>
      </c>
      <c r="AH18" s="57">
        <f t="shared" si="14"/>
        <v>0.16234119906064409</v>
      </c>
      <c r="AI18" s="57">
        <f t="shared" si="14"/>
        <v>0.11992246597099736</v>
      </c>
      <c r="AJ18" s="57">
        <f t="shared" si="14"/>
        <v>0.11316256261959363</v>
      </c>
      <c r="AK18" s="57">
        <f t="shared" si="14"/>
        <v>0.1938392851475722</v>
      </c>
      <c r="AL18" s="57">
        <f t="shared" si="14"/>
        <v>0.11776100564197393</v>
      </c>
      <c r="AM18" s="57">
        <f t="shared" si="14"/>
        <v>0.10897978987635412</v>
      </c>
      <c r="AN18" s="57">
        <f t="shared" si="14"/>
        <v>9.0928326341066609E-2</v>
      </c>
      <c r="AO18" s="57">
        <f t="shared" si="14"/>
        <v>7.6917454021669343E-2</v>
      </c>
      <c r="AP18" s="57">
        <f t="shared" si="14"/>
        <v>9.2297583718867204E-2</v>
      </c>
      <c r="AQ18" s="57">
        <f t="shared" si="14"/>
        <v>0.10659212171570524</v>
      </c>
      <c r="AR18" s="57">
        <f t="shared" si="14"/>
        <v>0.10399988204832905</v>
      </c>
      <c r="AS18" s="57">
        <f t="shared" si="14"/>
        <v>0.19581126225673759</v>
      </c>
      <c r="AT18" s="57">
        <f t="shared" si="14"/>
        <v>0.21111086359963099</v>
      </c>
      <c r="AU18" s="57">
        <f t="shared" si="14"/>
        <v>0.22226958290899965</v>
      </c>
      <c r="AV18" s="57">
        <f t="shared" si="14"/>
        <v>0.22166251268462889</v>
      </c>
      <c r="AW18" s="57">
        <f t="shared" si="14"/>
        <v>0.22830983711198363</v>
      </c>
      <c r="AX18" s="57">
        <f t="shared" si="14"/>
        <v>0.2473501864713018</v>
      </c>
      <c r="AY18" s="57">
        <f t="shared" si="14"/>
        <v>0.25093514186828381</v>
      </c>
      <c r="AZ18" s="57">
        <f t="shared" si="14"/>
        <v>0.22676337455374881</v>
      </c>
      <c r="BA18" s="57">
        <f t="shared" si="14"/>
        <v>0.26440036434967051</v>
      </c>
      <c r="BB18" s="57">
        <f t="shared" si="14"/>
        <v>0.29684355487449698</v>
      </c>
      <c r="BC18" s="57">
        <f t="shared" si="14"/>
        <v>0.30672412475508032</v>
      </c>
      <c r="BD18" s="57">
        <f t="shared" si="14"/>
        <v>0.3220397446482941</v>
      </c>
      <c r="BE18" s="57">
        <f t="shared" si="14"/>
        <v>0.29454138554222603</v>
      </c>
      <c r="BF18" s="57">
        <f t="shared" si="14"/>
        <v>0.30336152800677862</v>
      </c>
      <c r="BG18" s="57">
        <f t="shared" si="14"/>
        <v>0.32891200593266551</v>
      </c>
      <c r="BH18" s="57">
        <f t="shared" si="14"/>
        <v>0.34269281937346441</v>
      </c>
      <c r="BI18" s="57">
        <f t="shared" si="14"/>
        <v>0.30623183012404326</v>
      </c>
      <c r="BJ18" s="57">
        <f t="shared" si="14"/>
        <v>0.27428150367537585</v>
      </c>
      <c r="BK18" s="57">
        <f t="shared" si="14"/>
        <v>0.27435744779724563</v>
      </c>
      <c r="BL18" s="57">
        <f t="shared" si="14"/>
        <v>0.23479398847425151</v>
      </c>
      <c r="BM18" s="57">
        <f t="shared" si="14"/>
        <v>-2.2331992761899181E-3</v>
      </c>
      <c r="BN18" s="57">
        <f t="shared" si="14"/>
        <v>-4.0817188196374296E-2</v>
      </c>
      <c r="BO18" s="57">
        <f t="shared" si="14"/>
        <v>-4.8945739308136817E-2</v>
      </c>
      <c r="BP18" s="57">
        <f t="shared" si="14"/>
        <v>-6.0393381720224244E-2</v>
      </c>
      <c r="BQ18" s="57">
        <f t="shared" si="14"/>
        <v>-3.0237080327186059E-2</v>
      </c>
      <c r="BR18" s="57">
        <f t="shared" ref="BR18:CK18" si="15">BR17/BR4</f>
        <v>-1.3675033040210351E-3</v>
      </c>
      <c r="BS18" s="57">
        <f t="shared" si="15"/>
        <v>7.6096331990232417E-3</v>
      </c>
      <c r="BT18" s="57">
        <f t="shared" si="15"/>
        <v>-5.7014195825997538E-2</v>
      </c>
      <c r="BU18" s="57">
        <f t="shared" si="15"/>
        <v>-3.1550782809451242E-2</v>
      </c>
      <c r="BV18" s="57">
        <f t="shared" si="15"/>
        <v>-0.11239394021616189</v>
      </c>
      <c r="BW18" s="57">
        <f t="shared" si="15"/>
        <v>4.5358448590667969E-2</v>
      </c>
      <c r="BX18" s="57">
        <f t="shared" si="15"/>
        <v>0.11372333106722621</v>
      </c>
      <c r="BY18" s="57">
        <f t="shared" si="15"/>
        <v>8.2692173816432485E-2</v>
      </c>
      <c r="BZ18" s="57">
        <f t="shared" si="15"/>
        <v>0.95129493892349481</v>
      </c>
      <c r="CA18" s="57">
        <f t="shared" si="15"/>
        <v>0.15950251952576458</v>
      </c>
      <c r="CB18" s="57">
        <f t="shared" si="15"/>
        <v>0.86776666221897569</v>
      </c>
      <c r="CC18" s="57">
        <f t="shared" si="15"/>
        <v>0.30621297790357838</v>
      </c>
      <c r="CD18" s="57">
        <f t="shared" si="15"/>
        <v>0.80592002654662709</v>
      </c>
      <c r="CE18" s="57">
        <f t="shared" si="15"/>
        <v>0.28140240858146381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371807713.81</v>
      </c>
      <c r="C20" s="190">
        <v>219449051.40000001</v>
      </c>
      <c r="D20" s="190">
        <v>81503748.709999993</v>
      </c>
      <c r="E20" s="190">
        <v>345673565.06</v>
      </c>
      <c r="F20" s="190">
        <v>289125342.58999997</v>
      </c>
      <c r="G20" s="190">
        <v>171226086.88</v>
      </c>
      <c r="H20" s="190">
        <v>74517491.569999993</v>
      </c>
      <c r="I20" s="190">
        <v>631230626.76999998</v>
      </c>
      <c r="J20" s="190">
        <v>489935065.30000001</v>
      </c>
      <c r="K20" s="190">
        <v>303430528.54000002</v>
      </c>
      <c r="L20" s="190">
        <v>185670423.15000001</v>
      </c>
      <c r="M20" s="190">
        <v>551027246.50999999</v>
      </c>
      <c r="N20" s="190">
        <v>419140343.29000002</v>
      </c>
      <c r="O20" s="190">
        <v>301340835.26999998</v>
      </c>
      <c r="P20" s="190">
        <v>156219977.81</v>
      </c>
      <c r="Q20" s="190">
        <v>505052099.07999998</v>
      </c>
      <c r="R20" s="190">
        <v>345239280.75</v>
      </c>
      <c r="S20" s="190">
        <v>235891432.84999999</v>
      </c>
      <c r="T20" s="190">
        <v>104430045.5</v>
      </c>
      <c r="U20" s="190">
        <v>529819245.31999999</v>
      </c>
      <c r="V20" s="190">
        <v>408733517.67000002</v>
      </c>
      <c r="W20" s="190">
        <v>231264890.75999999</v>
      </c>
      <c r="X20" s="190">
        <v>96969591.650000006</v>
      </c>
      <c r="Y20" s="190">
        <v>188578122.41999999</v>
      </c>
      <c r="Z20" s="190">
        <v>86687539.280000001</v>
      </c>
      <c r="AA20" s="190">
        <v>48708038.539999999</v>
      </c>
      <c r="AB20" s="190">
        <v>31155964.66</v>
      </c>
      <c r="AC20" s="190">
        <v>71117014.459999993</v>
      </c>
      <c r="AD20" s="190">
        <v>59421519.450000003</v>
      </c>
      <c r="AE20" s="190">
        <v>51124634.079999998</v>
      </c>
      <c r="AF20" s="190">
        <v>22663497.949999999</v>
      </c>
      <c r="AG20" s="190">
        <v>76422893.829999998</v>
      </c>
      <c r="AH20" s="190">
        <v>74163697.260000005</v>
      </c>
      <c r="AI20" s="190">
        <v>64605346.560000002</v>
      </c>
      <c r="AJ20" s="190">
        <v>38202558.57</v>
      </c>
      <c r="AK20" s="190">
        <v>102161989.84</v>
      </c>
      <c r="AL20" s="190">
        <v>79888891.620000005</v>
      </c>
      <c r="AM20" s="190">
        <v>37110688.369999997</v>
      </c>
      <c r="AN20" s="190">
        <v>30324684.289999999</v>
      </c>
      <c r="AO20" s="190">
        <v>68631860.040000007</v>
      </c>
      <c r="AP20" s="190">
        <v>86109315.530000001</v>
      </c>
      <c r="AQ20" s="190">
        <v>60573408.009999998</v>
      </c>
      <c r="AR20" s="190">
        <v>45174912.68</v>
      </c>
      <c r="AS20" s="190">
        <v>147983409.97999999</v>
      </c>
      <c r="AT20" s="190">
        <v>114399744.65000001</v>
      </c>
      <c r="AU20" s="190">
        <v>66186031.729999997</v>
      </c>
      <c r="AV20" s="190">
        <v>31224009.879999999</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36490400</v>
      </c>
      <c r="C22" s="190">
        <v>19954400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51146138.68</v>
      </c>
      <c r="F23" s="29">
        <f t="shared" si="16"/>
        <v>34414</v>
      </c>
      <c r="G23" s="29">
        <f t="shared" si="16"/>
        <v>23309</v>
      </c>
      <c r="H23" s="29">
        <f t="shared" si="16"/>
        <v>16814</v>
      </c>
      <c r="I23" s="29">
        <f t="shared" si="16"/>
        <v>56806061.390000001</v>
      </c>
      <c r="J23" s="29">
        <f t="shared" si="16"/>
        <v>0</v>
      </c>
      <c r="K23" s="29">
        <f t="shared" si="16"/>
        <v>0</v>
      </c>
      <c r="L23" s="29">
        <f t="shared" si="16"/>
        <v>0</v>
      </c>
      <c r="M23" s="29">
        <f t="shared" si="16"/>
        <v>111378811.79000001</v>
      </c>
      <c r="N23" s="29">
        <f t="shared" si="16"/>
        <v>0</v>
      </c>
      <c r="O23" s="29">
        <f t="shared" si="16"/>
        <v>0</v>
      </c>
      <c r="P23" s="29">
        <f t="shared" si="16"/>
        <v>0</v>
      </c>
      <c r="Q23" s="29">
        <f t="shared" si="16"/>
        <v>93042576.480000004</v>
      </c>
      <c r="R23" s="29">
        <f t="shared" si="16"/>
        <v>0</v>
      </c>
      <c r="S23" s="29">
        <f t="shared" si="16"/>
        <v>0</v>
      </c>
      <c r="T23" s="29">
        <f t="shared" si="16"/>
        <v>0</v>
      </c>
      <c r="U23" s="29">
        <f t="shared" si="16"/>
        <v>29735716.039999999</v>
      </c>
      <c r="V23" s="29">
        <f t="shared" si="16"/>
        <v>0</v>
      </c>
      <c r="W23" s="29">
        <f t="shared" si="16"/>
        <v>0</v>
      </c>
      <c r="X23" s="29">
        <f t="shared" si="16"/>
        <v>0</v>
      </c>
      <c r="Y23" s="29">
        <f t="shared" si="16"/>
        <v>34627423.960000001</v>
      </c>
      <c r="Z23" s="29">
        <f t="shared" si="16"/>
        <v>0</v>
      </c>
      <c r="AA23" s="29">
        <f t="shared" si="16"/>
        <v>0</v>
      </c>
      <c r="AB23" s="29">
        <f t="shared" si="16"/>
        <v>0</v>
      </c>
      <c r="AC23" s="29">
        <f t="shared" si="16"/>
        <v>33938263.890000001</v>
      </c>
      <c r="AD23" s="29">
        <f t="shared" si="16"/>
        <v>0</v>
      </c>
      <c r="AE23" s="29">
        <f t="shared" si="16"/>
        <v>0</v>
      </c>
      <c r="AF23" s="29">
        <f t="shared" si="16"/>
        <v>0</v>
      </c>
      <c r="AG23" s="29">
        <f t="shared" si="16"/>
        <v>9378386.7200000007</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547642.62999999523</v>
      </c>
      <c r="C24" s="26">
        <f t="shared" ref="C24:BN24" si="18">C67</f>
        <v>547642.62999999523</v>
      </c>
      <c r="D24" s="26">
        <f t="shared" si="18"/>
        <v>86688.590000003576</v>
      </c>
      <c r="E24" s="26">
        <f>E67</f>
        <v>-132820</v>
      </c>
      <c r="F24" s="26">
        <f t="shared" si="18"/>
        <v>-132820</v>
      </c>
      <c r="G24" s="26">
        <f t="shared" si="18"/>
        <v>-132820</v>
      </c>
      <c r="H24" s="26">
        <f t="shared" si="18"/>
        <v>0</v>
      </c>
      <c r="I24" s="26">
        <f t="shared" si="18"/>
        <v>176546681.22000003</v>
      </c>
      <c r="J24" s="26">
        <f t="shared" si="18"/>
        <v>205423481.50999993</v>
      </c>
      <c r="K24" s="26">
        <f t="shared" si="18"/>
        <v>63771091.939999998</v>
      </c>
      <c r="L24" s="26">
        <f t="shared" si="18"/>
        <v>0</v>
      </c>
      <c r="M24" s="26">
        <f t="shared" si="18"/>
        <v>28312270.960000038</v>
      </c>
      <c r="N24" s="26">
        <f t="shared" si="18"/>
        <v>28322713.930000007</v>
      </c>
      <c r="O24" s="26">
        <f t="shared" si="18"/>
        <v>28312270.950000048</v>
      </c>
      <c r="P24" s="26">
        <f t="shared" si="18"/>
        <v>0</v>
      </c>
      <c r="Q24" s="26">
        <f t="shared" si="18"/>
        <v>159328827.59999996</v>
      </c>
      <c r="R24" s="26">
        <f t="shared" si="18"/>
        <v>160315127.23000002</v>
      </c>
      <c r="S24" s="26">
        <f t="shared" si="18"/>
        <v>213733831.69000003</v>
      </c>
      <c r="T24" s="26">
        <f t="shared" si="18"/>
        <v>139500</v>
      </c>
      <c r="U24" s="26">
        <f t="shared" si="18"/>
        <v>18335128.280000031</v>
      </c>
      <c r="V24" s="26">
        <f t="shared" si="18"/>
        <v>18078448.279999971</v>
      </c>
      <c r="W24" s="26">
        <f t="shared" si="18"/>
        <v>673603.12000000477</v>
      </c>
      <c r="X24" s="26">
        <f t="shared" si="18"/>
        <v>333250</v>
      </c>
      <c r="Y24" s="26">
        <f t="shared" si="18"/>
        <v>7436573.3900000155</v>
      </c>
      <c r="Z24" s="26">
        <f t="shared" si="18"/>
        <v>6921628.9399999976</v>
      </c>
      <c r="AA24" s="26">
        <f t="shared" si="18"/>
        <v>6405330.3299999982</v>
      </c>
      <c r="AB24" s="26">
        <f t="shared" si="18"/>
        <v>387111.1099999994</v>
      </c>
      <c r="AC24" s="26">
        <f t="shared" si="18"/>
        <v>4014541.2900000066</v>
      </c>
      <c r="AD24" s="26">
        <f t="shared" si="18"/>
        <v>0</v>
      </c>
      <c r="AE24" s="26">
        <f t="shared" si="18"/>
        <v>0</v>
      </c>
      <c r="AF24" s="26">
        <f t="shared" si="18"/>
        <v>0</v>
      </c>
      <c r="AG24" s="26">
        <f t="shared" si="18"/>
        <v>2204625</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0</v>
      </c>
      <c r="AR24" s="26">
        <f t="shared" si="18"/>
        <v>0</v>
      </c>
      <c r="AS24" s="26">
        <f t="shared" si="18"/>
        <v>10477046.460000008</v>
      </c>
      <c r="AT24" s="26">
        <f t="shared" si="18"/>
        <v>0</v>
      </c>
      <c r="AU24" s="26">
        <f t="shared" si="18"/>
        <v>0</v>
      </c>
      <c r="AV24" s="26">
        <f t="shared" si="18"/>
        <v>0</v>
      </c>
      <c r="AW24" s="26">
        <f t="shared" si="18"/>
        <v>91896385.170000002</v>
      </c>
      <c r="AX24" s="26">
        <f t="shared" si="18"/>
        <v>91210465.540000007</v>
      </c>
      <c r="AY24" s="26">
        <f t="shared" si="18"/>
        <v>53081694.579999998</v>
      </c>
      <c r="AZ24" s="26">
        <f t="shared" si="18"/>
        <v>24609672.469999999</v>
      </c>
      <c r="BA24" s="26">
        <f t="shared" si="18"/>
        <v>128703469.58</v>
      </c>
      <c r="BB24" s="26">
        <f t="shared" si="18"/>
        <v>106163840.39</v>
      </c>
      <c r="BC24" s="26">
        <f t="shared" si="18"/>
        <v>53481238.909999996</v>
      </c>
      <c r="BD24" s="26">
        <f t="shared" si="18"/>
        <v>26156224.609999999</v>
      </c>
      <c r="BE24" s="26">
        <f t="shared" si="18"/>
        <v>95925561.390000001</v>
      </c>
      <c r="BF24" s="26">
        <f t="shared" si="18"/>
        <v>68684733.689999998</v>
      </c>
      <c r="BG24" s="26">
        <f t="shared" si="18"/>
        <v>39337239.340000004</v>
      </c>
      <c r="BH24" s="26">
        <f t="shared" si="18"/>
        <v>26915646.969999999</v>
      </c>
      <c r="BI24" s="26">
        <f t="shared" si="18"/>
        <v>67336835.930000007</v>
      </c>
      <c r="BJ24" s="26">
        <f t="shared" si="18"/>
        <v>55785335.399999999</v>
      </c>
      <c r="BK24" s="26">
        <f t="shared" si="18"/>
        <v>33176741.760000002</v>
      </c>
      <c r="BL24" s="26">
        <f t="shared" si="18"/>
        <v>18993250.530000001</v>
      </c>
      <c r="BM24" s="26">
        <f t="shared" si="18"/>
        <v>20168474.190000001</v>
      </c>
      <c r="BN24" s="26">
        <f t="shared" si="18"/>
        <v>394441.59</v>
      </c>
      <c r="BO24" s="26">
        <f t="shared" ref="BO24:CJ24" si="19">BO67</f>
        <v>0</v>
      </c>
      <c r="BP24" s="26">
        <f t="shared" si="19"/>
        <v>0</v>
      </c>
      <c r="BQ24" s="26">
        <f t="shared" si="19"/>
        <v>2566409.36</v>
      </c>
      <c r="BR24" s="26">
        <f t="shared" si="19"/>
        <v>522340</v>
      </c>
      <c r="BS24" s="26">
        <f t="shared" si="19"/>
        <v>-997944.79</v>
      </c>
      <c r="BT24" s="26">
        <f t="shared" si="19"/>
        <v>1114565.96</v>
      </c>
      <c r="BU24" s="26">
        <f t="shared" si="19"/>
        <v>-208395.35</v>
      </c>
      <c r="BV24" s="26">
        <f t="shared" si="19"/>
        <v>0</v>
      </c>
      <c r="BW24" s="26">
        <f t="shared" si="19"/>
        <v>182000</v>
      </c>
      <c r="BX24" s="26">
        <f t="shared" si="19"/>
        <v>182000</v>
      </c>
      <c r="BY24" s="26">
        <f t="shared" si="19"/>
        <v>-28155.01</v>
      </c>
      <c r="BZ24" s="26">
        <f t="shared" si="19"/>
        <v>0</v>
      </c>
      <c r="CA24" s="26">
        <f t="shared" si="19"/>
        <v>20813506.649999999</v>
      </c>
      <c r="CB24" s="26">
        <f t="shared" si="19"/>
        <v>340400</v>
      </c>
      <c r="CC24" s="26">
        <f t="shared" si="19"/>
        <v>15142.3</v>
      </c>
      <c r="CD24" s="26">
        <f t="shared" si="19"/>
        <v>15142.3</v>
      </c>
      <c r="CE24" s="26">
        <f t="shared" si="19"/>
        <v>281144.94</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30384338.170000002</v>
      </c>
      <c r="F25" s="29">
        <f t="shared" si="20"/>
        <v>-2684</v>
      </c>
      <c r="G25" s="29">
        <f t="shared" si="20"/>
        <v>377</v>
      </c>
      <c r="H25" s="29">
        <f t="shared" si="20"/>
        <v>-1008</v>
      </c>
      <c r="I25" s="29">
        <f t="shared" si="20"/>
        <v>-33494843.890000001</v>
      </c>
      <c r="J25" s="29">
        <f t="shared" si="20"/>
        <v>0</v>
      </c>
      <c r="K25" s="29">
        <f t="shared" si="20"/>
        <v>0</v>
      </c>
      <c r="L25" s="29">
        <f t="shared" si="20"/>
        <v>0</v>
      </c>
      <c r="M25" s="29">
        <f t="shared" si="20"/>
        <v>-51430157.719999999</v>
      </c>
      <c r="N25" s="29">
        <f t="shared" si="20"/>
        <v>0</v>
      </c>
      <c r="O25" s="29">
        <f t="shared" si="20"/>
        <v>0</v>
      </c>
      <c r="P25" s="29">
        <f t="shared" si="20"/>
        <v>0</v>
      </c>
      <c r="Q25" s="29">
        <f t="shared" si="20"/>
        <v>-4409373.74</v>
      </c>
      <c r="R25" s="29">
        <f t="shared" si="20"/>
        <v>0</v>
      </c>
      <c r="S25" s="29">
        <f t="shared" si="20"/>
        <v>0</v>
      </c>
      <c r="T25" s="29">
        <f t="shared" si="20"/>
        <v>0</v>
      </c>
      <c r="U25" s="29">
        <f t="shared" si="20"/>
        <v>67824779.659999996</v>
      </c>
      <c r="V25" s="29">
        <f t="shared" si="20"/>
        <v>0</v>
      </c>
      <c r="W25" s="29">
        <f t="shared" si="20"/>
        <v>0</v>
      </c>
      <c r="X25" s="29">
        <f t="shared" si="20"/>
        <v>0</v>
      </c>
      <c r="Y25" s="29">
        <f t="shared" si="20"/>
        <v>-702074.88</v>
      </c>
      <c r="Z25" s="29">
        <f t="shared" si="20"/>
        <v>0</v>
      </c>
      <c r="AA25" s="29">
        <f t="shared" si="20"/>
        <v>0</v>
      </c>
      <c r="AB25" s="29">
        <f t="shared" si="20"/>
        <v>0</v>
      </c>
      <c r="AC25" s="29">
        <f t="shared" si="20"/>
        <v>170931948.52000001</v>
      </c>
      <c r="AD25" s="29">
        <f t="shared" si="20"/>
        <v>0</v>
      </c>
      <c r="AE25" s="29">
        <f t="shared" si="20"/>
        <v>0</v>
      </c>
      <c r="AF25" s="29">
        <f t="shared" si="20"/>
        <v>0</v>
      </c>
      <c r="AG25" s="29">
        <f t="shared" si="20"/>
        <v>135586142.88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53610308.789999999</v>
      </c>
      <c r="C26" s="190">
        <v>34210545.049999997</v>
      </c>
      <c r="D26" s="190">
        <v>24467626.550000001</v>
      </c>
      <c r="E26" s="190">
        <v>13265211.140000001</v>
      </c>
      <c r="F26" s="190">
        <v>-13097975.32</v>
      </c>
      <c r="G26" s="190">
        <v>-16073122.210000001</v>
      </c>
      <c r="H26" s="190">
        <v>-9837480.5299999993</v>
      </c>
      <c r="I26" s="190">
        <v>82407804.069999993</v>
      </c>
      <c r="J26" s="190">
        <v>-9016658.6899999995</v>
      </c>
      <c r="K26" s="190">
        <v>-24414036.800000001</v>
      </c>
      <c r="L26" s="190">
        <v>0</v>
      </c>
      <c r="M26" s="190">
        <v>184977.85</v>
      </c>
      <c r="N26" s="190">
        <v>279367.51</v>
      </c>
      <c r="O26" s="190">
        <v>279367.51</v>
      </c>
      <c r="P26" s="190">
        <v>0</v>
      </c>
      <c r="Q26" s="190">
        <v>774631.15</v>
      </c>
      <c r="R26" s="190">
        <v>959609</v>
      </c>
      <c r="S26" s="190">
        <v>959609</v>
      </c>
      <c r="T26" s="190">
        <v>0</v>
      </c>
      <c r="U26" s="190">
        <v>11916961.4</v>
      </c>
      <c r="V26" s="190">
        <v>6126985.8600000003</v>
      </c>
      <c r="W26" s="190">
        <v>6126985.8600000003</v>
      </c>
      <c r="X26" s="190">
        <v>0</v>
      </c>
      <c r="Y26" s="190">
        <v>12512454.74</v>
      </c>
      <c r="Z26" s="190">
        <v>15069156.33</v>
      </c>
      <c r="AA26" s="190">
        <v>14846329.289999999</v>
      </c>
      <c r="AB26" s="190">
        <v>2730000</v>
      </c>
      <c r="AC26" s="190">
        <v>24907715.120000001</v>
      </c>
      <c r="AD26" s="190">
        <v>14695914.869999999</v>
      </c>
      <c r="AE26" s="190">
        <v>1155362.8500000001</v>
      </c>
      <c r="AF26" s="190">
        <v>0</v>
      </c>
      <c r="AG26" s="190">
        <v>5306765.67</v>
      </c>
      <c r="AH26" s="190">
        <v>10337639.34</v>
      </c>
      <c r="AI26" s="190">
        <v>10337639.34</v>
      </c>
      <c r="AJ26" s="190">
        <v>0</v>
      </c>
      <c r="AK26" s="190">
        <v>14253890.050000001</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c r="CH26" s="190"/>
      <c r="CI26" s="190"/>
      <c r="CJ26" s="190"/>
      <c r="CK26" s="190"/>
    </row>
    <row r="27" spans="1:89" x14ac:dyDescent="0.25">
      <c r="A27" s="17" t="s">
        <v>406</v>
      </c>
      <c r="B27" s="26">
        <f>SUM(B22:B26)</f>
        <v>90670883.419999987</v>
      </c>
      <c r="C27" s="26">
        <f t="shared" ref="C27:BN27" si="22">SUM(C22:C26)</f>
        <v>54741729.679999992</v>
      </c>
      <c r="D27" s="26">
        <f t="shared" si="22"/>
        <v>24589972.140000004</v>
      </c>
      <c r="E27" s="26">
        <f t="shared" si="22"/>
        <v>94662867.989999995</v>
      </c>
      <c r="F27" s="26">
        <f t="shared" si="22"/>
        <v>-13199065.32</v>
      </c>
      <c r="G27" s="26">
        <f t="shared" si="22"/>
        <v>-16182256.210000001</v>
      </c>
      <c r="H27" s="26">
        <f t="shared" si="22"/>
        <v>-9821674.5299999993</v>
      </c>
      <c r="I27" s="26">
        <f t="shared" si="22"/>
        <v>282265702.79000002</v>
      </c>
      <c r="J27" s="26">
        <f t="shared" si="22"/>
        <v>196406822.81999993</v>
      </c>
      <c r="K27" s="26">
        <f t="shared" si="22"/>
        <v>39357055.140000001</v>
      </c>
      <c r="L27" s="26">
        <f t="shared" si="22"/>
        <v>0</v>
      </c>
      <c r="M27" s="26">
        <f t="shared" si="22"/>
        <v>88445902.880000055</v>
      </c>
      <c r="N27" s="26">
        <f t="shared" si="22"/>
        <v>28602081.440000009</v>
      </c>
      <c r="O27" s="26">
        <f t="shared" si="22"/>
        <v>28591638.460000049</v>
      </c>
      <c r="P27" s="26">
        <f t="shared" si="22"/>
        <v>0</v>
      </c>
      <c r="Q27" s="26">
        <f t="shared" si="22"/>
        <v>248736661.48999998</v>
      </c>
      <c r="R27" s="26">
        <f t="shared" si="22"/>
        <v>161274736.23000002</v>
      </c>
      <c r="S27" s="26">
        <f t="shared" si="22"/>
        <v>214693440.69000003</v>
      </c>
      <c r="T27" s="26">
        <f t="shared" si="22"/>
        <v>139500</v>
      </c>
      <c r="U27" s="26">
        <f t="shared" si="22"/>
        <v>127812585.38000003</v>
      </c>
      <c r="V27" s="26">
        <f t="shared" si="22"/>
        <v>24205434.139999971</v>
      </c>
      <c r="W27" s="26">
        <f t="shared" si="22"/>
        <v>6800588.9800000051</v>
      </c>
      <c r="X27" s="26">
        <f t="shared" si="22"/>
        <v>333250</v>
      </c>
      <c r="Y27" s="26">
        <f t="shared" si="22"/>
        <v>53874377.210000016</v>
      </c>
      <c r="Z27" s="26">
        <f t="shared" si="22"/>
        <v>21990785.269999996</v>
      </c>
      <c r="AA27" s="26">
        <f t="shared" si="22"/>
        <v>21251659.619999997</v>
      </c>
      <c r="AB27" s="26">
        <f t="shared" si="22"/>
        <v>3117111.1099999994</v>
      </c>
      <c r="AC27" s="26">
        <f t="shared" si="22"/>
        <v>233792468.82000002</v>
      </c>
      <c r="AD27" s="26">
        <f t="shared" si="22"/>
        <v>14695914.869999999</v>
      </c>
      <c r="AE27" s="26">
        <f t="shared" si="22"/>
        <v>1155362.8500000001</v>
      </c>
      <c r="AF27" s="26">
        <f t="shared" si="22"/>
        <v>0</v>
      </c>
      <c r="AG27" s="26">
        <f t="shared" si="22"/>
        <v>152475920.26999998</v>
      </c>
      <c r="AH27" s="26">
        <f t="shared" si="22"/>
        <v>10337639.34</v>
      </c>
      <c r="AI27" s="26">
        <f t="shared" si="22"/>
        <v>10337639.34</v>
      </c>
      <c r="AJ27" s="26">
        <f t="shared" si="22"/>
        <v>0</v>
      </c>
      <c r="AK27" s="26">
        <f t="shared" si="22"/>
        <v>14253890.050000001</v>
      </c>
      <c r="AL27" s="26">
        <f t="shared" si="22"/>
        <v>0</v>
      </c>
      <c r="AM27" s="26">
        <f t="shared" si="22"/>
        <v>0</v>
      </c>
      <c r="AN27" s="26">
        <f t="shared" si="22"/>
        <v>0</v>
      </c>
      <c r="AO27" s="26">
        <f t="shared" si="22"/>
        <v>0</v>
      </c>
      <c r="AP27" s="26">
        <f t="shared" si="22"/>
        <v>0</v>
      </c>
      <c r="AQ27" s="26">
        <f t="shared" si="22"/>
        <v>0</v>
      </c>
      <c r="AR27" s="26">
        <f t="shared" si="22"/>
        <v>0</v>
      </c>
      <c r="AS27" s="26">
        <f t="shared" si="22"/>
        <v>10477046.460000008</v>
      </c>
      <c r="AT27" s="26">
        <f t="shared" si="22"/>
        <v>0</v>
      </c>
      <c r="AU27" s="26">
        <f t="shared" si="22"/>
        <v>0</v>
      </c>
      <c r="AV27" s="26">
        <f t="shared" si="22"/>
        <v>0</v>
      </c>
      <c r="AW27" s="26">
        <f t="shared" si="22"/>
        <v>91896385.170000002</v>
      </c>
      <c r="AX27" s="26">
        <f t="shared" si="22"/>
        <v>91210465.540000007</v>
      </c>
      <c r="AY27" s="26">
        <f t="shared" si="22"/>
        <v>53081694.579999998</v>
      </c>
      <c r="AZ27" s="26">
        <f t="shared" si="22"/>
        <v>24609672.469999999</v>
      </c>
      <c r="BA27" s="26">
        <f t="shared" si="22"/>
        <v>128703469.58</v>
      </c>
      <c r="BB27" s="26">
        <f t="shared" si="22"/>
        <v>106163840.39</v>
      </c>
      <c r="BC27" s="26">
        <f t="shared" si="22"/>
        <v>53481238.909999996</v>
      </c>
      <c r="BD27" s="26">
        <f t="shared" si="22"/>
        <v>26156224.609999999</v>
      </c>
      <c r="BE27" s="26">
        <f t="shared" si="22"/>
        <v>95925561.390000001</v>
      </c>
      <c r="BF27" s="26">
        <f t="shared" si="22"/>
        <v>68684733.689999998</v>
      </c>
      <c r="BG27" s="26">
        <f t="shared" si="22"/>
        <v>39337239.340000004</v>
      </c>
      <c r="BH27" s="26">
        <f t="shared" si="22"/>
        <v>26915646.969999999</v>
      </c>
      <c r="BI27" s="26">
        <f t="shared" si="22"/>
        <v>67336835.930000007</v>
      </c>
      <c r="BJ27" s="26">
        <f t="shared" si="22"/>
        <v>55785335.399999999</v>
      </c>
      <c r="BK27" s="26">
        <f t="shared" si="22"/>
        <v>33176741.760000002</v>
      </c>
      <c r="BL27" s="26">
        <f t="shared" si="22"/>
        <v>18993250.530000001</v>
      </c>
      <c r="BM27" s="26">
        <f t="shared" si="22"/>
        <v>20168474.190000001</v>
      </c>
      <c r="BN27" s="26">
        <f t="shared" si="22"/>
        <v>394441.59</v>
      </c>
      <c r="BO27" s="26">
        <f t="shared" ref="BO27:CJ27" si="23">SUM(BO22:BO26)</f>
        <v>0</v>
      </c>
      <c r="BP27" s="26">
        <f t="shared" si="23"/>
        <v>0</v>
      </c>
      <c r="BQ27" s="26">
        <f t="shared" si="23"/>
        <v>2566409.36</v>
      </c>
      <c r="BR27" s="26">
        <f t="shared" si="23"/>
        <v>522340</v>
      </c>
      <c r="BS27" s="26">
        <f t="shared" si="23"/>
        <v>-997944.79</v>
      </c>
      <c r="BT27" s="26">
        <f t="shared" si="23"/>
        <v>1114565.96</v>
      </c>
      <c r="BU27" s="26">
        <f t="shared" si="23"/>
        <v>-208395.35</v>
      </c>
      <c r="BV27" s="26">
        <f t="shared" si="23"/>
        <v>0</v>
      </c>
      <c r="BW27" s="26">
        <f t="shared" si="23"/>
        <v>182000</v>
      </c>
      <c r="BX27" s="26">
        <f t="shared" si="23"/>
        <v>182000</v>
      </c>
      <c r="BY27" s="26">
        <f t="shared" si="23"/>
        <v>-28155.01</v>
      </c>
      <c r="BZ27" s="26">
        <f t="shared" si="23"/>
        <v>0</v>
      </c>
      <c r="CA27" s="26">
        <f t="shared" si="23"/>
        <v>20813506.649999999</v>
      </c>
      <c r="CB27" s="26">
        <f t="shared" si="23"/>
        <v>340400</v>
      </c>
      <c r="CC27" s="26">
        <f t="shared" si="23"/>
        <v>15142.3</v>
      </c>
      <c r="CD27" s="26">
        <f t="shared" si="23"/>
        <v>15142.3</v>
      </c>
      <c r="CE27" s="26">
        <f t="shared" si="23"/>
        <v>281144.94</v>
      </c>
      <c r="CF27" s="26">
        <f t="shared" si="23"/>
        <v>0</v>
      </c>
      <c r="CG27" s="26">
        <f t="shared" si="23"/>
        <v>0</v>
      </c>
      <c r="CH27" s="26">
        <f t="shared" si="23"/>
        <v>0</v>
      </c>
      <c r="CI27" s="26">
        <f t="shared" si="23"/>
        <v>0</v>
      </c>
      <c r="CJ27" s="26">
        <f t="shared" si="23"/>
        <v>0</v>
      </c>
    </row>
    <row r="28" spans="1:89" x14ac:dyDescent="0.25">
      <c r="A28" s="17" t="s">
        <v>407</v>
      </c>
      <c r="B28" s="26">
        <f>SUM(B22:B25)*B41</f>
        <v>5271475.3013640484</v>
      </c>
      <c r="C28" s="26">
        <f t="shared" ref="C28:BN28" si="24">SUM(C22:C25)*C41</f>
        <v>3509011.5195468953</v>
      </c>
      <c r="D28" s="26">
        <f t="shared" si="24"/>
        <v>17669.137272025549</v>
      </c>
      <c r="E28" s="26">
        <f t="shared" si="24"/>
        <v>11832849.695909858</v>
      </c>
      <c r="F28" s="26">
        <f t="shared" si="24"/>
        <v>-14714.611261295635</v>
      </c>
      <c r="G28" s="26">
        <f t="shared" si="24"/>
        <v>-17920.989381084346</v>
      </c>
      <c r="H28" s="26">
        <f t="shared" si="24"/>
        <v>1895.0113637780553</v>
      </c>
      <c r="I28" s="26">
        <f t="shared" si="24"/>
        <v>23745303.286661241</v>
      </c>
      <c r="J28" s="26">
        <f t="shared" si="24"/>
        <v>26251349.532192312</v>
      </c>
      <c r="K28" s="26">
        <f t="shared" si="24"/>
        <v>9166228.3464979939</v>
      </c>
      <c r="L28" s="26">
        <f t="shared" si="24"/>
        <v>0</v>
      </c>
      <c r="M28" s="26">
        <f t="shared" si="24"/>
        <v>7122480.8211114863</v>
      </c>
      <c r="N28" s="26">
        <f t="shared" si="24"/>
        <v>2420036.3229763163</v>
      </c>
      <c r="O28" s="26">
        <f t="shared" si="24"/>
        <v>2915305.5015221969</v>
      </c>
      <c r="P28" s="26">
        <f t="shared" si="24"/>
        <v>0</v>
      </c>
      <c r="Q28" s="26">
        <f t="shared" si="24"/>
        <v>17856025.370427575</v>
      </c>
      <c r="R28" s="26">
        <f t="shared" si="24"/>
        <v>11968965.580677269</v>
      </c>
      <c r="S28" s="26">
        <f t="shared" si="24"/>
        <v>22271759.801700059</v>
      </c>
      <c r="T28" s="26">
        <f t="shared" si="24"/>
        <v>17626.143467141843</v>
      </c>
      <c r="U28" s="26">
        <f t="shared" si="24"/>
        <v>12280941.561781518</v>
      </c>
      <c r="V28" s="26">
        <f t="shared" si="24"/>
        <v>1808849.1974210616</v>
      </c>
      <c r="W28" s="26">
        <f t="shared" si="24"/>
        <v>64042.7868567564</v>
      </c>
      <c r="X28" s="26">
        <f t="shared" si="24"/>
        <v>33868.648680892322</v>
      </c>
      <c r="Y28" s="26">
        <f t="shared" si="24"/>
        <v>5402308.0571960527</v>
      </c>
      <c r="Z28" s="26">
        <f t="shared" si="24"/>
        <v>964104.40172546532</v>
      </c>
      <c r="AA28" s="26">
        <f t="shared" si="24"/>
        <v>2479787.4098653854</v>
      </c>
      <c r="AB28" s="26">
        <f t="shared" si="24"/>
        <v>-295557.28812232596</v>
      </c>
      <c r="AC28" s="26">
        <f t="shared" si="24"/>
        <v>53558783.505655192</v>
      </c>
      <c r="AD28" s="26">
        <f t="shared" si="24"/>
        <v>0</v>
      </c>
      <c r="AE28" s="26">
        <f t="shared" si="24"/>
        <v>0</v>
      </c>
      <c r="AF28" s="26">
        <f t="shared" si="24"/>
        <v>0</v>
      </c>
      <c r="AG28" s="26">
        <f t="shared" si="24"/>
        <v>31090163.312418219</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0</v>
      </c>
      <c r="AQ28" s="26">
        <f t="shared" si="24"/>
        <v>0</v>
      </c>
      <c r="AR28" s="26">
        <f t="shared" si="24"/>
        <v>0</v>
      </c>
      <c r="AS28" s="26">
        <f t="shared" si="24"/>
        <v>1383091.9250591742</v>
      </c>
      <c r="AT28" s="26">
        <f t="shared" si="24"/>
        <v>0</v>
      </c>
      <c r="AU28" s="26">
        <f t="shared" si="24"/>
        <v>0</v>
      </c>
      <c r="AV28" s="26">
        <f t="shared" si="24"/>
        <v>0</v>
      </c>
      <c r="AW28" s="26">
        <f t="shared" si="24"/>
        <v>8240680.8323790673</v>
      </c>
      <c r="AX28" s="26">
        <f t="shared" si="24"/>
        <v>8693874.004198445</v>
      </c>
      <c r="AY28" s="26">
        <f t="shared" si="24"/>
        <v>4556489.0244262852</v>
      </c>
      <c r="AZ28" s="26">
        <f t="shared" si="24"/>
        <v>2371623.964407065</v>
      </c>
      <c r="BA28" s="26">
        <f t="shared" si="24"/>
        <v>8986711.8033323046</v>
      </c>
      <c r="BB28" s="26">
        <f t="shared" si="24"/>
        <v>7964887.8398658903</v>
      </c>
      <c r="BC28" s="26">
        <f t="shared" si="24"/>
        <v>3878054.2330369805</v>
      </c>
      <c r="BD28" s="26">
        <f t="shared" si="24"/>
        <v>1572755.013953882</v>
      </c>
      <c r="BE28" s="26">
        <f t="shared" si="24"/>
        <v>6699725.0945743807</v>
      </c>
      <c r="BF28" s="26">
        <f t="shared" si="24"/>
        <v>4821065.4793234263</v>
      </c>
      <c r="BG28" s="26">
        <f t="shared" si="24"/>
        <v>2633253.0662679425</v>
      </c>
      <c r="BH28" s="26">
        <f t="shared" si="24"/>
        <v>694925.67334603309</v>
      </c>
      <c r="BI28" s="26">
        <f t="shared" si="24"/>
        <v>5805126.9954097876</v>
      </c>
      <c r="BJ28" s="26">
        <f t="shared" si="24"/>
        <v>4550742.273428916</v>
      </c>
      <c r="BK28" s="26">
        <f t="shared" si="24"/>
        <v>2967640.1355335256</v>
      </c>
      <c r="BL28" s="26">
        <f t="shared" si="24"/>
        <v>1892954.9880444861</v>
      </c>
      <c r="BM28" s="26">
        <f t="shared" si="24"/>
        <v>23859898.764865678</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f t="shared" si="25"/>
        <v>0</v>
      </c>
      <c r="BW28" s="26">
        <f t="shared" si="25"/>
        <v>69444.788502936339</v>
      </c>
      <c r="BX28" s="26">
        <f t="shared" si="25"/>
        <v>63453.77088078946</v>
      </c>
      <c r="BY28" s="26">
        <f t="shared" si="25"/>
        <v>-9474.1871021482748</v>
      </c>
      <c r="BZ28" s="26">
        <f t="shared" si="25"/>
        <v>0</v>
      </c>
      <c r="CA28" s="26">
        <f t="shared" si="25"/>
        <v>7470702.1123748068</v>
      </c>
      <c r="CB28" s="26">
        <f t="shared" si="25"/>
        <v>45012.228180660655</v>
      </c>
      <c r="CC28" s="26">
        <f t="shared" si="25"/>
        <v>5024.6361164244836</v>
      </c>
      <c r="CD28" s="26">
        <f t="shared" si="25"/>
        <v>2930.8218091755643</v>
      </c>
      <c r="CE28" s="26">
        <f t="shared" si="25"/>
        <v>93256.888730601437</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85399408.118635938</v>
      </c>
      <c r="C29" s="28">
        <f t="shared" ref="C29:BN29" si="26">C27-C28</f>
        <v>51232718.160453096</v>
      </c>
      <c r="D29" s="28">
        <f t="shared" si="26"/>
        <v>24572303.002727978</v>
      </c>
      <c r="E29" s="28">
        <f t="shared" si="26"/>
        <v>82830018.294090137</v>
      </c>
      <c r="F29" s="28">
        <f t="shared" si="26"/>
        <v>-13184350.708738705</v>
      </c>
      <c r="G29" s="28">
        <f t="shared" si="26"/>
        <v>-16164335.220618917</v>
      </c>
      <c r="H29" s="28">
        <f t="shared" si="26"/>
        <v>-9823569.5413637776</v>
      </c>
      <c r="I29" s="28">
        <f t="shared" si="26"/>
        <v>258520399.50333878</v>
      </c>
      <c r="J29" s="28">
        <f t="shared" si="26"/>
        <v>170155473.28780761</v>
      </c>
      <c r="K29" s="28">
        <f t="shared" si="26"/>
        <v>30190826.793502007</v>
      </c>
      <c r="L29" s="28">
        <f t="shared" si="26"/>
        <v>0</v>
      </c>
      <c r="M29" s="28">
        <f t="shared" si="26"/>
        <v>81323422.058888569</v>
      </c>
      <c r="N29" s="28">
        <f t="shared" si="26"/>
        <v>26182045.117023692</v>
      </c>
      <c r="O29" s="28">
        <f t="shared" si="26"/>
        <v>25676332.958477851</v>
      </c>
      <c r="P29" s="28">
        <f t="shared" si="26"/>
        <v>0</v>
      </c>
      <c r="Q29" s="28">
        <f t="shared" si="26"/>
        <v>230880636.1195724</v>
      </c>
      <c r="R29" s="28">
        <f t="shared" si="26"/>
        <v>149305770.64932275</v>
      </c>
      <c r="S29" s="28">
        <f t="shared" si="26"/>
        <v>192421680.88829997</v>
      </c>
      <c r="T29" s="28">
        <f t="shared" si="26"/>
        <v>121873.85653285816</v>
      </c>
      <c r="U29" s="28">
        <f t="shared" si="26"/>
        <v>115531643.8182185</v>
      </c>
      <c r="V29" s="28">
        <f t="shared" si="26"/>
        <v>22396584.942578908</v>
      </c>
      <c r="W29" s="28">
        <f t="shared" si="26"/>
        <v>6736546.1931432486</v>
      </c>
      <c r="X29" s="28">
        <f t="shared" si="26"/>
        <v>299381.35131910769</v>
      </c>
      <c r="Y29" s="28">
        <f t="shared" si="26"/>
        <v>48472069.152803965</v>
      </c>
      <c r="Z29" s="28">
        <f t="shared" si="26"/>
        <v>21026680.868274532</v>
      </c>
      <c r="AA29" s="28">
        <f t="shared" si="26"/>
        <v>18771872.210134611</v>
      </c>
      <c r="AB29" s="28">
        <f t="shared" si="26"/>
        <v>3412668.3981223255</v>
      </c>
      <c r="AC29" s="28">
        <f t="shared" si="26"/>
        <v>180233685.31434482</v>
      </c>
      <c r="AD29" s="28">
        <f t="shared" si="26"/>
        <v>14695914.869999999</v>
      </c>
      <c r="AE29" s="28">
        <f t="shared" si="26"/>
        <v>1155362.8500000001</v>
      </c>
      <c r="AF29" s="28">
        <f t="shared" si="26"/>
        <v>0</v>
      </c>
      <c r="AG29" s="28">
        <f t="shared" si="26"/>
        <v>121385756.95758176</v>
      </c>
      <c r="AH29" s="28">
        <f t="shared" si="26"/>
        <v>10337639.34</v>
      </c>
      <c r="AI29" s="28">
        <f t="shared" si="26"/>
        <v>10337639.34</v>
      </c>
      <c r="AJ29" s="28">
        <f t="shared" si="26"/>
        <v>0</v>
      </c>
      <c r="AK29" s="28">
        <f t="shared" si="26"/>
        <v>14253890.050000001</v>
      </c>
      <c r="AL29" s="28">
        <f t="shared" si="26"/>
        <v>0</v>
      </c>
      <c r="AM29" s="28">
        <f t="shared" si="26"/>
        <v>0</v>
      </c>
      <c r="AN29" s="28">
        <f t="shared" si="26"/>
        <v>0</v>
      </c>
      <c r="AO29" s="28">
        <f t="shared" si="26"/>
        <v>0</v>
      </c>
      <c r="AP29" s="28">
        <f t="shared" si="26"/>
        <v>0</v>
      </c>
      <c r="AQ29" s="28">
        <f t="shared" si="26"/>
        <v>0</v>
      </c>
      <c r="AR29" s="28">
        <f t="shared" si="26"/>
        <v>0</v>
      </c>
      <c r="AS29" s="28">
        <f t="shared" si="26"/>
        <v>9093954.5349408351</v>
      </c>
      <c r="AT29" s="28">
        <f t="shared" si="26"/>
        <v>0</v>
      </c>
      <c r="AU29" s="28">
        <f t="shared" si="26"/>
        <v>0</v>
      </c>
      <c r="AV29" s="28">
        <f t="shared" si="26"/>
        <v>0</v>
      </c>
      <c r="AW29" s="28">
        <f t="shared" si="26"/>
        <v>83655704.337620929</v>
      </c>
      <c r="AX29" s="28">
        <f t="shared" si="26"/>
        <v>82516591.53580156</v>
      </c>
      <c r="AY29" s="28">
        <f t="shared" si="26"/>
        <v>48525205.555573717</v>
      </c>
      <c r="AZ29" s="28">
        <f t="shared" si="26"/>
        <v>22238048.505592935</v>
      </c>
      <c r="BA29" s="28">
        <f t="shared" si="26"/>
        <v>119716757.7766677</v>
      </c>
      <c r="BB29" s="28">
        <f t="shared" si="26"/>
        <v>98198952.550134107</v>
      </c>
      <c r="BC29" s="28">
        <f t="shared" si="26"/>
        <v>49603184.676963016</v>
      </c>
      <c r="BD29" s="28">
        <f t="shared" si="26"/>
        <v>24583469.596046116</v>
      </c>
      <c r="BE29" s="28">
        <f t="shared" si="26"/>
        <v>89225836.295425624</v>
      </c>
      <c r="BF29" s="28">
        <f t="shared" si="26"/>
        <v>63863668.210676573</v>
      </c>
      <c r="BG29" s="28">
        <f t="shared" si="26"/>
        <v>36703986.273732059</v>
      </c>
      <c r="BH29" s="28">
        <f t="shared" si="26"/>
        <v>26220721.296653967</v>
      </c>
      <c r="BI29" s="28">
        <f t="shared" si="26"/>
        <v>61531708.93459022</v>
      </c>
      <c r="BJ29" s="28">
        <f t="shared" si="26"/>
        <v>51234593.126571082</v>
      </c>
      <c r="BK29" s="28">
        <f t="shared" si="26"/>
        <v>30209101.624466475</v>
      </c>
      <c r="BL29" s="28">
        <f t="shared" si="26"/>
        <v>17100295.541955516</v>
      </c>
      <c r="BM29" s="28">
        <f t="shared" si="26"/>
        <v>-3691424.5748656765</v>
      </c>
      <c r="BN29" s="28">
        <f t="shared" si="26"/>
        <v>394441.59</v>
      </c>
      <c r="BO29" s="28">
        <f t="shared" ref="BO29:CK29" si="27">BO27-BO28</f>
        <v>0</v>
      </c>
      <c r="BP29" s="28">
        <f t="shared" si="27"/>
        <v>0</v>
      </c>
      <c r="BQ29" s="28">
        <f t="shared" si="27"/>
        <v>2566409.36</v>
      </c>
      <c r="BR29" s="28">
        <f t="shared" si="27"/>
        <v>522340</v>
      </c>
      <c r="BS29" s="28">
        <f t="shared" si="27"/>
        <v>-997944.79</v>
      </c>
      <c r="BT29" s="28">
        <f t="shared" si="27"/>
        <v>1114565.96</v>
      </c>
      <c r="BU29" s="28">
        <f t="shared" si="27"/>
        <v>-208395.35</v>
      </c>
      <c r="BV29" s="28">
        <f t="shared" si="27"/>
        <v>0</v>
      </c>
      <c r="BW29" s="28">
        <f t="shared" si="27"/>
        <v>112555.21149706366</v>
      </c>
      <c r="BX29" s="28">
        <f t="shared" si="27"/>
        <v>118546.22911921053</v>
      </c>
      <c r="BY29" s="28">
        <f t="shared" si="27"/>
        <v>-18680.822897851722</v>
      </c>
      <c r="BZ29" s="28">
        <f t="shared" si="27"/>
        <v>0</v>
      </c>
      <c r="CA29" s="28">
        <f t="shared" si="27"/>
        <v>13342804.537625192</v>
      </c>
      <c r="CB29" s="28">
        <f t="shared" si="27"/>
        <v>295387.77181933937</v>
      </c>
      <c r="CC29" s="28">
        <f t="shared" si="27"/>
        <v>10117.663883575515</v>
      </c>
      <c r="CD29" s="28">
        <f t="shared" si="27"/>
        <v>12211.478190824435</v>
      </c>
      <c r="CE29" s="28">
        <f t="shared" si="27"/>
        <v>187888.05126939857</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11858218074.379999</v>
      </c>
      <c r="C31" s="26">
        <f t="shared" ref="C31:BN31" si="28">C15+C20+C27</f>
        <v>6069182479.3799992</v>
      </c>
      <c r="D31" s="26">
        <f t="shared" si="28"/>
        <v>3412916014.3600006</v>
      </c>
      <c r="E31" s="26">
        <f t="shared" si="28"/>
        <v>11497221148.439999</v>
      </c>
      <c r="F31" s="26">
        <f t="shared" si="28"/>
        <v>9675279945.539999</v>
      </c>
      <c r="G31" s="26">
        <f t="shared" si="28"/>
        <v>5510742097.3399992</v>
      </c>
      <c r="H31" s="26">
        <f t="shared" si="28"/>
        <v>3287547927.3799996</v>
      </c>
      <c r="I31" s="26">
        <f t="shared" si="28"/>
        <v>13999622349.43</v>
      </c>
      <c r="J31" s="26">
        <f t="shared" si="28"/>
        <v>11543156087.460001</v>
      </c>
      <c r="K31" s="26">
        <f t="shared" si="28"/>
        <v>6302523358.8400002</v>
      </c>
      <c r="L31" s="26">
        <f t="shared" si="28"/>
        <v>3913460130.4000001</v>
      </c>
      <c r="M31" s="26">
        <f t="shared" si="28"/>
        <v>16882268894.469999</v>
      </c>
      <c r="N31" s="26">
        <f t="shared" si="28"/>
        <v>13756349068.630001</v>
      </c>
      <c r="O31" s="26">
        <f t="shared" si="28"/>
        <v>8108129365.7199984</v>
      </c>
      <c r="P31" s="26">
        <f t="shared" si="28"/>
        <v>4106350823.27</v>
      </c>
      <c r="Q31" s="26">
        <f t="shared" si="28"/>
        <v>17123092596.619999</v>
      </c>
      <c r="R31" s="26">
        <f t="shared" si="28"/>
        <v>13490806016.129999</v>
      </c>
      <c r="S31" s="26">
        <f t="shared" si="28"/>
        <v>6618396397.7000008</v>
      </c>
      <c r="T31" s="26">
        <f t="shared" si="28"/>
        <v>3104577315.9500003</v>
      </c>
      <c r="U31" s="26">
        <f t="shared" si="28"/>
        <v>11064034065.85</v>
      </c>
      <c r="V31" s="26">
        <f t="shared" si="28"/>
        <v>7886413802.3400011</v>
      </c>
      <c r="W31" s="26">
        <f t="shared" si="28"/>
        <v>4204185650.6500001</v>
      </c>
      <c r="X31" s="26">
        <f t="shared" si="28"/>
        <v>1879403120.4800003</v>
      </c>
      <c r="Y31" s="26">
        <f t="shared" si="28"/>
        <v>5417954517.340003</v>
      </c>
      <c r="Z31" s="26">
        <f t="shared" si="28"/>
        <v>3770712243.519999</v>
      </c>
      <c r="AA31" s="26">
        <f t="shared" si="28"/>
        <v>1588781898.3800004</v>
      </c>
      <c r="AB31" s="26">
        <f t="shared" si="28"/>
        <v>595557086.67000043</v>
      </c>
      <c r="AC31" s="26">
        <f t="shared" si="28"/>
        <v>3351496550.4500027</v>
      </c>
      <c r="AD31" s="26">
        <f t="shared" si="28"/>
        <v>2575435767.0199995</v>
      </c>
      <c r="AE31" s="26">
        <f t="shared" si="28"/>
        <v>1408195273.8499992</v>
      </c>
      <c r="AF31" s="26">
        <f t="shared" si="28"/>
        <v>605213165.37000036</v>
      </c>
      <c r="AG31" s="26">
        <f t="shared" si="28"/>
        <v>3281157246.1500006</v>
      </c>
      <c r="AH31" s="26">
        <f t="shared" si="28"/>
        <v>2379733714.5899997</v>
      </c>
      <c r="AI31" s="26">
        <f t="shared" si="28"/>
        <v>1151481310.9800003</v>
      </c>
      <c r="AJ31" s="26">
        <f t="shared" si="28"/>
        <v>561826086.71999967</v>
      </c>
      <c r="AK31" s="26">
        <f t="shared" si="28"/>
        <v>2951420177.9900007</v>
      </c>
      <c r="AL31" s="26">
        <f t="shared" si="28"/>
        <v>770820604.79000032</v>
      </c>
      <c r="AM31" s="26">
        <f t="shared" si="28"/>
        <v>492145768.36000025</v>
      </c>
      <c r="AN31" s="26">
        <f t="shared" si="28"/>
        <v>232152946.96000001</v>
      </c>
      <c r="AO31" s="26">
        <f t="shared" si="28"/>
        <v>910733120.70000076</v>
      </c>
      <c r="AP31" s="26">
        <f t="shared" si="28"/>
        <v>712029448.03000009</v>
      </c>
      <c r="AQ31" s="26">
        <f t="shared" si="28"/>
        <v>511706156.87000018</v>
      </c>
      <c r="AR31" s="26">
        <f t="shared" si="28"/>
        <v>264834480.0200001</v>
      </c>
      <c r="AS31" s="26">
        <f t="shared" si="28"/>
        <v>1658418749.1399999</v>
      </c>
      <c r="AT31" s="26">
        <f t="shared" si="28"/>
        <v>1258828010.2500005</v>
      </c>
      <c r="AU31" s="26">
        <f t="shared" si="28"/>
        <v>901897564.38000011</v>
      </c>
      <c r="AV31" s="26">
        <f t="shared" si="28"/>
        <v>457309827.28000009</v>
      </c>
      <c r="AW31" s="26">
        <f t="shared" si="28"/>
        <v>1149528453.9300001</v>
      </c>
      <c r="AX31" s="26">
        <f t="shared" si="28"/>
        <v>756502803.57000005</v>
      </c>
      <c r="AY31" s="26">
        <f t="shared" si="28"/>
        <v>482800935.85999978</v>
      </c>
      <c r="AZ31" s="26">
        <f t="shared" si="28"/>
        <v>211855590.26999995</v>
      </c>
      <c r="BA31" s="26">
        <f t="shared" si="28"/>
        <v>997582531.44000018</v>
      </c>
      <c r="BB31" s="26">
        <f t="shared" si="28"/>
        <v>847141711.10000014</v>
      </c>
      <c r="BC31" s="26">
        <f t="shared" si="28"/>
        <v>555230461.95000005</v>
      </c>
      <c r="BD31" s="26">
        <f t="shared" si="28"/>
        <v>295880910.43000001</v>
      </c>
      <c r="BE31" s="26">
        <f t="shared" si="28"/>
        <v>848890340.85000002</v>
      </c>
      <c r="BF31" s="26">
        <f t="shared" si="28"/>
        <v>615334777.30999994</v>
      </c>
      <c r="BG31" s="26">
        <f t="shared" si="28"/>
        <v>411093115.29999995</v>
      </c>
      <c r="BH31" s="26">
        <f t="shared" si="28"/>
        <v>142682331.34</v>
      </c>
      <c r="BI31" s="26">
        <f t="shared" si="28"/>
        <v>528666017.49000001</v>
      </c>
      <c r="BJ31" s="26">
        <f t="shared" si="28"/>
        <v>358788000.73999989</v>
      </c>
      <c r="BK31" s="26">
        <f t="shared" si="28"/>
        <v>235724074.42000008</v>
      </c>
      <c r="BL31" s="26">
        <f t="shared" si="28"/>
        <v>121454782.81999998</v>
      </c>
      <c r="BM31" s="26">
        <f t="shared" si="28"/>
        <v>51115643.6000003</v>
      </c>
      <c r="BN31" s="26">
        <f t="shared" si="28"/>
        <v>-89563928.879999965</v>
      </c>
      <c r="BO31" s="26">
        <f t="shared" ref="BO31:CJ31" si="29">BO15+BO20+BO27</f>
        <v>-66945651.919999987</v>
      </c>
      <c r="BP31" s="26">
        <f t="shared" si="29"/>
        <v>-36931058.579999991</v>
      </c>
      <c r="BQ31" s="26">
        <f t="shared" si="29"/>
        <v>-55077842.469999976</v>
      </c>
      <c r="BR31" s="26">
        <f t="shared" si="29"/>
        <v>-361234.4099999927</v>
      </c>
      <c r="BS31" s="26">
        <f t="shared" si="29"/>
        <v>13148926.850000165</v>
      </c>
      <c r="BT31" s="26">
        <f t="shared" si="29"/>
        <v>-30221766.339999944</v>
      </c>
      <c r="BU31" s="26">
        <f t="shared" si="29"/>
        <v>-41688658.670000203</v>
      </c>
      <c r="BV31" s="26">
        <f t="shared" si="29"/>
        <v>-63652408.539999999</v>
      </c>
      <c r="BW31" s="26">
        <f t="shared" si="29"/>
        <v>89580562.179999843</v>
      </c>
      <c r="BX31" s="26">
        <f t="shared" si="29"/>
        <v>118904250.81999996</v>
      </c>
      <c r="BY31" s="26">
        <f t="shared" si="29"/>
        <v>170184071.54000008</v>
      </c>
      <c r="BZ31" s="26">
        <f t="shared" si="29"/>
        <v>636022622.80999994</v>
      </c>
      <c r="CA31" s="26">
        <f t="shared" si="29"/>
        <v>173499119.48000002</v>
      </c>
      <c r="CB31" s="26">
        <f t="shared" si="29"/>
        <v>147295456.78</v>
      </c>
      <c r="CC31" s="26">
        <f t="shared" si="29"/>
        <v>97701360.919999972</v>
      </c>
      <c r="CD31" s="26">
        <f t="shared" si="29"/>
        <v>111177459.03999999</v>
      </c>
      <c r="CE31" s="26">
        <f t="shared" si="29"/>
        <v>53932847.519999996</v>
      </c>
      <c r="CF31" s="26">
        <f t="shared" si="29"/>
        <v>0</v>
      </c>
      <c r="CG31" s="26">
        <f t="shared" si="29"/>
        <v>0</v>
      </c>
      <c r="CH31" s="26">
        <f t="shared" si="29"/>
        <v>0</v>
      </c>
      <c r="CI31" s="26">
        <f t="shared" si="29"/>
        <v>0</v>
      </c>
      <c r="CJ31" s="26">
        <f t="shared" si="29"/>
        <v>0</v>
      </c>
    </row>
    <row r="32" spans="1:89" s="57" customFormat="1" x14ac:dyDescent="0.25">
      <c r="A32" s="57" t="s">
        <v>410</v>
      </c>
      <c r="B32" s="57">
        <f>B31/B4*100</f>
        <v>39.152302311406082</v>
      </c>
      <c r="C32" s="57">
        <f t="shared" ref="C32:D32" si="30">C31/C4*100</f>
        <v>34.122455376782767</v>
      </c>
      <c r="D32" s="57">
        <f t="shared" si="30"/>
        <v>36.318610725669501</v>
      </c>
      <c r="E32" s="57">
        <f>E31/E4</f>
        <v>0.36331546472463039</v>
      </c>
      <c r="F32" s="57">
        <f t="shared" ref="F32:BQ32" si="31">F31/F4</f>
        <v>0.3997193765642485</v>
      </c>
      <c r="G32" s="57">
        <f t="shared" si="31"/>
        <v>0.39466456437530606</v>
      </c>
      <c r="H32" s="57">
        <f t="shared" si="31"/>
        <v>0.43082952284685389</v>
      </c>
      <c r="I32" s="57">
        <f t="shared" si="31"/>
        <v>0.47827940920992862</v>
      </c>
      <c r="J32" s="57">
        <f t="shared" si="31"/>
        <v>0.52137190231894892</v>
      </c>
      <c r="K32" s="57">
        <f t="shared" si="31"/>
        <v>0.47969650335959013</v>
      </c>
      <c r="L32" s="57">
        <f t="shared" si="31"/>
        <v>0.56716299457002606</v>
      </c>
      <c r="M32" s="57">
        <f t="shared" si="31"/>
        <v>0.53971965898122221</v>
      </c>
      <c r="N32" s="57">
        <f t="shared" si="31"/>
        <v>0.56401076796075922</v>
      </c>
      <c r="O32" s="57">
        <f t="shared" si="31"/>
        <v>0.54321553188838401</v>
      </c>
      <c r="P32" s="57">
        <f t="shared" si="31"/>
        <v>0.54030920839931684</v>
      </c>
      <c r="Q32" s="57">
        <f t="shared" si="31"/>
        <v>0.51955592717348109</v>
      </c>
      <c r="R32" s="57">
        <f t="shared" si="31"/>
        <v>0.52838747679763975</v>
      </c>
      <c r="S32" s="57">
        <f t="shared" si="31"/>
        <v>0.45264263994654746</v>
      </c>
      <c r="T32" s="57">
        <f t="shared" si="31"/>
        <v>0.41935516527925693</v>
      </c>
      <c r="U32" s="57">
        <f t="shared" si="31"/>
        <v>0.3904174971091936</v>
      </c>
      <c r="V32" s="57">
        <f t="shared" si="31"/>
        <v>0.38593136039455223</v>
      </c>
      <c r="W32" s="57">
        <f t="shared" si="31"/>
        <v>0.3454877577247058</v>
      </c>
      <c r="X32" s="57">
        <f t="shared" si="31"/>
        <v>0.31474934905698843</v>
      </c>
      <c r="Y32" s="57">
        <f t="shared" si="31"/>
        <v>0.22700602333201003</v>
      </c>
      <c r="Z32" s="57">
        <f t="shared" si="31"/>
        <v>0.21108330136790932</v>
      </c>
      <c r="AA32" s="57">
        <f t="shared" si="31"/>
        <v>0.14540330164775606</v>
      </c>
      <c r="AB32" s="57">
        <f t="shared" si="31"/>
        <v>0.11336873858123832</v>
      </c>
      <c r="AC32" s="57">
        <f t="shared" si="31"/>
        <v>0.15442165975857045</v>
      </c>
      <c r="AD32" s="57">
        <f t="shared" si="31"/>
        <v>0.16175942221832018</v>
      </c>
      <c r="AE32" s="57">
        <f t="shared" si="31"/>
        <v>0.14656207535453938</v>
      </c>
      <c r="AF32" s="57">
        <f t="shared" si="31"/>
        <v>0.1408811820596573</v>
      </c>
      <c r="AG32" s="57">
        <f t="shared" si="31"/>
        <v>0.20574599137915645</v>
      </c>
      <c r="AH32" s="57">
        <f t="shared" si="31"/>
        <v>0.20538609697794158</v>
      </c>
      <c r="AI32" s="57">
        <f t="shared" si="31"/>
        <v>0.16589702384906954</v>
      </c>
      <c r="AJ32" s="57">
        <f t="shared" si="31"/>
        <v>0.15713679768280595</v>
      </c>
      <c r="AK32" s="57">
        <f t="shared" si="31"/>
        <v>0.24766219208519089</v>
      </c>
      <c r="AL32" s="57">
        <f t="shared" si="31"/>
        <v>0.16539531500874424</v>
      </c>
      <c r="AM32" s="57">
        <f t="shared" si="31"/>
        <v>0.15382789536975677</v>
      </c>
      <c r="AN32" s="57">
        <f t="shared" si="31"/>
        <v>0.1498060636435119</v>
      </c>
      <c r="AO32" s="57">
        <f t="shared" si="31"/>
        <v>0.13840655932339163</v>
      </c>
      <c r="AP32" s="57">
        <f t="shared" si="31"/>
        <v>0.1390506631165197</v>
      </c>
      <c r="AQ32" s="57">
        <f t="shared" si="31"/>
        <v>0.14866210438795233</v>
      </c>
      <c r="AR32" s="57">
        <f t="shared" si="31"/>
        <v>0.14807175032788913</v>
      </c>
      <c r="AS32" s="57">
        <f t="shared" si="31"/>
        <v>0.24942430672725197</v>
      </c>
      <c r="AT32" s="57">
        <f t="shared" si="31"/>
        <v>0.25785333599352511</v>
      </c>
      <c r="AU32" s="57">
        <f t="shared" si="31"/>
        <v>0.26327355752567555</v>
      </c>
      <c r="AV32" s="57">
        <f t="shared" si="31"/>
        <v>0.26815343613559328</v>
      </c>
      <c r="AW32" s="57">
        <f t="shared" si="31"/>
        <v>0.27259168703228587</v>
      </c>
      <c r="AX32" s="57">
        <f t="shared" si="31"/>
        <v>0.31089494018808195</v>
      </c>
      <c r="AY32" s="57">
        <f t="shared" si="31"/>
        <v>0.30840554921839675</v>
      </c>
      <c r="AZ32" s="57">
        <f t="shared" si="31"/>
        <v>0.28392892739893594</v>
      </c>
      <c r="BA32" s="57">
        <f t="shared" si="31"/>
        <v>0.32635243793840341</v>
      </c>
      <c r="BB32" s="57">
        <f t="shared" si="31"/>
        <v>0.36690042662712097</v>
      </c>
      <c r="BC32" s="57">
        <f t="shared" si="31"/>
        <v>0.36595392637239388</v>
      </c>
      <c r="BD32" s="57">
        <f t="shared" si="31"/>
        <v>0.3758699489806413</v>
      </c>
      <c r="BE32" s="57">
        <f t="shared" si="31"/>
        <v>0.35699898185514201</v>
      </c>
      <c r="BF32" s="57">
        <f t="shared" si="31"/>
        <v>0.36725603056557254</v>
      </c>
      <c r="BG32" s="57">
        <f t="shared" si="31"/>
        <v>0.38980978145510864</v>
      </c>
      <c r="BH32" s="57">
        <f t="shared" si="31"/>
        <v>0.4335625833728452</v>
      </c>
      <c r="BI32" s="57">
        <f t="shared" si="31"/>
        <v>0.38403828927719552</v>
      </c>
      <c r="BJ32" s="57">
        <f t="shared" si="31"/>
        <v>0.35362644895904</v>
      </c>
      <c r="BK32" s="57">
        <f t="shared" si="31"/>
        <v>0.35066311561779628</v>
      </c>
      <c r="BL32" s="57">
        <f t="shared" si="31"/>
        <v>0.30912663699390769</v>
      </c>
      <c r="BM32" s="57">
        <f t="shared" si="31"/>
        <v>2.0152986967638058E-2</v>
      </c>
      <c r="BN32" s="57">
        <f t="shared" si="31"/>
        <v>-4.0638216561746071E-2</v>
      </c>
      <c r="BO32" s="57">
        <f t="shared" si="31"/>
        <v>-4.8945739308136817E-2</v>
      </c>
      <c r="BP32" s="57">
        <f t="shared" si="31"/>
        <v>-6.0393381720224244E-2</v>
      </c>
      <c r="BQ32" s="57">
        <f t="shared" si="31"/>
        <v>-2.8890879734634067E-2</v>
      </c>
      <c r="BR32" s="57">
        <f t="shared" ref="BR32:CK32" si="32">BR31/BR4</f>
        <v>-5.5908052973272881E-4</v>
      </c>
      <c r="BS32" s="57">
        <f t="shared" si="32"/>
        <v>7.0728365136483416E-3</v>
      </c>
      <c r="BT32" s="57">
        <f t="shared" si="32"/>
        <v>-5.4986323473353665E-2</v>
      </c>
      <c r="BU32" s="57">
        <f t="shared" si="32"/>
        <v>-3.1709292806739016E-2</v>
      </c>
      <c r="BV32" s="57">
        <f t="shared" si="32"/>
        <v>-0.11239394021616189</v>
      </c>
      <c r="BW32" s="57">
        <f t="shared" si="32"/>
        <v>7.3493210741197981E-2</v>
      </c>
      <c r="BX32" s="57">
        <f t="shared" si="32"/>
        <v>0.17486322162184978</v>
      </c>
      <c r="BY32" s="57">
        <f t="shared" si="32"/>
        <v>0.12460981420606274</v>
      </c>
      <c r="BZ32" s="57">
        <f t="shared" si="32"/>
        <v>1</v>
      </c>
      <c r="CA32" s="57">
        <f t="shared" si="32"/>
        <v>0.28272540722714246</v>
      </c>
      <c r="CB32" s="57">
        <f t="shared" si="32"/>
        <v>1.0023163544518894</v>
      </c>
      <c r="CC32" s="57">
        <f t="shared" si="32"/>
        <v>0.45835556233799318</v>
      </c>
      <c r="CD32" s="57">
        <f t="shared" si="32"/>
        <v>0.99948138631090266</v>
      </c>
      <c r="CE32" s="57">
        <f t="shared" si="32"/>
        <v>0.42328098777975043</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10232023022.088337</v>
      </c>
      <c r="C33" s="26">
        <f t="shared" ref="C33:BN33" si="33">C17+C20+C29</f>
        <v>5075243885.1806269</v>
      </c>
      <c r="D33" s="26">
        <f t="shared" si="33"/>
        <v>2935327416.5262318</v>
      </c>
      <c r="E33" s="26">
        <f t="shared" si="33"/>
        <v>9878039143.9236336</v>
      </c>
      <c r="F33" s="26">
        <f t="shared" si="33"/>
        <v>8307129309.1172695</v>
      </c>
      <c r="G33" s="26">
        <f t="shared" si="33"/>
        <v>4631296132.0493488</v>
      </c>
      <c r="H33" s="26">
        <f t="shared" si="33"/>
        <v>2901152170.9950829</v>
      </c>
      <c r="I33" s="26">
        <f t="shared" si="33"/>
        <v>12421102212.727224</v>
      </c>
      <c r="J33" s="26">
        <f t="shared" si="33"/>
        <v>10129497503.57486</v>
      </c>
      <c r="K33" s="26">
        <f t="shared" si="33"/>
        <v>5436726056.1611433</v>
      </c>
      <c r="L33" s="26">
        <f t="shared" si="33"/>
        <v>3476506213.1833148</v>
      </c>
      <c r="M33" s="26">
        <f t="shared" si="33"/>
        <v>15564385155.071091</v>
      </c>
      <c r="N33" s="26">
        <f t="shared" si="33"/>
        <v>12616774183.162172</v>
      </c>
      <c r="O33" s="26">
        <f t="shared" si="33"/>
        <v>7304295609.3041296</v>
      </c>
      <c r="P33" s="26">
        <f t="shared" si="33"/>
        <v>3696933797.7891498</v>
      </c>
      <c r="Q33" s="26">
        <f t="shared" si="33"/>
        <v>15926464546.387686</v>
      </c>
      <c r="R33" s="26">
        <f t="shared" si="33"/>
        <v>12509442915.931389</v>
      </c>
      <c r="S33" s="26">
        <f t="shared" si="33"/>
        <v>5953418634.4449596</v>
      </c>
      <c r="T33" s="26">
        <f t="shared" si="33"/>
        <v>2725501859.2366982</v>
      </c>
      <c r="U33" s="26">
        <f t="shared" si="33"/>
        <v>9949033165.3333912</v>
      </c>
      <c r="V33" s="26">
        <f t="shared" si="33"/>
        <v>7138843381.542737</v>
      </c>
      <c r="W33" s="26">
        <f t="shared" si="33"/>
        <v>3827042907.939857</v>
      </c>
      <c r="X33" s="26">
        <f t="shared" si="33"/>
        <v>1698251987.7418563</v>
      </c>
      <c r="Y33" s="26">
        <f t="shared" si="33"/>
        <v>4736576466.8450994</v>
      </c>
      <c r="Z33" s="26">
        <f t="shared" si="33"/>
        <v>3259668351.3758621</v>
      </c>
      <c r="AA33" s="26">
        <f t="shared" si="33"/>
        <v>998298686.33963645</v>
      </c>
      <c r="AB33" s="26">
        <f t="shared" si="33"/>
        <v>1024390022.097506</v>
      </c>
      <c r="AC33" s="26">
        <f t="shared" si="33"/>
        <v>2516782157.109683</v>
      </c>
      <c r="AD33" s="26">
        <f t="shared" si="33"/>
        <v>1915778217.6269023</v>
      </c>
      <c r="AE33" s="26">
        <f t="shared" si="33"/>
        <v>1004501339.9944074</v>
      </c>
      <c r="AF33" s="26">
        <f t="shared" si="33"/>
        <v>323579697.18918639</v>
      </c>
      <c r="AG33" s="26">
        <f t="shared" si="33"/>
        <v>2605263398.3830404</v>
      </c>
      <c r="AH33" s="26">
        <f t="shared" si="33"/>
        <v>1965489535.6847351</v>
      </c>
      <c r="AI33" s="26">
        <f t="shared" si="33"/>
        <v>907317642.95152867</v>
      </c>
      <c r="AJ33" s="26">
        <f t="shared" si="33"/>
        <v>442803394.63966578</v>
      </c>
      <c r="AK33" s="26">
        <f t="shared" si="33"/>
        <v>2426421992.0660186</v>
      </c>
      <c r="AL33" s="26">
        <f t="shared" si="33"/>
        <v>628711024.73075926</v>
      </c>
      <c r="AM33" s="26">
        <f t="shared" si="33"/>
        <v>385772693.36909032</v>
      </c>
      <c r="AN33" s="26">
        <f t="shared" si="33"/>
        <v>171235395.17051682</v>
      </c>
      <c r="AO33" s="26">
        <f t="shared" si="33"/>
        <v>574758688.70985055</v>
      </c>
      <c r="AP33" s="26">
        <f t="shared" si="33"/>
        <v>558732718.51785779</v>
      </c>
      <c r="AQ33" s="26">
        <f t="shared" si="33"/>
        <v>427471516.84763521</v>
      </c>
      <c r="AR33" s="26">
        <f t="shared" si="33"/>
        <v>231184429.17062074</v>
      </c>
      <c r="AS33" s="26">
        <f t="shared" si="33"/>
        <v>1459023726.0395477</v>
      </c>
      <c r="AT33" s="26">
        <f t="shared" si="33"/>
        <v>1145033175.6402276</v>
      </c>
      <c r="AU33" s="26">
        <f t="shared" si="33"/>
        <v>827616071.81989837</v>
      </c>
      <c r="AV33" s="26">
        <f t="shared" si="33"/>
        <v>409248050.33645326</v>
      </c>
      <c r="AW33" s="26">
        <f t="shared" si="33"/>
        <v>1046446084.8133988</v>
      </c>
      <c r="AX33" s="26">
        <f t="shared" si="33"/>
        <v>684395507.33899713</v>
      </c>
      <c r="AY33" s="26">
        <f t="shared" si="33"/>
        <v>441357700.43515158</v>
      </c>
      <c r="AZ33" s="26">
        <f t="shared" si="33"/>
        <v>191439154.5986017</v>
      </c>
      <c r="BA33" s="26">
        <f t="shared" si="33"/>
        <v>927926392.88098896</v>
      </c>
      <c r="BB33" s="26">
        <f t="shared" si="33"/>
        <v>783585337.39877951</v>
      </c>
      <c r="BC33" s="26">
        <f t="shared" si="33"/>
        <v>514969355.67870045</v>
      </c>
      <c r="BD33" s="26">
        <f t="shared" si="33"/>
        <v>278089803.6341778</v>
      </c>
      <c r="BE33" s="26">
        <f t="shared" si="33"/>
        <v>789601327.19479895</v>
      </c>
      <c r="BF33" s="26">
        <f t="shared" si="33"/>
        <v>572143676.55527258</v>
      </c>
      <c r="BG33" s="26">
        <f t="shared" si="33"/>
        <v>383574351.2853474</v>
      </c>
      <c r="BH33" s="26">
        <f t="shared" si="33"/>
        <v>138998466.14101195</v>
      </c>
      <c r="BI33" s="26">
        <f t="shared" si="33"/>
        <v>483089575.89899129</v>
      </c>
      <c r="BJ33" s="26">
        <f t="shared" si="33"/>
        <v>329519525.24443871</v>
      </c>
      <c r="BK33" s="26">
        <f t="shared" si="33"/>
        <v>214638693.90793008</v>
      </c>
      <c r="BL33" s="26">
        <f t="shared" si="33"/>
        <v>109350038.73747253</v>
      </c>
      <c r="BM33" s="26">
        <f t="shared" si="33"/>
        <v>-9355667.7202023156</v>
      </c>
      <c r="BN33" s="26">
        <f t="shared" si="33"/>
        <v>-89563928.879999965</v>
      </c>
      <c r="BO33" s="26">
        <f t="shared" ref="BO33:CJ33" si="34">BO17+BO20+BO29</f>
        <v>-66945651.919999987</v>
      </c>
      <c r="BP33" s="26">
        <f t="shared" si="34"/>
        <v>-36931058.579999991</v>
      </c>
      <c r="BQ33" s="26">
        <f t="shared" si="34"/>
        <v>-55077842.469999976</v>
      </c>
      <c r="BR33" s="26">
        <f t="shared" si="34"/>
        <v>-361234.4099999927</v>
      </c>
      <c r="BS33" s="26">
        <f t="shared" si="34"/>
        <v>13148926.850000165</v>
      </c>
      <c r="BT33" s="26">
        <f t="shared" si="34"/>
        <v>-30221766.339999944</v>
      </c>
      <c r="BU33" s="26">
        <f t="shared" si="34"/>
        <v>-41688658.670000203</v>
      </c>
      <c r="BV33" s="26">
        <f t="shared" si="34"/>
        <v>-63652408.539999999</v>
      </c>
      <c r="BW33" s="26">
        <f t="shared" si="34"/>
        <v>55399775.396679908</v>
      </c>
      <c r="BX33" s="26">
        <f t="shared" si="34"/>
        <v>77448629.45580107</v>
      </c>
      <c r="BY33" s="26">
        <f t="shared" si="34"/>
        <v>112916972.87530956</v>
      </c>
      <c r="BZ33" s="26">
        <f t="shared" si="34"/>
        <v>605045102.11999989</v>
      </c>
      <c r="CA33" s="26">
        <f t="shared" si="34"/>
        <v>111224162.15586236</v>
      </c>
      <c r="CB33" s="26">
        <f t="shared" si="34"/>
        <v>127818086.89</v>
      </c>
      <c r="CC33" s="26">
        <f t="shared" si="34"/>
        <v>65281333.136740126</v>
      </c>
      <c r="CD33" s="26">
        <f t="shared" si="34"/>
        <v>89658844.189999998</v>
      </c>
      <c r="CE33" s="26">
        <f t="shared" si="34"/>
        <v>36043108.654000372</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33.783090857773331</v>
      </c>
      <c r="C34" s="57">
        <f t="shared" ref="C34:D34" si="35">C33/C4*100</f>
        <v>28.534285068333759</v>
      </c>
      <c r="D34" s="57">
        <f t="shared" si="35"/>
        <v>31.236342571761927</v>
      </c>
      <c r="E34" s="57">
        <f>E33/E4</f>
        <v>0.31214885195364428</v>
      </c>
      <c r="F34" s="57">
        <f t="shared" ref="F34:BQ34" si="36">F33/F4</f>
        <v>0.34319632787572285</v>
      </c>
      <c r="G34" s="57">
        <f t="shared" si="36"/>
        <v>0.33168100378541898</v>
      </c>
      <c r="H34" s="57">
        <f t="shared" si="36"/>
        <v>0.3801927859746918</v>
      </c>
      <c r="I34" s="57">
        <f t="shared" si="36"/>
        <v>0.42435126318112387</v>
      </c>
      <c r="J34" s="57">
        <f t="shared" si="36"/>
        <v>0.4575209191454303</v>
      </c>
      <c r="K34" s="57">
        <f t="shared" si="36"/>
        <v>0.41379909765927181</v>
      </c>
      <c r="L34" s="57">
        <f t="shared" si="36"/>
        <v>0.50383691383328733</v>
      </c>
      <c r="M34" s="57">
        <f t="shared" si="36"/>
        <v>0.49758742149279622</v>
      </c>
      <c r="N34" s="57">
        <f t="shared" si="36"/>
        <v>0.51728815986940213</v>
      </c>
      <c r="O34" s="57">
        <f t="shared" si="36"/>
        <v>0.48936155869113845</v>
      </c>
      <c r="P34" s="57">
        <f t="shared" si="36"/>
        <v>0.48643855816427328</v>
      </c>
      <c r="Q34" s="57">
        <f t="shared" si="36"/>
        <v>0.48324734607972664</v>
      </c>
      <c r="R34" s="57">
        <f t="shared" si="36"/>
        <v>0.48995093181164917</v>
      </c>
      <c r="S34" s="57">
        <f t="shared" si="36"/>
        <v>0.4071637547032711</v>
      </c>
      <c r="T34" s="57">
        <f t="shared" si="36"/>
        <v>0.36815101262806982</v>
      </c>
      <c r="U34" s="57">
        <f t="shared" si="36"/>
        <v>0.35107236690954718</v>
      </c>
      <c r="V34" s="57">
        <f t="shared" si="36"/>
        <v>0.34934808227599712</v>
      </c>
      <c r="W34" s="57">
        <f t="shared" si="36"/>
        <v>0.31449526325650173</v>
      </c>
      <c r="X34" s="57">
        <f t="shared" si="36"/>
        <v>0.28441141863166025</v>
      </c>
      <c r="Y34" s="57">
        <f t="shared" si="36"/>
        <v>0.19845707166888207</v>
      </c>
      <c r="Z34" s="57">
        <f t="shared" si="36"/>
        <v>0.18247522285885029</v>
      </c>
      <c r="AA34" s="57">
        <f t="shared" si="36"/>
        <v>9.13630279728192E-2</v>
      </c>
      <c r="AB34" s="57">
        <f t="shared" si="36"/>
        <v>0.19500029001376171</v>
      </c>
      <c r="AC34" s="57">
        <f t="shared" si="36"/>
        <v>0.11596183140915044</v>
      </c>
      <c r="AD34" s="57">
        <f t="shared" si="36"/>
        <v>0.12032727880468412</v>
      </c>
      <c r="AE34" s="57">
        <f t="shared" si="36"/>
        <v>0.10454643884970045</v>
      </c>
      <c r="AF34" s="57">
        <f t="shared" si="36"/>
        <v>7.532270089109698E-2</v>
      </c>
      <c r="AG34" s="57">
        <f t="shared" si="36"/>
        <v>0.16336385625318617</v>
      </c>
      <c r="AH34" s="57">
        <f t="shared" si="36"/>
        <v>0.169634199788956</v>
      </c>
      <c r="AI34" s="57">
        <f t="shared" si="36"/>
        <v>0.13071970445035358</v>
      </c>
      <c r="AJ34" s="57">
        <f t="shared" si="36"/>
        <v>0.12384741307220602</v>
      </c>
      <c r="AK34" s="57">
        <f t="shared" si="36"/>
        <v>0.20360807788745211</v>
      </c>
      <c r="AL34" s="57">
        <f t="shared" si="36"/>
        <v>0.13490280013096415</v>
      </c>
      <c r="AM34" s="57">
        <f t="shared" si="36"/>
        <v>0.12057931882628949</v>
      </c>
      <c r="AN34" s="57">
        <f t="shared" si="36"/>
        <v>0.11049655342672092</v>
      </c>
      <c r="AO34" s="57">
        <f t="shared" si="36"/>
        <v>8.7347622192999103E-2</v>
      </c>
      <c r="AP34" s="57">
        <f t="shared" si="36"/>
        <v>0.10911368234805149</v>
      </c>
      <c r="AQ34" s="57">
        <f t="shared" si="36"/>
        <v>0.12419005401301855</v>
      </c>
      <c r="AR34" s="57">
        <f t="shared" si="36"/>
        <v>0.12925765207484521</v>
      </c>
      <c r="AS34" s="57">
        <f t="shared" si="36"/>
        <v>0.21943552046474435</v>
      </c>
      <c r="AT34" s="57">
        <f t="shared" si="36"/>
        <v>0.23454405348309379</v>
      </c>
      <c r="AU34" s="57">
        <f t="shared" si="36"/>
        <v>0.24158999436176037</v>
      </c>
      <c r="AV34" s="57">
        <f t="shared" si="36"/>
        <v>0.23997138128921111</v>
      </c>
      <c r="AW34" s="57">
        <f t="shared" si="36"/>
        <v>0.2481474057230994</v>
      </c>
      <c r="AX34" s="57">
        <f t="shared" si="36"/>
        <v>0.28126148285907998</v>
      </c>
      <c r="AY34" s="57">
        <f t="shared" si="36"/>
        <v>0.281932270412877</v>
      </c>
      <c r="AZ34" s="57">
        <f t="shared" si="36"/>
        <v>0.25656681401735509</v>
      </c>
      <c r="BA34" s="57">
        <f t="shared" si="36"/>
        <v>0.30356489914369889</v>
      </c>
      <c r="BB34" s="57">
        <f t="shared" si="36"/>
        <v>0.33937390972881903</v>
      </c>
      <c r="BC34" s="57">
        <f t="shared" si="36"/>
        <v>0.33941772036465306</v>
      </c>
      <c r="BD34" s="57">
        <f t="shared" si="36"/>
        <v>0.35326915870344333</v>
      </c>
      <c r="BE34" s="57">
        <f t="shared" si="36"/>
        <v>0.3320651164410196</v>
      </c>
      <c r="BF34" s="57">
        <f t="shared" si="36"/>
        <v>0.34147788051807793</v>
      </c>
      <c r="BG34" s="57">
        <f t="shared" si="36"/>
        <v>0.36371573369019239</v>
      </c>
      <c r="BH34" s="57">
        <f t="shared" si="36"/>
        <v>0.42236858270387223</v>
      </c>
      <c r="BI34" s="57">
        <f t="shared" si="36"/>
        <v>0.35093024359070668</v>
      </c>
      <c r="BJ34" s="57">
        <f t="shared" si="36"/>
        <v>0.32477903200364328</v>
      </c>
      <c r="BK34" s="57">
        <f t="shared" si="36"/>
        <v>0.31929650513245716</v>
      </c>
      <c r="BL34" s="57">
        <f t="shared" si="36"/>
        <v>0.27831764995344482</v>
      </c>
      <c r="BM34" s="57">
        <f t="shared" si="36"/>
        <v>-3.6885899572002691E-3</v>
      </c>
      <c r="BN34" s="57">
        <f t="shared" si="36"/>
        <v>-4.0638216561746071E-2</v>
      </c>
      <c r="BO34" s="57">
        <f t="shared" si="36"/>
        <v>-4.8945739308136817E-2</v>
      </c>
      <c r="BP34" s="57">
        <f t="shared" si="36"/>
        <v>-6.0393381720224244E-2</v>
      </c>
      <c r="BQ34" s="57">
        <f t="shared" si="36"/>
        <v>-2.8890879734634067E-2</v>
      </c>
      <c r="BR34" s="57">
        <f t="shared" ref="BR34:CK34" si="37">BR33/BR4</f>
        <v>-5.5908052973272881E-4</v>
      </c>
      <c r="BS34" s="57">
        <f t="shared" si="37"/>
        <v>7.0728365136483416E-3</v>
      </c>
      <c r="BT34" s="57">
        <f t="shared" si="37"/>
        <v>-5.4986323473353665E-2</v>
      </c>
      <c r="BU34" s="57">
        <f t="shared" si="37"/>
        <v>-3.1709292806739016E-2</v>
      </c>
      <c r="BV34" s="57">
        <f t="shared" si="37"/>
        <v>-0.11239394021616189</v>
      </c>
      <c r="BW34" s="57">
        <f t="shared" si="37"/>
        <v>4.5450790541614335E-2</v>
      </c>
      <c r="BX34" s="57">
        <f t="shared" si="37"/>
        <v>0.11389766777421483</v>
      </c>
      <c r="BY34" s="57">
        <f t="shared" si="37"/>
        <v>8.2678495604074226E-2</v>
      </c>
      <c r="BZ34" s="57">
        <f t="shared" si="37"/>
        <v>0.95129493892349481</v>
      </c>
      <c r="CA34" s="57">
        <f t="shared" si="37"/>
        <v>0.18124528028304382</v>
      </c>
      <c r="CB34" s="57">
        <f t="shared" si="37"/>
        <v>0.86977671739020779</v>
      </c>
      <c r="CC34" s="57">
        <f t="shared" si="37"/>
        <v>0.3062604438495512</v>
      </c>
      <c r="CD34" s="57">
        <f t="shared" si="37"/>
        <v>0.8060298072994565</v>
      </c>
      <c r="CE34" s="57">
        <f t="shared" si="37"/>
        <v>0.28287700974921842</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3816764284.5799999</v>
      </c>
      <c r="C35" s="26">
        <f t="shared" ref="C35:BN35" si="38">C23+C68</f>
        <v>2455891483.6100001</v>
      </c>
      <c r="D35" s="26">
        <f t="shared" si="38"/>
        <v>1203197479.25</v>
      </c>
      <c r="E35" s="26">
        <f t="shared" si="38"/>
        <v>4928913778.8600006</v>
      </c>
      <c r="F35" s="26">
        <f t="shared" si="38"/>
        <v>3541744220.5999999</v>
      </c>
      <c r="G35" s="26">
        <f t="shared" si="38"/>
        <v>2355752097.25</v>
      </c>
      <c r="H35" s="26">
        <f t="shared" si="38"/>
        <v>1192869149.3299999</v>
      </c>
      <c r="I35" s="26">
        <f t="shared" si="38"/>
        <v>5099003475.8600006</v>
      </c>
      <c r="J35" s="26">
        <f t="shared" si="38"/>
        <v>3788750145.1999998</v>
      </c>
      <c r="K35" s="26">
        <f t="shared" si="38"/>
        <v>2556042143.98</v>
      </c>
      <c r="L35" s="26">
        <f t="shared" si="38"/>
        <v>1298375752.02</v>
      </c>
      <c r="M35" s="26">
        <f t="shared" si="38"/>
        <v>6001521372.9399996</v>
      </c>
      <c r="N35" s="26">
        <f t="shared" si="38"/>
        <v>4518230704.8000002</v>
      </c>
      <c r="O35" s="26">
        <f t="shared" si="38"/>
        <v>3031769295.5100002</v>
      </c>
      <c r="P35" s="26">
        <f t="shared" si="38"/>
        <v>1550691496.54</v>
      </c>
      <c r="Q35" s="26">
        <f t="shared" si="38"/>
        <v>6248544934.0199995</v>
      </c>
      <c r="R35" s="26">
        <f t="shared" si="38"/>
        <v>4412610481.75</v>
      </c>
      <c r="S35" s="26">
        <f t="shared" si="38"/>
        <v>2785501769.75</v>
      </c>
      <c r="T35" s="26">
        <f t="shared" si="38"/>
        <v>1378416531.3399999</v>
      </c>
      <c r="U35" s="26">
        <f t="shared" si="38"/>
        <v>4439957232.3800001</v>
      </c>
      <c r="V35" s="26">
        <f t="shared" si="38"/>
        <v>3040791365.1799998</v>
      </c>
      <c r="W35" s="26">
        <f t="shared" si="38"/>
        <v>1922234045.1199999</v>
      </c>
      <c r="X35" s="26">
        <f t="shared" si="38"/>
        <v>939343493.49000001</v>
      </c>
      <c r="Y35" s="26">
        <f t="shared" si="38"/>
        <v>3117812284.8299999</v>
      </c>
      <c r="Z35" s="26">
        <f t="shared" si="38"/>
        <v>2184708235.5599999</v>
      </c>
      <c r="AA35" s="26">
        <f t="shared" si="38"/>
        <v>1362812858.8599999</v>
      </c>
      <c r="AB35" s="26">
        <f t="shared" si="38"/>
        <v>637819421.34000003</v>
      </c>
      <c r="AC35" s="26">
        <f t="shared" si="38"/>
        <v>2195305596.9200001</v>
      </c>
      <c r="AD35" s="26">
        <f t="shared" si="38"/>
        <v>1574256733.5799999</v>
      </c>
      <c r="AE35" s="26">
        <f t="shared" si="38"/>
        <v>1051252973.4400001</v>
      </c>
      <c r="AF35" s="26">
        <f t="shared" si="38"/>
        <v>539804467.36000001</v>
      </c>
      <c r="AG35" s="26">
        <f t="shared" si="38"/>
        <v>1764095397.5</v>
      </c>
      <c r="AH35" s="26">
        <f t="shared" si="38"/>
        <v>1306300339.9200001</v>
      </c>
      <c r="AI35" s="26">
        <f t="shared" si="38"/>
        <v>850301866.70000005</v>
      </c>
      <c r="AJ35" s="26">
        <f t="shared" si="38"/>
        <v>446358860.31999999</v>
      </c>
      <c r="AK35" s="26">
        <f t="shared" si="38"/>
        <v>1695173122.1600001</v>
      </c>
      <c r="AL35" s="26">
        <f t="shared" si="38"/>
        <v>443096413.83999997</v>
      </c>
      <c r="AM35" s="26">
        <f t="shared" si="38"/>
        <v>303591538.69</v>
      </c>
      <c r="AN35" s="26">
        <f t="shared" si="38"/>
        <v>152101031.75999999</v>
      </c>
      <c r="AO35" s="26">
        <f t="shared" si="38"/>
        <v>631921842.64999998</v>
      </c>
      <c r="AP35" s="26">
        <f t="shared" si="38"/>
        <v>468549156.26999998</v>
      </c>
      <c r="AQ35" s="26">
        <f t="shared" si="38"/>
        <v>302024128.31999999</v>
      </c>
      <c r="AR35" s="26">
        <f t="shared" si="38"/>
        <v>147418759.78999999</v>
      </c>
      <c r="AS35" s="26">
        <f t="shared" si="38"/>
        <v>599010240.94000006</v>
      </c>
      <c r="AT35" s="26">
        <f t="shared" si="38"/>
        <v>430862253.66000003</v>
      </c>
      <c r="AU35" s="26">
        <f t="shared" si="38"/>
        <v>279812066.18000001</v>
      </c>
      <c r="AV35" s="26">
        <f t="shared" si="38"/>
        <v>133101963.02</v>
      </c>
      <c r="AW35" s="26">
        <f t="shared" si="38"/>
        <v>336720883.55000001</v>
      </c>
      <c r="AX35" s="26">
        <f t="shared" si="38"/>
        <v>200167436.06999999</v>
      </c>
      <c r="AY35" s="26">
        <f t="shared" si="38"/>
        <v>136766051.13999999</v>
      </c>
      <c r="AZ35" s="26">
        <f t="shared" si="38"/>
        <v>76470071.469999999</v>
      </c>
      <c r="BA35" s="26">
        <f t="shared" si="38"/>
        <v>293454570.98000002</v>
      </c>
      <c r="BB35" s="26">
        <f t="shared" si="38"/>
        <v>227088081.30000001</v>
      </c>
      <c r="BC35" s="26">
        <f t="shared" si="38"/>
        <v>150500933.88999999</v>
      </c>
      <c r="BD35" s="26">
        <f t="shared" si="38"/>
        <v>74309547.920000002</v>
      </c>
      <c r="BE35" s="26">
        <f t="shared" si="38"/>
        <v>232706661.24000001</v>
      </c>
      <c r="BF35" s="26">
        <f t="shared" si="38"/>
        <v>160133771.81999999</v>
      </c>
      <c r="BG35" s="26">
        <f t="shared" si="38"/>
        <v>86759060.370000005</v>
      </c>
      <c r="BH35" s="26">
        <f t="shared" si="38"/>
        <v>27007865.41</v>
      </c>
      <c r="BI35" s="26">
        <f t="shared" si="38"/>
        <v>136193418.59</v>
      </c>
      <c r="BJ35" s="26">
        <f t="shared" si="38"/>
        <v>106706421.79000001</v>
      </c>
      <c r="BK35" s="26">
        <f t="shared" si="38"/>
        <v>75944889.599999994</v>
      </c>
      <c r="BL35" s="26">
        <f t="shared" si="38"/>
        <v>36475275.590000004</v>
      </c>
      <c r="BM35" s="26">
        <f t="shared" si="38"/>
        <v>40692477.850000001</v>
      </c>
      <c r="BN35" s="26">
        <f t="shared" si="38"/>
        <v>-252392.47</v>
      </c>
      <c r="BO35" s="26">
        <f t="shared" ref="BO35:CJ35" si="39">BO23+BO68</f>
        <v>-179364.31</v>
      </c>
      <c r="BP35" s="26">
        <f t="shared" si="39"/>
        <v>-114108.49</v>
      </c>
      <c r="BQ35" s="26">
        <f t="shared" si="39"/>
        <v>1334725.9099999999</v>
      </c>
      <c r="BR35" s="26">
        <f t="shared" si="39"/>
        <v>1304580.56</v>
      </c>
      <c r="BS35" s="26">
        <f t="shared" si="39"/>
        <v>6732600.2400000002</v>
      </c>
      <c r="BT35" s="26">
        <f t="shared" si="39"/>
        <v>4596566.63</v>
      </c>
      <c r="BU35" s="26">
        <f t="shared" si="39"/>
        <v>9893507.1300000008</v>
      </c>
      <c r="BV35" s="26">
        <f t="shared" si="39"/>
        <v>4797605.5199999996</v>
      </c>
      <c r="BW35" s="26">
        <f t="shared" si="39"/>
        <v>3426316</v>
      </c>
      <c r="BX35" s="26">
        <f t="shared" si="39"/>
        <v>1365174.74</v>
      </c>
      <c r="BY35" s="26">
        <f t="shared" si="39"/>
        <v>2837441.22</v>
      </c>
      <c r="BZ35" s="26">
        <f t="shared" si="39"/>
        <v>0</v>
      </c>
      <c r="CA35" s="26">
        <f t="shared" si="39"/>
        <v>4908370.6100000003</v>
      </c>
      <c r="CB35" s="26">
        <f t="shared" si="39"/>
        <v>0</v>
      </c>
      <c r="CC35" s="26">
        <f t="shared" si="39"/>
        <v>-4546200.29</v>
      </c>
      <c r="CD35" s="26">
        <f t="shared" si="39"/>
        <v>0</v>
      </c>
      <c r="CE35" s="26">
        <f t="shared" si="39"/>
        <v>-2288180.0499999998</v>
      </c>
      <c r="CF35" s="26">
        <f t="shared" si="39"/>
        <v>0</v>
      </c>
      <c r="CG35" s="26">
        <f t="shared" si="39"/>
        <v>0</v>
      </c>
      <c r="CH35" s="26">
        <f t="shared" si="39"/>
        <v>0</v>
      </c>
      <c r="CI35" s="26">
        <f t="shared" si="39"/>
        <v>0</v>
      </c>
      <c r="CJ35" s="26">
        <f t="shared" si="39"/>
        <v>0</v>
      </c>
    </row>
    <row r="36" spans="1:89" s="23" customFormat="1" x14ac:dyDescent="0.25">
      <c r="A36" s="17" t="s">
        <v>414</v>
      </c>
      <c r="B36" s="26">
        <f>B35*B41</f>
        <v>542894406.20289421</v>
      </c>
      <c r="C36" s="26">
        <f t="shared" ref="C36:BN36" si="40">C35*C41</f>
        <v>419739613.76551157</v>
      </c>
      <c r="D36" s="26">
        <f t="shared" si="40"/>
        <v>173765653.72092888</v>
      </c>
      <c r="E36" s="26">
        <f t="shared" si="40"/>
        <v>716520575.2399919</v>
      </c>
      <c r="F36" s="26">
        <f t="shared" si="40"/>
        <v>515534567.14877331</v>
      </c>
      <c r="G36" s="26">
        <f t="shared" si="40"/>
        <v>386840107.75087899</v>
      </c>
      <c r="H36" s="26">
        <f t="shared" si="40"/>
        <v>143015348.18933392</v>
      </c>
      <c r="I36" s="26">
        <f t="shared" si="40"/>
        <v>605817357.0796138</v>
      </c>
      <c r="J36" s="26">
        <f t="shared" si="40"/>
        <v>484169597.46127129</v>
      </c>
      <c r="K36" s="26">
        <f t="shared" si="40"/>
        <v>367396342.79803091</v>
      </c>
      <c r="L36" s="26">
        <f t="shared" si="40"/>
        <v>152189478.32838446</v>
      </c>
      <c r="M36" s="26">
        <f t="shared" si="40"/>
        <v>484310818.87852943</v>
      </c>
      <c r="N36" s="26">
        <f t="shared" si="40"/>
        <v>386060546.60676652</v>
      </c>
      <c r="O36" s="26">
        <f t="shared" si="40"/>
        <v>312180316.51912981</v>
      </c>
      <c r="P36" s="26">
        <f t="shared" si="40"/>
        <v>160723663.28865796</v>
      </c>
      <c r="Q36" s="26">
        <f t="shared" si="40"/>
        <v>449964765.64226305</v>
      </c>
      <c r="R36" s="26">
        <f t="shared" si="40"/>
        <v>329441044.5823372</v>
      </c>
      <c r="S36" s="26">
        <f t="shared" si="40"/>
        <v>290258336.04603368</v>
      </c>
      <c r="T36" s="26">
        <f t="shared" si="40"/>
        <v>174166075.5475187</v>
      </c>
      <c r="U36" s="26">
        <f t="shared" si="40"/>
        <v>470482434.41079044</v>
      </c>
      <c r="V36" s="26">
        <f t="shared" si="40"/>
        <v>304248071.25264764</v>
      </c>
      <c r="W36" s="26">
        <f t="shared" si="40"/>
        <v>182756316.86566406</v>
      </c>
      <c r="X36" s="26">
        <f t="shared" si="40"/>
        <v>95466751.002835333</v>
      </c>
      <c r="Y36" s="26">
        <f t="shared" si="40"/>
        <v>407219525.14123398</v>
      </c>
      <c r="Z36" s="26">
        <f t="shared" si="40"/>
        <v>304305076.83199662</v>
      </c>
      <c r="AA36" s="26">
        <f t="shared" si="40"/>
        <v>527605290.48369646</v>
      </c>
      <c r="AB36" s="26">
        <f t="shared" si="40"/>
        <v>-486971759.82110637</v>
      </c>
      <c r="AC36" s="26">
        <f t="shared" si="40"/>
        <v>562884055.01847506</v>
      </c>
      <c r="AD36" s="26">
        <f t="shared" si="40"/>
        <v>415169203.1409725</v>
      </c>
      <c r="AE36" s="26">
        <f t="shared" si="40"/>
        <v>312987437.74713069</v>
      </c>
      <c r="AF36" s="26">
        <f t="shared" si="40"/>
        <v>260968313.57812276</v>
      </c>
      <c r="AG36" s="26">
        <f t="shared" si="40"/>
        <v>372673296.62951219</v>
      </c>
      <c r="AH36" s="26">
        <f t="shared" si="40"/>
        <v>235761449.21226174</v>
      </c>
      <c r="AI36" s="26">
        <f t="shared" si="40"/>
        <v>192852235.60387456</v>
      </c>
      <c r="AJ36" s="26">
        <f t="shared" si="40"/>
        <v>101459980.94641986</v>
      </c>
      <c r="AK36" s="26">
        <f t="shared" si="40"/>
        <v>313919387.90270621</v>
      </c>
      <c r="AL36" s="26">
        <f t="shared" si="40"/>
        <v>91135265.75247106</v>
      </c>
      <c r="AM36" s="26">
        <f t="shared" si="40"/>
        <v>70970276.64853178</v>
      </c>
      <c r="AN36" s="26">
        <f t="shared" si="40"/>
        <v>45908448.880736873</v>
      </c>
      <c r="AO36" s="26">
        <f t="shared" si="40"/>
        <v>252118827.11124817</v>
      </c>
      <c r="AP36" s="26">
        <f t="shared" si="40"/>
        <v>114754342.51488094</v>
      </c>
      <c r="AQ36" s="26">
        <f t="shared" si="40"/>
        <v>56393364.905102089</v>
      </c>
      <c r="AR36" s="26">
        <f t="shared" si="40"/>
        <v>22583349.421824176</v>
      </c>
      <c r="AS36" s="26">
        <f t="shared" si="40"/>
        <v>79076315.107975945</v>
      </c>
      <c r="AT36" s="26">
        <f t="shared" si="40"/>
        <v>42842264.883354925</v>
      </c>
      <c r="AU36" s="26">
        <f t="shared" si="40"/>
        <v>24870852.082498625</v>
      </c>
      <c r="AV36" s="26">
        <f t="shared" si="40"/>
        <v>15013681.742450453</v>
      </c>
      <c r="AW36" s="26">
        <f t="shared" si="40"/>
        <v>30194978.026601184</v>
      </c>
      <c r="AX36" s="26">
        <f t="shared" si="40"/>
        <v>19079285.021002945</v>
      </c>
      <c r="AY36" s="26">
        <f t="shared" si="40"/>
        <v>11739885.394848183</v>
      </c>
      <c r="AZ36" s="26">
        <f t="shared" si="40"/>
        <v>7369389.1813982762</v>
      </c>
      <c r="BA36" s="26">
        <f t="shared" si="40"/>
        <v>20490447.269011252</v>
      </c>
      <c r="BB36" s="26">
        <f t="shared" si="40"/>
        <v>17037167.181220569</v>
      </c>
      <c r="BC36" s="26">
        <f t="shared" si="40"/>
        <v>10913187.421299646</v>
      </c>
      <c r="BD36" s="26">
        <f t="shared" si="40"/>
        <v>4468179.7858221661</v>
      </c>
      <c r="BE36" s="26">
        <f t="shared" si="40"/>
        <v>16252921.905201137</v>
      </c>
      <c r="BF36" s="26">
        <f t="shared" si="40"/>
        <v>11239985.334727393</v>
      </c>
      <c r="BG36" s="26">
        <f t="shared" si="40"/>
        <v>5807691.7846525228</v>
      </c>
      <c r="BH36" s="26">
        <f t="shared" si="40"/>
        <v>697306.62898805609</v>
      </c>
      <c r="BI36" s="26">
        <f t="shared" si="40"/>
        <v>11741271.771008713</v>
      </c>
      <c r="BJ36" s="26">
        <f t="shared" si="40"/>
        <v>8704678.7655611988</v>
      </c>
      <c r="BK36" s="26">
        <f t="shared" si="40"/>
        <v>6793225.932070028</v>
      </c>
      <c r="BL36" s="26">
        <f t="shared" si="40"/>
        <v>3635294.2725274414</v>
      </c>
      <c r="BM36" s="26">
        <f t="shared" si="40"/>
        <v>48140399.360202618</v>
      </c>
      <c r="BN36" s="26">
        <f t="shared" si="40"/>
        <v>0</v>
      </c>
      <c r="BO36" s="26">
        <f t="shared" ref="BO36:CJ36" si="41">BO35*BO41</f>
        <v>0</v>
      </c>
      <c r="BP36" s="26">
        <f t="shared" si="41"/>
        <v>0</v>
      </c>
      <c r="BQ36" s="26">
        <f t="shared" si="41"/>
        <v>0</v>
      </c>
      <c r="BR36" s="26">
        <f t="shared" si="41"/>
        <v>0</v>
      </c>
      <c r="BS36" s="26">
        <f t="shared" si="41"/>
        <v>0</v>
      </c>
      <c r="BT36" s="26">
        <f t="shared" si="41"/>
        <v>0</v>
      </c>
      <c r="BU36" s="26">
        <f t="shared" si="41"/>
        <v>0</v>
      </c>
      <c r="BV36" s="26">
        <f t="shared" si="41"/>
        <v>0</v>
      </c>
      <c r="BW36" s="26">
        <f t="shared" si="41"/>
        <v>1307361.4833199277</v>
      </c>
      <c r="BX36" s="26">
        <f t="shared" si="41"/>
        <v>475964.20419890835</v>
      </c>
      <c r="BY36" s="26">
        <f t="shared" si="41"/>
        <v>954801.61469052464</v>
      </c>
      <c r="BZ36" s="26">
        <f t="shared" si="41"/>
        <v>0</v>
      </c>
      <c r="CA36" s="26">
        <f t="shared" si="41"/>
        <v>1761787.4441376473</v>
      </c>
      <c r="CB36" s="26">
        <f t="shared" si="41"/>
        <v>0</v>
      </c>
      <c r="CC36" s="26">
        <f t="shared" si="41"/>
        <v>-1508555.646740156</v>
      </c>
      <c r="CD36" s="26">
        <f t="shared" si="41"/>
        <v>0</v>
      </c>
      <c r="CE36" s="26">
        <f t="shared" si="41"/>
        <v>-758998.37400037155</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3273869878.3771057</v>
      </c>
      <c r="C37" s="26">
        <f t="shared" ref="C37:BN37" si="42">C35-C36</f>
        <v>2036151869.8444886</v>
      </c>
      <c r="D37" s="26">
        <f t="shared" si="42"/>
        <v>1029431825.5290711</v>
      </c>
      <c r="E37" s="26">
        <f t="shared" si="42"/>
        <v>4212393203.6200085</v>
      </c>
      <c r="F37" s="26">
        <f t="shared" si="42"/>
        <v>3026209653.4512267</v>
      </c>
      <c r="G37" s="26">
        <f t="shared" si="42"/>
        <v>1968911989.499121</v>
      </c>
      <c r="H37" s="26">
        <f t="shared" si="42"/>
        <v>1049853801.140666</v>
      </c>
      <c r="I37" s="26">
        <f t="shared" si="42"/>
        <v>4493186118.7803869</v>
      </c>
      <c r="J37" s="26">
        <f t="shared" si="42"/>
        <v>3304580547.7387285</v>
      </c>
      <c r="K37" s="26">
        <f t="shared" si="42"/>
        <v>2188645801.1819692</v>
      </c>
      <c r="L37" s="26">
        <f t="shared" si="42"/>
        <v>1146186273.6916156</v>
      </c>
      <c r="M37" s="26">
        <f t="shared" si="42"/>
        <v>5517210554.06147</v>
      </c>
      <c r="N37" s="26">
        <f t="shared" si="42"/>
        <v>4132170158.1932335</v>
      </c>
      <c r="O37" s="26">
        <f t="shared" si="42"/>
        <v>2719588978.9908705</v>
      </c>
      <c r="P37" s="26">
        <f t="shared" si="42"/>
        <v>1389967833.2513421</v>
      </c>
      <c r="Q37" s="26">
        <f t="shared" si="42"/>
        <v>5798580168.3777361</v>
      </c>
      <c r="R37" s="26">
        <f t="shared" si="42"/>
        <v>4083169437.1676626</v>
      </c>
      <c r="S37" s="26">
        <f t="shared" si="42"/>
        <v>2495243433.7039661</v>
      </c>
      <c r="T37" s="26">
        <f t="shared" si="42"/>
        <v>1204250455.7924812</v>
      </c>
      <c r="U37" s="26">
        <f t="shared" si="42"/>
        <v>3969474797.9692097</v>
      </c>
      <c r="V37" s="26">
        <f t="shared" si="42"/>
        <v>2736543293.927352</v>
      </c>
      <c r="W37" s="26">
        <f t="shared" si="42"/>
        <v>1739477728.2543359</v>
      </c>
      <c r="X37" s="26">
        <f t="shared" si="42"/>
        <v>843876742.48716474</v>
      </c>
      <c r="Y37" s="26">
        <f t="shared" si="42"/>
        <v>2710592759.688766</v>
      </c>
      <c r="Z37" s="26">
        <f t="shared" si="42"/>
        <v>1880403158.7280033</v>
      </c>
      <c r="AA37" s="26">
        <f t="shared" si="42"/>
        <v>835207568.37630343</v>
      </c>
      <c r="AB37" s="26">
        <f t="shared" si="42"/>
        <v>1124791181.1611063</v>
      </c>
      <c r="AC37" s="26">
        <f t="shared" si="42"/>
        <v>1632421541.901525</v>
      </c>
      <c r="AD37" s="26">
        <f t="shared" si="42"/>
        <v>1159087530.4390273</v>
      </c>
      <c r="AE37" s="26">
        <f t="shared" si="42"/>
        <v>738265535.69286942</v>
      </c>
      <c r="AF37" s="26">
        <f t="shared" si="42"/>
        <v>278836153.78187728</v>
      </c>
      <c r="AG37" s="26">
        <f t="shared" si="42"/>
        <v>1391422100.8704877</v>
      </c>
      <c r="AH37" s="26">
        <f t="shared" si="42"/>
        <v>1070538890.7077384</v>
      </c>
      <c r="AI37" s="26">
        <f t="shared" si="42"/>
        <v>657449631.09612548</v>
      </c>
      <c r="AJ37" s="26">
        <f t="shared" si="42"/>
        <v>344898879.3735801</v>
      </c>
      <c r="AK37" s="26">
        <f t="shared" si="42"/>
        <v>1381253734.2572939</v>
      </c>
      <c r="AL37" s="26">
        <f t="shared" si="42"/>
        <v>351961148.08752894</v>
      </c>
      <c r="AM37" s="26">
        <f t="shared" si="42"/>
        <v>232621262.0414682</v>
      </c>
      <c r="AN37" s="26">
        <f t="shared" si="42"/>
        <v>106192582.87926312</v>
      </c>
      <c r="AO37" s="26">
        <f t="shared" si="42"/>
        <v>379803015.53875184</v>
      </c>
      <c r="AP37" s="26">
        <f t="shared" si="42"/>
        <v>353794813.75511903</v>
      </c>
      <c r="AQ37" s="26">
        <f t="shared" si="42"/>
        <v>245630763.41489792</v>
      </c>
      <c r="AR37" s="26">
        <f t="shared" si="42"/>
        <v>124835410.36817582</v>
      </c>
      <c r="AS37" s="26">
        <f t="shared" si="42"/>
        <v>519933925.8320241</v>
      </c>
      <c r="AT37" s="26">
        <f t="shared" si="42"/>
        <v>388019988.77664512</v>
      </c>
      <c r="AU37" s="26">
        <f t="shared" si="42"/>
        <v>254941214.0975014</v>
      </c>
      <c r="AV37" s="26">
        <f t="shared" si="42"/>
        <v>118088281.27754954</v>
      </c>
      <c r="AW37" s="26">
        <f t="shared" si="42"/>
        <v>306525905.52339882</v>
      </c>
      <c r="AX37" s="26">
        <f t="shared" si="42"/>
        <v>181088151.04899704</v>
      </c>
      <c r="AY37" s="26">
        <f t="shared" si="42"/>
        <v>125026165.7451518</v>
      </c>
      <c r="AZ37" s="26">
        <f t="shared" si="42"/>
        <v>69100682.288601726</v>
      </c>
      <c r="BA37" s="26">
        <f t="shared" si="42"/>
        <v>272964123.71098876</v>
      </c>
      <c r="BB37" s="26">
        <f t="shared" si="42"/>
        <v>210050914.11877945</v>
      </c>
      <c r="BC37" s="26">
        <f t="shared" si="42"/>
        <v>139587746.46870035</v>
      </c>
      <c r="BD37" s="26">
        <f t="shared" si="42"/>
        <v>69841368.134177834</v>
      </c>
      <c r="BE37" s="26">
        <f t="shared" si="42"/>
        <v>216453739.33479887</v>
      </c>
      <c r="BF37" s="26">
        <f t="shared" si="42"/>
        <v>148893786.48527259</v>
      </c>
      <c r="BG37" s="26">
        <f t="shared" si="42"/>
        <v>80951368.585347489</v>
      </c>
      <c r="BH37" s="26">
        <f t="shared" si="42"/>
        <v>26310558.781011943</v>
      </c>
      <c r="BI37" s="26">
        <f t="shared" si="42"/>
        <v>124452146.81899129</v>
      </c>
      <c r="BJ37" s="26">
        <f t="shared" si="42"/>
        <v>98001743.024438813</v>
      </c>
      <c r="BK37" s="26">
        <f t="shared" si="42"/>
        <v>69151663.667929962</v>
      </c>
      <c r="BL37" s="26">
        <f t="shared" si="42"/>
        <v>32839981.317472562</v>
      </c>
      <c r="BM37" s="26">
        <f t="shared" si="42"/>
        <v>-7447921.5102026165</v>
      </c>
      <c r="BN37" s="26">
        <f t="shared" si="42"/>
        <v>-252392.47</v>
      </c>
      <c r="BO37" s="26">
        <f t="shared" ref="BO37:CJ37" si="43">BO35-BO36</f>
        <v>-179364.31</v>
      </c>
      <c r="BP37" s="26">
        <f t="shared" si="43"/>
        <v>-114108.49</v>
      </c>
      <c r="BQ37" s="26">
        <f t="shared" si="43"/>
        <v>1334725.9099999999</v>
      </c>
      <c r="BR37" s="26">
        <f t="shared" si="43"/>
        <v>1304580.56</v>
      </c>
      <c r="BS37" s="26">
        <f t="shared" si="43"/>
        <v>6732600.2400000002</v>
      </c>
      <c r="BT37" s="26">
        <f t="shared" si="43"/>
        <v>4596566.63</v>
      </c>
      <c r="BU37" s="26">
        <f t="shared" si="43"/>
        <v>9893507.1300000008</v>
      </c>
      <c r="BV37" s="26">
        <f t="shared" si="43"/>
        <v>4797605.5199999996</v>
      </c>
      <c r="BW37" s="26">
        <f t="shared" si="43"/>
        <v>2118954.5166800721</v>
      </c>
      <c r="BX37" s="26">
        <f t="shared" si="43"/>
        <v>889210.5358010917</v>
      </c>
      <c r="BY37" s="26">
        <f t="shared" si="43"/>
        <v>1882639.6053094757</v>
      </c>
      <c r="BZ37" s="26">
        <f t="shared" si="43"/>
        <v>0</v>
      </c>
      <c r="CA37" s="26">
        <f t="shared" si="43"/>
        <v>3146583.1658623531</v>
      </c>
      <c r="CB37" s="26">
        <f t="shared" si="43"/>
        <v>0</v>
      </c>
      <c r="CC37" s="26">
        <f t="shared" si="43"/>
        <v>-3037644.6432598438</v>
      </c>
      <c r="CD37" s="26">
        <f t="shared" si="43"/>
        <v>0</v>
      </c>
      <c r="CE37" s="26">
        <f t="shared" si="43"/>
        <v>-1529181.6759996284</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8041453789.7999992</v>
      </c>
      <c r="C38" s="28">
        <f t="shared" ref="C38:BN38" si="44">C31-C35</f>
        <v>3613290995.769999</v>
      </c>
      <c r="D38" s="28">
        <f t="shared" si="44"/>
        <v>2209718535.1100006</v>
      </c>
      <c r="E38" s="28">
        <f t="shared" si="44"/>
        <v>6568307369.579998</v>
      </c>
      <c r="F38" s="28">
        <f t="shared" si="44"/>
        <v>6133535724.9399986</v>
      </c>
      <c r="G38" s="28">
        <f t="shared" si="44"/>
        <v>3154990000.0899992</v>
      </c>
      <c r="H38" s="28">
        <f t="shared" si="44"/>
        <v>2094678778.0499997</v>
      </c>
      <c r="I38" s="28">
        <f t="shared" si="44"/>
        <v>8900618873.5699997</v>
      </c>
      <c r="J38" s="28">
        <f t="shared" si="44"/>
        <v>7754405942.2600012</v>
      </c>
      <c r="K38" s="28">
        <f t="shared" si="44"/>
        <v>3746481214.8600001</v>
      </c>
      <c r="L38" s="28">
        <f t="shared" si="44"/>
        <v>2615084378.3800001</v>
      </c>
      <c r="M38" s="28">
        <f t="shared" si="44"/>
        <v>10880747521.529999</v>
      </c>
      <c r="N38" s="28">
        <f t="shared" si="44"/>
        <v>9238118363.8300018</v>
      </c>
      <c r="O38" s="28">
        <f t="shared" si="44"/>
        <v>5076360070.2099981</v>
      </c>
      <c r="P38" s="28">
        <f t="shared" si="44"/>
        <v>2555659326.73</v>
      </c>
      <c r="Q38" s="28">
        <f t="shared" si="44"/>
        <v>10874547662.599998</v>
      </c>
      <c r="R38" s="28">
        <f t="shared" si="44"/>
        <v>9078195534.3799992</v>
      </c>
      <c r="S38" s="28">
        <f t="shared" si="44"/>
        <v>3832894627.9500008</v>
      </c>
      <c r="T38" s="28">
        <f t="shared" si="44"/>
        <v>1726160784.6100004</v>
      </c>
      <c r="U38" s="28">
        <f t="shared" si="44"/>
        <v>6624076833.4700003</v>
      </c>
      <c r="V38" s="28">
        <f t="shared" si="44"/>
        <v>4845622437.1600018</v>
      </c>
      <c r="W38" s="28">
        <f t="shared" si="44"/>
        <v>2281951605.5300002</v>
      </c>
      <c r="X38" s="28">
        <f t="shared" si="44"/>
        <v>940059626.99000025</v>
      </c>
      <c r="Y38" s="28">
        <f t="shared" si="44"/>
        <v>2300142232.5100031</v>
      </c>
      <c r="Z38" s="28">
        <f t="shared" si="44"/>
        <v>1586004007.9599991</v>
      </c>
      <c r="AA38" s="28">
        <f t="shared" si="44"/>
        <v>225969039.52000046</v>
      </c>
      <c r="AB38" s="28">
        <f t="shared" si="44"/>
        <v>-42262334.669999599</v>
      </c>
      <c r="AC38" s="28">
        <f t="shared" si="44"/>
        <v>1156190953.5300026</v>
      </c>
      <c r="AD38" s="28">
        <f t="shared" si="44"/>
        <v>1001179033.4399996</v>
      </c>
      <c r="AE38" s="28">
        <f t="shared" si="44"/>
        <v>356942300.40999913</v>
      </c>
      <c r="AF38" s="28">
        <f t="shared" si="44"/>
        <v>65408698.010000348</v>
      </c>
      <c r="AG38" s="28">
        <f t="shared" si="44"/>
        <v>1517061848.6500006</v>
      </c>
      <c r="AH38" s="28">
        <f t="shared" si="44"/>
        <v>1073433374.6699996</v>
      </c>
      <c r="AI38" s="28">
        <f t="shared" si="44"/>
        <v>301179444.28000021</v>
      </c>
      <c r="AJ38" s="28">
        <f t="shared" si="44"/>
        <v>115467226.39999968</v>
      </c>
      <c r="AK38" s="28">
        <f t="shared" si="44"/>
        <v>1256247055.8300006</v>
      </c>
      <c r="AL38" s="28">
        <f t="shared" si="44"/>
        <v>327724190.95000035</v>
      </c>
      <c r="AM38" s="28">
        <f t="shared" si="44"/>
        <v>188554229.67000026</v>
      </c>
      <c r="AN38" s="28">
        <f t="shared" si="44"/>
        <v>80051915.200000018</v>
      </c>
      <c r="AO38" s="28">
        <f t="shared" si="44"/>
        <v>278811278.05000079</v>
      </c>
      <c r="AP38" s="28">
        <f t="shared" si="44"/>
        <v>243480291.76000011</v>
      </c>
      <c r="AQ38" s="28">
        <f t="shared" si="44"/>
        <v>209682028.55000019</v>
      </c>
      <c r="AR38" s="28">
        <f t="shared" si="44"/>
        <v>117415720.23000011</v>
      </c>
      <c r="AS38" s="28">
        <f t="shared" si="44"/>
        <v>1059408508.1999998</v>
      </c>
      <c r="AT38" s="28">
        <f t="shared" si="44"/>
        <v>827965756.59000039</v>
      </c>
      <c r="AU38" s="28">
        <f t="shared" si="44"/>
        <v>622085498.20000005</v>
      </c>
      <c r="AV38" s="28">
        <f t="shared" si="44"/>
        <v>324207864.26000011</v>
      </c>
      <c r="AW38" s="28">
        <f t="shared" si="44"/>
        <v>812807570.38000011</v>
      </c>
      <c r="AX38" s="28">
        <f t="shared" si="44"/>
        <v>556335367.5</v>
      </c>
      <c r="AY38" s="28">
        <f t="shared" si="44"/>
        <v>346034884.71999979</v>
      </c>
      <c r="AZ38" s="28">
        <f t="shared" si="44"/>
        <v>135385518.79999995</v>
      </c>
      <c r="BA38" s="28">
        <f t="shared" si="44"/>
        <v>704127960.46000016</v>
      </c>
      <c r="BB38" s="28">
        <f t="shared" si="44"/>
        <v>620053629.80000019</v>
      </c>
      <c r="BC38" s="28">
        <f t="shared" si="44"/>
        <v>404729528.06000006</v>
      </c>
      <c r="BD38" s="28">
        <f t="shared" si="44"/>
        <v>221571362.50999999</v>
      </c>
      <c r="BE38" s="28">
        <f t="shared" si="44"/>
        <v>616183679.61000001</v>
      </c>
      <c r="BF38" s="28">
        <f t="shared" si="44"/>
        <v>455201005.48999995</v>
      </c>
      <c r="BG38" s="28">
        <f t="shared" si="44"/>
        <v>324334054.92999995</v>
      </c>
      <c r="BH38" s="28">
        <f t="shared" si="44"/>
        <v>115674465.93000001</v>
      </c>
      <c r="BI38" s="28">
        <f t="shared" si="44"/>
        <v>392472598.89999998</v>
      </c>
      <c r="BJ38" s="28">
        <f t="shared" si="44"/>
        <v>252081578.94999987</v>
      </c>
      <c r="BK38" s="28">
        <f t="shared" si="44"/>
        <v>159779184.82000008</v>
      </c>
      <c r="BL38" s="28">
        <f t="shared" si="44"/>
        <v>84979507.229999974</v>
      </c>
      <c r="BM38" s="28">
        <f t="shared" si="44"/>
        <v>10423165.750000298</v>
      </c>
      <c r="BN38" s="28">
        <f t="shared" si="44"/>
        <v>-89311536.409999967</v>
      </c>
      <c r="BO38" s="28">
        <f t="shared" ref="BO38:CJ38" si="45">BO31-BO35</f>
        <v>-66766287.609999985</v>
      </c>
      <c r="BP38" s="28">
        <f t="shared" si="45"/>
        <v>-36816950.089999989</v>
      </c>
      <c r="BQ38" s="28">
        <f t="shared" si="45"/>
        <v>-56412568.379999973</v>
      </c>
      <c r="BR38" s="28">
        <f t="shared" si="45"/>
        <v>-1665814.9699999928</v>
      </c>
      <c r="BS38" s="28">
        <f t="shared" si="45"/>
        <v>6416326.6100001652</v>
      </c>
      <c r="BT38" s="28">
        <f t="shared" si="45"/>
        <v>-34818332.969999947</v>
      </c>
      <c r="BU38" s="28">
        <f t="shared" si="45"/>
        <v>-51582165.800000206</v>
      </c>
      <c r="BV38" s="28">
        <f t="shared" si="45"/>
        <v>-68450014.060000002</v>
      </c>
      <c r="BW38" s="28">
        <f t="shared" si="45"/>
        <v>86154246.179999843</v>
      </c>
      <c r="BX38" s="28">
        <f t="shared" si="45"/>
        <v>117539076.07999997</v>
      </c>
      <c r="BY38" s="28">
        <f t="shared" si="45"/>
        <v>167346630.32000008</v>
      </c>
      <c r="BZ38" s="28">
        <f t="shared" si="45"/>
        <v>636022622.80999994</v>
      </c>
      <c r="CA38" s="28">
        <f t="shared" si="45"/>
        <v>168590748.87</v>
      </c>
      <c r="CB38" s="28">
        <f t="shared" si="45"/>
        <v>147295456.78</v>
      </c>
      <c r="CC38" s="28">
        <f t="shared" si="45"/>
        <v>102247561.20999998</v>
      </c>
      <c r="CD38" s="28">
        <f t="shared" si="45"/>
        <v>111177459.03999999</v>
      </c>
      <c r="CE38" s="28">
        <f t="shared" si="45"/>
        <v>56221027.569999993</v>
      </c>
      <c r="CF38" s="28">
        <f t="shared" si="45"/>
        <v>0</v>
      </c>
      <c r="CG38" s="28">
        <f t="shared" si="45"/>
        <v>0</v>
      </c>
      <c r="CH38" s="28">
        <f t="shared" si="45"/>
        <v>0</v>
      </c>
      <c r="CI38" s="28">
        <f t="shared" si="45"/>
        <v>0</v>
      </c>
      <c r="CJ38" s="28">
        <f t="shared" si="45"/>
        <v>0</v>
      </c>
    </row>
    <row r="39" spans="1:89" s="57" customFormat="1" x14ac:dyDescent="0.25">
      <c r="A39" s="57" t="s">
        <v>417</v>
      </c>
      <c r="B39" s="57">
        <f>B38/B4*100</f>
        <v>26.550484046306682</v>
      </c>
      <c r="C39" s="57">
        <f t="shared" ref="C39:D39" si="46">C38/C4*100</f>
        <v>20.314821837271232</v>
      </c>
      <c r="D39" s="57">
        <f t="shared" si="46"/>
        <v>23.514761849481431</v>
      </c>
      <c r="E39" s="57">
        <f>E38/E4</f>
        <v>0.20756038468973576</v>
      </c>
      <c r="F39" s="57">
        <f t="shared" ref="F39:BQ39" si="47">F38/F4</f>
        <v>0.25339763706141816</v>
      </c>
      <c r="G39" s="57">
        <f t="shared" si="47"/>
        <v>0.22595191936037046</v>
      </c>
      <c r="H39" s="57">
        <f t="shared" si="47"/>
        <v>0.2745053390549097</v>
      </c>
      <c r="I39" s="57">
        <f t="shared" si="47"/>
        <v>0.30407839798815173</v>
      </c>
      <c r="J39" s="57">
        <f t="shared" si="47"/>
        <v>0.35024471183072081</v>
      </c>
      <c r="K39" s="57">
        <f t="shared" si="47"/>
        <v>0.28515149192584782</v>
      </c>
      <c r="L39" s="57">
        <f t="shared" si="47"/>
        <v>0.37899430112341487</v>
      </c>
      <c r="M39" s="57">
        <f t="shared" si="47"/>
        <v>0.3478533234181917</v>
      </c>
      <c r="N39" s="57">
        <f t="shared" si="47"/>
        <v>0.37876315924389786</v>
      </c>
      <c r="O39" s="57">
        <f t="shared" si="47"/>
        <v>0.34009788339769642</v>
      </c>
      <c r="P39" s="57">
        <f t="shared" si="47"/>
        <v>0.33627089530168575</v>
      </c>
      <c r="Q39" s="57">
        <f t="shared" si="47"/>
        <v>0.32996000351885146</v>
      </c>
      <c r="R39" s="57">
        <f t="shared" si="47"/>
        <v>0.35556102626866393</v>
      </c>
      <c r="S39" s="57">
        <f t="shared" si="47"/>
        <v>0.26213775041264448</v>
      </c>
      <c r="T39" s="57">
        <f t="shared" si="47"/>
        <v>0.23316360568948918</v>
      </c>
      <c r="U39" s="57">
        <f t="shared" si="47"/>
        <v>0.23374435423736806</v>
      </c>
      <c r="V39" s="57">
        <f t="shared" si="47"/>
        <v>0.23712649450078929</v>
      </c>
      <c r="W39" s="57">
        <f t="shared" si="47"/>
        <v>0.18752415067801809</v>
      </c>
      <c r="X39" s="57">
        <f t="shared" si="47"/>
        <v>0.15743464105470317</v>
      </c>
      <c r="Y39" s="57">
        <f t="shared" si="47"/>
        <v>9.6373297270952382E-2</v>
      </c>
      <c r="Z39" s="57">
        <f t="shared" si="47"/>
        <v>8.8784012240194943E-2</v>
      </c>
      <c r="AA39" s="57">
        <f t="shared" si="47"/>
        <v>2.0680399524870326E-2</v>
      </c>
      <c r="AB39" s="57">
        <f t="shared" si="47"/>
        <v>-8.0449509850108111E-3</v>
      </c>
      <c r="AC39" s="57">
        <f t="shared" si="47"/>
        <v>5.3272000538975538E-2</v>
      </c>
      <c r="AD39" s="57">
        <f t="shared" si="47"/>
        <v>6.2882617404098881E-2</v>
      </c>
      <c r="AE39" s="57">
        <f t="shared" si="47"/>
        <v>3.7149822401325167E-2</v>
      </c>
      <c r="AF39" s="57">
        <f t="shared" si="47"/>
        <v>1.5225800131096706E-2</v>
      </c>
      <c r="AG39" s="57">
        <f t="shared" si="47"/>
        <v>9.5127837716474054E-2</v>
      </c>
      <c r="AH39" s="57">
        <f t="shared" si="47"/>
        <v>9.2644101244460347E-2</v>
      </c>
      <c r="AI39" s="57">
        <f t="shared" si="47"/>
        <v>4.3391736343549328E-2</v>
      </c>
      <c r="AJ39" s="57">
        <f t="shared" si="47"/>
        <v>3.2294958569366143E-2</v>
      </c>
      <c r="AK39" s="57">
        <f t="shared" si="47"/>
        <v>0.10541531902763837</v>
      </c>
      <c r="AL39" s="57">
        <f t="shared" si="47"/>
        <v>7.0319923288672745E-2</v>
      </c>
      <c r="AM39" s="57">
        <f t="shared" si="47"/>
        <v>5.8935588148723163E-2</v>
      </c>
      <c r="AN39" s="57">
        <f t="shared" si="47"/>
        <v>5.1656730876229143E-2</v>
      </c>
      <c r="AO39" s="57">
        <f t="shared" si="47"/>
        <v>4.2371699039338608E-2</v>
      </c>
      <c r="AP39" s="57">
        <f t="shared" si="47"/>
        <v>4.7548730068261491E-2</v>
      </c>
      <c r="AQ39" s="57">
        <f t="shared" si="47"/>
        <v>6.0917327646102505E-2</v>
      </c>
      <c r="AR39" s="57">
        <f t="shared" si="47"/>
        <v>6.5648367271334468E-2</v>
      </c>
      <c r="AS39" s="57">
        <f t="shared" si="47"/>
        <v>0.15933384305728834</v>
      </c>
      <c r="AT39" s="57">
        <f t="shared" si="47"/>
        <v>0.1695972211348675</v>
      </c>
      <c r="AU39" s="57">
        <f t="shared" si="47"/>
        <v>0.18159341888103905</v>
      </c>
      <c r="AV39" s="57">
        <f t="shared" si="47"/>
        <v>0.19010624228346457</v>
      </c>
      <c r="AW39" s="57">
        <f t="shared" si="47"/>
        <v>0.19274389084064353</v>
      </c>
      <c r="AX39" s="57">
        <f t="shared" si="47"/>
        <v>0.22863345646203245</v>
      </c>
      <c r="AY39" s="57">
        <f t="shared" si="47"/>
        <v>0.2210415737506814</v>
      </c>
      <c r="AZ39" s="57">
        <f t="shared" si="47"/>
        <v>0.18144371403767381</v>
      </c>
      <c r="BA39" s="57">
        <f t="shared" si="47"/>
        <v>0.23035074219374277</v>
      </c>
      <c r="BB39" s="57">
        <f t="shared" si="47"/>
        <v>0.2685476801867217</v>
      </c>
      <c r="BC39" s="57">
        <f t="shared" si="47"/>
        <v>0.26675834642109547</v>
      </c>
      <c r="BD39" s="57">
        <f t="shared" si="47"/>
        <v>0.2814714088893811</v>
      </c>
      <c r="BE39" s="57">
        <f t="shared" si="47"/>
        <v>0.25913470288313156</v>
      </c>
      <c r="BF39" s="57">
        <f t="shared" si="47"/>
        <v>0.27168188854291492</v>
      </c>
      <c r="BG39" s="57">
        <f t="shared" si="47"/>
        <v>0.30754245781627781</v>
      </c>
      <c r="BH39" s="57">
        <f t="shared" si="47"/>
        <v>0.35149495952218979</v>
      </c>
      <c r="BI39" s="57">
        <f t="shared" si="47"/>
        <v>0.28510344997270787</v>
      </c>
      <c r="BJ39" s="57">
        <f t="shared" si="47"/>
        <v>0.24845511396206002</v>
      </c>
      <c r="BK39" s="57">
        <f t="shared" si="47"/>
        <v>0.23768750348351844</v>
      </c>
      <c r="BL39" s="57">
        <f t="shared" si="47"/>
        <v>0.21628978845848768</v>
      </c>
      <c r="BM39" s="57">
        <f t="shared" si="47"/>
        <v>4.1094645147202284E-3</v>
      </c>
      <c r="BN39" s="57">
        <f t="shared" si="47"/>
        <v>-4.0523697469264583E-2</v>
      </c>
      <c r="BO39" s="57">
        <f t="shared" si="47"/>
        <v>-4.8814601310273487E-2</v>
      </c>
      <c r="BP39" s="57">
        <f t="shared" si="47"/>
        <v>-6.0206780039712963E-2</v>
      </c>
      <c r="BQ39" s="57">
        <f t="shared" si="47"/>
        <v>-2.9591005302651983E-2</v>
      </c>
      <c r="BR39" s="57">
        <f t="shared" ref="BR39:CK39" si="48">BR38/BR4</f>
        <v>-2.5781727600765513E-3</v>
      </c>
      <c r="BS39" s="57">
        <f t="shared" si="48"/>
        <v>3.4513561181384227E-3</v>
      </c>
      <c r="BT39" s="57">
        <f t="shared" si="48"/>
        <v>-6.33494448323286E-2</v>
      </c>
      <c r="BU39" s="57">
        <f t="shared" si="48"/>
        <v>-3.9234507684820119E-2</v>
      </c>
      <c r="BV39" s="57">
        <f t="shared" si="48"/>
        <v>-0.1208652895392084</v>
      </c>
      <c r="BW39" s="57">
        <f t="shared" si="48"/>
        <v>7.0682210701390705E-2</v>
      </c>
      <c r="BX39" s="57">
        <f t="shared" si="48"/>
        <v>0.17285556544919917</v>
      </c>
      <c r="BY39" s="57">
        <f t="shared" si="48"/>
        <v>0.12253222245470004</v>
      </c>
      <c r="BZ39" s="57">
        <f t="shared" si="48"/>
        <v>1</v>
      </c>
      <c r="CA39" s="57">
        <f t="shared" si="48"/>
        <v>0.27472697424550441</v>
      </c>
      <c r="CB39" s="57">
        <f t="shared" si="48"/>
        <v>1.0023163544518894</v>
      </c>
      <c r="CC39" s="57">
        <f t="shared" si="48"/>
        <v>0.4796835783533519</v>
      </c>
      <c r="CD39" s="57">
        <f t="shared" si="48"/>
        <v>0.99948138631090266</v>
      </c>
      <c r="CE39" s="57">
        <f t="shared" si="48"/>
        <v>0.4412393036543712</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1143811866.47</v>
      </c>
      <c r="C40" s="26">
        <f t="shared" ref="C40:BN40" si="49">C60</f>
        <v>617552272.61000001</v>
      </c>
      <c r="D40" s="26">
        <f t="shared" si="49"/>
        <v>319127319.00999999</v>
      </c>
      <c r="E40" s="26">
        <f t="shared" si="49"/>
        <v>954840678.08000004</v>
      </c>
      <c r="F40" s="26">
        <f t="shared" si="49"/>
        <v>892794478.67999995</v>
      </c>
      <c r="G40" s="26">
        <f t="shared" si="49"/>
        <v>518083661.26999998</v>
      </c>
      <c r="H40" s="26">
        <f t="shared" si="49"/>
        <v>251135017.58000001</v>
      </c>
      <c r="I40" s="26">
        <f t="shared" si="49"/>
        <v>1057490826.96</v>
      </c>
      <c r="J40" s="26">
        <f t="shared" si="49"/>
        <v>990946211.74000001</v>
      </c>
      <c r="K40" s="26">
        <f t="shared" si="49"/>
        <v>538505791.04999995</v>
      </c>
      <c r="L40" s="26">
        <f t="shared" si="49"/>
        <v>306527849.67000002</v>
      </c>
      <c r="M40" s="26">
        <f t="shared" si="49"/>
        <v>878054648.92999995</v>
      </c>
      <c r="N40" s="26">
        <f t="shared" si="49"/>
        <v>789351686.13</v>
      </c>
      <c r="O40" s="26">
        <f t="shared" si="49"/>
        <v>522711175.88999999</v>
      </c>
      <c r="P40" s="26">
        <f t="shared" si="49"/>
        <v>264885007.77000001</v>
      </c>
      <c r="Q40" s="26">
        <f t="shared" si="49"/>
        <v>783088437.73000002</v>
      </c>
      <c r="R40" s="26">
        <f t="shared" si="49"/>
        <v>677768915.27999997</v>
      </c>
      <c r="S40" s="26">
        <f t="shared" si="49"/>
        <v>399400075.43000001</v>
      </c>
      <c r="T40" s="26">
        <f t="shared" si="49"/>
        <v>218104355.81999999</v>
      </c>
      <c r="U40" s="26">
        <f t="shared" si="49"/>
        <v>701923831.97000003</v>
      </c>
      <c r="V40" s="26">
        <f t="shared" si="49"/>
        <v>484831447.95999998</v>
      </c>
      <c r="W40" s="26">
        <f t="shared" si="49"/>
        <v>216956448.02000001</v>
      </c>
      <c r="X40" s="26">
        <f t="shared" si="49"/>
        <v>95539532.620000005</v>
      </c>
      <c r="Y40" s="26">
        <f t="shared" si="49"/>
        <v>300423098.67000002</v>
      </c>
      <c r="Z40" s="26">
        <f t="shared" si="49"/>
        <v>220912368.81999999</v>
      </c>
      <c r="AA40" s="26">
        <f t="shared" si="49"/>
        <v>87482635.609999999</v>
      </c>
      <c r="AB40" s="26">
        <f t="shared" si="49"/>
        <v>32267069.329999998</v>
      </c>
      <c r="AC40" s="26">
        <f t="shared" si="49"/>
        <v>296451415.79000002</v>
      </c>
      <c r="AD40" s="26">
        <f t="shared" si="49"/>
        <v>264034888.75</v>
      </c>
      <c r="AE40" s="26">
        <f t="shared" si="49"/>
        <v>106271714.66</v>
      </c>
      <c r="AF40" s="26">
        <f t="shared" si="49"/>
        <v>31621816.129999999</v>
      </c>
      <c r="AG40" s="26">
        <f t="shared" si="49"/>
        <v>320486319.00999999</v>
      </c>
      <c r="AH40" s="26">
        <f t="shared" si="49"/>
        <v>193733554.46000001</v>
      </c>
      <c r="AI40" s="26">
        <f t="shared" si="49"/>
        <v>68308834.099999994</v>
      </c>
      <c r="AJ40" s="26">
        <f t="shared" si="49"/>
        <v>26246376.25</v>
      </c>
      <c r="AK40" s="26">
        <f t="shared" si="49"/>
        <v>232637187.12</v>
      </c>
      <c r="AL40" s="26">
        <f t="shared" si="49"/>
        <v>67405716.459999993</v>
      </c>
      <c r="AM40" s="26">
        <f t="shared" si="49"/>
        <v>44078125.170000002</v>
      </c>
      <c r="AN40" s="26">
        <f t="shared" si="49"/>
        <v>24161961.390000001</v>
      </c>
      <c r="AO40" s="26">
        <f t="shared" si="49"/>
        <v>111237763.38</v>
      </c>
      <c r="AP40" s="26">
        <f t="shared" si="49"/>
        <v>59631781.259999998</v>
      </c>
      <c r="AQ40" s="26">
        <f t="shared" si="49"/>
        <v>39151425.469999999</v>
      </c>
      <c r="AR40" s="26">
        <f t="shared" si="49"/>
        <v>17987128.920000002</v>
      </c>
      <c r="AS40" s="26">
        <f t="shared" si="49"/>
        <v>139854238.37</v>
      </c>
      <c r="AT40" s="26">
        <f t="shared" si="49"/>
        <v>82327769.390000001</v>
      </c>
      <c r="AU40" s="26">
        <f t="shared" si="49"/>
        <v>55293528.329999998</v>
      </c>
      <c r="AV40" s="26">
        <f t="shared" si="49"/>
        <v>36570111.979999997</v>
      </c>
      <c r="AW40" s="26">
        <f t="shared" si="49"/>
        <v>72887391.090000004</v>
      </c>
      <c r="AX40" s="26">
        <f t="shared" si="49"/>
        <v>53028011.210000001</v>
      </c>
      <c r="AY40" s="26">
        <f t="shared" si="49"/>
        <v>29703350.030000001</v>
      </c>
      <c r="AZ40" s="26">
        <f t="shared" si="49"/>
        <v>13047046.49</v>
      </c>
      <c r="BA40" s="26">
        <f t="shared" si="49"/>
        <v>49165691.289999999</v>
      </c>
      <c r="BB40" s="26">
        <f t="shared" si="49"/>
        <v>46519206.520000003</v>
      </c>
      <c r="BC40" s="26">
        <f t="shared" si="49"/>
        <v>29347918.850000001</v>
      </c>
      <c r="BD40" s="26">
        <f t="shared" si="49"/>
        <v>13322927.01</v>
      </c>
      <c r="BE40" s="26">
        <f t="shared" si="49"/>
        <v>43036091.75</v>
      </c>
      <c r="BF40" s="26">
        <f t="shared" si="49"/>
        <v>31951115.420000002</v>
      </c>
      <c r="BG40" s="26">
        <f t="shared" si="49"/>
        <v>21711072.23</v>
      </c>
      <c r="BH40" s="26">
        <f t="shared" si="49"/>
        <v>2986558.57</v>
      </c>
      <c r="BI40" s="26">
        <f t="shared" si="49"/>
        <v>33835169.82</v>
      </c>
      <c r="BJ40" s="26">
        <f t="shared" si="49"/>
        <v>20563796.73</v>
      </c>
      <c r="BK40" s="26">
        <f t="shared" si="49"/>
        <v>14292154.58</v>
      </c>
      <c r="BL40" s="26">
        <f t="shared" si="49"/>
        <v>8469449.8100000005</v>
      </c>
      <c r="BM40" s="26">
        <f t="shared" si="49"/>
        <v>12330911.960000001</v>
      </c>
      <c r="BN40" s="26">
        <f t="shared" si="49"/>
        <v>0</v>
      </c>
      <c r="BO40" s="26">
        <f t="shared" ref="BO40:CJ40" si="50">BO60</f>
        <v>0</v>
      </c>
      <c r="BP40" s="26">
        <f t="shared" si="50"/>
        <v>0</v>
      </c>
      <c r="BQ40" s="26">
        <f t="shared" si="50"/>
        <v>0</v>
      </c>
      <c r="BR40" s="26">
        <f t="shared" si="50"/>
        <v>0</v>
      </c>
      <c r="BS40" s="26">
        <f t="shared" si="50"/>
        <v>0</v>
      </c>
      <c r="BT40" s="26">
        <f t="shared" si="50"/>
        <v>0</v>
      </c>
      <c r="BU40" s="26">
        <f t="shared" si="50"/>
        <v>0</v>
      </c>
      <c r="BV40" s="26">
        <f t="shared" si="50"/>
        <v>0</v>
      </c>
      <c r="BW40" s="26">
        <f t="shared" si="50"/>
        <v>32873425.300000001</v>
      </c>
      <c r="BX40" s="26">
        <f t="shared" si="50"/>
        <v>40979657.159999996</v>
      </c>
      <c r="BY40" s="26">
        <f t="shared" si="50"/>
        <v>56312297.049999997</v>
      </c>
      <c r="BZ40" s="26">
        <f t="shared" si="50"/>
        <v>30977520.690000001</v>
      </c>
      <c r="CA40" s="26">
        <f t="shared" si="50"/>
        <v>60513169.880000003</v>
      </c>
      <c r="CB40" s="26">
        <f t="shared" si="50"/>
        <v>19477369.890000001</v>
      </c>
      <c r="CC40" s="26">
        <f t="shared" si="50"/>
        <v>33928583.43</v>
      </c>
      <c r="CD40" s="26">
        <f t="shared" si="50"/>
        <v>21518614.850000001</v>
      </c>
      <c r="CE40" s="26">
        <f t="shared" si="50"/>
        <v>18648737.239999998</v>
      </c>
      <c r="CF40" s="26">
        <f t="shared" si="50"/>
        <v>0</v>
      </c>
      <c r="CG40" s="26">
        <f t="shared" si="50"/>
        <v>4330000</v>
      </c>
      <c r="CH40" s="26">
        <f t="shared" si="50"/>
        <v>4220000</v>
      </c>
      <c r="CI40" s="26">
        <f t="shared" si="50"/>
        <v>12510000</v>
      </c>
      <c r="CJ40" s="26">
        <f t="shared" si="50"/>
        <v>3630000</v>
      </c>
    </row>
    <row r="41" spans="1:89" s="57" customFormat="1" x14ac:dyDescent="0.25">
      <c r="A41" s="57" t="s">
        <v>609</v>
      </c>
      <c r="B41" s="57">
        <f>B40/B38</f>
        <v>0.14223943783906864</v>
      </c>
      <c r="C41" s="57">
        <f t="shared" ref="C41:BN41" si="51">C40/C38</f>
        <v>0.17091130311202585</v>
      </c>
      <c r="D41" s="57">
        <f t="shared" si="51"/>
        <v>0.1444198950859204</v>
      </c>
      <c r="E41" s="57">
        <f t="shared" si="51"/>
        <v>0.14537088847306123</v>
      </c>
      <c r="F41" s="57">
        <f t="shared" si="51"/>
        <v>0.14555951391132294</v>
      </c>
      <c r="G41" s="57">
        <f t="shared" si="51"/>
        <v>0.16421087269855725</v>
      </c>
      <c r="H41" s="57">
        <f t="shared" si="51"/>
        <v>0.11989189951778155</v>
      </c>
      <c r="I41" s="57">
        <f t="shared" si="51"/>
        <v>0.11881093236113874</v>
      </c>
      <c r="J41" s="57">
        <f t="shared" si="51"/>
        <v>0.127791376814507</v>
      </c>
      <c r="K41" s="57">
        <f t="shared" si="51"/>
        <v>0.14373641829941033</v>
      </c>
      <c r="L41" s="57">
        <f t="shared" si="51"/>
        <v>0.11721528077801022</v>
      </c>
      <c r="M41" s="57">
        <f t="shared" si="51"/>
        <v>8.0698007852178538E-2</v>
      </c>
      <c r="N41" s="57">
        <f t="shared" si="51"/>
        <v>8.5445071717260956E-2</v>
      </c>
      <c r="O41" s="57">
        <f t="shared" si="51"/>
        <v>0.10296968076741975</v>
      </c>
      <c r="P41" s="57">
        <f t="shared" si="51"/>
        <v>0.10364644653515846</v>
      </c>
      <c r="Q41" s="57">
        <f t="shared" si="51"/>
        <v>7.2011127453440321E-2</v>
      </c>
      <c r="R41" s="57">
        <f t="shared" si="51"/>
        <v>7.4658990623546709E-2</v>
      </c>
      <c r="S41" s="57">
        <f t="shared" si="51"/>
        <v>0.10420324955388001</v>
      </c>
      <c r="T41" s="57">
        <f t="shared" si="51"/>
        <v>0.12635228291857953</v>
      </c>
      <c r="U41" s="57">
        <f t="shared" si="51"/>
        <v>0.10596553295144973</v>
      </c>
      <c r="V41" s="57">
        <f t="shared" si="51"/>
        <v>0.10005555617415327</v>
      </c>
      <c r="W41" s="57">
        <f t="shared" si="51"/>
        <v>9.5074955794082344E-2</v>
      </c>
      <c r="X41" s="57">
        <f t="shared" si="51"/>
        <v>0.10163135388114726</v>
      </c>
      <c r="Y41" s="57">
        <f t="shared" si="51"/>
        <v>0.13061066155990139</v>
      </c>
      <c r="Z41" s="57">
        <f t="shared" si="51"/>
        <v>0.13928865734970555</v>
      </c>
      <c r="AA41" s="57">
        <f t="shared" si="51"/>
        <v>0.38714434418019877</v>
      </c>
      <c r="AB41" s="57">
        <f t="shared" si="51"/>
        <v>-0.76349471892534004</v>
      </c>
      <c r="AC41" s="57">
        <f t="shared" si="51"/>
        <v>0.25640350746984741</v>
      </c>
      <c r="AD41" s="57">
        <f t="shared" si="51"/>
        <v>0.26372394939473487</v>
      </c>
      <c r="AE41" s="57">
        <f t="shared" si="51"/>
        <v>0.29772799283786699</v>
      </c>
      <c r="AF41" s="57">
        <f t="shared" si="51"/>
        <v>0.48344971069696774</v>
      </c>
      <c r="AG41" s="57">
        <f t="shared" si="51"/>
        <v>0.21125461647802535</v>
      </c>
      <c r="AH41" s="57">
        <f t="shared" si="51"/>
        <v>0.18048027854505508</v>
      </c>
      <c r="AI41" s="57">
        <f t="shared" si="51"/>
        <v>0.22680443634956277</v>
      </c>
      <c r="AJ41" s="57">
        <f t="shared" si="51"/>
        <v>0.22730585178410481</v>
      </c>
      <c r="AK41" s="57">
        <f t="shared" si="51"/>
        <v>0.18518426454444262</v>
      </c>
      <c r="AL41" s="57">
        <f t="shared" si="51"/>
        <v>0.20567818403824767</v>
      </c>
      <c r="AM41" s="57">
        <f t="shared" si="51"/>
        <v>0.23376895467762085</v>
      </c>
      <c r="AN41" s="57">
        <f t="shared" si="51"/>
        <v>0.30182864869171794</v>
      </c>
      <c r="AO41" s="57">
        <f t="shared" si="51"/>
        <v>0.39897153428654025</v>
      </c>
      <c r="AP41" s="57">
        <f t="shared" si="51"/>
        <v>0.24491420159287217</v>
      </c>
      <c r="AQ41" s="57">
        <f t="shared" si="51"/>
        <v>0.18671807851507913</v>
      </c>
      <c r="AR41" s="57">
        <f t="shared" si="51"/>
        <v>0.15319182886896118</v>
      </c>
      <c r="AS41" s="57">
        <f t="shared" si="51"/>
        <v>0.13201162468255134</v>
      </c>
      <c r="AT41" s="57">
        <f t="shared" si="51"/>
        <v>9.9433785437056207E-2</v>
      </c>
      <c r="AU41" s="57">
        <f t="shared" si="51"/>
        <v>8.8884130059278713E-2</v>
      </c>
      <c r="AV41" s="57">
        <f t="shared" si="51"/>
        <v>0.11279834948936468</v>
      </c>
      <c r="AW41" s="57">
        <f t="shared" si="51"/>
        <v>8.9673612483609152E-2</v>
      </c>
      <c r="AX41" s="57">
        <f t="shared" si="51"/>
        <v>9.5316627897110998E-2</v>
      </c>
      <c r="AY41" s="57">
        <f t="shared" si="51"/>
        <v>8.5839177902641201E-2</v>
      </c>
      <c r="AZ41" s="57">
        <f t="shared" si="51"/>
        <v>9.6369586685810332E-2</v>
      </c>
      <c r="BA41" s="57">
        <f t="shared" si="51"/>
        <v>6.9824938151696908E-2</v>
      </c>
      <c r="BB41" s="57">
        <f t="shared" si="51"/>
        <v>7.5024488663996511E-2</v>
      </c>
      <c r="BC41" s="57">
        <f t="shared" si="51"/>
        <v>7.2512423273572602E-2</v>
      </c>
      <c r="BD41" s="57">
        <f t="shared" si="51"/>
        <v>6.0129282318235992E-2</v>
      </c>
      <c r="BE41" s="57">
        <f t="shared" si="51"/>
        <v>6.9842959452023706E-2</v>
      </c>
      <c r="BF41" s="57">
        <f t="shared" si="51"/>
        <v>7.0191223293995811E-2</v>
      </c>
      <c r="BG41" s="57">
        <f t="shared" si="51"/>
        <v>6.6940464314442213E-2</v>
      </c>
      <c r="BH41" s="57">
        <f t="shared" si="51"/>
        <v>2.5818650174769815E-2</v>
      </c>
      <c r="BI41" s="57">
        <f t="shared" si="51"/>
        <v>8.6210272805875621E-2</v>
      </c>
      <c r="BJ41" s="57">
        <f t="shared" si="51"/>
        <v>8.1575959717702373E-2</v>
      </c>
      <c r="BK41" s="57">
        <f t="shared" si="51"/>
        <v>8.9449414803942626E-2</v>
      </c>
      <c r="BL41" s="57">
        <f t="shared" si="51"/>
        <v>9.9664614282560404E-2</v>
      </c>
      <c r="BM41" s="57">
        <f t="shared" si="51"/>
        <v>1.1830294418948148</v>
      </c>
      <c r="BN41" s="57">
        <f t="shared" si="51"/>
        <v>0</v>
      </c>
      <c r="BO41" s="57">
        <f t="shared" ref="BO41:CJ41" si="52">BO40/BO38</f>
        <v>0</v>
      </c>
      <c r="BP41" s="57">
        <f t="shared" si="52"/>
        <v>0</v>
      </c>
      <c r="BQ41" s="57">
        <f t="shared" si="52"/>
        <v>0</v>
      </c>
      <c r="BR41" s="57">
        <f t="shared" si="52"/>
        <v>0</v>
      </c>
      <c r="BS41" s="57">
        <f t="shared" si="52"/>
        <v>0</v>
      </c>
      <c r="BT41" s="57">
        <f t="shared" si="52"/>
        <v>0</v>
      </c>
      <c r="BU41" s="57">
        <f t="shared" si="52"/>
        <v>0</v>
      </c>
      <c r="BV41" s="57">
        <f t="shared" si="52"/>
        <v>0</v>
      </c>
      <c r="BW41" s="57">
        <f t="shared" si="52"/>
        <v>0.38156477199415573</v>
      </c>
      <c r="BX41" s="57">
        <f t="shared" si="52"/>
        <v>0.34864709275159045</v>
      </c>
      <c r="BY41" s="57">
        <f t="shared" si="52"/>
        <v>0.33650093188204427</v>
      </c>
      <c r="BZ41" s="57">
        <f t="shared" si="52"/>
        <v>4.8705061076505081E-2</v>
      </c>
      <c r="CA41" s="57">
        <f t="shared" si="52"/>
        <v>0.35893529322099155</v>
      </c>
      <c r="CB41" s="57">
        <f t="shared" si="52"/>
        <v>0.13223333778102425</v>
      </c>
      <c r="CC41" s="57">
        <f t="shared" si="52"/>
        <v>0.33182780135279871</v>
      </c>
      <c r="CD41" s="57">
        <f t="shared" si="52"/>
        <v>0.19355195770626421</v>
      </c>
      <c r="CE41" s="57">
        <f t="shared" si="52"/>
        <v>0.33170395572689815</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6897641923.329999</v>
      </c>
      <c r="C42" s="28">
        <f t="shared" ref="C42:BN42" si="53">C38-C40</f>
        <v>2995738723.1599989</v>
      </c>
      <c r="D42" s="28">
        <f t="shared" si="53"/>
        <v>1890591216.1000006</v>
      </c>
      <c r="E42" s="28">
        <f t="shared" si="53"/>
        <v>5613466691.4999981</v>
      </c>
      <c r="F42" s="28">
        <f t="shared" si="53"/>
        <v>5240741246.2599983</v>
      </c>
      <c r="G42" s="28">
        <f t="shared" si="53"/>
        <v>2636906338.8199992</v>
      </c>
      <c r="H42" s="28">
        <f t="shared" si="53"/>
        <v>1843543760.4699998</v>
      </c>
      <c r="I42" s="28">
        <f t="shared" si="53"/>
        <v>7843128046.6099997</v>
      </c>
      <c r="J42" s="28">
        <f t="shared" si="53"/>
        <v>6763459730.5200014</v>
      </c>
      <c r="K42" s="28">
        <f t="shared" si="53"/>
        <v>3207975423.8100004</v>
      </c>
      <c r="L42" s="28">
        <f t="shared" si="53"/>
        <v>2308556528.71</v>
      </c>
      <c r="M42" s="28">
        <f t="shared" si="53"/>
        <v>10002692872.599998</v>
      </c>
      <c r="N42" s="28">
        <f t="shared" si="53"/>
        <v>8448766677.7000017</v>
      </c>
      <c r="O42" s="28">
        <f t="shared" si="53"/>
        <v>4553648894.3199978</v>
      </c>
      <c r="P42" s="28">
        <f t="shared" si="53"/>
        <v>2290774318.96</v>
      </c>
      <c r="Q42" s="28">
        <f t="shared" si="53"/>
        <v>10091459224.869999</v>
      </c>
      <c r="R42" s="28">
        <f t="shared" si="53"/>
        <v>8400426619.0999994</v>
      </c>
      <c r="S42" s="28">
        <f t="shared" si="53"/>
        <v>3433494552.5200009</v>
      </c>
      <c r="T42" s="28">
        <f t="shared" si="53"/>
        <v>1508056428.7900004</v>
      </c>
      <c r="U42" s="28">
        <f t="shared" si="53"/>
        <v>5922153001.5</v>
      </c>
      <c r="V42" s="28">
        <f t="shared" si="53"/>
        <v>4360790989.2000017</v>
      </c>
      <c r="W42" s="28">
        <f t="shared" si="53"/>
        <v>2064995157.5100002</v>
      </c>
      <c r="X42" s="28">
        <f t="shared" si="53"/>
        <v>844520094.37000024</v>
      </c>
      <c r="Y42" s="28">
        <f t="shared" si="53"/>
        <v>1999719133.840003</v>
      </c>
      <c r="Z42" s="28">
        <f t="shared" si="53"/>
        <v>1365091639.1399992</v>
      </c>
      <c r="AA42" s="28">
        <f t="shared" si="53"/>
        <v>138486403.91000044</v>
      </c>
      <c r="AB42" s="28">
        <f t="shared" si="53"/>
        <v>-74529403.999999598</v>
      </c>
      <c r="AC42" s="28">
        <f t="shared" si="53"/>
        <v>859739537.74000263</v>
      </c>
      <c r="AD42" s="28">
        <f t="shared" si="53"/>
        <v>737144144.68999958</v>
      </c>
      <c r="AE42" s="28">
        <f t="shared" si="53"/>
        <v>250670585.74999914</v>
      </c>
      <c r="AF42" s="28">
        <f t="shared" si="53"/>
        <v>33786881.880000353</v>
      </c>
      <c r="AG42" s="28">
        <f t="shared" si="53"/>
        <v>1196575529.6400006</v>
      </c>
      <c r="AH42" s="28">
        <f t="shared" si="53"/>
        <v>879699820.20999956</v>
      </c>
      <c r="AI42" s="28">
        <f t="shared" si="53"/>
        <v>232870610.18000022</v>
      </c>
      <c r="AJ42" s="28">
        <f t="shared" si="53"/>
        <v>89220850.149999678</v>
      </c>
      <c r="AK42" s="28">
        <f t="shared" si="53"/>
        <v>1023609868.7100006</v>
      </c>
      <c r="AL42" s="28">
        <f t="shared" si="53"/>
        <v>260318474.49000037</v>
      </c>
      <c r="AM42" s="28">
        <f t="shared" si="53"/>
        <v>144476104.50000024</v>
      </c>
      <c r="AN42" s="28">
        <f t="shared" si="53"/>
        <v>55889953.810000017</v>
      </c>
      <c r="AO42" s="28">
        <f t="shared" si="53"/>
        <v>167573514.67000079</v>
      </c>
      <c r="AP42" s="28">
        <f t="shared" si="53"/>
        <v>183848510.50000012</v>
      </c>
      <c r="AQ42" s="28">
        <f t="shared" si="53"/>
        <v>170530603.08000019</v>
      </c>
      <c r="AR42" s="28">
        <f t="shared" si="53"/>
        <v>99428591.310000107</v>
      </c>
      <c r="AS42" s="28">
        <f t="shared" si="53"/>
        <v>919554269.8299998</v>
      </c>
      <c r="AT42" s="28">
        <f t="shared" si="53"/>
        <v>745637987.20000041</v>
      </c>
      <c r="AU42" s="28">
        <f t="shared" si="53"/>
        <v>566791969.87</v>
      </c>
      <c r="AV42" s="28">
        <f t="shared" si="53"/>
        <v>287637752.28000009</v>
      </c>
      <c r="AW42" s="28">
        <f t="shared" si="53"/>
        <v>739920179.29000008</v>
      </c>
      <c r="AX42" s="28">
        <f t="shared" si="53"/>
        <v>503307356.29000002</v>
      </c>
      <c r="AY42" s="28">
        <f t="shared" si="53"/>
        <v>316331534.68999982</v>
      </c>
      <c r="AZ42" s="28">
        <f t="shared" si="53"/>
        <v>122338472.30999996</v>
      </c>
      <c r="BA42" s="28">
        <f t="shared" si="53"/>
        <v>654962269.1700002</v>
      </c>
      <c r="BB42" s="28">
        <f t="shared" si="53"/>
        <v>573534423.28000021</v>
      </c>
      <c r="BC42" s="28">
        <f t="shared" si="53"/>
        <v>375381609.21000004</v>
      </c>
      <c r="BD42" s="28">
        <f t="shared" si="53"/>
        <v>208248435.5</v>
      </c>
      <c r="BE42" s="28">
        <f t="shared" si="53"/>
        <v>573147587.86000001</v>
      </c>
      <c r="BF42" s="28">
        <f t="shared" si="53"/>
        <v>423249890.06999993</v>
      </c>
      <c r="BG42" s="28">
        <f t="shared" si="53"/>
        <v>302622982.69999993</v>
      </c>
      <c r="BH42" s="28">
        <f t="shared" si="53"/>
        <v>112687907.36000001</v>
      </c>
      <c r="BI42" s="28">
        <f t="shared" si="53"/>
        <v>358637429.07999998</v>
      </c>
      <c r="BJ42" s="28">
        <f t="shared" si="53"/>
        <v>231517782.21999988</v>
      </c>
      <c r="BK42" s="28">
        <f t="shared" si="53"/>
        <v>145487030.24000007</v>
      </c>
      <c r="BL42" s="28">
        <f t="shared" si="53"/>
        <v>76510057.419999972</v>
      </c>
      <c r="BM42" s="28">
        <f t="shared" si="53"/>
        <v>-1907746.2099997029</v>
      </c>
      <c r="BN42" s="28">
        <f t="shared" si="53"/>
        <v>-89311536.409999967</v>
      </c>
      <c r="BO42" s="28">
        <f t="shared" ref="BO42:CK42" si="54">BO38-BO40</f>
        <v>-66766287.609999985</v>
      </c>
      <c r="BP42" s="28">
        <f t="shared" si="54"/>
        <v>-36816950.089999989</v>
      </c>
      <c r="BQ42" s="28">
        <f t="shared" si="54"/>
        <v>-56412568.379999973</v>
      </c>
      <c r="BR42" s="28">
        <f t="shared" si="54"/>
        <v>-1665814.9699999928</v>
      </c>
      <c r="BS42" s="28">
        <f t="shared" si="54"/>
        <v>6416326.6100001652</v>
      </c>
      <c r="BT42" s="28">
        <f t="shared" si="54"/>
        <v>-34818332.969999947</v>
      </c>
      <c r="BU42" s="28">
        <f t="shared" si="54"/>
        <v>-51582165.800000206</v>
      </c>
      <c r="BV42" s="28">
        <f t="shared" si="54"/>
        <v>-68450014.060000002</v>
      </c>
      <c r="BW42" s="28">
        <f t="shared" si="54"/>
        <v>53280820.879999846</v>
      </c>
      <c r="BX42" s="28">
        <f t="shared" si="54"/>
        <v>76559418.919999972</v>
      </c>
      <c r="BY42" s="28">
        <f t="shared" si="54"/>
        <v>111034333.27000009</v>
      </c>
      <c r="BZ42" s="28">
        <f t="shared" si="54"/>
        <v>605045102.11999989</v>
      </c>
      <c r="CA42" s="28">
        <f t="shared" si="54"/>
        <v>108077578.99000001</v>
      </c>
      <c r="CB42" s="28">
        <f t="shared" si="54"/>
        <v>127818086.89</v>
      </c>
      <c r="CC42" s="28">
        <f t="shared" si="54"/>
        <v>68318977.779999971</v>
      </c>
      <c r="CD42" s="28">
        <f t="shared" si="54"/>
        <v>89658844.189999998</v>
      </c>
      <c r="CE42" s="28">
        <f t="shared" si="54"/>
        <v>37572290.329999998</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22.773958121204856</v>
      </c>
      <c r="C43" s="57">
        <f t="shared" ref="C43:D43" si="55">C42/C4*100</f>
        <v>16.842789164574569</v>
      </c>
      <c r="D43" s="57">
        <f t="shared" si="55"/>
        <v>20.11876241020892</v>
      </c>
      <c r="E43" s="57">
        <f>E42/E4</f>
        <v>0.17738714715557849</v>
      </c>
      <c r="F43" s="57">
        <f t="shared" ref="F43:BQ43" si="56">F42/F4</f>
        <v>0.21651320018448028</v>
      </c>
      <c r="G43" s="57">
        <f t="shared" si="56"/>
        <v>0.18884815749429001</v>
      </c>
      <c r="H43" s="57">
        <f t="shared" si="56"/>
        <v>0.24159437252784391</v>
      </c>
      <c r="I43" s="57">
        <f t="shared" si="56"/>
        <v>0.267950560012298</v>
      </c>
      <c r="J43" s="57">
        <f t="shared" si="56"/>
        <v>0.30548645788387274</v>
      </c>
      <c r="K43" s="57">
        <f t="shared" si="56"/>
        <v>0.24416483780369322</v>
      </c>
      <c r="L43" s="57">
        <f t="shared" si="56"/>
        <v>0.33457037770396802</v>
      </c>
      <c r="M43" s="57">
        <f t="shared" si="56"/>
        <v>0.31978225319358405</v>
      </c>
      <c r="N43" s="57">
        <f t="shared" si="56"/>
        <v>0.34639971393844671</v>
      </c>
      <c r="O43" s="57">
        <f t="shared" si="56"/>
        <v>0.30507811291456044</v>
      </c>
      <c r="P43" s="57">
        <f t="shared" si="56"/>
        <v>0.30141761193046973</v>
      </c>
      <c r="Q43" s="57">
        <f t="shared" si="56"/>
        <v>0.30619921165091785</v>
      </c>
      <c r="R43" s="57">
        <f t="shared" si="56"/>
        <v>0.32901519894237313</v>
      </c>
      <c r="S43" s="57">
        <f t="shared" si="56"/>
        <v>0.234822144988903</v>
      </c>
      <c r="T43" s="57">
        <f t="shared" si="56"/>
        <v>0.20370285181709474</v>
      </c>
      <c r="U43" s="57">
        <f t="shared" si="56"/>
        <v>0.20897550916621291</v>
      </c>
      <c r="V43" s="57">
        <f t="shared" si="56"/>
        <v>0.21340067120988554</v>
      </c>
      <c r="W43" s="57">
        <f t="shared" si="56"/>
        <v>0.16969530034198269</v>
      </c>
      <c r="X43" s="57">
        <f t="shared" si="56"/>
        <v>0.14143434533652124</v>
      </c>
      <c r="Y43" s="57">
        <f t="shared" si="56"/>
        <v>8.3785917157684256E-2</v>
      </c>
      <c r="Z43" s="57">
        <f t="shared" si="56"/>
        <v>7.6417406381138364E-2</v>
      </c>
      <c r="AA43" s="57">
        <f t="shared" si="56"/>
        <v>1.2674099813429908E-2</v>
      </c>
      <c r="AB43" s="57">
        <f t="shared" si="56"/>
        <v>-1.4187228576079779E-2</v>
      </c>
      <c r="AC43" s="57">
        <f t="shared" si="56"/>
        <v>3.9612872750846607E-2</v>
      </c>
      <c r="AD43" s="57">
        <f t="shared" si="56"/>
        <v>4.6298965194011839E-2</v>
      </c>
      <c r="AE43" s="57">
        <f t="shared" si="56"/>
        <v>2.6089280343495395E-2</v>
      </c>
      <c r="AF43" s="57">
        <f t="shared" si="56"/>
        <v>7.8648914625881507E-3</v>
      </c>
      <c r="AG43" s="57">
        <f t="shared" si="56"/>
        <v>7.5031642843296498E-2</v>
      </c>
      <c r="AH43" s="57">
        <f t="shared" si="56"/>
        <v>7.5923668046303863E-2</v>
      </c>
      <c r="AI43" s="57">
        <f t="shared" si="56"/>
        <v>3.3550298039921787E-2</v>
      </c>
      <c r="AJ43" s="57">
        <f t="shared" si="56"/>
        <v>2.4954125503423998E-2</v>
      </c>
      <c r="AK43" s="57">
        <f t="shared" si="56"/>
        <v>8.5894060701787373E-2</v>
      </c>
      <c r="AL43" s="57">
        <f t="shared" si="56"/>
        <v>5.5856649164949659E-2</v>
      </c>
      <c r="AM43" s="57">
        <f t="shared" si="56"/>
        <v>4.5158277313885366E-2</v>
      </c>
      <c r="AN43" s="57">
        <f t="shared" si="56"/>
        <v>3.6065249600025162E-2</v>
      </c>
      <c r="AO43" s="57">
        <f t="shared" si="56"/>
        <v>2.5466597263286157E-2</v>
      </c>
      <c r="AP43" s="57">
        <f t="shared" si="56"/>
        <v>3.5903370806838239E-2</v>
      </c>
      <c r="AQ43" s="57">
        <f t="shared" si="56"/>
        <v>4.9542961279748741E-2</v>
      </c>
      <c r="AR43" s="57">
        <f t="shared" si="56"/>
        <v>5.5591573826777485E-2</v>
      </c>
      <c r="AS43" s="57">
        <f t="shared" si="56"/>
        <v>0.13829992356838106</v>
      </c>
      <c r="AT43" s="57">
        <f t="shared" si="56"/>
        <v>0.15273352743782212</v>
      </c>
      <c r="AU43" s="57">
        <f t="shared" si="56"/>
        <v>0.16545264581930769</v>
      </c>
      <c r="AV43" s="57">
        <f t="shared" si="56"/>
        <v>0.16866257192626447</v>
      </c>
      <c r="AW43" s="57">
        <f t="shared" si="56"/>
        <v>0.17545984986481661</v>
      </c>
      <c r="AX43" s="57">
        <f t="shared" si="56"/>
        <v>0.20684088636761058</v>
      </c>
      <c r="AY43" s="57">
        <f t="shared" si="56"/>
        <v>0.20206754677761687</v>
      </c>
      <c r="AZ43" s="57">
        <f t="shared" si="56"/>
        <v>0.16395805830912485</v>
      </c>
      <c r="BA43" s="57">
        <f t="shared" si="56"/>
        <v>0.21426651586686721</v>
      </c>
      <c r="BB43" s="57">
        <f t="shared" si="56"/>
        <v>0.24840002779881043</v>
      </c>
      <c r="BC43" s="57">
        <f t="shared" si="56"/>
        <v>0.24741505229365068</v>
      </c>
      <c r="BD43" s="57">
        <f t="shared" si="56"/>
        <v>0.26454673507975984</v>
      </c>
      <c r="BE43" s="57">
        <f t="shared" si="56"/>
        <v>0.24103596833705279</v>
      </c>
      <c r="BF43" s="57">
        <f t="shared" si="56"/>
        <v>0.25261220443926469</v>
      </c>
      <c r="BG43" s="57">
        <f t="shared" si="56"/>
        <v>0.28695542289365139</v>
      </c>
      <c r="BH43" s="57">
        <f t="shared" si="56"/>
        <v>0.34241983412409149</v>
      </c>
      <c r="BI43" s="57">
        <f t="shared" si="56"/>
        <v>0.2605246037726644</v>
      </c>
      <c r="BJ43" s="57">
        <f t="shared" si="56"/>
        <v>0.22818714959383388</v>
      </c>
      <c r="BK43" s="57">
        <f t="shared" si="56"/>
        <v>0.2164264953907076</v>
      </c>
      <c r="BL43" s="57">
        <f t="shared" si="56"/>
        <v>0.19473335011851589</v>
      </c>
      <c r="BM43" s="57">
        <f t="shared" si="56"/>
        <v>-7.521529966157891E-4</v>
      </c>
      <c r="BN43" s="57">
        <f t="shared" si="56"/>
        <v>-4.0523697469264583E-2</v>
      </c>
      <c r="BO43" s="57">
        <f t="shared" si="56"/>
        <v>-4.8814601310273487E-2</v>
      </c>
      <c r="BP43" s="57">
        <f t="shared" si="56"/>
        <v>-6.0206780039712963E-2</v>
      </c>
      <c r="BQ43" s="57">
        <f t="shared" si="56"/>
        <v>-2.9591005302651983E-2</v>
      </c>
      <c r="BR43" s="57">
        <f t="shared" ref="BR43:CK43" si="57">BR42/BR4</f>
        <v>-2.5781727600765513E-3</v>
      </c>
      <c r="BS43" s="57">
        <f t="shared" si="57"/>
        <v>3.4513561181384227E-3</v>
      </c>
      <c r="BT43" s="57">
        <f t="shared" si="57"/>
        <v>-6.33494448323286E-2</v>
      </c>
      <c r="BU43" s="57">
        <f t="shared" si="57"/>
        <v>-3.9234507684820119E-2</v>
      </c>
      <c r="BV43" s="57">
        <f t="shared" si="57"/>
        <v>-0.1208652895392084</v>
      </c>
      <c r="BW43" s="57">
        <f t="shared" si="57"/>
        <v>4.3712369091071686E-2</v>
      </c>
      <c r="BX43" s="57">
        <f t="shared" si="57"/>
        <v>0.11258997508940362</v>
      </c>
      <c r="BY43" s="57">
        <f t="shared" si="57"/>
        <v>8.1300015413115517E-2</v>
      </c>
      <c r="BZ43" s="57">
        <f t="shared" si="57"/>
        <v>0.95129493892349481</v>
      </c>
      <c r="CA43" s="57">
        <f t="shared" si="57"/>
        <v>0.17611776718897851</v>
      </c>
      <c r="CB43" s="57">
        <f t="shared" si="57"/>
        <v>0.86977671739020779</v>
      </c>
      <c r="CC43" s="57">
        <f t="shared" si="57"/>
        <v>0.32051123120331615</v>
      </c>
      <c r="CD43" s="57">
        <f t="shared" si="57"/>
        <v>0.8060298072994565</v>
      </c>
      <c r="CE43" s="57">
        <f t="shared" si="57"/>
        <v>0.29487848121003435</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5503469899.3135996</v>
      </c>
      <c r="C45" s="26">
        <f t="shared" ref="C45:BN45" si="58">C70*C69</f>
        <v>4983201771.1943998</v>
      </c>
      <c r="D45" s="26">
        <f t="shared" si="58"/>
        <v>5048474288.1112003</v>
      </c>
      <c r="E45" s="26">
        <f t="shared" si="58"/>
        <v>4856604788.3128004</v>
      </c>
      <c r="F45" s="26">
        <f t="shared" si="58"/>
        <v>4767410493.2032003</v>
      </c>
      <c r="G45" s="26">
        <f t="shared" si="58"/>
        <v>4560158815.2376003</v>
      </c>
      <c r="H45" s="26">
        <f t="shared" si="58"/>
        <v>4687417206.5944004</v>
      </c>
      <c r="I45" s="26">
        <f t="shared" si="58"/>
        <v>4537422266.1703997</v>
      </c>
      <c r="J45" s="26">
        <f t="shared" si="58"/>
        <v>4352038342.9615993</v>
      </c>
      <c r="K45" s="26">
        <f t="shared" si="58"/>
        <v>3977489944.8848</v>
      </c>
      <c r="L45" s="26">
        <f t="shared" si="58"/>
        <v>4309009170.8959999</v>
      </c>
      <c r="M45" s="26">
        <f t="shared" si="58"/>
        <v>4111171398.8559999</v>
      </c>
      <c r="N45" s="26">
        <f t="shared" si="58"/>
        <v>3856724559.9864001</v>
      </c>
      <c r="O45" s="26">
        <f t="shared" si="58"/>
        <v>3466743827.4391999</v>
      </c>
      <c r="P45" s="26">
        <f t="shared" si="58"/>
        <v>3691267968.6752005</v>
      </c>
      <c r="Q45" s="26">
        <f t="shared" si="58"/>
        <v>3417275055.1584005</v>
      </c>
      <c r="R45" s="26">
        <f t="shared" si="58"/>
        <v>3221048010.4512</v>
      </c>
      <c r="S45" s="26">
        <f t="shared" si="58"/>
        <v>2761664156.2624002</v>
      </c>
      <c r="T45" s="26">
        <f t="shared" si="58"/>
        <v>2819347617.3072</v>
      </c>
      <c r="U45" s="26">
        <f t="shared" si="58"/>
        <v>2698703103.0040002</v>
      </c>
      <c r="V45" s="26">
        <f t="shared" si="58"/>
        <v>2611106134.1375999</v>
      </c>
      <c r="W45" s="26">
        <f t="shared" si="58"/>
        <v>2328091148.2312002</v>
      </c>
      <c r="X45" s="26">
        <f t="shared" si="58"/>
        <v>2121040430.0135999</v>
      </c>
      <c r="Y45" s="26">
        <f t="shared" si="58"/>
        <v>2038403157.6023998</v>
      </c>
      <c r="Z45" s="26">
        <f t="shared" si="58"/>
        <v>2003581458.4144001</v>
      </c>
      <c r="AA45" s="26">
        <f t="shared" si="58"/>
        <v>1878186192.1624</v>
      </c>
      <c r="AB45" s="26">
        <f t="shared" si="58"/>
        <v>1734389941.5032001</v>
      </c>
      <c r="AC45" s="26">
        <f t="shared" si="58"/>
        <v>1800305945.9816</v>
      </c>
      <c r="AD45" s="26">
        <f t="shared" si="58"/>
        <v>1597084065.7656</v>
      </c>
      <c r="AE45" s="26">
        <f t="shared" si="58"/>
        <v>1501680383.26</v>
      </c>
      <c r="AF45" s="26">
        <f t="shared" si="58"/>
        <v>1331646791.5328</v>
      </c>
      <c r="AG45" s="26">
        <f t="shared" si="58"/>
        <v>1296985653.8408</v>
      </c>
      <c r="AH45" s="26">
        <f t="shared" si="58"/>
        <v>1271279046.2664001</v>
      </c>
      <c r="AI45" s="26">
        <f t="shared" si="58"/>
        <v>1236303673.2783999</v>
      </c>
      <c r="AJ45" s="26">
        <f t="shared" si="58"/>
        <v>1236101551.3584001</v>
      </c>
      <c r="AK45" s="26">
        <f t="shared" si="58"/>
        <v>1308963883.3455999</v>
      </c>
      <c r="AL45" s="26">
        <f t="shared" si="58"/>
        <v>462778039.41360003</v>
      </c>
      <c r="AM45" s="26">
        <f t="shared" si="58"/>
        <v>459618649.81440002</v>
      </c>
      <c r="AN45" s="26">
        <f t="shared" si="58"/>
        <v>487345037.34960002</v>
      </c>
      <c r="AO45" s="26">
        <f t="shared" si="58"/>
        <v>482153841.04480004</v>
      </c>
      <c r="AP45" s="26">
        <f t="shared" si="58"/>
        <v>490828979.56639999</v>
      </c>
      <c r="AQ45" s="26">
        <f t="shared" si="58"/>
        <v>489203546.97120005</v>
      </c>
      <c r="AR45" s="26">
        <f t="shared" si="58"/>
        <v>512374991.73440003</v>
      </c>
      <c r="AS45" s="26">
        <f t="shared" si="58"/>
        <v>513809552.20639998</v>
      </c>
      <c r="AT45" s="26">
        <f t="shared" si="58"/>
        <v>501709364.43040001</v>
      </c>
      <c r="AU45" s="26">
        <f t="shared" si="58"/>
        <v>372248258.5776</v>
      </c>
      <c r="AV45" s="26">
        <f t="shared" si="58"/>
        <v>379135160.61919999</v>
      </c>
      <c r="AW45" s="26">
        <f t="shared" si="58"/>
        <v>410182981.17519999</v>
      </c>
      <c r="AX45" s="26">
        <f t="shared" si="58"/>
        <v>341340000.00160003</v>
      </c>
      <c r="AY45" s="26">
        <f t="shared" si="58"/>
        <v>219770922.736</v>
      </c>
      <c r="AZ45" s="26">
        <f t="shared" si="58"/>
        <v>198729255.0792</v>
      </c>
      <c r="BA45" s="26">
        <f t="shared" si="58"/>
        <v>200369672.42880002</v>
      </c>
      <c r="BB45" s="26">
        <f t="shared" si="58"/>
        <v>226105194.95040002</v>
      </c>
      <c r="BC45" s="26">
        <f t="shared" si="58"/>
        <v>210252972.38</v>
      </c>
      <c r="BD45" s="26">
        <f t="shared" si="58"/>
        <v>207217957.02240002</v>
      </c>
      <c r="BE45" s="26">
        <f t="shared" si="58"/>
        <v>192504884.852</v>
      </c>
      <c r="BF45" s="26">
        <f t="shared" si="58"/>
        <v>182141539.34799999</v>
      </c>
      <c r="BG45" s="26">
        <f t="shared" si="58"/>
        <v>176668408.7536</v>
      </c>
      <c r="BH45" s="26">
        <f t="shared" si="58"/>
        <v>134429812.04879999</v>
      </c>
      <c r="BI45" s="26">
        <f t="shared" si="58"/>
        <v>130214779.46000001</v>
      </c>
      <c r="BJ45" s="26">
        <f t="shared" si="58"/>
        <v>124315801.1552</v>
      </c>
      <c r="BK45" s="26">
        <f t="shared" si="58"/>
        <v>117375348.84879999</v>
      </c>
      <c r="BL45" s="26">
        <f t="shared" si="58"/>
        <v>112859190.99680001</v>
      </c>
      <c r="BM45" s="26">
        <f t="shared" si="58"/>
        <v>110138130.13120002</v>
      </c>
      <c r="BN45" s="26">
        <f t="shared" si="58"/>
        <v>61801945.708800003</v>
      </c>
      <c r="BO45" s="26">
        <f t="shared" ref="BO45:CJ45" si="59">BO70*BO69</f>
        <v>63547849.648800001</v>
      </c>
      <c r="BP45" s="26">
        <f t="shared" si="59"/>
        <v>65943796.650399998</v>
      </c>
      <c r="BQ45" s="26">
        <f t="shared" si="59"/>
        <v>68856713.537600011</v>
      </c>
      <c r="BR45" s="26">
        <f t="shared" si="59"/>
        <v>76192817.243200004</v>
      </c>
      <c r="BS45" s="26">
        <f t="shared" si="59"/>
        <v>72016849.356800005</v>
      </c>
      <c r="BT45" s="26">
        <f t="shared" si="59"/>
        <v>73836082.368799999</v>
      </c>
      <c r="BU45" s="26">
        <f t="shared" si="59"/>
        <v>76590217.527199998</v>
      </c>
      <c r="BV45" s="26">
        <f t="shared" si="59"/>
        <v>72063689.40640001</v>
      </c>
      <c r="BW45" s="26">
        <f t="shared" si="59"/>
        <v>81391327.066400006</v>
      </c>
      <c r="BX45" s="26">
        <f t="shared" si="59"/>
        <v>41093049.796800002</v>
      </c>
      <c r="BY45" s="26">
        <f t="shared" si="59"/>
        <v>33178177.3464</v>
      </c>
      <c r="BZ45" s="26">
        <f t="shared" si="59"/>
        <v>26584046.156799998</v>
      </c>
      <c r="CA45" s="26">
        <f t="shared" si="59"/>
        <v>21552545.828000002</v>
      </c>
      <c r="CB45" s="26">
        <f t="shared" si="59"/>
        <v>14887337.193599999</v>
      </c>
      <c r="CC45" s="26">
        <f t="shared" si="59"/>
        <v>9390441.3479999993</v>
      </c>
      <c r="CD45" s="26">
        <f t="shared" si="59"/>
        <v>9946193.6623999998</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1394172024.0163994</v>
      </c>
      <c r="C47" s="28">
        <f t="shared" ref="C47:BN47" si="62">C42-C45</f>
        <v>-1987463048.0344009</v>
      </c>
      <c r="D47" s="28">
        <f t="shared" si="62"/>
        <v>-3157883072.0112</v>
      </c>
      <c r="E47" s="28">
        <f t="shared" si="62"/>
        <v>756861903.18719769</v>
      </c>
      <c r="F47" s="28">
        <f t="shared" si="62"/>
        <v>473330753.05679798</v>
      </c>
      <c r="G47" s="28">
        <f t="shared" si="62"/>
        <v>-1923252476.4176011</v>
      </c>
      <c r="H47" s="28">
        <f t="shared" si="62"/>
        <v>-2843873446.1244006</v>
      </c>
      <c r="I47" s="28">
        <f t="shared" si="62"/>
        <v>3305705780.4396</v>
      </c>
      <c r="J47" s="28">
        <f t="shared" si="62"/>
        <v>2411421387.5584021</v>
      </c>
      <c r="K47" s="28">
        <f t="shared" si="62"/>
        <v>-769514521.07479954</v>
      </c>
      <c r="L47" s="28">
        <f t="shared" si="62"/>
        <v>-2000452642.1859999</v>
      </c>
      <c r="M47" s="28">
        <f t="shared" si="62"/>
        <v>5891521473.7439985</v>
      </c>
      <c r="N47" s="28">
        <f t="shared" si="62"/>
        <v>4592042117.7136021</v>
      </c>
      <c r="O47" s="28">
        <f t="shared" si="62"/>
        <v>1086905066.8807979</v>
      </c>
      <c r="P47" s="28">
        <f t="shared" si="62"/>
        <v>-1400493649.7152004</v>
      </c>
      <c r="Q47" s="28">
        <f t="shared" si="62"/>
        <v>6674184169.7115984</v>
      </c>
      <c r="R47" s="28">
        <f t="shared" si="62"/>
        <v>5179378608.6487999</v>
      </c>
      <c r="S47" s="28">
        <f t="shared" si="62"/>
        <v>671830396.25760078</v>
      </c>
      <c r="T47" s="28">
        <f t="shared" si="62"/>
        <v>-1311291188.5171995</v>
      </c>
      <c r="U47" s="28">
        <f t="shared" si="62"/>
        <v>3223449898.4959998</v>
      </c>
      <c r="V47" s="28">
        <f t="shared" si="62"/>
        <v>1749684855.0624018</v>
      </c>
      <c r="W47" s="28">
        <f t="shared" si="62"/>
        <v>-263095990.72119999</v>
      </c>
      <c r="X47" s="28">
        <f t="shared" si="62"/>
        <v>-1276520335.6435995</v>
      </c>
      <c r="Y47" s="28">
        <f t="shared" si="62"/>
        <v>-38684023.762396812</v>
      </c>
      <c r="Z47" s="28">
        <f t="shared" si="62"/>
        <v>-638489819.27440095</v>
      </c>
      <c r="AA47" s="28">
        <f t="shared" si="62"/>
        <v>-1739699788.2523994</v>
      </c>
      <c r="AB47" s="28">
        <f t="shared" si="62"/>
        <v>-1808919345.5031996</v>
      </c>
      <c r="AC47" s="28">
        <f t="shared" si="62"/>
        <v>-940566408.24159741</v>
      </c>
      <c r="AD47" s="28">
        <f t="shared" si="62"/>
        <v>-859939921.07560039</v>
      </c>
      <c r="AE47" s="28">
        <f t="shared" si="62"/>
        <v>-1251009797.5100009</v>
      </c>
      <c r="AF47" s="28">
        <f t="shared" si="62"/>
        <v>-1297859909.6527996</v>
      </c>
      <c r="AG47" s="28">
        <f t="shared" si="62"/>
        <v>-100410124.20079947</v>
      </c>
      <c r="AH47" s="28">
        <f t="shared" si="62"/>
        <v>-391579226.05640054</v>
      </c>
      <c r="AI47" s="28">
        <f t="shared" si="62"/>
        <v>-1003433063.0983998</v>
      </c>
      <c r="AJ47" s="28">
        <f t="shared" si="62"/>
        <v>-1146880701.2084005</v>
      </c>
      <c r="AK47" s="28">
        <f t="shared" si="62"/>
        <v>-285354014.63559926</v>
      </c>
      <c r="AL47" s="28">
        <f t="shared" si="62"/>
        <v>-202459564.92359966</v>
      </c>
      <c r="AM47" s="28">
        <f t="shared" si="62"/>
        <v>-315142545.31439978</v>
      </c>
      <c r="AN47" s="28">
        <f t="shared" si="62"/>
        <v>-431455083.53960001</v>
      </c>
      <c r="AO47" s="28">
        <f t="shared" si="62"/>
        <v>-314580326.37479925</v>
      </c>
      <c r="AP47" s="28">
        <f t="shared" si="62"/>
        <v>-306980469.06639987</v>
      </c>
      <c r="AQ47" s="28">
        <f t="shared" si="62"/>
        <v>-318672943.89119983</v>
      </c>
      <c r="AR47" s="28">
        <f t="shared" si="62"/>
        <v>-412946400.42439991</v>
      </c>
      <c r="AS47" s="28">
        <f t="shared" si="62"/>
        <v>405744717.62359983</v>
      </c>
      <c r="AT47" s="28">
        <f t="shared" si="62"/>
        <v>243928622.76960039</v>
      </c>
      <c r="AU47" s="28">
        <f t="shared" si="62"/>
        <v>194543711.2924</v>
      </c>
      <c r="AV47" s="28">
        <f t="shared" si="62"/>
        <v>-91497408.339199901</v>
      </c>
      <c r="AW47" s="28">
        <f t="shared" si="62"/>
        <v>329737198.1148001</v>
      </c>
      <c r="AX47" s="28">
        <f t="shared" si="62"/>
        <v>161967356.28839999</v>
      </c>
      <c r="AY47" s="28">
        <f t="shared" si="62"/>
        <v>96560611.953999817</v>
      </c>
      <c r="AZ47" s="28">
        <f t="shared" si="62"/>
        <v>-76390782.769200042</v>
      </c>
      <c r="BA47" s="28">
        <f t="shared" si="62"/>
        <v>454592596.74120021</v>
      </c>
      <c r="BB47" s="28">
        <f t="shared" si="62"/>
        <v>347429228.32960021</v>
      </c>
      <c r="BC47" s="28">
        <f t="shared" si="62"/>
        <v>165128636.83000004</v>
      </c>
      <c r="BD47" s="28">
        <f t="shared" si="62"/>
        <v>1030478.4775999784</v>
      </c>
      <c r="BE47" s="28">
        <f t="shared" si="62"/>
        <v>380642703.00800002</v>
      </c>
      <c r="BF47" s="28">
        <f t="shared" si="62"/>
        <v>241108350.72199994</v>
      </c>
      <c r="BG47" s="28">
        <f t="shared" si="62"/>
        <v>125954573.94639993</v>
      </c>
      <c r="BH47" s="28">
        <f t="shared" si="62"/>
        <v>-21741904.688799977</v>
      </c>
      <c r="BI47" s="28">
        <f t="shared" si="62"/>
        <v>228422649.61999997</v>
      </c>
      <c r="BJ47" s="28">
        <f t="shared" si="62"/>
        <v>107201981.06479988</v>
      </c>
      <c r="BK47" s="28">
        <f t="shared" si="62"/>
        <v>28111681.391200081</v>
      </c>
      <c r="BL47" s="28">
        <f t="shared" si="62"/>
        <v>-36349133.576800033</v>
      </c>
      <c r="BM47" s="28">
        <f t="shared" si="62"/>
        <v>-112045876.34119973</v>
      </c>
      <c r="BN47" s="28">
        <f t="shared" si="62"/>
        <v>-151113482.11879998</v>
      </c>
      <c r="BO47" s="28">
        <f t="shared" ref="BO47:CJ47" si="63">BO42-BO45</f>
        <v>-130314137.25879999</v>
      </c>
      <c r="BP47" s="28">
        <f t="shared" si="63"/>
        <v>-102760746.74039999</v>
      </c>
      <c r="BQ47" s="28">
        <f t="shared" si="63"/>
        <v>-125269281.91759998</v>
      </c>
      <c r="BR47" s="28">
        <f t="shared" si="63"/>
        <v>-77858632.213200003</v>
      </c>
      <c r="BS47" s="28">
        <f t="shared" si="63"/>
        <v>-65600522.746799842</v>
      </c>
      <c r="BT47" s="28">
        <f t="shared" si="63"/>
        <v>-108654415.33879995</v>
      </c>
      <c r="BU47" s="28">
        <f t="shared" si="63"/>
        <v>-128172383.3272002</v>
      </c>
      <c r="BV47" s="28">
        <f t="shared" si="63"/>
        <v>-140513703.46640003</v>
      </c>
      <c r="BW47" s="28">
        <f t="shared" si="63"/>
        <v>-28110506.18640016</v>
      </c>
      <c r="BX47" s="28">
        <f t="shared" si="63"/>
        <v>35466369.12319997</v>
      </c>
      <c r="BY47" s="28">
        <f t="shared" si="63"/>
        <v>77856155.923600078</v>
      </c>
      <c r="BZ47" s="28">
        <f t="shared" si="63"/>
        <v>578461055.96319985</v>
      </c>
      <c r="CA47" s="28">
        <f t="shared" si="63"/>
        <v>86525033.162</v>
      </c>
      <c r="CB47" s="28">
        <f t="shared" si="63"/>
        <v>112930749.6964</v>
      </c>
      <c r="CC47" s="28">
        <f t="shared" si="63"/>
        <v>58928536.431999974</v>
      </c>
      <c r="CD47" s="28">
        <f t="shared" si="63"/>
        <v>79712650.52759999</v>
      </c>
      <c r="CE47" s="28">
        <f t="shared" si="63"/>
        <v>37572290.329999998</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19700101</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-51146138.68</v>
      </c>
      <c r="F52" s="42">
        <v>-34414</v>
      </c>
      <c r="G52" s="42">
        <v>-23309</v>
      </c>
      <c r="H52" s="42">
        <v>-16814</v>
      </c>
      <c r="I52" s="42">
        <v>-56806061.390000001</v>
      </c>
      <c r="J52" s="42"/>
      <c r="K52" s="42"/>
      <c r="M52" s="43">
        <v>-111378811.79000001</v>
      </c>
      <c r="Q52" s="43">
        <v>-93042576.480000004</v>
      </c>
      <c r="U52" s="43">
        <v>-29735716.039999999</v>
      </c>
      <c r="Y52" s="43">
        <v>-34627423.960000001</v>
      </c>
      <c r="AC52" s="43">
        <v>-33938263.890000001</v>
      </c>
      <c r="AG52" s="43">
        <v>-9378386.7200000007</v>
      </c>
    </row>
    <row r="53" spans="1:89" s="43" customFormat="1" x14ac:dyDescent="0.25">
      <c r="A53" s="132" t="s">
        <v>90</v>
      </c>
      <c r="B53" s="42">
        <v>217</v>
      </c>
      <c r="C53" s="42">
        <v>189</v>
      </c>
      <c r="D53" s="42"/>
      <c r="E53" s="42">
        <v>4903196579.6599998</v>
      </c>
      <c r="F53" s="42"/>
      <c r="G53" s="42"/>
      <c r="H53" s="42"/>
      <c r="I53" s="42">
        <v>5000113916.4899998</v>
      </c>
      <c r="J53" s="42"/>
      <c r="K53" s="42"/>
      <c r="M53" s="43">
        <v>5901446446.1199999</v>
      </c>
      <c r="Q53" s="43">
        <v>6178007990.4099998</v>
      </c>
      <c r="U53" s="43">
        <v>4473174502.4399996</v>
      </c>
      <c r="Y53" s="43">
        <v>3087460245.1399999</v>
      </c>
      <c r="AC53" s="43">
        <v>2355419475.73</v>
      </c>
      <c r="AD53" s="42"/>
      <c r="AE53" s="42"/>
      <c r="AF53" s="42"/>
      <c r="AG53" s="42">
        <v>1899741637.1300001</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-30384338.170000002</v>
      </c>
      <c r="F54" s="42">
        <v>2684</v>
      </c>
      <c r="G54" s="42">
        <v>-377</v>
      </c>
      <c r="H54" s="42">
        <v>1008</v>
      </c>
      <c r="I54" s="42">
        <v>33494843.890000001</v>
      </c>
      <c r="J54" s="42"/>
      <c r="K54" s="42"/>
      <c r="M54" s="43">
        <v>51430157.719999999</v>
      </c>
      <c r="Q54" s="43">
        <v>4409373.74</v>
      </c>
      <c r="U54" s="43">
        <v>-67824779.659999996</v>
      </c>
      <c r="Y54" s="43">
        <v>702074.88</v>
      </c>
      <c r="AC54" s="43">
        <v>-170931948.52000001</v>
      </c>
      <c r="AG54" s="43">
        <v>-135586142.88</v>
      </c>
    </row>
    <row r="55" spans="1:89" s="43" customFormat="1" x14ac:dyDescent="0.25">
      <c r="A55" s="132" t="s">
        <v>92</v>
      </c>
      <c r="B55" s="42">
        <v>463</v>
      </c>
      <c r="C55" s="42">
        <v>603</v>
      </c>
      <c r="D55" s="42">
        <v>653</v>
      </c>
      <c r="E55" s="42">
        <v>56101537.369999997</v>
      </c>
      <c r="F55" s="42">
        <v>1204</v>
      </c>
      <c r="G55" s="42">
        <v>868</v>
      </c>
      <c r="H55" s="42">
        <v>644</v>
      </c>
      <c r="I55" s="42">
        <v>65394715.479999997</v>
      </c>
      <c r="J55" s="42"/>
      <c r="K55" s="42"/>
      <c r="M55" s="43">
        <v>48644769.100000001</v>
      </c>
      <c r="Q55" s="43">
        <v>66127569.869999997</v>
      </c>
      <c r="U55" s="43">
        <v>34607509.600000001</v>
      </c>
      <c r="Y55" s="43">
        <v>29649964.809999999</v>
      </c>
      <c r="AC55" s="43">
        <v>8397985.5600000005</v>
      </c>
      <c r="AG55" s="43">
        <v>8357133.4500000002</v>
      </c>
    </row>
    <row r="56" spans="1:89" s="26" customFormat="1" x14ac:dyDescent="0.25">
      <c r="A56" s="133" t="s">
        <v>93</v>
      </c>
      <c r="B56" s="44">
        <f>SUM(B52:B55)</f>
        <v>-21852</v>
      </c>
      <c r="C56" s="44">
        <f t="shared" ref="C56:D56" si="64">SUM(C52:C55)</f>
        <v>-28350</v>
      </c>
      <c r="D56" s="44">
        <f t="shared" si="64"/>
        <v>-35004</v>
      </c>
      <c r="E56" s="44">
        <f>SUM(E52:E55)</f>
        <v>4877767640.1799994</v>
      </c>
      <c r="F56" s="44">
        <f t="shared" ref="F56:BQ56" si="65">SUM(F52:F55)</f>
        <v>-30526</v>
      </c>
      <c r="G56" s="44">
        <f t="shared" si="65"/>
        <v>-22818</v>
      </c>
      <c r="H56" s="44">
        <f t="shared" si="65"/>
        <v>-15162</v>
      </c>
      <c r="I56" s="44">
        <f t="shared" si="65"/>
        <v>5042197414.4699993</v>
      </c>
      <c r="J56" s="44">
        <f t="shared" si="65"/>
        <v>0</v>
      </c>
      <c r="K56" s="44">
        <f t="shared" si="65"/>
        <v>0</v>
      </c>
      <c r="L56" s="44">
        <f t="shared" si="65"/>
        <v>0</v>
      </c>
      <c r="M56" s="44">
        <f t="shared" si="65"/>
        <v>5890142561.1500006</v>
      </c>
      <c r="N56" s="44">
        <f t="shared" si="65"/>
        <v>0</v>
      </c>
      <c r="O56" s="44">
        <f t="shared" si="65"/>
        <v>0</v>
      </c>
      <c r="P56" s="44">
        <f t="shared" si="65"/>
        <v>0</v>
      </c>
      <c r="Q56" s="44">
        <f t="shared" si="65"/>
        <v>6155502357.54</v>
      </c>
      <c r="R56" s="44">
        <f t="shared" si="65"/>
        <v>0</v>
      </c>
      <c r="S56" s="44">
        <f t="shared" si="65"/>
        <v>0</v>
      </c>
      <c r="T56" s="44">
        <f t="shared" si="65"/>
        <v>0</v>
      </c>
      <c r="U56" s="44">
        <f t="shared" si="65"/>
        <v>4410221516.3400002</v>
      </c>
      <c r="V56" s="44">
        <f t="shared" si="65"/>
        <v>0</v>
      </c>
      <c r="W56" s="44">
        <f t="shared" si="65"/>
        <v>0</v>
      </c>
      <c r="X56" s="44">
        <f t="shared" si="65"/>
        <v>0</v>
      </c>
      <c r="Y56" s="44">
        <f t="shared" si="65"/>
        <v>3083184860.8699999</v>
      </c>
      <c r="Z56" s="44">
        <f t="shared" si="65"/>
        <v>0</v>
      </c>
      <c r="AA56" s="44">
        <f t="shared" si="65"/>
        <v>0</v>
      </c>
      <c r="AB56" s="44">
        <f t="shared" si="65"/>
        <v>0</v>
      </c>
      <c r="AC56" s="44">
        <f t="shared" si="65"/>
        <v>2158947248.8800001</v>
      </c>
      <c r="AD56" s="44">
        <f t="shared" si="65"/>
        <v>0</v>
      </c>
      <c r="AE56" s="44">
        <f t="shared" si="65"/>
        <v>0</v>
      </c>
      <c r="AF56" s="44">
        <f t="shared" si="65"/>
        <v>0</v>
      </c>
      <c r="AG56" s="44">
        <f t="shared" si="65"/>
        <v>1763134240.9800003</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6994561198.3699999</v>
      </c>
      <c r="C59" s="190">
        <v>3092647847.0799999</v>
      </c>
      <c r="D59" s="190">
        <v>1975281942.8299999</v>
      </c>
      <c r="E59" s="190">
        <v>6559490691.3999996</v>
      </c>
      <c r="F59" s="190">
        <v>5870924161.6599998</v>
      </c>
      <c r="G59" s="190">
        <v>2652979952.0300002</v>
      </c>
      <c r="H59" s="190">
        <v>1853382893</v>
      </c>
      <c r="I59" s="190">
        <v>7859609801.9099998</v>
      </c>
      <c r="J59" s="190">
        <v>6772476389.21</v>
      </c>
      <c r="K59" s="190">
        <v>3232389460.6100001</v>
      </c>
      <c r="L59" s="190">
        <v>2308556528.71</v>
      </c>
      <c r="M59" s="190">
        <v>10102582821.57</v>
      </c>
      <c r="N59" s="190">
        <v>8448487310.1899996</v>
      </c>
      <c r="O59" s="190">
        <v>4553369526.8100004</v>
      </c>
      <c r="P59" s="190">
        <v>2290774318.96</v>
      </c>
      <c r="Q59" s="190">
        <v>10161221537.33</v>
      </c>
      <c r="R59" s="190">
        <v>8399467010.1000004</v>
      </c>
      <c r="S59" s="190">
        <v>3432534943.52</v>
      </c>
      <c r="T59" s="190">
        <v>1508056428.79</v>
      </c>
      <c r="U59" s="190">
        <v>5877018770.04</v>
      </c>
      <c r="V59" s="190">
        <v>4354664003.3400002</v>
      </c>
      <c r="W59" s="190">
        <v>2058868171.6500001</v>
      </c>
      <c r="X59" s="190">
        <v>844520094.37</v>
      </c>
      <c r="Y59" s="190">
        <v>2017558718.79</v>
      </c>
      <c r="Z59" s="190">
        <v>1350022482.8099999</v>
      </c>
      <c r="AA59" s="190">
        <v>123640074.62</v>
      </c>
      <c r="AB59" s="190">
        <v>-77259404</v>
      </c>
      <c r="AC59" s="190">
        <v>672297859.65999997</v>
      </c>
      <c r="AD59" s="190">
        <v>722448229.82000005</v>
      </c>
      <c r="AE59" s="190">
        <v>249515222.90000001</v>
      </c>
      <c r="AF59" s="190">
        <v>33786881.880000003</v>
      </c>
      <c r="AG59" s="190">
        <v>1064039754.54</v>
      </c>
      <c r="AH59" s="190">
        <v>869362180.87</v>
      </c>
      <c r="AI59" s="190">
        <v>222532970.84</v>
      </c>
      <c r="AJ59" s="190">
        <v>89220850.150000006</v>
      </c>
      <c r="AK59" s="190">
        <v>1009355978.66</v>
      </c>
      <c r="AL59" s="190">
        <v>260318474.49000001</v>
      </c>
      <c r="AM59" s="190">
        <v>144476104.5</v>
      </c>
      <c r="AN59" s="190">
        <v>55889953.810000002</v>
      </c>
      <c r="AO59" s="190">
        <v>167573514.66999999</v>
      </c>
      <c r="AP59" s="190">
        <v>183848510.5</v>
      </c>
      <c r="AQ59" s="190">
        <v>170530603.08000001</v>
      </c>
      <c r="AR59" s="190">
        <v>99428591.310000002</v>
      </c>
      <c r="AS59" s="190">
        <v>919554269.83000004</v>
      </c>
      <c r="AT59" s="190">
        <v>745637987.20000005</v>
      </c>
      <c r="AU59" s="190">
        <v>566791969.87</v>
      </c>
      <c r="AV59" s="190">
        <v>287637752.27999997</v>
      </c>
      <c r="AW59" s="190">
        <v>750061536.45000005</v>
      </c>
      <c r="AX59" s="190">
        <v>507292117.79000002</v>
      </c>
      <c r="AY59" s="190">
        <v>318959395.52999997</v>
      </c>
      <c r="AZ59" s="190">
        <v>123434647.58</v>
      </c>
      <c r="BA59" s="190">
        <v>660148388.15999997</v>
      </c>
      <c r="BB59" s="190">
        <v>574860926.23000002</v>
      </c>
      <c r="BC59" s="190">
        <v>376700259.31</v>
      </c>
      <c r="BD59" s="190">
        <v>208913402.13</v>
      </c>
      <c r="BE59" s="190">
        <v>576370151.21000004</v>
      </c>
      <c r="BF59" s="190">
        <v>421826048.36000001</v>
      </c>
      <c r="BG59" s="190">
        <v>303331342.87</v>
      </c>
      <c r="BH59" s="190">
        <v>112687907.36</v>
      </c>
      <c r="BI59" s="190">
        <v>358719247.29000002</v>
      </c>
      <c r="BJ59" s="190">
        <v>233220887.80000001</v>
      </c>
      <c r="BK59" s="190">
        <v>146465233.97</v>
      </c>
      <c r="BL59" s="190">
        <v>76513260.810000002</v>
      </c>
      <c r="BM59" s="190">
        <v>-471057.59</v>
      </c>
      <c r="BN59" s="190">
        <v>-88184597.859999999</v>
      </c>
      <c r="BO59" s="190">
        <v>-66360798.609999999</v>
      </c>
      <c r="BP59" s="190">
        <v>-36411461.090000004</v>
      </c>
      <c r="BQ59" s="190">
        <v>-39628397.740000002</v>
      </c>
      <c r="BR59" s="190">
        <v>-1476614.96</v>
      </c>
      <c r="BS59" s="190">
        <v>5923689.0800000001</v>
      </c>
      <c r="BT59" s="190">
        <v>-34426689.479999997</v>
      </c>
      <c r="BU59" s="190">
        <v>-51462881.590000004</v>
      </c>
      <c r="BV59" s="190">
        <v>-68382093.200000003</v>
      </c>
      <c r="BW59" s="190">
        <v>71620461.5</v>
      </c>
      <c r="BX59" s="190">
        <v>98935905.629999995</v>
      </c>
      <c r="BY59" s="190">
        <v>145320393.97999999</v>
      </c>
      <c r="BZ59" s="190">
        <v>62893754.109999999</v>
      </c>
      <c r="CA59" s="190">
        <v>122860071</v>
      </c>
      <c r="CB59" s="190">
        <v>39544963.07</v>
      </c>
      <c r="CC59" s="190">
        <v>68885305.769999996</v>
      </c>
      <c r="CD59" s="190">
        <v>43689308.939999998</v>
      </c>
      <c r="CE59" s="190">
        <v>37862587.729999997</v>
      </c>
      <c r="CF59" s="190">
        <v>0</v>
      </c>
      <c r="CG59" s="190">
        <v>54430000</v>
      </c>
      <c r="CH59" s="190">
        <v>80440000</v>
      </c>
      <c r="CI59" s="190">
        <v>58950000</v>
      </c>
      <c r="CJ59" s="190">
        <v>67670000</v>
      </c>
      <c r="CK59" s="190">
        <v>0</v>
      </c>
    </row>
    <row r="60" spans="1:89" x14ac:dyDescent="0.25">
      <c r="A60" s="22" t="s">
        <v>95</v>
      </c>
      <c r="B60" s="190">
        <v>1143811866.47</v>
      </c>
      <c r="C60" s="190">
        <v>617552272.61000001</v>
      </c>
      <c r="D60" s="190">
        <v>319127319.00999999</v>
      </c>
      <c r="E60" s="190">
        <v>954840678.08000004</v>
      </c>
      <c r="F60" s="190">
        <v>892794478.67999995</v>
      </c>
      <c r="G60" s="190">
        <v>518083661.26999998</v>
      </c>
      <c r="H60" s="190">
        <v>251135017.58000001</v>
      </c>
      <c r="I60" s="190">
        <v>1057490826.96</v>
      </c>
      <c r="J60" s="190">
        <v>990946211.74000001</v>
      </c>
      <c r="K60" s="190">
        <v>538505791.04999995</v>
      </c>
      <c r="L60" s="190">
        <v>306527849.67000002</v>
      </c>
      <c r="M60" s="190">
        <v>878054648.92999995</v>
      </c>
      <c r="N60" s="190">
        <v>789351686.13</v>
      </c>
      <c r="O60" s="190">
        <v>522711175.88999999</v>
      </c>
      <c r="P60" s="190">
        <v>264885007.77000001</v>
      </c>
      <c r="Q60" s="190">
        <v>783088437.73000002</v>
      </c>
      <c r="R60" s="190">
        <v>677768915.27999997</v>
      </c>
      <c r="S60" s="190">
        <v>399400075.43000001</v>
      </c>
      <c r="T60" s="190">
        <v>218104355.81999999</v>
      </c>
      <c r="U60" s="190">
        <v>701923831.97000003</v>
      </c>
      <c r="V60" s="190">
        <v>484831447.95999998</v>
      </c>
      <c r="W60" s="190">
        <v>216956448.02000001</v>
      </c>
      <c r="X60" s="190">
        <v>95539532.620000005</v>
      </c>
      <c r="Y60" s="190">
        <v>300423098.67000002</v>
      </c>
      <c r="Z60" s="190">
        <v>220912368.81999999</v>
      </c>
      <c r="AA60" s="190">
        <v>87482635.609999999</v>
      </c>
      <c r="AB60" s="190">
        <v>32267069.329999998</v>
      </c>
      <c r="AC60" s="190">
        <v>296451415.79000002</v>
      </c>
      <c r="AD60" s="190">
        <v>264034888.75</v>
      </c>
      <c r="AE60" s="190">
        <v>106271714.66</v>
      </c>
      <c r="AF60" s="190">
        <v>31621816.129999999</v>
      </c>
      <c r="AG60" s="190">
        <v>320486319.00999999</v>
      </c>
      <c r="AH60" s="190">
        <v>193733554.46000001</v>
      </c>
      <c r="AI60" s="190">
        <v>68308834.099999994</v>
      </c>
      <c r="AJ60" s="190">
        <v>26246376.25</v>
      </c>
      <c r="AK60" s="190">
        <v>232637187.12</v>
      </c>
      <c r="AL60" s="190">
        <v>67405716.459999993</v>
      </c>
      <c r="AM60" s="190">
        <v>44078125.170000002</v>
      </c>
      <c r="AN60" s="190">
        <v>24161961.390000001</v>
      </c>
      <c r="AO60" s="190">
        <v>111237763.38</v>
      </c>
      <c r="AP60" s="190">
        <v>59631781.259999998</v>
      </c>
      <c r="AQ60" s="190">
        <v>39151425.469999999</v>
      </c>
      <c r="AR60" s="190">
        <v>17987128.920000002</v>
      </c>
      <c r="AS60" s="190">
        <v>139854238.37</v>
      </c>
      <c r="AT60" s="190">
        <v>82327769.390000001</v>
      </c>
      <c r="AU60" s="190">
        <v>55293528.329999998</v>
      </c>
      <c r="AV60" s="190">
        <v>36570111.979999997</v>
      </c>
      <c r="AW60" s="190">
        <v>72887391.090000004</v>
      </c>
      <c r="AX60" s="190">
        <v>53028011.210000001</v>
      </c>
      <c r="AY60" s="190">
        <v>29703350.030000001</v>
      </c>
      <c r="AZ60" s="190">
        <v>13047046.49</v>
      </c>
      <c r="BA60" s="190">
        <v>49165691.289999999</v>
      </c>
      <c r="BB60" s="190">
        <v>46519206.520000003</v>
      </c>
      <c r="BC60" s="190">
        <v>29347918.850000001</v>
      </c>
      <c r="BD60" s="190">
        <v>13322927.01</v>
      </c>
      <c r="BE60" s="190">
        <v>43036091.75</v>
      </c>
      <c r="BF60" s="190">
        <v>31951115.420000002</v>
      </c>
      <c r="BG60" s="190">
        <v>21711072.23</v>
      </c>
      <c r="BH60" s="190">
        <v>2986558.57</v>
      </c>
      <c r="BI60" s="190">
        <v>33835169.82</v>
      </c>
      <c r="BJ60" s="190">
        <v>20563796.73</v>
      </c>
      <c r="BK60" s="190">
        <v>14292154.58</v>
      </c>
      <c r="BL60" s="190">
        <v>8469449.8100000005</v>
      </c>
      <c r="BM60" s="190">
        <v>12330911.960000001</v>
      </c>
      <c r="BN60" s="190">
        <v>0</v>
      </c>
      <c r="BO60" s="190">
        <v>0</v>
      </c>
      <c r="BP60" s="190">
        <v>0</v>
      </c>
      <c r="BQ60" s="190">
        <v>0</v>
      </c>
      <c r="BR60" s="190">
        <v>0</v>
      </c>
      <c r="BS60" s="190">
        <v>0</v>
      </c>
      <c r="BT60" s="190">
        <v>0</v>
      </c>
      <c r="BU60" s="190">
        <v>0</v>
      </c>
      <c r="BV60" s="190">
        <v>0</v>
      </c>
      <c r="BW60" s="190">
        <v>32873425.300000001</v>
      </c>
      <c r="BX60" s="190">
        <v>40979657.159999996</v>
      </c>
      <c r="BY60" s="190">
        <v>56312297.049999997</v>
      </c>
      <c r="BZ60" s="190">
        <v>30977520.690000001</v>
      </c>
      <c r="CA60" s="190">
        <v>60513169.880000003</v>
      </c>
      <c r="CB60" s="190">
        <v>19477369.890000001</v>
      </c>
      <c r="CC60" s="190">
        <v>33928583.43</v>
      </c>
      <c r="CD60" s="190">
        <v>21518614.850000001</v>
      </c>
      <c r="CE60" s="190">
        <v>18648737.239999998</v>
      </c>
      <c r="CF60" s="190">
        <v>0</v>
      </c>
      <c r="CG60" s="190">
        <v>4330000</v>
      </c>
      <c r="CH60" s="190">
        <v>4220000</v>
      </c>
      <c r="CI60" s="190">
        <v>12510000</v>
      </c>
      <c r="CJ60" s="190">
        <v>3630000</v>
      </c>
      <c r="CK60" s="190">
        <v>0</v>
      </c>
    </row>
    <row r="61" spans="1:89" x14ac:dyDescent="0.25">
      <c r="A61" s="22" t="s">
        <v>94</v>
      </c>
      <c r="B61" s="190">
        <v>8138373064.8400002</v>
      </c>
      <c r="C61" s="190">
        <v>3710200119.6900001</v>
      </c>
      <c r="D61" s="190">
        <v>2294409261.8400002</v>
      </c>
      <c r="E61" s="190">
        <v>7514331369.4799995</v>
      </c>
      <c r="F61" s="190">
        <v>6763718640.3400002</v>
      </c>
      <c r="G61" s="190">
        <v>3171063613.3000002</v>
      </c>
      <c r="H61" s="190">
        <v>2104517910.5799999</v>
      </c>
      <c r="I61" s="190">
        <v>8917100628.8700008</v>
      </c>
      <c r="J61" s="190">
        <v>7763422600.9499998</v>
      </c>
      <c r="K61" s="190">
        <v>3770895251.6599998</v>
      </c>
      <c r="L61" s="190">
        <v>2615084378.3800001</v>
      </c>
      <c r="M61" s="190">
        <v>10980637470.5</v>
      </c>
      <c r="N61" s="190">
        <v>9237838996.3199997</v>
      </c>
      <c r="O61" s="190">
        <v>5076080702.6999998</v>
      </c>
      <c r="P61" s="190">
        <v>2555659326.73</v>
      </c>
      <c r="Q61" s="190">
        <v>10944309975.059999</v>
      </c>
      <c r="R61" s="190">
        <v>9077235925.3799992</v>
      </c>
      <c r="S61" s="190">
        <v>3831935018.9499998</v>
      </c>
      <c r="T61" s="190">
        <v>1726160784.6099999</v>
      </c>
      <c r="U61" s="190">
        <v>6578942602.0100002</v>
      </c>
      <c r="V61" s="190">
        <v>4839495451.3000002</v>
      </c>
      <c r="W61" s="190">
        <v>2275824619.6700001</v>
      </c>
      <c r="X61" s="190">
        <v>940059626.99000001</v>
      </c>
      <c r="Y61" s="190">
        <v>2317981817.46</v>
      </c>
      <c r="Z61" s="190">
        <v>1570934851.6300001</v>
      </c>
      <c r="AA61" s="190">
        <v>211122710.22999999</v>
      </c>
      <c r="AB61" s="190">
        <v>-44992334.670000002</v>
      </c>
      <c r="AC61" s="190">
        <v>968749275.45000005</v>
      </c>
      <c r="AD61" s="190">
        <v>986483118.57000005</v>
      </c>
      <c r="AE61" s="190">
        <v>355786937.56</v>
      </c>
      <c r="AF61" s="190">
        <v>65408698.009999998</v>
      </c>
      <c r="AG61" s="190">
        <v>1384526073.55</v>
      </c>
      <c r="AH61" s="190">
        <v>1063095735.33</v>
      </c>
      <c r="AI61" s="190">
        <v>290841804.94</v>
      </c>
      <c r="AJ61" s="190">
        <v>115467226.40000001</v>
      </c>
      <c r="AK61" s="190">
        <v>1241993165.78</v>
      </c>
      <c r="AL61" s="190">
        <v>327724190.94999999</v>
      </c>
      <c r="AM61" s="190">
        <v>188554229.66999999</v>
      </c>
      <c r="AN61" s="190">
        <v>80051915.200000003</v>
      </c>
      <c r="AO61" s="190">
        <v>278811278.05000001</v>
      </c>
      <c r="AP61" s="190">
        <v>243480291.75999999</v>
      </c>
      <c r="AQ61" s="190">
        <v>209682028.55000001</v>
      </c>
      <c r="AR61" s="190">
        <v>117415720.23</v>
      </c>
      <c r="AS61" s="190">
        <v>1059408508.2</v>
      </c>
      <c r="AT61" s="190">
        <v>827965756.59000003</v>
      </c>
      <c r="AU61" s="190">
        <v>622085498.20000005</v>
      </c>
      <c r="AV61" s="190">
        <v>324207864.25999999</v>
      </c>
      <c r="AW61" s="190">
        <v>822948927.53999996</v>
      </c>
      <c r="AX61" s="190">
        <v>560320129</v>
      </c>
      <c r="AY61" s="190">
        <v>348662745.55000001</v>
      </c>
      <c r="AZ61" s="190">
        <v>136481694.06999999</v>
      </c>
      <c r="BA61" s="190">
        <v>709314079.45000005</v>
      </c>
      <c r="BB61" s="190">
        <v>621380132.75</v>
      </c>
      <c r="BC61" s="190">
        <v>406048178.16000003</v>
      </c>
      <c r="BD61" s="190">
        <v>222236329.13999999</v>
      </c>
      <c r="BE61" s="190">
        <v>619406242.96000004</v>
      </c>
      <c r="BF61" s="190">
        <v>453777163.77999997</v>
      </c>
      <c r="BG61" s="190">
        <v>325042415.10000002</v>
      </c>
      <c r="BH61" s="190">
        <v>115674465.93000001</v>
      </c>
      <c r="BI61" s="190">
        <v>392554417.11000001</v>
      </c>
      <c r="BJ61" s="190">
        <v>253784684.53</v>
      </c>
      <c r="BK61" s="190">
        <v>160757388.55000001</v>
      </c>
      <c r="BL61" s="190">
        <v>84982710.620000005</v>
      </c>
      <c r="BM61" s="190">
        <v>11859854.369999999</v>
      </c>
      <c r="BN61" s="190">
        <v>-88184597.859999999</v>
      </c>
      <c r="BO61" s="190">
        <v>-66360798.609999999</v>
      </c>
      <c r="BP61" s="190">
        <v>-36411461.090000004</v>
      </c>
      <c r="BQ61" s="190">
        <v>-39628397.740000002</v>
      </c>
      <c r="BR61" s="190">
        <v>-1476614.96</v>
      </c>
      <c r="BS61" s="190">
        <v>5923689.0800000001</v>
      </c>
      <c r="BT61" s="190">
        <v>-34426689.479999997</v>
      </c>
      <c r="BU61" s="190">
        <v>-51462881.590000004</v>
      </c>
      <c r="BV61" s="190">
        <v>-68382093.200000003</v>
      </c>
      <c r="BW61" s="190">
        <v>86562927.540000007</v>
      </c>
      <c r="BX61" s="190">
        <v>117563022.52</v>
      </c>
      <c r="BY61" s="190">
        <v>170965169.38999999</v>
      </c>
      <c r="BZ61" s="190">
        <v>93871274.799999997</v>
      </c>
      <c r="CA61" s="190">
        <v>183373240.33000001</v>
      </c>
      <c r="CB61" s="190">
        <v>59022332.960000001</v>
      </c>
      <c r="CC61" s="190">
        <v>102813889.2</v>
      </c>
      <c r="CD61" s="190">
        <v>65207923.789999999</v>
      </c>
      <c r="CE61" s="190">
        <v>56511324.969999999</v>
      </c>
      <c r="CF61" s="190">
        <v>0</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372355356.44</v>
      </c>
      <c r="C65" s="190">
        <v>219996694.03</v>
      </c>
      <c r="D65" s="190">
        <v>81590437.299999997</v>
      </c>
      <c r="E65" s="190">
        <v>345540745.06</v>
      </c>
      <c r="F65" s="190">
        <v>288992522.58999997</v>
      </c>
      <c r="G65" s="190">
        <v>171093266.88</v>
      </c>
      <c r="H65" s="190">
        <v>74517491.569999993</v>
      </c>
      <c r="I65" s="190">
        <v>807777307.99000001</v>
      </c>
      <c r="J65" s="190">
        <v>695358546.80999994</v>
      </c>
      <c r="K65" s="190">
        <v>367201620.48000002</v>
      </c>
      <c r="L65" s="190">
        <v>185670423.15000001</v>
      </c>
      <c r="M65" s="190">
        <v>579339517.47000003</v>
      </c>
      <c r="N65" s="190">
        <v>447463057.22000003</v>
      </c>
      <c r="O65" s="190">
        <v>329653106.22000003</v>
      </c>
      <c r="P65" s="190">
        <v>156219977.81</v>
      </c>
      <c r="Q65" s="190">
        <v>664380926.67999995</v>
      </c>
      <c r="R65" s="190">
        <v>505554407.98000002</v>
      </c>
      <c r="S65" s="190">
        <v>449625264.54000002</v>
      </c>
      <c r="T65" s="190">
        <v>104569545.5</v>
      </c>
      <c r="U65" s="190">
        <v>548154373.60000002</v>
      </c>
      <c r="V65" s="190">
        <v>426811965.94999999</v>
      </c>
      <c r="W65" s="190">
        <v>231938493.88</v>
      </c>
      <c r="X65" s="190">
        <v>97302841.650000006</v>
      </c>
      <c r="Y65" s="190">
        <v>196014695.81</v>
      </c>
      <c r="Z65" s="190">
        <v>93609168.219999999</v>
      </c>
      <c r="AA65" s="190">
        <v>55113368.869999997</v>
      </c>
      <c r="AB65" s="190">
        <v>31543075.77</v>
      </c>
      <c r="AC65" s="190">
        <v>75131555.75</v>
      </c>
      <c r="AD65" s="190">
        <v>59421519.450000003</v>
      </c>
      <c r="AE65" s="190">
        <v>51124634.079999998</v>
      </c>
      <c r="AF65" s="190">
        <v>22663497.949999999</v>
      </c>
      <c r="AG65" s="190">
        <v>78627518.829999998</v>
      </c>
      <c r="AH65" s="190">
        <v>74163697.260000005</v>
      </c>
      <c r="AI65" s="190">
        <v>64605346.560000002</v>
      </c>
      <c r="AJ65" s="190">
        <v>38202558.57</v>
      </c>
      <c r="AK65" s="190">
        <v>102161989.84</v>
      </c>
      <c r="AL65" s="190">
        <v>79888891.620000005</v>
      </c>
      <c r="AM65" s="190">
        <v>37110688.369999997</v>
      </c>
      <c r="AN65" s="190">
        <v>30324684.289999999</v>
      </c>
      <c r="AO65" s="190">
        <v>68631860.040000007</v>
      </c>
      <c r="AP65" s="190">
        <v>86109315.530000001</v>
      </c>
      <c r="AQ65" s="190">
        <v>60573408.009999998</v>
      </c>
      <c r="AR65" s="190">
        <v>45174912.68</v>
      </c>
      <c r="AS65" s="190">
        <v>158460456.44</v>
      </c>
      <c r="AT65" s="190">
        <v>114399744.65000001</v>
      </c>
      <c r="AU65" s="190">
        <v>66186031.729999997</v>
      </c>
      <c r="AV65" s="190">
        <v>31224009.879999999</v>
      </c>
      <c r="AW65" s="190">
        <v>91896385.170000002</v>
      </c>
      <c r="AX65" s="190">
        <v>91210465.540000007</v>
      </c>
      <c r="AY65" s="190">
        <v>53081694.579999998</v>
      </c>
      <c r="AZ65" s="190">
        <v>24609672.469999999</v>
      </c>
      <c r="BA65" s="190">
        <v>128703469.58</v>
      </c>
      <c r="BB65" s="190">
        <v>106163840.39</v>
      </c>
      <c r="BC65" s="190">
        <v>53481238.909999996</v>
      </c>
      <c r="BD65" s="190">
        <v>26156224.609999999</v>
      </c>
      <c r="BE65" s="190">
        <v>95925561.390000001</v>
      </c>
      <c r="BF65" s="190">
        <v>68684733.689999998</v>
      </c>
      <c r="BG65" s="190">
        <v>39337239.340000004</v>
      </c>
      <c r="BH65" s="190">
        <v>26915646.969999999</v>
      </c>
      <c r="BI65" s="190">
        <v>67336835.930000007</v>
      </c>
      <c r="BJ65" s="190">
        <v>55785335.399999999</v>
      </c>
      <c r="BK65" s="190">
        <v>33176741.760000002</v>
      </c>
      <c r="BL65" s="190">
        <v>18993250.530000001</v>
      </c>
      <c r="BM65" s="190">
        <v>20168474.190000001</v>
      </c>
      <c r="BN65" s="190">
        <v>394441.59</v>
      </c>
      <c r="BO65" s="190">
        <v>0</v>
      </c>
      <c r="BP65" s="190">
        <v>0</v>
      </c>
      <c r="BQ65" s="190">
        <v>2566409.36</v>
      </c>
      <c r="BR65" s="190">
        <v>522340</v>
      </c>
      <c r="BS65" s="190">
        <v>-997944.79</v>
      </c>
      <c r="BT65" s="190">
        <v>1114565.96</v>
      </c>
      <c r="BU65" s="190">
        <v>-208395.35</v>
      </c>
      <c r="BV65" s="190">
        <v>0</v>
      </c>
      <c r="BW65" s="190">
        <v>182000</v>
      </c>
      <c r="BX65" s="190">
        <v>182000</v>
      </c>
      <c r="BY65" s="190">
        <v>-28155.01</v>
      </c>
      <c r="BZ65" s="190">
        <v>0</v>
      </c>
      <c r="CA65" s="190">
        <v>20813506.649999999</v>
      </c>
      <c r="CB65" s="190">
        <v>340400</v>
      </c>
      <c r="CC65" s="190">
        <v>15142.3</v>
      </c>
      <c r="CD65" s="190">
        <v>15142.3</v>
      </c>
      <c r="CE65" s="190">
        <v>281144.94</v>
      </c>
      <c r="CF65" s="190">
        <v>0</v>
      </c>
      <c r="CG65" s="190">
        <v>0</v>
      </c>
      <c r="CH65" s="190">
        <v>0</v>
      </c>
      <c r="CI65" s="190">
        <v>0</v>
      </c>
      <c r="CJ65" s="190">
        <v>0</v>
      </c>
      <c r="CK65" s="190">
        <v>0</v>
      </c>
    </row>
    <row r="66" spans="1:89" x14ac:dyDescent="0.25">
      <c r="A66" s="22" t="s">
        <v>99</v>
      </c>
      <c r="B66" s="190">
        <v>371807713.81</v>
      </c>
      <c r="C66" s="190">
        <v>219449051.40000001</v>
      </c>
      <c r="D66" s="190">
        <v>81503748.709999993</v>
      </c>
      <c r="E66" s="190">
        <v>345673565.06</v>
      </c>
      <c r="F66" s="190">
        <v>289125342.58999997</v>
      </c>
      <c r="G66" s="190">
        <v>171226086.88</v>
      </c>
      <c r="H66" s="190">
        <v>74517491.569999993</v>
      </c>
      <c r="I66" s="190">
        <v>631230626.76999998</v>
      </c>
      <c r="J66" s="190">
        <v>489935065.30000001</v>
      </c>
      <c r="K66" s="190">
        <v>303430528.54000002</v>
      </c>
      <c r="L66" s="190">
        <v>185670423.15000001</v>
      </c>
      <c r="M66" s="190">
        <v>551027246.50999999</v>
      </c>
      <c r="N66" s="190">
        <v>419140343.29000002</v>
      </c>
      <c r="O66" s="190">
        <v>301340835.26999998</v>
      </c>
      <c r="P66" s="190">
        <v>156219977.81</v>
      </c>
      <c r="Q66" s="190">
        <v>505052099.07999998</v>
      </c>
      <c r="R66" s="190">
        <v>345239280.75</v>
      </c>
      <c r="S66" s="190">
        <v>235891432.84999999</v>
      </c>
      <c r="T66" s="190">
        <v>104430045.5</v>
      </c>
      <c r="U66" s="190">
        <v>529819245.31999999</v>
      </c>
      <c r="V66" s="190">
        <v>408733517.67000002</v>
      </c>
      <c r="W66" s="190">
        <v>231264890.75999999</v>
      </c>
      <c r="X66" s="190">
        <v>96969591.650000006</v>
      </c>
      <c r="Y66" s="190">
        <v>188578122.41999999</v>
      </c>
      <c r="Z66" s="190">
        <v>86687539.280000001</v>
      </c>
      <c r="AA66" s="190">
        <v>48708038.539999999</v>
      </c>
      <c r="AB66" s="190">
        <v>31155964.66</v>
      </c>
      <c r="AC66" s="190">
        <v>71117014.459999993</v>
      </c>
      <c r="AD66" s="190">
        <v>59421519.450000003</v>
      </c>
      <c r="AE66" s="190">
        <v>51124634.079999998</v>
      </c>
      <c r="AF66" s="190">
        <v>22663497.949999999</v>
      </c>
      <c r="AG66" s="190">
        <v>76422893.829999998</v>
      </c>
      <c r="AH66" s="190">
        <v>74163697.260000005</v>
      </c>
      <c r="AI66" s="190">
        <v>64605346.560000002</v>
      </c>
      <c r="AJ66" s="190">
        <v>38202558.57</v>
      </c>
      <c r="AK66" s="190">
        <v>102161989.84</v>
      </c>
      <c r="AL66" s="190">
        <v>79888891.620000005</v>
      </c>
      <c r="AM66" s="190">
        <v>37110688.369999997</v>
      </c>
      <c r="AN66" s="190">
        <v>30324684.289999999</v>
      </c>
      <c r="AO66" s="190">
        <v>68631860.040000007</v>
      </c>
      <c r="AP66" s="190">
        <v>86109315.530000001</v>
      </c>
      <c r="AQ66" s="190">
        <v>60573408.009999998</v>
      </c>
      <c r="AR66" s="190">
        <v>45174912.68</v>
      </c>
      <c r="AS66" s="190">
        <v>147983409.97999999</v>
      </c>
      <c r="AT66" s="190">
        <v>114399744.65000001</v>
      </c>
      <c r="AU66" s="190">
        <v>66186031.729999997</v>
      </c>
      <c r="AV66" s="190">
        <v>31224009.879999999</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547642.62999999523</v>
      </c>
      <c r="C67" s="4">
        <f t="shared" ref="C67:BN67" si="67">C65-C66</f>
        <v>547642.62999999523</v>
      </c>
      <c r="D67" s="4">
        <f t="shared" si="67"/>
        <v>86688.590000003576</v>
      </c>
      <c r="E67" s="4">
        <f t="shared" si="67"/>
        <v>-132820</v>
      </c>
      <c r="F67" s="4">
        <f t="shared" si="67"/>
        <v>-132820</v>
      </c>
      <c r="G67" s="4">
        <f t="shared" si="67"/>
        <v>-132820</v>
      </c>
      <c r="H67" s="4">
        <f t="shared" si="67"/>
        <v>0</v>
      </c>
      <c r="I67" s="4">
        <f t="shared" si="67"/>
        <v>176546681.22000003</v>
      </c>
      <c r="J67" s="4">
        <f t="shared" si="67"/>
        <v>205423481.50999993</v>
      </c>
      <c r="K67" s="4">
        <f t="shared" si="67"/>
        <v>63771091.939999998</v>
      </c>
      <c r="L67" s="4">
        <f t="shared" si="67"/>
        <v>0</v>
      </c>
      <c r="M67" s="4">
        <f t="shared" si="67"/>
        <v>28312270.960000038</v>
      </c>
      <c r="N67" s="4">
        <f t="shared" si="67"/>
        <v>28322713.930000007</v>
      </c>
      <c r="O67" s="4">
        <f t="shared" si="67"/>
        <v>28312270.950000048</v>
      </c>
      <c r="P67" s="4">
        <f t="shared" si="67"/>
        <v>0</v>
      </c>
      <c r="Q67" s="4">
        <f t="shared" si="67"/>
        <v>159328827.59999996</v>
      </c>
      <c r="R67" s="4">
        <f t="shared" si="67"/>
        <v>160315127.23000002</v>
      </c>
      <c r="S67" s="4">
        <f t="shared" si="67"/>
        <v>213733831.69000003</v>
      </c>
      <c r="T67" s="4">
        <f t="shared" si="67"/>
        <v>139500</v>
      </c>
      <c r="U67" s="4">
        <f t="shared" si="67"/>
        <v>18335128.280000031</v>
      </c>
      <c r="V67" s="4">
        <f t="shared" si="67"/>
        <v>18078448.279999971</v>
      </c>
      <c r="W67" s="4">
        <f t="shared" si="67"/>
        <v>673603.12000000477</v>
      </c>
      <c r="X67" s="4">
        <f t="shared" si="67"/>
        <v>333250</v>
      </c>
      <c r="Y67" s="4">
        <f t="shared" si="67"/>
        <v>7436573.3900000155</v>
      </c>
      <c r="Z67" s="4">
        <f t="shared" si="67"/>
        <v>6921628.9399999976</v>
      </c>
      <c r="AA67" s="4">
        <f t="shared" si="67"/>
        <v>6405330.3299999982</v>
      </c>
      <c r="AB67" s="4">
        <f t="shared" si="67"/>
        <v>387111.1099999994</v>
      </c>
      <c r="AC67" s="4">
        <f t="shared" si="67"/>
        <v>4014541.2900000066</v>
      </c>
      <c r="AD67" s="4">
        <f t="shared" si="67"/>
        <v>0</v>
      </c>
      <c r="AE67" s="4">
        <f t="shared" si="67"/>
        <v>0</v>
      </c>
      <c r="AF67" s="4">
        <f t="shared" si="67"/>
        <v>0</v>
      </c>
      <c r="AG67" s="4">
        <f t="shared" si="67"/>
        <v>2204625</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0</v>
      </c>
      <c r="AR67" s="4">
        <f t="shared" si="67"/>
        <v>0</v>
      </c>
      <c r="AS67" s="4">
        <f t="shared" si="67"/>
        <v>10477046.460000008</v>
      </c>
      <c r="AT67" s="4">
        <f t="shared" si="67"/>
        <v>0</v>
      </c>
      <c r="AU67" s="4">
        <f t="shared" si="67"/>
        <v>0</v>
      </c>
      <c r="AV67" s="4">
        <f t="shared" si="67"/>
        <v>0</v>
      </c>
      <c r="AW67" s="4">
        <f t="shared" si="67"/>
        <v>91896385.170000002</v>
      </c>
      <c r="AX67" s="4">
        <f t="shared" si="67"/>
        <v>91210465.540000007</v>
      </c>
      <c r="AY67" s="4">
        <f t="shared" si="67"/>
        <v>53081694.579999998</v>
      </c>
      <c r="AZ67" s="4">
        <f t="shared" si="67"/>
        <v>24609672.469999999</v>
      </c>
      <c r="BA67" s="4">
        <f t="shared" si="67"/>
        <v>128703469.58</v>
      </c>
      <c r="BB67" s="4">
        <f t="shared" si="67"/>
        <v>106163840.39</v>
      </c>
      <c r="BC67" s="4">
        <f t="shared" si="67"/>
        <v>53481238.909999996</v>
      </c>
      <c r="BD67" s="4">
        <f t="shared" si="67"/>
        <v>26156224.609999999</v>
      </c>
      <c r="BE67" s="4">
        <f t="shared" si="67"/>
        <v>95925561.390000001</v>
      </c>
      <c r="BF67" s="4">
        <f t="shared" si="67"/>
        <v>68684733.689999998</v>
      </c>
      <c r="BG67" s="4">
        <f t="shared" si="67"/>
        <v>39337239.340000004</v>
      </c>
      <c r="BH67" s="4">
        <f t="shared" si="67"/>
        <v>26915646.969999999</v>
      </c>
      <c r="BI67" s="4">
        <f t="shared" si="67"/>
        <v>67336835.930000007</v>
      </c>
      <c r="BJ67" s="4">
        <f t="shared" si="67"/>
        <v>55785335.399999999</v>
      </c>
      <c r="BK67" s="4">
        <f t="shared" si="67"/>
        <v>33176741.760000002</v>
      </c>
      <c r="BL67" s="4">
        <f t="shared" si="67"/>
        <v>18993250.530000001</v>
      </c>
      <c r="BM67" s="4">
        <f t="shared" si="67"/>
        <v>20168474.190000001</v>
      </c>
      <c r="BN67" s="4">
        <f t="shared" si="67"/>
        <v>394441.59</v>
      </c>
      <c r="BO67" s="4">
        <f t="shared" ref="BO67:CJ67" si="68">BO65-BO66</f>
        <v>0</v>
      </c>
      <c r="BP67" s="4">
        <f t="shared" si="68"/>
        <v>0</v>
      </c>
      <c r="BQ67" s="4">
        <f t="shared" si="68"/>
        <v>2566409.36</v>
      </c>
      <c r="BR67" s="4">
        <f t="shared" si="68"/>
        <v>522340</v>
      </c>
      <c r="BS67" s="4">
        <f t="shared" si="68"/>
        <v>-997944.79</v>
      </c>
      <c r="BT67" s="4">
        <f t="shared" si="68"/>
        <v>1114565.96</v>
      </c>
      <c r="BU67" s="4">
        <f t="shared" si="68"/>
        <v>-208395.35</v>
      </c>
      <c r="BV67" s="4">
        <f t="shared" si="68"/>
        <v>0</v>
      </c>
      <c r="BW67" s="4">
        <f t="shared" si="68"/>
        <v>182000</v>
      </c>
      <c r="BX67" s="4">
        <f t="shared" si="68"/>
        <v>182000</v>
      </c>
      <c r="BY67" s="4">
        <f t="shared" si="68"/>
        <v>-28155.01</v>
      </c>
      <c r="BZ67" s="4">
        <f t="shared" si="68"/>
        <v>0</v>
      </c>
      <c r="CA67" s="4">
        <f t="shared" si="68"/>
        <v>20813506.649999999</v>
      </c>
      <c r="CB67" s="4">
        <f t="shared" si="68"/>
        <v>340400</v>
      </c>
      <c r="CC67" s="4">
        <f t="shared" si="68"/>
        <v>15142.3</v>
      </c>
      <c r="CD67" s="4">
        <f t="shared" si="68"/>
        <v>15142.3</v>
      </c>
      <c r="CE67" s="4">
        <f t="shared" si="68"/>
        <v>281144.94</v>
      </c>
      <c r="CF67" s="4">
        <f t="shared" si="68"/>
        <v>0</v>
      </c>
      <c r="CG67" s="4">
        <f t="shared" si="68"/>
        <v>0</v>
      </c>
      <c r="CH67" s="4">
        <f t="shared" si="68"/>
        <v>0</v>
      </c>
      <c r="CI67" s="4">
        <f t="shared" si="68"/>
        <v>0</v>
      </c>
      <c r="CJ67" s="4">
        <f t="shared" si="68"/>
        <v>0</v>
      </c>
      <c r="CK67" s="4"/>
    </row>
    <row r="68" spans="1:89" x14ac:dyDescent="0.25">
      <c r="A68" s="22" t="s">
        <v>101</v>
      </c>
      <c r="B68" s="190">
        <v>3816738648.5799999</v>
      </c>
      <c r="C68" s="190">
        <v>2455863765.6100001</v>
      </c>
      <c r="D68" s="190">
        <v>1203162162.25</v>
      </c>
      <c r="E68" s="190">
        <v>4877767640.1800003</v>
      </c>
      <c r="F68" s="190">
        <v>3541709806.5999999</v>
      </c>
      <c r="G68" s="190">
        <v>2355728788.25</v>
      </c>
      <c r="H68" s="190">
        <v>1192852335.3299999</v>
      </c>
      <c r="I68" s="190">
        <v>5042197414.4700003</v>
      </c>
      <c r="J68" s="190">
        <v>3788750145.1999998</v>
      </c>
      <c r="K68" s="190">
        <v>2556042143.98</v>
      </c>
      <c r="L68" s="190">
        <v>1298375752.02</v>
      </c>
      <c r="M68" s="190">
        <v>5890142561.1499996</v>
      </c>
      <c r="N68" s="190">
        <v>4518230704.8000002</v>
      </c>
      <c r="O68" s="190">
        <v>3031769295.5100002</v>
      </c>
      <c r="P68" s="190">
        <v>1550691496.54</v>
      </c>
      <c r="Q68" s="190">
        <v>6155502357.54</v>
      </c>
      <c r="R68" s="190">
        <v>4412610481.75</v>
      </c>
      <c r="S68" s="190">
        <v>2785501769.75</v>
      </c>
      <c r="T68" s="190">
        <v>1378416531.3399999</v>
      </c>
      <c r="U68" s="190">
        <v>4410221516.3400002</v>
      </c>
      <c r="V68" s="190">
        <v>3040791365.1799998</v>
      </c>
      <c r="W68" s="190">
        <v>1922234045.1199999</v>
      </c>
      <c r="X68" s="190">
        <v>939343493.49000001</v>
      </c>
      <c r="Y68" s="190">
        <v>3083184860.8699999</v>
      </c>
      <c r="Z68" s="190">
        <v>2184708235.5599999</v>
      </c>
      <c r="AA68" s="190">
        <v>1362812858.8599999</v>
      </c>
      <c r="AB68" s="190">
        <v>637819421.34000003</v>
      </c>
      <c r="AC68" s="190">
        <v>2161367333.0300002</v>
      </c>
      <c r="AD68" s="190">
        <v>1574256733.5799999</v>
      </c>
      <c r="AE68" s="190">
        <v>1051252973.4400001</v>
      </c>
      <c r="AF68" s="190">
        <v>539804467.36000001</v>
      </c>
      <c r="AG68" s="190">
        <v>1754717010.78</v>
      </c>
      <c r="AH68" s="190">
        <v>1306300339.9200001</v>
      </c>
      <c r="AI68" s="190">
        <v>850301866.70000005</v>
      </c>
      <c r="AJ68" s="190">
        <v>446358860.31999999</v>
      </c>
      <c r="AK68" s="190">
        <v>1695173122.1600001</v>
      </c>
      <c r="AL68" s="190">
        <v>443096413.83999997</v>
      </c>
      <c r="AM68" s="190">
        <v>303591538.69</v>
      </c>
      <c r="AN68" s="190">
        <v>152101031.75999999</v>
      </c>
      <c r="AO68" s="190">
        <v>631921842.64999998</v>
      </c>
      <c r="AP68" s="190">
        <v>468549156.26999998</v>
      </c>
      <c r="AQ68" s="190">
        <v>302024128.31999999</v>
      </c>
      <c r="AR68" s="190">
        <v>147418759.78999999</v>
      </c>
      <c r="AS68" s="190">
        <v>599010240.94000006</v>
      </c>
      <c r="AT68" s="190">
        <v>430862253.66000003</v>
      </c>
      <c r="AU68" s="190">
        <v>279812066.18000001</v>
      </c>
      <c r="AV68" s="190">
        <v>133101963.02</v>
      </c>
      <c r="AW68" s="190">
        <v>336720883.55000001</v>
      </c>
      <c r="AX68" s="190">
        <v>200167436.06999999</v>
      </c>
      <c r="AY68" s="190">
        <v>136766051.13999999</v>
      </c>
      <c r="AZ68" s="190">
        <v>76470071.469999999</v>
      </c>
      <c r="BA68" s="190">
        <v>293454570.98000002</v>
      </c>
      <c r="BB68" s="190">
        <v>227088081.30000001</v>
      </c>
      <c r="BC68" s="190">
        <v>150500933.88999999</v>
      </c>
      <c r="BD68" s="190">
        <v>74309547.920000002</v>
      </c>
      <c r="BE68" s="190">
        <v>232706661.24000001</v>
      </c>
      <c r="BF68" s="190">
        <v>160133771.81999999</v>
      </c>
      <c r="BG68" s="190">
        <v>86759060.370000005</v>
      </c>
      <c r="BH68" s="190">
        <v>27007865.41</v>
      </c>
      <c r="BI68" s="190">
        <v>136193418.59</v>
      </c>
      <c r="BJ68" s="190">
        <v>106706421.79000001</v>
      </c>
      <c r="BK68" s="190">
        <v>75944889.599999994</v>
      </c>
      <c r="BL68" s="190">
        <v>36475275.590000004</v>
      </c>
      <c r="BM68" s="190">
        <v>40692477.850000001</v>
      </c>
      <c r="BN68" s="190">
        <v>-252392.47</v>
      </c>
      <c r="BO68" s="190">
        <v>-179364.31</v>
      </c>
      <c r="BP68" s="190">
        <v>-114108.49</v>
      </c>
      <c r="BQ68" s="190">
        <v>1334725.9099999999</v>
      </c>
      <c r="BR68" s="190">
        <v>1304580.56</v>
      </c>
      <c r="BS68" s="190">
        <v>6732600.2400000002</v>
      </c>
      <c r="BT68" s="190">
        <v>4596566.63</v>
      </c>
      <c r="BU68" s="190">
        <v>9893507.1300000008</v>
      </c>
      <c r="BV68" s="190">
        <v>4797605.5199999996</v>
      </c>
      <c r="BW68" s="190">
        <v>3426316</v>
      </c>
      <c r="BX68" s="190">
        <v>1365174.74</v>
      </c>
      <c r="BY68" s="190">
        <v>2837441.22</v>
      </c>
      <c r="BZ68" s="190">
        <v>0</v>
      </c>
      <c r="CA68" s="190">
        <v>4908370.6100000003</v>
      </c>
      <c r="CB68" s="190">
        <v>0</v>
      </c>
      <c r="CC68" s="190">
        <v>-4546200.29</v>
      </c>
      <c r="CD68" s="190">
        <v>0</v>
      </c>
      <c r="CE68" s="190">
        <v>-2288180.0499999998</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68793373741.419998</v>
      </c>
      <c r="C70" s="190">
        <v>62290022139.93</v>
      </c>
      <c r="D70" s="190">
        <v>63105928601.389999</v>
      </c>
      <c r="E70" s="190">
        <v>60707559853.910004</v>
      </c>
      <c r="F70" s="190">
        <v>59592631165.040001</v>
      </c>
      <c r="G70" s="190">
        <v>57001985190.470001</v>
      </c>
      <c r="H70" s="190">
        <v>58592715082.43</v>
      </c>
      <c r="I70" s="190">
        <v>56717778327.129997</v>
      </c>
      <c r="J70" s="190">
        <v>54400479287.019997</v>
      </c>
      <c r="K70" s="190">
        <v>49718624311.059998</v>
      </c>
      <c r="L70" s="190">
        <v>53862614636.199997</v>
      </c>
      <c r="M70" s="190">
        <v>51389642485.699997</v>
      </c>
      <c r="N70" s="190">
        <v>48209056999.830002</v>
      </c>
      <c r="O70" s="190">
        <v>43334297842.989998</v>
      </c>
      <c r="P70" s="190">
        <v>46140849608.440002</v>
      </c>
      <c r="Q70" s="190">
        <v>42715938189.480003</v>
      </c>
      <c r="R70" s="190">
        <v>40263100130.639999</v>
      </c>
      <c r="S70" s="190">
        <v>34520801953.279999</v>
      </c>
      <c r="T70" s="190">
        <v>35241845216.339996</v>
      </c>
      <c r="U70" s="190">
        <v>33733788787.549999</v>
      </c>
      <c r="V70" s="190">
        <v>32638826676.720001</v>
      </c>
      <c r="W70" s="190">
        <v>29101139352.889999</v>
      </c>
      <c r="X70" s="190">
        <v>26513005375.169998</v>
      </c>
      <c r="Y70" s="190">
        <v>25480039470.029999</v>
      </c>
      <c r="Z70" s="190">
        <v>25044768230.18</v>
      </c>
      <c r="AA70" s="190">
        <v>23477327402.029999</v>
      </c>
      <c r="AB70" s="190">
        <v>21679874268.790001</v>
      </c>
      <c r="AC70" s="190">
        <v>22503824324.77</v>
      </c>
      <c r="AD70" s="190">
        <v>19963550822.07</v>
      </c>
      <c r="AE70" s="190">
        <v>18771004790.75</v>
      </c>
      <c r="AF70" s="190">
        <v>16645584894.16</v>
      </c>
      <c r="AG70" s="190">
        <v>16212320673.01</v>
      </c>
      <c r="AH70" s="190">
        <v>15890988078.33</v>
      </c>
      <c r="AI70" s="190">
        <v>15453795915.98</v>
      </c>
      <c r="AJ70" s="190">
        <v>15451269391.98</v>
      </c>
      <c r="AK70" s="190">
        <v>16362048541.82</v>
      </c>
      <c r="AL70" s="190">
        <v>5784725492.6700001</v>
      </c>
      <c r="AM70" s="190">
        <v>5745233122.6800003</v>
      </c>
      <c r="AN70" s="190">
        <v>6091812966.8699999</v>
      </c>
      <c r="AO70" s="190">
        <v>6026923013.0600004</v>
      </c>
      <c r="AP70" s="190">
        <v>6135362244.5799999</v>
      </c>
      <c r="AQ70" s="190">
        <v>6115044337.1400003</v>
      </c>
      <c r="AR70" s="190">
        <v>6404687396.6800003</v>
      </c>
      <c r="AS70" s="190">
        <v>6422619402.5799999</v>
      </c>
      <c r="AT70" s="190">
        <v>6271367055.3800001</v>
      </c>
      <c r="AU70" s="190">
        <v>4653103232.2200003</v>
      </c>
      <c r="AV70" s="190">
        <v>4739189507.7399998</v>
      </c>
      <c r="AW70" s="190">
        <v>5127287264.6899996</v>
      </c>
      <c r="AX70" s="190">
        <v>4266750000.02</v>
      </c>
      <c r="AY70" s="190">
        <v>2747136534.1999998</v>
      </c>
      <c r="AZ70" s="190">
        <v>2484115688.4899998</v>
      </c>
      <c r="BA70" s="190">
        <v>2504620905.3600001</v>
      </c>
      <c r="BB70" s="190">
        <v>2826314936.8800001</v>
      </c>
      <c r="BC70" s="190">
        <v>2628162154.75</v>
      </c>
      <c r="BD70" s="190">
        <v>2590224462.7800002</v>
      </c>
      <c r="BE70" s="190">
        <v>2406311060.6500001</v>
      </c>
      <c r="BF70" s="190">
        <v>2276769241.8499999</v>
      </c>
      <c r="BG70" s="190">
        <v>2208355109.4200001</v>
      </c>
      <c r="BH70" s="190">
        <v>1680372650.6099999</v>
      </c>
      <c r="BI70" s="190">
        <v>1627684743.25</v>
      </c>
      <c r="BJ70" s="190">
        <v>1553947514.4400001</v>
      </c>
      <c r="BK70" s="190">
        <v>1467191860.6099999</v>
      </c>
      <c r="BL70" s="190">
        <v>1410739887.46</v>
      </c>
      <c r="BM70" s="190">
        <v>1376726626.6400001</v>
      </c>
      <c r="BN70" s="190">
        <v>772524321.36000001</v>
      </c>
      <c r="BO70" s="190">
        <v>794348120.61000001</v>
      </c>
      <c r="BP70" s="190">
        <v>824297458.13</v>
      </c>
      <c r="BQ70" s="190">
        <v>860708919.22000003</v>
      </c>
      <c r="BR70" s="190">
        <v>952410215.53999996</v>
      </c>
      <c r="BS70" s="190">
        <v>900210616.96000004</v>
      </c>
      <c r="BT70" s="190">
        <v>922951029.61000001</v>
      </c>
      <c r="BU70" s="190">
        <v>957377719.09000003</v>
      </c>
      <c r="BV70" s="190">
        <v>900796117.58000004</v>
      </c>
      <c r="BW70" s="190">
        <v>1017391588.33</v>
      </c>
      <c r="BX70" s="190">
        <v>513663122.45999998</v>
      </c>
      <c r="BY70" s="190">
        <v>414727216.82999998</v>
      </c>
      <c r="BZ70" s="190">
        <v>332300576.95999998</v>
      </c>
      <c r="CA70" s="190">
        <v>269406822.85000002</v>
      </c>
      <c r="CB70" s="190">
        <v>186091714.91999999</v>
      </c>
      <c r="CC70" s="190">
        <v>117380516.84999999</v>
      </c>
      <c r="CD70" s="190">
        <v>124327420.78</v>
      </c>
      <c r="CE70" s="190">
        <v>0</v>
      </c>
      <c r="CF70" s="190"/>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K42" sqref="AK42"/>
    </sheetView>
  </sheetViews>
  <sheetFormatPr defaultRowHeight="14.4" x14ac:dyDescent="0.25"/>
  <cols>
    <col min="1" max="1" width="77.5546875" style="17" bestFit="1" customWidth="1"/>
    <col min="2" max="4" width="22.66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0" width="22.6640625" hidden="1" customWidth="1"/>
    <col min="31"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1.5546875" bestFit="1" customWidth="1"/>
    <col min="66" max="66" width="21.5546875" hidden="1" customWidth="1"/>
    <col min="67" max="67" width="18.109375" bestFit="1" customWidth="1"/>
    <col min="68" max="68" width="18.109375" hidden="1" customWidth="1"/>
    <col min="69" max="69" width="21.5546875" bestFit="1" customWidth="1"/>
    <col min="70" max="70" width="21.5546875" hidden="1" customWidth="1"/>
    <col min="71" max="71" width="21.5546875" bestFit="1" customWidth="1"/>
    <col min="72" max="72" width="18.109375" bestFit="1" customWidth="1"/>
    <col min="73" max="74" width="17" hidden="1" customWidth="1"/>
  </cols>
  <sheetData>
    <row r="1" spans="1:74" s="6" customFormat="1" x14ac:dyDescent="0.25">
      <c r="A1" s="104">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x14ac:dyDescent="0.25">
      <c r="A2" s="46" t="s">
        <v>292</v>
      </c>
    </row>
    <row r="3" spans="1:74" s="26" customFormat="1" x14ac:dyDescent="0.25">
      <c r="A3" s="17" t="s">
        <v>320</v>
      </c>
      <c r="B3" s="190">
        <v>6748961</v>
      </c>
      <c r="C3" s="190">
        <v>5175595.5</v>
      </c>
      <c r="D3" s="190">
        <v>4575845.5</v>
      </c>
      <c r="E3" s="190">
        <v>10509826.98</v>
      </c>
      <c r="F3" s="190">
        <v>5105606.4800000004</v>
      </c>
      <c r="G3" s="190">
        <v>5041737</v>
      </c>
      <c r="H3" s="190">
        <v>17000</v>
      </c>
      <c r="I3" s="190">
        <v>477508.21</v>
      </c>
      <c r="J3" s="190">
        <v>106619</v>
      </c>
      <c r="K3" s="190">
        <v>95169</v>
      </c>
      <c r="L3" s="190">
        <v>1375</v>
      </c>
      <c r="M3" s="190">
        <v>1501900.44</v>
      </c>
      <c r="N3" s="190">
        <v>1061864.44</v>
      </c>
      <c r="O3" s="190">
        <v>938193.5</v>
      </c>
      <c r="P3" s="190">
        <v>45563.5</v>
      </c>
      <c r="Q3" s="190">
        <v>6428769.9000000004</v>
      </c>
      <c r="R3" s="190">
        <v>5011020</v>
      </c>
      <c r="S3" s="190">
        <v>1403467</v>
      </c>
      <c r="T3" s="190">
        <v>370071</v>
      </c>
      <c r="U3" s="190">
        <v>4899643.08</v>
      </c>
      <c r="V3" s="190">
        <v>2714203</v>
      </c>
      <c r="W3" s="190">
        <v>463600</v>
      </c>
      <c r="X3" s="190">
        <v>50000</v>
      </c>
      <c r="Y3" s="190">
        <v>1749350</v>
      </c>
      <c r="Z3" s="190">
        <v>157300</v>
      </c>
      <c r="AA3" s="190">
        <v>60400</v>
      </c>
      <c r="AB3" s="190">
        <v>7000</v>
      </c>
      <c r="AC3" s="190">
        <v>3654702.42</v>
      </c>
      <c r="AD3" s="190">
        <v>505557.7</v>
      </c>
      <c r="AE3" s="190">
        <v>488409.7</v>
      </c>
      <c r="AF3" s="190">
        <v>368359.7</v>
      </c>
      <c r="AG3" s="190">
        <v>1551631.15</v>
      </c>
      <c r="AH3" s="190">
        <v>696844.15</v>
      </c>
      <c r="AI3" s="190">
        <v>550072.15</v>
      </c>
      <c r="AJ3" s="190">
        <v>550072.15</v>
      </c>
      <c r="AK3" s="190">
        <v>46052898.509999998</v>
      </c>
      <c r="AL3" s="190">
        <v>41506471.549999997</v>
      </c>
      <c r="AM3" s="190">
        <v>17400</v>
      </c>
      <c r="AN3" s="190">
        <v>4300</v>
      </c>
      <c r="AO3" s="190">
        <v>53869945.710000001</v>
      </c>
      <c r="AP3" s="190">
        <v>20564570.710000001</v>
      </c>
      <c r="AQ3" s="190">
        <v>20534270.710000001</v>
      </c>
      <c r="AR3" s="190">
        <v>20534270.710000001</v>
      </c>
      <c r="AS3" s="190">
        <v>63162654.119999997</v>
      </c>
      <c r="AT3" s="190">
        <v>13894329.51</v>
      </c>
      <c r="AU3" s="190">
        <v>12840523.02</v>
      </c>
      <c r="AV3" s="190">
        <v>11053100</v>
      </c>
      <c r="AW3" s="190">
        <v>15715015.02</v>
      </c>
      <c r="AX3" s="190">
        <v>252600</v>
      </c>
      <c r="AY3" s="190">
        <v>252600</v>
      </c>
      <c r="AZ3" s="190">
        <v>0</v>
      </c>
      <c r="BA3" s="190">
        <v>3796509.72</v>
      </c>
      <c r="BB3" s="190">
        <v>3774509.72</v>
      </c>
      <c r="BC3" s="190">
        <v>3683036.72</v>
      </c>
      <c r="BD3" s="190">
        <v>3550389.72</v>
      </c>
      <c r="BE3" s="190">
        <v>2357740</v>
      </c>
      <c r="BF3" s="190">
        <v>987740</v>
      </c>
      <c r="BG3" s="190">
        <v>968400</v>
      </c>
      <c r="BH3" s="190">
        <v>960000</v>
      </c>
      <c r="BI3" s="190">
        <v>664000</v>
      </c>
      <c r="BJ3" s="190">
        <v>664000</v>
      </c>
      <c r="BK3" s="190">
        <v>664000</v>
      </c>
      <c r="BL3" s="190">
        <v>664000</v>
      </c>
      <c r="BM3" s="190">
        <v>0</v>
      </c>
      <c r="BN3" s="190">
        <v>0</v>
      </c>
      <c r="BO3" s="190">
        <v>88019.4</v>
      </c>
      <c r="BP3" s="190">
        <v>131319.79999999999</v>
      </c>
      <c r="BQ3" s="190">
        <v>1200000</v>
      </c>
      <c r="BR3" s="190">
        <v>0</v>
      </c>
      <c r="BS3" s="190">
        <v>58500</v>
      </c>
      <c r="BT3" s="190">
        <v>0</v>
      </c>
      <c r="BU3" s="190">
        <v>0</v>
      </c>
      <c r="BV3" s="190">
        <v>0</v>
      </c>
    </row>
    <row r="4" spans="1:74" s="26" customFormat="1" x14ac:dyDescent="0.25">
      <c r="A4" s="17" t="s">
        <v>304</v>
      </c>
      <c r="B4" s="190">
        <v>7239926593.2399998</v>
      </c>
      <c r="C4" s="190">
        <v>3652882328.6999998</v>
      </c>
      <c r="D4" s="190">
        <v>1832254049.8599999</v>
      </c>
      <c r="E4" s="190">
        <v>11654707721.1</v>
      </c>
      <c r="F4" s="190">
        <v>8182946601.9499998</v>
      </c>
      <c r="G4" s="190">
        <v>5778890202.9099998</v>
      </c>
      <c r="H4" s="190">
        <v>2898390989.2600002</v>
      </c>
      <c r="I4" s="190">
        <v>17309294460.540001</v>
      </c>
      <c r="J4" s="190">
        <v>11415709301.51</v>
      </c>
      <c r="K4" s="190">
        <v>8310813877.8199997</v>
      </c>
      <c r="L4" s="190">
        <v>4850981603.4499998</v>
      </c>
      <c r="M4" s="190">
        <v>16332310345.91</v>
      </c>
      <c r="N4" s="190">
        <v>9533905977.1499996</v>
      </c>
      <c r="O4" s="190">
        <v>5736106677.75</v>
      </c>
      <c r="P4" s="190">
        <v>3183369657.9400001</v>
      </c>
      <c r="Q4" s="190">
        <v>14478191070.9</v>
      </c>
      <c r="R4" s="190">
        <v>9723873495.3400002</v>
      </c>
      <c r="S4" s="190">
        <v>6268437624.2600002</v>
      </c>
      <c r="T4" s="190">
        <v>3851901764.3699999</v>
      </c>
      <c r="U4" s="190">
        <v>16033894549.98</v>
      </c>
      <c r="V4" s="190">
        <v>12187423137.469999</v>
      </c>
      <c r="W4" s="190">
        <v>8228369894.3000002</v>
      </c>
      <c r="X4" s="190">
        <v>4873093277.3800001</v>
      </c>
      <c r="Y4" s="190">
        <v>19592831212.900002</v>
      </c>
      <c r="Z4" s="190">
        <v>14809719719.440001</v>
      </c>
      <c r="AA4" s="190">
        <v>9673299931.0400009</v>
      </c>
      <c r="AB4" s="190">
        <v>5035206167.1099997</v>
      </c>
      <c r="AC4" s="190">
        <v>16275384261.969999</v>
      </c>
      <c r="AD4" s="190">
        <v>11778104789.52</v>
      </c>
      <c r="AE4" s="190">
        <v>7967309702.1599998</v>
      </c>
      <c r="AF4" s="190">
        <v>3784747498.8299999</v>
      </c>
      <c r="AG4" s="190">
        <v>13018539260.190001</v>
      </c>
      <c r="AH4" s="190">
        <v>9167024948.0900002</v>
      </c>
      <c r="AI4" s="190">
        <v>5919234749.8699999</v>
      </c>
      <c r="AJ4" s="190">
        <v>3165329081.02</v>
      </c>
      <c r="AK4" s="190">
        <v>11372363892.459999</v>
      </c>
      <c r="AL4" s="190">
        <v>954856959.42999995</v>
      </c>
      <c r="AM4" s="190">
        <v>399361792.36000001</v>
      </c>
      <c r="AN4" s="190">
        <v>152578570.09</v>
      </c>
      <c r="AO4" s="190">
        <v>1508581850.6300001</v>
      </c>
      <c r="AP4" s="190">
        <v>1042538127.64</v>
      </c>
      <c r="AQ4" s="190">
        <v>728609314.88999999</v>
      </c>
      <c r="AR4" s="190">
        <v>311919982.68000001</v>
      </c>
      <c r="AS4" s="190">
        <v>1273603188.53</v>
      </c>
      <c r="AT4" s="190">
        <v>731639012.72000003</v>
      </c>
      <c r="AU4" s="190">
        <v>454134436.45999998</v>
      </c>
      <c r="AV4" s="190">
        <v>246651218.87</v>
      </c>
      <c r="AW4" s="190">
        <v>1181633435.9200001</v>
      </c>
      <c r="AX4" s="190">
        <v>774234053.01999998</v>
      </c>
      <c r="AY4" s="190">
        <v>502898381.18000001</v>
      </c>
      <c r="AZ4" s="190">
        <v>82342304.480000004</v>
      </c>
      <c r="BA4" s="190">
        <v>842831204.50999999</v>
      </c>
      <c r="BB4" s="190">
        <v>267331712</v>
      </c>
      <c r="BC4" s="190">
        <v>370872513.30000001</v>
      </c>
      <c r="BD4" s="190">
        <v>71920735.150000006</v>
      </c>
      <c r="BE4" s="190">
        <v>861287396.66999996</v>
      </c>
      <c r="BF4" s="190">
        <v>321804770.72000003</v>
      </c>
      <c r="BG4" s="190">
        <v>411308107.80000001</v>
      </c>
      <c r="BH4" s="190">
        <v>171044539.12</v>
      </c>
      <c r="BI4" s="190">
        <v>339993855.5</v>
      </c>
      <c r="BJ4" s="190">
        <v>218423060.69</v>
      </c>
      <c r="BK4" s="190">
        <v>127591650.17</v>
      </c>
      <c r="BL4" s="190">
        <v>65286676.030000001</v>
      </c>
      <c r="BM4" s="190">
        <v>98228357.890000001</v>
      </c>
      <c r="BN4" s="190">
        <v>3943079.51</v>
      </c>
      <c r="BO4" s="190">
        <v>13038807.66</v>
      </c>
      <c r="BP4" s="190">
        <v>4913271.99</v>
      </c>
      <c r="BQ4" s="190">
        <v>23203924.43</v>
      </c>
      <c r="BR4" s="190">
        <v>929270.83</v>
      </c>
      <c r="BS4" s="190">
        <v>43433244.079999998</v>
      </c>
      <c r="BT4" s="190">
        <v>87828620.189999998</v>
      </c>
      <c r="BU4" s="190">
        <v>0</v>
      </c>
      <c r="BV4" s="190">
        <v>0</v>
      </c>
    </row>
    <row r="5" spans="1:74" s="47" customFormat="1" x14ac:dyDescent="0.25">
      <c r="A5" s="135" t="s">
        <v>295</v>
      </c>
      <c r="E5" s="47">
        <f>E4-E3</f>
        <v>11644197894.120001</v>
      </c>
      <c r="F5" s="47">
        <f t="shared" ref="F5:AR5" si="0">F4-F3</f>
        <v>8177840995.4700003</v>
      </c>
      <c r="G5" s="47">
        <f t="shared" si="0"/>
        <v>5773848465.9099998</v>
      </c>
      <c r="H5" s="47">
        <f t="shared" si="0"/>
        <v>2898373989.2600002</v>
      </c>
      <c r="I5" s="47">
        <f t="shared" si="0"/>
        <v>17308816952.330002</v>
      </c>
      <c r="J5" s="47">
        <f t="shared" si="0"/>
        <v>11415602682.51</v>
      </c>
      <c r="K5" s="47">
        <f t="shared" si="0"/>
        <v>8310718708.8199997</v>
      </c>
      <c r="L5" s="47">
        <f t="shared" si="0"/>
        <v>4850980228.4499998</v>
      </c>
      <c r="M5" s="47">
        <f t="shared" si="0"/>
        <v>16330808445.469999</v>
      </c>
      <c r="N5" s="47">
        <f t="shared" si="0"/>
        <v>9532844112.7099991</v>
      </c>
      <c r="O5" s="47">
        <f t="shared" si="0"/>
        <v>5735168484.25</v>
      </c>
      <c r="P5" s="47">
        <f t="shared" si="0"/>
        <v>3183324094.4400001</v>
      </c>
      <c r="Q5" s="47">
        <f t="shared" si="0"/>
        <v>14471762301</v>
      </c>
      <c r="R5" s="47">
        <f t="shared" si="0"/>
        <v>9718862475.3400002</v>
      </c>
      <c r="S5" s="47">
        <f t="shared" si="0"/>
        <v>6267034157.2600002</v>
      </c>
      <c r="T5" s="47">
        <f t="shared" si="0"/>
        <v>3851531693.3699999</v>
      </c>
      <c r="U5" s="47">
        <f t="shared" si="0"/>
        <v>16028994906.9</v>
      </c>
      <c r="V5" s="47">
        <f t="shared" si="0"/>
        <v>12184708934.469999</v>
      </c>
      <c r="W5" s="47">
        <f t="shared" si="0"/>
        <v>8227906294.3000002</v>
      </c>
      <c r="X5" s="47">
        <f t="shared" si="0"/>
        <v>4873043277.3800001</v>
      </c>
      <c r="Y5" s="47">
        <f t="shared" si="0"/>
        <v>19591081862.900002</v>
      </c>
      <c r="Z5" s="47">
        <f t="shared" si="0"/>
        <v>14809562419.440001</v>
      </c>
      <c r="AA5" s="47">
        <f t="shared" si="0"/>
        <v>9673239531.0400009</v>
      </c>
      <c r="AB5" s="47">
        <f t="shared" si="0"/>
        <v>5035199167.1099997</v>
      </c>
      <c r="AC5" s="47">
        <f t="shared" si="0"/>
        <v>16271729559.549999</v>
      </c>
      <c r="AD5" s="47">
        <f t="shared" si="0"/>
        <v>11777599231.82</v>
      </c>
      <c r="AE5" s="47">
        <f t="shared" si="0"/>
        <v>7966821292.46</v>
      </c>
      <c r="AF5" s="47">
        <f t="shared" si="0"/>
        <v>3784379139.1300001</v>
      </c>
      <c r="AG5" s="47">
        <f t="shared" si="0"/>
        <v>13016987629.040001</v>
      </c>
      <c r="AH5" s="47">
        <f t="shared" si="0"/>
        <v>9166328103.9400005</v>
      </c>
      <c r="AI5" s="47">
        <f t="shared" si="0"/>
        <v>5918684677.7200003</v>
      </c>
      <c r="AJ5" s="47">
        <f t="shared" si="0"/>
        <v>3164779008.8699999</v>
      </c>
      <c r="AK5" s="47">
        <f t="shared" si="0"/>
        <v>11326310993.949999</v>
      </c>
      <c r="AL5" s="47">
        <f t="shared" si="0"/>
        <v>913350487.88</v>
      </c>
      <c r="AM5" s="47">
        <f t="shared" si="0"/>
        <v>399344392.36000001</v>
      </c>
      <c r="AN5" s="47">
        <f t="shared" si="0"/>
        <v>152574270.09</v>
      </c>
      <c r="AO5" s="47">
        <f t="shared" si="0"/>
        <v>1454711904.9200001</v>
      </c>
      <c r="AP5" s="47">
        <f t="shared" si="0"/>
        <v>1021973556.9299999</v>
      </c>
      <c r="AQ5" s="47">
        <f t="shared" si="0"/>
        <v>708075044.17999995</v>
      </c>
      <c r="AR5" s="47">
        <f t="shared" si="0"/>
        <v>291385711.97000003</v>
      </c>
    </row>
    <row r="6" spans="1:74" s="105" customFormat="1" x14ac:dyDescent="0.25">
      <c r="A6" s="136" t="s">
        <v>305</v>
      </c>
      <c r="B6" s="190">
        <v>0</v>
      </c>
      <c r="C6" s="190">
        <v>3270456431.0799999</v>
      </c>
      <c r="D6" s="190">
        <v>0</v>
      </c>
      <c r="E6" s="190">
        <v>6235786475.1300001</v>
      </c>
      <c r="F6" s="190">
        <v>0</v>
      </c>
      <c r="G6" s="190">
        <v>2983489446.3699999</v>
      </c>
      <c r="H6" s="190">
        <v>0</v>
      </c>
      <c r="I6" s="190">
        <v>5746058714.0799999</v>
      </c>
      <c r="J6" s="190">
        <v>0</v>
      </c>
      <c r="K6" s="190">
        <v>2818040060.4899998</v>
      </c>
      <c r="L6" s="190">
        <v>0</v>
      </c>
      <c r="M6" s="190">
        <v>5768491723.7299995</v>
      </c>
      <c r="N6" s="190">
        <v>0</v>
      </c>
      <c r="O6" s="190">
        <v>2716808983.1999998</v>
      </c>
      <c r="P6" s="190">
        <v>0</v>
      </c>
      <c r="Q6" s="190">
        <v>5213457675.7799997</v>
      </c>
      <c r="R6" s="190">
        <v>0</v>
      </c>
      <c r="S6" s="190">
        <v>2608135619.1700001</v>
      </c>
      <c r="T6" s="190">
        <v>0</v>
      </c>
      <c r="U6" s="190">
        <v>4392446513.04</v>
      </c>
      <c r="V6" s="190">
        <v>0</v>
      </c>
      <c r="W6" s="190">
        <v>1969973201.51</v>
      </c>
      <c r="X6" s="190">
        <v>0</v>
      </c>
      <c r="Y6" s="190">
        <v>3326713875.1799998</v>
      </c>
      <c r="Z6" s="190">
        <v>0</v>
      </c>
      <c r="AA6" s="190">
        <v>1497524723.46</v>
      </c>
      <c r="AB6" s="190">
        <v>0</v>
      </c>
      <c r="AC6" s="190">
        <v>3008553395.54</v>
      </c>
      <c r="AD6" s="190">
        <v>0</v>
      </c>
      <c r="AE6" s="190">
        <v>1488734486.4000001</v>
      </c>
      <c r="AF6" s="190">
        <v>0</v>
      </c>
      <c r="AG6" s="190">
        <v>2866484786.8899999</v>
      </c>
      <c r="AH6" s="190">
        <v>0</v>
      </c>
      <c r="AI6" s="190">
        <v>1406347894.5599999</v>
      </c>
      <c r="AJ6" s="190">
        <v>0</v>
      </c>
      <c r="AK6" s="190">
        <v>2484039925.1700001</v>
      </c>
      <c r="AL6" s="190">
        <v>0</v>
      </c>
      <c r="AM6" s="190">
        <v>524584879.39999998</v>
      </c>
      <c r="AN6" s="190">
        <v>0</v>
      </c>
      <c r="AO6" s="190">
        <v>993876736.08000004</v>
      </c>
      <c r="AP6" s="190">
        <v>0</v>
      </c>
      <c r="AQ6" s="190">
        <v>492248870.66000003</v>
      </c>
      <c r="AR6" s="190">
        <v>0</v>
      </c>
      <c r="AS6" s="190">
        <v>1022563410.29</v>
      </c>
      <c r="AT6" s="190">
        <v>0</v>
      </c>
      <c r="AU6" s="190">
        <v>569743662.73000002</v>
      </c>
      <c r="AV6" s="190">
        <v>0</v>
      </c>
      <c r="AW6" s="190">
        <v>762117461.03999996</v>
      </c>
      <c r="AX6" s="190">
        <v>485915672.58999997</v>
      </c>
      <c r="AY6" s="190">
        <v>313320761.12</v>
      </c>
      <c r="AZ6" s="190">
        <v>156657093.13999999</v>
      </c>
      <c r="BA6" s="190">
        <v>625586208.60000002</v>
      </c>
      <c r="BB6" s="190">
        <v>442983878.06999999</v>
      </c>
      <c r="BC6" s="190">
        <v>297832419.63999999</v>
      </c>
      <c r="BD6" s="190">
        <v>149784322.19</v>
      </c>
      <c r="BE6" s="190">
        <v>501889832.94</v>
      </c>
      <c r="BF6" s="190">
        <v>352146729.62</v>
      </c>
      <c r="BG6" s="190">
        <v>212489689.69999999</v>
      </c>
      <c r="BH6" s="190">
        <v>81704290.379999995</v>
      </c>
      <c r="BI6" s="190">
        <v>323459146.94999999</v>
      </c>
      <c r="BJ6" s="190">
        <v>242318921.84999999</v>
      </c>
      <c r="BK6" s="190">
        <v>161327127.46000001</v>
      </c>
      <c r="BL6" s="190">
        <v>81116326</v>
      </c>
      <c r="BM6" s="190">
        <v>83617648.200000003</v>
      </c>
      <c r="BN6" s="190">
        <v>37459556.079999998</v>
      </c>
      <c r="BO6" s="190">
        <v>71161670.640000001</v>
      </c>
      <c r="BP6" s="190">
        <v>35822433.299999997</v>
      </c>
      <c r="BQ6" s="190">
        <v>87260281.569999993</v>
      </c>
      <c r="BR6" s="190">
        <v>32502718.489999998</v>
      </c>
      <c r="BS6" s="190">
        <v>70441083.25</v>
      </c>
      <c r="BT6" s="190">
        <v>31543644.899999999</v>
      </c>
      <c r="BU6" s="190">
        <v>0</v>
      </c>
      <c r="BV6" s="190">
        <v>0</v>
      </c>
    </row>
    <row r="7" spans="1:74" s="26" customFormat="1" x14ac:dyDescent="0.25">
      <c r="A7" s="17" t="s">
        <v>306</v>
      </c>
      <c r="B7" s="190">
        <v>0</v>
      </c>
      <c r="C7" s="190">
        <v>166334186.28999999</v>
      </c>
      <c r="D7" s="190">
        <v>0</v>
      </c>
      <c r="E7" s="190">
        <v>328441642.16000003</v>
      </c>
      <c r="F7" s="190">
        <v>0</v>
      </c>
      <c r="G7" s="190">
        <v>164445800.41</v>
      </c>
      <c r="H7" s="190">
        <v>0</v>
      </c>
      <c r="I7" s="190">
        <v>317966670.13999999</v>
      </c>
      <c r="J7" s="190">
        <v>0</v>
      </c>
      <c r="K7" s="190">
        <v>160992694.63999999</v>
      </c>
      <c r="L7" s="190">
        <v>0</v>
      </c>
      <c r="M7" s="190">
        <v>331301637.95999998</v>
      </c>
      <c r="N7" s="190">
        <v>0</v>
      </c>
      <c r="O7" s="190">
        <v>164667720.87</v>
      </c>
      <c r="P7" s="190">
        <v>0</v>
      </c>
      <c r="Q7" s="190">
        <v>198680774.97999999</v>
      </c>
      <c r="R7" s="190">
        <v>0</v>
      </c>
      <c r="S7" s="190">
        <v>41952282.909999996</v>
      </c>
      <c r="T7" s="190">
        <v>0</v>
      </c>
      <c r="U7" s="190">
        <v>86699333.359999999</v>
      </c>
      <c r="V7" s="190">
        <v>0</v>
      </c>
      <c r="W7" s="190">
        <v>44527566.859999999</v>
      </c>
      <c r="X7" s="190">
        <v>0</v>
      </c>
      <c r="Y7" s="190">
        <v>68315819.769999996</v>
      </c>
      <c r="Z7" s="190">
        <v>0</v>
      </c>
      <c r="AA7" s="190">
        <v>27064015.77</v>
      </c>
      <c r="AB7" s="190">
        <v>0</v>
      </c>
      <c r="AC7" s="190">
        <v>33632372.289999999</v>
      </c>
      <c r="AD7" s="190">
        <v>0</v>
      </c>
      <c r="AE7" s="190">
        <v>15685204.060000001</v>
      </c>
      <c r="AF7" s="190">
        <v>0</v>
      </c>
      <c r="AG7" s="190">
        <v>39203742.390000001</v>
      </c>
      <c r="AH7" s="190">
        <v>0</v>
      </c>
      <c r="AI7" s="190">
        <v>17682144.899999999</v>
      </c>
      <c r="AJ7" s="190">
        <v>0</v>
      </c>
      <c r="AK7" s="190">
        <v>32141705.09</v>
      </c>
      <c r="AL7" s="190">
        <v>0</v>
      </c>
      <c r="AM7" s="190">
        <v>4972603.0599999996</v>
      </c>
      <c r="AN7" s="190">
        <v>0</v>
      </c>
      <c r="AO7" s="190">
        <v>11115785.01</v>
      </c>
      <c r="AP7" s="190">
        <v>0</v>
      </c>
      <c r="AQ7" s="190">
        <v>1442030.83</v>
      </c>
      <c r="AR7" s="190">
        <v>0</v>
      </c>
      <c r="AS7" s="190">
        <v>5797318.0599999996</v>
      </c>
      <c r="AT7" s="190">
        <v>0</v>
      </c>
      <c r="AU7" s="190">
        <v>7435659.6600000001</v>
      </c>
      <c r="AV7" s="190">
        <v>0</v>
      </c>
      <c r="AW7" s="190">
        <v>2792225.98</v>
      </c>
      <c r="AX7" s="190">
        <v>9863027.0899999999</v>
      </c>
      <c r="AY7" s="190">
        <v>6771024.3499999996</v>
      </c>
      <c r="AZ7" s="190">
        <v>1829489.34</v>
      </c>
      <c r="BA7" s="190">
        <v>443132.6</v>
      </c>
      <c r="BB7" s="190">
        <v>335236.95</v>
      </c>
      <c r="BC7" s="190">
        <v>395478.95</v>
      </c>
      <c r="BD7" s="190">
        <v>111745.65</v>
      </c>
      <c r="BE7" s="190">
        <v>773631.6</v>
      </c>
      <c r="BF7" s="190">
        <v>-2225000.4500000002</v>
      </c>
      <c r="BG7" s="190">
        <v>232043.14</v>
      </c>
      <c r="BH7" s="190">
        <v>96857.22</v>
      </c>
      <c r="BI7" s="190">
        <v>4163838.62</v>
      </c>
      <c r="BJ7" s="190">
        <v>277322.17</v>
      </c>
      <c r="BK7" s="190">
        <v>184436.44</v>
      </c>
      <c r="BL7" s="190">
        <v>468227.4</v>
      </c>
      <c r="BM7" s="190">
        <v>90168.21</v>
      </c>
      <c r="BN7" s="190">
        <v>563706.84</v>
      </c>
      <c r="BO7" s="190">
        <v>1127413.68</v>
      </c>
      <c r="BP7" s="190">
        <v>563706.84</v>
      </c>
      <c r="BQ7" s="190">
        <v>1132681.92</v>
      </c>
      <c r="BR7" s="190">
        <v>561775.02</v>
      </c>
      <c r="BS7" s="190">
        <v>1132680.6599999999</v>
      </c>
      <c r="BT7" s="190">
        <v>524372.61</v>
      </c>
      <c r="BU7" s="190">
        <v>0</v>
      </c>
      <c r="BV7" s="190">
        <v>0</v>
      </c>
    </row>
    <row r="8" spans="1:74" s="26" customFormat="1" x14ac:dyDescent="0.25">
      <c r="A8" s="17" t="s">
        <v>307</v>
      </c>
      <c r="B8" s="190">
        <v>0</v>
      </c>
      <c r="C8" s="190">
        <v>90080606.760000005</v>
      </c>
      <c r="D8" s="190">
        <v>0</v>
      </c>
      <c r="E8" s="190">
        <v>25760319.609999999</v>
      </c>
      <c r="F8" s="190">
        <v>0</v>
      </c>
      <c r="G8" s="190">
        <v>13569275.51</v>
      </c>
      <c r="H8" s="190">
        <v>0</v>
      </c>
      <c r="I8" s="190">
        <v>18647915.649999999</v>
      </c>
      <c r="J8" s="190">
        <v>0</v>
      </c>
      <c r="K8" s="190">
        <v>8400413</v>
      </c>
      <c r="L8" s="190">
        <v>0</v>
      </c>
      <c r="M8" s="190">
        <v>14550731.189999999</v>
      </c>
      <c r="N8" s="190">
        <v>0</v>
      </c>
      <c r="O8" s="190">
        <v>6357473.0199999996</v>
      </c>
      <c r="P8" s="190">
        <v>0</v>
      </c>
      <c r="Q8" s="190">
        <v>134980960</v>
      </c>
      <c r="R8" s="190">
        <v>0</v>
      </c>
      <c r="S8" s="190">
        <v>67264105.079999998</v>
      </c>
      <c r="T8" s="190">
        <v>0</v>
      </c>
      <c r="U8" s="190">
        <v>201850227.81999999</v>
      </c>
      <c r="V8" s="190">
        <v>0</v>
      </c>
      <c r="W8" s="190">
        <v>75205099.209999993</v>
      </c>
      <c r="X8" s="190">
        <v>0</v>
      </c>
      <c r="Y8" s="190">
        <v>97399936.609999999</v>
      </c>
      <c r="Z8" s="190">
        <v>0</v>
      </c>
      <c r="AA8" s="190">
        <v>46006710.990000002</v>
      </c>
      <c r="AB8" s="190">
        <v>0</v>
      </c>
      <c r="AC8" s="190">
        <v>16236146.460000001</v>
      </c>
      <c r="AD8" s="190">
        <v>0</v>
      </c>
      <c r="AE8" s="190">
        <v>8122979</v>
      </c>
      <c r="AF8" s="190">
        <v>0</v>
      </c>
      <c r="AG8" s="190">
        <v>16348256.859999999</v>
      </c>
      <c r="AH8" s="190">
        <v>0</v>
      </c>
      <c r="AI8" s="190">
        <v>8976544.5</v>
      </c>
      <c r="AJ8" s="190">
        <v>0</v>
      </c>
      <c r="AK8" s="190">
        <v>16146768.619999999</v>
      </c>
      <c r="AL8" s="190">
        <v>0</v>
      </c>
      <c r="AM8" s="190">
        <v>7871188.2800000003</v>
      </c>
      <c r="AN8" s="190">
        <v>0</v>
      </c>
      <c r="AO8" s="190">
        <v>18497858.16</v>
      </c>
      <c r="AP8" s="190">
        <v>0</v>
      </c>
      <c r="AQ8" s="190">
        <v>9643929.1199999992</v>
      </c>
      <c r="AR8" s="190">
        <v>0</v>
      </c>
      <c r="AS8" s="190">
        <v>18991458.16</v>
      </c>
      <c r="AT8" s="190">
        <v>0</v>
      </c>
      <c r="AU8" s="190">
        <v>3403554.36</v>
      </c>
      <c r="AV8" s="190">
        <v>0</v>
      </c>
      <c r="AW8" s="190">
        <v>14340736.26</v>
      </c>
      <c r="AX8" s="190">
        <v>780000</v>
      </c>
      <c r="AY8" s="190">
        <v>520000</v>
      </c>
      <c r="AZ8" s="190">
        <v>0</v>
      </c>
      <c r="BA8" s="190">
        <v>12637549.48</v>
      </c>
      <c r="BB8" s="190">
        <v>9213162.1099999994</v>
      </c>
      <c r="BC8" s="190">
        <v>6318774.7400000002</v>
      </c>
      <c r="BD8" s="190">
        <v>2894387.37</v>
      </c>
      <c r="BE8" s="190">
        <v>9518162.1099999994</v>
      </c>
      <c r="BF8" s="190">
        <v>8683162.1099999994</v>
      </c>
      <c r="BG8" s="190">
        <v>3254387.37</v>
      </c>
      <c r="BH8" s="190">
        <v>0</v>
      </c>
      <c r="BI8" s="190">
        <v>21063514.670000002</v>
      </c>
      <c r="BJ8" s="190">
        <v>1128402.54</v>
      </c>
      <c r="BK8" s="190">
        <v>752268.36</v>
      </c>
      <c r="BL8" s="190">
        <v>0</v>
      </c>
      <c r="BM8" s="190">
        <v>376134.19</v>
      </c>
      <c r="BN8" s="190">
        <v>1009480.68</v>
      </c>
      <c r="BO8" s="190">
        <v>841233.9</v>
      </c>
      <c r="BP8" s="190">
        <v>0</v>
      </c>
      <c r="BQ8" s="190">
        <v>0</v>
      </c>
      <c r="BR8" s="190">
        <v>0</v>
      </c>
      <c r="BS8" s="190">
        <v>0</v>
      </c>
      <c r="BT8" s="190">
        <v>0</v>
      </c>
      <c r="BU8" s="190">
        <v>0</v>
      </c>
      <c r="BV8" s="190">
        <v>0</v>
      </c>
    </row>
    <row r="9" spans="1:74" s="26" customFormat="1" x14ac:dyDescent="0.25">
      <c r="A9" s="17" t="s">
        <v>308</v>
      </c>
      <c r="B9" s="190">
        <v>0</v>
      </c>
      <c r="C9" s="190">
        <v>125972.83</v>
      </c>
      <c r="D9" s="190">
        <v>0</v>
      </c>
      <c r="E9" s="190">
        <v>-3325052.04</v>
      </c>
      <c r="F9" s="190">
        <v>0</v>
      </c>
      <c r="G9" s="190">
        <v>-3383975.66</v>
      </c>
      <c r="H9" s="190">
        <v>0</v>
      </c>
      <c r="I9" s="190">
        <v>2602144.5099999998</v>
      </c>
      <c r="J9" s="190">
        <v>0</v>
      </c>
      <c r="K9" s="190">
        <v>807410.74</v>
      </c>
      <c r="L9" s="190">
        <v>0</v>
      </c>
      <c r="M9" s="190">
        <v>22307289.07</v>
      </c>
      <c r="N9" s="190">
        <v>0</v>
      </c>
      <c r="O9" s="190">
        <v>-144469.32</v>
      </c>
      <c r="P9" s="190">
        <v>0</v>
      </c>
      <c r="Q9" s="190">
        <v>6448470.9800000004</v>
      </c>
      <c r="R9" s="190">
        <v>0</v>
      </c>
      <c r="S9" s="190">
        <v>71830.080000000002</v>
      </c>
      <c r="T9" s="190">
        <v>0</v>
      </c>
      <c r="U9" s="190">
        <v>4406059.21</v>
      </c>
      <c r="V9" s="190">
        <v>0</v>
      </c>
      <c r="W9" s="190">
        <v>243428.64</v>
      </c>
      <c r="X9" s="190">
        <v>0</v>
      </c>
      <c r="Y9" s="190">
        <v>8291660.8099999996</v>
      </c>
      <c r="Z9" s="190">
        <v>0</v>
      </c>
      <c r="AA9" s="190">
        <v>2695771.71</v>
      </c>
      <c r="AB9" s="190">
        <v>0</v>
      </c>
      <c r="AC9" s="190">
        <v>816492.02</v>
      </c>
      <c r="AD9" s="190">
        <v>0</v>
      </c>
      <c r="AE9" s="190">
        <v>-66761.62</v>
      </c>
      <c r="AF9" s="190">
        <v>0</v>
      </c>
      <c r="AG9" s="190">
        <v>10147039.130000001</v>
      </c>
      <c r="AH9" s="190">
        <v>0</v>
      </c>
      <c r="AI9" s="190">
        <v>-720109.21</v>
      </c>
      <c r="AJ9" s="190">
        <v>0</v>
      </c>
      <c r="AK9" s="190">
        <v>4049531.72</v>
      </c>
      <c r="AL9" s="190">
        <v>0</v>
      </c>
      <c r="AM9" s="190">
        <v>-6100</v>
      </c>
      <c r="AN9" s="190">
        <v>0</v>
      </c>
      <c r="AO9" s="190">
        <v>9875144.1999999993</v>
      </c>
      <c r="AP9" s="190">
        <v>0</v>
      </c>
      <c r="AQ9" s="190">
        <v>-84075.13</v>
      </c>
      <c r="AR9" s="190">
        <v>0</v>
      </c>
      <c r="AS9" s="190">
        <v>-9657853.9100000001</v>
      </c>
      <c r="AT9" s="190">
        <v>0</v>
      </c>
      <c r="AU9" s="190">
        <v>514452.75</v>
      </c>
      <c r="AV9" s="190">
        <v>0</v>
      </c>
      <c r="AW9" s="190">
        <v>1624763.39</v>
      </c>
      <c r="AX9" s="190">
        <v>0</v>
      </c>
      <c r="AY9" s="190">
        <v>0</v>
      </c>
      <c r="AZ9" s="190">
        <v>0</v>
      </c>
      <c r="BA9" s="190">
        <v>-36000</v>
      </c>
      <c r="BB9" s="190">
        <v>40174462.380000003</v>
      </c>
      <c r="BC9" s="190">
        <v>163570.4</v>
      </c>
      <c r="BD9" s="190">
        <v>3570.4</v>
      </c>
      <c r="BE9" s="190">
        <v>1866773.82</v>
      </c>
      <c r="BF9" s="190">
        <v>1719127.57</v>
      </c>
      <c r="BG9" s="190">
        <v>80048.72</v>
      </c>
      <c r="BH9" s="190">
        <v>0</v>
      </c>
      <c r="BI9" s="190">
        <v>-309916.63</v>
      </c>
      <c r="BJ9" s="190">
        <v>-323032.02</v>
      </c>
      <c r="BK9" s="190">
        <v>-323032.02</v>
      </c>
      <c r="BL9" s="190">
        <v>-323032.02</v>
      </c>
      <c r="BM9" s="190">
        <v>0</v>
      </c>
      <c r="BN9" s="190">
        <v>0</v>
      </c>
      <c r="BO9" s="190">
        <v>-88019.4</v>
      </c>
      <c r="BP9" s="190">
        <v>0</v>
      </c>
      <c r="BQ9" s="190">
        <v>4545464.91</v>
      </c>
      <c r="BR9" s="190">
        <v>0</v>
      </c>
      <c r="BS9" s="190">
        <v>0</v>
      </c>
      <c r="BT9" s="190">
        <v>0</v>
      </c>
      <c r="BU9" s="190">
        <v>0</v>
      </c>
      <c r="BV9" s="190">
        <v>0</v>
      </c>
    </row>
    <row r="10" spans="1:74" s="26" customFormat="1" x14ac:dyDescent="0.25">
      <c r="A10" s="17" t="s">
        <v>309</v>
      </c>
      <c r="B10" s="190">
        <v>0</v>
      </c>
      <c r="C10" s="190">
        <v>0</v>
      </c>
      <c r="D10" s="190">
        <v>0</v>
      </c>
      <c r="E10" s="190">
        <v>89424334.859999999</v>
      </c>
      <c r="F10" s="190">
        <v>0</v>
      </c>
      <c r="G10" s="190">
        <v>0</v>
      </c>
      <c r="H10" s="190">
        <v>0</v>
      </c>
      <c r="I10" s="190">
        <v>34907974.399999999</v>
      </c>
      <c r="J10" s="190">
        <v>0</v>
      </c>
      <c r="K10" s="190">
        <v>0</v>
      </c>
      <c r="L10" s="190">
        <v>0</v>
      </c>
      <c r="M10" s="190">
        <v>9099799.2799999993</v>
      </c>
      <c r="N10" s="190">
        <v>0</v>
      </c>
      <c r="O10" s="190">
        <v>0</v>
      </c>
      <c r="P10" s="190">
        <v>0</v>
      </c>
      <c r="Q10" s="190">
        <v>727863.99</v>
      </c>
      <c r="R10" s="190">
        <v>0</v>
      </c>
      <c r="S10" s="190">
        <v>0</v>
      </c>
      <c r="T10" s="190">
        <v>0</v>
      </c>
      <c r="U10" s="190">
        <v>6025499.9100000001</v>
      </c>
      <c r="V10" s="190">
        <v>0</v>
      </c>
      <c r="W10" s="190">
        <v>9072.2900000000009</v>
      </c>
      <c r="X10" s="190">
        <v>0</v>
      </c>
      <c r="Y10" s="190">
        <v>18903604.489999998</v>
      </c>
      <c r="Z10" s="190">
        <v>0</v>
      </c>
      <c r="AA10" s="190">
        <v>0</v>
      </c>
      <c r="AB10" s="190">
        <v>0</v>
      </c>
      <c r="AC10" s="190">
        <v>2606289.5699999998</v>
      </c>
      <c r="AD10" s="190">
        <v>0</v>
      </c>
      <c r="AE10" s="190">
        <v>11328.5</v>
      </c>
      <c r="AF10" s="190">
        <v>0</v>
      </c>
      <c r="AG10" s="190">
        <v>0</v>
      </c>
      <c r="AH10" s="190">
        <v>0</v>
      </c>
      <c r="AI10" s="190">
        <v>6655</v>
      </c>
      <c r="AJ10" s="190">
        <v>0</v>
      </c>
      <c r="AK10" s="190">
        <v>0</v>
      </c>
      <c r="AL10" s="190">
        <v>0</v>
      </c>
      <c r="AM10" s="190">
        <v>0</v>
      </c>
      <c r="AN10" s="190">
        <v>0</v>
      </c>
      <c r="AO10" s="190">
        <v>0</v>
      </c>
      <c r="AP10" s="190">
        <v>0</v>
      </c>
      <c r="AQ10" s="190">
        <v>0</v>
      </c>
      <c r="AR10" s="190">
        <v>0</v>
      </c>
      <c r="AS10" s="190">
        <v>10957401</v>
      </c>
      <c r="AT10" s="190">
        <v>0</v>
      </c>
      <c r="AU10" s="190">
        <v>-86000</v>
      </c>
      <c r="AV10" s="190">
        <v>0</v>
      </c>
      <c r="AW10" s="190">
        <v>7142262.8300000001</v>
      </c>
      <c r="AX10" s="190">
        <v>92906.16</v>
      </c>
      <c r="AY10" s="190">
        <v>92906.16</v>
      </c>
      <c r="AZ10" s="190">
        <v>0</v>
      </c>
      <c r="BA10" s="190">
        <v>22718744.600000001</v>
      </c>
      <c r="BB10" s="190">
        <v>3357888.3</v>
      </c>
      <c r="BC10" s="190">
        <v>21290.85</v>
      </c>
      <c r="BD10" s="190">
        <v>21290.85</v>
      </c>
      <c r="BE10" s="190">
        <v>8354618.4199999999</v>
      </c>
      <c r="BF10" s="190">
        <v>0</v>
      </c>
      <c r="BG10" s="190">
        <v>0</v>
      </c>
      <c r="BH10" s="190">
        <v>0</v>
      </c>
      <c r="BI10" s="190">
        <v>0</v>
      </c>
      <c r="BJ10" s="190">
        <v>0</v>
      </c>
      <c r="BK10" s="190">
        <v>0</v>
      </c>
      <c r="BL10" s="190">
        <v>0</v>
      </c>
      <c r="BM10" s="190">
        <v>0</v>
      </c>
      <c r="BN10" s="190">
        <v>0</v>
      </c>
      <c r="BO10" s="190">
        <v>1301366.8500000001</v>
      </c>
      <c r="BP10" s="190">
        <v>452916.94</v>
      </c>
      <c r="BQ10" s="190">
        <v>357535.35</v>
      </c>
      <c r="BR10" s="190">
        <v>9030508.7799999993</v>
      </c>
      <c r="BS10" s="190">
        <v>514492.74</v>
      </c>
      <c r="BT10" s="190">
        <v>7539.1</v>
      </c>
      <c r="BU10" s="190">
        <v>0</v>
      </c>
      <c r="BV10" s="190">
        <v>0</v>
      </c>
    </row>
    <row r="11" spans="1:74" s="47" customFormat="1" x14ac:dyDescent="0.25">
      <c r="A11" s="135" t="s">
        <v>296</v>
      </c>
      <c r="E11" s="47">
        <f>E5-E6-E7-E8-E9-E10</f>
        <v>4968110174.4000015</v>
      </c>
      <c r="F11" s="47">
        <f t="shared" ref="F11:BQ11" si="1">F5-F6-F7-F8-F9-F10</f>
        <v>8177840995.4700003</v>
      </c>
      <c r="G11" s="47">
        <f t="shared" si="1"/>
        <v>2615727919.2799997</v>
      </c>
      <c r="H11" s="47">
        <f t="shared" si="1"/>
        <v>2898373989.2600002</v>
      </c>
      <c r="I11" s="47">
        <f t="shared" si="1"/>
        <v>11188633533.550003</v>
      </c>
      <c r="J11" s="47">
        <f t="shared" si="1"/>
        <v>11415602682.51</v>
      </c>
      <c r="K11" s="47">
        <f t="shared" si="1"/>
        <v>5322478129.9499998</v>
      </c>
      <c r="L11" s="47">
        <f t="shared" si="1"/>
        <v>4850980228.4499998</v>
      </c>
      <c r="M11" s="47">
        <f t="shared" si="1"/>
        <v>10185057264.24</v>
      </c>
      <c r="N11" s="47">
        <f t="shared" si="1"/>
        <v>9532844112.7099991</v>
      </c>
      <c r="O11" s="47">
        <f t="shared" si="1"/>
        <v>2847478776.4800005</v>
      </c>
      <c r="P11" s="47">
        <f t="shared" si="1"/>
        <v>3183324094.4400001</v>
      </c>
      <c r="Q11" s="47">
        <f t="shared" si="1"/>
        <v>8917466555.2700024</v>
      </c>
      <c r="R11" s="47">
        <f t="shared" si="1"/>
        <v>9718862475.3400002</v>
      </c>
      <c r="S11" s="47">
        <f t="shared" si="1"/>
        <v>3549610320.0200005</v>
      </c>
      <c r="T11" s="47">
        <f t="shared" si="1"/>
        <v>3851531693.3699999</v>
      </c>
      <c r="U11" s="47">
        <f t="shared" si="1"/>
        <v>11337567273.560001</v>
      </c>
      <c r="V11" s="47">
        <f t="shared" si="1"/>
        <v>12184708934.469999</v>
      </c>
      <c r="W11" s="47">
        <f t="shared" si="1"/>
        <v>6137947925.79</v>
      </c>
      <c r="X11" s="47">
        <f t="shared" si="1"/>
        <v>4873043277.3800001</v>
      </c>
      <c r="Y11" s="47">
        <f t="shared" si="1"/>
        <v>16071456966.040001</v>
      </c>
      <c r="Z11" s="47">
        <f t="shared" si="1"/>
        <v>14809562419.440001</v>
      </c>
      <c r="AA11" s="47">
        <f t="shared" si="1"/>
        <v>8099948309.1100006</v>
      </c>
      <c r="AB11" s="47">
        <f t="shared" si="1"/>
        <v>5035199167.1099997</v>
      </c>
      <c r="AC11" s="47">
        <f t="shared" si="1"/>
        <v>13209884863.669998</v>
      </c>
      <c r="AD11" s="47">
        <f t="shared" si="1"/>
        <v>11777599231.82</v>
      </c>
      <c r="AE11" s="47">
        <f t="shared" si="1"/>
        <v>6454334056.1199989</v>
      </c>
      <c r="AF11" s="47">
        <f t="shared" si="1"/>
        <v>3784379139.1300001</v>
      </c>
      <c r="AG11" s="47">
        <f t="shared" si="1"/>
        <v>10084803803.770002</v>
      </c>
      <c r="AH11" s="47">
        <f t="shared" si="1"/>
        <v>9166328103.9400005</v>
      </c>
      <c r="AI11" s="47">
        <f t="shared" si="1"/>
        <v>4486391547.9700003</v>
      </c>
      <c r="AJ11" s="47">
        <f t="shared" si="1"/>
        <v>3164779008.8699999</v>
      </c>
      <c r="AK11" s="47">
        <f t="shared" si="1"/>
        <v>8789933063.3499985</v>
      </c>
      <c r="AL11" s="47">
        <f t="shared" si="1"/>
        <v>913350487.88</v>
      </c>
      <c r="AM11" s="47">
        <f t="shared" si="1"/>
        <v>-138078178.37999997</v>
      </c>
      <c r="AN11" s="47">
        <f t="shared" si="1"/>
        <v>152574270.09</v>
      </c>
      <c r="AO11" s="47">
        <f t="shared" si="1"/>
        <v>421346381.47000003</v>
      </c>
      <c r="AP11" s="47">
        <f t="shared" si="1"/>
        <v>1021973556.9299999</v>
      </c>
      <c r="AQ11" s="47">
        <f t="shared" si="1"/>
        <v>204824288.6999999</v>
      </c>
      <c r="AR11" s="47">
        <f t="shared" si="1"/>
        <v>291385711.97000003</v>
      </c>
      <c r="AS11" s="47">
        <f t="shared" si="1"/>
        <v>-1048651733.5999999</v>
      </c>
      <c r="AT11" s="47">
        <f t="shared" si="1"/>
        <v>0</v>
      </c>
      <c r="AU11" s="47">
        <f t="shared" si="1"/>
        <v>-581011329.5</v>
      </c>
      <c r="AV11" s="47">
        <f t="shared" si="1"/>
        <v>0</v>
      </c>
      <c r="AW11" s="47">
        <f t="shared" si="1"/>
        <v>-788017449.5</v>
      </c>
      <c r="AX11" s="47">
        <f t="shared" si="1"/>
        <v>-496651605.83999997</v>
      </c>
      <c r="AY11" s="47">
        <f t="shared" si="1"/>
        <v>-320704691.63000005</v>
      </c>
      <c r="AZ11" s="47">
        <f t="shared" si="1"/>
        <v>-158486582.47999999</v>
      </c>
      <c r="BA11" s="47">
        <f t="shared" si="1"/>
        <v>-661349635.28000009</v>
      </c>
      <c r="BB11" s="47">
        <f t="shared" si="1"/>
        <v>-496064627.81</v>
      </c>
      <c r="BC11" s="47">
        <f t="shared" si="1"/>
        <v>-304731534.57999998</v>
      </c>
      <c r="BD11" s="47">
        <f t="shared" si="1"/>
        <v>-152815316.46000001</v>
      </c>
      <c r="BE11" s="47">
        <f t="shared" si="1"/>
        <v>-522403018.89000005</v>
      </c>
      <c r="BF11" s="47">
        <f t="shared" si="1"/>
        <v>-360324018.85000002</v>
      </c>
      <c r="BG11" s="47">
        <f t="shared" si="1"/>
        <v>-216056168.92999998</v>
      </c>
      <c r="BH11" s="47">
        <f t="shared" si="1"/>
        <v>-81801147.599999994</v>
      </c>
      <c r="BI11" s="47">
        <f t="shared" si="1"/>
        <v>-348376583.61000001</v>
      </c>
      <c r="BJ11" s="47">
        <f t="shared" si="1"/>
        <v>-243401614.53999996</v>
      </c>
      <c r="BK11" s="47">
        <f t="shared" si="1"/>
        <v>-161940800.24000001</v>
      </c>
      <c r="BL11" s="47">
        <f t="shared" si="1"/>
        <v>-81261521.38000001</v>
      </c>
      <c r="BM11" s="47">
        <f t="shared" si="1"/>
        <v>-84083950.599999994</v>
      </c>
      <c r="BN11" s="47">
        <f t="shared" si="1"/>
        <v>-39032743.600000001</v>
      </c>
      <c r="BO11" s="47">
        <f t="shared" si="1"/>
        <v>-74343665.670000002</v>
      </c>
      <c r="BP11" s="47">
        <f t="shared" si="1"/>
        <v>-36839057.079999998</v>
      </c>
      <c r="BQ11" s="47">
        <f t="shared" si="1"/>
        <v>-93295963.749999985</v>
      </c>
      <c r="BR11" s="47">
        <f t="shared" ref="BR11:BS11" si="2">BR5-BR6-BR7-BR8-BR9-BR10</f>
        <v>-42095002.289999999</v>
      </c>
      <c r="BS11" s="47">
        <f t="shared" si="2"/>
        <v>-72088256.649999991</v>
      </c>
    </row>
    <row r="12" spans="1:74" s="26" customFormat="1" x14ac:dyDescent="0.25">
      <c r="A12" s="17" t="s">
        <v>297</v>
      </c>
      <c r="E12" s="26">
        <f t="shared" ref="E12:Q12" si="3">I34</f>
        <v>192179227762.42999</v>
      </c>
      <c r="F12" s="26">
        <f t="shared" si="3"/>
        <v>185001847648.12</v>
      </c>
      <c r="G12" s="26">
        <f t="shared" si="3"/>
        <v>180643873646.20001</v>
      </c>
      <c r="H12" s="26">
        <f t="shared" si="3"/>
        <v>176192013374.64999</v>
      </c>
      <c r="I12" s="26">
        <f t="shared" si="3"/>
        <v>171691736588.87</v>
      </c>
      <c r="J12" s="26">
        <f t="shared" si="3"/>
        <v>161461805589.5</v>
      </c>
      <c r="K12" s="26">
        <f t="shared" si="3"/>
        <v>159199592915.88</v>
      </c>
      <c r="L12" s="26">
        <f t="shared" si="3"/>
        <v>159889361040.16</v>
      </c>
      <c r="M12" s="26">
        <f t="shared" si="3"/>
        <v>158831576835.70001</v>
      </c>
      <c r="N12" s="26">
        <f t="shared" si="3"/>
        <v>155753956735.34</v>
      </c>
      <c r="O12" s="26">
        <f t="shared" si="3"/>
        <v>150363365886.38</v>
      </c>
      <c r="P12" s="26">
        <f t="shared" si="3"/>
        <v>150382977295.16</v>
      </c>
      <c r="Q12" s="26">
        <f t="shared" si="3"/>
        <v>149321416028.38</v>
      </c>
      <c r="R12" s="193">
        <f t="shared" ref="R12" si="4">V34</f>
        <v>144537311964.10001</v>
      </c>
      <c r="S12" s="193">
        <f t="shared" ref="S12" si="5">W34</f>
        <v>140478070922.54001</v>
      </c>
      <c r="T12" s="193">
        <f t="shared" ref="T12" si="6">X34</f>
        <v>137479584893.34</v>
      </c>
      <c r="U12" s="193">
        <f t="shared" ref="U12" si="7">Y34</f>
        <v>132051731372.59001</v>
      </c>
      <c r="V12" s="193">
        <f t="shared" ref="V12" si="8">Z34</f>
        <v>123485278624.34001</v>
      </c>
      <c r="W12" s="193">
        <f t="shared" ref="W12" si="9">AA34</f>
        <v>115459694840.83</v>
      </c>
      <c r="X12" s="193">
        <f t="shared" ref="X12" si="10">AB34</f>
        <v>111413675163.74001</v>
      </c>
      <c r="Y12" s="193">
        <f t="shared" ref="Y12" si="11">AC34</f>
        <v>110906078666.51001</v>
      </c>
      <c r="Z12" s="193">
        <f t="shared" ref="Z12" si="12">AD34</f>
        <v>103543858509.54001</v>
      </c>
      <c r="AA12" s="193">
        <f t="shared" ref="AA12" si="13">AE34</f>
        <v>99929740251.960007</v>
      </c>
      <c r="AB12" s="193">
        <f t="shared" ref="AB12" si="14">AF34</f>
        <v>96023011728.960007</v>
      </c>
      <c r="AC12" s="193">
        <f t="shared" ref="AC12" si="15">AG34</f>
        <v>93157907590.190002</v>
      </c>
      <c r="AD12" s="193">
        <f t="shared" ref="AD12" si="16">AH34</f>
        <v>87189551160.970001</v>
      </c>
      <c r="AE12" s="193">
        <f t="shared" ref="AE12" si="17">AI34</f>
        <v>84535988279.480011</v>
      </c>
      <c r="AF12" s="193">
        <f t="shared" ref="AF12" si="18">AJ34</f>
        <v>82794040055.310013</v>
      </c>
      <c r="AG12" s="193">
        <f t="shared" ref="AG12" si="19">AK34</f>
        <v>80565195430.780014</v>
      </c>
      <c r="AH12" s="193">
        <f t="shared" ref="AH12" si="20">AL34</f>
        <v>15232984727.74</v>
      </c>
      <c r="AI12" s="193">
        <f t="shared" ref="AI12" si="21">AM34</f>
        <v>14760565506.23</v>
      </c>
      <c r="AJ12" s="193">
        <f t="shared" ref="AJ12" si="22">AN34</f>
        <v>15184348826.93</v>
      </c>
      <c r="AK12" s="193">
        <f t="shared" ref="AK12" si="23">AO34</f>
        <v>15229356249.559999</v>
      </c>
      <c r="AL12" s="193">
        <f t="shared" ref="AL12" si="24">AP34</f>
        <v>15474871017.49</v>
      </c>
      <c r="AM12" s="193">
        <f t="shared" ref="AM12" si="25">AQ34</f>
        <v>15406155132.370001</v>
      </c>
      <c r="AN12" s="193">
        <f t="shared" ref="AN12" si="26">AR34</f>
        <v>15234231711.040001</v>
      </c>
      <c r="AO12" s="193">
        <f t="shared" ref="AO12" si="27">AS34</f>
        <v>15056242702.940001</v>
      </c>
      <c r="AP12" s="193">
        <f t="shared" ref="AP12" si="28">AT34</f>
        <v>14725327102.91</v>
      </c>
      <c r="AQ12" s="193">
        <f t="shared" ref="AQ12" si="29">AU34</f>
        <v>14738101470.690001</v>
      </c>
      <c r="AR12" s="193">
        <f t="shared" ref="AR12" si="30">AV34</f>
        <v>14686064980.360001</v>
      </c>
      <c r="AS12" s="193">
        <f t="shared" ref="AS12" si="31">AW34</f>
        <v>15308097980.719999</v>
      </c>
      <c r="AT12" s="193">
        <f t="shared" ref="AT12" si="32">AX34</f>
        <v>8669286305.0699997</v>
      </c>
      <c r="AU12" s="193">
        <f t="shared" ref="AU12" si="33">AY34</f>
        <v>8461859022.29</v>
      </c>
      <c r="AV12" s="193">
        <f t="shared" ref="AV12" si="34">AZ34</f>
        <v>8272279388.54</v>
      </c>
      <c r="AW12" s="193">
        <f t="shared" ref="AW12" si="35">BA34</f>
        <v>8214864954.0900002</v>
      </c>
      <c r="AX12" s="193">
        <f t="shared" ref="AX12" si="36">BB34</f>
        <v>8203969080.8299999</v>
      </c>
      <c r="AY12" s="193">
        <f t="shared" ref="AY12" si="37">BC34</f>
        <v>8227143275.54</v>
      </c>
      <c r="AZ12" s="193">
        <f t="shared" ref="AZ12" si="38">BD34</f>
        <v>7934573128.4499998</v>
      </c>
      <c r="BA12" s="193">
        <f t="shared" ref="BA12" si="39">BE34</f>
        <v>8031012382.6599998</v>
      </c>
      <c r="BB12" s="193">
        <f t="shared" ref="BB12" si="40">BF34</f>
        <v>7682509323.7200003</v>
      </c>
      <c r="BC12" s="193">
        <f t="shared" ref="BC12" si="41">BG34</f>
        <v>7725247986.5600004</v>
      </c>
      <c r="BD12" s="193">
        <f t="shared" ref="BD12" si="42">BH34</f>
        <v>4007451639.8400002</v>
      </c>
      <c r="BE12" s="193">
        <f t="shared" ref="BE12" si="43">BI34</f>
        <v>3954948691.9000001</v>
      </c>
      <c r="BF12" s="193">
        <f t="shared" ref="BF12" si="44">BJ34</f>
        <v>3882953147.1399999</v>
      </c>
      <c r="BG12" s="193">
        <f t="shared" ref="BG12" si="45">BK34</f>
        <v>3837770495.8699999</v>
      </c>
      <c r="BH12" s="193">
        <f t="shared" ref="BH12" si="46">BL34</f>
        <v>3889906135.1199999</v>
      </c>
      <c r="BI12" s="193">
        <f t="shared" ref="BI12" si="47">BM34</f>
        <v>3894065466.1399999</v>
      </c>
      <c r="BJ12" s="193">
        <f t="shared" ref="BJ12" si="48">BN34</f>
        <v>611934068.65999997</v>
      </c>
      <c r="BK12" s="193">
        <f t="shared" ref="BK12" si="49">BO34</f>
        <v>633399313.91999996</v>
      </c>
      <c r="BL12" s="193">
        <f t="shared" ref="BL12" si="50">BP34</f>
        <v>650097139.72000003</v>
      </c>
      <c r="BM12" s="193">
        <f t="shared" ref="BM12" si="51">BQ34</f>
        <v>15474871017.49</v>
      </c>
      <c r="BN12" s="193">
        <f t="shared" ref="BN12" si="52">BR34</f>
        <v>15406155132.370001</v>
      </c>
    </row>
    <row r="13" spans="1:74" s="220" customFormat="1" x14ac:dyDescent="0.25">
      <c r="A13" s="220" t="s">
        <v>351</v>
      </c>
      <c r="E13" s="220">
        <f>E11/E12</f>
        <v>2.5851442074382402E-2</v>
      </c>
      <c r="F13" s="220">
        <f t="shared" ref="F13:AR13" si="53">F11/F12</f>
        <v>4.4204104442375845E-2</v>
      </c>
      <c r="G13" s="220">
        <f t="shared" si="53"/>
        <v>1.4480025624356532E-2</v>
      </c>
      <c r="H13" s="220">
        <f t="shared" si="53"/>
        <v>1.6450087230100351E-2</v>
      </c>
      <c r="I13" s="220">
        <f t="shared" si="53"/>
        <v>6.5166989139041134E-2</v>
      </c>
      <c r="J13" s="220">
        <f t="shared" si="53"/>
        <v>7.0701567103324689E-2</v>
      </c>
      <c r="K13" s="220">
        <f t="shared" si="53"/>
        <v>3.3432737059587596E-2</v>
      </c>
      <c r="L13" s="220">
        <f t="shared" si="53"/>
        <v>3.0339606068170859E-2</v>
      </c>
      <c r="M13" s="220">
        <f t="shared" si="53"/>
        <v>6.412488918860082E-2</v>
      </c>
      <c r="N13" s="220">
        <f t="shared" si="53"/>
        <v>6.120450685505463E-2</v>
      </c>
      <c r="O13" s="220">
        <f t="shared" si="53"/>
        <v>1.8937317342521173E-2</v>
      </c>
      <c r="P13" s="220">
        <f t="shared" si="53"/>
        <v>2.1168114581160469E-2</v>
      </c>
      <c r="Q13" s="220">
        <f t="shared" si="53"/>
        <v>5.9719943678910398E-2</v>
      </c>
      <c r="R13" s="220">
        <f t="shared" si="53"/>
        <v>6.7241201204530213E-2</v>
      </c>
      <c r="S13" s="220">
        <f t="shared" si="53"/>
        <v>2.5268074203391257E-2</v>
      </c>
      <c r="T13" s="220">
        <f t="shared" si="53"/>
        <v>2.8015299117742549E-2</v>
      </c>
      <c r="U13" s="220">
        <f t="shared" si="53"/>
        <v>8.5857013427340353E-2</v>
      </c>
      <c r="V13" s="220">
        <f t="shared" si="53"/>
        <v>9.8673372811812141E-2</v>
      </c>
      <c r="W13" s="220">
        <f t="shared" si="53"/>
        <v>5.3160957460104408E-2</v>
      </c>
      <c r="X13" s="220">
        <f t="shared" si="53"/>
        <v>4.3738286796645862E-2</v>
      </c>
      <c r="Y13" s="220">
        <f t="shared" si="53"/>
        <v>0.14491051490844076</v>
      </c>
      <c r="Z13" s="220">
        <f t="shared" si="53"/>
        <v>0.14302695140606067</v>
      </c>
      <c r="AA13" s="220">
        <f t="shared" si="53"/>
        <v>8.1056433136792116E-2</v>
      </c>
      <c r="AB13" s="220">
        <f t="shared" si="53"/>
        <v>5.2437421785130403E-2</v>
      </c>
      <c r="AC13" s="220">
        <f t="shared" si="53"/>
        <v>0.14180100439547727</v>
      </c>
      <c r="AD13" s="220">
        <f t="shared" si="53"/>
        <v>0.13508039753612341</v>
      </c>
      <c r="AE13" s="220">
        <f t="shared" si="53"/>
        <v>7.6350134273957537E-2</v>
      </c>
      <c r="AF13" s="220">
        <f t="shared" si="53"/>
        <v>4.570835215435641E-2</v>
      </c>
      <c r="AG13" s="220">
        <f t="shared" si="53"/>
        <v>0.1251756884576127</v>
      </c>
      <c r="AH13" s="220">
        <f t="shared" si="53"/>
        <v>0.60174209242445276</v>
      </c>
      <c r="AI13" s="220">
        <f t="shared" si="53"/>
        <v>0.30394442178224312</v>
      </c>
      <c r="AJ13" s="220">
        <f t="shared" si="53"/>
        <v>0.2084237556013695</v>
      </c>
      <c r="AK13" s="220">
        <f t="shared" si="53"/>
        <v>0.57717036224718654</v>
      </c>
      <c r="AL13" s="220">
        <f t="shared" si="53"/>
        <v>5.9021525080739837E-2</v>
      </c>
      <c r="AM13" s="220">
        <f t="shared" si="53"/>
        <v>-8.9625332987776259E-3</v>
      </c>
      <c r="AN13" s="220">
        <f t="shared" si="53"/>
        <v>1.0015225774689504E-2</v>
      </c>
      <c r="AO13" s="220">
        <f t="shared" si="53"/>
        <v>2.7984829268707566E-2</v>
      </c>
      <c r="AP13" s="220">
        <f t="shared" si="53"/>
        <v>6.9402434987541894E-2</v>
      </c>
      <c r="AQ13" s="220">
        <f t="shared" si="53"/>
        <v>1.3897603372275504E-2</v>
      </c>
      <c r="AR13" s="220">
        <f t="shared" si="53"/>
        <v>1.9840965729055169E-2</v>
      </c>
    </row>
    <row r="14" spans="1:74" s="48" customFormat="1" x14ac:dyDescent="0.25">
      <c r="A14" s="46" t="s">
        <v>293</v>
      </c>
    </row>
    <row r="15" spans="1:74" s="26" customFormat="1" x14ac:dyDescent="0.25">
      <c r="A15" s="17" t="s">
        <v>313</v>
      </c>
      <c r="B15" s="190">
        <v>0</v>
      </c>
      <c r="C15" s="190">
        <v>0</v>
      </c>
      <c r="D15" s="190">
        <v>0</v>
      </c>
      <c r="E15" s="190">
        <v>5997634.7999999998</v>
      </c>
      <c r="F15" s="190">
        <v>5997634.7999999998</v>
      </c>
      <c r="G15" s="190">
        <v>5997634.7999999998</v>
      </c>
      <c r="H15" s="190">
        <v>0</v>
      </c>
      <c r="I15" s="190">
        <v>0</v>
      </c>
      <c r="J15" s="190">
        <v>0</v>
      </c>
      <c r="K15" s="190">
        <v>0</v>
      </c>
      <c r="L15" s="190">
        <v>0</v>
      </c>
      <c r="M15" s="190">
        <v>0</v>
      </c>
      <c r="N15" s="190">
        <v>0</v>
      </c>
      <c r="O15" s="190">
        <v>0</v>
      </c>
      <c r="P15" s="190">
        <v>0</v>
      </c>
      <c r="Q15" s="190">
        <v>185260359.72999999</v>
      </c>
      <c r="R15" s="190">
        <v>192360306.72</v>
      </c>
      <c r="S15" s="190">
        <v>226050225.88</v>
      </c>
      <c r="T15" s="190">
        <v>0</v>
      </c>
      <c r="U15" s="190">
        <v>374518.88</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17095449.850000001</v>
      </c>
      <c r="F16" s="190">
        <v>17095449.850000001</v>
      </c>
      <c r="G16" s="190">
        <v>17095449.850000001</v>
      </c>
      <c r="H16" s="190">
        <v>17095449.850000001</v>
      </c>
      <c r="I16" s="190">
        <v>1425657189.9000001</v>
      </c>
      <c r="J16" s="190">
        <v>1499042839.4400001</v>
      </c>
      <c r="K16" s="190">
        <v>1532007901.8800001</v>
      </c>
      <c r="L16" s="190">
        <v>0</v>
      </c>
      <c r="M16" s="190">
        <v>0</v>
      </c>
      <c r="N16" s="190">
        <v>0</v>
      </c>
      <c r="O16" s="190">
        <v>0</v>
      </c>
      <c r="P16" s="190">
        <v>0</v>
      </c>
      <c r="Q16" s="190">
        <v>61624101.75</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11097815.050000001</v>
      </c>
      <c r="F17" s="47">
        <f t="shared" ref="F17:AV17" si="54">F16-F15</f>
        <v>11097815.050000001</v>
      </c>
      <c r="G17" s="47">
        <f t="shared" si="54"/>
        <v>11097815.050000001</v>
      </c>
      <c r="H17" s="47">
        <f t="shared" si="54"/>
        <v>17095449.850000001</v>
      </c>
      <c r="I17" s="47">
        <f t="shared" si="54"/>
        <v>1425657189.9000001</v>
      </c>
      <c r="J17" s="47">
        <f t="shared" si="54"/>
        <v>1499042839.4400001</v>
      </c>
      <c r="K17" s="47">
        <f t="shared" si="54"/>
        <v>1532007901.8800001</v>
      </c>
      <c r="L17" s="47">
        <f t="shared" si="54"/>
        <v>0</v>
      </c>
      <c r="M17" s="47">
        <f t="shared" si="54"/>
        <v>0</v>
      </c>
      <c r="N17" s="47">
        <f t="shared" si="54"/>
        <v>0</v>
      </c>
      <c r="O17" s="47">
        <f t="shared" si="54"/>
        <v>0</v>
      </c>
      <c r="P17" s="47">
        <f t="shared" si="54"/>
        <v>0</v>
      </c>
      <c r="Q17" s="47">
        <f t="shared" si="54"/>
        <v>-123636257.97999999</v>
      </c>
      <c r="R17" s="47">
        <f t="shared" si="54"/>
        <v>-192360306.72</v>
      </c>
      <c r="S17" s="47">
        <f t="shared" si="54"/>
        <v>-226050225.88</v>
      </c>
      <c r="T17" s="47">
        <f t="shared" si="54"/>
        <v>0</v>
      </c>
      <c r="U17" s="47">
        <f t="shared" si="54"/>
        <v>-374518.88</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11655295709.17</v>
      </c>
      <c r="F19" s="193">
        <f t="shared" ref="F19:AS19" si="55">F5+F17</f>
        <v>8188938810.5200005</v>
      </c>
      <c r="G19" s="193">
        <f t="shared" si="55"/>
        <v>5784946280.96</v>
      </c>
      <c r="H19" s="193">
        <f t="shared" si="55"/>
        <v>2915469439.1100001</v>
      </c>
      <c r="I19" s="193">
        <f t="shared" si="55"/>
        <v>18734474142.230003</v>
      </c>
      <c r="J19" s="193">
        <f t="shared" si="55"/>
        <v>12914645521.950001</v>
      </c>
      <c r="K19" s="193">
        <f t="shared" si="55"/>
        <v>9842726610.7000008</v>
      </c>
      <c r="L19" s="193">
        <f t="shared" si="55"/>
        <v>4850980228.4499998</v>
      </c>
      <c r="M19" s="193">
        <f t="shared" si="55"/>
        <v>16330808445.469999</v>
      </c>
      <c r="N19" s="193">
        <f t="shared" si="55"/>
        <v>9532844112.7099991</v>
      </c>
      <c r="O19" s="193">
        <f t="shared" si="55"/>
        <v>5735168484.25</v>
      </c>
      <c r="P19" s="193">
        <f t="shared" si="55"/>
        <v>3183324094.4400001</v>
      </c>
      <c r="Q19" s="193">
        <f t="shared" si="55"/>
        <v>14348126043.02</v>
      </c>
      <c r="R19" s="193">
        <f t="shared" si="55"/>
        <v>9526502168.6200008</v>
      </c>
      <c r="S19" s="193">
        <f t="shared" si="55"/>
        <v>6040983931.3800001</v>
      </c>
      <c r="T19" s="193">
        <f t="shared" si="55"/>
        <v>3851531693.3699999</v>
      </c>
      <c r="U19" s="193">
        <f t="shared" si="55"/>
        <v>16028620388.02</v>
      </c>
      <c r="V19" s="193">
        <f t="shared" si="55"/>
        <v>12184708934.469999</v>
      </c>
      <c r="W19" s="193">
        <f t="shared" si="55"/>
        <v>8227906294.3000002</v>
      </c>
      <c r="X19" s="193">
        <f t="shared" si="55"/>
        <v>4873043277.3800001</v>
      </c>
      <c r="Y19" s="193">
        <f t="shared" si="55"/>
        <v>19591081862.900002</v>
      </c>
      <c r="Z19" s="193">
        <f t="shared" si="55"/>
        <v>14809562419.440001</v>
      </c>
      <c r="AA19" s="193">
        <f t="shared" si="55"/>
        <v>9673239531.0400009</v>
      </c>
      <c r="AB19" s="193">
        <f t="shared" si="55"/>
        <v>5035199167.1099997</v>
      </c>
      <c r="AC19" s="193">
        <f t="shared" si="55"/>
        <v>16271729559.549999</v>
      </c>
      <c r="AD19" s="193">
        <f t="shared" si="55"/>
        <v>11777599231.82</v>
      </c>
      <c r="AE19" s="193">
        <f t="shared" si="55"/>
        <v>7966821292.46</v>
      </c>
      <c r="AF19" s="193">
        <f t="shared" si="55"/>
        <v>3784379139.1300001</v>
      </c>
      <c r="AG19" s="193">
        <f t="shared" si="55"/>
        <v>13016987629.040001</v>
      </c>
      <c r="AH19" s="193">
        <f t="shared" si="55"/>
        <v>9166328103.9400005</v>
      </c>
      <c r="AI19" s="193">
        <f t="shared" si="55"/>
        <v>5918684677.7200003</v>
      </c>
      <c r="AJ19" s="193">
        <f t="shared" si="55"/>
        <v>3164779008.8699999</v>
      </c>
      <c r="AK19" s="193">
        <f t="shared" si="55"/>
        <v>11326310993.949999</v>
      </c>
      <c r="AL19" s="193">
        <f t="shared" si="55"/>
        <v>913350487.88</v>
      </c>
      <c r="AM19" s="193">
        <f t="shared" si="55"/>
        <v>399344392.36000001</v>
      </c>
      <c r="AN19" s="193">
        <f t="shared" si="55"/>
        <v>152574270.09</v>
      </c>
      <c r="AO19" s="193">
        <f t="shared" si="55"/>
        <v>1454711904.9200001</v>
      </c>
      <c r="AP19" s="193">
        <f t="shared" si="55"/>
        <v>1021973556.9299999</v>
      </c>
      <c r="AQ19" s="193">
        <f t="shared" si="55"/>
        <v>708075044.17999995</v>
      </c>
      <c r="AR19" s="193">
        <f t="shared" si="55"/>
        <v>291385711.97000003</v>
      </c>
      <c r="AS19" s="193">
        <f t="shared" si="55"/>
        <v>0</v>
      </c>
    </row>
    <row r="20" spans="1:74" s="193" customFormat="1" x14ac:dyDescent="0.25">
      <c r="A20" s="193" t="s">
        <v>300</v>
      </c>
      <c r="B20" s="190">
        <v>14375013667.98</v>
      </c>
      <c r="C20" s="190">
        <v>7548952442.4799995</v>
      </c>
      <c r="D20" s="190">
        <v>4171884099.0799999</v>
      </c>
      <c r="E20" s="190">
        <v>18141039798.419998</v>
      </c>
      <c r="F20" s="190">
        <v>13911279575</v>
      </c>
      <c r="G20" s="190">
        <v>6944176302.0299997</v>
      </c>
      <c r="H20" s="190">
        <v>3525622483.5999999</v>
      </c>
      <c r="I20" s="190">
        <v>19066537849.5</v>
      </c>
      <c r="J20" s="190">
        <v>14085851931.15</v>
      </c>
      <c r="K20" s="190">
        <v>7726437834.3299999</v>
      </c>
      <c r="L20" s="190">
        <v>3804692246.5700002</v>
      </c>
      <c r="M20" s="190">
        <v>22896771649</v>
      </c>
      <c r="N20" s="190">
        <v>16760647373.82</v>
      </c>
      <c r="O20" s="190">
        <v>9709133286.8400002</v>
      </c>
      <c r="P20" s="190">
        <v>4849766135.3800001</v>
      </c>
      <c r="Q20" s="190">
        <v>21418981070.5</v>
      </c>
      <c r="R20" s="190">
        <v>15588152919.42</v>
      </c>
      <c r="S20" s="190">
        <v>7685378674.5200005</v>
      </c>
      <c r="T20" s="190">
        <v>3698676621.9000001</v>
      </c>
      <c r="U20" s="190">
        <v>15197612776.08</v>
      </c>
      <c r="V20" s="190">
        <v>10531966534.75</v>
      </c>
      <c r="W20" s="190">
        <v>6015880830.8800001</v>
      </c>
      <c r="X20" s="190">
        <v>2922741720.9000001</v>
      </c>
      <c r="Y20" s="190">
        <v>8606379058.2800007</v>
      </c>
      <c r="Z20" s="190">
        <v>6454217080.04</v>
      </c>
      <c r="AA20" s="190">
        <v>3399039261.5999999</v>
      </c>
      <c r="AB20" s="190">
        <v>1622779034.8299999</v>
      </c>
      <c r="AC20" s="190">
        <v>5376582107.46</v>
      </c>
      <c r="AD20" s="190">
        <v>4472381448.8500004</v>
      </c>
      <c r="AE20" s="190">
        <v>2751385307.29</v>
      </c>
      <c r="AF20" s="190">
        <v>1846290172.8699999</v>
      </c>
      <c r="AG20" s="190">
        <v>5045281505.9899998</v>
      </c>
      <c r="AH20" s="190">
        <v>3547200756.0900002</v>
      </c>
      <c r="AI20" s="190">
        <v>2032714865.1500001</v>
      </c>
      <c r="AJ20" s="190">
        <v>1361913431.74</v>
      </c>
      <c r="AK20" s="190">
        <v>5044550123.2600002</v>
      </c>
      <c r="AL20" s="190">
        <v>1527552644.5699999</v>
      </c>
      <c r="AM20" s="190">
        <v>1163638843.49</v>
      </c>
      <c r="AN20" s="190">
        <v>580438253.74000001</v>
      </c>
      <c r="AO20" s="190">
        <v>1670839774.5899999</v>
      </c>
      <c r="AP20" s="190">
        <v>1172360066.72</v>
      </c>
      <c r="AQ20" s="190">
        <v>846346715.88</v>
      </c>
      <c r="AR20" s="190">
        <v>428124210.44</v>
      </c>
      <c r="AS20" s="190">
        <v>2424268794.79</v>
      </c>
      <c r="AT20" s="190">
        <v>2038629927.5599999</v>
      </c>
      <c r="AU20" s="190">
        <v>1490812812.45</v>
      </c>
      <c r="AV20" s="190">
        <v>630895686.05999994</v>
      </c>
      <c r="AW20" s="190">
        <v>1540794617.72</v>
      </c>
      <c r="AX20" s="190">
        <v>992384369.40999997</v>
      </c>
      <c r="AY20" s="190">
        <v>567976043.11000001</v>
      </c>
      <c r="AZ20" s="190">
        <v>310503282.19999999</v>
      </c>
      <c r="BA20" s="190">
        <v>1384501370.98</v>
      </c>
      <c r="BB20" s="190">
        <v>1139823194.8499999</v>
      </c>
      <c r="BC20" s="190">
        <v>784600897.85000002</v>
      </c>
      <c r="BD20" s="190">
        <v>416475190.25999999</v>
      </c>
      <c r="BE20" s="190">
        <v>1120756111.4300001</v>
      </c>
      <c r="BF20" s="190">
        <v>1070704439.34</v>
      </c>
      <c r="BG20" s="190">
        <v>372489773.35000002</v>
      </c>
      <c r="BH20" s="190">
        <v>179016091.75</v>
      </c>
      <c r="BI20" s="190">
        <v>794532232.12</v>
      </c>
      <c r="BJ20" s="190">
        <v>770693678.51999998</v>
      </c>
      <c r="BK20" s="190">
        <v>571970187.01999998</v>
      </c>
      <c r="BL20" s="190">
        <v>170186033.81</v>
      </c>
      <c r="BM20" s="190">
        <v>229602872.49000001</v>
      </c>
      <c r="BN20" s="190">
        <v>-18069168.73</v>
      </c>
      <c r="BO20" s="190">
        <v>-39103770.670000002</v>
      </c>
      <c r="BP20" s="190">
        <v>-44771062.189999998</v>
      </c>
      <c r="BQ20" s="190">
        <v>195742978.63</v>
      </c>
      <c r="BR20" s="190">
        <v>120113206.53</v>
      </c>
      <c r="BS20" s="190">
        <v>50368022.869999997</v>
      </c>
      <c r="BT20" s="190">
        <v>-69160066.280000001</v>
      </c>
      <c r="BU20" s="190">
        <v>0</v>
      </c>
      <c r="BV20" s="190">
        <v>0</v>
      </c>
    </row>
    <row r="21" spans="1:74" s="221" customFormat="1" x14ac:dyDescent="0.25">
      <c r="A21" s="221" t="s">
        <v>666</v>
      </c>
      <c r="E21" s="221">
        <f>E20/E19</f>
        <v>1.5564632808198278</v>
      </c>
      <c r="F21" s="221">
        <f t="shared" ref="F21:AS21" si="56">F20/F19</f>
        <v>1.6987890490925073</v>
      </c>
      <c r="G21" s="221">
        <f t="shared" si="56"/>
        <v>1.2003873441116255</v>
      </c>
      <c r="H21" s="221">
        <f t="shared" si="56"/>
        <v>1.2092812348862281</v>
      </c>
      <c r="I21" s="221">
        <f t="shared" si="56"/>
        <v>1.0177247412843833</v>
      </c>
      <c r="J21" s="221">
        <f t="shared" si="56"/>
        <v>1.090688235090107</v>
      </c>
      <c r="K21" s="221">
        <f t="shared" si="56"/>
        <v>0.78498958062399204</v>
      </c>
      <c r="L21" s="221">
        <f t="shared" si="56"/>
        <v>0.78431411125039507</v>
      </c>
      <c r="M21" s="221">
        <f t="shared" si="56"/>
        <v>1.4020598995729041</v>
      </c>
      <c r="N21" s="221">
        <f t="shared" si="56"/>
        <v>1.7582000896745262</v>
      </c>
      <c r="O21" s="221">
        <f t="shared" si="56"/>
        <v>1.6929116055619566</v>
      </c>
      <c r="P21" s="221">
        <f t="shared" si="56"/>
        <v>1.5234911656813741</v>
      </c>
      <c r="Q21" s="221">
        <f t="shared" si="56"/>
        <v>1.4928068659474727</v>
      </c>
      <c r="R21" s="221">
        <f t="shared" si="56"/>
        <v>1.6362934310524682</v>
      </c>
      <c r="S21" s="221">
        <f t="shared" si="56"/>
        <v>1.2722064421655157</v>
      </c>
      <c r="T21" s="221">
        <f t="shared" si="56"/>
        <v>0.96031317313755371</v>
      </c>
      <c r="U21" s="221">
        <f t="shared" si="56"/>
        <v>0.9481547636775336</v>
      </c>
      <c r="V21" s="221">
        <f t="shared" si="56"/>
        <v>0.86435930405818195</v>
      </c>
      <c r="W21" s="221">
        <f t="shared" si="56"/>
        <v>0.73115572974470888</v>
      </c>
      <c r="X21" s="221">
        <f t="shared" si="56"/>
        <v>0.59977750135463959</v>
      </c>
      <c r="Y21" s="221">
        <f t="shared" si="56"/>
        <v>0.43930085732417168</v>
      </c>
      <c r="Z21" s="221">
        <f t="shared" si="56"/>
        <v>0.43581416501326009</v>
      </c>
      <c r="AA21" s="221">
        <f t="shared" si="56"/>
        <v>0.35138582588521494</v>
      </c>
      <c r="AB21" s="221">
        <f t="shared" si="56"/>
        <v>0.32228696045034688</v>
      </c>
      <c r="AC21" s="221">
        <f t="shared" si="56"/>
        <v>0.33042474604701405</v>
      </c>
      <c r="AD21" s="221">
        <f t="shared" si="56"/>
        <v>0.37973625700956037</v>
      </c>
      <c r="AE21" s="221">
        <f t="shared" si="56"/>
        <v>0.34535546942592776</v>
      </c>
      <c r="AF21" s="221">
        <f t="shared" si="56"/>
        <v>0.48787135352787298</v>
      </c>
      <c r="AG21" s="221">
        <f t="shared" si="56"/>
        <v>0.38759209502007402</v>
      </c>
      <c r="AH21" s="221">
        <f t="shared" si="56"/>
        <v>0.38698164803475582</v>
      </c>
      <c r="AI21" s="221">
        <f t="shared" si="56"/>
        <v>0.34344030402596881</v>
      </c>
      <c r="AJ21" s="221">
        <f t="shared" si="56"/>
        <v>0.4303344492373507</v>
      </c>
      <c r="AK21" s="221">
        <f t="shared" si="56"/>
        <v>0.4453833314266728</v>
      </c>
      <c r="AL21" s="221">
        <f t="shared" si="56"/>
        <v>1.6724714825692375</v>
      </c>
      <c r="AM21" s="221">
        <f t="shared" si="56"/>
        <v>2.9138730022306301</v>
      </c>
      <c r="AN21" s="221">
        <f t="shared" si="56"/>
        <v>3.8042997249641961</v>
      </c>
      <c r="AO21" s="221">
        <f t="shared" si="56"/>
        <v>1.1485709087407829</v>
      </c>
      <c r="AP21" s="221">
        <f t="shared" si="56"/>
        <v>1.1471530342152492</v>
      </c>
      <c r="AQ21" s="221">
        <f t="shared" si="56"/>
        <v>1.195278272884378</v>
      </c>
      <c r="AR21" s="221">
        <f t="shared" si="56"/>
        <v>1.4692697440294467</v>
      </c>
      <c r="AS21" s="221" t="e">
        <f t="shared" si="56"/>
        <v>#DIV/0!</v>
      </c>
    </row>
    <row r="22" spans="1:74" s="193" customFormat="1" x14ac:dyDescent="0.25">
      <c r="A22" s="193" t="s">
        <v>301</v>
      </c>
      <c r="E22" s="193">
        <f>I35</f>
        <v>4573239076.5699997</v>
      </c>
      <c r="F22" s="193">
        <f t="shared" ref="F22:Y22" si="57">J35</f>
        <v>6743951421.7600002</v>
      </c>
      <c r="G22" s="193">
        <f t="shared" si="57"/>
        <v>5667802705.1700001</v>
      </c>
      <c r="H22" s="193">
        <f t="shared" si="57"/>
        <v>4596732298.46</v>
      </c>
      <c r="I22" s="193">
        <f t="shared" si="57"/>
        <v>6896067105.3000002</v>
      </c>
      <c r="J22" s="193">
        <f t="shared" si="57"/>
        <v>8483952859.4800005</v>
      </c>
      <c r="K22" s="193">
        <f t="shared" si="57"/>
        <v>7728804972.1000004</v>
      </c>
      <c r="L22" s="193">
        <f t="shared" si="57"/>
        <v>8120039116.8700008</v>
      </c>
      <c r="M22" s="193">
        <f t="shared" si="57"/>
        <v>8371334649.4700003</v>
      </c>
      <c r="N22" s="193">
        <f t="shared" si="57"/>
        <v>9883748405.7099991</v>
      </c>
      <c r="O22" s="193">
        <f t="shared" si="57"/>
        <v>6978079177.3599997</v>
      </c>
      <c r="P22" s="193">
        <f t="shared" si="57"/>
        <v>6186588200.4100008</v>
      </c>
      <c r="Q22" s="193">
        <f t="shared" si="57"/>
        <v>4361597314.0099993</v>
      </c>
      <c r="R22" s="193">
        <f t="shared" si="57"/>
        <v>3988093809.9499998</v>
      </c>
      <c r="S22" s="193">
        <f t="shared" si="57"/>
        <v>4149397566.0800004</v>
      </c>
      <c r="T22" s="193">
        <f t="shared" si="57"/>
        <v>6237626666.8900003</v>
      </c>
      <c r="U22" s="193">
        <f t="shared" si="57"/>
        <v>6512343440.25</v>
      </c>
      <c r="V22" s="193">
        <f t="shared" si="57"/>
        <v>3557985013.3299999</v>
      </c>
      <c r="W22" s="193">
        <f t="shared" si="57"/>
        <v>5890010754.5199995</v>
      </c>
      <c r="X22" s="193">
        <f t="shared" si="57"/>
        <v>3683002385.1200004</v>
      </c>
      <c r="Y22" s="193">
        <f t="shared" si="57"/>
        <v>5323509573.3999996</v>
      </c>
      <c r="Z22" s="193">
        <f t="shared" ref="Z22" si="58">AD35</f>
        <v>2242543490.9400001</v>
      </c>
      <c r="AA22" s="193">
        <f t="shared" ref="AA22" si="59">AE35</f>
        <v>2603862648.5099998</v>
      </c>
      <c r="AB22" s="193">
        <f t="shared" ref="AB22" si="60">AF35</f>
        <v>3726835303.1499996</v>
      </c>
      <c r="AC22" s="193">
        <f t="shared" ref="AC22" si="61">AG35</f>
        <v>1212455676.4200001</v>
      </c>
      <c r="AD22" s="193">
        <f t="shared" ref="AD22" si="62">AH35</f>
        <v>1109231346.3900001</v>
      </c>
      <c r="AE22" s="193">
        <f t="shared" ref="AE22" si="63">AI35</f>
        <v>1101361634.1100001</v>
      </c>
      <c r="AF22" s="193">
        <f t="shared" ref="AF22" si="64">AJ35</f>
        <v>957242462.39999998</v>
      </c>
      <c r="AG22" s="193">
        <f t="shared" ref="AG22" si="65">AK35</f>
        <v>2138875865.2800002</v>
      </c>
      <c r="AH22" s="193">
        <f t="shared" ref="AH22" si="66">AL35</f>
        <v>887126538.64999998</v>
      </c>
      <c r="AI22" s="193">
        <f t="shared" ref="AI22" si="67">AM35</f>
        <v>1076180312.8500001</v>
      </c>
      <c r="AJ22" s="193">
        <f t="shared" ref="AJ22" si="68">AN35</f>
        <v>1482013824.46</v>
      </c>
      <c r="AK22" s="193">
        <f t="shared" ref="AK22" si="69">AO35</f>
        <v>1113613886.3700001</v>
      </c>
      <c r="AL22" s="193">
        <f t="shared" ref="AL22" si="70">AP35</f>
        <v>1218504026.6399999</v>
      </c>
      <c r="AM22" s="193">
        <f t="shared" ref="AM22" si="71">AQ35</f>
        <v>1119380773.7</v>
      </c>
      <c r="AN22" s="193">
        <f t="shared" ref="AN22" si="72">AR35</f>
        <v>1326216524.79</v>
      </c>
      <c r="AO22" s="193">
        <f t="shared" ref="AO22" si="73">AS35</f>
        <v>1450820925.3099999</v>
      </c>
      <c r="AP22" s="193">
        <f t="shared" ref="AP22" si="74">AT35</f>
        <v>1395491602.97</v>
      </c>
      <c r="AQ22" s="193">
        <f t="shared" ref="AQ22" si="75">AU35</f>
        <v>666935193.74000001</v>
      </c>
      <c r="AR22" s="193">
        <f t="shared" ref="AR22" si="76">AV35</f>
        <v>859682813.21000004</v>
      </c>
      <c r="AS22" s="193">
        <f t="shared" ref="AS22" si="77">AW35</f>
        <v>570948275.58999991</v>
      </c>
    </row>
    <row r="23" spans="1:74" s="193" customFormat="1" x14ac:dyDescent="0.25">
      <c r="A23" s="193" t="s">
        <v>302</v>
      </c>
      <c r="E23" s="193">
        <f>E20+E22-E19</f>
        <v>11058983165.819998</v>
      </c>
      <c r="F23" s="193">
        <f t="shared" ref="F23:AS23" si="78">F20+F22-F19</f>
        <v>12466292186.240002</v>
      </c>
      <c r="G23" s="193">
        <f t="shared" si="78"/>
        <v>6827032726.2400007</v>
      </c>
      <c r="H23" s="193">
        <f t="shared" si="78"/>
        <v>5206885342.9499989</v>
      </c>
      <c r="I23" s="193">
        <f t="shared" si="78"/>
        <v>7228130812.5699959</v>
      </c>
      <c r="J23" s="193">
        <f t="shared" si="78"/>
        <v>9655159268.6800003</v>
      </c>
      <c r="K23" s="193">
        <f t="shared" si="78"/>
        <v>5612516195.7299995</v>
      </c>
      <c r="L23" s="193">
        <f t="shared" si="78"/>
        <v>7073751134.9900007</v>
      </c>
      <c r="M23" s="193">
        <f t="shared" si="78"/>
        <v>14937297853.000002</v>
      </c>
      <c r="N23" s="193">
        <f t="shared" si="78"/>
        <v>17111551666.82</v>
      </c>
      <c r="O23" s="193">
        <f t="shared" si="78"/>
        <v>10952043979.950001</v>
      </c>
      <c r="P23" s="193">
        <f t="shared" si="78"/>
        <v>7853030241.3500004</v>
      </c>
      <c r="Q23" s="193">
        <f t="shared" si="78"/>
        <v>11432452341.489998</v>
      </c>
      <c r="R23" s="193">
        <f t="shared" si="78"/>
        <v>10049744560.749998</v>
      </c>
      <c r="S23" s="193">
        <f t="shared" si="78"/>
        <v>5793792309.2200003</v>
      </c>
      <c r="T23" s="193">
        <f t="shared" si="78"/>
        <v>6084771595.420001</v>
      </c>
      <c r="U23" s="193">
        <f t="shared" si="78"/>
        <v>5681335828.3100014</v>
      </c>
      <c r="V23" s="193">
        <f t="shared" si="78"/>
        <v>1905242613.6100006</v>
      </c>
      <c r="W23" s="193">
        <f t="shared" si="78"/>
        <v>3677985291.0999994</v>
      </c>
      <c r="X23" s="193">
        <f t="shared" si="78"/>
        <v>1732700828.6400003</v>
      </c>
      <c r="Y23" s="193">
        <f t="shared" si="78"/>
        <v>-5661193231.2200012</v>
      </c>
      <c r="Z23" s="193">
        <f t="shared" si="78"/>
        <v>-6112801848.460001</v>
      </c>
      <c r="AA23" s="193">
        <f t="shared" si="78"/>
        <v>-3670337620.9300013</v>
      </c>
      <c r="AB23" s="193">
        <f t="shared" si="78"/>
        <v>314415170.86999989</v>
      </c>
      <c r="AC23" s="193">
        <f t="shared" si="78"/>
        <v>-9682691775.6699982</v>
      </c>
      <c r="AD23" s="193">
        <f t="shared" si="78"/>
        <v>-6195986436.579999</v>
      </c>
      <c r="AE23" s="193">
        <f t="shared" si="78"/>
        <v>-4114074351.0599999</v>
      </c>
      <c r="AF23" s="193">
        <f t="shared" si="78"/>
        <v>-980846503.86000013</v>
      </c>
      <c r="AG23" s="193">
        <f t="shared" si="78"/>
        <v>-5832830257.7700005</v>
      </c>
      <c r="AH23" s="193">
        <f t="shared" si="78"/>
        <v>-4732000809.2000008</v>
      </c>
      <c r="AI23" s="193">
        <f t="shared" si="78"/>
        <v>-2809789499.7200003</v>
      </c>
      <c r="AJ23" s="193">
        <f t="shared" si="78"/>
        <v>-320851752.67000008</v>
      </c>
      <c r="AK23" s="193">
        <f t="shared" si="78"/>
        <v>-5168146984.3199987</v>
      </c>
      <c r="AL23" s="193">
        <f t="shared" si="78"/>
        <v>1832706183.3299999</v>
      </c>
      <c r="AM23" s="193">
        <f t="shared" si="78"/>
        <v>1883675224.8299999</v>
      </c>
      <c r="AN23" s="193">
        <f t="shared" si="78"/>
        <v>1754080508.4400001</v>
      </c>
      <c r="AO23" s="193">
        <f t="shared" si="78"/>
        <v>1666948794.9799995</v>
      </c>
      <c r="AP23" s="193">
        <f t="shared" si="78"/>
        <v>1545878112.7600002</v>
      </c>
      <c r="AQ23" s="193">
        <f t="shared" si="78"/>
        <v>805206865.43999994</v>
      </c>
      <c r="AR23" s="193">
        <f t="shared" si="78"/>
        <v>996421311.68000007</v>
      </c>
      <c r="AS23" s="193">
        <f t="shared" si="78"/>
        <v>2995217070.3800001</v>
      </c>
    </row>
    <row r="24" spans="1:74" s="221" customFormat="1" x14ac:dyDescent="0.25">
      <c r="A24" s="221" t="s">
        <v>303</v>
      </c>
      <c r="B24" s="190">
        <v>828215384.42999995</v>
      </c>
      <c r="C24" s="190">
        <v>2714403518.2399998</v>
      </c>
      <c r="D24" s="190">
        <v>1498903133.3599999</v>
      </c>
      <c r="E24" s="190">
        <v>-6138317671.4799995</v>
      </c>
      <c r="F24" s="190">
        <v>-3825476374.7800002</v>
      </c>
      <c r="G24" s="190">
        <v>-905524857.08000004</v>
      </c>
      <c r="H24" s="190">
        <v>-1227853618.6700001</v>
      </c>
      <c r="I24" s="190">
        <v>2441782667.9699998</v>
      </c>
      <c r="J24" s="190">
        <v>2381222562.6799998</v>
      </c>
      <c r="K24" s="190">
        <v>3490759904.6500001</v>
      </c>
      <c r="L24" s="190">
        <v>920882911.17999995</v>
      </c>
      <c r="M24" s="190">
        <v>-8456653304.0799999</v>
      </c>
      <c r="N24" s="190">
        <v>-7566325101.2600002</v>
      </c>
      <c r="O24" s="190">
        <v>-4917910712.5799999</v>
      </c>
      <c r="P24" s="190">
        <v>-1813878705.72</v>
      </c>
      <c r="Q24" s="190">
        <v>-4413618357.6899996</v>
      </c>
      <c r="R24" s="190">
        <v>-1330247171.1199999</v>
      </c>
      <c r="S24" s="190">
        <v>795683963</v>
      </c>
      <c r="T24" s="190">
        <v>1951854607.0599999</v>
      </c>
      <c r="U24" s="190">
        <v>-502750418.23000002</v>
      </c>
      <c r="V24" s="190">
        <v>-40099426.409999996</v>
      </c>
      <c r="W24" s="190">
        <v>567016468.35000002</v>
      </c>
      <c r="X24" s="190">
        <v>2508626030.52</v>
      </c>
      <c r="Y24" s="190">
        <v>12592605657.59</v>
      </c>
      <c r="Z24" s="190">
        <v>7014461552.7299995</v>
      </c>
      <c r="AA24" s="190">
        <v>6819485074.0299997</v>
      </c>
      <c r="AB24" s="190">
        <v>1936570591.5899999</v>
      </c>
      <c r="AC24" s="190">
        <v>14762472013.59</v>
      </c>
      <c r="AD24" s="190">
        <v>8617889904.5900002</v>
      </c>
      <c r="AE24" s="190">
        <v>6867665488.0100002</v>
      </c>
      <c r="AF24" s="190">
        <v>4699235678.9700003</v>
      </c>
      <c r="AG24" s="190">
        <v>7279814589.2299995</v>
      </c>
      <c r="AH24" s="190">
        <v>5199083640.29</v>
      </c>
      <c r="AI24" s="190">
        <v>3389384332.2600002</v>
      </c>
      <c r="AJ24" s="190">
        <v>1217583659.25</v>
      </c>
      <c r="AK24" s="190">
        <v>6064388541.9499998</v>
      </c>
      <c r="AL24" s="190">
        <v>-842186708.11000001</v>
      </c>
      <c r="AM24" s="190">
        <v>-822859627.90999997</v>
      </c>
      <c r="AN24" s="190">
        <v>-57024628.990000002</v>
      </c>
      <c r="AO24" s="190">
        <v>-233686534.59999999</v>
      </c>
      <c r="AP24" s="190">
        <v>-160258353.46000001</v>
      </c>
      <c r="AQ24" s="190">
        <v>-198253287.53999999</v>
      </c>
      <c r="AR24" s="190">
        <v>-98507329.670000002</v>
      </c>
      <c r="AS24" s="190">
        <v>-12398232.1</v>
      </c>
      <c r="AT24" s="190">
        <v>35235744.590000004</v>
      </c>
      <c r="AU24" s="190">
        <v>-512632143.01999998</v>
      </c>
      <c r="AV24" s="190">
        <v>109281751.16</v>
      </c>
      <c r="AW24" s="190">
        <v>1554866216.71</v>
      </c>
      <c r="AX24" s="190">
        <v>1212786132.5599999</v>
      </c>
      <c r="AY24" s="190">
        <v>-117205787.36</v>
      </c>
      <c r="AZ24" s="190">
        <v>14171890.35</v>
      </c>
      <c r="BA24" s="190">
        <v>-867967037.39999998</v>
      </c>
      <c r="BB24" s="190">
        <v>-576993612.60000002</v>
      </c>
      <c r="BC24" s="190">
        <v>-474584294.39999998</v>
      </c>
      <c r="BD24" s="190">
        <v>-60001889.039999999</v>
      </c>
      <c r="BE24" s="190">
        <v>122104521.23</v>
      </c>
      <c r="BF24" s="190">
        <v>116500727.08</v>
      </c>
      <c r="BG24" s="190">
        <v>336093454.74000001</v>
      </c>
      <c r="BH24" s="190">
        <v>199707184.69</v>
      </c>
      <c r="BI24" s="190">
        <v>-494902962.01999998</v>
      </c>
      <c r="BJ24" s="190">
        <v>-618910994.86000001</v>
      </c>
      <c r="BK24" s="190">
        <v>-403697094.00999999</v>
      </c>
      <c r="BL24" s="190">
        <v>-65032610.670000002</v>
      </c>
      <c r="BM24" s="190">
        <v>-128909541.89</v>
      </c>
      <c r="BN24" s="190">
        <v>0</v>
      </c>
      <c r="BO24" s="190">
        <v>-77180750</v>
      </c>
      <c r="BP24" s="190">
        <v>-64873262.5</v>
      </c>
      <c r="BQ24" s="190">
        <v>-94695265</v>
      </c>
      <c r="BR24" s="190">
        <v>-63596566.630000003</v>
      </c>
      <c r="BS24" s="190">
        <v>19106492.870000001</v>
      </c>
      <c r="BT24" s="190">
        <v>197023668.81999999</v>
      </c>
      <c r="BU24" s="190">
        <v>0</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4760</v>
      </c>
      <c r="F26" s="26">
        <f>现金流量表!F15</f>
        <v>23250403.379999999</v>
      </c>
      <c r="G26" s="26">
        <f>现金流量表!G15</f>
        <v>18908873.379999999</v>
      </c>
      <c r="H26" s="26">
        <f>现金流量表!H15</f>
        <v>10346541.119999999</v>
      </c>
      <c r="I26" s="26">
        <f>现金流量表!I15</f>
        <v>13200000</v>
      </c>
      <c r="J26" s="26">
        <f>现金流量表!J15</f>
        <v>43952260.549999997</v>
      </c>
      <c r="K26" s="26">
        <f>现金流量表!K15</f>
        <v>0</v>
      </c>
      <c r="L26" s="26">
        <f>现金流量表!L15</f>
        <v>0</v>
      </c>
      <c r="M26" s="26">
        <f>现金流量表!M15</f>
        <v>0</v>
      </c>
      <c r="N26" s="26">
        <f>现金流量表!N15</f>
        <v>0</v>
      </c>
      <c r="O26" s="26">
        <f>现金流量表!O15</f>
        <v>0</v>
      </c>
      <c r="P26" s="26">
        <f>现金流量表!P15</f>
        <v>0</v>
      </c>
      <c r="Q26" s="26">
        <f>现金流量表!Q15</f>
        <v>316200000</v>
      </c>
      <c r="R26" s="26">
        <f>现金流量表!R15</f>
        <v>341200000</v>
      </c>
      <c r="S26" s="26">
        <f>现金流量表!S15</f>
        <v>116320000</v>
      </c>
      <c r="T26" s="26">
        <f>现金流量表!T15</f>
        <v>56200000</v>
      </c>
      <c r="U26" s="26">
        <f>现金流量表!U15</f>
        <v>5300000</v>
      </c>
      <c r="V26" s="26">
        <f>现金流量表!V15</f>
        <v>5674518.8799999999</v>
      </c>
      <c r="W26" s="26">
        <f>现金流量表!W15</f>
        <v>5674518.8799999999</v>
      </c>
      <c r="X26" s="26">
        <f>现金流量表!X15</f>
        <v>0</v>
      </c>
      <c r="Y26" s="26">
        <f>现金流量表!Y15</f>
        <v>11000000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225000</v>
      </c>
      <c r="AH26" s="26">
        <f>现金流量表!AH15</f>
        <v>42000000</v>
      </c>
      <c r="AI26" s="26">
        <f>现金流量表!AI15</f>
        <v>0</v>
      </c>
      <c r="AJ26" s="26">
        <f>现金流量表!AJ15</f>
        <v>0</v>
      </c>
      <c r="AK26" s="26">
        <f>现金流量表!AK15</f>
        <v>408326967.86000001</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4402580</v>
      </c>
      <c r="BP26" s="26">
        <f>现金流量表!BP15</f>
        <v>0</v>
      </c>
      <c r="BQ26" s="26">
        <f>现金流量表!BQ15</f>
        <v>10243825.08</v>
      </c>
      <c r="BR26" s="26">
        <f>现金流量表!BR15</f>
        <v>12699685.51</v>
      </c>
      <c r="BS26" s="26">
        <f>现金流量表!BS15</f>
        <v>559650</v>
      </c>
      <c r="BT26" s="26">
        <f>现金流量表!BT15</f>
        <v>0</v>
      </c>
      <c r="BU26" s="26">
        <f>现金流量表!BU15</f>
        <v>0</v>
      </c>
      <c r="BV26" s="26">
        <f>现金流量表!BV15</f>
        <v>0</v>
      </c>
    </row>
    <row r="27" spans="1:74" s="26" customFormat="1" x14ac:dyDescent="0.25">
      <c r="A27" s="17" t="s">
        <v>631</v>
      </c>
      <c r="E27" s="26">
        <f>现金流量表!E22</f>
        <v>8.6999999999999993</v>
      </c>
      <c r="F27" s="26">
        <f>现金流量表!F22</f>
        <v>0</v>
      </c>
      <c r="G27" s="26">
        <f>现金流量表!G22</f>
        <v>0</v>
      </c>
      <c r="H27" s="26">
        <f>现金流量表!H22</f>
        <v>0</v>
      </c>
      <c r="I27" s="26">
        <f>现金流量表!I22</f>
        <v>5001074471.3299999</v>
      </c>
      <c r="J27" s="26">
        <f>现金流量表!J22</f>
        <v>3959446925.9099998</v>
      </c>
      <c r="K27" s="26">
        <f>现金流量表!K22</f>
        <v>3268245747.5700002</v>
      </c>
      <c r="L27" s="26">
        <f>现金流量表!L22</f>
        <v>2158240000</v>
      </c>
      <c r="M27" s="26">
        <f>现金流量表!M22</f>
        <v>110778300</v>
      </c>
      <c r="N27" s="26">
        <f>现金流量表!N22</f>
        <v>110778300</v>
      </c>
      <c r="O27" s="26">
        <f>现金流量表!O22</f>
        <v>110778300</v>
      </c>
      <c r="P27" s="26">
        <f>现金流量表!P22</f>
        <v>100778300</v>
      </c>
      <c r="Q27" s="26">
        <f>现金流量表!Q22</f>
        <v>4298526.18</v>
      </c>
      <c r="R27" s="26">
        <f>现金流量表!R22</f>
        <v>203951526.18000001</v>
      </c>
      <c r="S27" s="26">
        <f>现金流量表!S22</f>
        <v>204298526.18000001</v>
      </c>
      <c r="T27" s="26">
        <f>现金流量表!T22</f>
        <v>0</v>
      </c>
      <c r="U27" s="26">
        <f>现金流量表!U22</f>
        <v>1059864430.03</v>
      </c>
      <c r="V27" s="26">
        <f>现金流量表!V22</f>
        <v>1059864430.03</v>
      </c>
      <c r="W27" s="26">
        <f>现金流量表!W22</f>
        <v>786767638.88</v>
      </c>
      <c r="X27" s="26">
        <f>现金流量表!X22</f>
        <v>731753400</v>
      </c>
      <c r="Y27" s="26">
        <f>现金流量表!Y22</f>
        <v>660564400</v>
      </c>
      <c r="Z27" s="26">
        <f>现金流量表!Z22</f>
        <v>660564400</v>
      </c>
      <c r="AA27" s="26">
        <f>现金流量表!AA22</f>
        <v>32500000</v>
      </c>
      <c r="AB27" s="26">
        <f>现金流量表!AB22</f>
        <v>32500000</v>
      </c>
      <c r="AC27" s="26">
        <f>现金流量表!AC22</f>
        <v>149162400</v>
      </c>
      <c r="AD27" s="26">
        <f>现金流量表!AD22</f>
        <v>149162400</v>
      </c>
      <c r="AE27" s="26">
        <f>现金流量表!AE22</f>
        <v>175162400</v>
      </c>
      <c r="AF27" s="26">
        <f>现金流量表!AF22</f>
        <v>149162400</v>
      </c>
      <c r="AG27" s="26">
        <f>现金流量表!AG22</f>
        <v>761198142.20000005</v>
      </c>
      <c r="AH27" s="26">
        <f>现金流量表!AH22</f>
        <v>761198142.20000005</v>
      </c>
      <c r="AI27" s="26">
        <f>现金流量表!AI22</f>
        <v>600119250</v>
      </c>
      <c r="AJ27" s="26">
        <f>现金流量表!AJ22</f>
        <v>600105000</v>
      </c>
      <c r="AK27" s="26">
        <f>现金流量表!AK22</f>
        <v>622187889.19000006</v>
      </c>
      <c r="AL27" s="26">
        <f>现金流量表!AL22</f>
        <v>105000000</v>
      </c>
      <c r="AM27" s="26">
        <f>现金流量表!AM22</f>
        <v>84000000</v>
      </c>
      <c r="AN27" s="26">
        <f>现金流量表!AN22</f>
        <v>0</v>
      </c>
      <c r="AO27" s="26">
        <f>现金流量表!AO22</f>
        <v>392815867</v>
      </c>
      <c r="AP27" s="26">
        <f>现金流量表!AP22</f>
        <v>273984000</v>
      </c>
      <c r="AQ27" s="26">
        <f>现金流量表!AQ22</f>
        <v>273984000</v>
      </c>
      <c r="AR27" s="26">
        <f>现金流量表!AR22</f>
        <v>163734000</v>
      </c>
      <c r="AS27" s="26">
        <f>现金流量表!AS22</f>
        <v>630645110.37</v>
      </c>
      <c r="AT27" s="26">
        <f>现金流量表!AT22</f>
        <v>639474325.37</v>
      </c>
      <c r="AU27" s="26">
        <f>现金流量表!AU22</f>
        <v>507673030.33999997</v>
      </c>
      <c r="AV27" s="26">
        <f>现金流量表!AV22</f>
        <v>260573030.34</v>
      </c>
      <c r="AW27" s="26">
        <f>现金流量表!AW22</f>
        <v>1980460000</v>
      </c>
      <c r="AX27" s="26">
        <f>现金流量表!AX22</f>
        <v>1440460000</v>
      </c>
      <c r="AY27" s="26">
        <f>现金流量表!AY22</f>
        <v>0</v>
      </c>
      <c r="AZ27" s="26">
        <f>现金流量表!AZ22</f>
        <v>0</v>
      </c>
      <c r="BA27" s="26">
        <f>现金流量表!BA22</f>
        <v>0</v>
      </c>
      <c r="BB27" s="26">
        <f>现金流量表!BB22</f>
        <v>12500000</v>
      </c>
      <c r="BC27" s="26">
        <f>现金流量表!BC22</f>
        <v>0</v>
      </c>
      <c r="BD27" s="26">
        <f>现金流量表!BD22</f>
        <v>0</v>
      </c>
      <c r="BE27" s="26">
        <f>现金流量表!BE22</f>
        <v>460799500</v>
      </c>
      <c r="BF27" s="26">
        <f>现金流量表!BF22</f>
        <v>274700000</v>
      </c>
      <c r="BG27" s="26">
        <f>现金流量表!BG22</f>
        <v>274700000</v>
      </c>
      <c r="BH27" s="26">
        <f>现金流量表!BH22</f>
        <v>193700000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27800000</v>
      </c>
      <c r="BT27" s="26">
        <f>现金流量表!BT22</f>
        <v>16000000</v>
      </c>
      <c r="BU27" s="26">
        <f>现金流量表!BU22</f>
        <v>0</v>
      </c>
      <c r="BV27" s="26">
        <f>现金流量表!BV22</f>
        <v>0</v>
      </c>
    </row>
    <row r="28" spans="1:74" s="26" customFormat="1" x14ac:dyDescent="0.25">
      <c r="A28" s="17" t="s">
        <v>632</v>
      </c>
      <c r="E28" s="26">
        <f>E27-E26</f>
        <v>-4751.3</v>
      </c>
      <c r="F28" s="26">
        <f t="shared" ref="F28:BQ28" si="79">F27-F26</f>
        <v>-23250403.379999999</v>
      </c>
      <c r="G28" s="26">
        <f t="shared" si="79"/>
        <v>-18908873.379999999</v>
      </c>
      <c r="H28" s="26">
        <f t="shared" si="79"/>
        <v>-10346541.119999999</v>
      </c>
      <c r="I28" s="26">
        <f t="shared" si="79"/>
        <v>4987874471.3299999</v>
      </c>
      <c r="J28" s="26">
        <f t="shared" si="79"/>
        <v>3915494665.3599997</v>
      </c>
      <c r="K28" s="26">
        <f t="shared" si="79"/>
        <v>3268245747.5700002</v>
      </c>
      <c r="L28" s="26">
        <f t="shared" si="79"/>
        <v>2158240000</v>
      </c>
      <c r="M28" s="26">
        <f t="shared" si="79"/>
        <v>110778300</v>
      </c>
      <c r="N28" s="26">
        <f t="shared" si="79"/>
        <v>110778300</v>
      </c>
      <c r="O28" s="26">
        <f t="shared" si="79"/>
        <v>110778300</v>
      </c>
      <c r="P28" s="26">
        <f t="shared" si="79"/>
        <v>100778300</v>
      </c>
      <c r="Q28" s="26">
        <f t="shared" si="79"/>
        <v>-311901473.81999999</v>
      </c>
      <c r="R28" s="26">
        <f t="shared" si="79"/>
        <v>-137248473.81999999</v>
      </c>
      <c r="S28" s="26">
        <f t="shared" si="79"/>
        <v>87978526.180000007</v>
      </c>
      <c r="T28" s="26">
        <f t="shared" si="79"/>
        <v>-56200000</v>
      </c>
      <c r="U28" s="26">
        <f t="shared" si="79"/>
        <v>1054564430.03</v>
      </c>
      <c r="V28" s="26">
        <f t="shared" si="79"/>
        <v>1054189911.15</v>
      </c>
      <c r="W28" s="26">
        <f t="shared" si="79"/>
        <v>781093120</v>
      </c>
      <c r="X28" s="26">
        <f t="shared" si="79"/>
        <v>731753400</v>
      </c>
      <c r="Y28" s="26">
        <f t="shared" si="79"/>
        <v>649564400</v>
      </c>
      <c r="Z28" s="26">
        <f t="shared" si="79"/>
        <v>660564400</v>
      </c>
      <c r="AA28" s="26">
        <f t="shared" si="79"/>
        <v>32500000</v>
      </c>
      <c r="AB28" s="26">
        <f t="shared" si="79"/>
        <v>32500000</v>
      </c>
      <c r="AC28" s="26">
        <f t="shared" si="79"/>
        <v>149162400</v>
      </c>
      <c r="AD28" s="26">
        <f t="shared" si="79"/>
        <v>149162400</v>
      </c>
      <c r="AE28" s="26">
        <f t="shared" si="79"/>
        <v>175162400</v>
      </c>
      <c r="AF28" s="26">
        <f t="shared" si="79"/>
        <v>149162400</v>
      </c>
      <c r="AG28" s="26">
        <f t="shared" si="79"/>
        <v>760973142.20000005</v>
      </c>
      <c r="AH28" s="26">
        <f t="shared" si="79"/>
        <v>719198142.20000005</v>
      </c>
      <c r="AI28" s="26">
        <f t="shared" si="79"/>
        <v>600119250</v>
      </c>
      <c r="AJ28" s="26">
        <f t="shared" si="79"/>
        <v>600105000</v>
      </c>
      <c r="AK28" s="26">
        <f t="shared" si="79"/>
        <v>213860921.33000004</v>
      </c>
      <c r="AL28" s="26">
        <f t="shared" si="79"/>
        <v>105000000</v>
      </c>
      <c r="AM28" s="26">
        <f t="shared" si="79"/>
        <v>84000000</v>
      </c>
      <c r="AN28" s="26">
        <f t="shared" si="79"/>
        <v>0</v>
      </c>
      <c r="AO28" s="26">
        <f t="shared" si="79"/>
        <v>392815867</v>
      </c>
      <c r="AP28" s="26">
        <f t="shared" si="79"/>
        <v>273984000</v>
      </c>
      <c r="AQ28" s="26">
        <f t="shared" si="79"/>
        <v>273984000</v>
      </c>
      <c r="AR28" s="26">
        <f t="shared" si="79"/>
        <v>163734000</v>
      </c>
      <c r="AS28" s="26">
        <f t="shared" si="79"/>
        <v>630645110.37</v>
      </c>
      <c r="AT28" s="26">
        <f t="shared" si="79"/>
        <v>639474325.37</v>
      </c>
      <c r="AU28" s="26">
        <f t="shared" si="79"/>
        <v>507673030.33999997</v>
      </c>
      <c r="AV28" s="26">
        <f t="shared" si="79"/>
        <v>260573030.34</v>
      </c>
      <c r="AW28" s="26">
        <f t="shared" si="79"/>
        <v>1980460000</v>
      </c>
      <c r="AX28" s="26">
        <f t="shared" si="79"/>
        <v>1440460000</v>
      </c>
      <c r="AY28" s="26">
        <f t="shared" si="79"/>
        <v>0</v>
      </c>
      <c r="AZ28" s="26">
        <f t="shared" si="79"/>
        <v>0</v>
      </c>
      <c r="BA28" s="26">
        <f t="shared" si="79"/>
        <v>0</v>
      </c>
      <c r="BB28" s="26">
        <f t="shared" si="79"/>
        <v>12500000</v>
      </c>
      <c r="BC28" s="26">
        <f t="shared" si="79"/>
        <v>0</v>
      </c>
      <c r="BD28" s="26">
        <f t="shared" si="79"/>
        <v>0</v>
      </c>
      <c r="BE28" s="26">
        <f t="shared" si="79"/>
        <v>460799500</v>
      </c>
      <c r="BF28" s="26">
        <f t="shared" si="79"/>
        <v>274700000</v>
      </c>
      <c r="BG28" s="26">
        <f t="shared" si="79"/>
        <v>274700000</v>
      </c>
      <c r="BH28" s="26">
        <f t="shared" si="79"/>
        <v>193700000</v>
      </c>
      <c r="BI28" s="26">
        <f t="shared" si="79"/>
        <v>0</v>
      </c>
      <c r="BJ28" s="26">
        <f t="shared" si="79"/>
        <v>0</v>
      </c>
      <c r="BK28" s="26">
        <f t="shared" si="79"/>
        <v>0</v>
      </c>
      <c r="BL28" s="26">
        <f t="shared" si="79"/>
        <v>0</v>
      </c>
      <c r="BM28" s="26">
        <f t="shared" si="79"/>
        <v>0</v>
      </c>
      <c r="BN28" s="26">
        <f t="shared" si="79"/>
        <v>0</v>
      </c>
      <c r="BO28" s="26">
        <f t="shared" si="79"/>
        <v>-4402580</v>
      </c>
      <c r="BP28" s="26">
        <f t="shared" si="79"/>
        <v>0</v>
      </c>
      <c r="BQ28" s="26">
        <f t="shared" si="79"/>
        <v>-10243825.08</v>
      </c>
      <c r="BR28" s="26">
        <f t="shared" ref="BR28:BV28" si="80">BR27-BR26</f>
        <v>-12699685.51</v>
      </c>
      <c r="BS28" s="26">
        <f t="shared" si="80"/>
        <v>27240350</v>
      </c>
      <c r="BT28" s="26">
        <f t="shared" si="80"/>
        <v>16000000</v>
      </c>
      <c r="BU28" s="26">
        <f t="shared" si="80"/>
        <v>0</v>
      </c>
      <c r="BV28" s="26">
        <f t="shared" si="80"/>
        <v>0</v>
      </c>
    </row>
    <row r="29" spans="1:74" s="26" customFormat="1" ht="16.2" customHeight="1" x14ac:dyDescent="0.25">
      <c r="A29" s="181" t="s">
        <v>633</v>
      </c>
      <c r="E29" s="182">
        <f>POWER(E28/U28,1/5)-1</f>
        <v>-1.0852604983619714</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399999999999999" customHeight="1" x14ac:dyDescent="0.25">
      <c r="A31" s="111" t="s">
        <v>310</v>
      </c>
      <c r="B31" s="190">
        <v>199471064213.09</v>
      </c>
      <c r="C31" s="190">
        <v>196209613530.81</v>
      </c>
      <c r="D31" s="190">
        <v>196587742824.98999</v>
      </c>
      <c r="E31" s="190">
        <v>196012875090.95001</v>
      </c>
      <c r="F31" s="190">
        <v>194912849913.64001</v>
      </c>
      <c r="G31" s="190">
        <v>193554050017.14999</v>
      </c>
      <c r="H31" s="190">
        <v>193419233690.64001</v>
      </c>
      <c r="I31" s="190">
        <v>192670859898.14999</v>
      </c>
      <c r="J31" s="190">
        <v>185474340248.98999</v>
      </c>
      <c r="K31" s="190">
        <v>181347605694.63</v>
      </c>
      <c r="L31" s="190">
        <v>176486178429.82999</v>
      </c>
      <c r="M31" s="190">
        <v>171985901644.04999</v>
      </c>
      <c r="N31" s="190">
        <v>161755970644.67999</v>
      </c>
      <c r="O31" s="190">
        <v>159493757971.06</v>
      </c>
      <c r="P31" s="190">
        <v>160173526095.34</v>
      </c>
      <c r="Q31" s="190">
        <v>159115741890.88</v>
      </c>
      <c r="R31" s="190">
        <v>155759121790.51999</v>
      </c>
      <c r="S31" s="190">
        <v>150368530941.56</v>
      </c>
      <c r="T31" s="190">
        <v>150388142350.34</v>
      </c>
      <c r="U31" s="190">
        <v>149326581083.56</v>
      </c>
      <c r="V31" s="190">
        <v>144542477019.28</v>
      </c>
      <c r="W31" s="190">
        <v>140483235977.72</v>
      </c>
      <c r="X31" s="190">
        <v>137484749948.51999</v>
      </c>
      <c r="Y31" s="190">
        <v>132056896427.77</v>
      </c>
      <c r="Z31" s="190">
        <v>123490443679.52</v>
      </c>
      <c r="AA31" s="190">
        <v>115464859896.00999</v>
      </c>
      <c r="AB31" s="190">
        <v>111418840218.92</v>
      </c>
      <c r="AC31" s="190">
        <v>110911243721.69</v>
      </c>
      <c r="AD31" s="190">
        <v>103549023564.72</v>
      </c>
      <c r="AE31" s="190">
        <v>99934905307.139999</v>
      </c>
      <c r="AF31" s="190">
        <v>96028176784.139999</v>
      </c>
      <c r="AG31" s="190">
        <v>93163072645.369995</v>
      </c>
      <c r="AH31" s="190">
        <v>87194716216.149994</v>
      </c>
      <c r="AI31" s="190">
        <v>84541153334.660004</v>
      </c>
      <c r="AJ31" s="190">
        <v>82799205110.490005</v>
      </c>
      <c r="AK31" s="190">
        <v>80570360485.960007</v>
      </c>
      <c r="AL31" s="190">
        <v>15232984727.74</v>
      </c>
      <c r="AM31" s="190">
        <v>14760565506.23</v>
      </c>
      <c r="AN31" s="190">
        <v>15184348826.93</v>
      </c>
      <c r="AO31" s="190">
        <v>15229356249.559999</v>
      </c>
      <c r="AP31" s="190">
        <v>15474871017.49</v>
      </c>
      <c r="AQ31" s="190">
        <v>15406155132.370001</v>
      </c>
      <c r="AR31" s="190">
        <v>15234231711.040001</v>
      </c>
      <c r="AS31" s="190">
        <v>15056242702.940001</v>
      </c>
      <c r="AT31" s="190">
        <v>14725327102.91</v>
      </c>
      <c r="AU31" s="190">
        <v>14738101470.690001</v>
      </c>
      <c r="AV31" s="190">
        <v>14686064980.360001</v>
      </c>
      <c r="AW31" s="190">
        <v>15308097980.719999</v>
      </c>
      <c r="AX31" s="190">
        <v>8669286305.0699997</v>
      </c>
      <c r="AY31" s="190">
        <v>8461859022.29</v>
      </c>
      <c r="AZ31" s="190">
        <v>8272279388.54</v>
      </c>
      <c r="BA31" s="190">
        <v>8214864954.0900002</v>
      </c>
      <c r="BB31" s="190">
        <v>8203969080.8299999</v>
      </c>
      <c r="BC31" s="190">
        <v>8227143275.54</v>
      </c>
      <c r="BD31" s="190">
        <v>7934573128.4499998</v>
      </c>
      <c r="BE31" s="190">
        <v>8031012382.6599998</v>
      </c>
      <c r="BF31" s="190">
        <v>7682509323.7200003</v>
      </c>
      <c r="BG31" s="190">
        <v>7725247986.5600004</v>
      </c>
      <c r="BH31" s="190">
        <v>4007451639.8400002</v>
      </c>
      <c r="BI31" s="190">
        <v>3954948691.9000001</v>
      </c>
      <c r="BJ31" s="190">
        <v>3882953147.1399999</v>
      </c>
      <c r="BK31" s="190">
        <v>3837770495.8699999</v>
      </c>
      <c r="BL31" s="190">
        <v>3889906135.1199999</v>
      </c>
      <c r="BM31" s="190">
        <v>3894065466.1399999</v>
      </c>
      <c r="BN31" s="190">
        <v>611934068.65999997</v>
      </c>
      <c r="BO31" s="190">
        <v>633399313.91999996</v>
      </c>
      <c r="BP31" s="190">
        <v>650097139.72000003</v>
      </c>
      <c r="BQ31" s="190">
        <v>668453337.79999995</v>
      </c>
      <c r="BR31" s="190">
        <v>729414590.40999997</v>
      </c>
      <c r="BS31" s="190">
        <v>693693289.23000002</v>
      </c>
      <c r="BT31" s="190">
        <v>856685537.63</v>
      </c>
      <c r="BU31" s="190">
        <v>908966515.36000001</v>
      </c>
      <c r="BV31" s="190">
        <v>1686369507.6900001</v>
      </c>
    </row>
    <row r="32" spans="1:74" s="54" customFormat="1" ht="15" customHeight="1" x14ac:dyDescent="0.25">
      <c r="A32" s="138" t="s">
        <v>311</v>
      </c>
      <c r="B32" s="190">
        <v>424541255.45999998</v>
      </c>
      <c r="C32" s="190">
        <v>408420540.73000002</v>
      </c>
      <c r="D32" s="190">
        <v>416061573.14999998</v>
      </c>
      <c r="E32" s="190">
        <v>414202565.87</v>
      </c>
      <c r="F32" s="190">
        <v>420995630.05000001</v>
      </c>
      <c r="G32" s="190">
        <v>415842592.33999997</v>
      </c>
      <c r="H32" s="190">
        <v>406407780.98000002</v>
      </c>
      <c r="I32" s="190">
        <v>401632135.72000003</v>
      </c>
      <c r="J32" s="190">
        <v>402492600.87</v>
      </c>
      <c r="K32" s="190">
        <v>414732048.43000001</v>
      </c>
      <c r="L32" s="190">
        <v>5165055.18</v>
      </c>
      <c r="M32" s="190">
        <v>5165055.18</v>
      </c>
      <c r="N32" s="190">
        <v>5165055.18</v>
      </c>
      <c r="O32" s="190">
        <v>5165055.18</v>
      </c>
      <c r="P32" s="190">
        <v>5165055.18</v>
      </c>
      <c r="Q32" s="190">
        <v>5165055.18</v>
      </c>
      <c r="R32" s="190">
        <v>5165055.18</v>
      </c>
      <c r="S32" s="190">
        <v>5165055.18</v>
      </c>
      <c r="T32" s="190">
        <v>5165055.18</v>
      </c>
      <c r="U32" s="190">
        <v>5165055.18</v>
      </c>
      <c r="V32" s="190">
        <v>5165055.18</v>
      </c>
      <c r="W32" s="190">
        <v>5165055.18</v>
      </c>
      <c r="X32" s="190">
        <v>5165055.18</v>
      </c>
      <c r="Y32" s="190">
        <v>5165055.18</v>
      </c>
      <c r="Z32" s="190">
        <v>5165055.18</v>
      </c>
      <c r="AA32" s="190">
        <v>5165055.18</v>
      </c>
      <c r="AB32" s="190">
        <v>5165055.18</v>
      </c>
      <c r="AC32" s="190">
        <v>5165055.18</v>
      </c>
      <c r="AD32" s="190">
        <v>5165055.18</v>
      </c>
      <c r="AE32" s="190">
        <v>5165055.18</v>
      </c>
      <c r="AF32" s="190">
        <v>5165055.18</v>
      </c>
      <c r="AG32" s="190">
        <v>5165055.18</v>
      </c>
      <c r="AH32" s="190">
        <v>5165055.18</v>
      </c>
      <c r="AI32" s="190">
        <v>5165055.18</v>
      </c>
      <c r="AJ32" s="190">
        <v>5165055.18</v>
      </c>
      <c r="AK32" s="190">
        <v>5165055.18</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125871900</v>
      </c>
      <c r="C33" s="190">
        <v>125774035</v>
      </c>
      <c r="D33" s="190">
        <v>904763295.63</v>
      </c>
      <c r="E33" s="190">
        <v>95254881.299999997</v>
      </c>
      <c r="F33" s="190">
        <v>94831100.549999997</v>
      </c>
      <c r="G33" s="190">
        <v>94831100.549999997</v>
      </c>
      <c r="H33" s="190">
        <v>90000000</v>
      </c>
      <c r="I33" s="190">
        <v>90000000</v>
      </c>
      <c r="J33" s="190">
        <v>70000000</v>
      </c>
      <c r="K33" s="190">
        <v>289000000</v>
      </c>
      <c r="L33" s="190">
        <v>289000000</v>
      </c>
      <c r="M33" s="190">
        <v>289000000</v>
      </c>
      <c r="N33" s="190">
        <v>289000000</v>
      </c>
      <c r="O33" s="190">
        <v>289000000</v>
      </c>
      <c r="P33" s="190">
        <v>279000000</v>
      </c>
      <c r="Q33" s="190">
        <v>279000000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195503417643.78003</v>
      </c>
      <c r="F34" s="49">
        <f t="shared" ref="F34:BP34" si="81">F31-F32-F33</f>
        <v>194397023183.04004</v>
      </c>
      <c r="G34" s="49">
        <f t="shared" si="81"/>
        <v>193043376324.26001</v>
      </c>
      <c r="H34" s="49">
        <f t="shared" si="81"/>
        <v>192922825909.66</v>
      </c>
      <c r="I34" s="49">
        <f t="shared" si="81"/>
        <v>192179227762.42999</v>
      </c>
      <c r="J34" s="49">
        <f t="shared" si="81"/>
        <v>185001847648.12</v>
      </c>
      <c r="K34" s="49">
        <f t="shared" si="81"/>
        <v>180643873646.20001</v>
      </c>
      <c r="L34" s="49">
        <f t="shared" si="81"/>
        <v>176192013374.64999</v>
      </c>
      <c r="M34" s="49">
        <f t="shared" si="81"/>
        <v>171691736588.87</v>
      </c>
      <c r="N34" s="49">
        <f t="shared" si="81"/>
        <v>161461805589.5</v>
      </c>
      <c r="O34" s="49">
        <f t="shared" si="81"/>
        <v>159199592915.88</v>
      </c>
      <c r="P34" s="49">
        <f t="shared" si="81"/>
        <v>159889361040.16</v>
      </c>
      <c r="Q34" s="49">
        <f t="shared" si="81"/>
        <v>158831576835.70001</v>
      </c>
      <c r="R34" s="49">
        <f t="shared" si="81"/>
        <v>155753956735.34</v>
      </c>
      <c r="S34" s="49">
        <f t="shared" si="81"/>
        <v>150363365886.38</v>
      </c>
      <c r="T34" s="49">
        <f t="shared" si="81"/>
        <v>150382977295.16</v>
      </c>
      <c r="U34" s="49">
        <f t="shared" si="81"/>
        <v>149321416028.38</v>
      </c>
      <c r="V34" s="49">
        <f t="shared" si="81"/>
        <v>144537311964.10001</v>
      </c>
      <c r="W34" s="49">
        <f t="shared" si="81"/>
        <v>140478070922.54001</v>
      </c>
      <c r="X34" s="49">
        <f t="shared" si="81"/>
        <v>137479584893.34</v>
      </c>
      <c r="Y34" s="49">
        <f t="shared" si="81"/>
        <v>132051731372.59001</v>
      </c>
      <c r="Z34" s="49">
        <f t="shared" si="81"/>
        <v>123485278624.34001</v>
      </c>
      <c r="AA34" s="49">
        <f t="shared" si="81"/>
        <v>115459694840.83</v>
      </c>
      <c r="AB34" s="49">
        <f t="shared" si="81"/>
        <v>111413675163.74001</v>
      </c>
      <c r="AC34" s="49">
        <f t="shared" si="81"/>
        <v>110906078666.51001</v>
      </c>
      <c r="AD34" s="49">
        <f t="shared" si="81"/>
        <v>103543858509.54001</v>
      </c>
      <c r="AE34" s="49">
        <f t="shared" si="81"/>
        <v>99929740251.960007</v>
      </c>
      <c r="AF34" s="49">
        <f t="shared" si="81"/>
        <v>96023011728.960007</v>
      </c>
      <c r="AG34" s="49">
        <f t="shared" si="81"/>
        <v>93157907590.190002</v>
      </c>
      <c r="AH34" s="49">
        <f t="shared" si="81"/>
        <v>87189551160.970001</v>
      </c>
      <c r="AI34" s="49">
        <f t="shared" si="81"/>
        <v>84535988279.480011</v>
      </c>
      <c r="AJ34" s="49">
        <f t="shared" si="81"/>
        <v>82794040055.310013</v>
      </c>
      <c r="AK34" s="49">
        <f t="shared" si="81"/>
        <v>80565195430.780014</v>
      </c>
      <c r="AL34" s="49">
        <f t="shared" si="81"/>
        <v>15232984727.74</v>
      </c>
      <c r="AM34" s="49">
        <f t="shared" si="81"/>
        <v>14760565506.23</v>
      </c>
      <c r="AN34" s="49">
        <f t="shared" si="81"/>
        <v>15184348826.93</v>
      </c>
      <c r="AO34" s="49">
        <f t="shared" si="81"/>
        <v>15229356249.559999</v>
      </c>
      <c r="AP34" s="49">
        <f t="shared" si="81"/>
        <v>15474871017.49</v>
      </c>
      <c r="AQ34" s="49">
        <f t="shared" si="81"/>
        <v>15406155132.370001</v>
      </c>
      <c r="AR34" s="49">
        <f t="shared" si="81"/>
        <v>15234231711.040001</v>
      </c>
      <c r="AS34" s="49">
        <f t="shared" si="81"/>
        <v>15056242702.940001</v>
      </c>
      <c r="AT34" s="49">
        <f t="shared" si="81"/>
        <v>14725327102.91</v>
      </c>
      <c r="AU34" s="49">
        <f t="shared" si="81"/>
        <v>14738101470.690001</v>
      </c>
      <c r="AV34" s="49">
        <f t="shared" si="81"/>
        <v>14686064980.360001</v>
      </c>
      <c r="AW34" s="49">
        <f t="shared" si="81"/>
        <v>15308097980.719999</v>
      </c>
      <c r="AX34" s="49">
        <f t="shared" si="81"/>
        <v>8669286305.0699997</v>
      </c>
      <c r="AY34" s="49">
        <f t="shared" si="81"/>
        <v>8461859022.29</v>
      </c>
      <c r="AZ34" s="49">
        <f t="shared" si="81"/>
        <v>8272279388.54</v>
      </c>
      <c r="BA34" s="49">
        <f t="shared" si="81"/>
        <v>8214864954.0900002</v>
      </c>
      <c r="BB34" s="49">
        <f t="shared" si="81"/>
        <v>8203969080.8299999</v>
      </c>
      <c r="BC34" s="49">
        <f t="shared" si="81"/>
        <v>8227143275.54</v>
      </c>
      <c r="BD34" s="49">
        <f t="shared" si="81"/>
        <v>7934573128.4499998</v>
      </c>
      <c r="BE34" s="49">
        <f t="shared" si="81"/>
        <v>8031012382.6599998</v>
      </c>
      <c r="BF34" s="49">
        <f t="shared" si="81"/>
        <v>7682509323.7200003</v>
      </c>
      <c r="BG34" s="49">
        <f t="shared" si="81"/>
        <v>7725247986.5600004</v>
      </c>
      <c r="BH34" s="49">
        <f t="shared" si="81"/>
        <v>4007451639.8400002</v>
      </c>
      <c r="BI34" s="49">
        <f t="shared" si="81"/>
        <v>3954948691.9000001</v>
      </c>
      <c r="BJ34" s="49">
        <f t="shared" si="81"/>
        <v>3882953147.1399999</v>
      </c>
      <c r="BK34" s="49">
        <f t="shared" si="81"/>
        <v>3837770495.8699999</v>
      </c>
      <c r="BL34" s="49">
        <f t="shared" si="81"/>
        <v>3889906135.1199999</v>
      </c>
      <c r="BM34" s="49">
        <f t="shared" si="81"/>
        <v>3894065466.1399999</v>
      </c>
      <c r="BN34" s="49">
        <f t="shared" si="81"/>
        <v>611934068.65999997</v>
      </c>
      <c r="BO34" s="49">
        <f t="shared" si="81"/>
        <v>633399313.91999996</v>
      </c>
      <c r="BP34" s="49">
        <f t="shared" si="81"/>
        <v>650097139.72000003</v>
      </c>
      <c r="BQ34" s="49">
        <f>AP31-AP32-AP33</f>
        <v>15474871017.49</v>
      </c>
      <c r="BR34" s="49">
        <f>AQ31-AQ32-AQ33</f>
        <v>15406155132.370001</v>
      </c>
      <c r="BS34" s="49">
        <f>AR31-AR32-AR33</f>
        <v>15234231711.040001</v>
      </c>
      <c r="BT34" s="49"/>
      <c r="BU34" s="50"/>
    </row>
    <row r="35" spans="1:74" s="106" customFormat="1" ht="15" thickBot="1" x14ac:dyDescent="0.3">
      <c r="A35" s="140" t="s">
        <v>317</v>
      </c>
      <c r="B35" s="33">
        <f>SUM(B22:B31)</f>
        <v>200299322970.51999</v>
      </c>
      <c r="C35" s="33">
        <f>SUM(C22:C31)</f>
        <v>198924060330.04999</v>
      </c>
      <c r="D35" s="33">
        <f>SUM(D22:D31)</f>
        <v>198086689148.34998</v>
      </c>
      <c r="E35" s="33">
        <f>资产资本表!E17</f>
        <v>5348010956.9499998</v>
      </c>
      <c r="F35" s="33">
        <f>资产资本表!F17</f>
        <v>7006312922.25</v>
      </c>
      <c r="G35" s="33">
        <f>资产资本表!G17</f>
        <v>5329644283.0499992</v>
      </c>
      <c r="H35" s="33">
        <f>资产资本表!H17</f>
        <v>3957399268.5799999</v>
      </c>
      <c r="I35" s="33">
        <f>资产资本表!I17</f>
        <v>4573239076.5699997</v>
      </c>
      <c r="J35" s="33">
        <f>资产资本表!J17</f>
        <v>6743951421.7600002</v>
      </c>
      <c r="K35" s="33">
        <f>资产资本表!K17</f>
        <v>5667802705.1700001</v>
      </c>
      <c r="L35" s="33">
        <f>资产资本表!L17</f>
        <v>4596732298.46</v>
      </c>
      <c r="M35" s="33">
        <f>资产资本表!M17</f>
        <v>6896067105.3000002</v>
      </c>
      <c r="N35" s="33">
        <f>资产资本表!N17</f>
        <v>8483952859.4800005</v>
      </c>
      <c r="O35" s="33">
        <f>资产资本表!O17</f>
        <v>7728804972.1000004</v>
      </c>
      <c r="P35" s="33">
        <f>资产资本表!P17</f>
        <v>8120039116.8700008</v>
      </c>
      <c r="Q35" s="33">
        <f>资产资本表!Q17</f>
        <v>8371334649.4700003</v>
      </c>
      <c r="R35" s="33">
        <f>资产资本表!R17</f>
        <v>9883748405.7099991</v>
      </c>
      <c r="S35" s="33">
        <f>资产资本表!S17</f>
        <v>6978079177.3599997</v>
      </c>
      <c r="T35" s="33">
        <f>资产资本表!T17</f>
        <v>6186588200.4100008</v>
      </c>
      <c r="U35" s="33">
        <f>资产资本表!U17</f>
        <v>4361597314.0099993</v>
      </c>
      <c r="V35" s="33">
        <f>资产资本表!V17</f>
        <v>3988093809.9499998</v>
      </c>
      <c r="W35" s="33">
        <f>资产资本表!W17</f>
        <v>4149397566.0800004</v>
      </c>
      <c r="X35" s="33">
        <f>资产资本表!X17</f>
        <v>6237626666.8900003</v>
      </c>
      <c r="Y35" s="33">
        <f>资产资本表!Y17</f>
        <v>6512343440.25</v>
      </c>
      <c r="Z35" s="33">
        <f>资产资本表!Z17</f>
        <v>3557985013.3299999</v>
      </c>
      <c r="AA35" s="33">
        <f>资产资本表!AA17</f>
        <v>5890010754.5199995</v>
      </c>
      <c r="AB35" s="33">
        <f>资产资本表!AB17</f>
        <v>3683002385.1200004</v>
      </c>
      <c r="AC35" s="33">
        <f>资产资本表!AC17</f>
        <v>5323509573.3999996</v>
      </c>
      <c r="AD35" s="33">
        <f>资产资本表!AD17</f>
        <v>2242543490.9400001</v>
      </c>
      <c r="AE35" s="33">
        <f>资产资本表!AE17</f>
        <v>2603862648.5099998</v>
      </c>
      <c r="AF35" s="33">
        <f>资产资本表!AF17</f>
        <v>3726835303.1499996</v>
      </c>
      <c r="AG35" s="33">
        <f>资产资本表!AG17</f>
        <v>1212455676.4200001</v>
      </c>
      <c r="AH35" s="33">
        <f>资产资本表!AH17</f>
        <v>1109231346.3900001</v>
      </c>
      <c r="AI35" s="33">
        <f>资产资本表!AI17</f>
        <v>1101361634.1100001</v>
      </c>
      <c r="AJ35" s="33">
        <f>资产资本表!AJ17</f>
        <v>957242462.39999998</v>
      </c>
      <c r="AK35" s="33">
        <f>资产资本表!AK17</f>
        <v>2138875865.2800002</v>
      </c>
      <c r="AL35" s="33">
        <f>资产资本表!AL17</f>
        <v>887126538.64999998</v>
      </c>
      <c r="AM35" s="33">
        <f>资产资本表!AM17</f>
        <v>1076180312.8500001</v>
      </c>
      <c r="AN35" s="33">
        <f>资产资本表!AN17</f>
        <v>1482013824.46</v>
      </c>
      <c r="AO35" s="33">
        <f>资产资本表!AO17</f>
        <v>1113613886.3700001</v>
      </c>
      <c r="AP35" s="33">
        <f>资产资本表!AP17</f>
        <v>1218504026.6399999</v>
      </c>
      <c r="AQ35" s="33">
        <f>资产资本表!AQ17</f>
        <v>1119380773.7</v>
      </c>
      <c r="AR35" s="33">
        <f>资产资本表!AR17</f>
        <v>1326216524.79</v>
      </c>
      <c r="AS35" s="33">
        <f>资产资本表!AS17</f>
        <v>1450820925.3099999</v>
      </c>
      <c r="AT35" s="33">
        <f>资产资本表!AT17</f>
        <v>1395491602.97</v>
      </c>
      <c r="AU35" s="33">
        <f>资产资本表!AU17</f>
        <v>666935193.74000001</v>
      </c>
      <c r="AV35" s="33">
        <f>资产资本表!AV17</f>
        <v>859682813.21000004</v>
      </c>
      <c r="AW35" s="33">
        <f>资产资本表!AW17</f>
        <v>570948275.58999991</v>
      </c>
      <c r="AX35" s="33">
        <f>资产资本表!AX17</f>
        <v>243333126.58000001</v>
      </c>
      <c r="AY35" s="33">
        <f>资产资本表!AY17</f>
        <v>199103156.66</v>
      </c>
      <c r="AZ35" s="33">
        <f>资产资本表!AZ17</f>
        <v>346112919.82999998</v>
      </c>
      <c r="BA35" s="33">
        <f>资产资本表!BA17</f>
        <v>211068420.63</v>
      </c>
      <c r="BB35" s="33">
        <f>资产资本表!BB17</f>
        <v>403785630.05000001</v>
      </c>
      <c r="BC35" s="33">
        <f>资产资本表!BC17</f>
        <v>377079305.70999998</v>
      </c>
      <c r="BD35" s="33">
        <f>资产资本表!BD17</f>
        <v>583574459.69000006</v>
      </c>
      <c r="BE35" s="33">
        <f>资产资本表!BE17</f>
        <v>410943189.26999998</v>
      </c>
      <c r="BF35" s="33">
        <f>资产资本表!BF17</f>
        <v>756029349.84000003</v>
      </c>
      <c r="BG35" s="33">
        <f>资产资本表!BG17</f>
        <v>438964391.97000003</v>
      </c>
      <c r="BH35" s="33">
        <f>资产资本表!BH17</f>
        <v>181648627.75999999</v>
      </c>
      <c r="BI35" s="33">
        <f>资产资本表!BI17</f>
        <v>136039161.43000001</v>
      </c>
      <c r="BJ35" s="33">
        <f>资产资本表!BJ17</f>
        <v>165218401.56999999</v>
      </c>
      <c r="BK35" s="33">
        <f>资产资本表!BK17</f>
        <v>216644559.25999999</v>
      </c>
      <c r="BL35" s="33">
        <f>资产资本表!BL17</f>
        <v>221238157.5</v>
      </c>
      <c r="BM35" s="33">
        <f>资产资本表!BM17</f>
        <v>181052845.81999999</v>
      </c>
      <c r="BN35" s="33">
        <f>资产资本表!BN17</f>
        <v>2000000</v>
      </c>
      <c r="BO35" s="33">
        <f>资产资本表!BO17</f>
        <v>12549252.51</v>
      </c>
      <c r="BP35" s="33">
        <f>资产资本表!BP17</f>
        <v>23167485.93</v>
      </c>
      <c r="BQ35" s="33">
        <f>资产资本表!BQ17</f>
        <v>34561500.75</v>
      </c>
      <c r="BR35" s="33">
        <f>资产资本表!BR17</f>
        <v>44936952.799999997</v>
      </c>
      <c r="BS35" s="33">
        <f>资产资本表!BS17</f>
        <v>158871889.68000001</v>
      </c>
      <c r="BT35" s="33">
        <f>资产资本表!BT17</f>
        <v>138575485.94</v>
      </c>
      <c r="BU35" s="33">
        <f>资产资本表!BU17</f>
        <v>79539733.840000004</v>
      </c>
      <c r="BV35" s="33">
        <f>资产资本表!BV17</f>
        <v>74614056.719999999</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x14ac:dyDescent="0.25">
      <c r="A39" s="46" t="s">
        <v>319</v>
      </c>
    </row>
    <row r="40" spans="1:74" s="193" customFormat="1" x14ac:dyDescent="0.25">
      <c r="A40" s="193" t="s">
        <v>743</v>
      </c>
      <c r="B40" s="190">
        <v>5153710000</v>
      </c>
      <c r="C40" s="190">
        <v>2575600000</v>
      </c>
      <c r="D40" s="190">
        <v>0</v>
      </c>
      <c r="E40" s="190">
        <v>1954110000</v>
      </c>
      <c r="F40" s="190">
        <v>1522110000</v>
      </c>
      <c r="G40" s="190">
        <v>728000000</v>
      </c>
      <c r="H40" s="190">
        <v>0</v>
      </c>
      <c r="I40" s="190">
        <v>3031115509.4499998</v>
      </c>
      <c r="J40" s="190">
        <v>1690860009.1600001</v>
      </c>
      <c r="K40" s="190">
        <v>567900009.36000001</v>
      </c>
      <c r="L40" s="190">
        <v>163400000</v>
      </c>
      <c r="M40" s="190">
        <v>4517846700</v>
      </c>
      <c r="N40" s="190">
        <v>2727837700</v>
      </c>
      <c r="O40" s="190">
        <v>1700587100</v>
      </c>
      <c r="P40" s="190">
        <v>1134137100</v>
      </c>
      <c r="Q40" s="190">
        <v>1080000000</v>
      </c>
      <c r="R40" s="190">
        <v>118000000</v>
      </c>
      <c r="S40" s="190">
        <v>0</v>
      </c>
      <c r="T40" s="190">
        <v>0</v>
      </c>
      <c r="U40" s="190">
        <v>480000000</v>
      </c>
      <c r="V40" s="190">
        <v>480000000</v>
      </c>
      <c r="W40" s="190">
        <v>0</v>
      </c>
      <c r="X40" s="190">
        <v>0</v>
      </c>
      <c r="Y40" s="190">
        <v>2200708400</v>
      </c>
      <c r="Z40" s="190">
        <v>2140708400</v>
      </c>
      <c r="AA40" s="190">
        <v>1920000000</v>
      </c>
      <c r="AB40" s="190">
        <v>0</v>
      </c>
      <c r="AC40" s="190">
        <v>5772830000</v>
      </c>
      <c r="AD40" s="190">
        <v>3516700000</v>
      </c>
      <c r="AE40" s="190">
        <v>2760700000</v>
      </c>
      <c r="AF40" s="190">
        <v>56370000</v>
      </c>
      <c r="AG40" s="190">
        <v>314600000</v>
      </c>
      <c r="AH40" s="190">
        <v>311600000</v>
      </c>
      <c r="AI40" s="190">
        <v>306600000</v>
      </c>
      <c r="AJ40" s="190">
        <v>0</v>
      </c>
      <c r="AK40" s="190">
        <v>635440000</v>
      </c>
      <c r="AL40" s="190">
        <v>36660000</v>
      </c>
      <c r="AM40" s="190">
        <v>29460000</v>
      </c>
      <c r="AN40" s="190">
        <v>9000000</v>
      </c>
      <c r="AO40" s="190">
        <v>60000000</v>
      </c>
      <c r="AP40" s="190">
        <v>29500000</v>
      </c>
      <c r="AQ40" s="190">
        <v>22500000</v>
      </c>
      <c r="AR40" s="190">
        <v>0</v>
      </c>
      <c r="AS40" s="190">
        <v>1587292868.1199999</v>
      </c>
      <c r="AT40" s="190">
        <v>1572292868.1199999</v>
      </c>
      <c r="AU40" s="190">
        <v>108000000</v>
      </c>
      <c r="AV40" s="190">
        <v>0</v>
      </c>
      <c r="AW40" s="190">
        <v>2346301288</v>
      </c>
      <c r="AX40" s="190">
        <v>1662779288</v>
      </c>
      <c r="AY40" s="190">
        <v>224029288</v>
      </c>
      <c r="AZ40" s="190">
        <v>148029288</v>
      </c>
      <c r="BA40" s="190">
        <v>15000000</v>
      </c>
      <c r="BB40" s="190">
        <v>20000000</v>
      </c>
      <c r="BC40" s="190">
        <v>7500000</v>
      </c>
      <c r="BD40" s="190">
        <v>0</v>
      </c>
      <c r="BE40" s="190">
        <v>24000000</v>
      </c>
      <c r="BF40" s="190">
        <v>12000000</v>
      </c>
      <c r="BG40" s="190">
        <v>12000000</v>
      </c>
      <c r="BH40" s="190">
        <v>0</v>
      </c>
      <c r="BI40" s="190">
        <v>0</v>
      </c>
      <c r="BJ40" s="190">
        <v>0</v>
      </c>
      <c r="BK40" s="190">
        <v>0</v>
      </c>
      <c r="BL40" s="190">
        <v>0</v>
      </c>
      <c r="BM40" s="190">
        <v>25500000</v>
      </c>
      <c r="BN40" s="190">
        <v>0</v>
      </c>
      <c r="BO40" s="190">
        <v>0</v>
      </c>
      <c r="BP40" s="190">
        <v>0</v>
      </c>
      <c r="BQ40" s="190">
        <v>0</v>
      </c>
      <c r="BR40" s="190">
        <v>0</v>
      </c>
      <c r="BS40" s="190">
        <v>0</v>
      </c>
      <c r="BT40" s="190">
        <v>199040105</v>
      </c>
      <c r="BU40" s="190">
        <v>0</v>
      </c>
      <c r="BV40" s="190">
        <v>0</v>
      </c>
    </row>
    <row r="41" spans="1:74" s="53" customFormat="1" ht="21.75" customHeight="1" x14ac:dyDescent="0.25">
      <c r="A41" s="141" t="s">
        <v>634</v>
      </c>
      <c r="B41" s="53">
        <v>1419647033.29</v>
      </c>
      <c r="C41" s="53">
        <v>682396282.87</v>
      </c>
      <c r="D41" s="53">
        <v>73246783.790000007</v>
      </c>
      <c r="E41" s="53">
        <v>1370776713.8499999</v>
      </c>
      <c r="I41" s="53">
        <v>5427522203.8400002</v>
      </c>
      <c r="M41" s="53">
        <v>1958821627.95</v>
      </c>
      <c r="Q41" s="53">
        <v>991641591.84000003</v>
      </c>
      <c r="U41" s="53">
        <v>316192945.30000001</v>
      </c>
      <c r="Y41" s="53">
        <v>35176545.619999997</v>
      </c>
      <c r="AC41" s="53">
        <v>49877500</v>
      </c>
      <c r="AG41" s="53">
        <v>161044800</v>
      </c>
      <c r="AK41" s="53">
        <v>322716300</v>
      </c>
    </row>
    <row r="42" spans="1:74" s="26" customFormat="1" x14ac:dyDescent="0.25">
      <c r="A42" s="17" t="s">
        <v>322</v>
      </c>
      <c r="E42" s="26">
        <f>E40-E41</f>
        <v>583333286.1500001</v>
      </c>
      <c r="F42" s="26">
        <f t="shared" ref="F42:Y42" si="82">F40-F41</f>
        <v>1522110000</v>
      </c>
      <c r="G42" s="26">
        <f t="shared" si="82"/>
        <v>728000000</v>
      </c>
      <c r="H42" s="26">
        <f t="shared" si="82"/>
        <v>0</v>
      </c>
      <c r="I42" s="26">
        <f>I40-I41</f>
        <v>-2396406694.3900003</v>
      </c>
      <c r="J42" s="26">
        <f t="shared" si="82"/>
        <v>1690860009.1600001</v>
      </c>
      <c r="K42" s="26">
        <f t="shared" si="82"/>
        <v>567900009.36000001</v>
      </c>
      <c r="L42" s="26">
        <f t="shared" si="82"/>
        <v>163400000</v>
      </c>
      <c r="M42" s="26">
        <f t="shared" si="82"/>
        <v>2559025072.0500002</v>
      </c>
      <c r="N42" s="26">
        <f t="shared" si="82"/>
        <v>2727837700</v>
      </c>
      <c r="O42" s="26">
        <f t="shared" si="82"/>
        <v>1700587100</v>
      </c>
      <c r="P42" s="26">
        <f t="shared" si="82"/>
        <v>1134137100</v>
      </c>
      <c r="Q42" s="26">
        <f t="shared" si="82"/>
        <v>88358408.159999967</v>
      </c>
      <c r="R42" s="26">
        <f t="shared" si="82"/>
        <v>118000000</v>
      </c>
      <c r="S42" s="26">
        <f t="shared" si="82"/>
        <v>0</v>
      </c>
      <c r="T42" s="26">
        <f t="shared" si="82"/>
        <v>0</v>
      </c>
      <c r="U42" s="26">
        <f t="shared" si="82"/>
        <v>163807054.69999999</v>
      </c>
      <c r="V42" s="26">
        <f t="shared" si="82"/>
        <v>480000000</v>
      </c>
      <c r="W42" s="26">
        <f t="shared" si="82"/>
        <v>0</v>
      </c>
      <c r="X42" s="26">
        <f t="shared" si="82"/>
        <v>0</v>
      </c>
      <c r="Y42" s="26">
        <f t="shared" si="82"/>
        <v>2165531854.3800001</v>
      </c>
      <c r="Z42" s="26">
        <f t="shared" ref="Z42:BQ42" si="83">Z40-Z41</f>
        <v>2140708400</v>
      </c>
      <c r="AA42" s="26">
        <f t="shared" si="83"/>
        <v>1920000000</v>
      </c>
      <c r="AB42" s="26">
        <f t="shared" si="83"/>
        <v>0</v>
      </c>
      <c r="AC42" s="26">
        <f t="shared" si="83"/>
        <v>5722952500</v>
      </c>
      <c r="AD42" s="26">
        <f t="shared" si="83"/>
        <v>3516700000</v>
      </c>
      <c r="AE42" s="26">
        <f t="shared" si="83"/>
        <v>2760700000</v>
      </c>
      <c r="AF42" s="26">
        <f t="shared" si="83"/>
        <v>56370000</v>
      </c>
      <c r="AG42" s="26">
        <f t="shared" si="83"/>
        <v>153555200</v>
      </c>
      <c r="AH42" s="26">
        <f t="shared" si="83"/>
        <v>311600000</v>
      </c>
      <c r="AI42" s="26">
        <f t="shared" si="83"/>
        <v>306600000</v>
      </c>
      <c r="AJ42" s="26">
        <f t="shared" si="83"/>
        <v>0</v>
      </c>
      <c r="AK42" s="26">
        <f t="shared" si="83"/>
        <v>312723700</v>
      </c>
      <c r="AL42" s="193">
        <f t="shared" si="83"/>
        <v>36660000</v>
      </c>
      <c r="AM42" s="193">
        <f t="shared" si="83"/>
        <v>29460000</v>
      </c>
      <c r="AN42" s="193">
        <f t="shared" si="83"/>
        <v>9000000</v>
      </c>
      <c r="AO42" s="193">
        <f t="shared" si="83"/>
        <v>60000000</v>
      </c>
      <c r="AP42" s="193">
        <f t="shared" si="83"/>
        <v>29500000</v>
      </c>
      <c r="AQ42" s="193">
        <f t="shared" si="83"/>
        <v>22500000</v>
      </c>
      <c r="AR42" s="193">
        <f t="shared" si="83"/>
        <v>0</v>
      </c>
      <c r="AS42" s="193">
        <f t="shared" si="83"/>
        <v>1587292868.1199999</v>
      </c>
      <c r="AT42" s="193">
        <f t="shared" si="83"/>
        <v>1572292868.1199999</v>
      </c>
      <c r="AU42" s="193">
        <f t="shared" si="83"/>
        <v>108000000</v>
      </c>
      <c r="AV42" s="193">
        <f t="shared" si="83"/>
        <v>0</v>
      </c>
      <c r="AW42" s="193">
        <f t="shared" si="83"/>
        <v>2346301288</v>
      </c>
      <c r="AX42" s="193">
        <f t="shared" si="83"/>
        <v>1662779288</v>
      </c>
      <c r="AY42" s="193">
        <f t="shared" si="83"/>
        <v>224029288</v>
      </c>
      <c r="AZ42" s="193">
        <f t="shared" si="83"/>
        <v>148029288</v>
      </c>
      <c r="BA42" s="26">
        <f t="shared" si="83"/>
        <v>15000000</v>
      </c>
      <c r="BB42" s="26">
        <f t="shared" si="83"/>
        <v>20000000</v>
      </c>
      <c r="BC42" s="26">
        <f t="shared" si="83"/>
        <v>7500000</v>
      </c>
      <c r="BD42" s="26">
        <f t="shared" si="83"/>
        <v>0</v>
      </c>
      <c r="BE42" s="26">
        <f t="shared" si="83"/>
        <v>24000000</v>
      </c>
      <c r="BF42" s="26">
        <f t="shared" si="83"/>
        <v>12000000</v>
      </c>
      <c r="BG42" s="26">
        <f t="shared" si="83"/>
        <v>12000000</v>
      </c>
      <c r="BH42" s="26">
        <f t="shared" si="83"/>
        <v>0</v>
      </c>
      <c r="BI42" s="26">
        <f t="shared" si="83"/>
        <v>0</v>
      </c>
      <c r="BJ42" s="26">
        <f t="shared" si="83"/>
        <v>0</v>
      </c>
      <c r="BK42" s="26">
        <f t="shared" si="83"/>
        <v>0</v>
      </c>
      <c r="BL42" s="26">
        <f t="shared" si="83"/>
        <v>0</v>
      </c>
      <c r="BM42" s="26">
        <f t="shared" si="83"/>
        <v>25500000</v>
      </c>
      <c r="BN42" s="26">
        <f t="shared" si="83"/>
        <v>0</v>
      </c>
      <c r="BO42" s="26">
        <f t="shared" si="83"/>
        <v>0</v>
      </c>
      <c r="BP42" s="26">
        <f t="shared" si="83"/>
        <v>0</v>
      </c>
      <c r="BQ42" s="26">
        <f t="shared" si="83"/>
        <v>0</v>
      </c>
      <c r="BR42" s="26">
        <f t="shared" ref="BR42:BV42" si="84">BR40-BR41</f>
        <v>0</v>
      </c>
      <c r="BS42" s="26">
        <f t="shared" si="84"/>
        <v>0</v>
      </c>
      <c r="BT42" s="26">
        <f t="shared" si="84"/>
        <v>199040105</v>
      </c>
      <c r="BU42" s="26">
        <f t="shared" si="84"/>
        <v>0</v>
      </c>
      <c r="BV42" s="26">
        <f t="shared" si="84"/>
        <v>0</v>
      </c>
    </row>
    <row r="43" spans="1:74" s="52" customFormat="1" ht="15" customHeight="1" x14ac:dyDescent="0.25">
      <c r="A43" s="142" t="s">
        <v>321</v>
      </c>
    </row>
    <row r="44" spans="1:74" s="193" customFormat="1" x14ac:dyDescent="0.25">
      <c r="A44" s="193" t="s">
        <v>324</v>
      </c>
      <c r="B44" s="190">
        <v>23854030618.84</v>
      </c>
      <c r="C44" s="190">
        <v>17025825636.959999</v>
      </c>
      <c r="D44" s="190">
        <v>8080410102.1800003</v>
      </c>
      <c r="E44" s="190">
        <v>29839624185.060001</v>
      </c>
      <c r="F44" s="190">
        <v>26745743257.07</v>
      </c>
      <c r="G44" s="190">
        <v>15737083003.75</v>
      </c>
      <c r="H44" s="190">
        <v>6536549545.5100002</v>
      </c>
      <c r="I44" s="190">
        <v>41383802322.529999</v>
      </c>
      <c r="J44" s="190">
        <v>33346061101.18</v>
      </c>
      <c r="K44" s="190">
        <v>25710882256.77</v>
      </c>
      <c r="L44" s="190">
        <v>9363233900.0100002</v>
      </c>
      <c r="M44" s="190">
        <v>30244386468.970001</v>
      </c>
      <c r="N44" s="190">
        <v>24240831169.759998</v>
      </c>
      <c r="O44" s="190">
        <v>12211845019.76</v>
      </c>
      <c r="P44" s="190">
        <v>2867000000</v>
      </c>
      <c r="Q44" s="190">
        <v>23934332690.610001</v>
      </c>
      <c r="R44" s="190">
        <v>18364434899.310001</v>
      </c>
      <c r="S44" s="190">
        <v>12584999464.57</v>
      </c>
      <c r="T44" s="190">
        <v>6448240508.1099997</v>
      </c>
      <c r="U44" s="190">
        <v>36026070042.519997</v>
      </c>
      <c r="V44" s="190">
        <v>28650678033.75</v>
      </c>
      <c r="W44" s="190">
        <v>19351497768.549999</v>
      </c>
      <c r="X44" s="190">
        <v>11732779598.610001</v>
      </c>
      <c r="Y44" s="190">
        <v>38699000855.199997</v>
      </c>
      <c r="Z44" s="190">
        <v>27911063334.400002</v>
      </c>
      <c r="AA44" s="190">
        <v>18825710064.099998</v>
      </c>
      <c r="AB44" s="190">
        <v>7414662622.8500004</v>
      </c>
      <c r="AC44" s="190">
        <v>32811271357.959999</v>
      </c>
      <c r="AD44" s="190">
        <v>19386219520.18</v>
      </c>
      <c r="AE44" s="190">
        <v>12719949779.23</v>
      </c>
      <c r="AF44" s="190">
        <v>9807299907.7900009</v>
      </c>
      <c r="AG44" s="190">
        <v>32497735688.139999</v>
      </c>
      <c r="AH44" s="190">
        <v>24757902549.709999</v>
      </c>
      <c r="AI44" s="190">
        <v>16445295534.77</v>
      </c>
      <c r="AJ44" s="190">
        <v>7311152744.3599997</v>
      </c>
      <c r="AK44" s="190">
        <v>29231541392.299999</v>
      </c>
      <c r="AL44" s="190">
        <v>3707340000</v>
      </c>
      <c r="AM44" s="190">
        <v>2390710000</v>
      </c>
      <c r="AN44" s="190">
        <v>1538210000</v>
      </c>
      <c r="AO44" s="190">
        <v>4951290000</v>
      </c>
      <c r="AP44" s="190">
        <v>3310000000</v>
      </c>
      <c r="AQ44" s="190">
        <v>2379000000</v>
      </c>
      <c r="AR44" s="190">
        <v>1033500000</v>
      </c>
      <c r="AS44" s="190">
        <v>4912800000</v>
      </c>
      <c r="AT44" s="190">
        <v>4112500000</v>
      </c>
      <c r="AU44" s="190">
        <v>2860000000</v>
      </c>
      <c r="AV44" s="190">
        <v>970800000</v>
      </c>
      <c r="AW44" s="190">
        <v>2176462142</v>
      </c>
      <c r="AX44" s="190">
        <v>1268022000</v>
      </c>
      <c r="AY44" s="190">
        <v>808022000</v>
      </c>
      <c r="AZ44" s="190">
        <v>200000000</v>
      </c>
      <c r="BA44" s="190">
        <v>1180000000</v>
      </c>
      <c r="BB44" s="190">
        <v>630000000</v>
      </c>
      <c r="BC44" s="190">
        <v>470000000</v>
      </c>
      <c r="BD44" s="190">
        <v>250000000</v>
      </c>
      <c r="BE44" s="190">
        <v>1488000000</v>
      </c>
      <c r="BF44" s="190">
        <v>1115500000</v>
      </c>
      <c r="BG44" s="190">
        <v>1035500000</v>
      </c>
      <c r="BH44" s="190">
        <v>440000000</v>
      </c>
      <c r="BI44" s="190">
        <v>440000000</v>
      </c>
      <c r="BJ44" s="190">
        <v>310000000</v>
      </c>
      <c r="BK44" s="190">
        <v>150000000</v>
      </c>
      <c r="BL44" s="190">
        <v>60000000</v>
      </c>
      <c r="BM44" s="190">
        <v>130000000</v>
      </c>
      <c r="BN44" s="190">
        <v>0</v>
      </c>
      <c r="BO44" s="190">
        <v>28000000</v>
      </c>
      <c r="BP44" s="190">
        <v>28000000</v>
      </c>
      <c r="BQ44" s="190">
        <v>81000000</v>
      </c>
      <c r="BR44" s="190">
        <v>64000000</v>
      </c>
      <c r="BS44" s="190">
        <v>74000000</v>
      </c>
      <c r="BT44" s="190">
        <v>20000000</v>
      </c>
      <c r="BU44" s="190">
        <v>0</v>
      </c>
      <c r="BV44" s="190">
        <v>0</v>
      </c>
    </row>
    <row r="45" spans="1:74" s="193" customFormat="1" x14ac:dyDescent="0.25">
      <c r="A45" s="193" t="s">
        <v>323</v>
      </c>
      <c r="E45" s="193">
        <f>股权价值增加表!E53</f>
        <v>4903196579.6599998</v>
      </c>
      <c r="F45" s="193">
        <f>股权价值增加表!F53</f>
        <v>0</v>
      </c>
      <c r="G45" s="193">
        <f>股权价值增加表!G53</f>
        <v>0</v>
      </c>
      <c r="H45" s="193">
        <f>股权价值增加表!H53</f>
        <v>0</v>
      </c>
      <c r="I45" s="193">
        <f>股权价值增加表!I53</f>
        <v>5000113916.4899998</v>
      </c>
      <c r="J45" s="193">
        <f>股权价值增加表!J53</f>
        <v>0</v>
      </c>
      <c r="K45" s="193">
        <f>股权价值增加表!K53</f>
        <v>0</v>
      </c>
      <c r="L45" s="193">
        <f>股权价值增加表!L53</f>
        <v>0</v>
      </c>
      <c r="M45" s="193">
        <f>股权价值增加表!M53</f>
        <v>5901446446.1199999</v>
      </c>
      <c r="N45" s="193">
        <f>股权价值增加表!N53</f>
        <v>0</v>
      </c>
      <c r="O45" s="193">
        <f>股权价值增加表!O53</f>
        <v>0</v>
      </c>
      <c r="P45" s="193">
        <f>股权价值增加表!P53</f>
        <v>0</v>
      </c>
      <c r="Q45" s="193">
        <f>股权价值增加表!Q53</f>
        <v>6178007990.4099998</v>
      </c>
      <c r="R45" s="193">
        <f>股权价值增加表!R53</f>
        <v>0</v>
      </c>
      <c r="S45" s="193">
        <f>股权价值增加表!S53</f>
        <v>0</v>
      </c>
      <c r="T45" s="193">
        <f>股权价值增加表!T53</f>
        <v>0</v>
      </c>
      <c r="U45" s="193">
        <f>股权价值增加表!U53</f>
        <v>4473174502.4399996</v>
      </c>
      <c r="V45" s="193">
        <f>股权价值增加表!V53</f>
        <v>0</v>
      </c>
      <c r="W45" s="193">
        <f>股权价值增加表!W53</f>
        <v>0</v>
      </c>
      <c r="X45" s="193">
        <f>股权价值增加表!X53</f>
        <v>0</v>
      </c>
      <c r="Y45" s="193">
        <f>股权价值增加表!Y53</f>
        <v>3087460245.1399999</v>
      </c>
      <c r="Z45" s="193">
        <f>股权价值增加表!Z53</f>
        <v>0</v>
      </c>
      <c r="AA45" s="193">
        <f>股权价值增加表!AA53</f>
        <v>0</v>
      </c>
      <c r="AB45" s="193">
        <f>股权价值增加表!AB53</f>
        <v>0</v>
      </c>
      <c r="AC45" s="193">
        <f>股权价值增加表!AC53</f>
        <v>2355419475.73</v>
      </c>
      <c r="AD45" s="193">
        <f>股权价值增加表!AD53</f>
        <v>0</v>
      </c>
      <c r="AE45" s="193">
        <f>股权价值增加表!AE53</f>
        <v>0</v>
      </c>
      <c r="AF45" s="193">
        <f>股权价值增加表!AF53</f>
        <v>0</v>
      </c>
      <c r="AG45" s="193">
        <f>股权价值增加表!AG53</f>
        <v>1899741637.1300001</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561827763.47000003</v>
      </c>
      <c r="C46" s="190">
        <v>543657475.20000005</v>
      </c>
      <c r="D46" s="190">
        <v>521986544.94</v>
      </c>
      <c r="E46" s="190">
        <v>547193421.73000002</v>
      </c>
      <c r="F46" s="190">
        <v>498649551.37</v>
      </c>
      <c r="G46" s="190">
        <v>523216022.29000002</v>
      </c>
      <c r="H46" s="190">
        <v>505349306.13999999</v>
      </c>
      <c r="I46" s="190">
        <v>546556001.24000001</v>
      </c>
      <c r="J46" s="190">
        <v>568906811.58000004</v>
      </c>
      <c r="K46" s="190">
        <v>491858735.13</v>
      </c>
      <c r="L46" s="190">
        <v>470856423.44</v>
      </c>
      <c r="M46" s="190">
        <v>515269996.10000002</v>
      </c>
      <c r="N46" s="190">
        <v>589604349.63999999</v>
      </c>
      <c r="O46" s="190">
        <v>753901825.37</v>
      </c>
      <c r="P46" s="190">
        <v>683348751.82000005</v>
      </c>
      <c r="Q46" s="190">
        <v>721341641.86000001</v>
      </c>
      <c r="R46" s="190">
        <v>734369709.38999999</v>
      </c>
      <c r="S46" s="190">
        <v>684458405.54999995</v>
      </c>
      <c r="T46" s="190">
        <v>670958104.64999998</v>
      </c>
      <c r="U46" s="190">
        <v>542220194.88999999</v>
      </c>
      <c r="V46" s="190">
        <v>601101575.14999998</v>
      </c>
      <c r="W46" s="190">
        <v>462651496.30000001</v>
      </c>
      <c r="X46" s="190">
        <v>502575426.82999998</v>
      </c>
      <c r="Y46" s="190">
        <v>456973115.51999998</v>
      </c>
      <c r="Z46" s="190">
        <v>403274000.18000001</v>
      </c>
      <c r="AA46" s="190">
        <v>288338753.61000001</v>
      </c>
      <c r="AB46" s="190">
        <v>283853133.02999997</v>
      </c>
      <c r="AC46" s="190">
        <v>215243421.41999999</v>
      </c>
      <c r="AD46" s="190">
        <v>144628877.05000001</v>
      </c>
      <c r="AE46" s="190">
        <v>148631837.62</v>
      </c>
      <c r="AF46" s="190">
        <v>179173918.36000001</v>
      </c>
      <c r="AG46" s="190">
        <v>145257282.15000001</v>
      </c>
      <c r="AH46" s="190">
        <v>117748762.08</v>
      </c>
      <c r="AI46" s="190">
        <v>123287054.05</v>
      </c>
      <c r="AJ46" s="190">
        <v>127266835.53</v>
      </c>
      <c r="AK46" s="190">
        <v>112878394.56999999</v>
      </c>
      <c r="AL46" s="190">
        <v>12872447.6</v>
      </c>
      <c r="AM46" s="190">
        <v>10215730.93</v>
      </c>
      <c r="AN46" s="190">
        <v>12166271.050000001</v>
      </c>
      <c r="AO46" s="190">
        <v>16700877.960000001</v>
      </c>
      <c r="AP46" s="190">
        <v>10686271.640000001</v>
      </c>
      <c r="AQ46" s="190">
        <v>13643759.439999999</v>
      </c>
      <c r="AR46" s="190">
        <v>14061090.66</v>
      </c>
      <c r="AS46" s="190">
        <v>16529830.199999999</v>
      </c>
      <c r="AT46" s="190">
        <v>37592517.210000001</v>
      </c>
      <c r="AU46" s="190">
        <v>10055255.49</v>
      </c>
      <c r="AV46" s="190">
        <v>10781416.24</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20237174899.23</v>
      </c>
      <c r="C47" s="190">
        <v>11629060112.52</v>
      </c>
      <c r="D47" s="190">
        <v>4938288773.0699997</v>
      </c>
      <c r="E47" s="190">
        <v>27239374164.630001</v>
      </c>
      <c r="F47" s="190">
        <v>22872798645.740002</v>
      </c>
      <c r="G47" s="190">
        <v>13119265547.9</v>
      </c>
      <c r="H47" s="190">
        <v>6121857702.5900002</v>
      </c>
      <c r="I47" s="190">
        <v>31887611235.619999</v>
      </c>
      <c r="J47" s="190">
        <v>23880182530.389999</v>
      </c>
      <c r="K47" s="190">
        <v>17428050116.860001</v>
      </c>
      <c r="L47" s="190">
        <v>6935158601.4700003</v>
      </c>
      <c r="M47" s="190">
        <v>30338619993.759998</v>
      </c>
      <c r="N47" s="190">
        <v>24493917157.889999</v>
      </c>
      <c r="O47" s="190">
        <v>11660129730.940001</v>
      </c>
      <c r="P47" s="190">
        <v>3983217998.6399999</v>
      </c>
      <c r="Q47" s="190">
        <v>19445428568.77</v>
      </c>
      <c r="R47" s="190">
        <v>13638268830.059999</v>
      </c>
      <c r="S47" s="190">
        <v>7951904928.9300003</v>
      </c>
      <c r="T47" s="190">
        <v>4545835530.9099998</v>
      </c>
      <c r="U47" s="190">
        <v>28601334092.52</v>
      </c>
      <c r="V47" s="190">
        <v>22961182737.540001</v>
      </c>
      <c r="W47" s="190">
        <v>14062233896.32</v>
      </c>
      <c r="X47" s="190">
        <v>7300918546.71</v>
      </c>
      <c r="Y47" s="190">
        <v>22160489579.16</v>
      </c>
      <c r="Z47" s="190">
        <v>18587591771.73</v>
      </c>
      <c r="AA47" s="190">
        <v>10734892374.690001</v>
      </c>
      <c r="AB47" s="190">
        <v>4104731723.3400002</v>
      </c>
      <c r="AC47" s="190">
        <v>18562720369.32</v>
      </c>
      <c r="AD47" s="190">
        <v>14941317385.139999</v>
      </c>
      <c r="AE47" s="190">
        <v>10416368327.610001</v>
      </c>
      <c r="AF47" s="190">
        <v>4144652927.1399999</v>
      </c>
      <c r="AG47" s="190">
        <v>21233643479.720001</v>
      </c>
      <c r="AH47" s="190">
        <v>16491288776.790001</v>
      </c>
      <c r="AI47" s="190">
        <v>10964018151.870001</v>
      </c>
      <c r="AJ47" s="190">
        <v>5162462204.8000002</v>
      </c>
      <c r="AK47" s="190">
        <v>19979698885.459999</v>
      </c>
      <c r="AL47" s="190">
        <v>3628835406.0900002</v>
      </c>
      <c r="AM47" s="190">
        <v>2512276093.1300001</v>
      </c>
      <c r="AN47" s="190">
        <v>1437869963.26</v>
      </c>
      <c r="AO47" s="190">
        <v>4112320000</v>
      </c>
      <c r="AP47" s="190">
        <v>2629320000</v>
      </c>
      <c r="AQ47" s="190">
        <v>1916820000</v>
      </c>
      <c r="AR47" s="190">
        <v>883320000</v>
      </c>
      <c r="AS47" s="190">
        <v>5182513631.4300003</v>
      </c>
      <c r="AT47" s="190">
        <v>4673085568.5299997</v>
      </c>
      <c r="AU47" s="190">
        <v>2758285568.5300002</v>
      </c>
      <c r="AV47" s="190">
        <v>617385568.52999997</v>
      </c>
      <c r="AW47" s="190">
        <v>2328736009.0300002</v>
      </c>
      <c r="AX47" s="190">
        <v>1217310000</v>
      </c>
      <c r="AY47" s="190">
        <v>777310000</v>
      </c>
      <c r="AZ47" s="190">
        <v>242000000</v>
      </c>
      <c r="BA47" s="190">
        <v>1291927124.3</v>
      </c>
      <c r="BB47" s="190">
        <v>856631669</v>
      </c>
      <c r="BC47" s="190">
        <v>658413101.61000001</v>
      </c>
      <c r="BD47" s="190">
        <v>200000000</v>
      </c>
      <c r="BE47" s="190">
        <v>881737160</v>
      </c>
      <c r="BF47" s="190">
        <v>722003602</v>
      </c>
      <c r="BG47" s="190">
        <v>481523602</v>
      </c>
      <c r="BH47" s="190">
        <v>90410000</v>
      </c>
      <c r="BI47" s="190">
        <v>721147402</v>
      </c>
      <c r="BJ47" s="190">
        <v>621883734</v>
      </c>
      <c r="BK47" s="190">
        <v>421473734</v>
      </c>
      <c r="BL47" s="190">
        <v>84240000</v>
      </c>
      <c r="BM47" s="190">
        <v>225522864.78</v>
      </c>
      <c r="BN47" s="190">
        <v>0</v>
      </c>
      <c r="BO47" s="190">
        <v>103000000</v>
      </c>
      <c r="BP47" s="190">
        <v>91000000</v>
      </c>
      <c r="BQ47" s="190">
        <v>168000000</v>
      </c>
      <c r="BR47" s="190">
        <v>123000000</v>
      </c>
      <c r="BS47" s="190">
        <v>45000000</v>
      </c>
      <c r="BT47" s="190">
        <v>0</v>
      </c>
      <c r="BU47" s="190">
        <v>0</v>
      </c>
      <c r="BV47" s="190">
        <v>0</v>
      </c>
    </row>
    <row r="48" spans="1:74" s="193" customFormat="1" x14ac:dyDescent="0.25">
      <c r="A48" s="193" t="s">
        <v>598</v>
      </c>
      <c r="B48" s="190">
        <v>0</v>
      </c>
      <c r="C48" s="190">
        <v>0</v>
      </c>
      <c r="D48" s="190">
        <v>0</v>
      </c>
      <c r="E48" s="190">
        <v>0</v>
      </c>
      <c r="F48" s="190">
        <v>0</v>
      </c>
      <c r="G48" s="190">
        <v>0</v>
      </c>
      <c r="H48" s="190">
        <v>0</v>
      </c>
      <c r="I48" s="190">
        <v>1198920000</v>
      </c>
      <c r="J48" s="190">
        <v>0</v>
      </c>
      <c r="K48" s="190">
        <v>0</v>
      </c>
      <c r="L48" s="190">
        <v>0</v>
      </c>
      <c r="M48" s="190">
        <v>0</v>
      </c>
      <c r="N48" s="190">
        <v>0</v>
      </c>
      <c r="O48" s="190">
        <v>0</v>
      </c>
      <c r="P48" s="190">
        <v>0</v>
      </c>
      <c r="Q48" s="190">
        <v>0</v>
      </c>
      <c r="R48" s="190">
        <v>1796057400</v>
      </c>
      <c r="S48" s="190">
        <v>1796057400</v>
      </c>
      <c r="T48" s="190">
        <v>1796057400</v>
      </c>
      <c r="U48" s="190">
        <v>0</v>
      </c>
      <c r="V48" s="190">
        <v>0</v>
      </c>
      <c r="W48" s="190">
        <v>0</v>
      </c>
      <c r="X48" s="190">
        <v>0</v>
      </c>
      <c r="Y48" s="190">
        <v>0</v>
      </c>
      <c r="Z48" s="190">
        <v>0</v>
      </c>
      <c r="AA48" s="190">
        <v>0</v>
      </c>
      <c r="AB48" s="190">
        <v>0</v>
      </c>
      <c r="AC48" s="190">
        <v>0</v>
      </c>
      <c r="AD48" s="190">
        <v>4566000000</v>
      </c>
      <c r="AE48" s="190">
        <v>4566000000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-2850139980.9599991</v>
      </c>
      <c r="F49" s="193">
        <f t="shared" ref="F49:BQ49" si="85">F44+F48-F45-F46-F47</f>
        <v>3374295059.9599991</v>
      </c>
      <c r="G49" s="193">
        <f t="shared" si="85"/>
        <v>2094601433.5599995</v>
      </c>
      <c r="H49" s="193">
        <f t="shared" si="85"/>
        <v>-90657463.220000267</v>
      </c>
      <c r="I49" s="193">
        <f t="shared" si="85"/>
        <v>5148441169.1800041</v>
      </c>
      <c r="J49" s="193">
        <f t="shared" si="85"/>
        <v>8896971759.2099991</v>
      </c>
      <c r="K49" s="193">
        <f t="shared" si="85"/>
        <v>7790973404.7799988</v>
      </c>
      <c r="L49" s="193">
        <f t="shared" si="85"/>
        <v>1957218875.0999994</v>
      </c>
      <c r="M49" s="193">
        <f t="shared" si="85"/>
        <v>-6510949967.0099945</v>
      </c>
      <c r="N49" s="193">
        <f t="shared" si="85"/>
        <v>-842690337.77000046</v>
      </c>
      <c r="O49" s="193">
        <f t="shared" si="85"/>
        <v>-202186536.55000114</v>
      </c>
      <c r="P49" s="193">
        <f t="shared" si="85"/>
        <v>-1799566750.46</v>
      </c>
      <c r="Q49" s="193">
        <f t="shared" si="85"/>
        <v>-2410445510.4300003</v>
      </c>
      <c r="R49" s="193">
        <f t="shared" si="85"/>
        <v>5787853759.8600025</v>
      </c>
      <c r="S49" s="193">
        <f t="shared" si="85"/>
        <v>5744693530.0900002</v>
      </c>
      <c r="T49" s="193">
        <f t="shared" si="85"/>
        <v>3027504272.5500002</v>
      </c>
      <c r="U49" s="193">
        <f t="shared" si="85"/>
        <v>2409341252.6699982</v>
      </c>
      <c r="V49" s="193">
        <f t="shared" si="85"/>
        <v>5088393721.0599976</v>
      </c>
      <c r="W49" s="193">
        <f t="shared" si="85"/>
        <v>4826612375.9300003</v>
      </c>
      <c r="X49" s="193">
        <f t="shared" si="85"/>
        <v>3929285625.0700006</v>
      </c>
      <c r="Y49" s="193">
        <f t="shared" si="85"/>
        <v>12994077915.380001</v>
      </c>
      <c r="Z49" s="193">
        <f t="shared" si="85"/>
        <v>8920197562.4900017</v>
      </c>
      <c r="AA49" s="193">
        <f t="shared" si="85"/>
        <v>7802478935.7999973</v>
      </c>
      <c r="AB49" s="193">
        <f t="shared" si="85"/>
        <v>3026077766.4800005</v>
      </c>
      <c r="AC49" s="193">
        <f t="shared" si="85"/>
        <v>11677888091.490002</v>
      </c>
      <c r="AD49" s="193">
        <f t="shared" si="85"/>
        <v>8866273257.9900017</v>
      </c>
      <c r="AE49" s="193">
        <f t="shared" si="85"/>
        <v>6720949613.9999981</v>
      </c>
      <c r="AF49" s="193">
        <f t="shared" si="85"/>
        <v>5483473062.2900009</v>
      </c>
      <c r="AG49" s="193">
        <f t="shared" si="85"/>
        <v>9219093289.1399956</v>
      </c>
      <c r="AH49" s="193">
        <f t="shared" si="85"/>
        <v>8148865010.8399963</v>
      </c>
      <c r="AI49" s="193">
        <f t="shared" si="85"/>
        <v>5357990328.8500004</v>
      </c>
      <c r="AJ49" s="193">
        <f t="shared" si="85"/>
        <v>2021423704.0299997</v>
      </c>
      <c r="AK49" s="193">
        <f t="shared" si="85"/>
        <v>9138964112.2700005</v>
      </c>
      <c r="AL49" s="193">
        <f t="shared" si="85"/>
        <v>65632146.309999943</v>
      </c>
      <c r="AM49" s="193">
        <f t="shared" si="85"/>
        <v>-131781824.05999994</v>
      </c>
      <c r="AN49" s="193">
        <f t="shared" si="85"/>
        <v>88173765.690000057</v>
      </c>
      <c r="AO49" s="193">
        <f t="shared" si="85"/>
        <v>822269122.03999996</v>
      </c>
      <c r="AP49" s="193">
        <f t="shared" si="85"/>
        <v>669993728.36000013</v>
      </c>
      <c r="AQ49" s="193">
        <f t="shared" si="85"/>
        <v>448536240.55999994</v>
      </c>
      <c r="AR49" s="193">
        <f t="shared" si="85"/>
        <v>136118909.34000003</v>
      </c>
      <c r="AS49" s="193">
        <f t="shared" si="85"/>
        <v>-286243461.63000011</v>
      </c>
      <c r="AT49" s="193">
        <f t="shared" si="85"/>
        <v>-598178085.73999977</v>
      </c>
      <c r="AU49" s="193">
        <f t="shared" si="85"/>
        <v>91659175.980000019</v>
      </c>
      <c r="AV49" s="193">
        <f t="shared" si="85"/>
        <v>342633015.23000002</v>
      </c>
      <c r="AW49" s="193">
        <f t="shared" si="85"/>
        <v>-152273867.03000021</v>
      </c>
      <c r="AX49" s="193">
        <f t="shared" si="85"/>
        <v>50712000</v>
      </c>
      <c r="AY49" s="193">
        <f t="shared" si="85"/>
        <v>30712000</v>
      </c>
      <c r="AZ49" s="193">
        <f t="shared" si="85"/>
        <v>-42000000</v>
      </c>
      <c r="BA49" s="193">
        <f t="shared" si="85"/>
        <v>-111927124.29999995</v>
      </c>
      <c r="BB49" s="193">
        <f t="shared" si="85"/>
        <v>-226631669</v>
      </c>
      <c r="BC49" s="193">
        <f t="shared" si="85"/>
        <v>-188413101.61000001</v>
      </c>
      <c r="BD49" s="193">
        <f t="shared" si="85"/>
        <v>50000000</v>
      </c>
      <c r="BE49" s="193">
        <f t="shared" si="85"/>
        <v>606262840</v>
      </c>
      <c r="BF49" s="193">
        <f t="shared" si="85"/>
        <v>393496398</v>
      </c>
      <c r="BG49" s="193">
        <f t="shared" si="85"/>
        <v>553976398</v>
      </c>
      <c r="BH49" s="193">
        <f t="shared" si="85"/>
        <v>349590000</v>
      </c>
      <c r="BI49" s="193">
        <f t="shared" si="85"/>
        <v>-281147402</v>
      </c>
      <c r="BJ49" s="193">
        <f t="shared" si="85"/>
        <v>-311883734</v>
      </c>
      <c r="BK49" s="193">
        <f t="shared" si="85"/>
        <v>-271473734</v>
      </c>
      <c r="BL49" s="193">
        <f t="shared" si="85"/>
        <v>-24240000</v>
      </c>
      <c r="BM49" s="193">
        <f t="shared" si="85"/>
        <v>-95522864.780000001</v>
      </c>
      <c r="BN49" s="193">
        <f t="shared" si="85"/>
        <v>0</v>
      </c>
      <c r="BO49" s="193">
        <f t="shared" si="85"/>
        <v>-75000000</v>
      </c>
      <c r="BP49" s="193">
        <f t="shared" si="85"/>
        <v>-63000000</v>
      </c>
      <c r="BQ49" s="193">
        <f t="shared" si="85"/>
        <v>-87000000</v>
      </c>
      <c r="BR49" s="193">
        <f t="shared" ref="BR49:BV49" si="86">BR44+BR48-BR45-BR46-BR47</f>
        <v>-59000000</v>
      </c>
      <c r="BS49" s="193">
        <f t="shared" si="86"/>
        <v>29000000</v>
      </c>
      <c r="BT49" s="193">
        <f t="shared" si="86"/>
        <v>20000000</v>
      </c>
      <c r="BU49" s="193">
        <f t="shared" si="86"/>
        <v>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BT9"/>
    </sheetView>
  </sheetViews>
  <sheetFormatPr defaultRowHeight="14.4" x14ac:dyDescent="0.25"/>
  <cols>
    <col min="1" max="1" width="63.6640625" style="17" bestFit="1" customWidth="1"/>
    <col min="2" max="4" width="9.554687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1" width="21.5546875" hidden="1" customWidth="1"/>
    <col min="32"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9.33203125" bestFit="1" customWidth="1"/>
    <col min="73" max="73" width="19.33203125" hidden="1" customWidth="1"/>
    <col min="74" max="74" width="17.21875" hidden="1" customWidth="1"/>
  </cols>
  <sheetData>
    <row r="1" spans="1:74"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x14ac:dyDescent="0.25">
      <c r="A2" s="46" t="s">
        <v>327</v>
      </c>
    </row>
    <row r="3" spans="1:74" s="26" customFormat="1" x14ac:dyDescent="0.25">
      <c r="A3" s="17" t="s">
        <v>328</v>
      </c>
      <c r="B3" s="26">
        <f>平均资本成本表!E53</f>
        <v>0</v>
      </c>
      <c r="E3" s="26">
        <f>股权价值增加表!E53</f>
        <v>4903196579.6599998</v>
      </c>
      <c r="F3" s="26">
        <f>股权价值增加表!F53</f>
        <v>0</v>
      </c>
      <c r="G3" s="26">
        <f>股权价值增加表!G53</f>
        <v>0</v>
      </c>
      <c r="H3" s="26">
        <f>股权价值增加表!H53</f>
        <v>0</v>
      </c>
      <c r="I3" s="26">
        <f>股权价值增加表!I53</f>
        <v>5000113916.4899998</v>
      </c>
      <c r="J3" s="26">
        <f>股权价值增加表!J53</f>
        <v>0</v>
      </c>
      <c r="K3" s="26">
        <f>股权价值增加表!K53</f>
        <v>0</v>
      </c>
      <c r="L3" s="26">
        <f>股权价值增加表!L53</f>
        <v>0</v>
      </c>
      <c r="M3" s="26">
        <f>股权价值增加表!M53</f>
        <v>5901446446.1199999</v>
      </c>
      <c r="N3" s="26">
        <f>股权价值增加表!N53</f>
        <v>0</v>
      </c>
      <c r="O3" s="26">
        <f>股权价值增加表!O53</f>
        <v>0</v>
      </c>
      <c r="P3" s="26">
        <f>股权价值增加表!P53</f>
        <v>0</v>
      </c>
      <c r="Q3" s="26">
        <f>股权价值增加表!Q53</f>
        <v>6178007990.4099998</v>
      </c>
      <c r="R3" s="26">
        <f>股权价值增加表!R53</f>
        <v>0</v>
      </c>
      <c r="S3" s="26">
        <f>股权价值增加表!S53</f>
        <v>0</v>
      </c>
      <c r="T3" s="26">
        <f>股权价值增加表!T53</f>
        <v>0</v>
      </c>
      <c r="U3" s="26">
        <f>股权价值增加表!U53</f>
        <v>4473174502.4399996</v>
      </c>
      <c r="V3" s="26">
        <f>股权价值增加表!V53</f>
        <v>0</v>
      </c>
      <c r="W3" s="26">
        <f>股权价值增加表!W53</f>
        <v>0</v>
      </c>
      <c r="X3" s="26">
        <f>股权价值增加表!X53</f>
        <v>0</v>
      </c>
      <c r="Y3" s="26">
        <f>股权价值增加表!Y53</f>
        <v>3087460245.1399999</v>
      </c>
      <c r="Z3" s="26">
        <f>股权价值增加表!Z53</f>
        <v>0</v>
      </c>
      <c r="AA3" s="26">
        <f>股权价值增加表!AA53</f>
        <v>0</v>
      </c>
      <c r="AB3" s="26">
        <f>股权价值增加表!AB53</f>
        <v>0</v>
      </c>
      <c r="AC3" s="26">
        <f>股权价值增加表!AC53</f>
        <v>2355419475.73</v>
      </c>
      <c r="AD3" s="26">
        <f>股权价值增加表!AD53</f>
        <v>0</v>
      </c>
      <c r="AE3" s="26">
        <f>股权价值增加表!AE53</f>
        <v>0</v>
      </c>
      <c r="AF3" s="26">
        <f>股权价值增加表!AF53</f>
        <v>0</v>
      </c>
      <c r="AG3" s="26">
        <f>股权价值增加表!AG53</f>
        <v>1899741637.1300001</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132005266454.61002</v>
      </c>
      <c r="F4" s="26">
        <f>资产资本表!F89</f>
        <v>133317834415.88</v>
      </c>
      <c r="G4" s="26">
        <f>资产资本表!G89</f>
        <v>131292851804.45</v>
      </c>
      <c r="H4" s="26">
        <f>资产资本表!H89</f>
        <v>127571243650</v>
      </c>
      <c r="I4" s="26">
        <f>资产资本表!I89</f>
        <v>125974074247.99001</v>
      </c>
      <c r="J4" s="26">
        <f>资产资本表!J89</f>
        <v>123673278493.73001</v>
      </c>
      <c r="K4" s="26">
        <f>资产资本表!K89</f>
        <v>123890413628.85001</v>
      </c>
      <c r="L4" s="26">
        <f>资产资本表!L89</f>
        <v>118075104033.07001</v>
      </c>
      <c r="M4" s="26">
        <f>资产资本表!M89</f>
        <v>116193465975.46001</v>
      </c>
      <c r="N4" s="26">
        <f>资产资本表!N89</f>
        <v>116050132474.43001</v>
      </c>
      <c r="O4" s="26">
        <f>资产资本表!O89</f>
        <v>116988149613.63</v>
      </c>
      <c r="P4" s="26">
        <f>资产资本表!P89</f>
        <v>116821627486.50999</v>
      </c>
      <c r="Q4" s="26">
        <f>资产资本表!Q89</f>
        <v>117969330450.48001</v>
      </c>
      <c r="R4" s="26">
        <f>资产资本表!R89</f>
        <v>119919185297.60999</v>
      </c>
      <c r="S4" s="26">
        <f>资产资本表!S89</f>
        <v>119844023765.16</v>
      </c>
      <c r="T4" s="26">
        <f>资产资本表!T89</f>
        <v>119274311045.56001</v>
      </c>
      <c r="U4" s="26">
        <f>资产资本表!U89</f>
        <v>113940755294.97</v>
      </c>
      <c r="V4" s="26">
        <f>资产资本表!V89</f>
        <v>111084052639.14001</v>
      </c>
      <c r="W4" s="26">
        <f>资产资本表!W89</f>
        <v>111332188248.96001</v>
      </c>
      <c r="X4" s="26">
        <f>资产资本表!X89</f>
        <v>111021470315.53999</v>
      </c>
      <c r="Y4" s="26">
        <f>资产资本表!Y89</f>
        <v>106968681981.24001</v>
      </c>
      <c r="Z4" s="26">
        <f>资产资本表!Z89</f>
        <v>103900703165.55</v>
      </c>
      <c r="AA4" s="26">
        <f>资产资本表!AA89</f>
        <v>99273161655.060013</v>
      </c>
      <c r="AB4" s="26">
        <f>资产资本表!AB89</f>
        <v>94487685758.560013</v>
      </c>
      <c r="AC4" s="26">
        <f>资产资本表!AC89</f>
        <v>94292459934.269989</v>
      </c>
      <c r="AD4" s="26">
        <f>资产资本表!AD89</f>
        <v>84380055578.039993</v>
      </c>
      <c r="AE4" s="26">
        <f>资产资本表!AE89</f>
        <v>83566682206.26001</v>
      </c>
      <c r="AF4" s="26">
        <f>资产资本表!AF89</f>
        <v>82265997954.630005</v>
      </c>
      <c r="AG4" s="26">
        <f>资产资本表!AG89</f>
        <v>77227010693.669998</v>
      </c>
      <c r="AH4" s="26">
        <f>资产资本表!AH89</f>
        <v>73819205531.600006</v>
      </c>
      <c r="AI4" s="26">
        <f>资产资本表!AI89</f>
        <v>70987754659.220001</v>
      </c>
      <c r="AJ4" s="26">
        <f>资产资本表!AJ89</f>
        <v>68071784304.360001</v>
      </c>
      <c r="AK4" s="26">
        <f>资产资本表!AK89</f>
        <v>65745750712.239998</v>
      </c>
      <c r="AL4" s="26">
        <f>资产资本表!AL89</f>
        <v>10886943681.51</v>
      </c>
      <c r="AM4" s="26">
        <f>资产资本表!AM89</f>
        <v>10684099637.799999</v>
      </c>
      <c r="AN4" s="26">
        <f>资产资本表!AN89</f>
        <v>10907956307.790001</v>
      </c>
      <c r="AO4" s="26">
        <f>资产资本表!AO89</f>
        <v>10812150877.959999</v>
      </c>
      <c r="AP4" s="26">
        <f>资产资本表!AP89</f>
        <v>10627846271.639999</v>
      </c>
      <c r="AQ4" s="26">
        <f>资产资本表!AQ89</f>
        <v>10412303759.440001</v>
      </c>
      <c r="AR4" s="26">
        <f>资产资本表!AR89</f>
        <v>10120721090.66</v>
      </c>
      <c r="AS4" s="26">
        <f>资产资本表!AS89</f>
        <v>9973009830.2000008</v>
      </c>
      <c r="AT4" s="26">
        <f>资产资本表!AT89</f>
        <v>9689972517.2099991</v>
      </c>
      <c r="AU4" s="26">
        <f>资产资本表!AU89</f>
        <v>10324735255.49</v>
      </c>
      <c r="AV4" s="26">
        <f>资产资本表!AV89</f>
        <v>10577161416.24</v>
      </c>
      <c r="AW4" s="26">
        <f>资产资本表!AW89</f>
        <v>10203230000</v>
      </c>
      <c r="AX4" s="26">
        <f>资产资本表!AX89</f>
        <v>5786136265.6300001</v>
      </c>
      <c r="AY4" s="26">
        <f>资产资本表!AY89</f>
        <v>5766166044.3800001</v>
      </c>
      <c r="AZ4" s="26">
        <f>资产资本表!AZ89</f>
        <v>5827019430</v>
      </c>
      <c r="BA4" s="26">
        <f>资产资本表!BA89</f>
        <v>5869040000</v>
      </c>
      <c r="BB4" s="26">
        <f>资产资本表!BB89</f>
        <v>5758809594.1000004</v>
      </c>
      <c r="BC4" s="26">
        <f>资产资本表!BC89</f>
        <v>5792665632.7600002</v>
      </c>
      <c r="BD4" s="26">
        <f>资产资本表!BD89</f>
        <v>6036706913.0799999</v>
      </c>
      <c r="BE4" s="26">
        <f>资产资本表!BE89</f>
        <v>5980986047.7600002</v>
      </c>
      <c r="BF4" s="26">
        <f>资产资本表!BF89</f>
        <v>5868216921.6999998</v>
      </c>
      <c r="BG4" s="26">
        <f>资产资本表!BG89</f>
        <v>5978696921.6999998</v>
      </c>
      <c r="BH4" s="26">
        <f>资产资本表!BH89</f>
        <v>2958287839.6399999</v>
      </c>
      <c r="BI4" s="26">
        <f>资产资本表!BI89</f>
        <v>2608697839.6400003</v>
      </c>
      <c r="BJ4" s="26">
        <f>资产资本表!BJ89</f>
        <v>2577958977.4699998</v>
      </c>
      <c r="BK4" s="26">
        <f>资产资本表!BK89</f>
        <v>2618369329.2399998</v>
      </c>
      <c r="BL4" s="26">
        <f>资产资本表!BL89</f>
        <v>2865586394.5700002</v>
      </c>
      <c r="BM4" s="26">
        <f>资产资本表!BM89</f>
        <v>2891522547.29</v>
      </c>
      <c r="BN4" s="26">
        <f>资产资本表!BN89</f>
        <v>0</v>
      </c>
      <c r="BO4" s="26">
        <f>资产资本表!BO89</f>
        <v>0</v>
      </c>
      <c r="BP4" s="26">
        <f>资产资本表!BP89</f>
        <v>0</v>
      </c>
      <c r="BQ4" s="26">
        <f>资产资本表!BQ89</f>
        <v>0</v>
      </c>
      <c r="BR4" s="26">
        <f>资产资本表!BR89</f>
        <v>12000000</v>
      </c>
      <c r="BS4" s="26">
        <f>资产资本表!BS89</f>
        <v>75000000</v>
      </c>
      <c r="BT4" s="26">
        <f>资产资本表!BT89</f>
        <v>103000000</v>
      </c>
      <c r="BU4" s="26">
        <f>资产资本表!BU89</f>
        <v>162000000</v>
      </c>
      <c r="BV4" s="26">
        <f>资产资本表!BV89</f>
        <v>163000000</v>
      </c>
    </row>
    <row r="5" spans="1:74" s="63" customFormat="1" x14ac:dyDescent="0.25">
      <c r="A5" s="63" t="s">
        <v>333</v>
      </c>
      <c r="E5" s="63">
        <f>IF(E4+I4=0,0,E3/((E4+I4)/2))</f>
        <v>3.80123196400632E-2</v>
      </c>
      <c r="F5" s="63">
        <f t="shared" ref="F5:BQ5" si="0">IF(F4+J4=0,0,F3/((F4+J4)/2))</f>
        <v>0</v>
      </c>
      <c r="G5" s="63">
        <f t="shared" si="0"/>
        <v>0</v>
      </c>
      <c r="H5" s="63">
        <f t="shared" si="0"/>
        <v>0</v>
      </c>
      <c r="I5" s="63">
        <f t="shared" si="0"/>
        <v>4.1294666592197722E-2</v>
      </c>
      <c r="J5" s="63">
        <f t="shared" si="0"/>
        <v>0</v>
      </c>
      <c r="K5" s="63">
        <f t="shared" si="0"/>
        <v>0</v>
      </c>
      <c r="L5" s="63">
        <f t="shared" si="0"/>
        <v>0</v>
      </c>
      <c r="M5" s="63">
        <f t="shared" si="0"/>
        <v>5.0404646136744308E-2</v>
      </c>
      <c r="N5" s="63">
        <f t="shared" si="0"/>
        <v>0</v>
      </c>
      <c r="O5" s="63">
        <f t="shared" si="0"/>
        <v>0</v>
      </c>
      <c r="P5" s="63">
        <f t="shared" si="0"/>
        <v>0</v>
      </c>
      <c r="Q5" s="63">
        <f t="shared" si="0"/>
        <v>5.3279338589794042E-2</v>
      </c>
      <c r="R5" s="63">
        <f t="shared" si="0"/>
        <v>0</v>
      </c>
      <c r="S5" s="63">
        <f t="shared" si="0"/>
        <v>0</v>
      </c>
      <c r="T5" s="63">
        <f t="shared" si="0"/>
        <v>0</v>
      </c>
      <c r="U5" s="63">
        <f t="shared" si="0"/>
        <v>4.0497812656568842E-2</v>
      </c>
      <c r="V5" s="63">
        <f t="shared" si="0"/>
        <v>0</v>
      </c>
      <c r="W5" s="63">
        <f t="shared" si="0"/>
        <v>0</v>
      </c>
      <c r="X5" s="63">
        <f t="shared" si="0"/>
        <v>0</v>
      </c>
      <c r="Y5" s="63">
        <f t="shared" si="0"/>
        <v>3.068113611753355E-2</v>
      </c>
      <c r="Z5" s="63">
        <f t="shared" si="0"/>
        <v>0</v>
      </c>
      <c r="AA5" s="63">
        <f t="shared" si="0"/>
        <v>0</v>
      </c>
      <c r="AB5" s="63">
        <f t="shared" si="0"/>
        <v>0</v>
      </c>
      <c r="AC5" s="63">
        <f t="shared" si="0"/>
        <v>2.7465330520280995E-2</v>
      </c>
      <c r="AD5" s="63">
        <f t="shared" si="0"/>
        <v>0</v>
      </c>
      <c r="AE5" s="63">
        <f t="shared" si="0"/>
        <v>0</v>
      </c>
      <c r="AF5" s="63">
        <f t="shared" si="0"/>
        <v>0</v>
      </c>
      <c r="AG5" s="63">
        <f t="shared" si="0"/>
        <v>2.6574875080386764E-2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0.14537088847306123</v>
      </c>
      <c r="F6" s="63">
        <f>股权价值增加表!F41</f>
        <v>0.14555951391132294</v>
      </c>
      <c r="G6" s="63">
        <f>股权价值增加表!G41</f>
        <v>0.16421087269855725</v>
      </c>
      <c r="H6" s="63">
        <f>股权价值增加表!H41</f>
        <v>0.11989189951778155</v>
      </c>
      <c r="I6" s="63">
        <f>股权价值增加表!I41</f>
        <v>0.11881093236113874</v>
      </c>
      <c r="J6" s="63">
        <f>股权价值增加表!J41</f>
        <v>0.127791376814507</v>
      </c>
      <c r="K6" s="63">
        <f>股权价值增加表!K41</f>
        <v>0.14373641829941033</v>
      </c>
      <c r="L6" s="63">
        <f>股权价值增加表!L41</f>
        <v>0.11721528077801022</v>
      </c>
      <c r="M6" s="63">
        <f>股权价值增加表!M41</f>
        <v>8.0698007852178538E-2</v>
      </c>
      <c r="N6" s="63">
        <f>股权价值增加表!N41</f>
        <v>8.5445071717260956E-2</v>
      </c>
      <c r="O6" s="63">
        <f>股权价值增加表!O41</f>
        <v>0.10296968076741975</v>
      </c>
      <c r="P6" s="63">
        <f>股权价值增加表!P41</f>
        <v>0.10364644653515846</v>
      </c>
      <c r="Q6" s="63">
        <f>股权价值增加表!Q41</f>
        <v>7.2011127453440321E-2</v>
      </c>
      <c r="R6" s="63">
        <f>股权价值增加表!R41</f>
        <v>7.4658990623546709E-2</v>
      </c>
      <c r="S6" s="63">
        <f>股权价值增加表!S41</f>
        <v>0.10420324955388001</v>
      </c>
      <c r="T6" s="63">
        <f>股权价值增加表!T41</f>
        <v>0.12635228291857953</v>
      </c>
      <c r="U6" s="63">
        <f>股权价值增加表!U41</f>
        <v>0.10596553295144973</v>
      </c>
      <c r="V6" s="63">
        <f>股权价值增加表!V41</f>
        <v>0.10005555617415327</v>
      </c>
      <c r="W6" s="63">
        <f>股权价值增加表!W41</f>
        <v>9.5074955794082344E-2</v>
      </c>
      <c r="X6" s="63">
        <f>股权价值增加表!X41</f>
        <v>0.10163135388114726</v>
      </c>
      <c r="Y6" s="63">
        <f>股权价值增加表!Y41</f>
        <v>0.13061066155990139</v>
      </c>
      <c r="Z6" s="63">
        <f>股权价值增加表!Z41</f>
        <v>0.13928865734970555</v>
      </c>
      <c r="AA6" s="63">
        <f>股权价值增加表!AA41</f>
        <v>0.38714434418019877</v>
      </c>
      <c r="AB6" s="63">
        <f>股权价值增加表!AB41</f>
        <v>-0.76349471892534004</v>
      </c>
      <c r="AC6" s="63">
        <f>股权价值增加表!AC41</f>
        <v>0.25640350746984741</v>
      </c>
      <c r="AD6" s="63">
        <f>股权价值增加表!AD41</f>
        <v>0.26372394939473487</v>
      </c>
      <c r="AE6" s="63">
        <f>股权价值增加表!AE41</f>
        <v>0.29772799283786699</v>
      </c>
      <c r="AF6" s="63">
        <f>股权价值增加表!AF41</f>
        <v>0.48344971069696774</v>
      </c>
      <c r="AG6" s="63">
        <f>股权价值增加表!AG41</f>
        <v>0.21125461647802535</v>
      </c>
      <c r="AH6" s="63">
        <f>股权价值增加表!AH41</f>
        <v>0.18048027854505508</v>
      </c>
      <c r="AI6" s="63">
        <f>股权价值增加表!AI41</f>
        <v>0.22680443634956277</v>
      </c>
      <c r="AJ6" s="63">
        <f>股权价值增加表!AJ41</f>
        <v>0.22730585178410481</v>
      </c>
      <c r="AK6" s="63">
        <f>股权价值增加表!AK41</f>
        <v>0.18518426454444262</v>
      </c>
      <c r="AL6" s="63">
        <f>股权价值增加表!AL41</f>
        <v>0.20567818403824767</v>
      </c>
      <c r="AM6" s="63">
        <f>股权价值增加表!AM41</f>
        <v>0.23376895467762085</v>
      </c>
      <c r="AN6" s="63">
        <f>股权价值增加表!AN41</f>
        <v>0.30182864869171794</v>
      </c>
      <c r="AO6" s="63">
        <f>股权价值增加表!AO41</f>
        <v>0.39897153428654025</v>
      </c>
      <c r="AP6" s="63">
        <f>股权价值增加表!AP41</f>
        <v>0.24491420159287217</v>
      </c>
      <c r="AQ6" s="63">
        <f>股权价值增加表!AQ41</f>
        <v>0.18671807851507913</v>
      </c>
      <c r="AR6" s="63">
        <f>股权价值增加表!AR41</f>
        <v>0.15319182886896118</v>
      </c>
      <c r="AS6" s="63">
        <f>股权价值增加表!AS41</f>
        <v>0.13201162468255134</v>
      </c>
      <c r="AT6" s="63">
        <f>股权价值增加表!AT41</f>
        <v>9.9433785437056207E-2</v>
      </c>
      <c r="AU6" s="63">
        <f>股权价值增加表!AU41</f>
        <v>8.8884130059278713E-2</v>
      </c>
      <c r="AV6" s="63">
        <f>股权价值增加表!AV41</f>
        <v>0.11279834948936468</v>
      </c>
      <c r="AW6" s="63">
        <f>股权价值增加表!AW41</f>
        <v>8.9673612483609152E-2</v>
      </c>
      <c r="AX6" s="63">
        <f>股权价值增加表!AX41</f>
        <v>9.5316627897110998E-2</v>
      </c>
      <c r="AY6" s="63">
        <f>股权价值增加表!AY41</f>
        <v>8.5839177902641201E-2</v>
      </c>
      <c r="AZ6" s="63">
        <f>股权价值增加表!AZ41</f>
        <v>9.6369586685810332E-2</v>
      </c>
      <c r="BA6" s="63">
        <f>股权价值增加表!BA41</f>
        <v>6.9824938151696908E-2</v>
      </c>
      <c r="BB6" s="63">
        <f>股权价值增加表!BB41</f>
        <v>7.5024488663996511E-2</v>
      </c>
      <c r="BC6" s="63">
        <f>股权价值增加表!BC41</f>
        <v>7.2512423273572602E-2</v>
      </c>
      <c r="BD6" s="63">
        <f>股权价值增加表!BD41</f>
        <v>6.0129282318235992E-2</v>
      </c>
      <c r="BE6" s="63">
        <f>股权价值增加表!BE41</f>
        <v>6.9842959452023706E-2</v>
      </c>
      <c r="BF6" s="63">
        <f>股权价值增加表!BF41</f>
        <v>7.0191223293995811E-2</v>
      </c>
      <c r="BG6" s="63">
        <f>股权价值增加表!BG41</f>
        <v>6.6940464314442213E-2</v>
      </c>
      <c r="BH6" s="63">
        <f>股权价值增加表!BH41</f>
        <v>2.5818650174769815E-2</v>
      </c>
      <c r="BI6" s="63">
        <f>股权价值增加表!BI41</f>
        <v>8.6210272805875621E-2</v>
      </c>
      <c r="BJ6" s="63">
        <f>股权价值增加表!BJ41</f>
        <v>8.1575959717702373E-2</v>
      </c>
      <c r="BK6" s="63">
        <f>股权价值增加表!BK41</f>
        <v>8.9449414803942626E-2</v>
      </c>
      <c r="BL6" s="63">
        <f>股权价值增加表!BL41</f>
        <v>9.9664614282560404E-2</v>
      </c>
      <c r="BM6" s="63">
        <f>股权价值增加表!BM41</f>
        <v>1.1830294418948148</v>
      </c>
      <c r="BN6" s="63">
        <f>股权价值增加表!BN41</f>
        <v>0</v>
      </c>
      <c r="BO6" s="63">
        <f>股权价值增加表!BO41</f>
        <v>0</v>
      </c>
      <c r="BP6" s="63">
        <f>股权价值增加表!BP41</f>
        <v>0</v>
      </c>
      <c r="BQ6" s="63">
        <f>股权价值增加表!BQ41</f>
        <v>0</v>
      </c>
      <c r="BR6" s="63">
        <f>股权价值增加表!BR41</f>
        <v>0</v>
      </c>
      <c r="BS6" s="63">
        <f>股权价值增加表!BS41</f>
        <v>0</v>
      </c>
      <c r="BT6" s="63">
        <f>股权价值增加表!BT41</f>
        <v>0</v>
      </c>
      <c r="BU6" s="63">
        <f>股权价值增加表!BU41</f>
        <v>0</v>
      </c>
    </row>
    <row r="7" spans="1:74" s="63" customFormat="1" x14ac:dyDescent="0.25">
      <c r="A7" s="63" t="s">
        <v>330</v>
      </c>
      <c r="E7" s="63">
        <f>E5*(1-E6)</f>
        <v>3.2486434961065215E-2</v>
      </c>
      <c r="F7" s="63">
        <f t="shared" ref="F7:BQ7" si="2">F5*(1-F6)</f>
        <v>0</v>
      </c>
      <c r="G7" s="63">
        <f t="shared" si="2"/>
        <v>0</v>
      </c>
      <c r="H7" s="63">
        <f t="shared" si="2"/>
        <v>0</v>
      </c>
      <c r="I7" s="63">
        <f t="shared" si="2"/>
        <v>3.6388408752836346E-2</v>
      </c>
      <c r="J7" s="63">
        <f t="shared" si="2"/>
        <v>0</v>
      </c>
      <c r="K7" s="63">
        <f t="shared" si="2"/>
        <v>0</v>
      </c>
      <c r="L7" s="63">
        <f t="shared" si="2"/>
        <v>0</v>
      </c>
      <c r="M7" s="63">
        <f t="shared" si="2"/>
        <v>4.6337091607015039E-2</v>
      </c>
      <c r="N7" s="63">
        <f t="shared" si="2"/>
        <v>0</v>
      </c>
      <c r="O7" s="63">
        <f t="shared" si="2"/>
        <v>0</v>
      </c>
      <c r="P7" s="63">
        <f t="shared" si="2"/>
        <v>0</v>
      </c>
      <c r="Q7" s="63">
        <f t="shared" si="2"/>
        <v>4.9442633347969382E-2</v>
      </c>
      <c r="R7" s="63">
        <f t="shared" si="2"/>
        <v>0</v>
      </c>
      <c r="S7" s="63">
        <f t="shared" si="2"/>
        <v>0</v>
      </c>
      <c r="T7" s="63">
        <f t="shared" si="2"/>
        <v>0</v>
      </c>
      <c r="U7" s="63">
        <f t="shared" si="2"/>
        <v>3.620644035504756E-2</v>
      </c>
      <c r="V7" s="63">
        <f t="shared" si="2"/>
        <v>0</v>
      </c>
      <c r="W7" s="63">
        <f t="shared" si="2"/>
        <v>0</v>
      </c>
      <c r="X7" s="63">
        <f t="shared" si="2"/>
        <v>0</v>
      </c>
      <c r="Y7" s="63">
        <f t="shared" si="2"/>
        <v>2.6673852631813107E-2</v>
      </c>
      <c r="Z7" s="63">
        <f t="shared" si="2"/>
        <v>0</v>
      </c>
      <c r="AA7" s="63">
        <f t="shared" si="2"/>
        <v>0</v>
      </c>
      <c r="AB7" s="63">
        <f t="shared" si="2"/>
        <v>0</v>
      </c>
      <c r="AC7" s="63">
        <f t="shared" si="2"/>
        <v>2.0423123441062299E-2</v>
      </c>
      <c r="AD7" s="63">
        <f t="shared" si="2"/>
        <v>0</v>
      </c>
      <c r="AE7" s="63">
        <f t="shared" si="2"/>
        <v>0</v>
      </c>
      <c r="AF7" s="63">
        <f t="shared" si="2"/>
        <v>0</v>
      </c>
      <c r="AG7" s="63">
        <f t="shared" si="2"/>
        <v>2.0960810037328227E-2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60707559853.910004</v>
      </c>
      <c r="F8" s="26">
        <f>资产资本表!F107</f>
        <v>59592631165.040001</v>
      </c>
      <c r="G8" s="26">
        <f>资产资本表!G107</f>
        <v>57001985190.470001</v>
      </c>
      <c r="H8" s="26">
        <f>资产资本表!H107</f>
        <v>58592715082.429993</v>
      </c>
      <c r="I8" s="26">
        <f>资产资本表!I107</f>
        <v>56717778327.130005</v>
      </c>
      <c r="J8" s="26">
        <f>资产资本表!J107</f>
        <v>54400479287.020004</v>
      </c>
      <c r="K8" s="26">
        <f>资产资本表!K107</f>
        <v>49718624311.059998</v>
      </c>
      <c r="L8" s="26">
        <f>资产资本表!L107</f>
        <v>53862614636.199997</v>
      </c>
      <c r="M8" s="26">
        <f>资产资本表!M107</f>
        <v>51389642485.699997</v>
      </c>
      <c r="N8" s="26">
        <f>资产资本表!N107</f>
        <v>48209056999.830002</v>
      </c>
      <c r="O8" s="26">
        <f>资产资本表!O107</f>
        <v>43334297842.989998</v>
      </c>
      <c r="P8" s="26">
        <f>资产资本表!P107</f>
        <v>46140849608.440002</v>
      </c>
      <c r="Q8" s="26">
        <f>资产资本表!Q107</f>
        <v>42715938189.479996</v>
      </c>
      <c r="R8" s="26">
        <f>资产资本表!R107</f>
        <v>40263100130.639999</v>
      </c>
      <c r="S8" s="26">
        <f>资产资本表!S107</f>
        <v>34520801953.279999</v>
      </c>
      <c r="T8" s="26">
        <f>资产资本表!T107</f>
        <v>35241845216.339996</v>
      </c>
      <c r="U8" s="26">
        <f>资产资本表!U107</f>
        <v>33733788787.549999</v>
      </c>
      <c r="V8" s="26">
        <f>资产资本表!V107</f>
        <v>32638826676.720001</v>
      </c>
      <c r="W8" s="26">
        <f>资产资本表!W107</f>
        <v>29101139352.889999</v>
      </c>
      <c r="X8" s="26">
        <f>资产资本表!X107</f>
        <v>26513005375.169998</v>
      </c>
      <c r="Y8" s="26">
        <f>资产资本表!Y107</f>
        <v>25480039470.029999</v>
      </c>
      <c r="Z8" s="26">
        <f>资产资本表!Z107</f>
        <v>25044768230.18</v>
      </c>
      <c r="AA8" s="26">
        <f>资产资本表!AA107</f>
        <v>23477327402.029999</v>
      </c>
      <c r="AB8" s="26">
        <f>资产资本表!AB107</f>
        <v>21679874268.790001</v>
      </c>
      <c r="AC8" s="26">
        <f>资产资本表!AC107</f>
        <v>22503824324.77</v>
      </c>
      <c r="AD8" s="26">
        <f>资产资本表!AD107</f>
        <v>19963550822.07</v>
      </c>
      <c r="AE8" s="26">
        <f>资产资本表!AE107</f>
        <v>18771004790.75</v>
      </c>
      <c r="AF8" s="26">
        <f>资产资本表!AF107</f>
        <v>16645584894.16</v>
      </c>
      <c r="AG8" s="26">
        <f>资产资本表!AG107</f>
        <v>16212320673.010002</v>
      </c>
      <c r="AH8" s="26">
        <f>资产资本表!AH107</f>
        <v>15890988078.329998</v>
      </c>
      <c r="AI8" s="26">
        <f>资产资本表!AI107</f>
        <v>15453795915.98</v>
      </c>
      <c r="AJ8" s="26">
        <f>资产资本表!AJ107</f>
        <v>15451269391.98</v>
      </c>
      <c r="AK8" s="26">
        <f>资产资本表!AK107</f>
        <v>16362048541.82</v>
      </c>
      <c r="AL8" s="26">
        <f>资产资本表!AL107</f>
        <v>5784725492.6700001</v>
      </c>
      <c r="AM8" s="26">
        <f>资产资本表!AM107</f>
        <v>5745233122.6800003</v>
      </c>
      <c r="AN8" s="26">
        <f>资产资本表!AN107</f>
        <v>6091812966.8699999</v>
      </c>
      <c r="AO8" s="26">
        <f>资产资本表!AO107</f>
        <v>6026923013.0600004</v>
      </c>
      <c r="AP8" s="26">
        <f>资产资本表!AP107</f>
        <v>6135362244.5799999</v>
      </c>
      <c r="AQ8" s="26">
        <f>资产资本表!AQ107</f>
        <v>6115044337.1399994</v>
      </c>
      <c r="AR8" s="26">
        <f>资产资本表!AR107</f>
        <v>6404687396.6800003</v>
      </c>
      <c r="AS8" s="26">
        <f>资产资本表!AS107</f>
        <v>6422619402.5799999</v>
      </c>
      <c r="AT8" s="26">
        <f>资产资本表!AT107</f>
        <v>6271367055.3800001</v>
      </c>
      <c r="AU8" s="26">
        <f>资产资本表!AU107</f>
        <v>4653103232.2199993</v>
      </c>
      <c r="AV8" s="26">
        <f>资产资本表!AV107</f>
        <v>4739189507.7399998</v>
      </c>
      <c r="AW8" s="26">
        <f>资产资本表!AW107</f>
        <v>5127287264.6900005</v>
      </c>
      <c r="AX8" s="26">
        <f>资产资本表!AX107</f>
        <v>4266750000.0199995</v>
      </c>
      <c r="AY8" s="26">
        <f>资产资本表!AY107</f>
        <v>2747136534.1999998</v>
      </c>
      <c r="AZ8" s="26">
        <f>资产资本表!AZ107</f>
        <v>2484115688.4899998</v>
      </c>
      <c r="BA8" s="26">
        <f>资产资本表!BA107</f>
        <v>2504620905.3600001</v>
      </c>
      <c r="BB8" s="26">
        <f>资产资本表!BB107</f>
        <v>2826314936.8800001</v>
      </c>
      <c r="BC8" s="26">
        <f>资产资本表!BC107</f>
        <v>2628162154.75</v>
      </c>
      <c r="BD8" s="26">
        <f>资产资本表!BD107</f>
        <v>2590224462.7799997</v>
      </c>
      <c r="BE8" s="26">
        <f>资产资本表!BE107</f>
        <v>2406311060.6499996</v>
      </c>
      <c r="BF8" s="26">
        <f>资产资本表!BF107</f>
        <v>2276769241.8499999</v>
      </c>
      <c r="BG8" s="26">
        <f>资产资本表!BG107</f>
        <v>2208355109.4200001</v>
      </c>
      <c r="BH8" s="26">
        <f>资产资本表!BH107</f>
        <v>1680372650.6099999</v>
      </c>
      <c r="BI8" s="26">
        <f>资产资本表!BI107</f>
        <v>1627684743.25</v>
      </c>
      <c r="BJ8" s="26">
        <f>资产资本表!BJ107</f>
        <v>1553947514.4400001</v>
      </c>
      <c r="BK8" s="26">
        <f>资产资本表!BK107</f>
        <v>1467191860.6100001</v>
      </c>
      <c r="BL8" s="26">
        <f>资产资本表!BL107</f>
        <v>1410739887.46</v>
      </c>
      <c r="BM8" s="26">
        <f>资产资本表!BM107</f>
        <v>1376726626.6399999</v>
      </c>
      <c r="BN8" s="26">
        <f>资产资本表!BN107</f>
        <v>772524321.36000001</v>
      </c>
      <c r="BO8" s="26">
        <f>资产资本表!BO107</f>
        <v>794348120.61000001</v>
      </c>
      <c r="BP8" s="26">
        <f>资产资本表!BP107</f>
        <v>824297458.13</v>
      </c>
      <c r="BQ8" s="26">
        <f>资产资本表!BQ107</f>
        <v>860708919.22000003</v>
      </c>
      <c r="BR8" s="26">
        <f>资产资本表!BR107</f>
        <v>952410215.53999996</v>
      </c>
      <c r="BS8" s="26">
        <f>资产资本表!BS107</f>
        <v>900210616.96000004</v>
      </c>
      <c r="BT8" s="26">
        <f>资产资本表!BT107</f>
        <v>922951029.61000001</v>
      </c>
      <c r="BU8" s="26">
        <f>资产资本表!BU107</f>
        <v>957377719.09000003</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股东权益回报率分析表!BU14</f>
        <v>-5.3878594384909766E-2</v>
      </c>
      <c r="BV9" s="63">
        <f>股东权益回报率分析表!BV14</f>
        <v>-7.5988353772984518E-2</v>
      </c>
    </row>
    <row r="10" spans="1:74" s="26" customFormat="1" x14ac:dyDescent="0.25">
      <c r="A10" s="17" t="s">
        <v>332</v>
      </c>
      <c r="E10" s="26">
        <f>资产资本表!E70</f>
        <v>193232646082.51001</v>
      </c>
      <c r="F10" s="26">
        <f>资产资本表!F70</f>
        <v>193498429618.25995</v>
      </c>
      <c r="G10" s="26">
        <f>资产资本表!G70</f>
        <v>190915134314.20996</v>
      </c>
      <c r="H10" s="26">
        <f>资产资本表!H70</f>
        <v>186809450310.46002</v>
      </c>
      <c r="I10" s="26">
        <f>资产资本表!I70</f>
        <v>183513201769.86002</v>
      </c>
      <c r="J10" s="26">
        <f>资产资本表!J70</f>
        <v>179902858951.10999</v>
      </c>
      <c r="K10" s="26">
        <f>资产资本表!K70</f>
        <v>177523403714.44</v>
      </c>
      <c r="L10" s="26">
        <f>资产资本表!L70</f>
        <v>171961638669.26996</v>
      </c>
      <c r="M10" s="26">
        <f>资产资本表!M70</f>
        <v>167726028461.15994</v>
      </c>
      <c r="N10" s="26">
        <f>资产资本表!N70</f>
        <v>165290574326.60999</v>
      </c>
      <c r="O10" s="26">
        <f>资产资本表!O70</f>
        <v>162313832308.97</v>
      </c>
      <c r="P10" s="26">
        <f>资产资本表!P70</f>
        <v>163043516494.94998</v>
      </c>
      <c r="Q10" s="26">
        <f>资产资本表!Q70</f>
        <v>160842101439.95996</v>
      </c>
      <c r="R10" s="26">
        <f>资产资本表!R70</f>
        <v>160240243138.51001</v>
      </c>
      <c r="S10" s="26">
        <f>资产资本表!S70</f>
        <v>154909964228.69998</v>
      </c>
      <c r="T10" s="26">
        <f>资产资本表!T70</f>
        <v>154539245461.89996</v>
      </c>
      <c r="U10" s="26">
        <f>资产资本表!U70</f>
        <v>147776293282.51996</v>
      </c>
      <c r="V10" s="26">
        <f>资产资本表!V70</f>
        <v>143773226165.01004</v>
      </c>
      <c r="W10" s="26">
        <f>资产资本表!W70</f>
        <v>140483674451</v>
      </c>
      <c r="X10" s="26">
        <f>资产资本表!X70</f>
        <v>137782099190.70999</v>
      </c>
      <c r="Y10" s="26">
        <f>资产资本表!Y70</f>
        <v>132926344951.27</v>
      </c>
      <c r="Z10" s="26">
        <f>资产资本表!Z70</f>
        <v>129309615772.75</v>
      </c>
      <c r="AA10" s="26">
        <f>资产资本表!AA70</f>
        <v>123114633434.11002</v>
      </c>
      <c r="AB10" s="26">
        <f>资产资本表!AB70</f>
        <v>116501606527.35001</v>
      </c>
      <c r="AC10" s="26">
        <f>资产资本表!AC70</f>
        <v>117170330759.04001</v>
      </c>
      <c r="AD10" s="26">
        <f>资产资本表!AD70</f>
        <v>104603314600.10999</v>
      </c>
      <c r="AE10" s="26">
        <f>资产资本表!AE70</f>
        <v>102597345197.01001</v>
      </c>
      <c r="AF10" s="26">
        <f>资产资本表!AF70</f>
        <v>99023594848.789993</v>
      </c>
      <c r="AG10" s="26">
        <f>资产资本表!AG70</f>
        <v>93552747971.679977</v>
      </c>
      <c r="AH10" s="26">
        <f>资产资本表!AH70</f>
        <v>89822205609.929977</v>
      </c>
      <c r="AI10" s="26">
        <f>资产资本表!AI70</f>
        <v>86677468406.209991</v>
      </c>
      <c r="AJ10" s="26">
        <f>资产资本表!AJ70</f>
        <v>83778851312.22998</v>
      </c>
      <c r="AK10" s="26">
        <f>资产资本表!AK70</f>
        <v>82487947958.009995</v>
      </c>
      <c r="AL10" s="26">
        <f>资产资本表!AL70</f>
        <v>16971749091.710001</v>
      </c>
      <c r="AM10" s="26">
        <f>资产资本表!AM70</f>
        <v>16739174156.539999</v>
      </c>
      <c r="AN10" s="26">
        <f>资产资本表!AN70</f>
        <v>17126577362.720001</v>
      </c>
      <c r="AO10" s="26">
        <f>资产资本表!AO70</f>
        <v>17091141423.52</v>
      </c>
      <c r="AP10" s="26">
        <f>资产资本表!AP70</f>
        <v>16961872758.470001</v>
      </c>
      <c r="AQ10" s="26">
        <f>资产资本表!AQ70</f>
        <v>16725675237.710001</v>
      </c>
      <c r="AR10" s="26">
        <f>资产资本表!AR70</f>
        <v>16725309349.470001</v>
      </c>
      <c r="AS10" s="26">
        <f>资产资本表!AS70</f>
        <v>16603121315.910002</v>
      </c>
      <c r="AT10" s="26">
        <f>资产资本表!AT70</f>
        <v>16093515660.650002</v>
      </c>
      <c r="AU10" s="26">
        <f>资产资本表!AU70</f>
        <v>15140788575.769997</v>
      </c>
      <c r="AV10" s="26">
        <f>资产资本表!AV70</f>
        <v>15473842222.939997</v>
      </c>
      <c r="AW10" s="26">
        <f>资产资本表!AW70</f>
        <v>15551788315.17</v>
      </c>
      <c r="AX10" s="26">
        <f>资产资本表!AX70</f>
        <v>10207885305.299999</v>
      </c>
      <c r="AY10" s="26">
        <f>资产资本表!AY70</f>
        <v>8653633232.8499985</v>
      </c>
      <c r="AZ10" s="26">
        <f>资产资本表!AZ70</f>
        <v>8504253013.1000004</v>
      </c>
      <c r="BA10" s="26">
        <f>资产资本表!BA70</f>
        <v>8466120886.0599995</v>
      </c>
      <c r="BB10" s="26">
        <f>资产资本表!BB70</f>
        <v>8791963125.8800011</v>
      </c>
      <c r="BC10" s="26">
        <f>资产资本表!BC70</f>
        <v>8606692102.2900009</v>
      </c>
      <c r="BD10" s="26">
        <f>资产资本表!BD70</f>
        <v>8765266278.6299992</v>
      </c>
      <c r="BE10" s="26">
        <f>资产资本表!BE70</f>
        <v>8457580717.4799995</v>
      </c>
      <c r="BF10" s="26">
        <f>资产资本表!BF70</f>
        <v>8308124002.9000015</v>
      </c>
      <c r="BG10" s="26">
        <f>资产资本表!BG70</f>
        <v>8454529464.96</v>
      </c>
      <c r="BH10" s="26">
        <f>资产资本表!BH70</f>
        <v>4698291672.7699995</v>
      </c>
      <c r="BI10" s="26">
        <f>资产资本表!BI70</f>
        <v>4280674335.46</v>
      </c>
      <c r="BJ10" s="26">
        <f>资产资本表!BJ70</f>
        <v>4210375428.8600006</v>
      </c>
      <c r="BK10" s="26">
        <f>资产资本表!BK70</f>
        <v>4157648184.5200005</v>
      </c>
      <c r="BL10" s="26">
        <f>资产资本表!BL70</f>
        <v>4373814115.5699997</v>
      </c>
      <c r="BM10" s="26">
        <f>资产资本表!BM70</f>
        <v>4299501297.1300001</v>
      </c>
      <c r="BN10" s="26">
        <f>资产资本表!BN70</f>
        <v>771622915.47000015</v>
      </c>
      <c r="BO10" s="26">
        <f>资产资本表!BO70</f>
        <v>794243770.76999998</v>
      </c>
      <c r="BP10" s="26">
        <f>资产资本表!BP70</f>
        <v>823994016.54000008</v>
      </c>
      <c r="BQ10" s="26">
        <f>资产资本表!BQ70</f>
        <v>860173244.06999993</v>
      </c>
      <c r="BR10" s="26">
        <f>资产资本表!BR70</f>
        <v>960214898.32999992</v>
      </c>
      <c r="BS10" s="26">
        <f>资产资本表!BS70</f>
        <v>975148333.42999995</v>
      </c>
      <c r="BT10" s="26">
        <f>资产资本表!BT70</f>
        <v>1043021254.13</v>
      </c>
      <c r="BU10" s="26">
        <f>资产资本表!BU70</f>
        <v>1119444572.01</v>
      </c>
    </row>
    <row r="11" spans="1:74" s="63" customFormat="1" x14ac:dyDescent="0.25">
      <c r="A11" s="17" t="s">
        <v>348</v>
      </c>
      <c r="E11" s="63">
        <f>E4/E10</f>
        <v>0.68314163849023724</v>
      </c>
      <c r="F11" s="63">
        <f t="shared" ref="F11:BQ11" si="3">F4/F10</f>
        <v>0.68898664799964426</v>
      </c>
      <c r="G11" s="63">
        <f t="shared" si="3"/>
        <v>0.68770269196347189</v>
      </c>
      <c r="H11" s="63">
        <f t="shared" si="3"/>
        <v>0.68289502184171302</v>
      </c>
      <c r="I11" s="63">
        <f t="shared" si="3"/>
        <v>0.68645782991662585</v>
      </c>
      <c r="J11" s="63">
        <f t="shared" si="3"/>
        <v>0.68744476444000924</v>
      </c>
      <c r="K11" s="63">
        <f t="shared" si="3"/>
        <v>0.6978821441939973</v>
      </c>
      <c r="L11" s="63">
        <f t="shared" si="3"/>
        <v>0.68663630415944843</v>
      </c>
      <c r="M11" s="63">
        <f t="shared" si="3"/>
        <v>0.69275751081393278</v>
      </c>
      <c r="N11" s="63">
        <f t="shared" si="3"/>
        <v>0.7020977024686107</v>
      </c>
      <c r="O11" s="63">
        <f t="shared" si="3"/>
        <v>0.72075280306942058</v>
      </c>
      <c r="P11" s="63">
        <f t="shared" si="3"/>
        <v>0.71650581389495704</v>
      </c>
      <c r="Q11" s="63">
        <f t="shared" si="3"/>
        <v>0.73344807978970772</v>
      </c>
      <c r="R11" s="63">
        <f t="shared" si="3"/>
        <v>0.74837121405234686</v>
      </c>
      <c r="S11" s="63">
        <f t="shared" si="3"/>
        <v>0.77363663700954266</v>
      </c>
      <c r="T11" s="63">
        <f t="shared" si="3"/>
        <v>0.77180596222702436</v>
      </c>
      <c r="U11" s="63">
        <f t="shared" si="3"/>
        <v>0.77103541281237242</v>
      </c>
      <c r="V11" s="63">
        <f t="shared" si="3"/>
        <v>0.77263379004688737</v>
      </c>
      <c r="W11" s="63">
        <f t="shared" si="3"/>
        <v>0.79249200082527815</v>
      </c>
      <c r="X11" s="63">
        <f t="shared" si="3"/>
        <v>0.80577572099457206</v>
      </c>
      <c r="Y11" s="63">
        <f t="shared" si="3"/>
        <v>0.80472145698773312</v>
      </c>
      <c r="Z11" s="63">
        <f t="shared" si="3"/>
        <v>0.80350330131787051</v>
      </c>
      <c r="AA11" s="63">
        <f t="shared" si="3"/>
        <v>0.806347376310796</v>
      </c>
      <c r="AB11" s="63">
        <f t="shared" si="3"/>
        <v>0.81104191242528501</v>
      </c>
      <c r="AC11" s="63">
        <f t="shared" si="3"/>
        <v>0.80474689559579549</v>
      </c>
      <c r="AD11" s="63">
        <f t="shared" si="3"/>
        <v>0.80666713001034551</v>
      </c>
      <c r="AE11" s="63">
        <f t="shared" si="3"/>
        <v>0.81451115568139854</v>
      </c>
      <c r="AF11" s="63">
        <f t="shared" si="3"/>
        <v>0.83077167699527565</v>
      </c>
      <c r="AG11" s="63">
        <f t="shared" si="3"/>
        <v>0.82549163298813988</v>
      </c>
      <c r="AH11" s="63">
        <f t="shared" si="3"/>
        <v>0.82183692807738384</v>
      </c>
      <c r="AI11" s="63">
        <f t="shared" si="3"/>
        <v>0.81898740196863085</v>
      </c>
      <c r="AJ11" s="63">
        <f t="shared" si="3"/>
        <v>0.81251751770464931</v>
      </c>
      <c r="AK11" s="63">
        <f t="shared" si="3"/>
        <v>0.79703462553956961</v>
      </c>
      <c r="AL11" s="63">
        <f t="shared" si="3"/>
        <v>0.64147446575366962</v>
      </c>
      <c r="AM11" s="63">
        <f t="shared" si="3"/>
        <v>0.63826922032624411</v>
      </c>
      <c r="AN11" s="63">
        <f t="shared" si="3"/>
        <v>0.63690228799209569</v>
      </c>
      <c r="AO11" s="63">
        <f t="shared" si="3"/>
        <v>0.6326172494881378</v>
      </c>
      <c r="AP11" s="63">
        <f t="shared" si="3"/>
        <v>0.62657269176441188</v>
      </c>
      <c r="AQ11" s="63">
        <f t="shared" si="3"/>
        <v>0.62253413458395013</v>
      </c>
      <c r="AR11" s="63">
        <f t="shared" si="3"/>
        <v>0.60511413446476614</v>
      </c>
      <c r="AS11" s="63">
        <f t="shared" si="3"/>
        <v>0.60067077993601892</v>
      </c>
      <c r="AT11" s="63">
        <f t="shared" si="3"/>
        <v>0.60210414688338088</v>
      </c>
      <c r="AU11" s="63">
        <f t="shared" si="3"/>
        <v>0.6819152915200738</v>
      </c>
      <c r="AV11" s="63">
        <f t="shared" si="3"/>
        <v>0.68355107050008179</v>
      </c>
      <c r="AW11" s="63">
        <f t="shared" si="3"/>
        <v>0.65608081805275431</v>
      </c>
      <c r="AX11" s="63">
        <f t="shared" si="3"/>
        <v>0.56683006250332779</v>
      </c>
      <c r="AY11" s="63">
        <f t="shared" si="3"/>
        <v>0.6663289151764713</v>
      </c>
      <c r="AZ11" s="63">
        <f t="shared" si="3"/>
        <v>0.68518886032953463</v>
      </c>
      <c r="BA11" s="63">
        <f t="shared" si="3"/>
        <v>0.69323838851199771</v>
      </c>
      <c r="BB11" s="63">
        <f t="shared" si="3"/>
        <v>0.65500838796154437</v>
      </c>
      <c r="BC11" s="63">
        <f t="shared" si="3"/>
        <v>0.67304204262387091</v>
      </c>
      <c r="BD11" s="63">
        <f t="shared" si="3"/>
        <v>0.68870776097215503</v>
      </c>
      <c r="BE11" s="63">
        <f t="shared" si="3"/>
        <v>0.70717457480465884</v>
      </c>
      <c r="BF11" s="63">
        <f t="shared" si="3"/>
        <v>0.70632274140969287</v>
      </c>
      <c r="BG11" s="63">
        <f t="shared" si="3"/>
        <v>0.70715903782450018</v>
      </c>
      <c r="BH11" s="63">
        <f t="shared" si="3"/>
        <v>0.62965180658864128</v>
      </c>
      <c r="BI11" s="63">
        <f t="shared" si="3"/>
        <v>0.60941282499119864</v>
      </c>
      <c r="BJ11" s="63">
        <f t="shared" si="3"/>
        <v>0.61228719885628036</v>
      </c>
      <c r="BK11" s="63">
        <f t="shared" si="3"/>
        <v>0.62977173946291709</v>
      </c>
      <c r="BL11" s="63">
        <f t="shared" si="3"/>
        <v>0.6551687654875461</v>
      </c>
      <c r="BM11" s="63">
        <f t="shared" si="3"/>
        <v>0.67252510174148494</v>
      </c>
      <c r="BN11" s="63">
        <f t="shared" si="3"/>
        <v>0</v>
      </c>
      <c r="BO11" s="63">
        <f t="shared" si="3"/>
        <v>0</v>
      </c>
      <c r="BP11" s="63">
        <f t="shared" si="3"/>
        <v>0</v>
      </c>
      <c r="BQ11" s="63">
        <f t="shared" si="3"/>
        <v>0</v>
      </c>
      <c r="BR11" s="63">
        <f>BR4/BR10</f>
        <v>1.249720247089514E-2</v>
      </c>
      <c r="BS11" s="63">
        <f>BS4/BS10</f>
        <v>7.691137586852452E-2</v>
      </c>
      <c r="BT11" s="63">
        <f>BT4/BT10</f>
        <v>9.8751583049871666E-2</v>
      </c>
      <c r="BU11" s="63">
        <f>BU4/BU10</f>
        <v>0.1447146237076514</v>
      </c>
      <c r="BV11" s="63" t="e">
        <f>BV4/BV10*100</f>
        <v>#DIV/0!</v>
      </c>
    </row>
    <row r="12" spans="1:74" s="63" customFormat="1" x14ac:dyDescent="0.25">
      <c r="A12" s="17" t="s">
        <v>349</v>
      </c>
      <c r="E12" s="63">
        <f>E8/E10</f>
        <v>0.31416823753470713</v>
      </c>
      <c r="F12" s="63">
        <f t="shared" ref="F12:BQ12" si="4">F8/F10</f>
        <v>0.30797475350371734</v>
      </c>
      <c r="G12" s="63">
        <f t="shared" si="4"/>
        <v>0.2985723756014837</v>
      </c>
      <c r="H12" s="63">
        <f t="shared" si="4"/>
        <v>0.31364963059981343</v>
      </c>
      <c r="I12" s="63">
        <f t="shared" si="4"/>
        <v>0.30906647467389597</v>
      </c>
      <c r="J12" s="63">
        <f t="shared" si="4"/>
        <v>0.302388075454675</v>
      </c>
      <c r="K12" s="63">
        <f t="shared" si="4"/>
        <v>0.28006799819496597</v>
      </c>
      <c r="L12" s="63">
        <f t="shared" si="4"/>
        <v>0.31322459504932249</v>
      </c>
      <c r="M12" s="63">
        <f t="shared" si="4"/>
        <v>0.3063903853038541</v>
      </c>
      <c r="N12" s="63">
        <f t="shared" si="4"/>
        <v>0.29166246893528319</v>
      </c>
      <c r="O12" s="63">
        <f t="shared" si="4"/>
        <v>0.26697846527646307</v>
      </c>
      <c r="P12" s="63">
        <f t="shared" si="4"/>
        <v>0.28299714456826708</v>
      </c>
      <c r="Q12" s="63">
        <f t="shared" si="4"/>
        <v>0.26557684715046603</v>
      </c>
      <c r="R12" s="63">
        <f t="shared" si="4"/>
        <v>0.2512670933470626</v>
      </c>
      <c r="S12" s="63">
        <f t="shared" si="4"/>
        <v>0.2228442962023767</v>
      </c>
      <c r="T12" s="63">
        <f t="shared" si="4"/>
        <v>0.22804463106446643</v>
      </c>
      <c r="U12" s="63">
        <f t="shared" si="4"/>
        <v>0.22827605184992331</v>
      </c>
      <c r="V12" s="63">
        <f t="shared" si="4"/>
        <v>0.22701602758263265</v>
      </c>
      <c r="W12" s="63">
        <f t="shared" si="4"/>
        <v>0.20714961696876977</v>
      </c>
      <c r="X12" s="63">
        <f t="shared" si="4"/>
        <v>0.19242706803640894</v>
      </c>
      <c r="Y12" s="63">
        <f t="shared" si="4"/>
        <v>0.19168539900326625</v>
      </c>
      <c r="Z12" s="63">
        <f t="shared" si="4"/>
        <v>0.19368063295612853</v>
      </c>
      <c r="AA12" s="63">
        <f t="shared" si="4"/>
        <v>0.19069485687576596</v>
      </c>
      <c r="AB12" s="63">
        <f t="shared" si="4"/>
        <v>0.1860907751834342</v>
      </c>
      <c r="AC12" s="63">
        <f t="shared" si="4"/>
        <v>0.19206077322636361</v>
      </c>
      <c r="AD12" s="63">
        <f t="shared" si="4"/>
        <v>0.19085007868430404</v>
      </c>
      <c r="AE12" s="63">
        <f t="shared" si="4"/>
        <v>0.18295799715582742</v>
      </c>
      <c r="AF12" s="63">
        <f t="shared" si="4"/>
        <v>0.16809715825382801</v>
      </c>
      <c r="AG12" s="63">
        <f t="shared" si="4"/>
        <v>0.17329603912776298</v>
      </c>
      <c r="AH12" s="63">
        <f t="shared" si="4"/>
        <v>0.17691603062320288</v>
      </c>
      <c r="AI12" s="63">
        <f t="shared" si="4"/>
        <v>0.17829080844351028</v>
      </c>
      <c r="AJ12" s="63">
        <f t="shared" si="4"/>
        <v>0.18442923422756971</v>
      </c>
      <c r="AK12" s="63">
        <f t="shared" si="4"/>
        <v>0.19835683814257332</v>
      </c>
      <c r="AL12" s="63">
        <f t="shared" si="4"/>
        <v>0.34084439154804613</v>
      </c>
      <c r="AM12" s="63">
        <f t="shared" si="4"/>
        <v>0.34322082254191355</v>
      </c>
      <c r="AN12" s="63">
        <f t="shared" si="4"/>
        <v>0.35569354213938009</v>
      </c>
      <c r="AO12" s="63">
        <f t="shared" si="4"/>
        <v>0.35263431878025658</v>
      </c>
      <c r="AP12" s="63">
        <f t="shared" si="4"/>
        <v>0.36171490801428602</v>
      </c>
      <c r="AQ12" s="63">
        <f t="shared" si="4"/>
        <v>0.36560821911410268</v>
      </c>
      <c r="AR12" s="63">
        <f t="shared" si="4"/>
        <v>0.38293386764071752</v>
      </c>
      <c r="AS12" s="63">
        <f t="shared" si="4"/>
        <v>0.38683204684082512</v>
      </c>
      <c r="AT12" s="63">
        <f t="shared" si="4"/>
        <v>0.38968285038638384</v>
      </c>
      <c r="AU12" s="63">
        <f t="shared" si="4"/>
        <v>0.30732238343691171</v>
      </c>
      <c r="AV12" s="63">
        <f t="shared" si="4"/>
        <v>0.30627102431703379</v>
      </c>
      <c r="AW12" s="63">
        <f t="shared" si="4"/>
        <v>0.32969116867984793</v>
      </c>
      <c r="AX12" s="63">
        <f t="shared" si="4"/>
        <v>0.41798569168921557</v>
      </c>
      <c r="AY12" s="63">
        <f t="shared" si="4"/>
        <v>0.31745469911662233</v>
      </c>
      <c r="AZ12" s="63">
        <f t="shared" si="4"/>
        <v>0.29210274960816118</v>
      </c>
      <c r="BA12" s="63">
        <f t="shared" si="4"/>
        <v>0.29584043732283766</v>
      </c>
      <c r="BB12" s="63">
        <f t="shared" si="4"/>
        <v>0.32146574051936894</v>
      </c>
      <c r="BC12" s="63">
        <f t="shared" si="4"/>
        <v>0.30536263218370729</v>
      </c>
      <c r="BD12" s="63">
        <f t="shared" si="4"/>
        <v>0.29551007127930046</v>
      </c>
      <c r="BE12" s="63">
        <f t="shared" si="4"/>
        <v>0.28451529356103838</v>
      </c>
      <c r="BF12" s="63">
        <f t="shared" si="4"/>
        <v>0.27404131679489613</v>
      </c>
      <c r="BG12" s="63">
        <f t="shared" si="4"/>
        <v>0.26120378651142928</v>
      </c>
      <c r="BH12" s="63">
        <f t="shared" si="4"/>
        <v>0.35765609452239322</v>
      </c>
      <c r="BI12" s="63">
        <f t="shared" si="4"/>
        <v>0.38024026489627583</v>
      </c>
      <c r="BJ12" s="63">
        <f t="shared" si="4"/>
        <v>0.36907576074771703</v>
      </c>
      <c r="BK12" s="63">
        <f t="shared" si="4"/>
        <v>0.3528898539498207</v>
      </c>
      <c r="BL12" s="63">
        <f t="shared" si="4"/>
        <v>0.32254225949795562</v>
      </c>
      <c r="BM12" s="63">
        <f t="shared" si="4"/>
        <v>0.32020611961647538</v>
      </c>
      <c r="BN12" s="63">
        <f t="shared" si="4"/>
        <v>1.0011681948163123</v>
      </c>
      <c r="BO12" s="63">
        <f t="shared" si="4"/>
        <v>1.0001313826357101</v>
      </c>
      <c r="BP12" s="63">
        <f t="shared" si="4"/>
        <v>1.0003682570308874</v>
      </c>
      <c r="BQ12" s="63">
        <f t="shared" si="4"/>
        <v>1.0006227526299998</v>
      </c>
      <c r="BR12" s="63">
        <f>BR8/BR10</f>
        <v>0.99187194157935499</v>
      </c>
      <c r="BS12" s="63">
        <f>BS8/BS10</f>
        <v>0.92315249495795892</v>
      </c>
      <c r="BT12" s="63">
        <f>BT8/BT10</f>
        <v>0.88488228399511148</v>
      </c>
      <c r="BU12" s="63">
        <f>BU8/BU10</f>
        <v>0.85522565656912919</v>
      </c>
      <c r="BV12" s="63" t="e">
        <f>BV8/BV10*100</f>
        <v>#DIV/0!</v>
      </c>
    </row>
    <row r="13" spans="1:74" s="63" customFormat="1" x14ac:dyDescent="0.25">
      <c r="A13" s="63" t="s">
        <v>350</v>
      </c>
      <c r="E13" s="63">
        <f>E5*E11*(1-E6)+E9*E12</f>
        <v>4.7326295410785188E-2</v>
      </c>
      <c r="F13" s="63">
        <f t="shared" ref="F13:J13" si="5">F5*F11*(1-F6)+F9*F12</f>
        <v>2.4637980280297386E-2</v>
      </c>
      <c r="G13" s="63">
        <f t="shared" si="5"/>
        <v>2.3885790048118697E-2</v>
      </c>
      <c r="H13" s="63">
        <f t="shared" si="5"/>
        <v>2.5091970447985074E-2</v>
      </c>
      <c r="I13" s="63">
        <f t="shared" si="5"/>
        <v>4.9704426080502864E-2</v>
      </c>
      <c r="J13" s="63">
        <f t="shared" si="5"/>
        <v>2.4191046036374002E-2</v>
      </c>
      <c r="K13" s="63">
        <f t="shared" ref="K13" si="6">K5*K11*(1-K6)+K9*K12</f>
        <v>2.240543985559728E-2</v>
      </c>
      <c r="L13" s="63">
        <f t="shared" ref="L13" si="7">L5*L11*(1-L6)+L9*L12</f>
        <v>2.50579676039458E-2</v>
      </c>
      <c r="M13" s="63">
        <f t="shared" ref="M13" si="8">M5*M11*(1-M6)+M9*M12</f>
        <v>5.6611599064341239E-2</v>
      </c>
      <c r="N13" s="63">
        <f t="shared" ref="N13:O13" si="9">N5*N11*(1-N6)+N9*N12</f>
        <v>2.3332997514822654E-2</v>
      </c>
      <c r="O13" s="63">
        <f t="shared" si="9"/>
        <v>2.1358277222117045E-2</v>
      </c>
      <c r="P13" s="63">
        <f t="shared" ref="P13" si="10">P5*P11*(1-P6)+P9*P12</f>
        <v>2.2639771565461368E-2</v>
      </c>
      <c r="Q13" s="63">
        <f t="shared" ref="Q13" si="11">Q5*Q11*(1-Q6)+Q9*Q12</f>
        <v>5.7509752260852004E-2</v>
      </c>
      <c r="R13" s="63">
        <f t="shared" ref="R13" si="12">R5*R11*(1-R6)+R9*R12</f>
        <v>2.0101367467765009E-2</v>
      </c>
      <c r="S13" s="63">
        <f t="shared" ref="S13:T13" si="13">S5*S11*(1-S6)+S9*S12</f>
        <v>1.7827543696190135E-2</v>
      </c>
      <c r="T13" s="63">
        <f t="shared" si="13"/>
        <v>1.8243570485157314E-2</v>
      </c>
      <c r="U13" s="63">
        <f t="shared" ref="U13" si="14">U5*U11*(1-U6)+U9*U12</f>
        <v>4.6178531833614499E-2</v>
      </c>
      <c r="V13" s="63">
        <f t="shared" ref="V13" si="15">V5*V11*(1-V6)+V9*V12</f>
        <v>1.8161282206610611E-2</v>
      </c>
      <c r="W13" s="63">
        <f t="shared" ref="W13" si="16">W5*W11*(1-W6)+W9*W12</f>
        <v>1.6571969357501583E-2</v>
      </c>
      <c r="X13" s="63">
        <f t="shared" ref="X13:Y13" si="17">X5*X11*(1-X6)+X9*X12</f>
        <v>1.5394165442912715E-2</v>
      </c>
      <c r="Y13" s="63">
        <f t="shared" si="17"/>
        <v>3.679985347361002E-2</v>
      </c>
      <c r="Z13" s="63">
        <f t="shared" ref="Z13" si="18">Z5*Z11*(1-Z6)+Z9*Z12</f>
        <v>1.5494450636490282E-2</v>
      </c>
      <c r="AA13" s="63">
        <f t="shared" ref="AA13" si="19">AA5*AA11*(1-AA6)+AA9*AA12</f>
        <v>1.5255588550061277E-2</v>
      </c>
      <c r="AB13" s="63">
        <f t="shared" ref="AB13" si="20">AB5*AB11*(1-AB6)+AB9*AB12</f>
        <v>1.4887262014674735E-2</v>
      </c>
      <c r="AC13" s="63">
        <f t="shared" ref="AC13:AD13" si="21">AC5*AC11*(1-AC6)+AC9*AC12</f>
        <v>3.1800307045673694E-2</v>
      </c>
      <c r="AD13" s="63">
        <f t="shared" si="21"/>
        <v>1.5268006294744323E-2</v>
      </c>
      <c r="AE13" s="63">
        <f t="shared" ref="AE13" si="22">AE5*AE11*(1-AE6)+AE9*AE12</f>
        <v>1.4636639772466193E-2</v>
      </c>
      <c r="AF13" s="63">
        <f t="shared" ref="AF13" si="23">AF5*AF11*(1-AF6)+AF9*AF12</f>
        <v>1.344777266030624E-2</v>
      </c>
      <c r="AG13" s="63">
        <f t="shared" ref="AG13" si="24">AG5*AG11*(1-AG6)+AG9*AG12</f>
        <v>3.1166656436689311E-2</v>
      </c>
      <c r="AH13" s="63">
        <f t="shared" ref="AH13:AI13" si="25">AH5*AH11*(1-AH6)+AH9*AH12</f>
        <v>1.415328244985623E-2</v>
      </c>
      <c r="AI13" s="63">
        <f t="shared" si="25"/>
        <v>1.4263264675480822E-2</v>
      </c>
      <c r="AJ13" s="63">
        <f t="shared" ref="AJ13" si="26">AJ5*AJ11*(1-AJ6)+AJ9*AJ12</f>
        <v>1.4754338738205577E-2</v>
      </c>
      <c r="AK13" s="63">
        <f t="shared" ref="AK13" si="27">AK5*AK11*(1-AK6)+AK9*AK12</f>
        <v>1.5868547051405866E-2</v>
      </c>
      <c r="AL13" s="63">
        <f t="shared" ref="AL13" si="28">AL5*AL11*(1-AL6)+AL9*AL12</f>
        <v>2.7267551323843692E-2</v>
      </c>
      <c r="AM13" s="63">
        <f t="shared" ref="AM13:AN13" si="29">AM5*AM11*(1-AM6)+AM9*AM12</f>
        <v>2.7457665803353085E-2</v>
      </c>
      <c r="AN13" s="63">
        <f t="shared" si="29"/>
        <v>2.8455483371150409E-2</v>
      </c>
      <c r="AO13" s="63">
        <f t="shared" ref="AO13" si="30">AO5*AO11*(1-AO6)+AO9*AO12</f>
        <v>2.8210745502420528E-2</v>
      </c>
      <c r="AP13" s="63">
        <f t="shared" ref="AP13" si="31">AP5*AP11*(1-AP6)+AP9*AP12</f>
        <v>2.8937192641142882E-2</v>
      </c>
      <c r="AQ13" s="63">
        <f t="shared" ref="AQ13" si="32">AQ5*AQ11*(1-AQ6)+AQ9*AQ12</f>
        <v>2.9248657529128214E-2</v>
      </c>
      <c r="AR13" s="63">
        <f t="shared" ref="AR13:AS13" si="33">AR5*AR11*(1-AR6)+AR9*AR12</f>
        <v>3.0634709411257403E-2</v>
      </c>
      <c r="AS13" s="63">
        <f t="shared" si="33"/>
        <v>3.0946563747266009E-2</v>
      </c>
      <c r="AT13" s="63">
        <f t="shared" ref="AT13" si="34">AT5*AT11*(1-AT6)+AT9*AT12</f>
        <v>3.1174628030910707E-2</v>
      </c>
      <c r="AU13" s="63">
        <f t="shared" ref="AU13" si="35">AU5*AU11*(1-AU6)+AU9*AU12</f>
        <v>2.4585790674952937E-2</v>
      </c>
      <c r="AV13" s="63">
        <f t="shared" ref="AV13" si="36">AV5*AV11*(1-AV6)+AV9*AV12</f>
        <v>2.4501681945362702E-2</v>
      </c>
      <c r="AW13" s="63">
        <f t="shared" ref="AW13:AX13" si="37">AW5*AW11*(1-AW6)+AW9*AW12</f>
        <v>2.6375293494387834E-2</v>
      </c>
      <c r="AX13" s="63">
        <f t="shared" si="37"/>
        <v>3.3438855335137248E-2</v>
      </c>
      <c r="AY13" s="63">
        <f t="shared" ref="AY13" si="38">AY5*AY11*(1-AY6)+AY9*AY12</f>
        <v>2.5396375929329786E-2</v>
      </c>
      <c r="AZ13" s="63">
        <f t="shared" ref="AZ13" si="39">AZ5*AZ11*(1-AZ6)+AZ9*AZ12</f>
        <v>2.3368219968652897E-2</v>
      </c>
      <c r="BA13" s="63">
        <f t="shared" ref="BA13" si="40">BA5*BA11*(1-BA6)+BA9*BA12</f>
        <v>2.3667234985827013E-2</v>
      </c>
      <c r="BB13" s="63">
        <f t="shared" ref="BB13:BC13" si="41">BB5*BB11*(1-BB6)+BB9*BB12</f>
        <v>2.5717259241549516E-2</v>
      </c>
      <c r="BC13" s="63">
        <f t="shared" si="41"/>
        <v>2.4429010574696583E-2</v>
      </c>
      <c r="BD13" s="63">
        <f t="shared" ref="BD13" si="42">BD5*BD11*(1-BD6)+BD9*BD12</f>
        <v>2.3640805702344038E-2</v>
      </c>
      <c r="BE13" s="63">
        <f t="shared" ref="BE13" si="43">BE5*BE11*(1-BE6)+BE9*BE12</f>
        <v>2.2761223484883072E-2</v>
      </c>
      <c r="BF13" s="63">
        <f t="shared" ref="BF13" si="44">BF5*BF11*(1-BF6)+BF9*BF12</f>
        <v>2.192330534359169E-2</v>
      </c>
      <c r="BG13" s="63">
        <f t="shared" ref="BG13:BH13" si="45">BG5*BG11*(1-BG6)+BG9*BG12</f>
        <v>2.0896302920914343E-2</v>
      </c>
      <c r="BH13" s="63">
        <f t="shared" si="45"/>
        <v>2.861248756179146E-2</v>
      </c>
      <c r="BI13" s="63">
        <f t="shared" ref="BI13" si="46">BI5*BI11*(1-BI6)+BI9*BI12</f>
        <v>3.0419221191702067E-2</v>
      </c>
      <c r="BJ13" s="63">
        <f t="shared" ref="BJ13" si="47">BJ5*BJ11*(1-BJ6)+BJ9*BJ12</f>
        <v>2.9526060859817363E-2</v>
      </c>
      <c r="BK13" s="63">
        <f t="shared" ref="BK13" si="48">BK5*BK11*(1-BK6)+BK9*BK12</f>
        <v>2.8231188315985655E-2</v>
      </c>
      <c r="BL13" s="63">
        <f t="shared" ref="BL13:BM13" si="49">BL5*BL11*(1-BL6)+BL9*BL12</f>
        <v>2.5803380759836451E-2</v>
      </c>
      <c r="BM13" s="63">
        <f t="shared" si="49"/>
        <v>2.5616489569318029E-2</v>
      </c>
      <c r="BN13" s="63">
        <f t="shared" ref="BN13" si="50">BN5*BN11*(1-BN6)+BN9*BN12</f>
        <v>8.0093455585304979E-2</v>
      </c>
      <c r="BO13" s="63">
        <f t="shared" ref="BO13" si="51">BO5*BO11*(1-BO6)+BO9*BO12</f>
        <v>8.0010510610856816E-2</v>
      </c>
      <c r="BP13" s="63">
        <f t="shared" ref="BP13" si="52">BP5*BP11*(1-BP6)+BP9*BP12</f>
        <v>8.0029460562470997E-2</v>
      </c>
      <c r="BQ13" s="63">
        <f t="shared" ref="BQ13:BR13" si="53">BQ5*BQ11*(1-BQ6)+BQ9*BQ12</f>
        <v>8.0049820210399983E-2</v>
      </c>
      <c r="BR13" s="63">
        <f t="shared" si="53"/>
        <v>7.9349755326348401E-2</v>
      </c>
      <c r="BS13" s="63">
        <f t="shared" ref="BS13" si="54">BS5*BS11*(1-BS6)+BS9*BS12</f>
        <v>7.385219959663672E-2</v>
      </c>
      <c r="BT13" s="63">
        <f t="shared" ref="BT13" si="55">BT5*BT11*(1-BT6)+BT9*BT12</f>
        <v>7.0790582719608919E-2</v>
      </c>
      <c r="BU13" s="63">
        <f t="shared" ref="BU13" si="56">BU5*BU11*(1-BU6)+BU9*BU12</f>
        <v>-4.6078356257856251E-2</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0.14179829946062839</v>
      </c>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1" width="23.88671875" hidden="1" customWidth="1"/>
    <col min="32"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0" width="22.6640625" hidden="1" customWidth="1"/>
    <col min="51"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19" hidden="1" customWidth="1"/>
    <col min="69" max="69" width="19" bestFit="1" customWidth="1"/>
    <col min="70" max="70" width="19" hidden="1" customWidth="1"/>
    <col min="71" max="71" width="19" bestFit="1" customWidth="1"/>
    <col min="72" max="72" width="21.44140625" hidden="1" customWidth="1"/>
    <col min="73" max="73" width="21.44140625" bestFit="1" customWidth="1"/>
    <col min="74" max="74" width="21.44140625" hidden="1" customWidth="1"/>
    <col min="75" max="75" width="21.44140625" bestFit="1" customWidth="1"/>
    <col min="76" max="76" width="19" hidden="1" customWidth="1"/>
    <col min="77" max="77" width="19" bestFit="1" customWidth="1"/>
    <col min="78" max="78" width="19" hidden="1" customWidth="1"/>
    <col min="79" max="79" width="19" bestFit="1" customWidth="1"/>
    <col min="80" max="80" width="19" hidden="1" customWidth="1"/>
    <col min="81" max="82" width="19" bestFit="1" customWidth="1"/>
    <col min="83" max="83" width="9.5546875" hidden="1" customWidth="1"/>
    <col min="84" max="90" width="8.5546875" bestFit="1" customWidth="1"/>
  </cols>
  <sheetData>
    <row r="1" spans="1:90"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25569</v>
      </c>
      <c r="CF1" s="190"/>
      <c r="CG1" s="190"/>
      <c r="CH1" s="190"/>
      <c r="CI1" s="190"/>
      <c r="CJ1" s="190"/>
      <c r="CK1" s="190"/>
      <c r="CL1" s="190"/>
    </row>
    <row r="2" spans="1:90" s="26" customFormat="1" x14ac:dyDescent="0.25">
      <c r="A2" s="41" t="s">
        <v>552</v>
      </c>
      <c r="E2" s="26">
        <f>资产资本表!E17</f>
        <v>5348010956.9499998</v>
      </c>
      <c r="F2" s="26">
        <f>资产资本表!F17</f>
        <v>7006312922.25</v>
      </c>
      <c r="G2" s="26">
        <f>资产资本表!G17</f>
        <v>5329644283.0499992</v>
      </c>
      <c r="H2" s="26">
        <f>资产资本表!H17</f>
        <v>3957399268.5799999</v>
      </c>
      <c r="I2" s="26">
        <f>资产资本表!I17</f>
        <v>4573239076.5699997</v>
      </c>
      <c r="J2" s="26">
        <f>资产资本表!J17</f>
        <v>6743951421.7600002</v>
      </c>
      <c r="K2" s="26">
        <f>资产资本表!K17</f>
        <v>5667802705.1700001</v>
      </c>
      <c r="L2" s="26">
        <f>资产资本表!L17</f>
        <v>4596732298.46</v>
      </c>
      <c r="M2" s="26">
        <f>资产资本表!M17</f>
        <v>6896067105.3000002</v>
      </c>
      <c r="N2" s="26">
        <f>资产资本表!N17</f>
        <v>8483952859.4800005</v>
      </c>
      <c r="O2" s="26">
        <f>资产资本表!O17</f>
        <v>7728804972.1000004</v>
      </c>
      <c r="P2" s="26">
        <f>资产资本表!P17</f>
        <v>8120039116.8700008</v>
      </c>
      <c r="Q2" s="26">
        <f>资产资本表!Q17</f>
        <v>8371334649.4700003</v>
      </c>
      <c r="R2" s="26">
        <f>资产资本表!R17</f>
        <v>9883748405.7099991</v>
      </c>
      <c r="S2" s="26">
        <f>资产资本表!S17</f>
        <v>6978079177.3599997</v>
      </c>
      <c r="T2" s="26">
        <f>资产资本表!T17</f>
        <v>6186588200.4100008</v>
      </c>
      <c r="U2" s="26">
        <f>资产资本表!U17</f>
        <v>4361597314.0099993</v>
      </c>
      <c r="V2" s="26">
        <f>资产资本表!V17</f>
        <v>3988093809.9499998</v>
      </c>
      <c r="W2" s="26">
        <f>资产资本表!W17</f>
        <v>4149397566.0800004</v>
      </c>
      <c r="X2" s="26">
        <f>资产资本表!X17</f>
        <v>6237626666.8900003</v>
      </c>
      <c r="Y2" s="26">
        <f>资产资本表!Y17</f>
        <v>6512343440.25</v>
      </c>
      <c r="Z2" s="26">
        <f>资产资本表!Z17</f>
        <v>3557985013.3299999</v>
      </c>
      <c r="AA2" s="26">
        <f>资产资本表!AA17</f>
        <v>5890010754.5199995</v>
      </c>
      <c r="AB2" s="26">
        <f>资产资本表!AB17</f>
        <v>3683002385.1200004</v>
      </c>
      <c r="AC2" s="26">
        <f>资产资本表!AC17</f>
        <v>5323509573.3999996</v>
      </c>
      <c r="AD2" s="26">
        <f>资产资本表!AD17</f>
        <v>2242543490.9400001</v>
      </c>
      <c r="AE2" s="26">
        <f>资产资本表!AE17</f>
        <v>2603862648.5099998</v>
      </c>
      <c r="AF2" s="26">
        <f>资产资本表!AF17</f>
        <v>3726835303.1499996</v>
      </c>
      <c r="AG2" s="26">
        <f>资产资本表!AG17</f>
        <v>1212455676.4200001</v>
      </c>
      <c r="AH2" s="26">
        <f>资产资本表!AH17</f>
        <v>1109231346.3900001</v>
      </c>
      <c r="AI2" s="26">
        <f>资产资本表!AI17</f>
        <v>1101361634.1100001</v>
      </c>
      <c r="AJ2" s="26">
        <f>资产资本表!AJ17</f>
        <v>957242462.39999998</v>
      </c>
      <c r="AK2" s="26">
        <f>资产资本表!AK17</f>
        <v>2138875865.2800002</v>
      </c>
      <c r="AL2" s="26">
        <f>资产资本表!AL17</f>
        <v>887126538.64999998</v>
      </c>
      <c r="AM2" s="26">
        <f>资产资本表!AM17</f>
        <v>1076180312.8500001</v>
      </c>
      <c r="AN2" s="26">
        <f>资产资本表!AN17</f>
        <v>1482013824.46</v>
      </c>
      <c r="AO2" s="26">
        <f>资产资本表!AO17</f>
        <v>1113613886.3700001</v>
      </c>
      <c r="AP2" s="26">
        <f>资产资本表!AP17</f>
        <v>1218504026.6399999</v>
      </c>
      <c r="AQ2" s="26">
        <f>资产资本表!AQ17</f>
        <v>1119380773.7</v>
      </c>
      <c r="AR2" s="26">
        <f>资产资本表!AR17</f>
        <v>1326216524.79</v>
      </c>
      <c r="AS2" s="26">
        <f>资产资本表!AS17</f>
        <v>1450820925.3099999</v>
      </c>
      <c r="AT2" s="26">
        <f>资产资本表!AT17</f>
        <v>1395491602.97</v>
      </c>
      <c r="AU2" s="26">
        <f>资产资本表!AU17</f>
        <v>666935193.74000001</v>
      </c>
      <c r="AV2" s="26">
        <f>资产资本表!AV17</f>
        <v>859682813.21000004</v>
      </c>
      <c r="AW2" s="26">
        <f>资产资本表!AW17</f>
        <v>570948275.58999991</v>
      </c>
      <c r="AX2" s="26">
        <f>资产资本表!AX17</f>
        <v>243333126.58000001</v>
      </c>
      <c r="AY2" s="26">
        <f>资产资本表!AY17</f>
        <v>199103156.66</v>
      </c>
      <c r="AZ2" s="26">
        <f>资产资本表!AZ17</f>
        <v>346112919.82999998</v>
      </c>
      <c r="BA2" s="26">
        <f>资产资本表!BA17</f>
        <v>211068420.63</v>
      </c>
      <c r="BB2" s="26">
        <f>资产资本表!BB17</f>
        <v>403785630.05000001</v>
      </c>
      <c r="BC2" s="26">
        <f>资产资本表!BC17</f>
        <v>377079305.70999998</v>
      </c>
      <c r="BD2" s="26">
        <f>资产资本表!BD17</f>
        <v>583574459.69000006</v>
      </c>
      <c r="BE2" s="26">
        <f>资产资本表!BE17</f>
        <v>410943189.26999998</v>
      </c>
      <c r="BF2" s="26">
        <f>资产资本表!BF17</f>
        <v>756029349.84000003</v>
      </c>
      <c r="BG2" s="26">
        <f>资产资本表!BG17</f>
        <v>438964391.97000003</v>
      </c>
      <c r="BH2" s="26">
        <f>资产资本表!BH17</f>
        <v>181648627.75999999</v>
      </c>
      <c r="BI2" s="26">
        <f>资产资本表!BI17</f>
        <v>136039161.43000001</v>
      </c>
      <c r="BJ2" s="26">
        <f>资产资本表!BJ17</f>
        <v>165218401.56999999</v>
      </c>
      <c r="BK2" s="26">
        <f>资产资本表!BK17</f>
        <v>216644559.25999999</v>
      </c>
      <c r="BL2" s="26">
        <f>资产资本表!BL17</f>
        <v>221238157.5</v>
      </c>
      <c r="BM2" s="26">
        <f>资产资本表!BM17</f>
        <v>181052845.81999999</v>
      </c>
      <c r="BN2" s="26">
        <f>资产资本表!BN17</f>
        <v>2000000</v>
      </c>
      <c r="BO2" s="26">
        <f>资产资本表!BO17</f>
        <v>12549252.51</v>
      </c>
      <c r="BP2" s="26">
        <f>资产资本表!BP17</f>
        <v>23167485.93</v>
      </c>
      <c r="BQ2" s="26">
        <f>资产资本表!BQ17</f>
        <v>34561500.75</v>
      </c>
      <c r="BR2" s="26">
        <f>资产资本表!BR17</f>
        <v>44936952.799999997</v>
      </c>
      <c r="BS2" s="26">
        <f>资产资本表!BS17</f>
        <v>158871889.68000001</v>
      </c>
      <c r="BT2" s="26">
        <f>资产资本表!BT17</f>
        <v>138575485.94</v>
      </c>
      <c r="BU2" s="26">
        <f>资产资本表!BU17</f>
        <v>79539733.840000004</v>
      </c>
      <c r="BV2" s="26">
        <f>资产资本表!BV17</f>
        <v>74614056.719999999</v>
      </c>
      <c r="BW2" s="26">
        <f>资产资本表!BW17</f>
        <v>52738666.020000003</v>
      </c>
      <c r="BX2" s="26">
        <f>资产资本表!BX17</f>
        <v>35689075.340000004</v>
      </c>
      <c r="BY2" s="26">
        <f>资产资本表!BY17</f>
        <v>20521683.670000002</v>
      </c>
      <c r="BZ2" s="26">
        <f>资产资本表!BZ17</f>
        <v>0</v>
      </c>
      <c r="CA2" s="26">
        <f>资产资本表!CA17</f>
        <v>65358944.289999999</v>
      </c>
      <c r="CB2" s="26">
        <f>资产资本表!CB17</f>
        <v>0</v>
      </c>
      <c r="CC2" s="26">
        <f>资产资本表!CC17</f>
        <v>19363072.760000002</v>
      </c>
      <c r="CD2" s="26">
        <f>资产资本表!CD17</f>
        <v>76819397.290000007</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8729612779.75</v>
      </c>
      <c r="F3" s="26">
        <f>资产资本表!F19</f>
        <v>8679760447.7099991</v>
      </c>
      <c r="G3" s="26">
        <f>资产资本表!G19</f>
        <v>8562046822.4300003</v>
      </c>
      <c r="H3" s="26">
        <f>资产资本表!H19</f>
        <v>8919850139.6499996</v>
      </c>
      <c r="I3" s="26">
        <f>资产资本表!I19</f>
        <v>8846824928.5300007</v>
      </c>
      <c r="J3" s="26">
        <f>资产资本表!J19</f>
        <v>7312406516.4799995</v>
      </c>
      <c r="K3" s="26">
        <f>资产资本表!K19</f>
        <v>6268767675.3199997</v>
      </c>
      <c r="L3" s="26">
        <f>资产资本表!L19</f>
        <v>4984330317.3400002</v>
      </c>
      <c r="M3" s="26">
        <f>资产资本表!M19</f>
        <v>2639024894.1900001</v>
      </c>
      <c r="N3" s="26">
        <f>资产资本表!N19</f>
        <v>2507148433.9499998</v>
      </c>
      <c r="O3" s="26">
        <f>资产资本表!O19</f>
        <v>2530719406</v>
      </c>
      <c r="P3" s="26">
        <f>资产资本表!P19</f>
        <v>2760483019.1300001</v>
      </c>
      <c r="Q3" s="26">
        <f>资产资本表!Q19</f>
        <v>2503484741.3099999</v>
      </c>
      <c r="R3" s="26">
        <f>资产资本表!R19</f>
        <v>2637521922.96</v>
      </c>
      <c r="S3" s="26">
        <f>资产资本表!S19</f>
        <v>2808010267.1799998</v>
      </c>
      <c r="T3" s="26">
        <f>资产资本表!T19</f>
        <v>2912177181.96</v>
      </c>
      <c r="U3" s="26">
        <f>资产资本表!U19</f>
        <v>2807747136.46</v>
      </c>
      <c r="V3" s="26">
        <f>资产资本表!V19</f>
        <v>2686661408.8099999</v>
      </c>
      <c r="W3" s="26">
        <f>资产资本表!W19</f>
        <v>2437586084.9699998</v>
      </c>
      <c r="X3" s="26">
        <f>资产资本表!X19</f>
        <v>2541979629.1199999</v>
      </c>
      <c r="Y3" s="26">
        <f>资产资本表!Y19</f>
        <v>1573141463.02</v>
      </c>
      <c r="Z3" s="26">
        <f>资产资本表!Z19</f>
        <v>1478355523.4100001</v>
      </c>
      <c r="AA3" s="26">
        <f>资产资本表!AA19</f>
        <v>1440376022.6700001</v>
      </c>
      <c r="AB3" s="26">
        <f>资产资本表!AB19</f>
        <v>1467523948.79</v>
      </c>
      <c r="AC3" s="26">
        <f>资产资本表!AC19</f>
        <v>1436367984.1300001</v>
      </c>
      <c r="AD3" s="26">
        <f>资产资本表!AD19</f>
        <v>1510746593.74</v>
      </c>
      <c r="AE3" s="26">
        <f>资产资本表!AE19</f>
        <v>1502618178.24</v>
      </c>
      <c r="AF3" s="26">
        <f>资产资本表!AF19</f>
        <v>1498992613.53</v>
      </c>
      <c r="AG3" s="26">
        <f>资产资本表!AG19</f>
        <v>1476329115.5699999</v>
      </c>
      <c r="AH3" s="26">
        <f>资产资本表!AH19</f>
        <v>1537121964.28</v>
      </c>
      <c r="AI3" s="26">
        <f>资产资本表!AI19</f>
        <v>1551762623.3</v>
      </c>
      <c r="AJ3" s="26">
        <f>资产资本表!AJ19</f>
        <v>1587635239.8</v>
      </c>
      <c r="AK3" s="26">
        <f>资产资本表!AK19</f>
        <v>1549432681.23</v>
      </c>
      <c r="AL3" s="26">
        <f>资产资本表!AL19</f>
        <v>853967856.78999996</v>
      </c>
      <c r="AM3" s="26">
        <f>资产资本表!AM19</f>
        <v>811189653.53999996</v>
      </c>
      <c r="AN3" s="26">
        <f>资产资本表!AN19</f>
        <v>907031149.46000004</v>
      </c>
      <c r="AO3" s="26">
        <f>资产资本表!AO19</f>
        <v>876706465.16999996</v>
      </c>
      <c r="AP3" s="26">
        <f>资产资本表!AP19</f>
        <v>1006433920.66</v>
      </c>
      <c r="AQ3" s="26">
        <f>资产资本表!AQ19</f>
        <v>1029898013.13</v>
      </c>
      <c r="AR3" s="26">
        <f>资产资本表!AR19</f>
        <v>1035113073.83</v>
      </c>
      <c r="AS3" s="26">
        <f>资产资本表!AS19</f>
        <v>863131531.36000001</v>
      </c>
      <c r="AT3" s="26">
        <f>资产资本表!AT19</f>
        <v>918229206.58000004</v>
      </c>
      <c r="AU3" s="26">
        <f>资产资本表!AU19</f>
        <v>912015493.66999996</v>
      </c>
      <c r="AV3" s="26">
        <f>资产资本表!AV19</f>
        <v>856051667.25999999</v>
      </c>
      <c r="AW3" s="26">
        <f>资产资本表!AW19</f>
        <v>1412186711.3399999</v>
      </c>
      <c r="AX3" s="26">
        <f>资产资本表!AX19</f>
        <v>424059053.56999999</v>
      </c>
      <c r="AY3" s="26">
        <f>资产资本表!AY19</f>
        <v>425490282.61000001</v>
      </c>
      <c r="AZ3" s="26">
        <f>资产资本表!AZ19</f>
        <v>397018259.50999999</v>
      </c>
      <c r="BA3" s="26">
        <f>资产资本表!BA19</f>
        <v>397104587.04000002</v>
      </c>
      <c r="BB3" s="26">
        <f>资产资本表!BB19</f>
        <v>475475153.05000001</v>
      </c>
      <c r="BC3" s="26">
        <f>资产资本表!BC19</f>
        <v>422786356.37</v>
      </c>
      <c r="BD3" s="26">
        <f>资产资本表!BD19</f>
        <v>417961342.06999999</v>
      </c>
      <c r="BE3" s="26">
        <f>资产资本表!BE19</f>
        <v>391805117.45999998</v>
      </c>
      <c r="BF3" s="26">
        <f>资产资本表!BF19</f>
        <v>355564289.75999999</v>
      </c>
      <c r="BG3" s="26">
        <f>资产资本表!BG19</f>
        <v>326216795.41000003</v>
      </c>
      <c r="BH3" s="26">
        <f>资产资本表!BH19</f>
        <v>303744932.42000002</v>
      </c>
      <c r="BI3" s="26">
        <f>资产资本表!BI19</f>
        <v>246829285.46000001</v>
      </c>
      <c r="BJ3" s="26">
        <f>资产资本表!BJ19</f>
        <v>235277784.91999999</v>
      </c>
      <c r="BK3" s="26">
        <f>资产资本表!BK19</f>
        <v>212669191.28</v>
      </c>
      <c r="BL3" s="26">
        <f>资产资本表!BL19</f>
        <v>253268542.19</v>
      </c>
      <c r="BM3" s="26">
        <f>资产资本表!BM19</f>
        <v>234275291.65000001</v>
      </c>
      <c r="BN3" s="26">
        <f>资产资本表!BN19</f>
        <v>17198219.629999999</v>
      </c>
      <c r="BO3" s="26">
        <f>资产资本表!BO19</f>
        <v>16803778.039999999</v>
      </c>
      <c r="BP3" s="26">
        <f>资产资本表!BP19</f>
        <v>16803778.039999999</v>
      </c>
      <c r="BQ3" s="26">
        <f>资产资本表!BQ19</f>
        <v>16803778.039999999</v>
      </c>
      <c r="BR3" s="26">
        <f>资产资本表!BR19</f>
        <v>19162288.68</v>
      </c>
      <c r="BS3" s="26">
        <f>资产资本表!BS19</f>
        <v>19162288.68</v>
      </c>
      <c r="BT3" s="26">
        <f>资产资本表!BT19</f>
        <v>22274799.460000001</v>
      </c>
      <c r="BU3" s="26">
        <f>资产资本表!BU19</f>
        <v>35171954.649999999</v>
      </c>
      <c r="BV3" s="26">
        <f>资产资本表!BV19</f>
        <v>39940000</v>
      </c>
      <c r="BW3" s="26">
        <f>资产资本表!BW19</f>
        <v>10500000</v>
      </c>
      <c r="BX3" s="26">
        <f>资产资本表!BX19</f>
        <v>2500000</v>
      </c>
      <c r="BY3" s="26">
        <f>资产资本表!BY19</f>
        <v>2500000</v>
      </c>
      <c r="BZ3" s="26">
        <f>资产资本表!BZ19</f>
        <v>2850000</v>
      </c>
      <c r="CA3" s="26">
        <f>资产资本表!CA19</f>
        <v>2850000</v>
      </c>
      <c r="CB3" s="26">
        <f>资产资本表!CB19</f>
        <v>2850000</v>
      </c>
      <c r="CC3" s="26">
        <f>资产资本表!CC19</f>
        <v>2850000</v>
      </c>
      <c r="CD3" s="26">
        <f>资产资本表!CD19</f>
        <v>3115107.7</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-7350608287.6000013</v>
      </c>
      <c r="F4" s="26">
        <f>资产资本表!F50</f>
        <v>-7622299925.8800011</v>
      </c>
      <c r="G4" s="26">
        <f>资产资本表!G50</f>
        <v>-7206989461.3000002</v>
      </c>
      <c r="H4" s="26">
        <f>资产资本表!H50</f>
        <v>-9817390610.2299995</v>
      </c>
      <c r="I4" s="26">
        <f>资产资本表!I50</f>
        <v>-12975969235.9</v>
      </c>
      <c r="J4" s="26">
        <f>资产资本表!J50</f>
        <v>-11704221438.300003</v>
      </c>
      <c r="K4" s="26">
        <f>资产资本表!K50</f>
        <v>-8599415175.4799995</v>
      </c>
      <c r="L4" s="26">
        <f>资产资本表!L50</f>
        <v>-8543453882.4799986</v>
      </c>
      <c r="M4" s="26">
        <f>资产资本表!M50</f>
        <v>-10572246791.23</v>
      </c>
      <c r="N4" s="26">
        <f>资产资本表!N50</f>
        <v>-4365432050.9300003</v>
      </c>
      <c r="O4" s="26">
        <f>资产资本表!O50</f>
        <v>-4324855160.8999996</v>
      </c>
      <c r="P4" s="26">
        <f>资产资本表!P50</f>
        <v>-4681404389.3700008</v>
      </c>
      <c r="Q4" s="26">
        <f>资产资本表!Q50</f>
        <v>-6072875793.7800007</v>
      </c>
      <c r="R4" s="26">
        <f>资产资本表!R50</f>
        <v>-5067284967.7799988</v>
      </c>
      <c r="S4" s="26">
        <f>资产资本表!S50</f>
        <v>-2113121708.6899996</v>
      </c>
      <c r="T4" s="26">
        <f>资产资本表!T50</f>
        <v>-1716864423.9499998</v>
      </c>
      <c r="U4" s="26">
        <f>资产资本表!U50</f>
        <v>-5583650681.5700016</v>
      </c>
      <c r="V4" s="26">
        <f>资产资本表!V50</f>
        <v>-4420437517.1800003</v>
      </c>
      <c r="W4" s="26">
        <f>资产资本表!W50</f>
        <v>-3809164940.1299992</v>
      </c>
      <c r="X4" s="26">
        <f>资产资本表!X50</f>
        <v>-5592394243.3700008</v>
      </c>
      <c r="Y4" s="26">
        <f>资产资本表!Y50</f>
        <v>-5292099683.9599991</v>
      </c>
      <c r="Z4" s="26">
        <f>资产资本表!Z50</f>
        <v>2647387644.2600002</v>
      </c>
      <c r="AA4" s="26">
        <f>资产资本表!AA50</f>
        <v>2157009767.8299999</v>
      </c>
      <c r="AB4" s="26">
        <f>资产资本表!AB50</f>
        <v>1717791124.4399996</v>
      </c>
      <c r="AC4" s="26">
        <f>资产资本表!AC50</f>
        <v>1223025788.1500015</v>
      </c>
      <c r="AD4" s="26">
        <f>资产资本表!AD50</f>
        <v>-1023011951.4899988</v>
      </c>
      <c r="AE4" s="26">
        <f>资产资本表!AE50</f>
        <v>212802787.93000221</v>
      </c>
      <c r="AF4" s="26">
        <f>资产资本表!AF50</f>
        <v>-576440599.26999855</v>
      </c>
      <c r="AG4" s="26">
        <f>资产资本表!AG50</f>
        <v>-667052618.27999878</v>
      </c>
      <c r="AH4" s="26">
        <f>资产资本表!AH50</f>
        <v>1700451552.1399994</v>
      </c>
      <c r="AI4" s="26">
        <f>资产资本表!AI50</f>
        <v>1228247951.9900007</v>
      </c>
      <c r="AJ4" s="26">
        <f>资产资本表!AJ50</f>
        <v>216620839.01000118</v>
      </c>
      <c r="AK4" s="26">
        <f>资产资本表!AK50</f>
        <v>-26148707.739999771</v>
      </c>
      <c r="AL4" s="26">
        <f>资产资本表!AL50</f>
        <v>964455502.84000015</v>
      </c>
      <c r="AM4" s="26">
        <f>资产资本表!AM50</f>
        <v>1016505332.4200001</v>
      </c>
      <c r="AN4" s="26">
        <f>资产资本表!AN50</f>
        <v>579076544.16999984</v>
      </c>
      <c r="AO4" s="26">
        <f>资产资本表!AO50</f>
        <v>868292438.03999972</v>
      </c>
      <c r="AP4" s="26">
        <f>资产资本表!AP50</f>
        <v>397038540.71000004</v>
      </c>
      <c r="AQ4" s="26">
        <f>资产资本表!AQ50</f>
        <v>329884060.8900001</v>
      </c>
      <c r="AR4" s="26">
        <f>资产资本表!AR50</f>
        <v>295809745.45000029</v>
      </c>
      <c r="AS4" s="26">
        <f>资产资本表!AS50</f>
        <v>228210222.43999982</v>
      </c>
      <c r="AT4" s="26">
        <f>资产资本表!AT50</f>
        <v>45331989.829999924</v>
      </c>
      <c r="AU4" s="26">
        <f>资产资本表!AU50</f>
        <v>-190489085.8599999</v>
      </c>
      <c r="AV4" s="26">
        <f>资产资本表!AV50</f>
        <v>749234.75999951363</v>
      </c>
      <c r="AW4" s="26">
        <f>资产资本表!AW50</f>
        <v>-327257941.13999987</v>
      </c>
      <c r="AX4" s="26">
        <f>资产资本表!AX50</f>
        <v>1295265873.6500001</v>
      </c>
      <c r="AY4" s="26">
        <f>资产资本表!AY50</f>
        <v>-7328946.1000000238</v>
      </c>
      <c r="AZ4" s="26">
        <f>资产资本表!AZ50</f>
        <v>-80855686.899999857</v>
      </c>
      <c r="BA4" s="26">
        <f>资产资本表!BA50</f>
        <v>40187511.339999974</v>
      </c>
      <c r="BB4" s="26">
        <f>资产资本表!BB50</f>
        <v>184208415</v>
      </c>
      <c r="BC4" s="26">
        <f>资产资本表!BC50</f>
        <v>2469521.0400000811</v>
      </c>
      <c r="BD4" s="26">
        <f>资产资本表!BD50</f>
        <v>247118690.49000013</v>
      </c>
      <c r="BE4" s="26">
        <f>资产资本表!BE50</f>
        <v>15625145.550000072</v>
      </c>
      <c r="BF4" s="26">
        <f>资产资本表!BF50</f>
        <v>24519624.209999919</v>
      </c>
      <c r="BG4" s="26">
        <f>资产资本表!BG50</f>
        <v>290317086.43000007</v>
      </c>
      <c r="BH4" s="26">
        <f>资产资本表!BH50</f>
        <v>509191405.16999984</v>
      </c>
      <c r="BI4" s="26">
        <f>资产资本表!BI50</f>
        <v>189686482.13000005</v>
      </c>
      <c r="BJ4" s="26">
        <f>资产资本表!BJ50</f>
        <v>162203880.14999998</v>
      </c>
      <c r="BK4" s="26">
        <f>资产资本表!BK50</f>
        <v>103233129.38999999</v>
      </c>
      <c r="BL4" s="26">
        <f>资产资本表!BL50</f>
        <v>262669822.94999993</v>
      </c>
      <c r="BM4" s="26">
        <f>资产资本表!BM50</f>
        <v>224382985.16999996</v>
      </c>
      <c r="BN4" s="26">
        <f>资产资本表!BN50</f>
        <v>157688846.81</v>
      </c>
      <c r="BO4" s="26">
        <f>资产资本表!BO50</f>
        <v>148295204.33999997</v>
      </c>
      <c r="BP4" s="26">
        <f>资产资本表!BP50</f>
        <v>150729390.89000002</v>
      </c>
      <c r="BQ4" s="26">
        <f>资产资本表!BQ50</f>
        <v>157158405.52000001</v>
      </c>
      <c r="BR4" s="26">
        <f>资产资本表!BR50</f>
        <v>185863355.11999995</v>
      </c>
      <c r="BS4" s="26">
        <f>资产资本表!BS50</f>
        <v>122583154.52000001</v>
      </c>
      <c r="BT4" s="26">
        <f>资产资本表!BT50</f>
        <v>46760230.560000017</v>
      </c>
      <c r="BU4" s="26">
        <f>资产资本表!BU50</f>
        <v>129587275.74999999</v>
      </c>
      <c r="BV4" s="26">
        <f>资产资本表!BV50</f>
        <v>130709801.04999998</v>
      </c>
      <c r="BW4" s="26">
        <f>资产资本表!BW50</f>
        <v>181666380.10000002</v>
      </c>
      <c r="BX4" s="26">
        <f>资产资本表!BX50</f>
        <v>105197312.23000002</v>
      </c>
      <c r="BY4" s="26">
        <f>资产资本表!BY50</f>
        <v>14204638.389999993</v>
      </c>
      <c r="BZ4" s="26">
        <f>资产资本表!BZ50</f>
        <v>0</v>
      </c>
      <c r="CA4" s="26">
        <f>资产资本表!CA50</f>
        <v>-63844851.00999999</v>
      </c>
      <c r="CB4" s="26">
        <f>资产资本表!CB50</f>
        <v>0</v>
      </c>
      <c r="CC4" s="26">
        <f>资产资本表!CC50</f>
        <v>-27033685.119999997</v>
      </c>
      <c r="CD4" s="26">
        <f>资产资本表!CD50</f>
        <v>-20922199.010000002</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7663137785.9199991</v>
      </c>
      <c r="F5" s="26">
        <f>资产资本表!F33</f>
        <v>8320598890.1800003</v>
      </c>
      <c r="G5" s="26">
        <f>资产资本表!G33</f>
        <v>8176318263.5299997</v>
      </c>
      <c r="H5" s="26">
        <f>资产资本表!H33</f>
        <v>8090133087.6799994</v>
      </c>
      <c r="I5" s="26">
        <f>资产资本表!I33</f>
        <v>6770742040.6999989</v>
      </c>
      <c r="J5" s="26">
        <f>资产资本表!J33</f>
        <v>7193354770.4599991</v>
      </c>
      <c r="K5" s="26">
        <f>资产资本表!K33</f>
        <v>6657959460.250001</v>
      </c>
      <c r="L5" s="26">
        <f>资产资本表!L33</f>
        <v>6842931344.8900003</v>
      </c>
      <c r="M5" s="26">
        <f>资产资本表!M33</f>
        <v>5205061259.54</v>
      </c>
      <c r="N5" s="26">
        <f>资产资本表!N33</f>
        <v>8871334992.2399998</v>
      </c>
      <c r="O5" s="26">
        <f>资产资本表!O33</f>
        <v>8302576529.460001</v>
      </c>
      <c r="P5" s="26">
        <f>资产资本表!P33</f>
        <v>6337455589.6800003</v>
      </c>
      <c r="Q5" s="26">
        <f>资产资本表!Q33</f>
        <v>5659566124.0799999</v>
      </c>
      <c r="R5" s="26">
        <f>资产资本表!R33</f>
        <v>8114534758.3199997</v>
      </c>
      <c r="S5" s="26">
        <f>资产资本表!S33</f>
        <v>6746614562.8999987</v>
      </c>
      <c r="T5" s="26">
        <f>资产资本表!T33</f>
        <v>7088242801.1199999</v>
      </c>
      <c r="U5" s="26">
        <f>资产资本表!U33</f>
        <v>6132398003.8199997</v>
      </c>
      <c r="V5" s="26">
        <f>资产资本表!V33</f>
        <v>8220155167.0799999</v>
      </c>
      <c r="W5" s="26">
        <f>资产资本表!W33</f>
        <v>7590274843.8700008</v>
      </c>
      <c r="X5" s="26">
        <f>资产资本表!X33</f>
        <v>7585134255.3999996</v>
      </c>
      <c r="Y5" s="26">
        <f>资产资本表!Y33</f>
        <v>7585152752.2600002</v>
      </c>
      <c r="Z5" s="26">
        <f>资产资本表!Z33</f>
        <v>9209577174.5900002</v>
      </c>
      <c r="AA5" s="26">
        <f>资产资本表!AA33</f>
        <v>9090141742.6499996</v>
      </c>
      <c r="AB5" s="26">
        <f>资产资本表!AB33</f>
        <v>8463132341.0899992</v>
      </c>
      <c r="AC5" s="26">
        <f>资产资本表!AC33</f>
        <v>9028375769.4300003</v>
      </c>
      <c r="AD5" s="26">
        <f>资产资本表!AD33</f>
        <v>8483474613.9000006</v>
      </c>
      <c r="AE5" s="26">
        <f>资产资本表!AE33</f>
        <v>8008205384.0400009</v>
      </c>
      <c r="AF5" s="26">
        <f>资产资本表!AF33</f>
        <v>7342620375.6700001</v>
      </c>
      <c r="AG5" s="26">
        <f>资产资本表!AG33</f>
        <v>6794928606.5100002</v>
      </c>
      <c r="AH5" s="26">
        <f>资产资本表!AH33</f>
        <v>7820806301.0100002</v>
      </c>
      <c r="AI5" s="26">
        <f>资产资本表!AI33</f>
        <v>6855776026.1300001</v>
      </c>
      <c r="AJ5" s="26">
        <f>资产资本表!AJ33</f>
        <v>5969954161.1200008</v>
      </c>
      <c r="AK5" s="26">
        <f>资产资本表!AK33</f>
        <v>5733777539.8400002</v>
      </c>
      <c r="AL5" s="26">
        <f>资产资本表!AL33</f>
        <v>2136942933.8100002</v>
      </c>
      <c r="AM5" s="26">
        <f>资产资本表!AM33</f>
        <v>2197300829.6700001</v>
      </c>
      <c r="AN5" s="26">
        <f>资产资本表!AN33</f>
        <v>1873918781.1099999</v>
      </c>
      <c r="AO5" s="26">
        <f>资产资本表!AO33</f>
        <v>1969645211.8199997</v>
      </c>
      <c r="AP5" s="26">
        <f>资产资本表!AP33</f>
        <v>2117494906.71</v>
      </c>
      <c r="AQ5" s="26">
        <f>资产资本表!AQ33</f>
        <v>2027549469.22</v>
      </c>
      <c r="AR5" s="26">
        <f>资产资本表!AR33</f>
        <v>1765046796.46</v>
      </c>
      <c r="AS5" s="26">
        <f>资产资本表!AS33</f>
        <v>1580776799.1499999</v>
      </c>
      <c r="AT5" s="26">
        <f>资产资本表!AT33</f>
        <v>1536664917.8299999</v>
      </c>
      <c r="AU5" s="26">
        <f>资产资本表!AU33</f>
        <v>1583637331.05</v>
      </c>
      <c r="AV5" s="26">
        <f>资产资本表!AV33</f>
        <v>1677387930.0599997</v>
      </c>
      <c r="AW5" s="26">
        <f>资产资本表!AW33</f>
        <v>1332156224.8400002</v>
      </c>
      <c r="AX5" s="26">
        <f>资产资本表!AX33</f>
        <v>2305493162.4000001</v>
      </c>
      <c r="AY5" s="26">
        <f>资产资本表!AY33</f>
        <v>742366266.71000004</v>
      </c>
      <c r="AZ5" s="26">
        <f>资产资本表!AZ33</f>
        <v>687805889.18000007</v>
      </c>
      <c r="BA5" s="26">
        <f>资产资本表!BA33</f>
        <v>566703431.28999996</v>
      </c>
      <c r="BB5" s="26">
        <f>资产资本表!BB33</f>
        <v>776615104.00999999</v>
      </c>
      <c r="BC5" s="26">
        <f>资产资本表!BC33</f>
        <v>682099611.8900001</v>
      </c>
      <c r="BD5" s="26">
        <f>资产资本表!BD33</f>
        <v>811180099.68000007</v>
      </c>
      <c r="BE5" s="26">
        <f>资产资本表!BE33</f>
        <v>568271461.41000009</v>
      </c>
      <c r="BF5" s="26">
        <f>资产资本表!BF33</f>
        <v>720294708.64999998</v>
      </c>
      <c r="BG5" s="26">
        <f>资产资本表!BG33</f>
        <v>1116927184.97</v>
      </c>
      <c r="BH5" s="26">
        <f>资产资本表!BH33</f>
        <v>806186290.18999982</v>
      </c>
      <c r="BI5" s="26">
        <f>资产资本表!BI33</f>
        <v>509520675.02000004</v>
      </c>
      <c r="BJ5" s="26">
        <f>资产资本表!BJ33</f>
        <v>484522291.69</v>
      </c>
      <c r="BK5" s="26">
        <f>资产资本表!BK33</f>
        <v>439075678.81999999</v>
      </c>
      <c r="BL5" s="26">
        <f>资产资本表!BL33</f>
        <v>680418890.20999992</v>
      </c>
      <c r="BM5" s="26">
        <f>资产资本表!BM33</f>
        <v>613634324.38</v>
      </c>
      <c r="BN5" s="26">
        <f>资产资本表!BN33</f>
        <v>190917600.78999999</v>
      </c>
      <c r="BO5" s="26">
        <f>资产资本表!BO33</f>
        <v>268840147.19</v>
      </c>
      <c r="BP5" s="26">
        <f>资产资本表!BP33</f>
        <v>215556841.11000001</v>
      </c>
      <c r="BQ5" s="26">
        <f>资产资本表!BQ33</f>
        <v>207669262.66</v>
      </c>
      <c r="BR5" s="26">
        <f>资产资本表!BR33</f>
        <v>492856253.19</v>
      </c>
      <c r="BS5" s="26">
        <f>资产资本表!BS33</f>
        <v>260886016.41999999</v>
      </c>
      <c r="BT5" s="26">
        <f>资产资本表!BT33</f>
        <v>155772969.49000001</v>
      </c>
      <c r="BU5" s="26">
        <f>资产资本表!BU33</f>
        <v>254094474.05000001</v>
      </c>
      <c r="BV5" s="26">
        <f>资产资本表!BV33</f>
        <v>303615912.12</v>
      </c>
      <c r="BW5" s="26">
        <f>资产资本表!BW33</f>
        <v>304183489.36000001</v>
      </c>
      <c r="BX5" s="26">
        <f>资产资本表!BX33</f>
        <v>240934964</v>
      </c>
      <c r="BY5" s="26">
        <f>资产资本表!BY33</f>
        <v>69907486.409999996</v>
      </c>
      <c r="BZ5" s="26">
        <f>资产资本表!BZ33</f>
        <v>0</v>
      </c>
      <c r="CA5" s="26">
        <f>资产资本表!CA33</f>
        <v>19993770.170000002</v>
      </c>
      <c r="CB5" s="26">
        <f>资产资本表!CB33</f>
        <v>0</v>
      </c>
      <c r="CC5" s="26">
        <f>资产资本表!CC33</f>
        <v>7729543.4199999999</v>
      </c>
      <c r="CD5" s="26">
        <f>资产资本表!CD33</f>
        <v>4485173.2300000004</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15013746073.52</v>
      </c>
      <c r="F6" s="26">
        <f>资产资本表!F49</f>
        <v>15942898816.060001</v>
      </c>
      <c r="G6" s="26">
        <f>资产资本表!G49</f>
        <v>15383307724.83</v>
      </c>
      <c r="H6" s="26">
        <f>资产资本表!H49</f>
        <v>17907523697.91</v>
      </c>
      <c r="I6" s="26">
        <f>资产资本表!I49</f>
        <v>19746711276.599998</v>
      </c>
      <c r="J6" s="26">
        <f>资产资本表!J49</f>
        <v>18897576208.760002</v>
      </c>
      <c r="K6" s="26">
        <f>资产资本表!K49</f>
        <v>15257374635.730001</v>
      </c>
      <c r="L6" s="26">
        <f>资产资本表!L49</f>
        <v>15386385227.369999</v>
      </c>
      <c r="M6" s="26">
        <f>资产资本表!M49</f>
        <v>15777308050.769999</v>
      </c>
      <c r="N6" s="26">
        <f>资产资本表!N49</f>
        <v>13236767043.17</v>
      </c>
      <c r="O6" s="26">
        <f>资产资本表!O49</f>
        <v>12627431690.360001</v>
      </c>
      <c r="P6" s="26">
        <f>资产资本表!P49</f>
        <v>11018859979.050001</v>
      </c>
      <c r="Q6" s="26">
        <f>资产资本表!Q49</f>
        <v>11732441917.860001</v>
      </c>
      <c r="R6" s="26">
        <f>资产资本表!R49</f>
        <v>13181819726.099998</v>
      </c>
      <c r="S6" s="26">
        <f>资产资本表!S49</f>
        <v>8859736271.5899982</v>
      </c>
      <c r="T6" s="26">
        <f>资产资本表!T49</f>
        <v>8805107225.0699997</v>
      </c>
      <c r="U6" s="26">
        <f>资产资本表!U49</f>
        <v>11716048685.390001</v>
      </c>
      <c r="V6" s="26">
        <f>资产资本表!V49</f>
        <v>12640592684.26</v>
      </c>
      <c r="W6" s="26">
        <f>资产资本表!W49</f>
        <v>11399439784</v>
      </c>
      <c r="X6" s="26">
        <f>资产资本表!X49</f>
        <v>13177528498.77</v>
      </c>
      <c r="Y6" s="26">
        <f>资产资本表!Y49</f>
        <v>12877252436.219999</v>
      </c>
      <c r="Z6" s="26">
        <f>资产资本表!Z49</f>
        <v>6562189530.3299999</v>
      </c>
      <c r="AA6" s="26">
        <f>资产资本表!AA49</f>
        <v>6933131974.8199997</v>
      </c>
      <c r="AB6" s="26">
        <f>资产资本表!AB49</f>
        <v>6745341216.6499996</v>
      </c>
      <c r="AC6" s="26">
        <f>资产资本表!AC49</f>
        <v>7805349981.2799988</v>
      </c>
      <c r="AD6" s="26">
        <f>资产资本表!AD49</f>
        <v>9506486565.3899994</v>
      </c>
      <c r="AE6" s="26">
        <f>资产资本表!AE49</f>
        <v>7795402596.1099987</v>
      </c>
      <c r="AF6" s="26">
        <f>资产资本表!AF49</f>
        <v>7919060974.9399986</v>
      </c>
      <c r="AG6" s="26">
        <f>资产资本表!AG49</f>
        <v>7461981224.789999</v>
      </c>
      <c r="AH6" s="26">
        <f>资产资本表!AH49</f>
        <v>6120354748.8700008</v>
      </c>
      <c r="AI6" s="26">
        <f>资产资本表!AI49</f>
        <v>5627528074.1399994</v>
      </c>
      <c r="AJ6" s="26">
        <f>资产资本表!AJ49</f>
        <v>5753333322.1099997</v>
      </c>
      <c r="AK6" s="26">
        <f>资产资本表!AK49</f>
        <v>5759926247.5799999</v>
      </c>
      <c r="AL6" s="26">
        <f>资产资本表!AL49</f>
        <v>1172487430.97</v>
      </c>
      <c r="AM6" s="26">
        <f>资产资本表!AM49</f>
        <v>1180795497.25</v>
      </c>
      <c r="AN6" s="26">
        <f>资产资本表!AN49</f>
        <v>1294842236.9400001</v>
      </c>
      <c r="AO6" s="26">
        <f>资产资本表!AO49</f>
        <v>1101352773.78</v>
      </c>
      <c r="AP6" s="26">
        <f>资产资本表!AP49</f>
        <v>1720456366</v>
      </c>
      <c r="AQ6" s="26">
        <f>资产资本表!AQ49</f>
        <v>1697665408.3299999</v>
      </c>
      <c r="AR6" s="26">
        <f>资产资本表!AR49</f>
        <v>1469237051.0099998</v>
      </c>
      <c r="AS6" s="26">
        <f>资产资本表!AS49</f>
        <v>1352566576.71</v>
      </c>
      <c r="AT6" s="26">
        <f>资产资本表!AT49</f>
        <v>1491332928</v>
      </c>
      <c r="AU6" s="26">
        <f>资产资本表!AU49</f>
        <v>1774126416.9099998</v>
      </c>
      <c r="AV6" s="26">
        <f>资产资本表!AV49</f>
        <v>1676638695.3000002</v>
      </c>
      <c r="AW6" s="26">
        <f>资产资本表!AW49</f>
        <v>1659414165.98</v>
      </c>
      <c r="AX6" s="26">
        <f>资产资本表!AX49</f>
        <v>1010227288.75</v>
      </c>
      <c r="AY6" s="26">
        <f>资产资本表!AY49</f>
        <v>749695212.81000006</v>
      </c>
      <c r="AZ6" s="26">
        <f>资产资本表!AZ49</f>
        <v>768661576.07999992</v>
      </c>
      <c r="BA6" s="26">
        <f>资产资本表!BA49</f>
        <v>526515919.94999999</v>
      </c>
      <c r="BB6" s="26">
        <f>资产资本表!BB49</f>
        <v>592406689.00999999</v>
      </c>
      <c r="BC6" s="26">
        <f>资产资本表!BC49</f>
        <v>679630090.85000002</v>
      </c>
      <c r="BD6" s="26">
        <f>资产资本表!BD49</f>
        <v>564061409.18999994</v>
      </c>
      <c r="BE6" s="26">
        <f>资产资本表!BE49</f>
        <v>552646315.86000001</v>
      </c>
      <c r="BF6" s="26">
        <f>资产资本表!BF49</f>
        <v>695775084.44000006</v>
      </c>
      <c r="BG6" s="26">
        <f>资产资本表!BG49</f>
        <v>826610098.53999996</v>
      </c>
      <c r="BH6" s="26">
        <f>资产资本表!BH49</f>
        <v>296994885.01999998</v>
      </c>
      <c r="BI6" s="26">
        <f>资产资本表!BI49</f>
        <v>319834192.88999999</v>
      </c>
      <c r="BJ6" s="26">
        <f>资产资本表!BJ49</f>
        <v>322318411.54000002</v>
      </c>
      <c r="BK6" s="26">
        <f>资产资本表!BK49</f>
        <v>335842549.43000001</v>
      </c>
      <c r="BL6" s="26">
        <f>资产资本表!BL49</f>
        <v>417749067.25999999</v>
      </c>
      <c r="BM6" s="26">
        <f>资产资本表!BM49</f>
        <v>389251339.21000004</v>
      </c>
      <c r="BN6" s="26">
        <f>资产资本表!BN49</f>
        <v>33228753.98</v>
      </c>
      <c r="BO6" s="26">
        <f>资产资本表!BO49</f>
        <v>120544942.85000001</v>
      </c>
      <c r="BP6" s="26">
        <f>资产资本表!BP49</f>
        <v>64827450.219999999</v>
      </c>
      <c r="BQ6" s="26">
        <f>资产资本表!BQ49</f>
        <v>50510857.139999993</v>
      </c>
      <c r="BR6" s="26">
        <f>资产资本表!BR49</f>
        <v>306992898.07000005</v>
      </c>
      <c r="BS6" s="26">
        <f>资产资本表!BS49</f>
        <v>138302861.89999998</v>
      </c>
      <c r="BT6" s="26">
        <f>资产资本表!BT49</f>
        <v>109012738.92999999</v>
      </c>
      <c r="BU6" s="26">
        <f>资产资本表!BU49</f>
        <v>124507198.30000003</v>
      </c>
      <c r="BV6" s="26">
        <f>资产资本表!BV49</f>
        <v>172906111.07000002</v>
      </c>
      <c r="BW6" s="26">
        <f>资产资本表!BW49</f>
        <v>122517109.26000001</v>
      </c>
      <c r="BX6" s="26">
        <f>资产资本表!BX49</f>
        <v>135737651.76999998</v>
      </c>
      <c r="BY6" s="26">
        <f>资产资本表!BY49</f>
        <v>55702848.020000003</v>
      </c>
      <c r="BZ6" s="26">
        <f>资产资本表!BZ49</f>
        <v>0</v>
      </c>
      <c r="CA6" s="26">
        <f>资产资本表!CA49</f>
        <v>83838621.179999992</v>
      </c>
      <c r="CB6" s="26">
        <f>资产资本表!CB49</f>
        <v>0</v>
      </c>
      <c r="CC6" s="26">
        <f>资产资本表!CC49</f>
        <v>34763228.539999999</v>
      </c>
      <c r="CD6" s="26">
        <f>资产资本表!CD49</f>
        <v>25407372.240000002</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186505630633.41</v>
      </c>
      <c r="F7" s="26">
        <f>资产资本表!F68</f>
        <v>185434656174.17996</v>
      </c>
      <c r="G7" s="26">
        <f>资产资本表!G68</f>
        <v>184230432670.02994</v>
      </c>
      <c r="H7" s="26">
        <f>资产资本表!H68</f>
        <v>183749591512.46002</v>
      </c>
      <c r="I7" s="26">
        <f>资产资本表!I68</f>
        <v>183069107000.66</v>
      </c>
      <c r="J7" s="26">
        <f>资产资本表!J68</f>
        <v>177550722451.17001</v>
      </c>
      <c r="K7" s="26">
        <f>资产资本表!K68</f>
        <v>174186248509.43002</v>
      </c>
      <c r="L7" s="26">
        <f>资产资本表!L68</f>
        <v>170924029935.94998</v>
      </c>
      <c r="M7" s="26">
        <f>资产资本表!M68</f>
        <v>168763183252.89996</v>
      </c>
      <c r="N7" s="26">
        <f>资产资本表!N68</f>
        <v>158664905084.10999</v>
      </c>
      <c r="O7" s="26">
        <f>资产资本表!O68</f>
        <v>156379163091.76999</v>
      </c>
      <c r="P7" s="26">
        <f>资产资本表!P68</f>
        <v>156844398748.31998</v>
      </c>
      <c r="Q7" s="26">
        <f>资产资本表!Q68</f>
        <v>156040157842.95996</v>
      </c>
      <c r="R7" s="26">
        <f>资产资本表!R68</f>
        <v>152786257777.62</v>
      </c>
      <c r="S7" s="26">
        <f>资产资本表!S68</f>
        <v>147236996492.84998</v>
      </c>
      <c r="T7" s="26">
        <f>资产资本表!T68</f>
        <v>147157344503.47998</v>
      </c>
      <c r="U7" s="26">
        <f>资产资本表!U68</f>
        <v>146190599513.61996</v>
      </c>
      <c r="V7" s="26">
        <f>资产资本表!V68</f>
        <v>141518908463.43002</v>
      </c>
      <c r="W7" s="26">
        <f>资产资本表!W68</f>
        <v>137705855740.08002</v>
      </c>
      <c r="X7" s="26">
        <f>资产资本表!X68</f>
        <v>134594887138.06999</v>
      </c>
      <c r="Y7" s="26">
        <f>资产资本表!Y68</f>
        <v>130132959731.95999</v>
      </c>
      <c r="Z7" s="26">
        <f>资产资本表!Z68</f>
        <v>121625887591.75</v>
      </c>
      <c r="AA7" s="26">
        <f>资产资本表!AA68</f>
        <v>113627236889.09001</v>
      </c>
      <c r="AB7" s="26">
        <f>资产资本表!AB68</f>
        <v>109633289069</v>
      </c>
      <c r="AC7" s="26">
        <f>资产资本表!AC68</f>
        <v>109187427413.36</v>
      </c>
      <c r="AD7" s="26">
        <f>资产资本表!AD68</f>
        <v>101873036466.91998</v>
      </c>
      <c r="AE7" s="26">
        <f>资产资本表!AE68</f>
        <v>98278061582.330002</v>
      </c>
      <c r="AF7" s="26">
        <f>资产资本表!AF68</f>
        <v>94374207531.380005</v>
      </c>
      <c r="AG7" s="26">
        <f>资产资本表!AG68</f>
        <v>91531015797.969971</v>
      </c>
      <c r="AH7" s="26">
        <f>资产资本表!AH68</f>
        <v>85475400747.11998</v>
      </c>
      <c r="AI7" s="26">
        <f>资产资本表!AI68</f>
        <v>82796096196.809982</v>
      </c>
      <c r="AJ7" s="26">
        <f>资产资本表!AJ68</f>
        <v>81017352771.019989</v>
      </c>
      <c r="AK7" s="26">
        <f>资产资本表!AK68</f>
        <v>78825788119.240005</v>
      </c>
      <c r="AL7" s="26">
        <f>资产资本表!AL68</f>
        <v>14266199193.43</v>
      </c>
      <c r="AM7" s="26">
        <f>资产资本表!AM68</f>
        <v>13835298857.73</v>
      </c>
      <c r="AN7" s="26">
        <f>资产资本表!AN68</f>
        <v>14158455844.630001</v>
      </c>
      <c r="AO7" s="26">
        <f>资产资本表!AO68</f>
        <v>14232528633.940001</v>
      </c>
      <c r="AP7" s="26">
        <f>资产资本表!AP68</f>
        <v>14339896270.460003</v>
      </c>
      <c r="AQ7" s="26">
        <f>资产资本表!AQ68</f>
        <v>14246512389.990002</v>
      </c>
      <c r="AR7" s="26">
        <f>资产资本表!AR68</f>
        <v>14068170005.4</v>
      </c>
      <c r="AS7" s="26">
        <f>资产资本表!AS68</f>
        <v>14060958636.800001</v>
      </c>
      <c r="AT7" s="26">
        <f>资产资本表!AT68</f>
        <v>13734462861.27</v>
      </c>
      <c r="AU7" s="26">
        <f>资产资本表!AU68</f>
        <v>13752326974.219997</v>
      </c>
      <c r="AV7" s="26">
        <f>资产资本表!AV68</f>
        <v>13757358507.709997</v>
      </c>
      <c r="AW7" s="26">
        <f>资产资本表!AW68</f>
        <v>13895911269.379999</v>
      </c>
      <c r="AX7" s="26">
        <f>资产资本表!AX68</f>
        <v>8245227251.5</v>
      </c>
      <c r="AY7" s="26">
        <f>资产资本表!AY68</f>
        <v>8036368739.6799994</v>
      </c>
      <c r="AZ7" s="26">
        <f>资产资本表!AZ68</f>
        <v>7841977520.6599998</v>
      </c>
      <c r="BA7" s="26">
        <f>资产资本表!BA68</f>
        <v>7817760367.0499992</v>
      </c>
      <c r="BB7" s="26">
        <f>资产资本表!BB68</f>
        <v>7728493927.7800007</v>
      </c>
      <c r="BC7" s="26">
        <f>资产资本表!BC68</f>
        <v>7804356919.1700001</v>
      </c>
      <c r="BD7" s="26">
        <f>资产资本表!BD68</f>
        <v>7516611786.3799992</v>
      </c>
      <c r="BE7" s="26">
        <f>资产资本表!BE68</f>
        <v>7639207265.1999998</v>
      </c>
      <c r="BF7" s="26">
        <f>资产资本表!BF68</f>
        <v>7172010739.0900011</v>
      </c>
      <c r="BG7" s="26">
        <f>资产资本表!BG68</f>
        <v>7399031191.1499996</v>
      </c>
      <c r="BH7" s="26">
        <f>资产资本表!BH68</f>
        <v>3703706707.4199996</v>
      </c>
      <c r="BI7" s="26">
        <f>资产资本表!BI68</f>
        <v>3708119406.4400001</v>
      </c>
      <c r="BJ7" s="26">
        <f>资产资本表!BJ68</f>
        <v>3647675362.2200003</v>
      </c>
      <c r="BK7" s="26">
        <f>资产资本表!BK68</f>
        <v>3625101304.5900006</v>
      </c>
      <c r="BL7" s="26">
        <f>资产资本表!BL68</f>
        <v>3636637592.9299998</v>
      </c>
      <c r="BM7" s="26">
        <f>资产资本表!BM68</f>
        <v>3659790174.4900002</v>
      </c>
      <c r="BN7" s="26">
        <f>资产资本表!BN68</f>
        <v>594735849.03000009</v>
      </c>
      <c r="BO7" s="26">
        <f>资产资本表!BO68</f>
        <v>616595535.88</v>
      </c>
      <c r="BP7" s="26">
        <f>资产资本表!BP68</f>
        <v>633293361.68000007</v>
      </c>
      <c r="BQ7" s="26">
        <f>资产资本表!BQ68</f>
        <v>651649559.75999999</v>
      </c>
      <c r="BR7" s="26">
        <f>资产资本表!BR68</f>
        <v>710252301.73000002</v>
      </c>
      <c r="BS7" s="26">
        <f>资产资本表!BS68</f>
        <v>674531000.54999995</v>
      </c>
      <c r="BT7" s="26">
        <f>资产资本表!BT68</f>
        <v>835410738.16999996</v>
      </c>
      <c r="BU7" s="26">
        <f>资产资本表!BU68</f>
        <v>875145607.76999998</v>
      </c>
      <c r="BV7" s="26">
        <f>资产资本表!BV68</f>
        <v>813737022.56000006</v>
      </c>
      <c r="BW7" s="26">
        <f>资产资本表!BW68</f>
        <v>900017388.55999994</v>
      </c>
      <c r="BX7" s="26">
        <f>资产资本表!BX68</f>
        <v>499767383.01999998</v>
      </c>
      <c r="BY7" s="26">
        <f>资产资本表!BY68</f>
        <v>493670399.80000001</v>
      </c>
      <c r="BZ7" s="26">
        <f>资产资本表!BZ68</f>
        <v>384098609.07999998</v>
      </c>
      <c r="CA7" s="26">
        <f>资产资本表!CA68</f>
        <v>394761478.97000003</v>
      </c>
      <c r="CB7" s="26">
        <f>资产资本表!CB68</f>
        <v>356479113.00999999</v>
      </c>
      <c r="CC7" s="26">
        <f>资产资本表!CC68</f>
        <v>284956525.08999997</v>
      </c>
      <c r="CD7" s="26">
        <f>资产资本表!CD68</f>
        <v>66399659.140000001</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179155022345.81</v>
      </c>
      <c r="F8" s="26">
        <f>资产资本表!F69</f>
        <v>177812356248.29996</v>
      </c>
      <c r="G8" s="26">
        <f>资产资本表!G69</f>
        <v>177023443208.72995</v>
      </c>
      <c r="H8" s="26">
        <f>资产资本表!H69</f>
        <v>173932200902.23001</v>
      </c>
      <c r="I8" s="26">
        <f>资产资本表!I69</f>
        <v>170093137764.76001</v>
      </c>
      <c r="J8" s="26">
        <f>资产资本表!J69</f>
        <v>165846501012.87</v>
      </c>
      <c r="K8" s="26">
        <f>资产资本表!K69</f>
        <v>165586833333.95001</v>
      </c>
      <c r="L8" s="26">
        <f>资产资本表!L69</f>
        <v>162380576053.46997</v>
      </c>
      <c r="M8" s="26">
        <f>资产资本表!M69</f>
        <v>158190936461.66995</v>
      </c>
      <c r="N8" s="26">
        <f>资产资本表!N69</f>
        <v>154299473033.17999</v>
      </c>
      <c r="O8" s="26">
        <f>资产资本表!O69</f>
        <v>152054307930.87</v>
      </c>
      <c r="P8" s="26">
        <f>资产资本表!P69</f>
        <v>152162994358.94998</v>
      </c>
      <c r="Q8" s="26">
        <f>资产资本表!Q69</f>
        <v>149967282049.17996</v>
      </c>
      <c r="R8" s="26">
        <f>资产资本表!R69</f>
        <v>147718972809.84</v>
      </c>
      <c r="S8" s="26">
        <f>资产资本表!S69</f>
        <v>145123874784.15997</v>
      </c>
      <c r="T8" s="26">
        <f>资产资本表!T69</f>
        <v>145440480079.52997</v>
      </c>
      <c r="U8" s="26">
        <f>资产资本表!U69</f>
        <v>140606948832.04996</v>
      </c>
      <c r="V8" s="26">
        <f>资产资本表!V69</f>
        <v>137098470946.25003</v>
      </c>
      <c r="W8" s="26">
        <f>资产资本表!W69</f>
        <v>133896690799.95001</v>
      </c>
      <c r="X8" s="26">
        <f>资产资本表!X69</f>
        <v>129002492894.7</v>
      </c>
      <c r="Y8" s="26">
        <f>资产资本表!Y69</f>
        <v>124840860048</v>
      </c>
      <c r="Z8" s="26">
        <f>资产资本表!Z69</f>
        <v>124273275236.00999</v>
      </c>
      <c r="AA8" s="26">
        <f>资产资本表!AA69</f>
        <v>115784246656.92001</v>
      </c>
      <c r="AB8" s="26">
        <f>资产资本表!AB69</f>
        <v>111351080193.44</v>
      </c>
      <c r="AC8" s="26">
        <f>资产资本表!AC69</f>
        <v>110410453201.51001</v>
      </c>
      <c r="AD8" s="26">
        <f>资产资本表!AD69</f>
        <v>100850024515.42998</v>
      </c>
      <c r="AE8" s="26">
        <f>资产资本表!AE69</f>
        <v>98490864370.26001</v>
      </c>
      <c r="AF8" s="26">
        <f>资产资本表!AF69</f>
        <v>93797766932.110001</v>
      </c>
      <c r="AG8" s="26">
        <f>资产资本表!AG69</f>
        <v>90863963179.689972</v>
      </c>
      <c r="AH8" s="26">
        <f>资产资本表!AH69</f>
        <v>87175852299.259979</v>
      </c>
      <c r="AI8" s="26">
        <f>资产资本表!AI69</f>
        <v>84024344148.799988</v>
      </c>
      <c r="AJ8" s="26">
        <f>资产资本表!AJ69</f>
        <v>81233973610.029984</v>
      </c>
      <c r="AK8" s="26">
        <f>资产资本表!AK69</f>
        <v>78799639411.5</v>
      </c>
      <c r="AL8" s="26">
        <f>资产资本表!AL69</f>
        <v>15230654696.27</v>
      </c>
      <c r="AM8" s="26">
        <f>资产资本表!AM69</f>
        <v>14851804190.15</v>
      </c>
      <c r="AN8" s="26">
        <f>资产资本表!AN69</f>
        <v>14737532388.800001</v>
      </c>
      <c r="AO8" s="26">
        <f>资产资本表!AO69</f>
        <v>15100821071.98</v>
      </c>
      <c r="AP8" s="26">
        <f>资产资本表!AP69</f>
        <v>14736934811.170002</v>
      </c>
      <c r="AQ8" s="26">
        <f>资产资本表!AQ69</f>
        <v>14576396450.880001</v>
      </c>
      <c r="AR8" s="26">
        <f>资产资本表!AR69</f>
        <v>14363979750.85</v>
      </c>
      <c r="AS8" s="26">
        <f>资产资本表!AS69</f>
        <v>14289168859.240002</v>
      </c>
      <c r="AT8" s="26">
        <f>资产资本表!AT69</f>
        <v>13779794851.1</v>
      </c>
      <c r="AU8" s="26">
        <f>资产资本表!AU69</f>
        <v>13561837888.359997</v>
      </c>
      <c r="AV8" s="26">
        <f>资产资本表!AV69</f>
        <v>13758107742.469997</v>
      </c>
      <c r="AW8" s="26">
        <f>资产资本表!AW69</f>
        <v>13568653328.24</v>
      </c>
      <c r="AX8" s="26">
        <f>资产资本表!AX69</f>
        <v>9540493125.1499996</v>
      </c>
      <c r="AY8" s="26">
        <f>资产资本表!AY69</f>
        <v>8029039793.579999</v>
      </c>
      <c r="AZ8" s="26">
        <f>资产资本表!AZ69</f>
        <v>7761121833.7600002</v>
      </c>
      <c r="BA8" s="26">
        <f>资产资本表!BA69</f>
        <v>7857947878.3899994</v>
      </c>
      <c r="BB8" s="26">
        <f>资产资本表!BB69</f>
        <v>7912702342.7800007</v>
      </c>
      <c r="BC8" s="26">
        <f>资产资本表!BC69</f>
        <v>7806826440.21</v>
      </c>
      <c r="BD8" s="26">
        <f>资产资本表!BD69</f>
        <v>7763730476.8699989</v>
      </c>
      <c r="BE8" s="26">
        <f>资产资本表!BE69</f>
        <v>7654832410.75</v>
      </c>
      <c r="BF8" s="26">
        <f>资产资本表!BF69</f>
        <v>7196530363.3000011</v>
      </c>
      <c r="BG8" s="26">
        <f>资产资本表!BG69</f>
        <v>7689348277.5799999</v>
      </c>
      <c r="BH8" s="26">
        <f>资产资本表!BH69</f>
        <v>4212898112.5899992</v>
      </c>
      <c r="BI8" s="26">
        <f>资产资本表!BI69</f>
        <v>3897805888.5700002</v>
      </c>
      <c r="BJ8" s="26">
        <f>资产资本表!BJ69</f>
        <v>3809879242.3700004</v>
      </c>
      <c r="BK8" s="26">
        <f>资产资本表!BK69</f>
        <v>3728334433.9800005</v>
      </c>
      <c r="BL8" s="26">
        <f>资产资本表!BL69</f>
        <v>3899307415.8799996</v>
      </c>
      <c r="BM8" s="26">
        <f>资产资本表!BM69</f>
        <v>3884173159.6600003</v>
      </c>
      <c r="BN8" s="26">
        <f>资产资本表!BN69</f>
        <v>752424695.84000015</v>
      </c>
      <c r="BO8" s="26">
        <f>资产资本表!BO69</f>
        <v>764890740.22000003</v>
      </c>
      <c r="BP8" s="26">
        <f>资产资本表!BP69</f>
        <v>784022752.57000005</v>
      </c>
      <c r="BQ8" s="26">
        <f>资产资本表!BQ69</f>
        <v>808807965.27999997</v>
      </c>
      <c r="BR8" s="26">
        <f>资产资本表!BR69</f>
        <v>896115656.8499999</v>
      </c>
      <c r="BS8" s="26">
        <f>资产资本表!BS69</f>
        <v>797114155.06999993</v>
      </c>
      <c r="BT8" s="26">
        <f>资产资本表!BT69</f>
        <v>882170968.73000002</v>
      </c>
      <c r="BU8" s="26">
        <f>资产资本表!BU69</f>
        <v>1004732883.52</v>
      </c>
      <c r="BV8" s="26">
        <f>资产资本表!BV69</f>
        <v>944446823.61000001</v>
      </c>
      <c r="BW8" s="26">
        <f>资产资本表!BW69</f>
        <v>1081683768.6599998</v>
      </c>
      <c r="BX8" s="26">
        <f>资产资本表!BX69</f>
        <v>604964695.25</v>
      </c>
      <c r="BY8" s="26">
        <f>资产资本表!BY69</f>
        <v>507875038.19</v>
      </c>
      <c r="BZ8" s="26">
        <f>资产资本表!BZ69</f>
        <v>384098609.07999998</v>
      </c>
      <c r="CA8" s="26">
        <f>资产资本表!CA69</f>
        <v>330916627.96000004</v>
      </c>
      <c r="CB8" s="26">
        <f>资产资本表!CB69</f>
        <v>356479113.00999999</v>
      </c>
      <c r="CC8" s="26">
        <f>资产资本表!CC69</f>
        <v>257922839.96999997</v>
      </c>
      <c r="CD8" s="26">
        <f>资产资本表!CD69</f>
        <v>45477460.129999995</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193232646082.51001</v>
      </c>
      <c r="F9" s="48">
        <f>资产资本表!F70</f>
        <v>193498429618.25995</v>
      </c>
      <c r="G9" s="48">
        <f>资产资本表!G70</f>
        <v>190915134314.20996</v>
      </c>
      <c r="H9" s="48">
        <f>资产资本表!H70</f>
        <v>186809450310.46002</v>
      </c>
      <c r="I9" s="48">
        <f>资产资本表!I70</f>
        <v>183513201769.86002</v>
      </c>
      <c r="J9" s="48">
        <f>资产资本表!J70</f>
        <v>179902858951.10999</v>
      </c>
      <c r="K9" s="48">
        <f>资产资本表!K70</f>
        <v>177523403714.44</v>
      </c>
      <c r="L9" s="48">
        <f>资产资本表!L70</f>
        <v>171961638669.26996</v>
      </c>
      <c r="M9" s="48">
        <f>资产资本表!M70</f>
        <v>167726028461.15994</v>
      </c>
      <c r="N9" s="48">
        <f>资产资本表!N70</f>
        <v>165290574326.60999</v>
      </c>
      <c r="O9" s="48">
        <f>资产资本表!O70</f>
        <v>162313832308.97</v>
      </c>
      <c r="P9" s="48">
        <f>资产资本表!P70</f>
        <v>163043516494.94998</v>
      </c>
      <c r="Q9" s="48">
        <f>资产资本表!Q70</f>
        <v>160842101439.95996</v>
      </c>
      <c r="R9" s="48">
        <f>资产资本表!R70</f>
        <v>160240243138.51001</v>
      </c>
      <c r="S9" s="48">
        <f>资产资本表!S70</f>
        <v>154909964228.69998</v>
      </c>
      <c r="T9" s="48">
        <f>资产资本表!T70</f>
        <v>154539245461.89996</v>
      </c>
      <c r="U9" s="48">
        <f>资产资本表!U70</f>
        <v>147776293282.51996</v>
      </c>
      <c r="V9" s="48">
        <f>资产资本表!V70</f>
        <v>143773226165.01004</v>
      </c>
      <c r="W9" s="48">
        <f>资产资本表!W70</f>
        <v>140483674451</v>
      </c>
      <c r="X9" s="48">
        <f>资产资本表!X70</f>
        <v>137782099190.70999</v>
      </c>
      <c r="Y9" s="48">
        <f>资产资本表!Y70</f>
        <v>132926344951.27</v>
      </c>
      <c r="Z9" s="48">
        <f>资产资本表!Z70</f>
        <v>129309615772.75</v>
      </c>
      <c r="AA9" s="48">
        <f>资产资本表!AA70</f>
        <v>123114633434.11002</v>
      </c>
      <c r="AB9" s="48">
        <f>资产资本表!AB70</f>
        <v>116501606527.35001</v>
      </c>
      <c r="AC9" s="48">
        <f>资产资本表!AC70</f>
        <v>117170330759.04001</v>
      </c>
      <c r="AD9" s="48">
        <f>资产资本表!AD70</f>
        <v>104603314600.10999</v>
      </c>
      <c r="AE9" s="48">
        <f>资产资本表!AE70</f>
        <v>102597345197.01001</v>
      </c>
      <c r="AF9" s="48">
        <f>资产资本表!AF70</f>
        <v>99023594848.789993</v>
      </c>
      <c r="AG9" s="48">
        <f>资产资本表!AG70</f>
        <v>93552747971.679977</v>
      </c>
      <c r="AH9" s="48">
        <f>资产资本表!AH70</f>
        <v>89822205609.929977</v>
      </c>
      <c r="AI9" s="48">
        <f>资产资本表!AI70</f>
        <v>86677468406.209991</v>
      </c>
      <c r="AJ9" s="48">
        <f>资产资本表!AJ70</f>
        <v>83778851312.22998</v>
      </c>
      <c r="AK9" s="48">
        <f>资产资本表!AK70</f>
        <v>82487947958.009995</v>
      </c>
      <c r="AL9" s="48">
        <f>资产资本表!AL70</f>
        <v>16971749091.710001</v>
      </c>
      <c r="AM9" s="48">
        <f>资产资本表!AM70</f>
        <v>16739174156.539999</v>
      </c>
      <c r="AN9" s="48">
        <f>资产资本表!AN70</f>
        <v>17126577362.720001</v>
      </c>
      <c r="AO9" s="48">
        <f>资产资本表!AO70</f>
        <v>17091141423.52</v>
      </c>
      <c r="AP9" s="48">
        <f>资产资本表!AP70</f>
        <v>16961872758.470001</v>
      </c>
      <c r="AQ9" s="48">
        <f>资产资本表!AQ70</f>
        <v>16725675237.710001</v>
      </c>
      <c r="AR9" s="48">
        <f>资产资本表!AR70</f>
        <v>16725309349.470001</v>
      </c>
      <c r="AS9" s="48">
        <f>资产资本表!AS70</f>
        <v>16603121315.910002</v>
      </c>
      <c r="AT9" s="48">
        <f>资产资本表!AT70</f>
        <v>16093515660.650002</v>
      </c>
      <c r="AU9" s="48">
        <f>资产资本表!AU70</f>
        <v>15140788575.769997</v>
      </c>
      <c r="AV9" s="48">
        <f>资产资本表!AV70</f>
        <v>15473842222.939997</v>
      </c>
      <c r="AW9" s="48">
        <f>资产资本表!AW70</f>
        <v>15551788315.17</v>
      </c>
      <c r="AX9" s="48">
        <f>资产资本表!AX70</f>
        <v>10207885305.299999</v>
      </c>
      <c r="AY9" s="48">
        <f>资产资本表!AY70</f>
        <v>8653633232.8499985</v>
      </c>
      <c r="AZ9" s="48">
        <f>资产资本表!AZ70</f>
        <v>8504253013.1000004</v>
      </c>
      <c r="BA9" s="48">
        <f>资产资本表!BA70</f>
        <v>8466120886.0599995</v>
      </c>
      <c r="BB9" s="48">
        <f>资产资本表!BB70</f>
        <v>8791963125.8800011</v>
      </c>
      <c r="BC9" s="48">
        <f>资产资本表!BC70</f>
        <v>8606692102.2900009</v>
      </c>
      <c r="BD9" s="48">
        <f>资产资本表!BD70</f>
        <v>8765266278.6299992</v>
      </c>
      <c r="BE9" s="48">
        <f>资产资本表!BE70</f>
        <v>8457580717.4799995</v>
      </c>
      <c r="BF9" s="48">
        <f>资产资本表!BF70</f>
        <v>8308124002.9000015</v>
      </c>
      <c r="BG9" s="48">
        <f>资产资本表!BG70</f>
        <v>8454529464.96</v>
      </c>
      <c r="BH9" s="48">
        <f>资产资本表!BH70</f>
        <v>4698291672.7699995</v>
      </c>
      <c r="BI9" s="48">
        <f>资产资本表!BI70</f>
        <v>4280674335.46</v>
      </c>
      <c r="BJ9" s="48">
        <f>资产资本表!BJ70</f>
        <v>4210375428.8600006</v>
      </c>
      <c r="BK9" s="48">
        <f>资产资本表!BK70</f>
        <v>4157648184.5200005</v>
      </c>
      <c r="BL9" s="48">
        <f>资产资本表!BL70</f>
        <v>4373814115.5699997</v>
      </c>
      <c r="BM9" s="48">
        <f>资产资本表!BM70</f>
        <v>4299501297.1300001</v>
      </c>
      <c r="BN9" s="48">
        <f>资产资本表!BN70</f>
        <v>771622915.47000015</v>
      </c>
      <c r="BO9" s="48">
        <f>资产资本表!BO70</f>
        <v>794243770.76999998</v>
      </c>
      <c r="BP9" s="48">
        <f>资产资本表!BP70</f>
        <v>823994016.54000008</v>
      </c>
      <c r="BQ9" s="48">
        <f>资产资本表!BQ70</f>
        <v>860173244.06999993</v>
      </c>
      <c r="BR9" s="48">
        <f>资产资本表!BR70</f>
        <v>960214898.32999992</v>
      </c>
      <c r="BS9" s="48">
        <f>资产资本表!BS70</f>
        <v>975148333.42999995</v>
      </c>
      <c r="BT9" s="48">
        <f>资产资本表!BT70</f>
        <v>1043021254.13</v>
      </c>
      <c r="BU9" s="48">
        <f>资产资本表!BU70</f>
        <v>1119444572.01</v>
      </c>
      <c r="BV9" s="48">
        <f>资产资本表!BV70</f>
        <v>1059000880.33</v>
      </c>
      <c r="BW9" s="48">
        <f>资产资本表!BW70</f>
        <v>1144922434.6799998</v>
      </c>
      <c r="BX9" s="48">
        <f>资产资本表!BX70</f>
        <v>643153770.59000003</v>
      </c>
      <c r="BY9" s="48">
        <f>资产资本表!BY70</f>
        <v>530896721.86000001</v>
      </c>
      <c r="BZ9" s="48">
        <f>资产资本表!BZ70</f>
        <v>386948609.07999998</v>
      </c>
      <c r="CA9" s="48">
        <f>资产资本表!CA70</f>
        <v>399125572.25</v>
      </c>
      <c r="CB9" s="48">
        <f>资产资本表!CB70</f>
        <v>359329113.00999999</v>
      </c>
      <c r="CC9" s="48">
        <f>资产资本表!CC70</f>
        <v>280135912.72999996</v>
      </c>
      <c r="CD9" s="48">
        <f>资产资本表!CD70</f>
        <v>125411965.12</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19270798972.66</v>
      </c>
      <c r="F10" s="26">
        <f>资产资本表!F72</f>
        <v>17269076586.129997</v>
      </c>
      <c r="G10" s="26">
        <f>资产资本表!G72</f>
        <v>16497306343.279999</v>
      </c>
      <c r="H10" s="26">
        <f>资产资本表!H72</f>
        <v>15558353447.380001</v>
      </c>
      <c r="I10" s="26">
        <f>资产资本表!I72</f>
        <v>17141533878.880001</v>
      </c>
      <c r="J10" s="26">
        <f>资产资本表!J72</f>
        <v>14861031972.02</v>
      </c>
      <c r="K10" s="26">
        <f>资产资本表!K72</f>
        <v>18219677020.43</v>
      </c>
      <c r="L10" s="26">
        <f>资产资本表!L72</f>
        <v>18444748409.150002</v>
      </c>
      <c r="M10" s="26">
        <f>资产资本表!M72</f>
        <v>19617472101.889999</v>
      </c>
      <c r="N10" s="26">
        <f>资产资本表!N72</f>
        <v>17177312189.920002</v>
      </c>
      <c r="O10" s="26">
        <f>资产资本表!O72</f>
        <v>16644265153.490002</v>
      </c>
      <c r="P10" s="26">
        <f>资产资本表!P72</f>
        <v>16069506289.530001</v>
      </c>
      <c r="Q10" s="26">
        <f>资产资本表!Q72</f>
        <v>17491092518.68</v>
      </c>
      <c r="R10" s="26">
        <f>资产资本表!R72</f>
        <v>16500121528.119999</v>
      </c>
      <c r="S10" s="26">
        <f>资产资本表!S72</f>
        <v>15717076726.98</v>
      </c>
      <c r="T10" s="26">
        <f>资产资本表!T72</f>
        <v>12613955322.58</v>
      </c>
      <c r="U10" s="26">
        <f>资产资本表!U72</f>
        <v>12829776601.360001</v>
      </c>
      <c r="V10" s="26">
        <f>资产资本表!V72</f>
        <v>11381939095.169998</v>
      </c>
      <c r="W10" s="26">
        <f>资产资本表!W72</f>
        <v>16332380749.629999</v>
      </c>
      <c r="X10" s="26">
        <f>资产资本表!X72</f>
        <v>16711198366.799999</v>
      </c>
      <c r="Y10" s="26">
        <f>资产资本表!Y72</f>
        <v>20131250151.850002</v>
      </c>
      <c r="Z10" s="26">
        <f>资产资本表!Z72</f>
        <v>18834203471.700001</v>
      </c>
      <c r="AA10" s="26">
        <f>资产资本表!AA72</f>
        <v>21633447818.130001</v>
      </c>
      <c r="AB10" s="26">
        <f>资产资本表!AB72</f>
        <v>21801181462.830002</v>
      </c>
      <c r="AC10" s="26">
        <f>资产资本表!AC72</f>
        <v>19464414442.349998</v>
      </c>
      <c r="AD10" s="26">
        <f>资产资本表!AD72</f>
        <v>17328090551.869999</v>
      </c>
      <c r="AE10" s="26">
        <f>资产资本表!AE72</f>
        <v>14803216704.940002</v>
      </c>
      <c r="AF10" s="26">
        <f>资产资本表!AF72</f>
        <v>14091417454.380001</v>
      </c>
      <c r="AG10" s="26">
        <f>资产资本表!AG72</f>
        <v>15709856897.639999</v>
      </c>
      <c r="AH10" s="26">
        <f>资产资本表!AH72</f>
        <v>14984628859.380001</v>
      </c>
      <c r="AI10" s="26">
        <f>资产资本表!AI72</f>
        <v>13447501459</v>
      </c>
      <c r="AJ10" s="26">
        <f>资产资本表!AJ72</f>
        <v>13086140710.59</v>
      </c>
      <c r="AK10" s="26">
        <f>资产资本表!AK72</f>
        <v>15662439118.470001</v>
      </c>
      <c r="AL10" s="26">
        <f>资产资本表!AL72</f>
        <v>2622502447.5999999</v>
      </c>
      <c r="AM10" s="26">
        <f>资产资本表!AM72</f>
        <v>2628215730.9300003</v>
      </c>
      <c r="AN10" s="26">
        <f>资产资本表!AN72</f>
        <v>2750166271.0500002</v>
      </c>
      <c r="AO10" s="26">
        <f>资产资本表!AO72</f>
        <v>3064990877.96</v>
      </c>
      <c r="AP10" s="26">
        <f>资产资本表!AP72</f>
        <v>2519186271.6399999</v>
      </c>
      <c r="AQ10" s="26">
        <f>资产资本表!AQ72</f>
        <v>2407143759.4400001</v>
      </c>
      <c r="AR10" s="26">
        <f>资产资本表!AR72</f>
        <v>2228561090.6599998</v>
      </c>
      <c r="AS10" s="26">
        <f>资产资本表!AS72</f>
        <v>2433849830.1999998</v>
      </c>
      <c r="AT10" s="26">
        <f>资产资本表!AT72</f>
        <v>1551792517.21</v>
      </c>
      <c r="AU10" s="26">
        <f>资产资本表!AU72</f>
        <v>2436555255.4899998</v>
      </c>
      <c r="AV10" s="26">
        <f>资产资本表!AV72</f>
        <v>2743981416.2399998</v>
      </c>
      <c r="AW10" s="26">
        <f>资产资本表!AW72</f>
        <v>2597000000</v>
      </c>
      <c r="AX10" s="26">
        <f>资产资本表!AX72</f>
        <v>915550000</v>
      </c>
      <c r="AY10" s="26">
        <f>资产资本表!AY72</f>
        <v>1135550000</v>
      </c>
      <c r="AZ10" s="26">
        <f>资产资本表!AZ72</f>
        <v>1325860000</v>
      </c>
      <c r="BA10" s="26">
        <f>资产资本表!BA72</f>
        <v>1367860000</v>
      </c>
      <c r="BB10" s="26">
        <f>资产资本表!BB72</f>
        <v>1379985632.76</v>
      </c>
      <c r="BC10" s="26">
        <f>资产资本表!BC72</f>
        <v>1394985632.76</v>
      </c>
      <c r="BD10" s="26">
        <f>资产资本表!BD72</f>
        <v>1448946047.76</v>
      </c>
      <c r="BE10" s="26">
        <f>资产资本表!BE72</f>
        <v>1478946047.76</v>
      </c>
      <c r="BF10" s="26">
        <f>资产资本表!BF72</f>
        <v>1116711278</v>
      </c>
      <c r="BG10" s="26">
        <f>资产资本表!BG72</f>
        <v>1099211278</v>
      </c>
      <c r="BH10" s="26">
        <f>资产资本表!BH72</f>
        <v>661120000</v>
      </c>
      <c r="BI10" s="26">
        <f>资产资本表!BI72</f>
        <v>555991700</v>
      </c>
      <c r="BJ10" s="26">
        <f>资产资本表!BJ72</f>
        <v>180350000</v>
      </c>
      <c r="BK10" s="26">
        <f>资产资本表!BK72</f>
        <v>372581028</v>
      </c>
      <c r="BL10" s="26">
        <f>资产资本表!BL72</f>
        <v>355350000</v>
      </c>
      <c r="BM10" s="26">
        <f>资产资本表!BM72</f>
        <v>644052012</v>
      </c>
      <c r="BN10" s="26">
        <f>资产资本表!BN72</f>
        <v>0</v>
      </c>
      <c r="BO10" s="26">
        <f>资产资本表!BO72</f>
        <v>0</v>
      </c>
      <c r="BP10" s="26">
        <f>资产资本表!BP72</f>
        <v>0</v>
      </c>
      <c r="BQ10" s="26">
        <f>资产资本表!BQ72</f>
        <v>0</v>
      </c>
      <c r="BR10" s="26">
        <f>资产资本表!BR72</f>
        <v>12000000</v>
      </c>
      <c r="BS10" s="26">
        <f>资产资本表!BS72</f>
        <v>75000000</v>
      </c>
      <c r="BT10" s="26">
        <f>资产资本表!BT72</f>
        <v>103000000</v>
      </c>
      <c r="BU10" s="26">
        <f>资产资本表!BU72</f>
        <v>162000000</v>
      </c>
      <c r="BV10" s="26">
        <f>资产资本表!BV72</f>
        <v>163000000</v>
      </c>
      <c r="BW10" s="26">
        <f>资产资本表!BW72</f>
        <v>133000000</v>
      </c>
      <c r="BX10" s="26">
        <f>资产资本表!BX72</f>
        <v>133000000</v>
      </c>
      <c r="BY10" s="26">
        <f>资产资本表!BY72</f>
        <v>113000000</v>
      </c>
      <c r="BZ10" s="26">
        <f>资产资本表!BZ72</f>
        <v>0</v>
      </c>
      <c r="CA10" s="26">
        <f>资产资本表!CA72</f>
        <v>25000000</v>
      </c>
      <c r="CB10" s="26">
        <f>资产资本表!CB72</f>
        <v>0</v>
      </c>
      <c r="CC10" s="26">
        <f>资产资本表!CC72</f>
        <v>8000000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112734467481.95001</v>
      </c>
      <c r="F11" s="26">
        <f>资产资本表!F81</f>
        <v>116048757829.75</v>
      </c>
      <c r="G11" s="26">
        <f>资产资本表!G81</f>
        <v>114795545461.17</v>
      </c>
      <c r="H11" s="26">
        <f>资产资本表!H81</f>
        <v>112012890202.62</v>
      </c>
      <c r="I11" s="26">
        <f>资产资本表!I81</f>
        <v>108832540369.11</v>
      </c>
      <c r="J11" s="26">
        <f>资产资本表!J81</f>
        <v>108812246521.71001</v>
      </c>
      <c r="K11" s="26">
        <f>资产资本表!K81</f>
        <v>105670736608.42</v>
      </c>
      <c r="L11" s="26">
        <f>资产资本表!L81</f>
        <v>99630355623.919998</v>
      </c>
      <c r="M11" s="26">
        <f>资产资本表!M81</f>
        <v>96575993873.570007</v>
      </c>
      <c r="N11" s="26">
        <f>资产资本表!N81</f>
        <v>98872820284.51001</v>
      </c>
      <c r="O11" s="26">
        <f>资产资本表!O81</f>
        <v>100343884460.14</v>
      </c>
      <c r="P11" s="26">
        <f>资产资本表!P81</f>
        <v>100752121196.98</v>
      </c>
      <c r="Q11" s="26">
        <f>资产资本表!Q81</f>
        <v>100478237931.8</v>
      </c>
      <c r="R11" s="26">
        <f>资产资本表!R81</f>
        <v>103419063769.48999</v>
      </c>
      <c r="S11" s="26">
        <f>资产资本表!S81</f>
        <v>104126947038.18001</v>
      </c>
      <c r="T11" s="26">
        <f>资产资本表!T81</f>
        <v>106660355722.98001</v>
      </c>
      <c r="U11" s="26">
        <f>资产资本表!U81</f>
        <v>101110978693.61</v>
      </c>
      <c r="V11" s="26">
        <f>资产资本表!V81</f>
        <v>99702113543.970016</v>
      </c>
      <c r="W11" s="26">
        <f>资产资本表!W81</f>
        <v>94999807499.330002</v>
      </c>
      <c r="X11" s="26">
        <f>资产资本表!X81</f>
        <v>94310271948.73999</v>
      </c>
      <c r="Y11" s="26">
        <f>资产资本表!Y81</f>
        <v>86837431829.389999</v>
      </c>
      <c r="Z11" s="26">
        <f>资产资本表!Z81</f>
        <v>85066499693.850006</v>
      </c>
      <c r="AA11" s="26">
        <f>资产资本表!AA81</f>
        <v>77639713836.930008</v>
      </c>
      <c r="AB11" s="26">
        <f>资产资本表!AB81</f>
        <v>72686504295.730011</v>
      </c>
      <c r="AC11" s="26">
        <f>资产资本表!AC81</f>
        <v>74828045491.919998</v>
      </c>
      <c r="AD11" s="26">
        <f>资产资本表!AD81</f>
        <v>67051965026.169998</v>
      </c>
      <c r="AE11" s="26">
        <f>资产资本表!AE81</f>
        <v>68763465501.320007</v>
      </c>
      <c r="AF11" s="26">
        <f>资产资本表!AF81</f>
        <v>68174580500.250008</v>
      </c>
      <c r="AG11" s="26">
        <f>资产资本表!AG81</f>
        <v>61517153796.029999</v>
      </c>
      <c r="AH11" s="26">
        <f>资产资本表!AH81</f>
        <v>58834576672.220001</v>
      </c>
      <c r="AI11" s="26">
        <f>资产资本表!AI81</f>
        <v>57540253200.220001</v>
      </c>
      <c r="AJ11" s="26">
        <f>资产资本表!AJ81</f>
        <v>54985643593.769997</v>
      </c>
      <c r="AK11" s="26">
        <f>资产资本表!AK81</f>
        <v>50083311593.769997</v>
      </c>
      <c r="AL11" s="26">
        <f>资产资本表!AL81</f>
        <v>8264441233.9099998</v>
      </c>
      <c r="AM11" s="26">
        <f>资产资本表!AM81</f>
        <v>8055883906.8699999</v>
      </c>
      <c r="AN11" s="26">
        <f>资产资本表!AN81</f>
        <v>8157790036.7399998</v>
      </c>
      <c r="AO11" s="26">
        <f>资产资本表!AO81</f>
        <v>7747160000</v>
      </c>
      <c r="AP11" s="26">
        <f>资产资本表!AP81</f>
        <v>8108660000</v>
      </c>
      <c r="AQ11" s="26">
        <f>资产资本表!AQ81</f>
        <v>8005160000</v>
      </c>
      <c r="AR11" s="26">
        <f>资产资本表!AR81</f>
        <v>7892160000</v>
      </c>
      <c r="AS11" s="26">
        <f>资产资本表!AS81</f>
        <v>7539160000</v>
      </c>
      <c r="AT11" s="26">
        <f>资产资本表!AT81</f>
        <v>8138180000</v>
      </c>
      <c r="AU11" s="26">
        <f>资产资本表!AU81</f>
        <v>7888180000</v>
      </c>
      <c r="AV11" s="26">
        <f>资产资本表!AV81</f>
        <v>7833180000</v>
      </c>
      <c r="AW11" s="26">
        <f>资产资本表!AW81</f>
        <v>7606230000</v>
      </c>
      <c r="AX11" s="26">
        <f>资产资本表!AX81</f>
        <v>4870586265.6300001</v>
      </c>
      <c r="AY11" s="26">
        <f>资产资本表!AY81</f>
        <v>4630616044.3800001</v>
      </c>
      <c r="AZ11" s="26">
        <f>资产资本表!AZ81</f>
        <v>4501159430</v>
      </c>
      <c r="BA11" s="26">
        <f>资产资本表!BA81</f>
        <v>4501180000</v>
      </c>
      <c r="BB11" s="26">
        <f>资产资本表!BB81</f>
        <v>4378823961.3400002</v>
      </c>
      <c r="BC11" s="26">
        <f>资产资本表!BC81</f>
        <v>4397680000</v>
      </c>
      <c r="BD11" s="26">
        <f>资产资本表!BD81</f>
        <v>4587760865.3199997</v>
      </c>
      <c r="BE11" s="26">
        <f>资产资本表!BE81</f>
        <v>4502040000</v>
      </c>
      <c r="BF11" s="26">
        <f>资产资本表!BF81</f>
        <v>4751505643.6999998</v>
      </c>
      <c r="BG11" s="26">
        <f>资产资本表!BG81</f>
        <v>4879485643.6999998</v>
      </c>
      <c r="BH11" s="26">
        <f>资产资本表!BH81</f>
        <v>2297167839.6399999</v>
      </c>
      <c r="BI11" s="26">
        <f>资产资本表!BI81</f>
        <v>2052706139.6400001</v>
      </c>
      <c r="BJ11" s="26">
        <f>资产资本表!BJ81</f>
        <v>2397608977.4699998</v>
      </c>
      <c r="BK11" s="26">
        <f>资产资本表!BK81</f>
        <v>2245788301.2399998</v>
      </c>
      <c r="BL11" s="26">
        <f>资产资本表!BL81</f>
        <v>2510236394.5700002</v>
      </c>
      <c r="BM11" s="26">
        <f>资产资本表!BM81</f>
        <v>2247470535.29</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105000000</v>
      </c>
      <c r="CB11" s="26">
        <f>资产资本表!CB81</f>
        <v>0</v>
      </c>
      <c r="CC11" s="26">
        <f>资产资本表!CC81</f>
        <v>107655628</v>
      </c>
      <c r="CD11" s="26">
        <f>资产资本表!CD81</f>
        <v>700000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132005266454.61002</v>
      </c>
      <c r="F12" s="26">
        <f>资产资本表!F89</f>
        <v>133317834415.88</v>
      </c>
      <c r="G12" s="26">
        <f>资产资本表!G89</f>
        <v>131292851804.45</v>
      </c>
      <c r="H12" s="26">
        <f>资产资本表!H89</f>
        <v>127571243650</v>
      </c>
      <c r="I12" s="26">
        <f>资产资本表!I89</f>
        <v>125974074247.99001</v>
      </c>
      <c r="J12" s="26">
        <f>资产资本表!J89</f>
        <v>123673278493.73001</v>
      </c>
      <c r="K12" s="26">
        <f>资产资本表!K89</f>
        <v>123890413628.85001</v>
      </c>
      <c r="L12" s="26">
        <f>资产资本表!L89</f>
        <v>118075104033.07001</v>
      </c>
      <c r="M12" s="26">
        <f>资产资本表!M89</f>
        <v>116193465975.46001</v>
      </c>
      <c r="N12" s="26">
        <f>资产资本表!N89</f>
        <v>116050132474.43001</v>
      </c>
      <c r="O12" s="26">
        <f>资产资本表!O89</f>
        <v>116988149613.63</v>
      </c>
      <c r="P12" s="26">
        <f>资产资本表!P89</f>
        <v>116821627486.50999</v>
      </c>
      <c r="Q12" s="26">
        <f>资产资本表!Q89</f>
        <v>117969330450.48001</v>
      </c>
      <c r="R12" s="26">
        <f>资产资本表!R89</f>
        <v>119919185297.60999</v>
      </c>
      <c r="S12" s="26">
        <f>资产资本表!S89</f>
        <v>119844023765.16</v>
      </c>
      <c r="T12" s="26">
        <f>资产资本表!T89</f>
        <v>119274311045.56001</v>
      </c>
      <c r="U12" s="26">
        <f>资产资本表!U89</f>
        <v>113940755294.97</v>
      </c>
      <c r="V12" s="26">
        <f>资产资本表!V89</f>
        <v>111084052639.14001</v>
      </c>
      <c r="W12" s="26">
        <f>资产资本表!W89</f>
        <v>111332188248.96001</v>
      </c>
      <c r="X12" s="26">
        <f>资产资本表!X89</f>
        <v>111021470315.53999</v>
      </c>
      <c r="Y12" s="26">
        <f>资产资本表!Y89</f>
        <v>106968681981.24001</v>
      </c>
      <c r="Z12" s="26">
        <f>资产资本表!Z89</f>
        <v>103900703165.55</v>
      </c>
      <c r="AA12" s="26">
        <f>资产资本表!AA89</f>
        <v>99273161655.060013</v>
      </c>
      <c r="AB12" s="26">
        <f>资产资本表!AB89</f>
        <v>94487685758.560013</v>
      </c>
      <c r="AC12" s="26">
        <f>资产资本表!AC89</f>
        <v>94292459934.269989</v>
      </c>
      <c r="AD12" s="26">
        <f>资产资本表!AD89</f>
        <v>84380055578.039993</v>
      </c>
      <c r="AE12" s="26">
        <f>资产资本表!AE89</f>
        <v>83566682206.26001</v>
      </c>
      <c r="AF12" s="26">
        <f>资产资本表!AF89</f>
        <v>82265997954.630005</v>
      </c>
      <c r="AG12" s="26">
        <f>资产资本表!AG89</f>
        <v>77227010693.669998</v>
      </c>
      <c r="AH12" s="26">
        <f>资产资本表!AH89</f>
        <v>73819205531.600006</v>
      </c>
      <c r="AI12" s="26">
        <f>资产资本表!AI89</f>
        <v>70987754659.220001</v>
      </c>
      <c r="AJ12" s="26">
        <f>资产资本表!AJ89</f>
        <v>68071784304.360001</v>
      </c>
      <c r="AK12" s="26">
        <f>资产资本表!AK89</f>
        <v>65745750712.239998</v>
      </c>
      <c r="AL12" s="26">
        <f>资产资本表!AL89</f>
        <v>10886943681.51</v>
      </c>
      <c r="AM12" s="26">
        <f>资产资本表!AM89</f>
        <v>10684099637.799999</v>
      </c>
      <c r="AN12" s="26">
        <f>资产资本表!AN89</f>
        <v>10907956307.790001</v>
      </c>
      <c r="AO12" s="26">
        <f>资产资本表!AO89</f>
        <v>10812150877.959999</v>
      </c>
      <c r="AP12" s="26">
        <f>资产资本表!AP89</f>
        <v>10627846271.639999</v>
      </c>
      <c r="AQ12" s="26">
        <f>资产资本表!AQ89</f>
        <v>10412303759.440001</v>
      </c>
      <c r="AR12" s="26">
        <f>资产资本表!AR89</f>
        <v>10120721090.66</v>
      </c>
      <c r="AS12" s="26">
        <f>资产资本表!AS89</f>
        <v>9973009830.2000008</v>
      </c>
      <c r="AT12" s="26">
        <f>资产资本表!AT89</f>
        <v>9689972517.2099991</v>
      </c>
      <c r="AU12" s="26">
        <f>资产资本表!AU89</f>
        <v>10324735255.49</v>
      </c>
      <c r="AV12" s="26">
        <f>资产资本表!AV89</f>
        <v>10577161416.24</v>
      </c>
      <c r="AW12" s="26">
        <f>资产资本表!AW89</f>
        <v>10203230000</v>
      </c>
      <c r="AX12" s="26">
        <f>资产资本表!AX89</f>
        <v>5786136265.6300001</v>
      </c>
      <c r="AY12" s="26">
        <f>资产资本表!AY89</f>
        <v>5766166044.3800001</v>
      </c>
      <c r="AZ12" s="26">
        <f>资产资本表!AZ89</f>
        <v>5827019430</v>
      </c>
      <c r="BA12" s="26">
        <f>资产资本表!BA89</f>
        <v>5869040000</v>
      </c>
      <c r="BB12" s="26">
        <f>资产资本表!BB89</f>
        <v>5758809594.1000004</v>
      </c>
      <c r="BC12" s="26">
        <f>资产资本表!BC89</f>
        <v>5792665632.7600002</v>
      </c>
      <c r="BD12" s="26">
        <f>资产资本表!BD89</f>
        <v>6036706913.0799999</v>
      </c>
      <c r="BE12" s="26">
        <f>资产资本表!BE89</f>
        <v>5980986047.7600002</v>
      </c>
      <c r="BF12" s="26">
        <f>资产资本表!BF89</f>
        <v>5868216921.6999998</v>
      </c>
      <c r="BG12" s="26">
        <f>资产资本表!BG89</f>
        <v>5978696921.6999998</v>
      </c>
      <c r="BH12" s="26">
        <f>资产资本表!BH89</f>
        <v>2958287839.6399999</v>
      </c>
      <c r="BI12" s="26">
        <f>资产资本表!BI89</f>
        <v>2608697839.6400003</v>
      </c>
      <c r="BJ12" s="26">
        <f>资产资本表!BJ89</f>
        <v>2577958977.4699998</v>
      </c>
      <c r="BK12" s="26">
        <f>资产资本表!BK89</f>
        <v>2618369329.2399998</v>
      </c>
      <c r="BL12" s="26">
        <f>资产资本表!BL89</f>
        <v>2865586394.5700002</v>
      </c>
      <c r="BM12" s="26">
        <f>资产资本表!BM89</f>
        <v>2891522547.29</v>
      </c>
      <c r="BN12" s="26">
        <f>资产资本表!BN89</f>
        <v>0</v>
      </c>
      <c r="BO12" s="26">
        <f>资产资本表!BO89</f>
        <v>0</v>
      </c>
      <c r="BP12" s="26">
        <f>资产资本表!BP89</f>
        <v>0</v>
      </c>
      <c r="BQ12" s="26">
        <f>资产资本表!BQ89</f>
        <v>0</v>
      </c>
      <c r="BR12" s="26">
        <f>资产资本表!BR89</f>
        <v>12000000</v>
      </c>
      <c r="BS12" s="26">
        <f>资产资本表!BS89</f>
        <v>75000000</v>
      </c>
      <c r="BT12" s="26">
        <f>资产资本表!BT89</f>
        <v>103000000</v>
      </c>
      <c r="BU12" s="26">
        <f>资产资本表!BU89</f>
        <v>162000000</v>
      </c>
      <c r="BV12" s="26">
        <f>资产资本表!BV89</f>
        <v>163000000</v>
      </c>
      <c r="BW12" s="26">
        <f>资产资本表!BW89</f>
        <v>133000000</v>
      </c>
      <c r="BX12" s="26">
        <f>资产资本表!BX89</f>
        <v>133000000</v>
      </c>
      <c r="BY12" s="26">
        <f>资产资本表!BY89</f>
        <v>113000000</v>
      </c>
      <c r="BZ12" s="26">
        <f>资产资本表!BZ89</f>
        <v>0</v>
      </c>
      <c r="CA12" s="26">
        <f>资产资本表!CA89</f>
        <v>130000000</v>
      </c>
      <c r="CB12" s="26">
        <f>资产资本表!CB89</f>
        <v>0</v>
      </c>
      <c r="CC12" s="26">
        <f>资产资本表!CC89</f>
        <v>115655628</v>
      </c>
      <c r="CD12" s="26">
        <f>资产资本表!CD89</f>
        <v>700000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61227379627.899994</v>
      </c>
      <c r="F13" s="26">
        <f t="shared" ref="F13:BQ13" si="0">F9-F12</f>
        <v>60180595202.379944</v>
      </c>
      <c r="G13" s="26">
        <f t="shared" si="0"/>
        <v>59622282509.759964</v>
      </c>
      <c r="H13" s="26">
        <f t="shared" si="0"/>
        <v>59238206660.460022</v>
      </c>
      <c r="I13" s="26">
        <f t="shared" si="0"/>
        <v>57539127521.87001</v>
      </c>
      <c r="J13" s="26">
        <f t="shared" si="0"/>
        <v>56229580457.379974</v>
      </c>
      <c r="K13" s="26">
        <f t="shared" si="0"/>
        <v>53632990085.589996</v>
      </c>
      <c r="L13" s="26">
        <f t="shared" si="0"/>
        <v>53886534636.199951</v>
      </c>
      <c r="M13" s="26">
        <f t="shared" si="0"/>
        <v>51532562485.699936</v>
      </c>
      <c r="N13" s="26">
        <f t="shared" si="0"/>
        <v>49240441852.179977</v>
      </c>
      <c r="O13" s="26">
        <f t="shared" si="0"/>
        <v>45325682695.339996</v>
      </c>
      <c r="P13" s="26">
        <f t="shared" si="0"/>
        <v>46221889008.439987</v>
      </c>
      <c r="Q13" s="26">
        <f t="shared" si="0"/>
        <v>42872770989.47995</v>
      </c>
      <c r="R13" s="26">
        <f t="shared" si="0"/>
        <v>40321057840.900024</v>
      </c>
      <c r="S13" s="26">
        <f t="shared" si="0"/>
        <v>35065940463.539978</v>
      </c>
      <c r="T13" s="26">
        <f t="shared" si="0"/>
        <v>35264934416.339951</v>
      </c>
      <c r="U13" s="26">
        <f t="shared" si="0"/>
        <v>33835537987.549957</v>
      </c>
      <c r="V13" s="26">
        <f t="shared" si="0"/>
        <v>32689173525.870026</v>
      </c>
      <c r="W13" s="26">
        <f t="shared" si="0"/>
        <v>29151486202.039993</v>
      </c>
      <c r="X13" s="26">
        <f t="shared" si="0"/>
        <v>26760628875.169998</v>
      </c>
      <c r="Y13" s="26">
        <f t="shared" si="0"/>
        <v>25957662970.029999</v>
      </c>
      <c r="Z13" s="26">
        <f t="shared" si="0"/>
        <v>25408912607.199997</v>
      </c>
      <c r="AA13" s="26">
        <f t="shared" si="0"/>
        <v>23841471779.050003</v>
      </c>
      <c r="AB13" s="26">
        <f t="shared" si="0"/>
        <v>22013920768.789993</v>
      </c>
      <c r="AC13" s="26">
        <f t="shared" si="0"/>
        <v>22877870824.77002</v>
      </c>
      <c r="AD13" s="26">
        <f t="shared" si="0"/>
        <v>20223259022.069992</v>
      </c>
      <c r="AE13" s="26">
        <f t="shared" si="0"/>
        <v>19030662990.75</v>
      </c>
      <c r="AF13" s="26">
        <f t="shared" si="0"/>
        <v>16757596894.159988</v>
      </c>
      <c r="AG13" s="26">
        <f t="shared" si="0"/>
        <v>16325737278.009979</v>
      </c>
      <c r="AH13" s="26">
        <f t="shared" si="0"/>
        <v>16003000078.329971</v>
      </c>
      <c r="AI13" s="26">
        <f t="shared" si="0"/>
        <v>15689713746.98999</v>
      </c>
      <c r="AJ13" s="26">
        <f t="shared" si="0"/>
        <v>15707067007.86998</v>
      </c>
      <c r="AK13" s="26">
        <f t="shared" si="0"/>
        <v>16742197245.769997</v>
      </c>
      <c r="AL13" s="26">
        <f t="shared" si="0"/>
        <v>6084805410.2000008</v>
      </c>
      <c r="AM13" s="26">
        <f t="shared" si="0"/>
        <v>6055074518.7399998</v>
      </c>
      <c r="AN13" s="26">
        <f t="shared" si="0"/>
        <v>6218621054.9300003</v>
      </c>
      <c r="AO13" s="26">
        <f t="shared" si="0"/>
        <v>6278990545.5600014</v>
      </c>
      <c r="AP13" s="26">
        <f t="shared" si="0"/>
        <v>6334026486.8300018</v>
      </c>
      <c r="AQ13" s="26">
        <f t="shared" si="0"/>
        <v>6313371478.2700005</v>
      </c>
      <c r="AR13" s="26">
        <f t="shared" si="0"/>
        <v>6604588258.8100014</v>
      </c>
      <c r="AS13" s="26">
        <f t="shared" si="0"/>
        <v>6630111485.710001</v>
      </c>
      <c r="AT13" s="26">
        <f t="shared" si="0"/>
        <v>6403543143.4400024</v>
      </c>
      <c r="AU13" s="26">
        <f t="shared" si="0"/>
        <v>4816053320.2799969</v>
      </c>
      <c r="AV13" s="26">
        <f t="shared" si="0"/>
        <v>4896680806.6999969</v>
      </c>
      <c r="AW13" s="26">
        <f t="shared" si="0"/>
        <v>5348558315.1700001</v>
      </c>
      <c r="AX13" s="26">
        <f t="shared" si="0"/>
        <v>4421749039.6699991</v>
      </c>
      <c r="AY13" s="26">
        <f t="shared" si="0"/>
        <v>2887467188.4699984</v>
      </c>
      <c r="AZ13" s="26">
        <f t="shared" si="0"/>
        <v>2677233583.1000004</v>
      </c>
      <c r="BA13" s="26">
        <f t="shared" si="0"/>
        <v>2597080886.0599995</v>
      </c>
      <c r="BB13" s="26">
        <f t="shared" si="0"/>
        <v>3033153531.7800007</v>
      </c>
      <c r="BC13" s="26">
        <f t="shared" si="0"/>
        <v>2814026469.5300007</v>
      </c>
      <c r="BD13" s="26">
        <f t="shared" si="0"/>
        <v>2728559365.5499992</v>
      </c>
      <c r="BE13" s="26">
        <f t="shared" si="0"/>
        <v>2476594669.7199993</v>
      </c>
      <c r="BF13" s="26">
        <f t="shared" si="0"/>
        <v>2439907081.2000017</v>
      </c>
      <c r="BG13" s="26">
        <f t="shared" si="0"/>
        <v>2475832543.2600002</v>
      </c>
      <c r="BH13" s="26">
        <f t="shared" si="0"/>
        <v>1740003833.1299996</v>
      </c>
      <c r="BI13" s="26">
        <f t="shared" si="0"/>
        <v>1671976495.8199997</v>
      </c>
      <c r="BJ13" s="26">
        <f t="shared" si="0"/>
        <v>1632416451.3900008</v>
      </c>
      <c r="BK13" s="26">
        <f t="shared" si="0"/>
        <v>1539278855.2800007</v>
      </c>
      <c r="BL13" s="26">
        <f t="shared" si="0"/>
        <v>1508227720.9999995</v>
      </c>
      <c r="BM13" s="26">
        <f t="shared" si="0"/>
        <v>1407978749.8400002</v>
      </c>
      <c r="BN13" s="26">
        <f t="shared" si="0"/>
        <v>771622915.47000015</v>
      </c>
      <c r="BO13" s="26">
        <f t="shared" si="0"/>
        <v>794243770.76999998</v>
      </c>
      <c r="BP13" s="26">
        <f t="shared" si="0"/>
        <v>823994016.54000008</v>
      </c>
      <c r="BQ13" s="26">
        <f t="shared" si="0"/>
        <v>860173244.06999993</v>
      </c>
      <c r="BR13" s="26">
        <f t="shared" ref="BR13:CL13" si="1">BR9-BR12</f>
        <v>948214898.32999992</v>
      </c>
      <c r="BS13" s="26">
        <f t="shared" si="1"/>
        <v>900148333.42999995</v>
      </c>
      <c r="BT13" s="26">
        <f t="shared" si="1"/>
        <v>940021254.13</v>
      </c>
      <c r="BU13" s="26">
        <f t="shared" si="1"/>
        <v>957444572.00999999</v>
      </c>
      <c r="BV13" s="26">
        <f t="shared" si="1"/>
        <v>896000880.33000004</v>
      </c>
      <c r="BW13" s="26">
        <f t="shared" si="1"/>
        <v>1011922434.6799998</v>
      </c>
      <c r="BX13" s="26">
        <f t="shared" si="1"/>
        <v>510153770.59000003</v>
      </c>
      <c r="BY13" s="26">
        <f t="shared" si="1"/>
        <v>417896721.86000001</v>
      </c>
      <c r="BZ13" s="26">
        <f t="shared" si="1"/>
        <v>386948609.07999998</v>
      </c>
      <c r="CA13" s="26">
        <f t="shared" si="1"/>
        <v>269125572.25</v>
      </c>
      <c r="CB13" s="26">
        <f t="shared" si="1"/>
        <v>359329113.00999999</v>
      </c>
      <c r="CC13" s="26">
        <f t="shared" si="1"/>
        <v>164480284.72999996</v>
      </c>
      <c r="CD13" s="26">
        <f t="shared" si="1"/>
        <v>124711965.12</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193232646082.51001</v>
      </c>
      <c r="F14" s="48">
        <f t="shared" ref="F14:BQ14" si="2">F9</f>
        <v>193498429618.25995</v>
      </c>
      <c r="G14" s="48">
        <f t="shared" si="2"/>
        <v>190915134314.20996</v>
      </c>
      <c r="H14" s="48">
        <f t="shared" si="2"/>
        <v>186809450310.46002</v>
      </c>
      <c r="I14" s="48">
        <f t="shared" si="2"/>
        <v>183513201769.86002</v>
      </c>
      <c r="J14" s="48">
        <f t="shared" si="2"/>
        <v>179902858951.10999</v>
      </c>
      <c r="K14" s="48">
        <f t="shared" si="2"/>
        <v>177523403714.44</v>
      </c>
      <c r="L14" s="48">
        <f t="shared" si="2"/>
        <v>171961638669.26996</v>
      </c>
      <c r="M14" s="48">
        <f t="shared" si="2"/>
        <v>167726028461.15994</v>
      </c>
      <c r="N14" s="48">
        <f t="shared" si="2"/>
        <v>165290574326.60999</v>
      </c>
      <c r="O14" s="48">
        <f t="shared" si="2"/>
        <v>162313832308.97</v>
      </c>
      <c r="P14" s="48">
        <f t="shared" si="2"/>
        <v>163043516494.94998</v>
      </c>
      <c r="Q14" s="48">
        <f t="shared" si="2"/>
        <v>160842101439.95996</v>
      </c>
      <c r="R14" s="48">
        <f t="shared" si="2"/>
        <v>160240243138.51001</v>
      </c>
      <c r="S14" s="48">
        <f t="shared" si="2"/>
        <v>154909964228.69998</v>
      </c>
      <c r="T14" s="48">
        <f t="shared" si="2"/>
        <v>154539245461.89996</v>
      </c>
      <c r="U14" s="48">
        <f t="shared" si="2"/>
        <v>147776293282.51996</v>
      </c>
      <c r="V14" s="48">
        <f t="shared" si="2"/>
        <v>143773226165.01004</v>
      </c>
      <c r="W14" s="48">
        <f t="shared" si="2"/>
        <v>140483674451</v>
      </c>
      <c r="X14" s="48">
        <f t="shared" si="2"/>
        <v>137782099190.70999</v>
      </c>
      <c r="Y14" s="48">
        <f t="shared" si="2"/>
        <v>132926344951.27</v>
      </c>
      <c r="Z14" s="48">
        <f t="shared" si="2"/>
        <v>129309615772.75</v>
      </c>
      <c r="AA14" s="48">
        <f t="shared" si="2"/>
        <v>123114633434.11002</v>
      </c>
      <c r="AB14" s="48">
        <f t="shared" si="2"/>
        <v>116501606527.35001</v>
      </c>
      <c r="AC14" s="48">
        <f t="shared" si="2"/>
        <v>117170330759.04001</v>
      </c>
      <c r="AD14" s="48">
        <f t="shared" si="2"/>
        <v>104603314600.10999</v>
      </c>
      <c r="AE14" s="48">
        <f t="shared" si="2"/>
        <v>102597345197.01001</v>
      </c>
      <c r="AF14" s="48">
        <f t="shared" si="2"/>
        <v>99023594848.789993</v>
      </c>
      <c r="AG14" s="48">
        <f t="shared" si="2"/>
        <v>93552747971.679977</v>
      </c>
      <c r="AH14" s="48">
        <f t="shared" si="2"/>
        <v>89822205609.929977</v>
      </c>
      <c r="AI14" s="48">
        <f t="shared" si="2"/>
        <v>86677468406.209991</v>
      </c>
      <c r="AJ14" s="48">
        <f t="shared" si="2"/>
        <v>83778851312.22998</v>
      </c>
      <c r="AK14" s="48">
        <f t="shared" si="2"/>
        <v>82487947958.009995</v>
      </c>
      <c r="AL14" s="48">
        <f t="shared" si="2"/>
        <v>16971749091.710001</v>
      </c>
      <c r="AM14" s="48">
        <f t="shared" si="2"/>
        <v>16739174156.539999</v>
      </c>
      <c r="AN14" s="48">
        <f t="shared" si="2"/>
        <v>17126577362.720001</v>
      </c>
      <c r="AO14" s="48">
        <f t="shared" si="2"/>
        <v>17091141423.52</v>
      </c>
      <c r="AP14" s="48">
        <f t="shared" si="2"/>
        <v>16961872758.470001</v>
      </c>
      <c r="AQ14" s="48">
        <f t="shared" si="2"/>
        <v>16725675237.710001</v>
      </c>
      <c r="AR14" s="48">
        <f t="shared" si="2"/>
        <v>16725309349.470001</v>
      </c>
      <c r="AS14" s="48">
        <f t="shared" si="2"/>
        <v>16603121315.910002</v>
      </c>
      <c r="AT14" s="48">
        <f t="shared" si="2"/>
        <v>16093515660.650002</v>
      </c>
      <c r="AU14" s="48">
        <f t="shared" si="2"/>
        <v>15140788575.769997</v>
      </c>
      <c r="AV14" s="48">
        <f t="shared" si="2"/>
        <v>15473842222.939997</v>
      </c>
      <c r="AW14" s="48">
        <f t="shared" si="2"/>
        <v>15551788315.17</v>
      </c>
      <c r="AX14" s="48">
        <f t="shared" si="2"/>
        <v>10207885305.299999</v>
      </c>
      <c r="AY14" s="48">
        <f t="shared" si="2"/>
        <v>8653633232.8499985</v>
      </c>
      <c r="AZ14" s="48">
        <f t="shared" si="2"/>
        <v>8504253013.1000004</v>
      </c>
      <c r="BA14" s="48">
        <f t="shared" si="2"/>
        <v>8466120886.0599995</v>
      </c>
      <c r="BB14" s="48">
        <f t="shared" si="2"/>
        <v>8791963125.8800011</v>
      </c>
      <c r="BC14" s="48">
        <f t="shared" si="2"/>
        <v>8606692102.2900009</v>
      </c>
      <c r="BD14" s="48">
        <f t="shared" si="2"/>
        <v>8765266278.6299992</v>
      </c>
      <c r="BE14" s="48">
        <f t="shared" si="2"/>
        <v>8457580717.4799995</v>
      </c>
      <c r="BF14" s="48">
        <f t="shared" si="2"/>
        <v>8308124002.9000015</v>
      </c>
      <c r="BG14" s="48">
        <f t="shared" si="2"/>
        <v>8454529464.96</v>
      </c>
      <c r="BH14" s="48">
        <f t="shared" si="2"/>
        <v>4698291672.7699995</v>
      </c>
      <c r="BI14" s="48">
        <f t="shared" si="2"/>
        <v>4280674335.46</v>
      </c>
      <c r="BJ14" s="48">
        <f t="shared" si="2"/>
        <v>4210375428.8600006</v>
      </c>
      <c r="BK14" s="48">
        <f t="shared" si="2"/>
        <v>4157648184.5200005</v>
      </c>
      <c r="BL14" s="48">
        <f t="shared" si="2"/>
        <v>4373814115.5699997</v>
      </c>
      <c r="BM14" s="48">
        <f t="shared" si="2"/>
        <v>4299501297.1300001</v>
      </c>
      <c r="BN14" s="48">
        <f t="shared" si="2"/>
        <v>771622915.47000015</v>
      </c>
      <c r="BO14" s="48">
        <f t="shared" si="2"/>
        <v>794243770.76999998</v>
      </c>
      <c r="BP14" s="48">
        <f t="shared" si="2"/>
        <v>823994016.54000008</v>
      </c>
      <c r="BQ14" s="48">
        <f t="shared" si="2"/>
        <v>860173244.06999993</v>
      </c>
      <c r="BR14" s="48">
        <f t="shared" ref="BR14:CL14" si="3">BR9</f>
        <v>960214898.32999992</v>
      </c>
      <c r="BS14" s="48">
        <f t="shared" si="3"/>
        <v>975148333.42999995</v>
      </c>
      <c r="BT14" s="48">
        <f t="shared" si="3"/>
        <v>1043021254.13</v>
      </c>
      <c r="BU14" s="48">
        <f t="shared" si="3"/>
        <v>1119444572.01</v>
      </c>
      <c r="BV14" s="48">
        <f t="shared" si="3"/>
        <v>1059000880.33</v>
      </c>
      <c r="BW14" s="48">
        <f t="shared" si="3"/>
        <v>1144922434.6799998</v>
      </c>
      <c r="BX14" s="48">
        <f t="shared" si="3"/>
        <v>643153770.59000003</v>
      </c>
      <c r="BY14" s="48">
        <f t="shared" si="3"/>
        <v>530896721.86000001</v>
      </c>
      <c r="BZ14" s="48">
        <f t="shared" si="3"/>
        <v>386948609.07999998</v>
      </c>
      <c r="CA14" s="48">
        <f t="shared" si="3"/>
        <v>399125572.25</v>
      </c>
      <c r="CB14" s="48">
        <f t="shared" si="3"/>
        <v>359329113.00999999</v>
      </c>
      <c r="CC14" s="48">
        <f t="shared" si="3"/>
        <v>280135912.72999996</v>
      </c>
      <c r="CD14" s="48">
        <f t="shared" si="3"/>
        <v>125411965.12</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-13922788015.709991</v>
      </c>
      <c r="F15" s="58">
        <f t="shared" ref="F15:BQ15" si="4">F11+F13-F3-F4-F7</f>
        <v>-10262763663.880005</v>
      </c>
      <c r="G15" s="58">
        <f t="shared" si="4"/>
        <v>-11167662060.22998</v>
      </c>
      <c r="H15" s="58">
        <f t="shared" si="4"/>
        <v>-11600954178.799988</v>
      </c>
      <c r="I15" s="58">
        <f t="shared" si="4"/>
        <v>-12568294802.309998</v>
      </c>
      <c r="J15" s="58">
        <f t="shared" si="4"/>
        <v>-8117080550.2600403</v>
      </c>
      <c r="K15" s="58">
        <f t="shared" si="4"/>
        <v>-12551874315.26001</v>
      </c>
      <c r="L15" s="58">
        <f t="shared" si="4"/>
        <v>-13848016110.690033</v>
      </c>
      <c r="M15" s="58">
        <f t="shared" si="4"/>
        <v>-12721404996.589996</v>
      </c>
      <c r="N15" s="58">
        <f t="shared" si="4"/>
        <v>-8693359330.4400024</v>
      </c>
      <c r="O15" s="58">
        <f t="shared" si="4"/>
        <v>-8915460181.3900146</v>
      </c>
      <c r="P15" s="58">
        <f t="shared" si="4"/>
        <v>-7949467172.6600037</v>
      </c>
      <c r="Q15" s="58">
        <f t="shared" si="4"/>
        <v>-9119757869.2099915</v>
      </c>
      <c r="R15" s="58">
        <f t="shared" si="4"/>
        <v>-6616373122.4099731</v>
      </c>
      <c r="S15" s="58">
        <f t="shared" si="4"/>
        <v>-8738997549.6199951</v>
      </c>
      <c r="T15" s="58">
        <f t="shared" si="4"/>
        <v>-6427367122.1700134</v>
      </c>
      <c r="U15" s="58">
        <f t="shared" si="4"/>
        <v>-8468179287.3500061</v>
      </c>
      <c r="V15" s="58">
        <f t="shared" si="4"/>
        <v>-7393845285.2199707</v>
      </c>
      <c r="W15" s="58">
        <f t="shared" si="4"/>
        <v>-12182983183.550018</v>
      </c>
      <c r="X15" s="58">
        <f t="shared" si="4"/>
        <v>-10473571699.910004</v>
      </c>
      <c r="Y15" s="58">
        <f t="shared" si="4"/>
        <v>-13618906711.600006</v>
      </c>
      <c r="Z15" s="58">
        <f t="shared" si="4"/>
        <v>-15276218458.369995</v>
      </c>
      <c r="AA15" s="58">
        <f t="shared" si="4"/>
        <v>-15743437063.610001</v>
      </c>
      <c r="AB15" s="58">
        <f t="shared" si="4"/>
        <v>-18118179077.709991</v>
      </c>
      <c r="AC15" s="58">
        <f t="shared" si="4"/>
        <v>-14140904868.949997</v>
      </c>
      <c r="AD15" s="58">
        <f t="shared" si="4"/>
        <v>-15085547060.929993</v>
      </c>
      <c r="AE15" s="58">
        <f t="shared" si="4"/>
        <v>-12199354056.430008</v>
      </c>
      <c r="AF15" s="58">
        <f t="shared" si="4"/>
        <v>-10364582151.229996</v>
      </c>
      <c r="AG15" s="58">
        <f t="shared" si="4"/>
        <v>-14497401221.220001</v>
      </c>
      <c r="AH15" s="58">
        <f t="shared" si="4"/>
        <v>-13875397512.990005</v>
      </c>
      <c r="AI15" s="58">
        <f t="shared" si="4"/>
        <v>-12346139824.889999</v>
      </c>
      <c r="AJ15" s="58">
        <f t="shared" si="4"/>
        <v>-12128898248.190002</v>
      </c>
      <c r="AK15" s="58">
        <f t="shared" si="4"/>
        <v>-13523563253.190018</v>
      </c>
      <c r="AL15" s="58">
        <f t="shared" si="4"/>
        <v>-1735375908.9500008</v>
      </c>
      <c r="AM15" s="58">
        <f t="shared" si="4"/>
        <v>-1552035418.0799999</v>
      </c>
      <c r="AN15" s="58">
        <f t="shared" si="4"/>
        <v>-1268152446.5900021</v>
      </c>
      <c r="AO15" s="58">
        <f t="shared" si="4"/>
        <v>-1951376991.5899982</v>
      </c>
      <c r="AP15" s="58">
        <f t="shared" si="4"/>
        <v>-1300682245</v>
      </c>
      <c r="AQ15" s="58">
        <f t="shared" si="4"/>
        <v>-1287762985.7399998</v>
      </c>
      <c r="AR15" s="58">
        <f t="shared" si="4"/>
        <v>-902344565.86999893</v>
      </c>
      <c r="AS15" s="58">
        <f t="shared" si="4"/>
        <v>-983028904.8900013</v>
      </c>
      <c r="AT15" s="58">
        <f t="shared" si="4"/>
        <v>-156300914.23999786</v>
      </c>
      <c r="AU15" s="58">
        <f t="shared" si="4"/>
        <v>-1769620061.75</v>
      </c>
      <c r="AV15" s="58">
        <f t="shared" si="4"/>
        <v>-1884298603.0300007</v>
      </c>
      <c r="AW15" s="58">
        <f t="shared" si="4"/>
        <v>-2026051724.4099998</v>
      </c>
      <c r="AX15" s="58">
        <f t="shared" si="4"/>
        <v>-672216873.42000008</v>
      </c>
      <c r="AY15" s="58">
        <f t="shared" si="4"/>
        <v>-936446843.34000015</v>
      </c>
      <c r="AZ15" s="58">
        <f t="shared" si="4"/>
        <v>-979747080.17000008</v>
      </c>
      <c r="BA15" s="58">
        <f t="shared" si="4"/>
        <v>-1156791579.3699999</v>
      </c>
      <c r="BB15" s="58">
        <f t="shared" si="4"/>
        <v>-976200002.71000004</v>
      </c>
      <c r="BC15" s="58">
        <f t="shared" si="4"/>
        <v>-1017906327.0499992</v>
      </c>
      <c r="BD15" s="58">
        <f t="shared" si="4"/>
        <v>-865371588.06999969</v>
      </c>
      <c r="BE15" s="58">
        <f t="shared" si="4"/>
        <v>-1068002858.4900007</v>
      </c>
      <c r="BF15" s="58">
        <f t="shared" si="4"/>
        <v>-360681928.15999985</v>
      </c>
      <c r="BG15" s="58">
        <f t="shared" si="4"/>
        <v>-660246886.02999973</v>
      </c>
      <c r="BH15" s="58">
        <f t="shared" si="4"/>
        <v>-479471372.24000025</v>
      </c>
      <c r="BI15" s="58">
        <f t="shared" si="4"/>
        <v>-419952538.57000017</v>
      </c>
      <c r="BJ15" s="58">
        <f t="shared" si="4"/>
        <v>-15131598.429999828</v>
      </c>
      <c r="BK15" s="58">
        <f t="shared" si="4"/>
        <v>-155936468.74000025</v>
      </c>
      <c r="BL15" s="58">
        <f t="shared" si="4"/>
        <v>-134111842.5</v>
      </c>
      <c r="BM15" s="58">
        <f t="shared" si="4"/>
        <v>-462999166.18000031</v>
      </c>
      <c r="BN15" s="58">
        <f t="shared" si="4"/>
        <v>2000000.0000001192</v>
      </c>
      <c r="BO15" s="58">
        <f t="shared" si="4"/>
        <v>12549252.51000011</v>
      </c>
      <c r="BP15" s="58">
        <f t="shared" si="4"/>
        <v>23167485.930000067</v>
      </c>
      <c r="BQ15" s="58">
        <f t="shared" si="4"/>
        <v>34561500.75</v>
      </c>
      <c r="BR15" s="58">
        <f t="shared" ref="BR15:CL15" si="5">BR11+BR13-BR3-BR4-BR7</f>
        <v>32936952.799999952</v>
      </c>
      <c r="BS15" s="58">
        <f t="shared" si="5"/>
        <v>83871889.680000067</v>
      </c>
      <c r="BT15" s="58">
        <f t="shared" si="5"/>
        <v>35575485.939999938</v>
      </c>
      <c r="BU15" s="58">
        <f t="shared" si="5"/>
        <v>-82460266.159999967</v>
      </c>
      <c r="BV15" s="58">
        <f t="shared" si="5"/>
        <v>-88385943.279999971</v>
      </c>
      <c r="BW15" s="58">
        <f t="shared" si="5"/>
        <v>-80261333.980000138</v>
      </c>
      <c r="BX15" s="58">
        <f t="shared" si="5"/>
        <v>-97310924.659999967</v>
      </c>
      <c r="BY15" s="58">
        <f t="shared" si="5"/>
        <v>-92478316.329999983</v>
      </c>
      <c r="BZ15" s="58">
        <f t="shared" si="5"/>
        <v>0</v>
      </c>
      <c r="CA15" s="58">
        <f t="shared" si="5"/>
        <v>40358944.289999962</v>
      </c>
      <c r="CB15" s="58">
        <f t="shared" si="5"/>
        <v>0</v>
      </c>
      <c r="CC15" s="58">
        <f t="shared" si="5"/>
        <v>11363072.75999999</v>
      </c>
      <c r="CD15" s="58">
        <f t="shared" si="5"/>
        <v>76819397.290000007</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13922788015.709999</v>
      </c>
      <c r="F16" s="58">
        <f t="shared" ref="F16:BQ16" si="6">F10-F2</f>
        <v>10262763663.879997</v>
      </c>
      <c r="G16" s="58">
        <f t="shared" si="6"/>
        <v>11167662060.23</v>
      </c>
      <c r="H16" s="58">
        <f t="shared" si="6"/>
        <v>11600954178.800001</v>
      </c>
      <c r="I16" s="58">
        <f t="shared" si="6"/>
        <v>12568294802.310001</v>
      </c>
      <c r="J16" s="58">
        <f t="shared" si="6"/>
        <v>8117080550.2600002</v>
      </c>
      <c r="K16" s="58">
        <f t="shared" si="6"/>
        <v>12551874315.26</v>
      </c>
      <c r="L16" s="58">
        <f t="shared" si="6"/>
        <v>13848016110.690002</v>
      </c>
      <c r="M16" s="58">
        <f t="shared" si="6"/>
        <v>12721404996.59</v>
      </c>
      <c r="N16" s="58">
        <f t="shared" si="6"/>
        <v>8693359330.4400024</v>
      </c>
      <c r="O16" s="58">
        <f t="shared" si="6"/>
        <v>8915460181.3900013</v>
      </c>
      <c r="P16" s="58">
        <f t="shared" si="6"/>
        <v>7949467172.6599998</v>
      </c>
      <c r="Q16" s="58">
        <f t="shared" si="6"/>
        <v>9119757869.2099991</v>
      </c>
      <c r="R16" s="58">
        <f t="shared" si="6"/>
        <v>6616373122.4099998</v>
      </c>
      <c r="S16" s="58">
        <f t="shared" si="6"/>
        <v>8738997549.6199989</v>
      </c>
      <c r="T16" s="58">
        <f t="shared" si="6"/>
        <v>6427367122.1699991</v>
      </c>
      <c r="U16" s="58">
        <f t="shared" si="6"/>
        <v>8468179287.3500013</v>
      </c>
      <c r="V16" s="58">
        <f t="shared" si="6"/>
        <v>7393845285.2199984</v>
      </c>
      <c r="W16" s="58">
        <f t="shared" si="6"/>
        <v>12182983183.549999</v>
      </c>
      <c r="X16" s="58">
        <f t="shared" si="6"/>
        <v>10473571699.91</v>
      </c>
      <c r="Y16" s="58">
        <f t="shared" si="6"/>
        <v>13618906711.600002</v>
      </c>
      <c r="Z16" s="58">
        <f t="shared" si="6"/>
        <v>15276218458.370001</v>
      </c>
      <c r="AA16" s="58">
        <f t="shared" si="6"/>
        <v>15743437063.610001</v>
      </c>
      <c r="AB16" s="58">
        <f t="shared" si="6"/>
        <v>18118179077.710003</v>
      </c>
      <c r="AC16" s="58">
        <f t="shared" si="6"/>
        <v>14140904868.949999</v>
      </c>
      <c r="AD16" s="58">
        <f t="shared" si="6"/>
        <v>15085547060.929998</v>
      </c>
      <c r="AE16" s="58">
        <f t="shared" si="6"/>
        <v>12199354056.430002</v>
      </c>
      <c r="AF16" s="58">
        <f t="shared" si="6"/>
        <v>10364582151.230001</v>
      </c>
      <c r="AG16" s="58">
        <f t="shared" si="6"/>
        <v>14497401221.219999</v>
      </c>
      <c r="AH16" s="58">
        <f t="shared" si="6"/>
        <v>13875397512.990002</v>
      </c>
      <c r="AI16" s="58">
        <f t="shared" si="6"/>
        <v>12346139824.889999</v>
      </c>
      <c r="AJ16" s="58">
        <f t="shared" si="6"/>
        <v>12128898248.190001</v>
      </c>
      <c r="AK16" s="58">
        <f t="shared" si="6"/>
        <v>13523563253.190001</v>
      </c>
      <c r="AL16" s="58">
        <f t="shared" si="6"/>
        <v>1735375908.9499998</v>
      </c>
      <c r="AM16" s="58">
        <f t="shared" si="6"/>
        <v>1552035418.0800002</v>
      </c>
      <c r="AN16" s="58">
        <f t="shared" si="6"/>
        <v>1268152446.5900002</v>
      </c>
      <c r="AO16" s="58">
        <f t="shared" si="6"/>
        <v>1951376991.5899999</v>
      </c>
      <c r="AP16" s="58">
        <f t="shared" si="6"/>
        <v>1300682245</v>
      </c>
      <c r="AQ16" s="58">
        <f t="shared" si="6"/>
        <v>1287762985.74</v>
      </c>
      <c r="AR16" s="58">
        <f t="shared" si="6"/>
        <v>902344565.86999989</v>
      </c>
      <c r="AS16" s="58">
        <f t="shared" si="6"/>
        <v>983028904.88999987</v>
      </c>
      <c r="AT16" s="58">
        <f t="shared" si="6"/>
        <v>156300914.24000001</v>
      </c>
      <c r="AU16" s="58">
        <f t="shared" si="6"/>
        <v>1769620061.7499998</v>
      </c>
      <c r="AV16" s="58">
        <f t="shared" si="6"/>
        <v>1884298603.0299997</v>
      </c>
      <c r="AW16" s="58">
        <f t="shared" si="6"/>
        <v>2026051724.4100001</v>
      </c>
      <c r="AX16" s="58">
        <f t="shared" si="6"/>
        <v>672216873.41999996</v>
      </c>
      <c r="AY16" s="58">
        <f t="shared" si="6"/>
        <v>936446843.34000003</v>
      </c>
      <c r="AZ16" s="58">
        <f t="shared" si="6"/>
        <v>979747080.17000008</v>
      </c>
      <c r="BA16" s="58">
        <f t="shared" si="6"/>
        <v>1156791579.3699999</v>
      </c>
      <c r="BB16" s="58">
        <f t="shared" si="6"/>
        <v>976200002.71000004</v>
      </c>
      <c r="BC16" s="58">
        <f t="shared" si="6"/>
        <v>1017906327.05</v>
      </c>
      <c r="BD16" s="58">
        <f t="shared" si="6"/>
        <v>865371588.06999993</v>
      </c>
      <c r="BE16" s="58">
        <f t="shared" si="6"/>
        <v>1068002858.49</v>
      </c>
      <c r="BF16" s="58">
        <f t="shared" si="6"/>
        <v>360681928.15999997</v>
      </c>
      <c r="BG16" s="58">
        <f t="shared" si="6"/>
        <v>660246886.02999997</v>
      </c>
      <c r="BH16" s="58">
        <f t="shared" si="6"/>
        <v>479471372.24000001</v>
      </c>
      <c r="BI16" s="58">
        <f t="shared" si="6"/>
        <v>419952538.56999999</v>
      </c>
      <c r="BJ16" s="58">
        <f t="shared" si="6"/>
        <v>15131598.430000007</v>
      </c>
      <c r="BK16" s="58">
        <f t="shared" si="6"/>
        <v>155936468.74000001</v>
      </c>
      <c r="BL16" s="58">
        <f t="shared" si="6"/>
        <v>134111842.5</v>
      </c>
      <c r="BM16" s="58">
        <f t="shared" si="6"/>
        <v>462999166.18000001</v>
      </c>
      <c r="BN16" s="58">
        <f t="shared" si="6"/>
        <v>-2000000</v>
      </c>
      <c r="BO16" s="58">
        <f t="shared" si="6"/>
        <v>-12549252.51</v>
      </c>
      <c r="BP16" s="58">
        <f t="shared" si="6"/>
        <v>-23167485.93</v>
      </c>
      <c r="BQ16" s="58">
        <f t="shared" si="6"/>
        <v>-34561500.75</v>
      </c>
      <c r="BR16" s="58">
        <f t="shared" ref="BR16:CL16" si="7">BR10-BR2</f>
        <v>-32936952.799999997</v>
      </c>
      <c r="BS16" s="58">
        <f t="shared" si="7"/>
        <v>-83871889.680000007</v>
      </c>
      <c r="BT16" s="58">
        <f t="shared" si="7"/>
        <v>-35575485.939999998</v>
      </c>
      <c r="BU16" s="58">
        <f t="shared" si="7"/>
        <v>82460266.159999996</v>
      </c>
      <c r="BV16" s="58">
        <f t="shared" si="7"/>
        <v>88385943.280000001</v>
      </c>
      <c r="BW16" s="58">
        <f t="shared" si="7"/>
        <v>80261333.979999989</v>
      </c>
      <c r="BX16" s="58">
        <f t="shared" si="7"/>
        <v>97310924.659999996</v>
      </c>
      <c r="BY16" s="58">
        <f t="shared" si="7"/>
        <v>92478316.329999998</v>
      </c>
      <c r="BZ16" s="58">
        <f t="shared" si="7"/>
        <v>0</v>
      </c>
      <c r="CA16" s="58">
        <f t="shared" si="7"/>
        <v>-40358944.289999999</v>
      </c>
      <c r="CB16" s="58">
        <f t="shared" si="7"/>
        <v>0</v>
      </c>
      <c r="CC16" s="58">
        <f t="shared" si="7"/>
        <v>-11363072.760000002</v>
      </c>
      <c r="CD16" s="58">
        <f t="shared" si="7"/>
        <v>-76819397.290000007</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2.8941001167477305</v>
      </c>
      <c r="F17" s="59">
        <f t="shared" ref="F17:BQ17" si="8">(F11+F13-F7-F3)/F4</f>
        <v>2.3464129939357079</v>
      </c>
      <c r="G17" s="59">
        <f t="shared" si="8"/>
        <v>2.5495599265404709</v>
      </c>
      <c r="H17" s="59">
        <f t="shared" si="8"/>
        <v>2.1816738927257804</v>
      </c>
      <c r="I17" s="59">
        <f t="shared" si="8"/>
        <v>1.9685823520248402</v>
      </c>
      <c r="J17" s="59">
        <f t="shared" si="8"/>
        <v>1.6935173426998167</v>
      </c>
      <c r="K17" s="59">
        <f t="shared" si="8"/>
        <v>2.459619527505764</v>
      </c>
      <c r="L17" s="59">
        <f t="shared" si="8"/>
        <v>2.6208920070474169</v>
      </c>
      <c r="M17" s="59">
        <f t="shared" si="8"/>
        <v>2.2032830152189407</v>
      </c>
      <c r="N17" s="59">
        <f t="shared" si="8"/>
        <v>2.9914086919731053</v>
      </c>
      <c r="O17" s="59">
        <f t="shared" si="8"/>
        <v>3.0614471120310784</v>
      </c>
      <c r="P17" s="59">
        <f t="shared" si="8"/>
        <v>2.6980945270848076</v>
      </c>
      <c r="Q17" s="59">
        <f t="shared" si="8"/>
        <v>2.50171980769814</v>
      </c>
      <c r="R17" s="59">
        <f t="shared" si="8"/>
        <v>2.3057037771666202</v>
      </c>
      <c r="S17" s="59">
        <f t="shared" si="8"/>
        <v>5.1355864708037213</v>
      </c>
      <c r="T17" s="59">
        <f t="shared" si="8"/>
        <v>4.7436660883114774</v>
      </c>
      <c r="U17" s="59">
        <f t="shared" si="8"/>
        <v>2.5166026261816463</v>
      </c>
      <c r="V17" s="59">
        <f t="shared" si="8"/>
        <v>2.6726501068013859</v>
      </c>
      <c r="W17" s="59">
        <f t="shared" si="8"/>
        <v>4.198334379065833</v>
      </c>
      <c r="X17" s="59">
        <f t="shared" si="8"/>
        <v>2.8728242759935649</v>
      </c>
      <c r="Y17" s="59">
        <f t="shared" si="8"/>
        <v>3.5734410772491665</v>
      </c>
      <c r="Z17" s="59">
        <f t="shared" si="8"/>
        <v>-4.7702990687788063</v>
      </c>
      <c r="AA17" s="59">
        <f t="shared" si="8"/>
        <v>-6.2987323925974845</v>
      </c>
      <c r="AB17" s="59">
        <f t="shared" si="8"/>
        <v>-9.5473702942879779</v>
      </c>
      <c r="AC17" s="59">
        <f t="shared" si="8"/>
        <v>-10.562229517940168</v>
      </c>
      <c r="AD17" s="59">
        <f t="shared" si="8"/>
        <v>15.746208036922893</v>
      </c>
      <c r="AE17" s="59">
        <f t="shared" si="8"/>
        <v>-56.327040566981495</v>
      </c>
      <c r="AF17" s="59">
        <f t="shared" si="8"/>
        <v>18.980312567080905</v>
      </c>
      <c r="AG17" s="59">
        <f t="shared" si="8"/>
        <v>22.733519701341812</v>
      </c>
      <c r="AH17" s="59">
        <f t="shared" si="8"/>
        <v>-7.1598311316355785</v>
      </c>
      <c r="AI17" s="59">
        <f t="shared" si="8"/>
        <v>-9.0518301739374696</v>
      </c>
      <c r="AJ17" s="59">
        <f t="shared" si="8"/>
        <v>-54.991373238241522</v>
      </c>
      <c r="AK17" s="59">
        <f t="shared" si="8"/>
        <v>518.17902802909714</v>
      </c>
      <c r="AL17" s="59">
        <f t="shared" si="8"/>
        <v>-0.79933226970025661</v>
      </c>
      <c r="AM17" s="59">
        <f t="shared" si="8"/>
        <v>-0.52683450699177281</v>
      </c>
      <c r="AN17" s="59">
        <f t="shared" si="8"/>
        <v>-1.1899565080945649</v>
      </c>
      <c r="AO17" s="59">
        <f t="shared" si="8"/>
        <v>-1.2473730117871931</v>
      </c>
      <c r="AP17" s="59">
        <f t="shared" si="8"/>
        <v>-2.2759596654623744</v>
      </c>
      <c r="AQ17" s="59">
        <f t="shared" si="8"/>
        <v>-2.9036835616298724</v>
      </c>
      <c r="AR17" s="59">
        <f t="shared" si="8"/>
        <v>-2.0504220356138294</v>
      </c>
      <c r="AS17" s="59">
        <f t="shared" si="8"/>
        <v>-3.307558593912042</v>
      </c>
      <c r="AT17" s="59">
        <f t="shared" si="8"/>
        <v>-2.4479164675132075</v>
      </c>
      <c r="AU17" s="59">
        <f t="shared" si="8"/>
        <v>10.289876392448985</v>
      </c>
      <c r="AV17" s="59">
        <f t="shared" si="8"/>
        <v>-2513.9642056532762</v>
      </c>
      <c r="AW17" s="59">
        <f t="shared" si="8"/>
        <v>7.1909933105130097</v>
      </c>
      <c r="AX17" s="59">
        <f t="shared" si="8"/>
        <v>0.48102016188713109</v>
      </c>
      <c r="AY17" s="59">
        <f t="shared" si="8"/>
        <v>128.77373861979936</v>
      </c>
      <c r="AZ17" s="59">
        <f t="shared" si="8"/>
        <v>13.117231548372404</v>
      </c>
      <c r="BA17" s="59">
        <f t="shared" si="8"/>
        <v>-27.784852328454743</v>
      </c>
      <c r="BB17" s="59">
        <f t="shared" si="8"/>
        <v>-4.2994321823462833</v>
      </c>
      <c r="BC17" s="59">
        <f t="shared" si="8"/>
        <v>-411.18775242747722</v>
      </c>
      <c r="BD17" s="59">
        <f t="shared" si="8"/>
        <v>-2.5018459605548058</v>
      </c>
      <c r="BE17" s="59">
        <f t="shared" si="8"/>
        <v>-67.351546235036238</v>
      </c>
      <c r="BF17" s="59">
        <f t="shared" si="8"/>
        <v>-13.70992887455842</v>
      </c>
      <c r="BG17" s="59">
        <f t="shared" si="8"/>
        <v>-1.2742267571950003</v>
      </c>
      <c r="BH17" s="59">
        <f t="shared" si="8"/>
        <v>5.8367114268312301E-2</v>
      </c>
      <c r="BI17" s="59">
        <f t="shared" si="8"/>
        <v>-1.2139297110386027</v>
      </c>
      <c r="BJ17" s="59">
        <f t="shared" si="8"/>
        <v>0.90671247558315815</v>
      </c>
      <c r="BK17" s="59">
        <f t="shared" si="8"/>
        <v>-0.51052738264762376</v>
      </c>
      <c r="BL17" s="59">
        <f t="shared" si="8"/>
        <v>0.48942805460553918</v>
      </c>
      <c r="BM17" s="59">
        <f t="shared" si="8"/>
        <v>-1.0634325986402964</v>
      </c>
      <c r="BN17" s="59">
        <f t="shared" si="8"/>
        <v>1.0126832051883154</v>
      </c>
      <c r="BO17" s="59">
        <f t="shared" si="8"/>
        <v>1.0846234547222986</v>
      </c>
      <c r="BP17" s="59">
        <f t="shared" si="8"/>
        <v>1.1537025114558266</v>
      </c>
      <c r="BQ17" s="59">
        <f t="shared" si="8"/>
        <v>1.2199150636305078</v>
      </c>
      <c r="BR17" s="59">
        <f t="shared" ref="BR17:CL17" si="9">(BR11+BR13-BR7-BR3)/BR4</f>
        <v>1.1772105791307528</v>
      </c>
      <c r="BS17" s="59">
        <f t="shared" si="9"/>
        <v>1.6842040409909331</v>
      </c>
      <c r="BT17" s="59">
        <f t="shared" si="9"/>
        <v>1.760806469813095</v>
      </c>
      <c r="BU17" s="59">
        <f t="shared" si="9"/>
        <v>0.36367003872291848</v>
      </c>
      <c r="BV17" s="59">
        <f t="shared" si="9"/>
        <v>0.32380018506653513</v>
      </c>
      <c r="BW17" s="59">
        <f t="shared" si="9"/>
        <v>0.55819379493432131</v>
      </c>
      <c r="BX17" s="59">
        <f t="shared" si="9"/>
        <v>7.4967576669235703E-2</v>
      </c>
      <c r="BY17" s="59">
        <f t="shared" si="9"/>
        <v>-5.5104308741223811</v>
      </c>
      <c r="BZ17" s="59" t="e">
        <f t="shared" si="9"/>
        <v>#DIV/0!</v>
      </c>
      <c r="CA17" s="59">
        <f t="shared" si="9"/>
        <v>0.36785905751932041</v>
      </c>
      <c r="CB17" s="59" t="e">
        <f t="shared" si="9"/>
        <v>#DIV/0!</v>
      </c>
      <c r="CC17" s="59">
        <f t="shared" si="9"/>
        <v>0.57966985597559617</v>
      </c>
      <c r="CD17" s="59">
        <f t="shared" si="9"/>
        <v>-2.6716693715265447</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5.5103701061784971E-2</v>
      </c>
      <c r="F20" s="115"/>
      <c r="G20" s="115"/>
      <c r="H20" s="115"/>
      <c r="I20" s="115">
        <f>POWER(E9/Y9,1/6)-1</f>
        <v>6.433474450515253E-2</v>
      </c>
      <c r="M20" s="115">
        <f>POWER(E9/AC9,1/7)-1</f>
        <v>7.4082273991354475E-2</v>
      </c>
    </row>
    <row r="21" spans="1:90" s="63" customFormat="1" ht="14.25" customHeight="1" x14ac:dyDescent="0.25">
      <c r="A21" s="113" t="s">
        <v>573</v>
      </c>
      <c r="B21" s="115"/>
      <c r="C21" s="115"/>
      <c r="D21" s="115"/>
      <c r="E21" s="115">
        <f>POWER(E4/U4,1/5)-1</f>
        <v>5.6527991951691225E-2</v>
      </c>
      <c r="F21" s="115"/>
      <c r="G21" s="115"/>
      <c r="H21" s="115"/>
      <c r="I21" s="115">
        <f>POWER(E4/Y4,1/6)-1</f>
        <v>5.6288481486937547E-2</v>
      </c>
      <c r="M21" s="115">
        <f>POWER(E4/AC4,1/7)-1</f>
        <v>-2.2920212794217489</v>
      </c>
    </row>
    <row r="22" spans="1:90" s="63" customFormat="1" ht="14.25" customHeight="1" x14ac:dyDescent="0.25">
      <c r="A22" s="113" t="s">
        <v>576</v>
      </c>
      <c r="B22" s="115"/>
      <c r="C22" s="115"/>
      <c r="D22" s="115"/>
      <c r="E22" s="115">
        <f>POWER(E5/U5,1/5)-1</f>
        <v>4.5575167487855284E-2</v>
      </c>
      <c r="F22" s="115"/>
      <c r="G22" s="115"/>
      <c r="H22" s="115"/>
      <c r="I22" s="115">
        <f>POWER(E5/Y5,1/6)-1</f>
        <v>1.7062508549425814E-3</v>
      </c>
      <c r="M22" s="115">
        <f>POWER(E5/AC5,1/7)-1</f>
        <v>-2.3149408118200099E-2</v>
      </c>
    </row>
    <row r="23" spans="1:90" s="63" customFormat="1" ht="14.25" customHeight="1" x14ac:dyDescent="0.25">
      <c r="A23" s="113" t="s">
        <v>577</v>
      </c>
      <c r="B23" s="115"/>
      <c r="C23" s="115"/>
      <c r="D23" s="115"/>
      <c r="E23" s="115">
        <f>POWER(E6/U6,1/5)-1</f>
        <v>5.0852059559967966E-2</v>
      </c>
      <c r="F23" s="115"/>
      <c r="G23" s="115"/>
      <c r="H23" s="115"/>
      <c r="I23" s="115">
        <f>POWER(E6/Y6,1/6)-1</f>
        <v>2.5914046708837457E-2</v>
      </c>
      <c r="M23" s="115">
        <f>POWER(E6/AC6,1/7)-1</f>
        <v>9.7956769632195684E-2</v>
      </c>
    </row>
    <row r="24" spans="1:90" s="63" customFormat="1" ht="14.25" customHeight="1" x14ac:dyDescent="0.25">
      <c r="A24" s="113" t="s">
        <v>578</v>
      </c>
      <c r="B24" s="115"/>
      <c r="C24" s="115"/>
      <c r="D24" s="115"/>
      <c r="E24" s="115">
        <f>POWER(E7/U7,1/5)-1</f>
        <v>4.9915869476490293E-2</v>
      </c>
      <c r="F24" s="115"/>
      <c r="G24" s="115"/>
      <c r="H24" s="115"/>
      <c r="I24" s="115">
        <f>POWER(E7/Y7,1/6)-1</f>
        <v>6.1819687322974159E-2</v>
      </c>
      <c r="M24" s="115">
        <f>POWER(E7/AC7,1/7)-1</f>
        <v>7.9486076047673215E-2</v>
      </c>
    </row>
    <row r="25" spans="1:90" s="107" customFormat="1" x14ac:dyDescent="0.25">
      <c r="A25" s="143" t="s">
        <v>554</v>
      </c>
      <c r="B25" s="108"/>
      <c r="C25" s="108"/>
      <c r="D25" s="108"/>
      <c r="E25" s="108">
        <f>(E2-I2)/I2</f>
        <v>0.16941425265724158</v>
      </c>
      <c r="F25" s="108">
        <f t="shared" ref="F25:BQ25" si="10">(F2-J2)/J2</f>
        <v>3.8903231070654729E-2</v>
      </c>
      <c r="G25" s="108">
        <f t="shared" si="10"/>
        <v>-5.9663054575195933E-2</v>
      </c>
      <c r="H25" s="108">
        <f t="shared" si="10"/>
        <v>-0.139084242537724</v>
      </c>
      <c r="I25" s="108">
        <f t="shared" si="10"/>
        <v>-0.33683373338185496</v>
      </c>
      <c r="J25" s="107">
        <f t="shared" si="10"/>
        <v>-0.20509324680838087</v>
      </c>
      <c r="K25" s="107">
        <f t="shared" si="10"/>
        <v>-0.2666650632756235</v>
      </c>
      <c r="L25" s="107">
        <f t="shared" si="10"/>
        <v>-0.43390269033188056</v>
      </c>
      <c r="M25" s="108">
        <f t="shared" si="10"/>
        <v>-0.17622847561868776</v>
      </c>
      <c r="N25" s="108">
        <f t="shared" si="10"/>
        <v>-0.14162597921061146</v>
      </c>
      <c r="O25" s="108">
        <f t="shared" si="10"/>
        <v>0.10758344462122039</v>
      </c>
      <c r="P25" s="108">
        <f t="shared" si="10"/>
        <v>0.31252296966070336</v>
      </c>
      <c r="Q25" s="108">
        <f t="shared" si="10"/>
        <v>0.91932772486359993</v>
      </c>
      <c r="R25" s="108">
        <f t="shared" si="10"/>
        <v>1.4783139205629456</v>
      </c>
      <c r="S25" s="108">
        <f t="shared" si="10"/>
        <v>0.68170898696320825</v>
      </c>
      <c r="T25" s="108">
        <f t="shared" si="10"/>
        <v>-8.1823535145053271E-3</v>
      </c>
      <c r="U25" s="108">
        <f t="shared" si="10"/>
        <v>-0.3302568646713504</v>
      </c>
      <c r="V25" s="107">
        <f t="shared" si="10"/>
        <v>0.12088549980075694</v>
      </c>
      <c r="W25" s="107">
        <f t="shared" si="10"/>
        <v>-0.29551952636151829</v>
      </c>
      <c r="X25" s="107">
        <f t="shared" si="10"/>
        <v>0.69362547580505152</v>
      </c>
      <c r="Y25" s="107">
        <f t="shared" si="10"/>
        <v>0.2233176911694216</v>
      </c>
      <c r="Z25" s="107">
        <f t="shared" si="10"/>
        <v>0.58658462041180315</v>
      </c>
      <c r="AA25" s="107">
        <f t="shared" si="10"/>
        <v>1.2620282056315153</v>
      </c>
      <c r="AB25" s="107">
        <f t="shared" si="10"/>
        <v>-1.1761431473226292E-2</v>
      </c>
      <c r="AC25" s="107">
        <f t="shared" si="10"/>
        <v>3.390683863280386</v>
      </c>
      <c r="AD25" s="107">
        <f t="shared" si="10"/>
        <v>1.0217094461298546</v>
      </c>
      <c r="AE25" s="107">
        <f t="shared" si="10"/>
        <v>1.3642213128425855</v>
      </c>
      <c r="AF25" s="107">
        <f t="shared" si="10"/>
        <v>2.893303368308664</v>
      </c>
      <c r="AG25" s="107">
        <f t="shared" si="10"/>
        <v>-0.43313415420614998</v>
      </c>
      <c r="AH25" s="107">
        <f t="shared" si="10"/>
        <v>0.25036429197348997</v>
      </c>
      <c r="AI25" s="107">
        <f t="shared" si="10"/>
        <v>2.3398793826021055E-2</v>
      </c>
      <c r="AJ25" s="107">
        <f t="shared" si="10"/>
        <v>-0.35409343246255515</v>
      </c>
      <c r="AK25" s="107">
        <f t="shared" si="10"/>
        <v>0.92066199196923004</v>
      </c>
      <c r="AL25" s="107">
        <f t="shared" si="10"/>
        <v>-0.2719543643230844</v>
      </c>
      <c r="AM25" s="107">
        <f t="shared" si="10"/>
        <v>-3.8593177464720199E-2</v>
      </c>
      <c r="AN25" s="107">
        <f t="shared" si="10"/>
        <v>0.11747501011923361</v>
      </c>
      <c r="AO25" s="107">
        <f t="shared" si="10"/>
        <v>-0.23242498991937829</v>
      </c>
      <c r="AP25" s="107">
        <f t="shared" si="10"/>
        <v>-0.12682811989217321</v>
      </c>
      <c r="AQ25" s="107">
        <f t="shared" si="10"/>
        <v>0.67839511875629521</v>
      </c>
      <c r="AR25" s="107">
        <f t="shared" si="10"/>
        <v>0.54268121266492841</v>
      </c>
      <c r="AS25" s="107">
        <f t="shared" si="10"/>
        <v>1.5410724356961538</v>
      </c>
      <c r="AT25" s="107">
        <f t="shared" si="10"/>
        <v>4.7349018712879927</v>
      </c>
      <c r="AU25" s="107">
        <f t="shared" si="10"/>
        <v>2.3496967347378472</v>
      </c>
      <c r="AV25" s="107">
        <f t="shared" si="10"/>
        <v>1.4838217932813655</v>
      </c>
      <c r="AW25" s="107">
        <f t="shared" si="10"/>
        <v>1.7050388394712268</v>
      </c>
      <c r="AX25" s="107">
        <f t="shared" si="10"/>
        <v>-0.39737051427543735</v>
      </c>
      <c r="AY25" s="107">
        <f t="shared" si="10"/>
        <v>-0.47198598903456113</v>
      </c>
      <c r="AZ25" s="107">
        <f t="shared" si="10"/>
        <v>-0.40690872589959087</v>
      </c>
      <c r="BA25" s="107">
        <f t="shared" si="10"/>
        <v>-0.48638053594478053</v>
      </c>
      <c r="BB25" s="107">
        <f t="shared" si="10"/>
        <v>-0.46591275836651852</v>
      </c>
      <c r="BC25" s="107">
        <f t="shared" si="10"/>
        <v>-0.14097974093586488</v>
      </c>
      <c r="BD25" s="107">
        <f t="shared" si="10"/>
        <v>2.2126554815544073</v>
      </c>
      <c r="BE25" s="107">
        <f t="shared" si="10"/>
        <v>2.0207712613801574</v>
      </c>
      <c r="BF25" s="107">
        <f t="shared" si="10"/>
        <v>3.5759391366565443</v>
      </c>
      <c r="BG25" s="107">
        <f t="shared" si="10"/>
        <v>1.026196242681493</v>
      </c>
      <c r="BH25" s="107">
        <f t="shared" si="10"/>
        <v>-0.17894530576173331</v>
      </c>
      <c r="BI25" s="107">
        <f t="shared" si="10"/>
        <v>-0.24862179981833543</v>
      </c>
      <c r="BJ25" s="107">
        <f t="shared" si="10"/>
        <v>81.609200784999999</v>
      </c>
      <c r="BK25" s="107">
        <f t="shared" si="10"/>
        <v>16.263542915194716</v>
      </c>
      <c r="BL25" s="107">
        <f t="shared" si="10"/>
        <v>8.5495108173785344</v>
      </c>
      <c r="BM25" s="107">
        <f t="shared" si="10"/>
        <v>4.2385701399265772</v>
      </c>
      <c r="BN25" s="107">
        <f t="shared" si="10"/>
        <v>-0.95549319935195964</v>
      </c>
      <c r="BO25" s="107">
        <f t="shared" si="10"/>
        <v>-0.9210102395378017</v>
      </c>
      <c r="BP25" s="107">
        <f t="shared" si="10"/>
        <v>-0.83281685232530234</v>
      </c>
      <c r="BQ25" s="107">
        <f t="shared" si="10"/>
        <v>-0.56548131252836487</v>
      </c>
      <c r="BR25" s="107">
        <f t="shared" ref="BR25:CK25" si="11">(BR2-BV2)/BV2</f>
        <v>-0.3977414608532493</v>
      </c>
      <c r="BS25" s="107">
        <f t="shared" si="11"/>
        <v>2.012436636523026</v>
      </c>
      <c r="BT25" s="107">
        <f t="shared" si="11"/>
        <v>2.8828544763300665</v>
      </c>
      <c r="BU25" s="107">
        <f t="shared" si="11"/>
        <v>2.875887335515098</v>
      </c>
      <c r="BV25" s="107" t="e">
        <f t="shared" si="11"/>
        <v>#DIV/0!</v>
      </c>
      <c r="BW25" s="107">
        <f t="shared" si="11"/>
        <v>-0.19309183168570418</v>
      </c>
      <c r="BX25" s="107" t="e">
        <f t="shared" si="11"/>
        <v>#DIV/0!</v>
      </c>
      <c r="BY25" s="107">
        <f t="shared" si="11"/>
        <v>5.9836107851303659E-2</v>
      </c>
      <c r="BZ25" s="107">
        <f t="shared" si="11"/>
        <v>-1</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2.7676539473906539E-2</v>
      </c>
      <c r="F26" s="108">
        <f t="shared" ref="F26:BQ26" si="12">F2/F9</f>
        <v>3.620862937271524E-2</v>
      </c>
      <c r="G26" s="108">
        <f t="shared" si="12"/>
        <v>2.7916300623283326E-2</v>
      </c>
      <c r="H26" s="108">
        <f t="shared" si="12"/>
        <v>2.118414920660153E-2</v>
      </c>
      <c r="I26" s="108">
        <f t="shared" si="12"/>
        <v>2.492049090999568E-2</v>
      </c>
      <c r="J26" s="108">
        <f t="shared" si="12"/>
        <v>3.7486627289190118E-2</v>
      </c>
      <c r="K26" s="108">
        <f t="shared" si="12"/>
        <v>3.1927073200371345E-2</v>
      </c>
      <c r="L26" s="108">
        <f t="shared" si="12"/>
        <v>2.6731149656585875E-2</v>
      </c>
      <c r="M26" s="108">
        <f t="shared" si="12"/>
        <v>4.1115068236990487E-2</v>
      </c>
      <c r="N26" s="108">
        <f t="shared" si="12"/>
        <v>5.1327505479628409E-2</v>
      </c>
      <c r="O26" s="108">
        <f t="shared" si="12"/>
        <v>4.7616428385400651E-2</v>
      </c>
      <c r="P26" s="108">
        <f t="shared" si="12"/>
        <v>4.9802894904572952E-2</v>
      </c>
      <c r="Q26" s="108">
        <f t="shared" si="12"/>
        <v>5.2046911688696747E-2</v>
      </c>
      <c r="R26" s="108">
        <f t="shared" si="12"/>
        <v>6.1680812585678549E-2</v>
      </c>
      <c r="S26" s="108">
        <f t="shared" si="12"/>
        <v>4.5046031816636231E-2</v>
      </c>
      <c r="T26" s="108">
        <f t="shared" si="12"/>
        <v>4.0032473187758898E-2</v>
      </c>
      <c r="U26" s="108">
        <f t="shared" si="12"/>
        <v>2.9514864780587378E-2</v>
      </c>
      <c r="V26" s="108">
        <f t="shared" si="12"/>
        <v>2.7738779439871668E-2</v>
      </c>
      <c r="W26" s="108">
        <f t="shared" si="12"/>
        <v>2.9536510788855323E-2</v>
      </c>
      <c r="X26" s="108">
        <f t="shared" si="12"/>
        <v>4.5271676825421561E-2</v>
      </c>
      <c r="Y26" s="108">
        <f t="shared" si="12"/>
        <v>4.8992119979206425E-2</v>
      </c>
      <c r="Z26" s="108">
        <f t="shared" si="12"/>
        <v>2.7515239234666339E-2</v>
      </c>
      <c r="AA26" s="108">
        <f t="shared" si="12"/>
        <v>4.784167885024234E-2</v>
      </c>
      <c r="AB26" s="108">
        <f t="shared" si="12"/>
        <v>3.1613318433127154E-2</v>
      </c>
      <c r="AC26" s="108">
        <f t="shared" si="12"/>
        <v>4.5433938258207712E-2</v>
      </c>
      <c r="AD26" s="108">
        <f t="shared" si="12"/>
        <v>2.1438550962874003E-2</v>
      </c>
      <c r="AE26" s="108">
        <f t="shared" si="12"/>
        <v>2.537943495038782E-2</v>
      </c>
      <c r="AF26" s="108">
        <f t="shared" si="12"/>
        <v>3.7635831226294235E-2</v>
      </c>
      <c r="AG26" s="108">
        <f t="shared" si="12"/>
        <v>1.2960128940167863E-2</v>
      </c>
      <c r="AH26" s="108">
        <f t="shared" si="12"/>
        <v>1.2349188475810183E-2</v>
      </c>
      <c r="AI26" s="108">
        <f t="shared" si="12"/>
        <v>1.2706435182768828E-2</v>
      </c>
      <c r="AJ26" s="108">
        <f t="shared" si="12"/>
        <v>1.1425824625268673E-2</v>
      </c>
      <c r="AK26" s="108">
        <f t="shared" si="12"/>
        <v>2.5929555992455802E-2</v>
      </c>
      <c r="AL26" s="108">
        <f t="shared" si="12"/>
        <v>5.2270778565971419E-2</v>
      </c>
      <c r="AM26" s="108">
        <f t="shared" si="12"/>
        <v>6.4291123491868107E-2</v>
      </c>
      <c r="AN26" s="108">
        <f t="shared" si="12"/>
        <v>8.653298280635742E-2</v>
      </c>
      <c r="AO26" s="108">
        <f t="shared" si="12"/>
        <v>6.5157373564149357E-2</v>
      </c>
      <c r="AP26" s="108">
        <f t="shared" si="12"/>
        <v>7.1837823805837323E-2</v>
      </c>
      <c r="AQ26" s="108">
        <f t="shared" si="12"/>
        <v>6.6925894338557071E-2</v>
      </c>
      <c r="AR26" s="108">
        <f t="shared" si="12"/>
        <v>7.9293990746546375E-2</v>
      </c>
      <c r="AS26" s="108">
        <f t="shared" si="12"/>
        <v>8.7382420311519701E-2</v>
      </c>
      <c r="AT26" s="108">
        <f t="shared" si="12"/>
        <v>8.6711420450044624E-2</v>
      </c>
      <c r="AU26" s="108">
        <f t="shared" si="12"/>
        <v>4.4048907386984137E-2</v>
      </c>
      <c r="AV26" s="108">
        <f t="shared" si="12"/>
        <v>5.5557165494134281E-2</v>
      </c>
      <c r="AW26" s="108">
        <f t="shared" si="12"/>
        <v>3.6712708790735543E-2</v>
      </c>
      <c r="AX26" s="108">
        <f t="shared" si="12"/>
        <v>2.3837760643104004E-2</v>
      </c>
      <c r="AY26" s="108">
        <f t="shared" si="12"/>
        <v>2.3008041975269514E-2</v>
      </c>
      <c r="AZ26" s="108">
        <f t="shared" si="12"/>
        <v>4.0698803210210896E-2</v>
      </c>
      <c r="BA26" s="108">
        <f t="shared" si="12"/>
        <v>2.4930948124959735E-2</v>
      </c>
      <c r="BB26" s="108">
        <f t="shared" si="12"/>
        <v>4.5926674653743442E-2</v>
      </c>
      <c r="BC26" s="108">
        <f t="shared" si="12"/>
        <v>4.3812338262881473E-2</v>
      </c>
      <c r="BD26" s="108">
        <f t="shared" si="12"/>
        <v>6.6578064047269542E-2</v>
      </c>
      <c r="BE26" s="108">
        <f t="shared" si="12"/>
        <v>4.8588739853309214E-2</v>
      </c>
      <c r="BF26" s="108">
        <f t="shared" si="12"/>
        <v>9.0998804251850765E-2</v>
      </c>
      <c r="BG26" s="108">
        <f t="shared" si="12"/>
        <v>5.1920617674738552E-2</v>
      </c>
      <c r="BH26" s="108">
        <f t="shared" si="12"/>
        <v>3.8662697084726617E-2</v>
      </c>
      <c r="BI26" s="108">
        <f t="shared" si="12"/>
        <v>3.1779843727677844E-2</v>
      </c>
      <c r="BJ26" s="108">
        <f t="shared" si="12"/>
        <v>3.9240776591443878E-2</v>
      </c>
      <c r="BK26" s="108">
        <f t="shared" si="12"/>
        <v>5.210747750774674E-2</v>
      </c>
      <c r="BL26" s="108">
        <f t="shared" si="12"/>
        <v>5.0582432552959106E-2</v>
      </c>
      <c r="BM26" s="108">
        <f t="shared" si="12"/>
        <v>4.2110196813024865E-2</v>
      </c>
      <c r="BN26" s="108">
        <f t="shared" si="12"/>
        <v>2.5919396118268311E-3</v>
      </c>
      <c r="BO26" s="108">
        <f t="shared" si="12"/>
        <v>1.580025298509273E-2</v>
      </c>
      <c r="BP26" s="108">
        <f t="shared" si="12"/>
        <v>2.8116085147416061E-2</v>
      </c>
      <c r="BQ26" s="108">
        <f t="shared" si="12"/>
        <v>4.0179697506596036E-2</v>
      </c>
      <c r="BR26" s="108">
        <f t="shared" ref="BR26:CK26" si="13">BR2/BR9</f>
        <v>4.6798849797221515E-2</v>
      </c>
      <c r="BS26" s="108">
        <f t="shared" si="13"/>
        <v>0.16292074162828324</v>
      </c>
      <c r="BT26" s="108">
        <f t="shared" si="13"/>
        <v>0.13285969522796343</v>
      </c>
      <c r="BU26" s="108">
        <f t="shared" si="13"/>
        <v>7.1052855879397192E-2</v>
      </c>
      <c r="BV26" s="108">
        <f t="shared" si="13"/>
        <v>7.0457029928765666E-2</v>
      </c>
      <c r="BW26" s="108">
        <f t="shared" si="13"/>
        <v>4.6063090758406006E-2</v>
      </c>
      <c r="BX26" s="108">
        <f t="shared" si="13"/>
        <v>5.549073483198344E-2</v>
      </c>
      <c r="BY26" s="108">
        <f t="shared" si="13"/>
        <v>3.8654756801100885E-2</v>
      </c>
      <c r="BZ26" s="108">
        <f t="shared" si="13"/>
        <v>0</v>
      </c>
      <c r="CA26" s="108">
        <f t="shared" si="13"/>
        <v>0.1637553412615245</v>
      </c>
      <c r="CB26" s="108">
        <f t="shared" si="13"/>
        <v>0</v>
      </c>
      <c r="CC26" s="108">
        <f t="shared" si="13"/>
        <v>6.9120280121536856E-2</v>
      </c>
      <c r="CD26" s="108">
        <f t="shared" si="13"/>
        <v>0.61253642917161555</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-1.324906389884634E-2</v>
      </c>
      <c r="F27" s="109">
        <f t="shared" ref="F27:BQ27" si="14">(F3-J3)/J3</f>
        <v>0.18699096229789586</v>
      </c>
      <c r="G27" s="109">
        <f t="shared" si="14"/>
        <v>0.36582615051098322</v>
      </c>
      <c r="H27" s="109">
        <f t="shared" si="14"/>
        <v>0.78957845322143061</v>
      </c>
      <c r="I27" s="109">
        <f t="shared" si="14"/>
        <v>2.3523082514329103</v>
      </c>
      <c r="J27" s="109">
        <f t="shared" si="14"/>
        <v>1.9166228921513593</v>
      </c>
      <c r="K27" s="109">
        <f t="shared" si="14"/>
        <v>1.4770694295296363</v>
      </c>
      <c r="L27" s="109">
        <f t="shared" si="14"/>
        <v>0.80560078899194698</v>
      </c>
      <c r="M27" s="109">
        <f t="shared" si="14"/>
        <v>5.4140594765149611E-2</v>
      </c>
      <c r="N27" s="109">
        <f t="shared" si="14"/>
        <v>-4.9430295867905642E-2</v>
      </c>
      <c r="O27" s="109">
        <f t="shared" si="14"/>
        <v>-9.8749945618423499E-2</v>
      </c>
      <c r="P27" s="109">
        <f t="shared" si="14"/>
        <v>-5.2089606281409122E-2</v>
      </c>
      <c r="Q27" s="109">
        <f t="shared" si="14"/>
        <v>-0.10836531224589309</v>
      </c>
      <c r="R27" s="109">
        <f t="shared" si="14"/>
        <v>-1.8290167003874598E-2</v>
      </c>
      <c r="S27" s="109">
        <f t="shared" si="14"/>
        <v>0.15196352838326896</v>
      </c>
      <c r="T27" s="109">
        <f t="shared" si="14"/>
        <v>0.14563356393542687</v>
      </c>
      <c r="U27" s="109">
        <f t="shared" si="14"/>
        <v>0.78480270367414762</v>
      </c>
      <c r="V27" s="109">
        <f t="shared" si="14"/>
        <v>0.81733105891396196</v>
      </c>
      <c r="W27" s="109">
        <f t="shared" si="14"/>
        <v>0.69232620274495316</v>
      </c>
      <c r="X27" s="109">
        <f t="shared" si="14"/>
        <v>0.73215546582112545</v>
      </c>
      <c r="Y27" s="109">
        <f t="shared" si="14"/>
        <v>9.5221754035991535E-2</v>
      </c>
      <c r="Z27" s="109">
        <f t="shared" si="14"/>
        <v>-2.144043909429753E-2</v>
      </c>
      <c r="AA27" s="109">
        <f t="shared" si="14"/>
        <v>-4.1422469441241207E-2</v>
      </c>
      <c r="AB27" s="109">
        <f t="shared" si="14"/>
        <v>-2.0993208676254906E-2</v>
      </c>
      <c r="AC27" s="109">
        <f t="shared" si="14"/>
        <v>-2.706790174260779E-2</v>
      </c>
      <c r="AD27" s="109">
        <f t="shared" si="14"/>
        <v>-1.7158931531080158E-2</v>
      </c>
      <c r="AE27" s="109">
        <f t="shared" si="14"/>
        <v>-3.1670079122983828E-2</v>
      </c>
      <c r="AF27" s="109">
        <f t="shared" si="14"/>
        <v>-5.5833118368654129E-2</v>
      </c>
      <c r="AG27" s="109">
        <f t="shared" si="14"/>
        <v>-4.7180859514314381E-2</v>
      </c>
      <c r="AH27" s="109">
        <f t="shared" si="14"/>
        <v>0.79997637154391754</v>
      </c>
      <c r="AI27" s="109">
        <f t="shared" si="14"/>
        <v>0.91294676470313507</v>
      </c>
      <c r="AJ27" s="109">
        <f t="shared" si="14"/>
        <v>0.75036462721836705</v>
      </c>
      <c r="AK27" s="109">
        <f t="shared" si="14"/>
        <v>0.7673334722466697</v>
      </c>
      <c r="AL27" s="109">
        <f t="shared" si="14"/>
        <v>-0.15149138034816603</v>
      </c>
      <c r="AM27" s="109">
        <f t="shared" si="14"/>
        <v>-0.21235924023711397</v>
      </c>
      <c r="AN27" s="109">
        <f t="shared" si="14"/>
        <v>-0.123737133273843</v>
      </c>
      <c r="AO27" s="109">
        <f t="shared" si="14"/>
        <v>1.5727537827995335E-2</v>
      </c>
      <c r="AP27" s="109">
        <f t="shared" si="14"/>
        <v>9.6059582343850383E-2</v>
      </c>
      <c r="AQ27" s="109">
        <f t="shared" si="14"/>
        <v>0.12925495266054568</v>
      </c>
      <c r="AR27" s="109">
        <f t="shared" si="14"/>
        <v>0.20917126082252641</v>
      </c>
      <c r="AS27" s="109">
        <f t="shared" si="14"/>
        <v>-0.38879786615398099</v>
      </c>
      <c r="AT27" s="109">
        <f t="shared" si="14"/>
        <v>1.1653333394246863</v>
      </c>
      <c r="AU27" s="109">
        <f t="shared" si="14"/>
        <v>1.143446116032558</v>
      </c>
      <c r="AV27" s="109">
        <f t="shared" si="14"/>
        <v>1.1562022570864603</v>
      </c>
      <c r="AW27" s="109">
        <f t="shared" si="14"/>
        <v>2.5562085088625572</v>
      </c>
      <c r="AX27" s="109">
        <f t="shared" si="14"/>
        <v>-0.10813624886639073</v>
      </c>
      <c r="AY27" s="109">
        <f t="shared" si="14"/>
        <v>6.3954907703636446E-3</v>
      </c>
      <c r="AZ27" s="109">
        <f t="shared" si="14"/>
        <v>-5.0107702440319139E-2</v>
      </c>
      <c r="BA27" s="109">
        <f t="shared" si="14"/>
        <v>1.352577938326973E-2</v>
      </c>
      <c r="BB27" s="109">
        <f t="shared" si="14"/>
        <v>0.3372410186943629</v>
      </c>
      <c r="BC27" s="109">
        <f t="shared" si="14"/>
        <v>0.29602878306320241</v>
      </c>
      <c r="BD27" s="109">
        <f t="shared" si="14"/>
        <v>0.37602737514010104</v>
      </c>
      <c r="BE27" s="109">
        <f t="shared" si="14"/>
        <v>0.58735263820019468</v>
      </c>
      <c r="BF27" s="109">
        <f t="shared" si="14"/>
        <v>0.51125313374103831</v>
      </c>
      <c r="BG27" s="109">
        <f t="shared" si="14"/>
        <v>0.53391656519022257</v>
      </c>
      <c r="BH27" s="109">
        <f t="shared" si="14"/>
        <v>0.19929988064657886</v>
      </c>
      <c r="BI27" s="109">
        <f t="shared" si="14"/>
        <v>5.35865038160118E-2</v>
      </c>
      <c r="BJ27" s="109">
        <f t="shared" si="14"/>
        <v>12.680357035886976</v>
      </c>
      <c r="BK27" s="109">
        <f t="shared" si="14"/>
        <v>11.656034302152685</v>
      </c>
      <c r="BL27" s="109">
        <f t="shared" si="14"/>
        <v>14.072118995330412</v>
      </c>
      <c r="BM27" s="109">
        <f t="shared" si="14"/>
        <v>12.941822552781113</v>
      </c>
      <c r="BN27" s="109">
        <f t="shared" si="14"/>
        <v>-0.10249657975615055</v>
      </c>
      <c r="BO27" s="109">
        <f t="shared" si="14"/>
        <v>-0.12308084276288028</v>
      </c>
      <c r="BP27" s="109">
        <f t="shared" si="14"/>
        <v>-0.24561484514482815</v>
      </c>
      <c r="BQ27" s="109">
        <f t="shared" si="14"/>
        <v>-0.52223928959262433</v>
      </c>
      <c r="BR27" s="109">
        <f t="shared" ref="BR27:CL27" si="15">(BR3-BV3)/BV3</f>
        <v>-0.52022311767651475</v>
      </c>
      <c r="BS27" s="109">
        <f t="shared" si="15"/>
        <v>0.82497987428571429</v>
      </c>
      <c r="BT27" s="109">
        <f t="shared" si="15"/>
        <v>7.9099197840000004</v>
      </c>
      <c r="BU27" s="109">
        <f t="shared" si="15"/>
        <v>13.06878186</v>
      </c>
      <c r="BV27" s="109">
        <f t="shared" si="15"/>
        <v>13.014035087719298</v>
      </c>
      <c r="BW27" s="109">
        <f t="shared" si="15"/>
        <v>2.6842105263157894</v>
      </c>
      <c r="BX27" s="109">
        <f t="shared" si="15"/>
        <v>-0.12280701754385964</v>
      </c>
      <c r="BY27" s="109">
        <f t="shared" si="15"/>
        <v>-0.12280701754385964</v>
      </c>
      <c r="BZ27" s="109">
        <f t="shared" si="15"/>
        <v>-8.5103863343151884E-2</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4.5176697399374591E-2</v>
      </c>
      <c r="F28" s="109">
        <f t="shared" ref="F28:BQ28" si="16">F3/F9</f>
        <v>4.4857007185193781E-2</v>
      </c>
      <c r="G28" s="109">
        <f t="shared" si="16"/>
        <v>4.484739700278817E-2</v>
      </c>
      <c r="H28" s="109">
        <f t="shared" si="16"/>
        <v>4.7748388129326615E-2</v>
      </c>
      <c r="I28" s="109">
        <f t="shared" si="16"/>
        <v>4.8208111695553189E-2</v>
      </c>
      <c r="J28" s="109">
        <f t="shared" si="16"/>
        <v>4.0646416400015095E-2</v>
      </c>
      <c r="K28" s="109">
        <f t="shared" si="16"/>
        <v>3.5312344987502568E-2</v>
      </c>
      <c r="L28" s="109">
        <f t="shared" si="16"/>
        <v>2.8985129217838249E-2</v>
      </c>
      <c r="M28" s="109">
        <f t="shared" si="16"/>
        <v>1.5734140481369084E-2</v>
      </c>
      <c r="N28" s="109">
        <f t="shared" si="16"/>
        <v>1.5168127064498778E-2</v>
      </c>
      <c r="O28" s="109">
        <f t="shared" si="16"/>
        <v>1.5591520266631916E-2</v>
      </c>
      <c r="P28" s="109">
        <f t="shared" si="16"/>
        <v>1.6930958546980932E-2</v>
      </c>
      <c r="Q28" s="109">
        <f t="shared" si="16"/>
        <v>1.5564859690946743E-2</v>
      </c>
      <c r="R28" s="109">
        <f t="shared" si="16"/>
        <v>1.645979730996884E-2</v>
      </c>
      <c r="S28" s="109">
        <f t="shared" si="16"/>
        <v>1.8126724650419635E-2</v>
      </c>
      <c r="T28" s="109">
        <f t="shared" si="16"/>
        <v>1.8844256507502925E-2</v>
      </c>
      <c r="U28" s="109">
        <f t="shared" si="16"/>
        <v>1.8999983516247262E-2</v>
      </c>
      <c r="V28" s="109">
        <f t="shared" si="16"/>
        <v>1.8686799207847576E-2</v>
      </c>
      <c r="W28" s="109">
        <f t="shared" si="16"/>
        <v>1.7351383315505585E-2</v>
      </c>
      <c r="X28" s="109">
        <f t="shared" si="16"/>
        <v>1.8449273483644193E-2</v>
      </c>
      <c r="Y28" s="109">
        <f t="shared" si="16"/>
        <v>1.1834685318374654E-2</v>
      </c>
      <c r="Z28" s="109">
        <f t="shared" si="16"/>
        <v>1.1432680505431838E-2</v>
      </c>
      <c r="AA28" s="109">
        <f t="shared" si="16"/>
        <v>1.1699470505598979E-2</v>
      </c>
      <c r="AB28" s="109">
        <f t="shared" si="16"/>
        <v>1.2596598386353436E-2</v>
      </c>
      <c r="AC28" s="109">
        <f t="shared" si="16"/>
        <v>1.2258802845610133E-2</v>
      </c>
      <c r="AD28" s="109">
        <f t="shared" si="16"/>
        <v>1.4442626407351068E-2</v>
      </c>
      <c r="AE28" s="109">
        <f t="shared" si="16"/>
        <v>1.4645780310929437E-2</v>
      </c>
      <c r="AF28" s="109">
        <f t="shared" si="16"/>
        <v>1.5137731727665275E-2</v>
      </c>
      <c r="AG28" s="109">
        <f t="shared" si="16"/>
        <v>1.5780713528766789E-2</v>
      </c>
      <c r="AH28" s="109">
        <f t="shared" si="16"/>
        <v>1.7112939432318602E-2</v>
      </c>
      <c r="AI28" s="109">
        <f t="shared" si="16"/>
        <v>1.7902722031840332E-2</v>
      </c>
      <c r="AJ28" s="109">
        <f t="shared" si="16"/>
        <v>1.8950310429575418E-2</v>
      </c>
      <c r="AK28" s="109">
        <f t="shared" si="16"/>
        <v>1.8783746227009183E-2</v>
      </c>
      <c r="AL28" s="109">
        <f t="shared" si="16"/>
        <v>5.0317021078701195E-2</v>
      </c>
      <c r="AM28" s="109">
        <f t="shared" si="16"/>
        <v>4.8460554024588362E-2</v>
      </c>
      <c r="AN28" s="109">
        <f t="shared" si="16"/>
        <v>5.2960444474700788E-2</v>
      </c>
      <c r="AO28" s="109">
        <f t="shared" si="16"/>
        <v>5.1295957563344423E-2</v>
      </c>
      <c r="AP28" s="109">
        <f t="shared" si="16"/>
        <v>5.9335070778515998E-2</v>
      </c>
      <c r="AQ28" s="109">
        <f t="shared" si="16"/>
        <v>6.157587053992139E-2</v>
      </c>
      <c r="AR28" s="109">
        <f t="shared" si="16"/>
        <v>6.1889024125153243E-2</v>
      </c>
      <c r="AS28" s="109">
        <f t="shared" si="16"/>
        <v>5.1986100380589345E-2</v>
      </c>
      <c r="AT28" s="109">
        <f t="shared" si="16"/>
        <v>5.7055849445323353E-2</v>
      </c>
      <c r="AU28" s="109">
        <f t="shared" si="16"/>
        <v>6.0235666663327588E-2</v>
      </c>
      <c r="AV28" s="109">
        <f t="shared" si="16"/>
        <v>5.5322501995716485E-2</v>
      </c>
      <c r="AW28" s="109">
        <f t="shared" si="16"/>
        <v>9.080542267685586E-2</v>
      </c>
      <c r="AX28" s="109">
        <f t="shared" si="16"/>
        <v>4.1542301944735391E-2</v>
      </c>
      <c r="AY28" s="109">
        <f t="shared" si="16"/>
        <v>4.9168975753998818E-2</v>
      </c>
      <c r="AZ28" s="109">
        <f t="shared" si="16"/>
        <v>4.6684671645873047E-2</v>
      </c>
      <c r="BA28" s="109">
        <f t="shared" si="16"/>
        <v>4.6905140191638148E-2</v>
      </c>
      <c r="BB28" s="109">
        <f t="shared" si="16"/>
        <v>5.4080658237793622E-2</v>
      </c>
      <c r="BC28" s="109">
        <f t="shared" si="16"/>
        <v>4.9122979112673069E-2</v>
      </c>
      <c r="BD28" s="109">
        <f t="shared" si="16"/>
        <v>4.7683815731759706E-2</v>
      </c>
      <c r="BE28" s="109">
        <f t="shared" si="16"/>
        <v>4.6325909328919924E-2</v>
      </c>
      <c r="BF28" s="109">
        <f t="shared" si="16"/>
        <v>4.2797181365599277E-2</v>
      </c>
      <c r="BG28" s="109">
        <f t="shared" si="16"/>
        <v>3.858485522606709E-2</v>
      </c>
      <c r="BH28" s="109">
        <f t="shared" si="16"/>
        <v>6.4650079981288036E-2</v>
      </c>
      <c r="BI28" s="109">
        <f t="shared" si="16"/>
        <v>5.7661308970722205E-2</v>
      </c>
      <c r="BJ28" s="109">
        <f t="shared" si="16"/>
        <v>5.5880476431457729E-2</v>
      </c>
      <c r="BK28" s="109">
        <f t="shared" si="16"/>
        <v>5.1151319650330783E-2</v>
      </c>
      <c r="BL28" s="109">
        <f t="shared" si="16"/>
        <v>5.7905648364984026E-2</v>
      </c>
      <c r="BM28" s="109">
        <f t="shared" si="16"/>
        <v>5.448894545197213E-2</v>
      </c>
      <c r="BN28" s="109">
        <f t="shared" si="16"/>
        <v>2.2288373355947393E-2</v>
      </c>
      <c r="BO28" s="109">
        <f t="shared" si="16"/>
        <v>2.1156952888291645E-2</v>
      </c>
      <c r="BP28" s="109">
        <f t="shared" si="16"/>
        <v>2.0393082598536411E-2</v>
      </c>
      <c r="BQ28" s="109">
        <f t="shared" si="16"/>
        <v>1.9535341462716464E-2</v>
      </c>
      <c r="BR28" s="109">
        <f t="shared" ref="BR28:CK28" si="17">BR3/BR9</f>
        <v>1.9956250119975164E-2</v>
      </c>
      <c r="BS28" s="109">
        <f t="shared" si="17"/>
        <v>1.9650639828915368E-2</v>
      </c>
      <c r="BT28" s="109">
        <f t="shared" si="17"/>
        <v>2.1356036007703173E-2</v>
      </c>
      <c r="BU28" s="109">
        <f t="shared" si="17"/>
        <v>3.1419112236032894E-2</v>
      </c>
      <c r="BV28" s="109">
        <f t="shared" si="17"/>
        <v>3.7714793955179828E-2</v>
      </c>
      <c r="BW28" s="109">
        <f t="shared" si="17"/>
        <v>9.1709269396356083E-3</v>
      </c>
      <c r="BX28" s="109">
        <f t="shared" si="17"/>
        <v>3.8870953018072391E-3</v>
      </c>
      <c r="BY28" s="109">
        <f t="shared" si="17"/>
        <v>4.7090138195640657E-3</v>
      </c>
      <c r="BZ28" s="109">
        <f t="shared" si="17"/>
        <v>7.3653191486489477E-3</v>
      </c>
      <c r="CA28" s="109">
        <f t="shared" si="17"/>
        <v>7.1406098685524652E-3</v>
      </c>
      <c r="CB28" s="109">
        <f t="shared" si="17"/>
        <v>7.9314475137467789E-3</v>
      </c>
      <c r="CC28" s="109">
        <f t="shared" si="17"/>
        <v>1.0173633120530609E-2</v>
      </c>
      <c r="CD28" s="109">
        <f t="shared" si="17"/>
        <v>2.4838999189744936E-2</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-0.43352144614651045</v>
      </c>
      <c r="F29" s="108">
        <f t="shared" ref="F29:BQ29" si="18">(F4-J4)/J4</f>
        <v>-0.34875634692476282</v>
      </c>
      <c r="G29" s="108">
        <f t="shared" si="18"/>
        <v>-0.16192097785327331</v>
      </c>
      <c r="H29" s="108">
        <f t="shared" si="18"/>
        <v>0.14911261244851501</v>
      </c>
      <c r="I29" s="108">
        <f t="shared" si="18"/>
        <v>0.22736155257593504</v>
      </c>
      <c r="J29" s="108">
        <f t="shared" si="18"/>
        <v>1.681114103197773</v>
      </c>
      <c r="K29" s="108">
        <f t="shared" si="18"/>
        <v>0.98837067498243492</v>
      </c>
      <c r="L29" s="108">
        <f t="shared" si="18"/>
        <v>0.82497668902082022</v>
      </c>
      <c r="M29" s="108">
        <f t="shared" si="18"/>
        <v>0.74089626566352196</v>
      </c>
      <c r="N29" s="108">
        <f t="shared" si="18"/>
        <v>-0.13850669960593978</v>
      </c>
      <c r="O29" s="108">
        <f t="shared" si="18"/>
        <v>1.0466663813610309</v>
      </c>
      <c r="P29" s="108">
        <f t="shared" si="18"/>
        <v>1.7267175695792374</v>
      </c>
      <c r="Q29" s="108">
        <f t="shared" si="18"/>
        <v>8.7617428114689935E-2</v>
      </c>
      <c r="R29" s="108">
        <f t="shared" si="18"/>
        <v>0.14633109236043498</v>
      </c>
      <c r="S29" s="108">
        <f t="shared" si="18"/>
        <v>-0.44525329254503665</v>
      </c>
      <c r="T29" s="108">
        <f t="shared" si="18"/>
        <v>-0.69300010885580732</v>
      </c>
      <c r="U29" s="108">
        <f t="shared" si="18"/>
        <v>5.5091743357305635E-2</v>
      </c>
      <c r="V29" s="108">
        <f t="shared" si="18"/>
        <v>-2.6697356455388324</v>
      </c>
      <c r="W29" s="108">
        <f t="shared" si="18"/>
        <v>-2.7659470054055917</v>
      </c>
      <c r="X29" s="108">
        <f t="shared" si="18"/>
        <v>-4.2555729062770205</v>
      </c>
      <c r="Y29" s="108">
        <f t="shared" si="18"/>
        <v>-5.3270548628128633</v>
      </c>
      <c r="Z29" s="108">
        <f t="shared" si="18"/>
        <v>-3.5878364767920128</v>
      </c>
      <c r="AA29" s="108">
        <f t="shared" si="18"/>
        <v>9.1361913009312214</v>
      </c>
      <c r="AB29" s="108">
        <f t="shared" si="18"/>
        <v>-3.9799967708995543</v>
      </c>
      <c r="AC29" s="108">
        <f t="shared" si="18"/>
        <v>-2.8334772319814658</v>
      </c>
      <c r="AD29" s="108">
        <f t="shared" si="18"/>
        <v>-1.6016119366662047</v>
      </c>
      <c r="AE29" s="108">
        <f t="shared" si="18"/>
        <v>-0.8267428106961463</v>
      </c>
      <c r="AF29" s="108">
        <f t="shared" si="18"/>
        <v>-3.6610579199325546</v>
      </c>
      <c r="AG29" s="108">
        <f t="shared" si="18"/>
        <v>24.509964963186537</v>
      </c>
      <c r="AH29" s="108">
        <f t="shared" si="18"/>
        <v>0.7631207942022582</v>
      </c>
      <c r="AI29" s="108">
        <f t="shared" si="18"/>
        <v>0.20830448480373809</v>
      </c>
      <c r="AJ29" s="108">
        <f t="shared" si="18"/>
        <v>-0.62592019795847975</v>
      </c>
      <c r="AK29" s="108">
        <f t="shared" si="18"/>
        <v>-1.0301150932501788</v>
      </c>
      <c r="AL29" s="108">
        <f t="shared" si="18"/>
        <v>1.4291231302515939</v>
      </c>
      <c r="AM29" s="108">
        <f t="shared" si="18"/>
        <v>2.0814017799997737</v>
      </c>
      <c r="AN29" s="108">
        <f t="shared" si="18"/>
        <v>0.95759792595433324</v>
      </c>
      <c r="AO29" s="108">
        <f t="shared" si="18"/>
        <v>2.8047920411115146</v>
      </c>
      <c r="AP29" s="108">
        <f t="shared" si="18"/>
        <v>7.7584626705983863</v>
      </c>
      <c r="AQ29" s="108">
        <f t="shared" si="18"/>
        <v>-2.7317740772426649</v>
      </c>
      <c r="AR29" s="108">
        <f t="shared" si="18"/>
        <v>393.81583242372835</v>
      </c>
      <c r="AS29" s="108">
        <f t="shared" si="18"/>
        <v>-1.697340518751147</v>
      </c>
      <c r="AT29" s="108">
        <f t="shared" si="18"/>
        <v>-0.96500178785514013</v>
      </c>
      <c r="AU29" s="108">
        <f t="shared" si="18"/>
        <v>24.991333987297203</v>
      </c>
      <c r="AV29" s="108">
        <f t="shared" si="18"/>
        <v>-1.0092663211299675</v>
      </c>
      <c r="AW29" s="108">
        <f t="shared" si="18"/>
        <v>-9.1432746200999286</v>
      </c>
      <c r="AX29" s="108">
        <f t="shared" si="18"/>
        <v>6.0315239054089904</v>
      </c>
      <c r="AY29" s="108">
        <f t="shared" si="18"/>
        <v>-3.967760137002025</v>
      </c>
      <c r="AZ29" s="108">
        <f t="shared" si="18"/>
        <v>-1.3271937332610289</v>
      </c>
      <c r="BA29" s="108">
        <f t="shared" si="18"/>
        <v>1.571976767282004</v>
      </c>
      <c r="BB29" s="108">
        <f t="shared" si="18"/>
        <v>6.5126932379686995</v>
      </c>
      <c r="BC29" s="108">
        <f t="shared" si="18"/>
        <v>-0.99149371099590611</v>
      </c>
      <c r="BD29" s="108">
        <f t="shared" si="18"/>
        <v>-0.5146840893602741</v>
      </c>
      <c r="BE29" s="108">
        <f t="shared" si="18"/>
        <v>-0.91762646776647216</v>
      </c>
      <c r="BF29" s="108">
        <f t="shared" si="18"/>
        <v>-0.84883453967115274</v>
      </c>
      <c r="BG29" s="108">
        <f t="shared" si="18"/>
        <v>1.8122472712536271</v>
      </c>
      <c r="BH29" s="108">
        <f t="shared" si="18"/>
        <v>0.93852266488536107</v>
      </c>
      <c r="BI29" s="108">
        <f t="shared" si="18"/>
        <v>-0.15463072217223905</v>
      </c>
      <c r="BJ29" s="108">
        <f t="shared" si="18"/>
        <v>2.8632547141651418E-2</v>
      </c>
      <c r="BK29" s="108">
        <f t="shared" si="18"/>
        <v>-0.30386737825105314</v>
      </c>
      <c r="BL29" s="108">
        <f t="shared" si="18"/>
        <v>0.74265829244737225</v>
      </c>
      <c r="BM29" s="108">
        <f t="shared" si="18"/>
        <v>0.42775045615644741</v>
      </c>
      <c r="BN29" s="108">
        <f t="shared" si="18"/>
        <v>-0.15158721465998226</v>
      </c>
      <c r="BO29" s="108">
        <f t="shared" si="18"/>
        <v>0.20975190205114946</v>
      </c>
      <c r="BP29" s="108">
        <f t="shared" si="18"/>
        <v>2.2234526879971819</v>
      </c>
      <c r="BQ29" s="108">
        <f t="shared" si="18"/>
        <v>0.21276108792648979</v>
      </c>
      <c r="BR29" s="108">
        <f t="shared" ref="BR29:CK29" si="19">(BR4-BV4)/BV4</f>
        <v>0.42195423470120852</v>
      </c>
      <c r="BS29" s="108">
        <f t="shared" si="19"/>
        <v>-0.32522927768735788</v>
      </c>
      <c r="BT29" s="108">
        <f t="shared" si="19"/>
        <v>-0.55549975974894727</v>
      </c>
      <c r="BU29" s="108">
        <f t="shared" si="19"/>
        <v>8.122884524904828</v>
      </c>
      <c r="BV29" s="108" t="e">
        <f t="shared" si="19"/>
        <v>#DIV/0!</v>
      </c>
      <c r="BW29" s="108">
        <f t="shared" si="19"/>
        <v>-3.8454351012824151</v>
      </c>
      <c r="BX29" s="108" t="e">
        <f t="shared" si="19"/>
        <v>#DIV/0!</v>
      </c>
      <c r="BY29" s="108">
        <f t="shared" si="19"/>
        <v>-1.5254421780436864</v>
      </c>
      <c r="BZ29" s="108">
        <f t="shared" si="19"/>
        <v>-1</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0.13180176409847968</v>
      </c>
      <c r="F30" s="108">
        <f t="shared" ref="F30:BQ30" si="20">(F5-J5)/J5</f>
        <v>0.15670631516036243</v>
      </c>
      <c r="G30" s="108">
        <f t="shared" si="20"/>
        <v>0.22805167444245533</v>
      </c>
      <c r="H30" s="108">
        <f t="shared" si="20"/>
        <v>0.18226132631322603</v>
      </c>
      <c r="I30" s="108">
        <f t="shared" si="20"/>
        <v>0.30079968382511729</v>
      </c>
      <c r="J30" s="108">
        <f t="shared" si="20"/>
        <v>-0.189146303600053</v>
      </c>
      <c r="K30" s="108">
        <f t="shared" si="20"/>
        <v>-0.19808514421690804</v>
      </c>
      <c r="L30" s="108">
        <f t="shared" si="20"/>
        <v>7.9760046923740766E-2</v>
      </c>
      <c r="M30" s="108">
        <f t="shared" si="20"/>
        <v>-8.0307368899923001E-2</v>
      </c>
      <c r="N30" s="108">
        <f t="shared" si="20"/>
        <v>9.3264771975255539E-2</v>
      </c>
      <c r="O30" s="108">
        <f t="shared" si="20"/>
        <v>0.23062855481863778</v>
      </c>
      <c r="P30" s="108">
        <f t="shared" si="20"/>
        <v>-0.10592007532831256</v>
      </c>
      <c r="Q30" s="108">
        <f t="shared" si="20"/>
        <v>-7.7103912604084543E-2</v>
      </c>
      <c r="R30" s="108">
        <f t="shared" si="20"/>
        <v>-1.2848955599158012E-2</v>
      </c>
      <c r="S30" s="108">
        <f t="shared" si="20"/>
        <v>-0.11115016232269277</v>
      </c>
      <c r="T30" s="108">
        <f t="shared" si="20"/>
        <v>-6.5508590560048874E-2</v>
      </c>
      <c r="U30" s="108">
        <f t="shared" si="20"/>
        <v>-0.19152610315028284</v>
      </c>
      <c r="V30" s="108">
        <f t="shared" si="20"/>
        <v>-0.1074340318510929</v>
      </c>
      <c r="W30" s="108">
        <f t="shared" si="20"/>
        <v>-0.16499928617644974</v>
      </c>
      <c r="X30" s="108">
        <f t="shared" si="20"/>
        <v>-0.10374386814526863</v>
      </c>
      <c r="Y30" s="108">
        <f t="shared" si="20"/>
        <v>-0.15985411485161488</v>
      </c>
      <c r="Z30" s="108">
        <f t="shared" si="20"/>
        <v>8.5590232037742561E-2</v>
      </c>
      <c r="AA30" s="108">
        <f t="shared" si="20"/>
        <v>0.13510347284127477</v>
      </c>
      <c r="AB30" s="108">
        <f t="shared" si="20"/>
        <v>0.15260382643951609</v>
      </c>
      <c r="AC30" s="108">
        <f t="shared" si="20"/>
        <v>0.32869324937133365</v>
      </c>
      <c r="AD30" s="108">
        <f t="shared" si="20"/>
        <v>8.4731457011589906E-2</v>
      </c>
      <c r="AE30" s="108">
        <f t="shared" si="20"/>
        <v>0.16809612121481932</v>
      </c>
      <c r="AF30" s="108">
        <f t="shared" si="20"/>
        <v>0.22992910456325488</v>
      </c>
      <c r="AG30" s="108">
        <f t="shared" si="20"/>
        <v>0.18507014953000972</v>
      </c>
      <c r="AH30" s="108">
        <f t="shared" si="20"/>
        <v>2.6598105533244731</v>
      </c>
      <c r="AI30" s="108">
        <f t="shared" si="20"/>
        <v>2.1200898545874711</v>
      </c>
      <c r="AJ30" s="108">
        <f t="shared" si="20"/>
        <v>2.1858126517008114</v>
      </c>
      <c r="AK30" s="108">
        <f t="shared" si="20"/>
        <v>1.9110712454360506</v>
      </c>
      <c r="AL30" s="108">
        <f t="shared" si="20"/>
        <v>9.1844504741770468E-3</v>
      </c>
      <c r="AM30" s="108">
        <f t="shared" si="20"/>
        <v>8.3722426025592128E-2</v>
      </c>
      <c r="AN30" s="108">
        <f t="shared" si="20"/>
        <v>6.1682208578466513E-2</v>
      </c>
      <c r="AO30" s="108">
        <f t="shared" si="20"/>
        <v>0.24599830468102671</v>
      </c>
      <c r="AP30" s="108">
        <f t="shared" si="20"/>
        <v>0.37798090015630648</v>
      </c>
      <c r="AQ30" s="108">
        <f t="shared" si="20"/>
        <v>0.2803117414993449</v>
      </c>
      <c r="AR30" s="108">
        <f t="shared" si="20"/>
        <v>5.2259149376891488E-2</v>
      </c>
      <c r="AS30" s="108">
        <f t="shared" si="20"/>
        <v>0.18663019372210682</v>
      </c>
      <c r="AT30" s="108">
        <f t="shared" si="20"/>
        <v>-0.33347669692052179</v>
      </c>
      <c r="AU30" s="108">
        <f t="shared" si="20"/>
        <v>1.133229110838136</v>
      </c>
      <c r="AV30" s="108">
        <f t="shared" si="20"/>
        <v>1.4387519159799229</v>
      </c>
      <c r="AW30" s="108">
        <f t="shared" si="20"/>
        <v>1.3507114149769353</v>
      </c>
      <c r="AX30" s="108">
        <f t="shared" si="20"/>
        <v>1.9686432191387224</v>
      </c>
      <c r="AY30" s="108">
        <f t="shared" si="20"/>
        <v>8.8354624118623507E-2</v>
      </c>
      <c r="AZ30" s="108">
        <f t="shared" si="20"/>
        <v>-0.15209225491191106</v>
      </c>
      <c r="BA30" s="108">
        <f t="shared" si="20"/>
        <v>-2.7592976710629001E-3</v>
      </c>
      <c r="BB30" s="108">
        <f t="shared" si="20"/>
        <v>7.8190766478845236E-2</v>
      </c>
      <c r="BC30" s="108">
        <f t="shared" si="20"/>
        <v>-0.38930700132585555</v>
      </c>
      <c r="BD30" s="108">
        <f t="shared" si="20"/>
        <v>6.1943617136224439E-3</v>
      </c>
      <c r="BE30" s="108">
        <f t="shared" si="20"/>
        <v>0.11530599104284418</v>
      </c>
      <c r="BF30" s="108">
        <f t="shared" si="20"/>
        <v>0.4866079868846333</v>
      </c>
      <c r="BG30" s="108">
        <f t="shared" si="20"/>
        <v>1.5438147427607503</v>
      </c>
      <c r="BH30" s="108">
        <f t="shared" si="20"/>
        <v>0.18483819569028118</v>
      </c>
      <c r="BI30" s="108">
        <f t="shared" si="20"/>
        <v>-0.16966725168966657</v>
      </c>
      <c r="BJ30" s="108">
        <f t="shared" si="20"/>
        <v>1.5378607822698902</v>
      </c>
      <c r="BK30" s="108">
        <f t="shared" si="20"/>
        <v>0.63322213370790859</v>
      </c>
      <c r="BL30" s="108">
        <f t="shared" si="20"/>
        <v>2.156563654886638</v>
      </c>
      <c r="BM30" s="108">
        <f t="shared" si="20"/>
        <v>1.9548635003565917</v>
      </c>
      <c r="BN30" s="108">
        <f t="shared" si="20"/>
        <v>-0.61263025566929397</v>
      </c>
      <c r="BO30" s="108">
        <f t="shared" si="20"/>
        <v>3.048891189781007E-2</v>
      </c>
      <c r="BP30" s="108">
        <f t="shared" si="20"/>
        <v>0.3837884827883305</v>
      </c>
      <c r="BQ30" s="108">
        <f t="shared" si="20"/>
        <v>-0.18270846528077028</v>
      </c>
      <c r="BR30" s="108">
        <f t="shared" ref="BR30:CK30" si="21">(BR5-BV5)/BV5</f>
        <v>0.62328861405394775</v>
      </c>
      <c r="BS30" s="108">
        <f t="shared" si="21"/>
        <v>-0.1423399837745882</v>
      </c>
      <c r="BT30" s="108">
        <f t="shared" si="21"/>
        <v>-0.35346465741684546</v>
      </c>
      <c r="BU30" s="108">
        <f t="shared" si="21"/>
        <v>2.6347247927033575</v>
      </c>
      <c r="BV30" s="108" t="e">
        <f t="shared" si="21"/>
        <v>#DIV/0!</v>
      </c>
      <c r="BW30" s="108">
        <f t="shared" si="21"/>
        <v>14.213913472728489</v>
      </c>
      <c r="BX30" s="108" t="e">
        <f t="shared" si="21"/>
        <v>#DIV/0!</v>
      </c>
      <c r="BY30" s="108">
        <f t="shared" si="21"/>
        <v>8.0441935068397612</v>
      </c>
      <c r="BZ30" s="108">
        <f t="shared" si="21"/>
        <v>-1</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-0.23968371931829466</v>
      </c>
      <c r="F31" s="108">
        <f t="shared" ref="F31:BQ31" si="22">(F6-J6)/J6</f>
        <v>-0.15635218824149286</v>
      </c>
      <c r="G31" s="108">
        <f t="shared" si="22"/>
        <v>8.2539160312080188E-3</v>
      </c>
      <c r="H31" s="108">
        <f t="shared" si="22"/>
        <v>0.1638551507247645</v>
      </c>
      <c r="I31" s="108">
        <f t="shared" si="22"/>
        <v>0.25158938477063431</v>
      </c>
      <c r="J31" s="108">
        <f t="shared" si="22"/>
        <v>0.42765798832358437</v>
      </c>
      <c r="K31" s="108">
        <f t="shared" si="22"/>
        <v>0.20827219737626809</v>
      </c>
      <c r="L31" s="108">
        <f t="shared" si="22"/>
        <v>0.39636815937618869</v>
      </c>
      <c r="M31" s="108">
        <f t="shared" si="22"/>
        <v>0.3447591014068947</v>
      </c>
      <c r="N31" s="108">
        <f t="shared" si="22"/>
        <v>4.1684166686945306E-3</v>
      </c>
      <c r="O31" s="108">
        <f t="shared" si="22"/>
        <v>0.42526044831059501</v>
      </c>
      <c r="P31" s="108">
        <f t="shared" si="22"/>
        <v>0.25141689901026759</v>
      </c>
      <c r="Q31" s="108">
        <f t="shared" si="22"/>
        <v>1.3992117061140071E-3</v>
      </c>
      <c r="R31" s="108">
        <f t="shared" si="22"/>
        <v>4.2816587430582372E-2</v>
      </c>
      <c r="S31" s="108">
        <f t="shared" si="22"/>
        <v>-0.22279195824821788</v>
      </c>
      <c r="T31" s="108">
        <f t="shared" si="22"/>
        <v>-0.33180890286885933</v>
      </c>
      <c r="U31" s="108">
        <f t="shared" si="22"/>
        <v>-9.0174806821668466E-2</v>
      </c>
      <c r="V31" s="108">
        <f t="shared" si="22"/>
        <v>0.92627668338990032</v>
      </c>
      <c r="W31" s="108">
        <f t="shared" si="22"/>
        <v>0.6441977197896851</v>
      </c>
      <c r="X31" s="108">
        <f t="shared" si="22"/>
        <v>0.95357478228721493</v>
      </c>
      <c r="Y31" s="108">
        <f t="shared" si="22"/>
        <v>0.64979821111215053</v>
      </c>
      <c r="Z31" s="108">
        <f t="shared" si="22"/>
        <v>-0.30971453173659547</v>
      </c>
      <c r="AA31" s="108">
        <f t="shared" si="22"/>
        <v>-0.11061271187203116</v>
      </c>
      <c r="AB31" s="108">
        <f t="shared" si="22"/>
        <v>-0.14821451204937744</v>
      </c>
      <c r="AC31" s="108">
        <f t="shared" si="22"/>
        <v>4.601576258986944E-2</v>
      </c>
      <c r="AD31" s="108">
        <f t="shared" si="22"/>
        <v>0.5532574426580712</v>
      </c>
      <c r="AE31" s="108">
        <f t="shared" si="22"/>
        <v>0.38522678046369313</v>
      </c>
      <c r="AF31" s="108">
        <f t="shared" si="22"/>
        <v>0.37643006785425248</v>
      </c>
      <c r="AG31" s="108">
        <f t="shared" si="22"/>
        <v>0.29549943941124379</v>
      </c>
      <c r="AH31" s="108">
        <f t="shared" si="22"/>
        <v>4.2199747197346289</v>
      </c>
      <c r="AI31" s="108">
        <f t="shared" si="22"/>
        <v>3.7658786701390423</v>
      </c>
      <c r="AJ31" s="108">
        <f t="shared" si="22"/>
        <v>3.4432697343163636</v>
      </c>
      <c r="AK31" s="108">
        <f t="shared" si="22"/>
        <v>4.2298649303902067</v>
      </c>
      <c r="AL31" s="108">
        <f t="shared" si="22"/>
        <v>-0.31850208227251253</v>
      </c>
      <c r="AM31" s="108">
        <f t="shared" si="22"/>
        <v>-0.30445923474899972</v>
      </c>
      <c r="AN31" s="108">
        <f t="shared" si="22"/>
        <v>-0.11869753349203603</v>
      </c>
      <c r="AO31" s="108">
        <f t="shared" si="22"/>
        <v>-0.18573119227968482</v>
      </c>
      <c r="AP31" s="108">
        <f t="shared" si="22"/>
        <v>0.15363667877116705</v>
      </c>
      <c r="AQ31" s="108">
        <f t="shared" si="22"/>
        <v>-4.3097835560766996E-2</v>
      </c>
      <c r="AR31" s="108">
        <f t="shared" si="22"/>
        <v>-0.12370085747835502</v>
      </c>
      <c r="AS31" s="108">
        <f t="shared" si="22"/>
        <v>-0.1849132034429663</v>
      </c>
      <c r="AT31" s="108">
        <f t="shared" si="22"/>
        <v>0.47623504592248128</v>
      </c>
      <c r="AU31" s="108">
        <f t="shared" si="22"/>
        <v>1.3664635795928814</v>
      </c>
      <c r="AV31" s="108">
        <f t="shared" si="22"/>
        <v>1.1812443180137586</v>
      </c>
      <c r="AW31" s="108">
        <f t="shared" si="22"/>
        <v>2.1516884924155462</v>
      </c>
      <c r="AX31" s="108">
        <f t="shared" si="22"/>
        <v>0.70529352131090994</v>
      </c>
      <c r="AY31" s="108">
        <f t="shared" si="22"/>
        <v>0.10309302501949401</v>
      </c>
      <c r="AZ31" s="108">
        <f t="shared" si="22"/>
        <v>0.36272675910200752</v>
      </c>
      <c r="BA31" s="108">
        <f t="shared" si="22"/>
        <v>-4.7282312683722925E-2</v>
      </c>
      <c r="BB31" s="108">
        <f t="shared" si="22"/>
        <v>-0.14856581924487411</v>
      </c>
      <c r="BC31" s="108">
        <f t="shared" si="22"/>
        <v>-0.17781056383124688</v>
      </c>
      <c r="BD31" s="108">
        <f t="shared" si="22"/>
        <v>0.89922937276180825</v>
      </c>
      <c r="BE31" s="108">
        <f t="shared" si="22"/>
        <v>0.72791505144064039</v>
      </c>
      <c r="BF31" s="108">
        <f t="shared" si="22"/>
        <v>1.1586575868119582</v>
      </c>
      <c r="BG31" s="108">
        <f t="shared" si="22"/>
        <v>1.4613024762435325</v>
      </c>
      <c r="BH31" s="108">
        <f t="shared" si="22"/>
        <v>-0.28905913071696854</v>
      </c>
      <c r="BI31" s="108">
        <f t="shared" si="22"/>
        <v>-0.17833502245845759</v>
      </c>
      <c r="BJ31" s="108">
        <f t="shared" si="22"/>
        <v>8.6999848906161112</v>
      </c>
      <c r="BK31" s="108">
        <f t="shared" si="22"/>
        <v>1.7860359919694464</v>
      </c>
      <c r="BL31" s="108">
        <f t="shared" si="22"/>
        <v>5.4440150868546677</v>
      </c>
      <c r="BM31" s="108">
        <f t="shared" si="22"/>
        <v>6.7062905135646265</v>
      </c>
      <c r="BN31" s="108">
        <f t="shared" si="22"/>
        <v>-0.89176051241282051</v>
      </c>
      <c r="BO31" s="108">
        <f t="shared" si="22"/>
        <v>-0.12839878225253104</v>
      </c>
      <c r="BP31" s="108">
        <f t="shared" si="22"/>
        <v>-0.40532225080935314</v>
      </c>
      <c r="BQ31" s="108">
        <f t="shared" si="22"/>
        <v>-0.5943137599298145</v>
      </c>
      <c r="BR31" s="108">
        <f t="shared" ref="BR31:CK31" si="23">(BR6-BV6)/BV6</f>
        <v>0.77548899903090052</v>
      </c>
      <c r="BS31" s="108">
        <f t="shared" si="23"/>
        <v>0.12884529136661391</v>
      </c>
      <c r="BT31" s="108">
        <f t="shared" si="23"/>
        <v>-0.19688651226473175</v>
      </c>
      <c r="BU31" s="108">
        <f t="shared" si="23"/>
        <v>1.2352034541446779</v>
      </c>
      <c r="BV31" s="108" t="e">
        <f t="shared" si="23"/>
        <v>#DIV/0!</v>
      </c>
      <c r="BW31" s="108">
        <f t="shared" si="23"/>
        <v>0.46134451563746504</v>
      </c>
      <c r="BX31" s="108" t="e">
        <f t="shared" si="23"/>
        <v>#DIV/0!</v>
      </c>
      <c r="BY31" s="108">
        <f t="shared" si="23"/>
        <v>0.60234967692675656</v>
      </c>
      <c r="BZ31" s="108">
        <f t="shared" si="23"/>
        <v>-1</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1.8771728824446665E-2</v>
      </c>
      <c r="F32" s="109">
        <f t="shared" ref="F32:BQ32" si="24">(F7-J7)/J7</f>
        <v>4.4403839163077399E-2</v>
      </c>
      <c r="G32" s="109">
        <f t="shared" si="24"/>
        <v>5.7663473704447722E-2</v>
      </c>
      <c r="H32" s="109">
        <f t="shared" si="24"/>
        <v>7.5036620546076155E-2</v>
      </c>
      <c r="I32" s="109">
        <f t="shared" si="24"/>
        <v>8.4769222006922607E-2</v>
      </c>
      <c r="J32" s="109">
        <f t="shared" si="24"/>
        <v>0.1190295822321165</v>
      </c>
      <c r="K32" s="109">
        <f t="shared" si="24"/>
        <v>0.11387121573997729</v>
      </c>
      <c r="L32" s="109">
        <f t="shared" si="24"/>
        <v>8.9768147922342154E-2</v>
      </c>
      <c r="M32" s="109">
        <f t="shared" si="24"/>
        <v>8.1536865803125858E-2</v>
      </c>
      <c r="N32" s="109">
        <f t="shared" si="24"/>
        <v>3.8476283089846644E-2</v>
      </c>
      <c r="O32" s="109">
        <f t="shared" si="24"/>
        <v>6.2091504286858834E-2</v>
      </c>
      <c r="P32" s="109">
        <f t="shared" si="24"/>
        <v>6.5827867970333728E-2</v>
      </c>
      <c r="Q32" s="109">
        <f t="shared" si="24"/>
        <v>6.7374772127002283E-2</v>
      </c>
      <c r="R32" s="109">
        <f t="shared" si="24"/>
        <v>7.961727119384597E-2</v>
      </c>
      <c r="S32" s="109">
        <f t="shared" si="24"/>
        <v>6.921376510494949E-2</v>
      </c>
      <c r="T32" s="109">
        <f t="shared" si="24"/>
        <v>9.3335323744676721E-2</v>
      </c>
      <c r="U32" s="109">
        <f t="shared" si="24"/>
        <v>0.12339410257581576</v>
      </c>
      <c r="V32" s="109">
        <f t="shared" si="24"/>
        <v>0.16355910131939203</v>
      </c>
      <c r="W32" s="109">
        <f t="shared" si="24"/>
        <v>0.21190886542891837</v>
      </c>
      <c r="X32" s="109">
        <f t="shared" si="24"/>
        <v>0.22768265260526746</v>
      </c>
      <c r="Y32" s="109">
        <f t="shared" si="24"/>
        <v>0.19183099020462066</v>
      </c>
      <c r="Z32" s="109">
        <f t="shared" si="24"/>
        <v>0.19389675433149697</v>
      </c>
      <c r="AA32" s="109">
        <f t="shared" si="24"/>
        <v>0.15618109534956201</v>
      </c>
      <c r="AB32" s="109">
        <f t="shared" si="24"/>
        <v>0.16168698987534552</v>
      </c>
      <c r="AC32" s="109">
        <f t="shared" si="24"/>
        <v>0.19290085946780922</v>
      </c>
      <c r="AD32" s="109">
        <f t="shared" si="24"/>
        <v>0.19184040760817969</v>
      </c>
      <c r="AE32" s="109">
        <f t="shared" si="24"/>
        <v>0.18698907432445491</v>
      </c>
      <c r="AF32" s="109">
        <f t="shared" si="24"/>
        <v>0.16486412235796699</v>
      </c>
      <c r="AG32" s="109">
        <f t="shared" si="24"/>
        <v>0.16118110559847151</v>
      </c>
      <c r="AH32" s="109">
        <f t="shared" si="24"/>
        <v>4.9914627286631381</v>
      </c>
      <c r="AI32" s="109">
        <f t="shared" si="24"/>
        <v>4.984409664598644</v>
      </c>
      <c r="AJ32" s="109">
        <f t="shared" si="24"/>
        <v>4.7221884688610398</v>
      </c>
      <c r="AK32" s="109">
        <f t="shared" si="24"/>
        <v>4.5384246992671331</v>
      </c>
      <c r="AL32" s="109">
        <f t="shared" si="24"/>
        <v>-5.1393033561768229E-3</v>
      </c>
      <c r="AM32" s="109">
        <f t="shared" si="24"/>
        <v>-2.8864154327969578E-2</v>
      </c>
      <c r="AN32" s="109">
        <f t="shared" si="24"/>
        <v>6.4177387105320491E-3</v>
      </c>
      <c r="AO32" s="109">
        <f t="shared" si="24"/>
        <v>1.2201870553190487E-2</v>
      </c>
      <c r="AP32" s="109">
        <f t="shared" si="24"/>
        <v>4.4081331414661466E-2</v>
      </c>
      <c r="AQ32" s="109">
        <f t="shared" si="24"/>
        <v>3.5934676124004347E-2</v>
      </c>
      <c r="AR32" s="109">
        <f t="shared" si="24"/>
        <v>2.2592381925339463E-2</v>
      </c>
      <c r="AS32" s="109">
        <f t="shared" si="24"/>
        <v>1.1877405102872824E-2</v>
      </c>
      <c r="AT32" s="109">
        <f t="shared" si="24"/>
        <v>0.66574703672010738</v>
      </c>
      <c r="AU32" s="109">
        <f t="shared" si="24"/>
        <v>0.71126131959539751</v>
      </c>
      <c r="AV32" s="109">
        <f t="shared" si="24"/>
        <v>0.75432261460399397</v>
      </c>
      <c r="AW32" s="109">
        <f t="shared" si="24"/>
        <v>0.77747981735894089</v>
      </c>
      <c r="AX32" s="109">
        <f t="shared" si="24"/>
        <v>6.686080477628456E-2</v>
      </c>
      <c r="AY32" s="109">
        <f t="shared" si="24"/>
        <v>2.9728499466766305E-2</v>
      </c>
      <c r="AZ32" s="109">
        <f t="shared" si="24"/>
        <v>4.328622303862481E-2</v>
      </c>
      <c r="BA32" s="109">
        <f t="shared" si="24"/>
        <v>2.3373250083603379E-2</v>
      </c>
      <c r="BB32" s="109">
        <f t="shared" si="24"/>
        <v>7.7590958649429914E-2</v>
      </c>
      <c r="BC32" s="109">
        <f t="shared" si="24"/>
        <v>5.4780918953931647E-2</v>
      </c>
      <c r="BD32" s="109">
        <f t="shared" si="24"/>
        <v>1.0294835364045518</v>
      </c>
      <c r="BE32" s="109">
        <f t="shared" si="24"/>
        <v>1.0601297929977023</v>
      </c>
      <c r="BF32" s="109">
        <f t="shared" si="24"/>
        <v>0.96618668793076645</v>
      </c>
      <c r="BG32" s="109">
        <f t="shared" si="24"/>
        <v>1.0410550132161978</v>
      </c>
      <c r="BH32" s="109">
        <f t="shared" si="24"/>
        <v>1.8442617053838161E-2</v>
      </c>
      <c r="BI32" s="109">
        <f t="shared" si="24"/>
        <v>1.3205465244120066E-2</v>
      </c>
      <c r="BJ32" s="109">
        <f t="shared" si="24"/>
        <v>5.1332696997654859</v>
      </c>
      <c r="BK32" s="109">
        <f t="shared" si="24"/>
        <v>4.8792208078773811</v>
      </c>
      <c r="BL32" s="109">
        <f t="shared" si="24"/>
        <v>4.7424217795094696</v>
      </c>
      <c r="BM32" s="109">
        <f t="shared" si="24"/>
        <v>4.6161937343100288</v>
      </c>
      <c r="BN32" s="109">
        <f t="shared" si="24"/>
        <v>-0.16264143378153123</v>
      </c>
      <c r="BO32" s="109">
        <f t="shared" si="24"/>
        <v>-8.5889995601033109E-2</v>
      </c>
      <c r="BP32" s="109">
        <f t="shared" si="24"/>
        <v>-0.24193772865877441</v>
      </c>
      <c r="BQ32" s="109">
        <f t="shared" si="24"/>
        <v>-0.25538155710968014</v>
      </c>
      <c r="BR32" s="109">
        <f t="shared" ref="BR32:CK32" si="25">(BR7-BV7)/BV7</f>
        <v>-0.12717219195021903</v>
      </c>
      <c r="BS32" s="109">
        <f t="shared" si="25"/>
        <v>-0.25053559061872266</v>
      </c>
      <c r="BT32" s="109">
        <f t="shared" si="25"/>
        <v>0.67159916103722195</v>
      </c>
      <c r="BU32" s="109">
        <f t="shared" si="25"/>
        <v>0.77273259268642902</v>
      </c>
      <c r="BV32" s="109">
        <f t="shared" si="25"/>
        <v>1.1185627943539755</v>
      </c>
      <c r="BW32" s="109">
        <f t="shared" si="25"/>
        <v>1.2799017546197737</v>
      </c>
      <c r="BX32" s="109">
        <f t="shared" si="25"/>
        <v>0.40195418127058807</v>
      </c>
      <c r="BY32" s="109">
        <f t="shared" si="25"/>
        <v>0.73244111411058355</v>
      </c>
      <c r="BZ32" s="109">
        <f t="shared" si="25"/>
        <v>4.784647301730109</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0.96518696200937193</v>
      </c>
      <c r="F33" s="109">
        <f t="shared" ref="F33:BQ33" si="26">F7/F9</f>
        <v>0.95832641401799246</v>
      </c>
      <c r="G33" s="109">
        <f t="shared" si="26"/>
        <v>0.96498600455017736</v>
      </c>
      <c r="H33" s="109">
        <f t="shared" si="26"/>
        <v>0.98362042823361029</v>
      </c>
      <c r="I33" s="109">
        <f t="shared" si="26"/>
        <v>0.99758003912025395</v>
      </c>
      <c r="J33" s="109">
        <f t="shared" si="26"/>
        <v>0.9869255190626004</v>
      </c>
      <c r="K33" s="109">
        <f t="shared" si="26"/>
        <v>0.98120160421001135</v>
      </c>
      <c r="L33" s="109">
        <f t="shared" si="26"/>
        <v>0.99396604532644872</v>
      </c>
      <c r="M33" s="109">
        <f t="shared" si="26"/>
        <v>1.006183624576672</v>
      </c>
      <c r="N33" s="109">
        <f t="shared" si="26"/>
        <v>0.9599150207475966</v>
      </c>
      <c r="O33" s="109">
        <f t="shared" si="26"/>
        <v>0.96343707044077942</v>
      </c>
      <c r="P33" s="109">
        <f t="shared" si="26"/>
        <v>0.96197875340340799</v>
      </c>
      <c r="Q33" s="109">
        <f t="shared" si="26"/>
        <v>0.97014498347130529</v>
      </c>
      <c r="R33" s="109">
        <f t="shared" si="26"/>
        <v>0.95348243852546533</v>
      </c>
      <c r="S33" s="109">
        <f t="shared" si="26"/>
        <v>0.95046821052439157</v>
      </c>
      <c r="T33" s="109">
        <f t="shared" si="26"/>
        <v>0.95223283939069114</v>
      </c>
      <c r="U33" s="109">
        <f t="shared" si="26"/>
        <v>0.98926963362202858</v>
      </c>
      <c r="V33" s="109">
        <f t="shared" si="26"/>
        <v>0.98432032331949826</v>
      </c>
      <c r="W33" s="109">
        <f t="shared" si="26"/>
        <v>0.98022675074683596</v>
      </c>
      <c r="X33" s="109">
        <f t="shared" si="26"/>
        <v>0.97686773484102285</v>
      </c>
      <c r="Y33" s="109">
        <f t="shared" si="26"/>
        <v>0.97898546582068402</v>
      </c>
      <c r="Z33" s="109">
        <f t="shared" si="26"/>
        <v>0.94057883371563444</v>
      </c>
      <c r="AA33" s="109">
        <f t="shared" si="26"/>
        <v>0.92293851445289332</v>
      </c>
      <c r="AB33" s="109">
        <f t="shared" si="26"/>
        <v>0.94104529831751638</v>
      </c>
      <c r="AC33" s="109">
        <f t="shared" si="26"/>
        <v>0.93186924288797313</v>
      </c>
      <c r="AD33" s="109">
        <f t="shared" si="26"/>
        <v>0.97389874170213786</v>
      </c>
      <c r="AE33" s="109">
        <f t="shared" si="26"/>
        <v>0.95790062982247726</v>
      </c>
      <c r="AF33" s="109">
        <f t="shared" si="26"/>
        <v>0.95304768197408252</v>
      </c>
      <c r="AG33" s="109">
        <f t="shared" si="26"/>
        <v>0.97838938761775318</v>
      </c>
      <c r="AH33" s="109">
        <f t="shared" si="26"/>
        <v>0.95160656729264892</v>
      </c>
      <c r="AI33" s="109">
        <f t="shared" si="26"/>
        <v>0.95522051715666023</v>
      </c>
      <c r="AJ33" s="109">
        <f t="shared" si="26"/>
        <v>0.9670382381954804</v>
      </c>
      <c r="AK33" s="109">
        <f t="shared" si="26"/>
        <v>0.95560369812285562</v>
      </c>
      <c r="AL33" s="109">
        <f t="shared" si="26"/>
        <v>0.84058508739081284</v>
      </c>
      <c r="AM33" s="109">
        <f t="shared" si="26"/>
        <v>0.82652218851098724</v>
      </c>
      <c r="AN33" s="109">
        <f t="shared" si="26"/>
        <v>0.82669499835087834</v>
      </c>
      <c r="AO33" s="109">
        <f t="shared" si="26"/>
        <v>0.83274301471485601</v>
      </c>
      <c r="AP33" s="109">
        <f t="shared" si="26"/>
        <v>0.84541939882783868</v>
      </c>
      <c r="AQ33" s="109">
        <f t="shared" si="26"/>
        <v>0.85177502178623943</v>
      </c>
      <c r="AR33" s="109">
        <f t="shared" si="26"/>
        <v>0.84113063091689833</v>
      </c>
      <c r="AS33" s="109">
        <f t="shared" si="26"/>
        <v>0.84688646003724832</v>
      </c>
      <c r="AT33" s="109">
        <f t="shared" si="26"/>
        <v>0.85341594409057042</v>
      </c>
      <c r="AU33" s="109">
        <f t="shared" si="26"/>
        <v>0.9082966125177937</v>
      </c>
      <c r="AV33" s="109">
        <f t="shared" si="26"/>
        <v>0.88907191307112399</v>
      </c>
      <c r="AW33" s="109">
        <f t="shared" si="26"/>
        <v>0.89352497524835939</v>
      </c>
      <c r="AX33" s="109">
        <f t="shared" si="26"/>
        <v>0.80773118083713435</v>
      </c>
      <c r="AY33" s="109">
        <f t="shared" si="26"/>
        <v>0.92866990354677781</v>
      </c>
      <c r="AZ33" s="109">
        <f t="shared" si="26"/>
        <v>0.92212420168828146</v>
      </c>
      <c r="BA33" s="109">
        <f t="shared" si="26"/>
        <v>0.92341704923236256</v>
      </c>
      <c r="BB33" s="109">
        <f t="shared" si="26"/>
        <v>0.87904075769271883</v>
      </c>
      <c r="BC33" s="109">
        <f t="shared" si="26"/>
        <v>0.90677775229039248</v>
      </c>
      <c r="BD33" s="109">
        <f t="shared" si="26"/>
        <v>0.85754517289517374</v>
      </c>
      <c r="BE33" s="109">
        <f t="shared" si="26"/>
        <v>0.9032378785828673</v>
      </c>
      <c r="BF33" s="109">
        <f t="shared" si="26"/>
        <v>0.86325273149348358</v>
      </c>
      <c r="BG33" s="109">
        <f t="shared" si="26"/>
        <v>0.87515588204115458</v>
      </c>
      <c r="BH33" s="109">
        <f t="shared" si="26"/>
        <v>0.78830923352112436</v>
      </c>
      <c r="BI33" s="109">
        <f t="shared" si="26"/>
        <v>0.86624655739935574</v>
      </c>
      <c r="BJ33" s="109">
        <f t="shared" si="26"/>
        <v>0.86635394488031281</v>
      </c>
      <c r="BK33" s="109">
        <f t="shared" si="26"/>
        <v>0.87191150951328455</v>
      </c>
      <c r="BL33" s="109">
        <f t="shared" si="26"/>
        <v>0.83145682391581699</v>
      </c>
      <c r="BM33" s="109">
        <f t="shared" si="26"/>
        <v>0.85121271551493205</v>
      </c>
      <c r="BN33" s="109">
        <f t="shared" si="26"/>
        <v>0.77075970283715967</v>
      </c>
      <c r="BO33" s="109">
        <f t="shared" si="26"/>
        <v>0.77633033908748905</v>
      </c>
      <c r="BP33" s="109">
        <f t="shared" si="26"/>
        <v>0.76856548587480844</v>
      </c>
      <c r="BQ33" s="109">
        <f t="shared" si="26"/>
        <v>0.75757943443654641</v>
      </c>
      <c r="BR33" s="109">
        <f t="shared" ref="BR33:CK33" si="27">BR7/BR9</f>
        <v>0.73968056834492635</v>
      </c>
      <c r="BS33" s="109">
        <f t="shared" si="27"/>
        <v>0.69172143091030625</v>
      </c>
      <c r="BT33" s="109">
        <f t="shared" si="27"/>
        <v>0.80095274651601311</v>
      </c>
      <c r="BU33" s="109">
        <f t="shared" si="27"/>
        <v>0.78176769949283587</v>
      </c>
      <c r="BV33" s="109">
        <f t="shared" si="27"/>
        <v>0.76840070454561638</v>
      </c>
      <c r="BW33" s="109">
        <f t="shared" si="27"/>
        <v>0.78609463951289449</v>
      </c>
      <c r="BX33" s="109">
        <f t="shared" si="27"/>
        <v>0.77705737861341639</v>
      </c>
      <c r="BY33" s="109">
        <f t="shared" si="27"/>
        <v>0.92988029398716698</v>
      </c>
      <c r="BZ33" s="109">
        <f t="shared" si="27"/>
        <v>0.99263468085135109</v>
      </c>
      <c r="CA33" s="109">
        <f t="shared" si="27"/>
        <v>0.98906586402019248</v>
      </c>
      <c r="CB33" s="109">
        <f t="shared" si="27"/>
        <v>0.99206855248625325</v>
      </c>
      <c r="CC33" s="109">
        <f t="shared" si="27"/>
        <v>1.0172081198480476</v>
      </c>
      <c r="CD33" s="109">
        <f t="shared" si="27"/>
        <v>0.52945234592620982</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0.12421671880854582</v>
      </c>
      <c r="F34" s="108">
        <f t="shared" ref="F34:BQ34" si="28">(F10-J10)/J10</f>
        <v>0.16203750982057008</v>
      </c>
      <c r="G34" s="108">
        <f t="shared" si="28"/>
        <v>-9.4533546078708258E-2</v>
      </c>
      <c r="H34" s="108">
        <f t="shared" si="28"/>
        <v>-0.15648871417178717</v>
      </c>
      <c r="I34" s="108">
        <f t="shared" si="28"/>
        <v>-0.12621087009327056</v>
      </c>
      <c r="J34" s="108">
        <f t="shared" si="28"/>
        <v>-0.13484532342954342</v>
      </c>
      <c r="K34" s="108">
        <f t="shared" si="28"/>
        <v>9.4651932807599093E-2</v>
      </c>
      <c r="L34" s="108">
        <f t="shared" si="28"/>
        <v>0.14781052241583656</v>
      </c>
      <c r="M34" s="108">
        <f t="shared" si="28"/>
        <v>0.12156928339033625</v>
      </c>
      <c r="N34" s="108">
        <f t="shared" si="28"/>
        <v>4.104155600587029E-2</v>
      </c>
      <c r="O34" s="108">
        <f t="shared" si="28"/>
        <v>5.8992422230680248E-2</v>
      </c>
      <c r="P34" s="108">
        <f t="shared" si="28"/>
        <v>0.27394666292850151</v>
      </c>
      <c r="Q34" s="108">
        <f t="shared" si="28"/>
        <v>0.36332011555258759</v>
      </c>
      <c r="R34" s="108">
        <f t="shared" si="28"/>
        <v>0.44967578811961273</v>
      </c>
      <c r="S34" s="108">
        <f t="shared" si="28"/>
        <v>-3.767387205101369E-2</v>
      </c>
      <c r="T34" s="108">
        <f t="shared" si="28"/>
        <v>-0.2451794870893256</v>
      </c>
      <c r="U34" s="108">
        <f t="shared" si="28"/>
        <v>-0.36269349868562523</v>
      </c>
      <c r="V34" s="108">
        <f t="shared" si="28"/>
        <v>-0.39567717252963025</v>
      </c>
      <c r="W34" s="108">
        <f t="shared" si="28"/>
        <v>-0.24504032427311104</v>
      </c>
      <c r="X34" s="108">
        <f t="shared" si="28"/>
        <v>-0.23347280993501138</v>
      </c>
      <c r="Y34" s="108">
        <f t="shared" si="28"/>
        <v>3.4259222720264618E-2</v>
      </c>
      <c r="Z34" s="108">
        <f t="shared" si="28"/>
        <v>8.6917419742330831E-2</v>
      </c>
      <c r="AA34" s="108">
        <f t="shared" si="28"/>
        <v>0.46140181889728549</v>
      </c>
      <c r="AB34" s="108">
        <f t="shared" si="28"/>
        <v>0.54712480369060346</v>
      </c>
      <c r="AC34" s="108">
        <f t="shared" si="28"/>
        <v>0.23899374572113541</v>
      </c>
      <c r="AD34" s="108">
        <f t="shared" si="28"/>
        <v>0.15639104007724888</v>
      </c>
      <c r="AE34" s="108">
        <f t="shared" si="28"/>
        <v>0.10081540054659476</v>
      </c>
      <c r="AF34" s="108">
        <f t="shared" si="28"/>
        <v>7.6819955250555849E-2</v>
      </c>
      <c r="AG34" s="108">
        <f t="shared" si="28"/>
        <v>3.0274837023360262E-3</v>
      </c>
      <c r="AH34" s="108">
        <f t="shared" si="28"/>
        <v>4.7138664915616308</v>
      </c>
      <c r="AI34" s="108">
        <f t="shared" si="28"/>
        <v>4.1165896698447844</v>
      </c>
      <c r="AJ34" s="108">
        <f t="shared" si="28"/>
        <v>3.7583089242068901</v>
      </c>
      <c r="AK34" s="108">
        <f t="shared" si="28"/>
        <v>4.1101095377140648</v>
      </c>
      <c r="AL34" s="108">
        <f t="shared" si="28"/>
        <v>4.1011725541335545E-2</v>
      </c>
      <c r="AM34" s="108">
        <f t="shared" si="28"/>
        <v>9.183995373065322E-2</v>
      </c>
      <c r="AN34" s="108">
        <f t="shared" si="28"/>
        <v>0.23405469231966367</v>
      </c>
      <c r="AO34" s="108">
        <f t="shared" si="28"/>
        <v>0.25931799075218076</v>
      </c>
      <c r="AP34" s="108">
        <f t="shared" si="28"/>
        <v>0.62340405930639309</v>
      </c>
      <c r="AQ34" s="108">
        <f t="shared" si="28"/>
        <v>-1.2070933332511254E-2</v>
      </c>
      <c r="AR34" s="108">
        <f t="shared" si="28"/>
        <v>-0.1878366677447349</v>
      </c>
      <c r="AS34" s="108">
        <f t="shared" si="28"/>
        <v>-6.2822552868694717E-2</v>
      </c>
      <c r="AT34" s="108">
        <f t="shared" si="28"/>
        <v>0.69492929628092404</v>
      </c>
      <c r="AU34" s="108">
        <f t="shared" si="28"/>
        <v>1.1457049495750955</v>
      </c>
      <c r="AV34" s="108">
        <f t="shared" si="28"/>
        <v>1.0695860922269318</v>
      </c>
      <c r="AW34" s="108">
        <f t="shared" si="28"/>
        <v>0.89858611261386401</v>
      </c>
      <c r="AX34" s="108">
        <f t="shared" si="28"/>
        <v>-0.33655106381877253</v>
      </c>
      <c r="AY34" s="108">
        <f t="shared" si="28"/>
        <v>-0.18597727938366124</v>
      </c>
      <c r="AZ34" s="108">
        <f t="shared" si="28"/>
        <v>-8.4948675590982167E-2</v>
      </c>
      <c r="BA34" s="108">
        <f t="shared" si="28"/>
        <v>-7.5111629615055964E-2</v>
      </c>
      <c r="BB34" s="108">
        <f t="shared" si="28"/>
        <v>0.23575866022551265</v>
      </c>
      <c r="BC34" s="108">
        <f t="shared" si="28"/>
        <v>0.26907871187253229</v>
      </c>
      <c r="BD34" s="108">
        <f t="shared" si="28"/>
        <v>1.1916536298402711</v>
      </c>
      <c r="BE34" s="108">
        <f t="shared" si="28"/>
        <v>1.660014614894431</v>
      </c>
      <c r="BF34" s="108">
        <f t="shared" si="28"/>
        <v>5.191911716107569</v>
      </c>
      <c r="BG34" s="108">
        <f t="shared" si="28"/>
        <v>1.9502610047015061</v>
      </c>
      <c r="BH34" s="108">
        <f t="shared" si="28"/>
        <v>0.86047558744899399</v>
      </c>
      <c r="BI34" s="108">
        <f t="shared" si="28"/>
        <v>-0.13672857216382706</v>
      </c>
      <c r="BJ34" s="108" t="e">
        <f t="shared" si="28"/>
        <v>#DIV/0!</v>
      </c>
      <c r="BK34" s="108" t="e">
        <f t="shared" si="28"/>
        <v>#DIV/0!</v>
      </c>
      <c r="BL34" s="108" t="e">
        <f t="shared" si="28"/>
        <v>#DIV/0!</v>
      </c>
      <c r="BM34" s="108" t="e">
        <f t="shared" si="28"/>
        <v>#DIV/0!</v>
      </c>
      <c r="BN34" s="108">
        <f t="shared" si="28"/>
        <v>-1</v>
      </c>
      <c r="BO34" s="108">
        <f t="shared" si="28"/>
        <v>-1</v>
      </c>
      <c r="BP34" s="108">
        <f t="shared" si="28"/>
        <v>-1</v>
      </c>
      <c r="BQ34" s="108">
        <f t="shared" si="28"/>
        <v>-1</v>
      </c>
      <c r="BR34" s="108">
        <f t="shared" ref="BR34:CK34" si="29">(BR10-BV10)/BV10</f>
        <v>-0.92638036809815949</v>
      </c>
      <c r="BS34" s="108">
        <f t="shared" si="29"/>
        <v>-0.43609022556390975</v>
      </c>
      <c r="BT34" s="108">
        <f t="shared" si="29"/>
        <v>-0.22556390977443608</v>
      </c>
      <c r="BU34" s="108">
        <f t="shared" si="29"/>
        <v>0.4336283185840708</v>
      </c>
      <c r="BV34" s="108" t="e">
        <f t="shared" si="29"/>
        <v>#DIV/0!</v>
      </c>
      <c r="BW34" s="108">
        <f t="shared" si="29"/>
        <v>4.32</v>
      </c>
      <c r="BX34" s="108" t="e">
        <f t="shared" si="29"/>
        <v>#DIV/0!</v>
      </c>
      <c r="BY34" s="108">
        <f t="shared" si="29"/>
        <v>13.125</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0.14598507688544579</v>
      </c>
      <c r="F35" s="108">
        <f t="shared" ref="F35:BQ35" si="30">F10/F12</f>
        <v>0.12953313157082763</v>
      </c>
      <c r="G35" s="108">
        <f t="shared" si="30"/>
        <v>0.12565273826065865</v>
      </c>
      <c r="H35" s="108">
        <f t="shared" si="30"/>
        <v>0.12195815453571461</v>
      </c>
      <c r="I35" s="108">
        <f t="shared" si="30"/>
        <v>0.13607191782283334</v>
      </c>
      <c r="J35" s="108">
        <f t="shared" si="30"/>
        <v>0.12016364531626308</v>
      </c>
      <c r="K35" s="108">
        <f t="shared" si="30"/>
        <v>0.14706284761476685</v>
      </c>
      <c r="L35" s="108">
        <f t="shared" si="30"/>
        <v>0.15621200218450851</v>
      </c>
      <c r="M35" s="108">
        <f t="shared" si="30"/>
        <v>0.16883455482800727</v>
      </c>
      <c r="N35" s="108">
        <f t="shared" si="30"/>
        <v>0.14801630832868526</v>
      </c>
      <c r="O35" s="108">
        <f t="shared" si="30"/>
        <v>0.14227308670544883</v>
      </c>
      <c r="P35" s="108">
        <f t="shared" si="30"/>
        <v>0.13755591867084399</v>
      </c>
      <c r="Q35" s="108">
        <f t="shared" si="30"/>
        <v>0.14826813419969553</v>
      </c>
      <c r="R35" s="108">
        <f t="shared" si="30"/>
        <v>0.13759367600080627</v>
      </c>
      <c r="S35" s="108">
        <f t="shared" si="30"/>
        <v>0.13114610335329152</v>
      </c>
      <c r="T35" s="108">
        <f t="shared" si="30"/>
        <v>0.10575584308143068</v>
      </c>
      <c r="U35" s="108">
        <f t="shared" si="30"/>
        <v>0.11260041736730861</v>
      </c>
      <c r="V35" s="108">
        <f t="shared" si="30"/>
        <v>0.10246240414134493</v>
      </c>
      <c r="W35" s="108">
        <f t="shared" si="30"/>
        <v>0.14669953951778691</v>
      </c>
      <c r="X35" s="108">
        <f t="shared" si="30"/>
        <v>0.15052222168652801</v>
      </c>
      <c r="Y35" s="108">
        <f t="shared" si="30"/>
        <v>0.18819760867372928</v>
      </c>
      <c r="Z35" s="108">
        <f t="shared" si="30"/>
        <v>0.18127118390806804</v>
      </c>
      <c r="AA35" s="108">
        <f t="shared" si="30"/>
        <v>0.21791839261953566</v>
      </c>
      <c r="AB35" s="108">
        <f t="shared" si="30"/>
        <v>0.23073039928755951</v>
      </c>
      <c r="AC35" s="108">
        <f t="shared" si="30"/>
        <v>0.20642599053962937</v>
      </c>
      <c r="AD35" s="108">
        <f t="shared" si="30"/>
        <v>0.20535765748392865</v>
      </c>
      <c r="AE35" s="108">
        <f t="shared" si="30"/>
        <v>0.17714256823553884</v>
      </c>
      <c r="AF35" s="108">
        <f t="shared" si="30"/>
        <v>0.17129090760135759</v>
      </c>
      <c r="AG35" s="108">
        <f t="shared" si="30"/>
        <v>0.20342438165779833</v>
      </c>
      <c r="AH35" s="108">
        <f t="shared" si="30"/>
        <v>0.20299092561983056</v>
      </c>
      <c r="AI35" s="108">
        <f t="shared" si="30"/>
        <v>0.1894341006213727</v>
      </c>
      <c r="AJ35" s="108">
        <f t="shared" si="30"/>
        <v>0.19224030696888655</v>
      </c>
      <c r="AK35" s="108">
        <f t="shared" si="30"/>
        <v>0.2382273979503606</v>
      </c>
      <c r="AL35" s="108">
        <f t="shared" si="30"/>
        <v>0.24088509358728155</v>
      </c>
      <c r="AM35" s="108">
        <f t="shared" si="30"/>
        <v>0.2459931880110382</v>
      </c>
      <c r="AN35" s="108">
        <f t="shared" si="30"/>
        <v>0.2521247971158399</v>
      </c>
      <c r="AO35" s="108">
        <f t="shared" si="30"/>
        <v>0.28347651753619374</v>
      </c>
      <c r="AP35" s="108">
        <f t="shared" si="30"/>
        <v>0.23703638604204805</v>
      </c>
      <c r="AQ35" s="108">
        <f t="shared" si="30"/>
        <v>0.23118262922915939</v>
      </c>
      <c r="AR35" s="108">
        <f t="shared" si="30"/>
        <v>0.22019785652591967</v>
      </c>
      <c r="AS35" s="108">
        <f t="shared" si="30"/>
        <v>0.24404366100491359</v>
      </c>
      <c r="AT35" s="108">
        <f t="shared" si="30"/>
        <v>0.16014416082748625</v>
      </c>
      <c r="AU35" s="108">
        <f t="shared" si="30"/>
        <v>0.23599203226004303</v>
      </c>
      <c r="AV35" s="108">
        <f t="shared" si="30"/>
        <v>0.25942512440312537</v>
      </c>
      <c r="AW35" s="108">
        <f t="shared" si="30"/>
        <v>0.25452724284368772</v>
      </c>
      <c r="AX35" s="108">
        <f t="shared" si="30"/>
        <v>0.15823166928135143</v>
      </c>
      <c r="AY35" s="108">
        <f t="shared" si="30"/>
        <v>0.19693328136236468</v>
      </c>
      <c r="AZ35" s="108">
        <f t="shared" si="30"/>
        <v>0.22753656752436813</v>
      </c>
      <c r="BA35" s="108">
        <f t="shared" si="30"/>
        <v>0.23306366969725884</v>
      </c>
      <c r="BB35" s="108">
        <f t="shared" si="30"/>
        <v>0.23963036287461545</v>
      </c>
      <c r="BC35" s="108">
        <f t="shared" si="30"/>
        <v>0.24081929135884522</v>
      </c>
      <c r="BD35" s="108">
        <f t="shared" si="30"/>
        <v>0.24002259321559979</v>
      </c>
      <c r="BE35" s="108">
        <f t="shared" si="30"/>
        <v>0.24727461926012936</v>
      </c>
      <c r="BF35" s="108">
        <f t="shared" si="30"/>
        <v>0.19029822736622576</v>
      </c>
      <c r="BG35" s="108">
        <f t="shared" si="30"/>
        <v>0.18385465802930301</v>
      </c>
      <c r="BH35" s="108">
        <f t="shared" si="30"/>
        <v>0.22348061981705372</v>
      </c>
      <c r="BI35" s="108">
        <f t="shared" si="30"/>
        <v>0.21312997295107458</v>
      </c>
      <c r="BJ35" s="108">
        <f t="shared" si="30"/>
        <v>6.9958444481143328E-2</v>
      </c>
      <c r="BK35" s="108">
        <f t="shared" si="30"/>
        <v>0.14229506274737197</v>
      </c>
      <c r="BL35" s="108">
        <f t="shared" si="30"/>
        <v>0.12400603264775152</v>
      </c>
      <c r="BM35" s="108">
        <f t="shared" si="30"/>
        <v>0.22273802174000684</v>
      </c>
      <c r="BN35" s="108" t="e">
        <f t="shared" si="30"/>
        <v>#DIV/0!</v>
      </c>
      <c r="BO35" s="108" t="e">
        <f t="shared" si="30"/>
        <v>#DIV/0!</v>
      </c>
      <c r="BP35" s="108" t="e">
        <f t="shared" si="30"/>
        <v>#DIV/0!</v>
      </c>
      <c r="BQ35" s="108" t="e">
        <f t="shared" si="30"/>
        <v>#DIV/0!</v>
      </c>
      <c r="BR35" s="108">
        <f t="shared" ref="BR35:CK35" si="31">BR10/BR12</f>
        <v>1</v>
      </c>
      <c r="BS35" s="108">
        <f t="shared" si="31"/>
        <v>1</v>
      </c>
      <c r="BT35" s="108">
        <f t="shared" si="31"/>
        <v>1</v>
      </c>
      <c r="BU35" s="108">
        <f t="shared" si="31"/>
        <v>1</v>
      </c>
      <c r="BV35" s="108">
        <f t="shared" si="31"/>
        <v>1</v>
      </c>
      <c r="BW35" s="108">
        <f t="shared" si="31"/>
        <v>1</v>
      </c>
      <c r="BX35" s="108">
        <f t="shared" si="31"/>
        <v>1</v>
      </c>
      <c r="BY35" s="108">
        <f t="shared" si="31"/>
        <v>1</v>
      </c>
      <c r="BZ35" s="108" t="e">
        <f t="shared" si="31"/>
        <v>#DIV/0!</v>
      </c>
      <c r="CA35" s="108">
        <f t="shared" si="31"/>
        <v>0.19230769230769232</v>
      </c>
      <c r="CB35" s="108" t="e">
        <f t="shared" si="31"/>
        <v>#DIV/0!</v>
      </c>
      <c r="CC35" s="108">
        <f t="shared" si="31"/>
        <v>6.9170866462287511E-2</v>
      </c>
      <c r="CD35" s="108">
        <f t="shared" si="31"/>
        <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3.5852577727272253E-2</v>
      </c>
      <c r="F36" s="108">
        <f t="shared" ref="F36:BQ36" si="32">(F11-J11)/J11</f>
        <v>6.6504566713418409E-2</v>
      </c>
      <c r="G36" s="108">
        <f t="shared" si="32"/>
        <v>8.635133193557129E-2</v>
      </c>
      <c r="H36" s="108">
        <f t="shared" si="32"/>
        <v>0.12428475740306508</v>
      </c>
      <c r="I36" s="108">
        <f t="shared" si="32"/>
        <v>0.12691090201551886</v>
      </c>
      <c r="J36" s="108">
        <f t="shared" si="32"/>
        <v>0.10052738668320524</v>
      </c>
      <c r="K36" s="108">
        <f t="shared" si="32"/>
        <v>5.308596709145743E-2</v>
      </c>
      <c r="L36" s="108">
        <f t="shared" si="32"/>
        <v>-1.1133915194369346E-2</v>
      </c>
      <c r="M36" s="108">
        <f t="shared" si="32"/>
        <v>-3.8836708709787081E-2</v>
      </c>
      <c r="N36" s="108">
        <f t="shared" si="32"/>
        <v>-4.3959433776282003E-2</v>
      </c>
      <c r="O36" s="108">
        <f t="shared" si="32"/>
        <v>-3.6331254162794965E-2</v>
      </c>
      <c r="P36" s="108">
        <f t="shared" si="32"/>
        <v>-5.5392976012052474E-2</v>
      </c>
      <c r="Q36" s="108">
        <f t="shared" si="32"/>
        <v>-6.2578838617253479E-3</v>
      </c>
      <c r="R36" s="108">
        <f t="shared" si="32"/>
        <v>3.7280555982203395E-2</v>
      </c>
      <c r="S36" s="108">
        <f t="shared" si="32"/>
        <v>9.6075347720198032E-2</v>
      </c>
      <c r="T36" s="108">
        <f t="shared" si="32"/>
        <v>0.13095162932996951</v>
      </c>
      <c r="U36" s="108">
        <f t="shared" si="32"/>
        <v>0.16437090046908942</v>
      </c>
      <c r="V36" s="108">
        <f t="shared" si="32"/>
        <v>0.17204908986255268</v>
      </c>
      <c r="W36" s="108">
        <f t="shared" si="32"/>
        <v>0.22359811499128057</v>
      </c>
      <c r="X36" s="108">
        <f t="shared" si="32"/>
        <v>0.29749356998972193</v>
      </c>
      <c r="Y36" s="108">
        <f t="shared" si="32"/>
        <v>0.1604931180350927</v>
      </c>
      <c r="Z36" s="108">
        <f t="shared" si="32"/>
        <v>0.26866527566565779</v>
      </c>
      <c r="AA36" s="108">
        <f t="shared" si="32"/>
        <v>0.12908378411264931</v>
      </c>
      <c r="AB36" s="108">
        <f t="shared" si="32"/>
        <v>6.618190771945355E-2</v>
      </c>
      <c r="AC36" s="108">
        <f t="shared" si="32"/>
        <v>0.21637691073979784</v>
      </c>
      <c r="AD36" s="108">
        <f t="shared" si="32"/>
        <v>0.13966937163040746</v>
      </c>
      <c r="AE36" s="108">
        <f t="shared" si="32"/>
        <v>0.19504975520436352</v>
      </c>
      <c r="AF36" s="108">
        <f t="shared" si="32"/>
        <v>0.23986146281962131</v>
      </c>
      <c r="AG36" s="108">
        <f t="shared" si="32"/>
        <v>0.22829644922446163</v>
      </c>
      <c r="AH36" s="108">
        <f t="shared" si="32"/>
        <v>6.1190023628959489</v>
      </c>
      <c r="AI36" s="108">
        <f t="shared" si="32"/>
        <v>6.1426368435064074</v>
      </c>
      <c r="AJ36" s="108">
        <f t="shared" si="32"/>
        <v>5.7402621722467444</v>
      </c>
      <c r="AK36" s="108">
        <f t="shared" si="32"/>
        <v>5.4647317976871523</v>
      </c>
      <c r="AL36" s="108">
        <f t="shared" si="32"/>
        <v>1.9211711171759557E-2</v>
      </c>
      <c r="AM36" s="108">
        <f t="shared" si="32"/>
        <v>6.3364013798599761E-3</v>
      </c>
      <c r="AN36" s="108">
        <f t="shared" si="32"/>
        <v>3.3657457114402115E-2</v>
      </c>
      <c r="AO36" s="108">
        <f t="shared" si="32"/>
        <v>2.7589280503398258E-2</v>
      </c>
      <c r="AP36" s="108">
        <f t="shared" si="32"/>
        <v>-3.6273466549031847E-3</v>
      </c>
      <c r="AQ36" s="108">
        <f t="shared" si="32"/>
        <v>1.4829783296020121E-2</v>
      </c>
      <c r="AR36" s="108">
        <f t="shared" si="32"/>
        <v>7.5295090882630039E-3</v>
      </c>
      <c r="AS36" s="108">
        <f t="shared" si="32"/>
        <v>-8.81777174763319E-3</v>
      </c>
      <c r="AT36" s="108">
        <f t="shared" si="32"/>
        <v>0.6708830428542556</v>
      </c>
      <c r="AU36" s="108">
        <f t="shared" si="32"/>
        <v>0.70348392619888656</v>
      </c>
      <c r="AV36" s="108">
        <f t="shared" si="32"/>
        <v>0.74025828718535303</v>
      </c>
      <c r="AW36" s="108">
        <f t="shared" si="32"/>
        <v>0.68983022229726432</v>
      </c>
      <c r="AX36" s="108">
        <f t="shared" si="32"/>
        <v>0.11230465271764697</v>
      </c>
      <c r="AY36" s="108">
        <f t="shared" si="32"/>
        <v>5.2967938635826189E-2</v>
      </c>
      <c r="AZ36" s="108">
        <f t="shared" si="32"/>
        <v>-1.887662366507396E-2</v>
      </c>
      <c r="BA36" s="108">
        <f t="shared" si="32"/>
        <v>-1.9102451333173406E-4</v>
      </c>
      <c r="BB36" s="108">
        <f t="shared" si="32"/>
        <v>-7.8434439587404606E-2</v>
      </c>
      <c r="BC36" s="108">
        <f t="shared" si="32"/>
        <v>-9.8741072088626508E-2</v>
      </c>
      <c r="BD36" s="108">
        <f t="shared" si="32"/>
        <v>0.99713786087087553</v>
      </c>
      <c r="BE36" s="108">
        <f t="shared" si="32"/>
        <v>1.1932218709052818</v>
      </c>
      <c r="BF36" s="108">
        <f t="shared" si="32"/>
        <v>0.98176837355433755</v>
      </c>
      <c r="BG36" s="108">
        <f t="shared" si="32"/>
        <v>1.1727273407764296</v>
      </c>
      <c r="BH36" s="108">
        <f t="shared" si="32"/>
        <v>-8.487987640960748E-2</v>
      </c>
      <c r="BI36" s="108">
        <f t="shared" si="32"/>
        <v>-8.6659376660023102E-2</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f t="shared" si="33"/>
        <v>-1</v>
      </c>
      <c r="BX36" s="108" t="e">
        <f t="shared" si="33"/>
        <v>#DIV/0!</v>
      </c>
      <c r="BY36" s="108">
        <f t="shared" si="33"/>
        <v>-1</v>
      </c>
      <c r="BZ36" s="108">
        <f t="shared" si="33"/>
        <v>-1</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0.85401492311455418</v>
      </c>
      <c r="F37" s="108">
        <f t="shared" ref="F37:BQ37" si="34">F11/F12</f>
        <v>0.87046686842917231</v>
      </c>
      <c r="G37" s="108">
        <f t="shared" si="34"/>
        <v>0.87434726173934141</v>
      </c>
      <c r="H37" s="108">
        <f t="shared" si="34"/>
        <v>0.87804184546428532</v>
      </c>
      <c r="I37" s="108">
        <f t="shared" si="34"/>
        <v>0.86392808217716666</v>
      </c>
      <c r="J37" s="108">
        <f t="shared" si="34"/>
        <v>0.87983635468373689</v>
      </c>
      <c r="K37" s="108">
        <f t="shared" si="34"/>
        <v>0.85293715238523315</v>
      </c>
      <c r="L37" s="108">
        <f t="shared" si="34"/>
        <v>0.84378799781549141</v>
      </c>
      <c r="M37" s="108">
        <f t="shared" si="34"/>
        <v>0.83116544517199276</v>
      </c>
      <c r="N37" s="108">
        <f t="shared" si="34"/>
        <v>0.85198369167131482</v>
      </c>
      <c r="O37" s="110">
        <f t="shared" si="34"/>
        <v>0.85772691329455109</v>
      </c>
      <c r="P37" s="110">
        <f t="shared" si="34"/>
        <v>0.86244408132915606</v>
      </c>
      <c r="Q37" s="110">
        <f t="shared" si="34"/>
        <v>0.85173186580030436</v>
      </c>
      <c r="R37" s="110">
        <f t="shared" si="34"/>
        <v>0.86240632399919381</v>
      </c>
      <c r="S37" s="110">
        <f t="shared" si="34"/>
        <v>0.86885389664670853</v>
      </c>
      <c r="T37" s="110">
        <f t="shared" si="34"/>
        <v>0.89424415691856929</v>
      </c>
      <c r="U37" s="110">
        <f t="shared" si="34"/>
        <v>0.88739958263269136</v>
      </c>
      <c r="V37" s="110">
        <f t="shared" si="34"/>
        <v>0.89753759585865511</v>
      </c>
      <c r="W37" s="110">
        <f t="shared" si="34"/>
        <v>0.85330046048221309</v>
      </c>
      <c r="X37" s="110">
        <f t="shared" si="34"/>
        <v>0.84947777831347193</v>
      </c>
      <c r="Y37" s="110">
        <f t="shared" si="34"/>
        <v>0.81180239132627074</v>
      </c>
      <c r="Z37" s="110">
        <f t="shared" si="34"/>
        <v>0.81872881609193204</v>
      </c>
      <c r="AA37" s="110">
        <f t="shared" si="34"/>
        <v>0.78208160738046428</v>
      </c>
      <c r="AB37" s="110">
        <f t="shared" si="34"/>
        <v>0.76926960071244044</v>
      </c>
      <c r="AC37" s="110">
        <f t="shared" si="34"/>
        <v>0.79357400946037071</v>
      </c>
      <c r="AD37" s="110">
        <f t="shared" si="34"/>
        <v>0.79464234251607135</v>
      </c>
      <c r="AE37" s="110">
        <f t="shared" si="34"/>
        <v>0.82285743176446113</v>
      </c>
      <c r="AF37" s="110">
        <f t="shared" si="34"/>
        <v>0.82870909239864243</v>
      </c>
      <c r="AG37" s="110">
        <f t="shared" si="34"/>
        <v>0.7965756183422017</v>
      </c>
      <c r="AH37" s="110">
        <f t="shared" si="34"/>
        <v>0.79700907438016944</v>
      </c>
      <c r="AI37" s="110">
        <f t="shared" si="34"/>
        <v>0.81056589937862733</v>
      </c>
      <c r="AJ37" s="110">
        <f t="shared" si="34"/>
        <v>0.80775969303111339</v>
      </c>
      <c r="AK37" s="110">
        <f t="shared" si="34"/>
        <v>0.76177260204963937</v>
      </c>
      <c r="AL37" s="110">
        <f t="shared" si="34"/>
        <v>0.75911490641271839</v>
      </c>
      <c r="AM37" s="110">
        <f t="shared" si="34"/>
        <v>0.75400681198896191</v>
      </c>
      <c r="AN37" s="110">
        <f t="shared" si="34"/>
        <v>0.74787520288415998</v>
      </c>
      <c r="AO37" s="110">
        <f t="shared" si="34"/>
        <v>0.71652348246380637</v>
      </c>
      <c r="AP37" s="110">
        <f t="shared" si="34"/>
        <v>0.76296361395795198</v>
      </c>
      <c r="AQ37" s="110">
        <f t="shared" si="34"/>
        <v>0.76881737077084056</v>
      </c>
      <c r="AR37" s="110">
        <f t="shared" si="34"/>
        <v>0.77980214347408039</v>
      </c>
      <c r="AS37" s="110">
        <f t="shared" si="34"/>
        <v>0.7559563389950863</v>
      </c>
      <c r="AT37" s="110">
        <f t="shared" si="34"/>
        <v>0.83985583917251383</v>
      </c>
      <c r="AU37" s="110">
        <f t="shared" si="34"/>
        <v>0.76400796773995694</v>
      </c>
      <c r="AV37" s="110">
        <f t="shared" si="34"/>
        <v>0.74057487559687463</v>
      </c>
      <c r="AW37" s="110">
        <f t="shared" si="34"/>
        <v>0.74547275715631223</v>
      </c>
      <c r="AX37" s="110">
        <f t="shared" si="34"/>
        <v>0.84176833071864854</v>
      </c>
      <c r="AY37" s="110">
        <f t="shared" si="34"/>
        <v>0.80306671863763535</v>
      </c>
      <c r="AZ37" s="110">
        <f t="shared" si="34"/>
        <v>0.77246343247563187</v>
      </c>
      <c r="BA37" s="110">
        <f t="shared" si="34"/>
        <v>0.76693633030274111</v>
      </c>
      <c r="BB37" s="110">
        <f t="shared" si="34"/>
        <v>0.76036963712538452</v>
      </c>
      <c r="BC37" s="110">
        <f t="shared" si="34"/>
        <v>0.75918070864115472</v>
      </c>
      <c r="BD37" s="110">
        <f t="shared" si="34"/>
        <v>0.75997740678440018</v>
      </c>
      <c r="BE37" s="110">
        <f t="shared" si="34"/>
        <v>0.75272538073987061</v>
      </c>
      <c r="BF37" s="110">
        <f t="shared" si="34"/>
        <v>0.80970177263377419</v>
      </c>
      <c r="BG37" s="110">
        <f t="shared" si="34"/>
        <v>0.81614534197069699</v>
      </c>
      <c r="BH37" s="110">
        <f t="shared" si="34"/>
        <v>0.77651938018294631</v>
      </c>
      <c r="BI37" s="110">
        <f t="shared" si="34"/>
        <v>0.78687002704892528</v>
      </c>
      <c r="BJ37" s="110">
        <f t="shared" si="34"/>
        <v>0.9300415555188567</v>
      </c>
      <c r="BK37" s="110">
        <f t="shared" si="34"/>
        <v>0.85770493725262809</v>
      </c>
      <c r="BL37" s="110">
        <f t="shared" si="34"/>
        <v>0.87599396735224844</v>
      </c>
      <c r="BM37" s="110">
        <f t="shared" si="34"/>
        <v>0.7772619782599931</v>
      </c>
      <c r="BN37" s="110" t="e">
        <f t="shared" si="34"/>
        <v>#DIV/0!</v>
      </c>
      <c r="BO37" s="110" t="e">
        <f t="shared" si="34"/>
        <v>#DIV/0!</v>
      </c>
      <c r="BP37" s="110" t="e">
        <f t="shared" si="34"/>
        <v>#DIV/0!</v>
      </c>
      <c r="BQ37" s="110" t="e">
        <f t="shared" si="34"/>
        <v>#DIV/0!</v>
      </c>
      <c r="BR37" s="110">
        <f t="shared" ref="BR37:CK37" si="35">BR11/BR12</f>
        <v>0</v>
      </c>
      <c r="BS37" s="110">
        <f t="shared" si="35"/>
        <v>0</v>
      </c>
      <c r="BT37" s="110">
        <f t="shared" si="35"/>
        <v>0</v>
      </c>
      <c r="BU37" s="110">
        <f t="shared" si="35"/>
        <v>0</v>
      </c>
      <c r="BV37" s="110">
        <f t="shared" si="35"/>
        <v>0</v>
      </c>
      <c r="BW37" s="110">
        <f t="shared" si="35"/>
        <v>0</v>
      </c>
      <c r="BX37" s="110">
        <f t="shared" si="35"/>
        <v>0</v>
      </c>
      <c r="BY37" s="110">
        <f t="shared" si="35"/>
        <v>0</v>
      </c>
      <c r="BZ37" s="110" t="e">
        <f t="shared" si="35"/>
        <v>#DIV/0!</v>
      </c>
      <c r="CA37" s="110">
        <f t="shared" si="35"/>
        <v>0.80769230769230771</v>
      </c>
      <c r="CB37" s="110" t="e">
        <f t="shared" si="35"/>
        <v>#DIV/0!</v>
      </c>
      <c r="CC37" s="110">
        <f t="shared" si="35"/>
        <v>0.93082913353771246</v>
      </c>
      <c r="CD37" s="110">
        <f t="shared" si="35"/>
        <v>1</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2.7676539473906539E-2</v>
      </c>
      <c r="F39" s="224">
        <f t="shared" ref="F39:U39" si="37">F2/F9</f>
        <v>3.620862937271524E-2</v>
      </c>
      <c r="G39" s="224">
        <f t="shared" si="37"/>
        <v>2.7916300623283326E-2</v>
      </c>
      <c r="H39" s="224">
        <f t="shared" si="37"/>
        <v>2.118414920660153E-2</v>
      </c>
      <c r="I39" s="224">
        <f t="shared" si="37"/>
        <v>2.492049090999568E-2</v>
      </c>
      <c r="J39" s="224">
        <f t="shared" si="37"/>
        <v>3.7486627289190118E-2</v>
      </c>
      <c r="K39" s="224">
        <f t="shared" si="37"/>
        <v>3.1927073200371345E-2</v>
      </c>
      <c r="L39" s="224">
        <f t="shared" si="37"/>
        <v>2.6731149656585875E-2</v>
      </c>
      <c r="M39" s="224">
        <f t="shared" si="37"/>
        <v>4.1115068236990487E-2</v>
      </c>
      <c r="N39" s="224">
        <f t="shared" si="37"/>
        <v>5.1327505479628409E-2</v>
      </c>
      <c r="O39" s="224">
        <f t="shared" si="37"/>
        <v>4.7616428385400651E-2</v>
      </c>
      <c r="P39" s="224">
        <f t="shared" si="37"/>
        <v>4.9802894904572952E-2</v>
      </c>
      <c r="Q39" s="224">
        <f t="shared" si="37"/>
        <v>5.2046911688696747E-2</v>
      </c>
      <c r="R39" s="224">
        <f t="shared" si="37"/>
        <v>6.1680812585678549E-2</v>
      </c>
      <c r="S39" s="224">
        <f t="shared" si="37"/>
        <v>4.5046031816636231E-2</v>
      </c>
      <c r="T39" s="224">
        <f t="shared" si="37"/>
        <v>4.0032473187758898E-2</v>
      </c>
      <c r="U39" s="224">
        <f t="shared" si="37"/>
        <v>2.9514864780587378E-2</v>
      </c>
    </row>
    <row r="40" spans="1:89" s="225" customFormat="1" x14ac:dyDescent="0.25">
      <c r="A40" s="222" t="s">
        <v>553</v>
      </c>
      <c r="B40" s="223"/>
      <c r="C40" s="223"/>
      <c r="D40" s="223"/>
      <c r="E40" s="224">
        <f>E3/E9</f>
        <v>4.5176697399374591E-2</v>
      </c>
      <c r="F40" s="224">
        <f t="shared" ref="F40:U40" si="38">F3/F9</f>
        <v>4.4857007185193781E-2</v>
      </c>
      <c r="G40" s="224">
        <f t="shared" si="38"/>
        <v>4.484739700278817E-2</v>
      </c>
      <c r="H40" s="224">
        <f t="shared" si="38"/>
        <v>4.7748388129326615E-2</v>
      </c>
      <c r="I40" s="224">
        <f t="shared" si="38"/>
        <v>4.8208111695553189E-2</v>
      </c>
      <c r="J40" s="224">
        <f t="shared" si="38"/>
        <v>4.0646416400015095E-2</v>
      </c>
      <c r="K40" s="224">
        <f t="shared" si="38"/>
        <v>3.5312344987502568E-2</v>
      </c>
      <c r="L40" s="224">
        <f t="shared" si="38"/>
        <v>2.8985129217838249E-2</v>
      </c>
      <c r="M40" s="224">
        <f t="shared" si="38"/>
        <v>1.5734140481369084E-2</v>
      </c>
      <c r="N40" s="224">
        <f t="shared" si="38"/>
        <v>1.5168127064498778E-2</v>
      </c>
      <c r="O40" s="224">
        <f t="shared" si="38"/>
        <v>1.5591520266631916E-2</v>
      </c>
      <c r="P40" s="224">
        <f t="shared" si="38"/>
        <v>1.6930958546980932E-2</v>
      </c>
      <c r="Q40" s="224">
        <f t="shared" si="38"/>
        <v>1.5564859690946743E-2</v>
      </c>
      <c r="R40" s="224">
        <f t="shared" si="38"/>
        <v>1.645979730996884E-2</v>
      </c>
      <c r="S40" s="224">
        <f t="shared" si="38"/>
        <v>1.8126724650419635E-2</v>
      </c>
      <c r="T40" s="224">
        <f t="shared" si="38"/>
        <v>1.8844256507502925E-2</v>
      </c>
      <c r="U40" s="224">
        <f t="shared" si="38"/>
        <v>1.8999983516247262E-2</v>
      </c>
    </row>
    <row r="41" spans="1:89" x14ac:dyDescent="0.25">
      <c r="A41" s="184" t="s">
        <v>558</v>
      </c>
      <c r="B41" s="64"/>
      <c r="C41" s="64"/>
      <c r="D41" s="64"/>
      <c r="E41" s="90">
        <f>E4/E9</f>
        <v>-3.8040198882653108E-2</v>
      </c>
      <c r="F41" s="90">
        <f t="shared" ref="F41:U41" si="39">F4/F9</f>
        <v>-3.9392050575901442E-2</v>
      </c>
      <c r="G41" s="90">
        <f t="shared" si="39"/>
        <v>-3.7749702176248991E-2</v>
      </c>
      <c r="H41" s="90">
        <f t="shared" si="39"/>
        <v>-5.2552965569538396E-2</v>
      </c>
      <c r="I41" s="90">
        <f t="shared" si="39"/>
        <v>-7.0708641725802837E-2</v>
      </c>
      <c r="J41" s="90">
        <f t="shared" si="39"/>
        <v>-6.5058562751805507E-2</v>
      </c>
      <c r="K41" s="90">
        <f t="shared" si="39"/>
        <v>-4.844102239788517E-2</v>
      </c>
      <c r="L41" s="90">
        <f t="shared" si="39"/>
        <v>-4.9682324200872707E-2</v>
      </c>
      <c r="M41" s="90">
        <f t="shared" si="39"/>
        <v>-6.3032833295031482E-2</v>
      </c>
      <c r="N41" s="214">
        <f t="shared" si="39"/>
        <v>-2.6410653291723804E-2</v>
      </c>
      <c r="O41" s="214">
        <f t="shared" si="39"/>
        <v>-2.6645019092812052E-2</v>
      </c>
      <c r="P41" s="214">
        <f t="shared" si="39"/>
        <v>-2.871260685496194E-2</v>
      </c>
      <c r="Q41" s="214">
        <f t="shared" si="39"/>
        <v>-3.7756754850948759E-2</v>
      </c>
      <c r="R41" s="214">
        <f t="shared" si="39"/>
        <v>-3.1623048421112854E-2</v>
      </c>
      <c r="S41" s="214">
        <f t="shared" si="39"/>
        <v>-1.3640966991447437E-2</v>
      </c>
      <c r="T41" s="214">
        <f t="shared" si="39"/>
        <v>-1.1109569085952828E-2</v>
      </c>
      <c r="U41" s="214">
        <f t="shared" si="39"/>
        <v>-3.7784481918863203E-2</v>
      </c>
    </row>
    <row r="42" spans="1:89" x14ac:dyDescent="0.25">
      <c r="A42" s="184" t="s">
        <v>335</v>
      </c>
      <c r="B42" s="64"/>
      <c r="C42" s="64"/>
      <c r="D42" s="64"/>
      <c r="E42" s="90">
        <f>E5/E9</f>
        <v>3.9657573092736369E-2</v>
      </c>
      <c r="F42" s="90">
        <f t="shared" ref="F42:U42" si="40">F5/F9</f>
        <v>4.300086004106158E-2</v>
      </c>
      <c r="G42" s="90">
        <f t="shared" si="40"/>
        <v>4.2826978033461381E-2</v>
      </c>
      <c r="H42" s="90">
        <f t="shared" si="40"/>
        <v>4.3306872721026408E-2</v>
      </c>
      <c r="I42" s="90">
        <f t="shared" si="40"/>
        <v>3.6895122396649382E-2</v>
      </c>
      <c r="J42" s="90">
        <f t="shared" si="40"/>
        <v>3.9984660679655178E-2</v>
      </c>
      <c r="K42" s="90">
        <f t="shared" si="40"/>
        <v>3.750468569744099E-2</v>
      </c>
      <c r="L42" s="90">
        <f t="shared" si="40"/>
        <v>3.9793359715830923E-2</v>
      </c>
      <c r="M42" s="90">
        <f t="shared" si="40"/>
        <v>3.1033115773949946E-2</v>
      </c>
      <c r="N42" s="214">
        <f t="shared" si="40"/>
        <v>5.3671148693031141E-2</v>
      </c>
      <c r="O42" s="214">
        <f t="shared" si="40"/>
        <v>5.1151380084820862E-2</v>
      </c>
      <c r="P42" s="214">
        <f t="shared" si="40"/>
        <v>3.8869718501663285E-2</v>
      </c>
      <c r="Q42" s="214">
        <f t="shared" si="40"/>
        <v>3.5187093885319785E-2</v>
      </c>
      <c r="R42" s="214">
        <f t="shared" si="40"/>
        <v>5.0639805578089891E-2</v>
      </c>
      <c r="S42" s="214">
        <f t="shared" si="40"/>
        <v>4.3551843785462972E-2</v>
      </c>
      <c r="T42" s="214">
        <f t="shared" si="40"/>
        <v>4.5866943247548933E-2</v>
      </c>
      <c r="U42" s="214">
        <f t="shared" si="40"/>
        <v>4.1497846965859606E-2</v>
      </c>
    </row>
    <row r="43" spans="1:89" x14ac:dyDescent="0.25">
      <c r="A43" s="184" t="s">
        <v>336</v>
      </c>
      <c r="B43" s="64"/>
      <c r="C43" s="64"/>
      <c r="D43" s="64"/>
      <c r="E43" s="90">
        <f>E6/E9</f>
        <v>7.7697771975389476E-2</v>
      </c>
      <c r="F43" s="90">
        <f t="shared" ref="F43:U43" si="41">F6/F9</f>
        <v>8.2392910616963022E-2</v>
      </c>
      <c r="G43" s="90">
        <f t="shared" si="41"/>
        <v>8.0576680209710372E-2</v>
      </c>
      <c r="H43" s="90">
        <f t="shared" si="41"/>
        <v>9.5859838290564811E-2</v>
      </c>
      <c r="I43" s="90">
        <f t="shared" si="41"/>
        <v>0.10760376412245222</v>
      </c>
      <c r="J43" s="90">
        <f t="shared" si="41"/>
        <v>0.10504322343146068</v>
      </c>
      <c r="K43" s="90">
        <f t="shared" si="41"/>
        <v>8.5945708095326173E-2</v>
      </c>
      <c r="L43" s="90">
        <f t="shared" si="41"/>
        <v>8.947568391670363E-2</v>
      </c>
      <c r="M43" s="90">
        <f t="shared" si="41"/>
        <v>9.4065949068981414E-2</v>
      </c>
      <c r="N43" s="214">
        <f t="shared" si="41"/>
        <v>8.0081801984754938E-2</v>
      </c>
      <c r="O43" s="214">
        <f t="shared" si="41"/>
        <v>7.7796399177632911E-2</v>
      </c>
      <c r="P43" s="214">
        <f t="shared" si="41"/>
        <v>6.7582325356625228E-2</v>
      </c>
      <c r="Q43" s="214">
        <f t="shared" si="41"/>
        <v>7.2943848736268552E-2</v>
      </c>
      <c r="R43" s="214">
        <f t="shared" si="41"/>
        <v>8.2262853999202745E-2</v>
      </c>
      <c r="S43" s="214">
        <f t="shared" si="41"/>
        <v>5.7192810776910408E-2</v>
      </c>
      <c r="T43" s="214">
        <f t="shared" si="41"/>
        <v>5.6976512333501761E-2</v>
      </c>
      <c r="U43" s="214">
        <f t="shared" si="41"/>
        <v>7.9282328884722808E-2</v>
      </c>
    </row>
    <row r="44" spans="1:89" x14ac:dyDescent="0.25">
      <c r="A44" s="184" t="s">
        <v>337</v>
      </c>
      <c r="B44" s="64"/>
      <c r="C44" s="64"/>
      <c r="D44" s="64"/>
      <c r="E44" s="90">
        <f>E7/E9</f>
        <v>0.96518696200937193</v>
      </c>
      <c r="F44" s="90">
        <f t="shared" ref="F44:U44" si="42">F7/F9</f>
        <v>0.95832641401799246</v>
      </c>
      <c r="G44" s="90">
        <f t="shared" si="42"/>
        <v>0.96498600455017736</v>
      </c>
      <c r="H44" s="90">
        <f t="shared" si="42"/>
        <v>0.98362042823361029</v>
      </c>
      <c r="I44" s="90">
        <f t="shared" si="42"/>
        <v>0.99758003912025395</v>
      </c>
      <c r="J44" s="90">
        <f t="shared" si="42"/>
        <v>0.9869255190626004</v>
      </c>
      <c r="K44" s="90">
        <f t="shared" si="42"/>
        <v>0.98120160421001135</v>
      </c>
      <c r="L44" s="90">
        <f t="shared" si="42"/>
        <v>0.99396604532644872</v>
      </c>
      <c r="M44" s="90">
        <f t="shared" si="42"/>
        <v>1.006183624576672</v>
      </c>
      <c r="N44" s="214">
        <f t="shared" si="42"/>
        <v>0.9599150207475966</v>
      </c>
      <c r="O44" s="214">
        <f t="shared" si="42"/>
        <v>0.96343707044077942</v>
      </c>
      <c r="P44" s="214">
        <f t="shared" si="42"/>
        <v>0.96197875340340799</v>
      </c>
      <c r="Q44" s="214">
        <f t="shared" si="42"/>
        <v>0.97014498347130529</v>
      </c>
      <c r="R44" s="214">
        <f t="shared" si="42"/>
        <v>0.95348243852546533</v>
      </c>
      <c r="S44" s="214">
        <f t="shared" si="42"/>
        <v>0.95046821052439157</v>
      </c>
      <c r="T44" s="214">
        <f t="shared" si="42"/>
        <v>0.95223283939069114</v>
      </c>
      <c r="U44" s="214">
        <f t="shared" si="42"/>
        <v>0.98926963362202858</v>
      </c>
    </row>
    <row r="45" spans="1:89" s="225" customFormat="1" x14ac:dyDescent="0.25">
      <c r="A45" s="222" t="s">
        <v>338</v>
      </c>
      <c r="B45" s="223"/>
      <c r="C45" s="223"/>
      <c r="D45" s="223"/>
      <c r="E45" s="224">
        <f>E8/E9</f>
        <v>0.92714676312671884</v>
      </c>
      <c r="F45" s="224">
        <f t="shared" ref="F45:U45" si="43">F8/F9</f>
        <v>0.91893436344209101</v>
      </c>
      <c r="G45" s="224">
        <f t="shared" si="43"/>
        <v>0.9272363023739284</v>
      </c>
      <c r="H45" s="224">
        <f t="shared" si="43"/>
        <v>0.93106746266407181</v>
      </c>
      <c r="I45" s="224">
        <f t="shared" si="43"/>
        <v>0.92687139739445112</v>
      </c>
      <c r="J45" s="224">
        <f t="shared" si="43"/>
        <v>0.92186695631079485</v>
      </c>
      <c r="K45" s="224">
        <f t="shared" si="43"/>
        <v>0.93276058181212618</v>
      </c>
      <c r="L45" s="224">
        <f t="shared" si="43"/>
        <v>0.9442837211255759</v>
      </c>
      <c r="M45" s="224">
        <f t="shared" si="43"/>
        <v>0.94315079128164048</v>
      </c>
      <c r="N45" s="224">
        <f t="shared" si="43"/>
        <v>0.93350436745587284</v>
      </c>
      <c r="O45" s="224">
        <f t="shared" si="43"/>
        <v>0.93679205134796739</v>
      </c>
      <c r="P45" s="224">
        <f t="shared" si="43"/>
        <v>0.93326614654844608</v>
      </c>
      <c r="Q45" s="224">
        <f t="shared" si="43"/>
        <v>0.93238822862035653</v>
      </c>
      <c r="R45" s="224">
        <f t="shared" si="43"/>
        <v>0.92185939010435247</v>
      </c>
      <c r="S45" s="224">
        <f t="shared" si="43"/>
        <v>0.93682724353294411</v>
      </c>
      <c r="T45" s="224">
        <f t="shared" si="43"/>
        <v>0.94112327030473819</v>
      </c>
      <c r="U45" s="224">
        <f t="shared" si="43"/>
        <v>0.95148515170316539</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9.9728484618646696E-2</v>
      </c>
      <c r="F47" s="90">
        <f t="shared" ref="F47:U47" si="45">F10/F14</f>
        <v>8.9246598125881427E-2</v>
      </c>
      <c r="G47" s="90">
        <f t="shared" si="45"/>
        <v>8.6411726354436488E-2</v>
      </c>
      <c r="H47" s="90">
        <f t="shared" si="45"/>
        <v>8.3284616605441841E-2</v>
      </c>
      <c r="I47" s="90">
        <f t="shared" si="45"/>
        <v>9.3407633421255618E-2</v>
      </c>
      <c r="J47" s="90">
        <f t="shared" si="45"/>
        <v>8.2605868848691297E-2</v>
      </c>
      <c r="K47" s="90">
        <f t="shared" si="45"/>
        <v>0.10263253542466855</v>
      </c>
      <c r="L47" s="90">
        <f t="shared" si="45"/>
        <v>0.10726083184531859</v>
      </c>
      <c r="M47" s="90">
        <f t="shared" si="45"/>
        <v>0.11696140594202876</v>
      </c>
      <c r="N47" s="214">
        <f t="shared" si="45"/>
        <v>0.10392191000545542</v>
      </c>
      <c r="O47" s="214">
        <f t="shared" si="45"/>
        <v>0.10254372604429095</v>
      </c>
      <c r="P47" s="214">
        <f t="shared" si="45"/>
        <v>9.8559615463321593E-2</v>
      </c>
      <c r="Q47" s="214">
        <f t="shared" si="45"/>
        <v>0.10874697832276939</v>
      </c>
      <c r="R47" s="214">
        <f t="shared" si="45"/>
        <v>0.10297114635464866</v>
      </c>
      <c r="S47" s="214">
        <f t="shared" si="45"/>
        <v>0.10145943035514636</v>
      </c>
      <c r="T47" s="214">
        <f t="shared" si="45"/>
        <v>8.1622990230593814E-2</v>
      </c>
      <c r="U47" s="214">
        <f t="shared" si="45"/>
        <v>8.6818909287648224E-2</v>
      </c>
    </row>
    <row r="48" spans="1:89" x14ac:dyDescent="0.25">
      <c r="A48" s="184" t="s">
        <v>341</v>
      </c>
      <c r="B48" s="64"/>
      <c r="C48" s="64"/>
      <c r="D48" s="64"/>
      <c r="E48" s="90">
        <f>E11/E14</f>
        <v>0.58341315387159054</v>
      </c>
      <c r="F48" s="90">
        <f t="shared" ref="F48:U48" si="46">F11/F14</f>
        <v>0.59974004987376284</v>
      </c>
      <c r="G48" s="90">
        <f t="shared" si="46"/>
        <v>0.60129096560903539</v>
      </c>
      <c r="H48" s="90">
        <f t="shared" si="46"/>
        <v>0.59961040523627118</v>
      </c>
      <c r="I48" s="90">
        <f t="shared" si="46"/>
        <v>0.59305019649537016</v>
      </c>
      <c r="J48" s="90">
        <f t="shared" si="46"/>
        <v>0.60483889559131787</v>
      </c>
      <c r="K48" s="90">
        <f t="shared" si="46"/>
        <v>0.59524960876932864</v>
      </c>
      <c r="L48" s="90">
        <f t="shared" si="46"/>
        <v>0.57937547231412978</v>
      </c>
      <c r="M48" s="90">
        <f t="shared" si="46"/>
        <v>0.57579610487190402</v>
      </c>
      <c r="N48" s="214">
        <f t="shared" si="46"/>
        <v>0.59817579246315533</v>
      </c>
      <c r="O48" s="214">
        <f t="shared" si="46"/>
        <v>0.61820907702512962</v>
      </c>
      <c r="P48" s="214">
        <f t="shared" si="46"/>
        <v>0.61794619843163545</v>
      </c>
      <c r="Q48" s="214">
        <f t="shared" si="46"/>
        <v>0.62470110146693825</v>
      </c>
      <c r="R48" s="214">
        <f t="shared" si="46"/>
        <v>0.64540006769769831</v>
      </c>
      <c r="S48" s="214">
        <f t="shared" si="46"/>
        <v>0.67217720665439629</v>
      </c>
      <c r="T48" s="214">
        <f t="shared" si="46"/>
        <v>0.69018297199643053</v>
      </c>
      <c r="U48" s="214">
        <f t="shared" si="46"/>
        <v>0.6842165035247243</v>
      </c>
    </row>
    <row r="49" spans="1:21" x14ac:dyDescent="0.25">
      <c r="A49" s="184" t="s">
        <v>342</v>
      </c>
      <c r="B49" s="64"/>
      <c r="C49" s="64"/>
      <c r="D49" s="64"/>
      <c r="E49" s="90">
        <f>E12/E14</f>
        <v>0.68314163849023724</v>
      </c>
      <c r="F49" s="90">
        <f t="shared" ref="F49:U49" si="47">F12/F14</f>
        <v>0.68898664799964426</v>
      </c>
      <c r="G49" s="90">
        <f t="shared" si="47"/>
        <v>0.68770269196347189</v>
      </c>
      <c r="H49" s="90">
        <f t="shared" si="47"/>
        <v>0.68289502184171302</v>
      </c>
      <c r="I49" s="90">
        <f t="shared" si="47"/>
        <v>0.68645782991662585</v>
      </c>
      <c r="J49" s="90">
        <f t="shared" si="47"/>
        <v>0.68744476444000924</v>
      </c>
      <c r="K49" s="90">
        <f t="shared" si="47"/>
        <v>0.6978821441939973</v>
      </c>
      <c r="L49" s="90">
        <f t="shared" si="47"/>
        <v>0.68663630415944843</v>
      </c>
      <c r="M49" s="90">
        <f t="shared" si="47"/>
        <v>0.69275751081393278</v>
      </c>
      <c r="N49" s="214">
        <f t="shared" si="47"/>
        <v>0.7020977024686107</v>
      </c>
      <c r="O49" s="214">
        <f t="shared" si="47"/>
        <v>0.72075280306942058</v>
      </c>
      <c r="P49" s="214">
        <f t="shared" si="47"/>
        <v>0.71650581389495704</v>
      </c>
      <c r="Q49" s="214">
        <f t="shared" si="47"/>
        <v>0.73344807978970772</v>
      </c>
      <c r="R49" s="214">
        <f t="shared" si="47"/>
        <v>0.74837121405234686</v>
      </c>
      <c r="S49" s="214">
        <f t="shared" si="47"/>
        <v>0.77363663700954266</v>
      </c>
      <c r="T49" s="214">
        <f t="shared" si="47"/>
        <v>0.77180596222702436</v>
      </c>
      <c r="U49" s="214">
        <f t="shared" si="47"/>
        <v>0.77103541281237242</v>
      </c>
    </row>
    <row r="50" spans="1:21" x14ac:dyDescent="0.25">
      <c r="A50" s="184" t="s">
        <v>346</v>
      </c>
      <c r="B50" s="64"/>
      <c r="C50" s="64"/>
      <c r="D50" s="64"/>
      <c r="E50" s="90">
        <f>E13/E14</f>
        <v>0.31685836150976271</v>
      </c>
      <c r="F50" s="90">
        <f t="shared" ref="F50:U50" si="48">F13/F14</f>
        <v>0.31101335200035574</v>
      </c>
      <c r="G50" s="90">
        <f t="shared" si="48"/>
        <v>0.31229730803652811</v>
      </c>
      <c r="H50" s="90">
        <f t="shared" si="48"/>
        <v>0.31710497815828698</v>
      </c>
      <c r="I50" s="90">
        <f t="shared" si="48"/>
        <v>0.31354217008337415</v>
      </c>
      <c r="J50" s="90">
        <f t="shared" si="48"/>
        <v>0.31255523555999076</v>
      </c>
      <c r="K50" s="90">
        <f t="shared" si="48"/>
        <v>0.30211785580600276</v>
      </c>
      <c r="L50" s="90">
        <f t="shared" si="48"/>
        <v>0.31336369584055163</v>
      </c>
      <c r="M50" s="90">
        <f t="shared" si="48"/>
        <v>0.30724248918606722</v>
      </c>
      <c r="N50" s="214">
        <f t="shared" si="48"/>
        <v>0.29790229753138925</v>
      </c>
      <c r="O50" s="214">
        <f t="shared" si="48"/>
        <v>0.27924719693057948</v>
      </c>
      <c r="P50" s="214">
        <f t="shared" si="48"/>
        <v>0.28349418610504296</v>
      </c>
      <c r="Q50" s="214">
        <f t="shared" si="48"/>
        <v>0.26655192021029234</v>
      </c>
      <c r="R50" s="214">
        <f t="shared" si="48"/>
        <v>0.25162878594765309</v>
      </c>
      <c r="S50" s="214">
        <f t="shared" si="48"/>
        <v>0.22636336299045737</v>
      </c>
      <c r="T50" s="214">
        <f t="shared" si="48"/>
        <v>0.22819403777297562</v>
      </c>
      <c r="U50" s="214">
        <f t="shared" si="48"/>
        <v>0.22896458718762752</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2.7676539473906539E-2</v>
      </c>
      <c r="F55" s="214">
        <f t="shared" ref="F55:U55" si="51">F2/F9</f>
        <v>3.620862937271524E-2</v>
      </c>
      <c r="G55" s="214">
        <f t="shared" si="51"/>
        <v>2.7916300623283326E-2</v>
      </c>
      <c r="H55" s="214">
        <f t="shared" si="51"/>
        <v>2.118414920660153E-2</v>
      </c>
      <c r="I55" s="214">
        <f t="shared" si="51"/>
        <v>2.492049090999568E-2</v>
      </c>
      <c r="J55" s="214">
        <f t="shared" si="51"/>
        <v>3.7486627289190118E-2</v>
      </c>
      <c r="K55" s="214">
        <f t="shared" si="51"/>
        <v>3.1927073200371345E-2</v>
      </c>
      <c r="L55" s="214">
        <f t="shared" si="51"/>
        <v>2.6731149656585875E-2</v>
      </c>
      <c r="M55" s="214">
        <f t="shared" si="51"/>
        <v>4.1115068236990487E-2</v>
      </c>
      <c r="N55" s="214">
        <f t="shared" si="51"/>
        <v>5.1327505479628409E-2</v>
      </c>
      <c r="O55" s="214">
        <f t="shared" si="51"/>
        <v>4.7616428385400651E-2</v>
      </c>
      <c r="P55" s="214">
        <f t="shared" si="51"/>
        <v>4.9802894904572952E-2</v>
      </c>
      <c r="Q55" s="214">
        <f t="shared" si="51"/>
        <v>5.2046911688696747E-2</v>
      </c>
      <c r="R55" s="214">
        <f t="shared" si="51"/>
        <v>6.1680812585678549E-2</v>
      </c>
      <c r="S55" s="214">
        <f t="shared" si="51"/>
        <v>4.5046031816636231E-2</v>
      </c>
      <c r="T55" s="214">
        <f t="shared" si="51"/>
        <v>4.0032473187758898E-2</v>
      </c>
      <c r="U55" s="214">
        <f t="shared" si="51"/>
        <v>2.9514864780587378E-2</v>
      </c>
    </row>
    <row r="56" spans="1:21" x14ac:dyDescent="0.25">
      <c r="A56" s="184" t="s">
        <v>646</v>
      </c>
      <c r="B56" s="64"/>
      <c r="C56" s="64"/>
      <c r="D56" s="64"/>
      <c r="E56" s="214">
        <f>E4/E9</f>
        <v>-3.8040198882653108E-2</v>
      </c>
      <c r="F56" s="214">
        <f t="shared" ref="F56:U56" si="52">F4/F9</f>
        <v>-3.9392050575901442E-2</v>
      </c>
      <c r="G56" s="214">
        <f t="shared" si="52"/>
        <v>-3.7749702176248991E-2</v>
      </c>
      <c r="H56" s="214">
        <f t="shared" si="52"/>
        <v>-5.2552965569538396E-2</v>
      </c>
      <c r="I56" s="214">
        <f t="shared" si="52"/>
        <v>-7.0708641725802837E-2</v>
      </c>
      <c r="J56" s="214">
        <f t="shared" si="52"/>
        <v>-6.5058562751805507E-2</v>
      </c>
      <c r="K56" s="214">
        <f t="shared" si="52"/>
        <v>-4.844102239788517E-2</v>
      </c>
      <c r="L56" s="214">
        <f t="shared" si="52"/>
        <v>-4.9682324200872707E-2</v>
      </c>
      <c r="M56" s="214">
        <f t="shared" si="52"/>
        <v>-6.3032833295031482E-2</v>
      </c>
      <c r="N56" s="214">
        <f t="shared" si="52"/>
        <v>-2.6410653291723804E-2</v>
      </c>
      <c r="O56" s="214">
        <f t="shared" si="52"/>
        <v>-2.6645019092812052E-2</v>
      </c>
      <c r="P56" s="214">
        <f t="shared" si="52"/>
        <v>-2.871260685496194E-2</v>
      </c>
      <c r="Q56" s="214">
        <f t="shared" si="52"/>
        <v>-3.7756754850948759E-2</v>
      </c>
      <c r="R56" s="214">
        <f t="shared" si="52"/>
        <v>-3.1623048421112854E-2</v>
      </c>
      <c r="S56" s="214">
        <f t="shared" si="52"/>
        <v>-1.3640966991447437E-2</v>
      </c>
      <c r="T56" s="214">
        <f t="shared" si="52"/>
        <v>-1.1109569085952828E-2</v>
      </c>
      <c r="U56" s="214">
        <f t="shared" si="52"/>
        <v>-3.7784481918863203E-2</v>
      </c>
    </row>
    <row r="57" spans="1:21" x14ac:dyDescent="0.25">
      <c r="A57" s="184" t="s">
        <v>647</v>
      </c>
      <c r="B57" s="64"/>
      <c r="C57" s="64"/>
      <c r="D57" s="64"/>
      <c r="E57" s="214">
        <f>E5/E9</f>
        <v>3.9657573092736369E-2</v>
      </c>
      <c r="F57" s="214">
        <f t="shared" ref="F57:U57" si="53">F5/F9</f>
        <v>4.300086004106158E-2</v>
      </c>
      <c r="G57" s="214">
        <f t="shared" si="53"/>
        <v>4.2826978033461381E-2</v>
      </c>
      <c r="H57" s="214">
        <f t="shared" si="53"/>
        <v>4.3306872721026408E-2</v>
      </c>
      <c r="I57" s="214">
        <f t="shared" si="53"/>
        <v>3.6895122396649382E-2</v>
      </c>
      <c r="J57" s="214">
        <f t="shared" si="53"/>
        <v>3.9984660679655178E-2</v>
      </c>
      <c r="K57" s="214">
        <f t="shared" si="53"/>
        <v>3.750468569744099E-2</v>
      </c>
      <c r="L57" s="214">
        <f t="shared" si="53"/>
        <v>3.9793359715830923E-2</v>
      </c>
      <c r="M57" s="214">
        <f t="shared" si="53"/>
        <v>3.1033115773949946E-2</v>
      </c>
      <c r="N57" s="214">
        <f t="shared" si="53"/>
        <v>5.3671148693031141E-2</v>
      </c>
      <c r="O57" s="214">
        <f t="shared" si="53"/>
        <v>5.1151380084820862E-2</v>
      </c>
      <c r="P57" s="214">
        <f t="shared" si="53"/>
        <v>3.8869718501663285E-2</v>
      </c>
      <c r="Q57" s="214">
        <f t="shared" si="53"/>
        <v>3.5187093885319785E-2</v>
      </c>
      <c r="R57" s="214">
        <f t="shared" si="53"/>
        <v>5.0639805578089891E-2</v>
      </c>
      <c r="S57" s="214">
        <f t="shared" si="53"/>
        <v>4.3551843785462972E-2</v>
      </c>
      <c r="T57" s="214">
        <f t="shared" si="53"/>
        <v>4.5866943247548933E-2</v>
      </c>
      <c r="U57" s="214">
        <f t="shared" si="53"/>
        <v>4.1497846965859606E-2</v>
      </c>
    </row>
    <row r="58" spans="1:21" x14ac:dyDescent="0.25">
      <c r="A58" s="184" t="s">
        <v>648</v>
      </c>
      <c r="B58" s="64"/>
      <c r="C58" s="64"/>
      <c r="D58" s="64"/>
      <c r="E58" s="214">
        <f>E6/E9</f>
        <v>7.7697771975389476E-2</v>
      </c>
      <c r="F58" s="214">
        <f t="shared" ref="F58:U58" si="54">F6/F9</f>
        <v>8.2392910616963022E-2</v>
      </c>
      <c r="G58" s="214">
        <f t="shared" si="54"/>
        <v>8.0576680209710372E-2</v>
      </c>
      <c r="H58" s="214">
        <f t="shared" si="54"/>
        <v>9.5859838290564811E-2</v>
      </c>
      <c r="I58" s="214">
        <f t="shared" si="54"/>
        <v>0.10760376412245222</v>
      </c>
      <c r="J58" s="214">
        <f t="shared" si="54"/>
        <v>0.10504322343146068</v>
      </c>
      <c r="K58" s="214">
        <f t="shared" si="54"/>
        <v>8.5945708095326173E-2</v>
      </c>
      <c r="L58" s="214">
        <f t="shared" si="54"/>
        <v>8.947568391670363E-2</v>
      </c>
      <c r="M58" s="214">
        <f t="shared" si="54"/>
        <v>9.4065949068981414E-2</v>
      </c>
      <c r="N58" s="214">
        <f t="shared" si="54"/>
        <v>8.0081801984754938E-2</v>
      </c>
      <c r="O58" s="214">
        <f t="shared" si="54"/>
        <v>7.7796399177632911E-2</v>
      </c>
      <c r="P58" s="214">
        <f t="shared" si="54"/>
        <v>6.7582325356625228E-2</v>
      </c>
      <c r="Q58" s="214">
        <f t="shared" si="54"/>
        <v>7.2943848736268552E-2</v>
      </c>
      <c r="R58" s="214">
        <f t="shared" si="54"/>
        <v>8.2262853999202745E-2</v>
      </c>
      <c r="S58" s="214">
        <f t="shared" si="54"/>
        <v>5.7192810776910408E-2</v>
      </c>
      <c r="T58" s="214">
        <f t="shared" si="54"/>
        <v>5.6976512333501761E-2</v>
      </c>
      <c r="U58" s="214">
        <f t="shared" si="54"/>
        <v>7.9282328884722808E-2</v>
      </c>
    </row>
    <row r="59" spans="1:21" s="225" customFormat="1" x14ac:dyDescent="0.25">
      <c r="A59" s="227" t="s">
        <v>642</v>
      </c>
      <c r="B59" s="223"/>
      <c r="C59" s="223"/>
      <c r="D59" s="223"/>
      <c r="E59" s="224">
        <f>E55+E56</f>
        <v>-1.0363659408746569E-2</v>
      </c>
      <c r="F59" s="224">
        <f t="shared" ref="F59:U59" si="55">F55+F56</f>
        <v>-3.1834212031862028E-3</v>
      </c>
      <c r="G59" s="224">
        <f t="shared" si="55"/>
        <v>-9.8334015529656649E-3</v>
      </c>
      <c r="H59" s="224">
        <f t="shared" si="55"/>
        <v>-3.1368816362936869E-2</v>
      </c>
      <c r="I59" s="224">
        <f t="shared" si="55"/>
        <v>-4.5788150815807158E-2</v>
      </c>
      <c r="J59" s="224">
        <f t="shared" si="55"/>
        <v>-2.7571935462615389E-2</v>
      </c>
      <c r="K59" s="224">
        <f t="shared" si="55"/>
        <v>-1.6513949197513825E-2</v>
      </c>
      <c r="L59" s="224">
        <f t="shared" si="55"/>
        <v>-2.2951174544286832E-2</v>
      </c>
      <c r="M59" s="224">
        <f t="shared" si="55"/>
        <v>-2.1917765058040994E-2</v>
      </c>
      <c r="N59" s="224">
        <f t="shared" si="55"/>
        <v>2.4916852187904605E-2</v>
      </c>
      <c r="O59" s="224">
        <f t="shared" si="55"/>
        <v>2.0971409292588599E-2</v>
      </c>
      <c r="P59" s="224">
        <f t="shared" si="55"/>
        <v>2.1090288049611012E-2</v>
      </c>
      <c r="Q59" s="224">
        <f t="shared" si="55"/>
        <v>1.4290156837747987E-2</v>
      </c>
      <c r="R59" s="224">
        <f t="shared" si="55"/>
        <v>3.0057764164565695E-2</v>
      </c>
      <c r="S59" s="224">
        <f t="shared" si="55"/>
        <v>3.1405064825188796E-2</v>
      </c>
      <c r="T59" s="224">
        <f t="shared" si="55"/>
        <v>2.892290410180607E-2</v>
      </c>
      <c r="U59" s="224">
        <f t="shared" si="55"/>
        <v>-8.2696171382758248E-3</v>
      </c>
    </row>
    <row r="60" spans="1:21" x14ac:dyDescent="0.25">
      <c r="A60" s="184" t="s">
        <v>649</v>
      </c>
      <c r="B60" s="64"/>
      <c r="C60" s="64"/>
      <c r="D60" s="64"/>
      <c r="E60" s="214">
        <f>E3/E9</f>
        <v>4.5176697399374591E-2</v>
      </c>
      <c r="F60" s="214">
        <f t="shared" ref="F60:U60" si="56">F3/F9</f>
        <v>4.4857007185193781E-2</v>
      </c>
      <c r="G60" s="214">
        <f t="shared" si="56"/>
        <v>4.484739700278817E-2</v>
      </c>
      <c r="H60" s="214">
        <f t="shared" si="56"/>
        <v>4.7748388129326615E-2</v>
      </c>
      <c r="I60" s="214">
        <f t="shared" si="56"/>
        <v>4.8208111695553189E-2</v>
      </c>
      <c r="J60" s="214">
        <f t="shared" si="56"/>
        <v>4.0646416400015095E-2</v>
      </c>
      <c r="K60" s="214">
        <f t="shared" si="56"/>
        <v>3.5312344987502568E-2</v>
      </c>
      <c r="L60" s="214">
        <f t="shared" si="56"/>
        <v>2.8985129217838249E-2</v>
      </c>
      <c r="M60" s="214">
        <f t="shared" si="56"/>
        <v>1.5734140481369084E-2</v>
      </c>
      <c r="N60" s="214">
        <f t="shared" si="56"/>
        <v>1.5168127064498778E-2</v>
      </c>
      <c r="O60" s="214">
        <f t="shared" si="56"/>
        <v>1.5591520266631916E-2</v>
      </c>
      <c r="P60" s="214">
        <f t="shared" si="56"/>
        <v>1.6930958546980932E-2</v>
      </c>
      <c r="Q60" s="214">
        <f t="shared" si="56"/>
        <v>1.5564859690946743E-2</v>
      </c>
      <c r="R60" s="214">
        <f t="shared" si="56"/>
        <v>1.645979730996884E-2</v>
      </c>
      <c r="S60" s="214">
        <f t="shared" si="56"/>
        <v>1.8126724650419635E-2</v>
      </c>
      <c r="T60" s="214">
        <f t="shared" si="56"/>
        <v>1.8844256507502925E-2</v>
      </c>
      <c r="U60" s="214">
        <f t="shared" si="56"/>
        <v>1.8999983516247262E-2</v>
      </c>
    </row>
    <row r="61" spans="1:21" x14ac:dyDescent="0.25">
      <c r="A61" s="184" t="s">
        <v>650</v>
      </c>
      <c r="B61" s="64"/>
      <c r="C61" s="64"/>
      <c r="D61" s="64"/>
      <c r="E61" s="214">
        <f>E7/E9</f>
        <v>0.96518696200937193</v>
      </c>
      <c r="F61" s="214">
        <f t="shared" ref="F61:U61" si="57">F7/F9</f>
        <v>0.95832641401799246</v>
      </c>
      <c r="G61" s="214">
        <f t="shared" si="57"/>
        <v>0.96498600455017736</v>
      </c>
      <c r="H61" s="214">
        <f t="shared" si="57"/>
        <v>0.98362042823361029</v>
      </c>
      <c r="I61" s="214">
        <f t="shared" si="57"/>
        <v>0.99758003912025395</v>
      </c>
      <c r="J61" s="214">
        <f t="shared" si="57"/>
        <v>0.9869255190626004</v>
      </c>
      <c r="K61" s="214">
        <f t="shared" si="57"/>
        <v>0.98120160421001135</v>
      </c>
      <c r="L61" s="214">
        <f t="shared" si="57"/>
        <v>0.99396604532644872</v>
      </c>
      <c r="M61" s="214">
        <f t="shared" si="57"/>
        <v>1.006183624576672</v>
      </c>
      <c r="N61" s="214">
        <f t="shared" si="57"/>
        <v>0.9599150207475966</v>
      </c>
      <c r="O61" s="214">
        <f t="shared" si="57"/>
        <v>0.96343707044077942</v>
      </c>
      <c r="P61" s="214">
        <f t="shared" si="57"/>
        <v>0.96197875340340799</v>
      </c>
      <c r="Q61" s="214">
        <f t="shared" si="57"/>
        <v>0.97014498347130529</v>
      </c>
      <c r="R61" s="214">
        <f t="shared" si="57"/>
        <v>0.95348243852546533</v>
      </c>
      <c r="S61" s="214">
        <f t="shared" si="57"/>
        <v>0.95046821052439157</v>
      </c>
      <c r="T61" s="214">
        <f t="shared" si="57"/>
        <v>0.95223283939069114</v>
      </c>
      <c r="U61" s="214">
        <f t="shared" si="57"/>
        <v>0.98926963362202858</v>
      </c>
    </row>
    <row r="62" spans="1:21" s="225" customFormat="1" x14ac:dyDescent="0.25">
      <c r="A62" s="227" t="s">
        <v>643</v>
      </c>
      <c r="B62" s="223"/>
      <c r="C62" s="223"/>
      <c r="D62" s="223"/>
      <c r="E62" s="224">
        <f>E60+E61</f>
        <v>1.0103636594087466</v>
      </c>
      <c r="F62" s="224">
        <f t="shared" ref="F62:M62" si="58">F60+F61</f>
        <v>1.0031834212031863</v>
      </c>
      <c r="G62" s="224">
        <f t="shared" si="58"/>
        <v>1.0098334015529655</v>
      </c>
      <c r="H62" s="224">
        <f t="shared" si="58"/>
        <v>1.0313688163629369</v>
      </c>
      <c r="I62" s="224">
        <f t="shared" si="58"/>
        <v>1.0457881508158071</v>
      </c>
      <c r="J62" s="224">
        <f t="shared" si="58"/>
        <v>1.0275719354626154</v>
      </c>
      <c r="K62" s="224">
        <f t="shared" si="58"/>
        <v>1.0165139491975139</v>
      </c>
      <c r="L62" s="224">
        <f t="shared" si="58"/>
        <v>1.022951174544287</v>
      </c>
      <c r="M62" s="224">
        <f t="shared" si="58"/>
        <v>1.0219177650580411</v>
      </c>
      <c r="N62" s="224">
        <f t="shared" ref="N62" si="59">N60+N61</f>
        <v>0.97508314781209537</v>
      </c>
      <c r="O62" s="224">
        <f t="shared" ref="O62" si="60">O60+O61</f>
        <v>0.97902859070741133</v>
      </c>
      <c r="P62" s="224">
        <f t="shared" ref="P62" si="61">P60+P61</f>
        <v>0.97890971195038889</v>
      </c>
      <c r="Q62" s="224">
        <f t="shared" ref="Q62" si="62">Q60+Q61</f>
        <v>0.98570984316225208</v>
      </c>
      <c r="R62" s="224">
        <f t="shared" ref="R62" si="63">R60+R61</f>
        <v>0.96994223583543415</v>
      </c>
      <c r="S62" s="224">
        <f t="shared" ref="S62" si="64">S60+S61</f>
        <v>0.96859493517481121</v>
      </c>
      <c r="T62" s="224">
        <f t="shared" ref="T62" si="65">T60+T61</f>
        <v>0.97107709589819402</v>
      </c>
      <c r="U62" s="224">
        <f t="shared" ref="U62" si="66">U60+U61</f>
        <v>1.0082696171382759</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19270798972.66</v>
      </c>
      <c r="F67" s="193">
        <f t="shared" ref="F67:U67" si="68">F10</f>
        <v>17269076586.129997</v>
      </c>
      <c r="G67" s="193">
        <f t="shared" si="68"/>
        <v>16497306343.279999</v>
      </c>
      <c r="H67" s="193">
        <f t="shared" si="68"/>
        <v>15558353447.380001</v>
      </c>
      <c r="I67" s="193">
        <f t="shared" si="68"/>
        <v>17141533878.880001</v>
      </c>
      <c r="J67" s="193">
        <f t="shared" si="68"/>
        <v>14861031972.02</v>
      </c>
      <c r="K67" s="193">
        <f t="shared" si="68"/>
        <v>18219677020.43</v>
      </c>
      <c r="L67" s="193">
        <f t="shared" si="68"/>
        <v>18444748409.150002</v>
      </c>
      <c r="M67" s="193">
        <f t="shared" si="68"/>
        <v>19617472101.889999</v>
      </c>
      <c r="N67" s="193">
        <f t="shared" si="68"/>
        <v>17177312189.920002</v>
      </c>
      <c r="O67" s="193">
        <f t="shared" si="68"/>
        <v>16644265153.490002</v>
      </c>
      <c r="P67" s="193">
        <f t="shared" si="68"/>
        <v>16069506289.530001</v>
      </c>
      <c r="Q67" s="193">
        <f t="shared" si="68"/>
        <v>17491092518.68</v>
      </c>
      <c r="R67" s="193">
        <f t="shared" si="68"/>
        <v>16500121528.119999</v>
      </c>
      <c r="S67" s="193">
        <f t="shared" si="68"/>
        <v>15717076726.98</v>
      </c>
      <c r="T67" s="193">
        <f t="shared" si="68"/>
        <v>12613955322.58</v>
      </c>
      <c r="U67" s="193">
        <f t="shared" si="68"/>
        <v>12829776601.360001</v>
      </c>
    </row>
    <row r="68" spans="1:21" x14ac:dyDescent="0.25">
      <c r="A68" s="17" t="s">
        <v>653</v>
      </c>
      <c r="E68" s="193">
        <f>E11</f>
        <v>112734467481.95001</v>
      </c>
      <c r="F68" s="193">
        <f t="shared" ref="F68:U68" si="69">F11</f>
        <v>116048757829.75</v>
      </c>
      <c r="G68" s="193">
        <f t="shared" si="69"/>
        <v>114795545461.17</v>
      </c>
      <c r="H68" s="193">
        <f t="shared" si="69"/>
        <v>112012890202.62</v>
      </c>
      <c r="I68" s="193">
        <f t="shared" si="69"/>
        <v>108832540369.11</v>
      </c>
      <c r="J68" s="193">
        <f t="shared" si="69"/>
        <v>108812246521.71001</v>
      </c>
      <c r="K68" s="193">
        <f t="shared" si="69"/>
        <v>105670736608.42</v>
      </c>
      <c r="L68" s="193">
        <f t="shared" si="69"/>
        <v>99630355623.919998</v>
      </c>
      <c r="M68" s="193">
        <f t="shared" si="69"/>
        <v>96575993873.570007</v>
      </c>
      <c r="N68" s="193">
        <f t="shared" si="69"/>
        <v>98872820284.51001</v>
      </c>
      <c r="O68" s="193">
        <f t="shared" si="69"/>
        <v>100343884460.14</v>
      </c>
      <c r="P68" s="193">
        <f t="shared" si="69"/>
        <v>100752121196.98</v>
      </c>
      <c r="Q68" s="193">
        <f t="shared" si="69"/>
        <v>100478237931.8</v>
      </c>
      <c r="R68" s="193">
        <f t="shared" si="69"/>
        <v>103419063769.48999</v>
      </c>
      <c r="S68" s="193">
        <f t="shared" si="69"/>
        <v>104126947038.18001</v>
      </c>
      <c r="T68" s="193">
        <f t="shared" si="69"/>
        <v>106660355722.98001</v>
      </c>
      <c r="U68" s="193">
        <f t="shared" si="69"/>
        <v>101110978693.61</v>
      </c>
    </row>
    <row r="69" spans="1:21" x14ac:dyDescent="0.25">
      <c r="A69" s="17" t="s">
        <v>654</v>
      </c>
      <c r="E69" s="193">
        <f>E12</f>
        <v>132005266454.61002</v>
      </c>
      <c r="F69" s="193">
        <f t="shared" ref="F69:U69" si="70">F12</f>
        <v>133317834415.88</v>
      </c>
      <c r="G69" s="193">
        <f t="shared" si="70"/>
        <v>131292851804.45</v>
      </c>
      <c r="H69" s="193">
        <f t="shared" si="70"/>
        <v>127571243650</v>
      </c>
      <c r="I69" s="193">
        <f t="shared" si="70"/>
        <v>125974074247.99001</v>
      </c>
      <c r="J69" s="193">
        <f t="shared" si="70"/>
        <v>123673278493.73001</v>
      </c>
      <c r="K69" s="193">
        <f t="shared" si="70"/>
        <v>123890413628.85001</v>
      </c>
      <c r="L69" s="193">
        <f t="shared" si="70"/>
        <v>118075104033.07001</v>
      </c>
      <c r="M69" s="193">
        <f t="shared" si="70"/>
        <v>116193465975.46001</v>
      </c>
      <c r="N69" s="193">
        <f t="shared" si="70"/>
        <v>116050132474.43001</v>
      </c>
      <c r="O69" s="193">
        <f t="shared" si="70"/>
        <v>116988149613.63</v>
      </c>
      <c r="P69" s="193">
        <f t="shared" si="70"/>
        <v>116821627486.50999</v>
      </c>
      <c r="Q69" s="193">
        <f t="shared" si="70"/>
        <v>117969330450.48001</v>
      </c>
      <c r="R69" s="193">
        <f t="shared" si="70"/>
        <v>119919185297.60999</v>
      </c>
      <c r="S69" s="193">
        <f t="shared" si="70"/>
        <v>119844023765.16</v>
      </c>
      <c r="T69" s="193">
        <f t="shared" si="70"/>
        <v>119274311045.56001</v>
      </c>
      <c r="U69" s="193">
        <f t="shared" si="70"/>
        <v>113940755294.97</v>
      </c>
    </row>
    <row r="70" spans="1:21" s="234" customFormat="1" x14ac:dyDescent="0.25">
      <c r="A70" s="234" t="s">
        <v>657</v>
      </c>
      <c r="E70" s="234">
        <f>E69/E74</f>
        <v>0.68314163849023724</v>
      </c>
      <c r="F70" s="234">
        <f t="shared" ref="F70:U70" si="71">F69/F74</f>
        <v>0.68898664799964426</v>
      </c>
      <c r="G70" s="234">
        <f t="shared" si="71"/>
        <v>0.68770269196347189</v>
      </c>
      <c r="H70" s="234">
        <f t="shared" si="71"/>
        <v>0.68289502184171302</v>
      </c>
      <c r="I70" s="234">
        <f t="shared" si="71"/>
        <v>0.68645782991662585</v>
      </c>
      <c r="J70" s="234">
        <f t="shared" si="71"/>
        <v>0.68744476444000924</v>
      </c>
      <c r="K70" s="234">
        <f t="shared" si="71"/>
        <v>0.6978821441939973</v>
      </c>
      <c r="L70" s="234">
        <f t="shared" si="71"/>
        <v>0.68663630415944843</v>
      </c>
      <c r="M70" s="234">
        <f t="shared" si="71"/>
        <v>0.69275751081393278</v>
      </c>
      <c r="N70" s="234">
        <f t="shared" si="71"/>
        <v>0.7020977024686107</v>
      </c>
      <c r="O70" s="234">
        <f t="shared" si="71"/>
        <v>0.72075280306942058</v>
      </c>
      <c r="P70" s="234">
        <f t="shared" si="71"/>
        <v>0.71650581389495704</v>
      </c>
      <c r="Q70" s="234">
        <f t="shared" si="71"/>
        <v>0.73344807978970772</v>
      </c>
      <c r="R70" s="234">
        <f t="shared" si="71"/>
        <v>0.74837121405234686</v>
      </c>
      <c r="S70" s="234">
        <f t="shared" si="71"/>
        <v>0.77363663700954266</v>
      </c>
      <c r="T70" s="234">
        <f t="shared" si="71"/>
        <v>0.77180596222702436</v>
      </c>
      <c r="U70" s="234">
        <f t="shared" si="71"/>
        <v>0.77103541281237242</v>
      </c>
    </row>
    <row r="71" spans="1:21" x14ac:dyDescent="0.25">
      <c r="A71" s="17" t="s">
        <v>655</v>
      </c>
      <c r="E71" s="193">
        <f>E13</f>
        <v>61227379627.899994</v>
      </c>
      <c r="F71" s="193">
        <f t="shared" ref="F71:U71" si="72">F13</f>
        <v>60180595202.379944</v>
      </c>
      <c r="G71" s="193">
        <f t="shared" si="72"/>
        <v>59622282509.759964</v>
      </c>
      <c r="H71" s="193">
        <f t="shared" si="72"/>
        <v>59238206660.460022</v>
      </c>
      <c r="I71" s="193">
        <f t="shared" si="72"/>
        <v>57539127521.87001</v>
      </c>
      <c r="J71" s="193">
        <f t="shared" si="72"/>
        <v>56229580457.379974</v>
      </c>
      <c r="K71" s="193">
        <f t="shared" si="72"/>
        <v>53632990085.589996</v>
      </c>
      <c r="L71" s="193">
        <f t="shared" si="72"/>
        <v>53886534636.199951</v>
      </c>
      <c r="M71" s="193">
        <f t="shared" si="72"/>
        <v>51532562485.699936</v>
      </c>
      <c r="N71" s="193">
        <f t="shared" si="72"/>
        <v>49240441852.179977</v>
      </c>
      <c r="O71" s="193">
        <f t="shared" si="72"/>
        <v>45325682695.339996</v>
      </c>
      <c r="P71" s="193">
        <f t="shared" si="72"/>
        <v>46221889008.439987</v>
      </c>
      <c r="Q71" s="193">
        <f t="shared" si="72"/>
        <v>42872770989.47995</v>
      </c>
      <c r="R71" s="193">
        <f t="shared" si="72"/>
        <v>40321057840.900024</v>
      </c>
      <c r="S71" s="193">
        <f t="shared" si="72"/>
        <v>35065940463.539978</v>
      </c>
      <c r="T71" s="193">
        <f t="shared" si="72"/>
        <v>35264934416.339951</v>
      </c>
      <c r="U71" s="193">
        <f t="shared" si="72"/>
        <v>33835537987.549957</v>
      </c>
    </row>
    <row r="72" spans="1:21" s="234" customFormat="1" x14ac:dyDescent="0.25">
      <c r="A72" s="234" t="s">
        <v>658</v>
      </c>
      <c r="E72" s="234">
        <f>E71/E74</f>
        <v>0.31685836150976271</v>
      </c>
      <c r="F72" s="234">
        <f t="shared" ref="F72:U72" si="73">F71/F74</f>
        <v>0.31101335200035574</v>
      </c>
      <c r="G72" s="234">
        <f t="shared" si="73"/>
        <v>0.31229730803652811</v>
      </c>
      <c r="H72" s="234">
        <f t="shared" si="73"/>
        <v>0.31710497815828698</v>
      </c>
      <c r="I72" s="234">
        <f t="shared" si="73"/>
        <v>0.31354217008337415</v>
      </c>
      <c r="J72" s="234">
        <f t="shared" si="73"/>
        <v>0.31255523555999076</v>
      </c>
      <c r="K72" s="234">
        <f t="shared" si="73"/>
        <v>0.30211785580600276</v>
      </c>
      <c r="L72" s="234">
        <f t="shared" si="73"/>
        <v>0.31336369584055163</v>
      </c>
      <c r="M72" s="234">
        <f t="shared" si="73"/>
        <v>0.30724248918606722</v>
      </c>
      <c r="N72" s="234">
        <f t="shared" si="73"/>
        <v>0.29790229753138925</v>
      </c>
      <c r="O72" s="234">
        <f t="shared" si="73"/>
        <v>0.27924719693057948</v>
      </c>
      <c r="P72" s="234">
        <f t="shared" si="73"/>
        <v>0.28349418610504296</v>
      </c>
      <c r="Q72" s="234">
        <f t="shared" si="73"/>
        <v>0.26655192021029234</v>
      </c>
      <c r="R72" s="234">
        <f t="shared" si="73"/>
        <v>0.25162878594765309</v>
      </c>
      <c r="S72" s="234">
        <f t="shared" si="73"/>
        <v>0.22636336299045737</v>
      </c>
      <c r="T72" s="234">
        <f t="shared" si="73"/>
        <v>0.22819403777297562</v>
      </c>
      <c r="U72" s="234">
        <f t="shared" si="73"/>
        <v>0.22896458718762752</v>
      </c>
    </row>
    <row r="73" spans="1:21" s="236" customFormat="1" x14ac:dyDescent="0.25">
      <c r="A73" s="235" t="s">
        <v>659</v>
      </c>
      <c r="E73" s="237">
        <f>E74/E71</f>
        <v>3.1559842550318464</v>
      </c>
      <c r="F73" s="237">
        <f t="shared" ref="F73:U73" si="74">F74/F71</f>
        <v>3.2152960429777826</v>
      </c>
      <c r="G73" s="237">
        <f t="shared" si="74"/>
        <v>3.2020769128212727</v>
      </c>
      <c r="H73" s="237">
        <f t="shared" si="74"/>
        <v>3.1535298052017251</v>
      </c>
      <c r="I73" s="237">
        <f t="shared" si="74"/>
        <v>3.1893636499807649</v>
      </c>
      <c r="J73" s="237">
        <f t="shared" si="74"/>
        <v>3.1994344878221166</v>
      </c>
      <c r="K73" s="237">
        <f t="shared" si="74"/>
        <v>3.3099665603416848</v>
      </c>
      <c r="L73" s="237">
        <f t="shared" si="74"/>
        <v>3.1911801311815919</v>
      </c>
      <c r="M73" s="237">
        <f t="shared" si="74"/>
        <v>3.2547581639803607</v>
      </c>
      <c r="N73" s="237">
        <f t="shared" si="74"/>
        <v>3.3568052622844657</v>
      </c>
      <c r="O73" s="237">
        <f t="shared" si="74"/>
        <v>3.5810565369742955</v>
      </c>
      <c r="P73" s="237">
        <f t="shared" si="74"/>
        <v>3.5274091992471077</v>
      </c>
      <c r="Q73" s="237">
        <f t="shared" si="74"/>
        <v>3.7516143166819593</v>
      </c>
      <c r="R73" s="237">
        <f t="shared" si="74"/>
        <v>3.9741081141965697</v>
      </c>
      <c r="S73" s="237">
        <f t="shared" si="74"/>
        <v>4.417676017837552</v>
      </c>
      <c r="T73" s="237">
        <f t="shared" si="74"/>
        <v>4.3822354420796668</v>
      </c>
      <c r="U73" s="237">
        <f t="shared" si="74"/>
        <v>4.3674876201730664</v>
      </c>
    </row>
    <row r="74" spans="1:21" x14ac:dyDescent="0.25">
      <c r="A74" s="17" t="s">
        <v>656</v>
      </c>
      <c r="E74" s="193">
        <f>E14</f>
        <v>193232646082.51001</v>
      </c>
      <c r="F74" s="193">
        <f t="shared" ref="F74:U74" si="75">F14</f>
        <v>193498429618.25995</v>
      </c>
      <c r="G74" s="193">
        <f t="shared" si="75"/>
        <v>190915134314.20996</v>
      </c>
      <c r="H74" s="193">
        <f t="shared" si="75"/>
        <v>186809450310.46002</v>
      </c>
      <c r="I74" s="193">
        <f t="shared" si="75"/>
        <v>183513201769.86002</v>
      </c>
      <c r="J74" s="193">
        <f t="shared" si="75"/>
        <v>179902858951.10999</v>
      </c>
      <c r="K74" s="193">
        <f t="shared" si="75"/>
        <v>177523403714.44</v>
      </c>
      <c r="L74" s="193">
        <f t="shared" si="75"/>
        <v>171961638669.26996</v>
      </c>
      <c r="M74" s="193">
        <f t="shared" si="75"/>
        <v>167726028461.15994</v>
      </c>
      <c r="N74" s="193">
        <f t="shared" si="75"/>
        <v>165290574326.60999</v>
      </c>
      <c r="O74" s="193">
        <f t="shared" si="75"/>
        <v>162313832308.97</v>
      </c>
      <c r="P74" s="193">
        <f t="shared" si="75"/>
        <v>163043516494.94998</v>
      </c>
      <c r="Q74" s="193">
        <f t="shared" si="75"/>
        <v>160842101439.95996</v>
      </c>
      <c r="R74" s="193">
        <f t="shared" si="75"/>
        <v>160240243138.51001</v>
      </c>
      <c r="S74" s="193">
        <f t="shared" si="75"/>
        <v>154909964228.69998</v>
      </c>
      <c r="T74" s="193">
        <f t="shared" si="75"/>
        <v>154539245461.89996</v>
      </c>
      <c r="U74" s="193">
        <f t="shared" si="75"/>
        <v>147776293282.51996</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19270798972.66</v>
      </c>
      <c r="F78" s="89">
        <f t="shared" ref="F78:U78" si="77">F10</f>
        <v>17269076586.129997</v>
      </c>
      <c r="G78" s="89">
        <f t="shared" si="77"/>
        <v>16497306343.279999</v>
      </c>
      <c r="H78" s="89">
        <f t="shared" si="77"/>
        <v>15558353447.380001</v>
      </c>
      <c r="I78" s="89">
        <f t="shared" si="77"/>
        <v>17141533878.880001</v>
      </c>
      <c r="J78" s="89">
        <f t="shared" si="77"/>
        <v>14861031972.02</v>
      </c>
      <c r="K78" s="89">
        <f t="shared" si="77"/>
        <v>18219677020.43</v>
      </c>
      <c r="L78" s="89">
        <f t="shared" si="77"/>
        <v>18444748409.150002</v>
      </c>
      <c r="M78" s="89">
        <f t="shared" si="77"/>
        <v>19617472101.889999</v>
      </c>
      <c r="N78" s="89">
        <f t="shared" si="77"/>
        <v>17177312189.920002</v>
      </c>
      <c r="O78" s="89">
        <f t="shared" si="77"/>
        <v>16644265153.490002</v>
      </c>
      <c r="P78" s="89">
        <f t="shared" si="77"/>
        <v>16069506289.530001</v>
      </c>
      <c r="Q78" s="89">
        <f t="shared" si="77"/>
        <v>17491092518.68</v>
      </c>
      <c r="R78" s="89">
        <f t="shared" si="77"/>
        <v>16500121528.119999</v>
      </c>
      <c r="S78" s="89">
        <f t="shared" si="77"/>
        <v>15717076726.98</v>
      </c>
      <c r="T78" s="89">
        <f t="shared" si="77"/>
        <v>12613955322.58</v>
      </c>
      <c r="U78" s="89">
        <f t="shared" si="77"/>
        <v>12829776601.360001</v>
      </c>
    </row>
    <row r="79" spans="1:21" x14ac:dyDescent="0.25">
      <c r="A79" s="184" t="s">
        <v>661</v>
      </c>
      <c r="B79" s="64"/>
      <c r="C79" s="64"/>
      <c r="D79" s="64"/>
      <c r="E79" s="89">
        <f>E78</f>
        <v>19270798972.66</v>
      </c>
      <c r="F79" s="89">
        <f t="shared" ref="F79:U79" si="78">F78</f>
        <v>17269076586.129997</v>
      </c>
      <c r="G79" s="89">
        <f t="shared" si="78"/>
        <v>16497306343.279999</v>
      </c>
      <c r="H79" s="89">
        <f t="shared" si="78"/>
        <v>15558353447.380001</v>
      </c>
      <c r="I79" s="89">
        <f t="shared" si="78"/>
        <v>17141533878.880001</v>
      </c>
      <c r="J79" s="89">
        <f t="shared" si="78"/>
        <v>14861031972.02</v>
      </c>
      <c r="K79" s="89">
        <f t="shared" si="78"/>
        <v>18219677020.43</v>
      </c>
      <c r="L79" s="89">
        <f t="shared" si="78"/>
        <v>18444748409.150002</v>
      </c>
      <c r="M79" s="89">
        <f t="shared" si="78"/>
        <v>19617472101.889999</v>
      </c>
      <c r="N79" s="89">
        <f t="shared" si="78"/>
        <v>17177312189.920002</v>
      </c>
      <c r="O79" s="89">
        <f t="shared" si="78"/>
        <v>16644265153.490002</v>
      </c>
      <c r="P79" s="89">
        <f t="shared" si="78"/>
        <v>16069506289.530001</v>
      </c>
      <c r="Q79" s="89">
        <f t="shared" si="78"/>
        <v>17491092518.68</v>
      </c>
      <c r="R79" s="89">
        <f t="shared" si="78"/>
        <v>16500121528.119999</v>
      </c>
      <c r="S79" s="89">
        <f t="shared" si="78"/>
        <v>15717076726.98</v>
      </c>
      <c r="T79" s="89">
        <f t="shared" si="78"/>
        <v>12613955322.58</v>
      </c>
      <c r="U79" s="89">
        <f t="shared" si="78"/>
        <v>12829776601.360001</v>
      </c>
    </row>
    <row r="80" spans="1:21" s="220" customFormat="1" x14ac:dyDescent="0.25">
      <c r="A80" s="224" t="s">
        <v>662</v>
      </c>
      <c r="B80" s="224"/>
      <c r="C80" s="224"/>
      <c r="D80" s="224"/>
      <c r="E80" s="224">
        <f>E79/E85</f>
        <v>9.9728484618646696E-2</v>
      </c>
      <c r="F80" s="224">
        <f t="shared" ref="F80:U80" si="79">F79/F85</f>
        <v>8.9246598125881427E-2</v>
      </c>
      <c r="G80" s="224">
        <f t="shared" si="79"/>
        <v>8.6411726354436488E-2</v>
      </c>
      <c r="H80" s="224">
        <f t="shared" si="79"/>
        <v>8.3284616605441841E-2</v>
      </c>
      <c r="I80" s="224">
        <f t="shared" si="79"/>
        <v>9.3407633421255618E-2</v>
      </c>
      <c r="J80" s="224">
        <f t="shared" si="79"/>
        <v>8.2605868848691297E-2</v>
      </c>
      <c r="K80" s="224">
        <f t="shared" si="79"/>
        <v>0.10263253542466855</v>
      </c>
      <c r="L80" s="224">
        <f t="shared" si="79"/>
        <v>0.10726083184531859</v>
      </c>
      <c r="M80" s="224">
        <f t="shared" si="79"/>
        <v>0.11696140594202876</v>
      </c>
      <c r="N80" s="224">
        <f t="shared" si="79"/>
        <v>0.10392191000545542</v>
      </c>
      <c r="O80" s="224">
        <f t="shared" si="79"/>
        <v>0.10254372604429095</v>
      </c>
      <c r="P80" s="224">
        <f t="shared" si="79"/>
        <v>9.8559615463321593E-2</v>
      </c>
      <c r="Q80" s="224">
        <f t="shared" si="79"/>
        <v>0.10874697832276939</v>
      </c>
      <c r="R80" s="224">
        <f t="shared" si="79"/>
        <v>0.10297114635464866</v>
      </c>
      <c r="S80" s="224">
        <f t="shared" si="79"/>
        <v>0.10145943035514636</v>
      </c>
      <c r="T80" s="224">
        <f t="shared" si="79"/>
        <v>8.1622990230593814E-2</v>
      </c>
      <c r="U80" s="224">
        <f t="shared" si="79"/>
        <v>8.6818909287648224E-2</v>
      </c>
    </row>
    <row r="81" spans="1:21" x14ac:dyDescent="0.25">
      <c r="A81" s="184" t="s">
        <v>653</v>
      </c>
      <c r="B81" s="64"/>
      <c r="C81" s="64"/>
      <c r="D81" s="64"/>
      <c r="E81" s="89">
        <f>E11</f>
        <v>112734467481.95001</v>
      </c>
      <c r="F81" s="89">
        <f t="shared" ref="F81:U81" si="80">F11</f>
        <v>116048757829.75</v>
      </c>
      <c r="G81" s="89">
        <f t="shared" si="80"/>
        <v>114795545461.17</v>
      </c>
      <c r="H81" s="89">
        <f t="shared" si="80"/>
        <v>112012890202.62</v>
      </c>
      <c r="I81" s="89">
        <f t="shared" si="80"/>
        <v>108832540369.11</v>
      </c>
      <c r="J81" s="89">
        <f t="shared" si="80"/>
        <v>108812246521.71001</v>
      </c>
      <c r="K81" s="89">
        <f t="shared" si="80"/>
        <v>105670736608.42</v>
      </c>
      <c r="L81" s="89">
        <f t="shared" si="80"/>
        <v>99630355623.919998</v>
      </c>
      <c r="M81" s="89">
        <f t="shared" si="80"/>
        <v>96575993873.570007</v>
      </c>
      <c r="N81" s="89">
        <f t="shared" si="80"/>
        <v>98872820284.51001</v>
      </c>
      <c r="O81" s="89">
        <f t="shared" si="80"/>
        <v>100343884460.14</v>
      </c>
      <c r="P81" s="89">
        <f t="shared" si="80"/>
        <v>100752121196.98</v>
      </c>
      <c r="Q81" s="89">
        <f t="shared" si="80"/>
        <v>100478237931.8</v>
      </c>
      <c r="R81" s="89">
        <f t="shared" si="80"/>
        <v>103419063769.48999</v>
      </c>
      <c r="S81" s="89">
        <f t="shared" si="80"/>
        <v>104126947038.18001</v>
      </c>
      <c r="T81" s="89">
        <f t="shared" si="80"/>
        <v>106660355722.98001</v>
      </c>
      <c r="U81" s="89">
        <f t="shared" si="80"/>
        <v>101110978693.61</v>
      </c>
    </row>
    <row r="82" spans="1:21" x14ac:dyDescent="0.25">
      <c r="A82" s="184" t="s">
        <v>655</v>
      </c>
      <c r="B82" s="64"/>
      <c r="C82" s="64"/>
      <c r="D82" s="64"/>
      <c r="E82" s="89">
        <f>E13</f>
        <v>61227379627.899994</v>
      </c>
      <c r="F82" s="89">
        <f t="shared" ref="F82:U82" si="81">F13</f>
        <v>60180595202.379944</v>
      </c>
      <c r="G82" s="89">
        <f t="shared" si="81"/>
        <v>59622282509.759964</v>
      </c>
      <c r="H82" s="89">
        <f t="shared" si="81"/>
        <v>59238206660.460022</v>
      </c>
      <c r="I82" s="89">
        <f t="shared" si="81"/>
        <v>57539127521.87001</v>
      </c>
      <c r="J82" s="89">
        <f t="shared" si="81"/>
        <v>56229580457.379974</v>
      </c>
      <c r="K82" s="89">
        <f t="shared" si="81"/>
        <v>53632990085.589996</v>
      </c>
      <c r="L82" s="89">
        <f t="shared" si="81"/>
        <v>53886534636.199951</v>
      </c>
      <c r="M82" s="89">
        <f t="shared" si="81"/>
        <v>51532562485.699936</v>
      </c>
      <c r="N82" s="89">
        <f t="shared" si="81"/>
        <v>49240441852.179977</v>
      </c>
      <c r="O82" s="89">
        <f t="shared" si="81"/>
        <v>45325682695.339996</v>
      </c>
      <c r="P82" s="89">
        <f t="shared" si="81"/>
        <v>46221889008.439987</v>
      </c>
      <c r="Q82" s="89">
        <f t="shared" si="81"/>
        <v>42872770989.47995</v>
      </c>
      <c r="R82" s="89">
        <f t="shared" si="81"/>
        <v>40321057840.900024</v>
      </c>
      <c r="S82" s="89">
        <f t="shared" si="81"/>
        <v>35065940463.539978</v>
      </c>
      <c r="T82" s="89">
        <f t="shared" si="81"/>
        <v>35264934416.339951</v>
      </c>
      <c r="U82" s="89">
        <f t="shared" si="81"/>
        <v>33835537987.549957</v>
      </c>
    </row>
    <row r="83" spans="1:21" x14ac:dyDescent="0.25">
      <c r="A83" s="184" t="s">
        <v>663</v>
      </c>
      <c r="B83" s="64"/>
      <c r="C83" s="64"/>
      <c r="D83" s="64"/>
      <c r="E83" s="89">
        <f>E81+E82</f>
        <v>173961847109.85001</v>
      </c>
      <c r="F83" s="89">
        <f t="shared" ref="F83:U83" si="82">F81+F82</f>
        <v>176229353032.12994</v>
      </c>
      <c r="G83" s="89">
        <f t="shared" si="82"/>
        <v>174417827970.92996</v>
      </c>
      <c r="H83" s="89">
        <f t="shared" si="82"/>
        <v>171251096863.08002</v>
      </c>
      <c r="I83" s="89">
        <f t="shared" si="82"/>
        <v>166371667890.98001</v>
      </c>
      <c r="J83" s="89">
        <f t="shared" si="82"/>
        <v>165041826979.08997</v>
      </c>
      <c r="K83" s="89">
        <f t="shared" si="82"/>
        <v>159303726694.01001</v>
      </c>
      <c r="L83" s="89">
        <f t="shared" si="82"/>
        <v>153516890260.11993</v>
      </c>
      <c r="M83" s="89">
        <f t="shared" si="82"/>
        <v>148108556359.26996</v>
      </c>
      <c r="N83" s="89">
        <f t="shared" si="82"/>
        <v>148113262136.69</v>
      </c>
      <c r="O83" s="89">
        <f t="shared" si="82"/>
        <v>145669567155.47998</v>
      </c>
      <c r="P83" s="89">
        <f t="shared" si="82"/>
        <v>146974010205.41998</v>
      </c>
      <c r="Q83" s="89">
        <f t="shared" si="82"/>
        <v>143351008921.27997</v>
      </c>
      <c r="R83" s="89">
        <f t="shared" si="82"/>
        <v>143740121610.39001</v>
      </c>
      <c r="S83" s="89">
        <f t="shared" si="82"/>
        <v>139192887501.71997</v>
      </c>
      <c r="T83" s="89">
        <f t="shared" si="82"/>
        <v>141925290139.31995</v>
      </c>
      <c r="U83" s="89">
        <f t="shared" si="82"/>
        <v>134946516681.15996</v>
      </c>
    </row>
    <row r="84" spans="1:21" s="220" customFormat="1" x14ac:dyDescent="0.25">
      <c r="A84" s="224" t="s">
        <v>664</v>
      </c>
      <c r="B84" s="224"/>
      <c r="C84" s="224"/>
      <c r="D84" s="224"/>
      <c r="E84" s="224">
        <f>E83/E85</f>
        <v>0.9002715153813533</v>
      </c>
      <c r="F84" s="224">
        <f t="shared" ref="F84:U84" si="83">F83/F85</f>
        <v>0.91075340187411857</v>
      </c>
      <c r="G84" s="224">
        <f t="shared" si="83"/>
        <v>0.9135882736455635</v>
      </c>
      <c r="H84" s="224">
        <f t="shared" si="83"/>
        <v>0.91671538339455816</v>
      </c>
      <c r="I84" s="224">
        <f t="shared" si="83"/>
        <v>0.90659236657874431</v>
      </c>
      <c r="J84" s="224">
        <f t="shared" si="83"/>
        <v>0.91739413115130863</v>
      </c>
      <c r="K84" s="224">
        <f t="shared" si="83"/>
        <v>0.89736746457533145</v>
      </c>
      <c r="L84" s="224">
        <f t="shared" si="83"/>
        <v>0.89273916815468124</v>
      </c>
      <c r="M84" s="224">
        <f t="shared" si="83"/>
        <v>0.88303859405797136</v>
      </c>
      <c r="N84" s="224">
        <f t="shared" si="83"/>
        <v>0.89607808999454475</v>
      </c>
      <c r="O84" s="224">
        <f t="shared" si="83"/>
        <v>0.89745627395570893</v>
      </c>
      <c r="P84" s="224">
        <f t="shared" si="83"/>
        <v>0.90144038453667841</v>
      </c>
      <c r="Q84" s="224">
        <f t="shared" si="83"/>
        <v>0.89125302167723064</v>
      </c>
      <c r="R84" s="224">
        <f t="shared" si="83"/>
        <v>0.89702885364535134</v>
      </c>
      <c r="S84" s="224">
        <f t="shared" si="83"/>
        <v>0.89854056964485352</v>
      </c>
      <c r="T84" s="224">
        <f t="shared" si="83"/>
        <v>0.91837700976940606</v>
      </c>
      <c r="U84" s="224">
        <f t="shared" si="83"/>
        <v>0.91318109071235176</v>
      </c>
    </row>
    <row r="85" spans="1:21" x14ac:dyDescent="0.25">
      <c r="A85" s="184" t="s">
        <v>656</v>
      </c>
      <c r="B85" s="64"/>
      <c r="C85" s="64"/>
      <c r="D85" s="64"/>
      <c r="E85" s="89">
        <f>E14</f>
        <v>193232646082.51001</v>
      </c>
      <c r="F85" s="89">
        <f t="shared" ref="F85:U85" si="84">F14</f>
        <v>193498429618.25995</v>
      </c>
      <c r="G85" s="89">
        <f t="shared" si="84"/>
        <v>190915134314.20996</v>
      </c>
      <c r="H85" s="89">
        <f t="shared" si="84"/>
        <v>186809450310.46002</v>
      </c>
      <c r="I85" s="89">
        <f t="shared" si="84"/>
        <v>183513201769.86002</v>
      </c>
      <c r="J85" s="89">
        <f t="shared" si="84"/>
        <v>179902858951.10999</v>
      </c>
      <c r="K85" s="89">
        <f t="shared" si="84"/>
        <v>177523403714.44</v>
      </c>
      <c r="L85" s="89">
        <f t="shared" si="84"/>
        <v>171961638669.26996</v>
      </c>
      <c r="M85" s="89">
        <f t="shared" si="84"/>
        <v>167726028461.15994</v>
      </c>
      <c r="N85" s="89">
        <f t="shared" si="84"/>
        <v>165290574326.60999</v>
      </c>
      <c r="O85" s="89">
        <f t="shared" si="84"/>
        <v>162313832308.97</v>
      </c>
      <c r="P85" s="89">
        <f t="shared" si="84"/>
        <v>163043516494.94998</v>
      </c>
      <c r="Q85" s="89">
        <f t="shared" si="84"/>
        <v>160842101439.95996</v>
      </c>
      <c r="R85" s="89">
        <f t="shared" si="84"/>
        <v>160240243138.51001</v>
      </c>
      <c r="S85" s="89">
        <f t="shared" si="84"/>
        <v>154909964228.69998</v>
      </c>
      <c r="T85" s="89">
        <f t="shared" si="84"/>
        <v>154539245461.89996</v>
      </c>
      <c r="U85" s="89">
        <f t="shared" si="84"/>
        <v>147776293282.51996</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2" width="20.44140625" hidden="1" customWidth="1"/>
    <col min="13" max="13" width="21.554687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9.33203125" bestFit="1" customWidth="1"/>
    <col min="66" max="67" width="19.33203125" hidden="1" customWidth="1"/>
    <col min="68" max="68" width="18.33203125" hidden="1" customWidth="1"/>
    <col min="69" max="69" width="19.33203125" bestFit="1" customWidth="1"/>
    <col min="70" max="70" width="17.21875" hidden="1" customWidth="1"/>
    <col min="71" max="71" width="19.33203125" bestFit="1" customWidth="1"/>
    <col min="72" max="72" width="18.33203125" hidden="1" customWidth="1"/>
    <col min="73" max="73" width="19.33203125" bestFit="1" customWidth="1"/>
    <col min="74" max="74" width="18.33203125" hidden="1" customWidth="1"/>
    <col min="75" max="75" width="19.33203125" bestFit="1" customWidth="1"/>
    <col min="76" max="76" width="17.21875" hidden="1" customWidth="1"/>
    <col min="77" max="77" width="19.33203125" bestFit="1" customWidth="1"/>
    <col min="78" max="78" width="17.21875" hidden="1" customWidth="1"/>
    <col min="79" max="79" width="17.21875" bestFit="1" customWidth="1"/>
    <col min="80" max="80" width="17.21875" hidden="1" customWidth="1"/>
    <col min="81" max="81" width="17.21875" bestFit="1" customWidth="1"/>
    <col min="82" max="82" width="17.21875" hidden="1" customWidth="1"/>
    <col min="83"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s="26" customFormat="1" x14ac:dyDescent="0.25">
      <c r="A2" s="17" t="s">
        <v>352</v>
      </c>
      <c r="E2" s="26">
        <f>股权价值增加表!E4</f>
        <v>31645284235.709999</v>
      </c>
      <c r="F2" s="26">
        <f>股权价值增加表!F4</f>
        <v>24205181216.639999</v>
      </c>
      <c r="G2" s="26">
        <f>股权价值增加表!G4</f>
        <v>13963103340.84</v>
      </c>
      <c r="H2" s="26">
        <f>股权价值增加表!H4</f>
        <v>7630739661.6099997</v>
      </c>
      <c r="I2" s="26">
        <f>股权价值增加表!I4</f>
        <v>29270802965.48</v>
      </c>
      <c r="J2" s="26">
        <f>股权价值增加表!J4</f>
        <v>22139965801.990002</v>
      </c>
      <c r="K2" s="26">
        <f>股权价值增加表!K4</f>
        <v>13138564310.35</v>
      </c>
      <c r="L2" s="26">
        <f>股权价值增加表!L4</f>
        <v>6900062535.5799999</v>
      </c>
      <c r="M2" s="26">
        <f>股权价值增加表!M4</f>
        <v>31279699772.91</v>
      </c>
      <c r="N2" s="26">
        <f>股权价值增加表!N4</f>
        <v>24390224176.689999</v>
      </c>
      <c r="O2" s="26">
        <f>股权价值增加表!O4</f>
        <v>14926173663.58</v>
      </c>
      <c r="P2" s="26">
        <f>股权价值增加表!P4</f>
        <v>7600001553.6199999</v>
      </c>
      <c r="Q2" s="26">
        <f>股权价值增加表!Q4</f>
        <v>32957169192.110001</v>
      </c>
      <c r="R2" s="26">
        <f>股权价值增加表!R4</f>
        <v>25532032094.880001</v>
      </c>
      <c r="S2" s="26">
        <f>股权价值增加表!S4</f>
        <v>14621681241.700001</v>
      </c>
      <c r="T2" s="26">
        <f>股权价值增加表!T4</f>
        <v>7403217065.1400003</v>
      </c>
      <c r="U2" s="26">
        <f>股权价值增加表!U4</f>
        <v>28338981085.049999</v>
      </c>
      <c r="V2" s="26">
        <f>股权价值增加表!V4</f>
        <v>20434757606.32</v>
      </c>
      <c r="W2" s="26">
        <f>股权价值增加表!W4</f>
        <v>12168841172.08</v>
      </c>
      <c r="X2" s="26">
        <f>股权价值增加表!X4</f>
        <v>5971110428.3800001</v>
      </c>
      <c r="Y2" s="26">
        <f>股权价值增加表!Y4</f>
        <v>23867007746.380001</v>
      </c>
      <c r="Z2" s="26">
        <f>股权价值增加表!Z4</f>
        <v>17863621703.299999</v>
      </c>
      <c r="AA2" s="26">
        <f>股权价值增加表!AA4</f>
        <v>10926725049.4</v>
      </c>
      <c r="AB2" s="26">
        <f>股权价值增加表!AB4</f>
        <v>5253274351.6700001</v>
      </c>
      <c r="AC2" s="26">
        <f>股权价值增加表!AC4</f>
        <v>21703539229.470001</v>
      </c>
      <c r="AD2" s="26">
        <f>股权价值增加表!AD4</f>
        <v>15921395685.65</v>
      </c>
      <c r="AE2" s="26">
        <f>股权价值增加表!AE4</f>
        <v>9608183225.0499992</v>
      </c>
      <c r="AF2" s="26">
        <f>股权价值增加表!AF4</f>
        <v>4295912033.9700003</v>
      </c>
      <c r="AG2" s="26">
        <f>股权价值增加表!AG4</f>
        <v>15947612024.690001</v>
      </c>
      <c r="AH2" s="26">
        <f>股权价值增加表!AH4</f>
        <v>11586634877.459999</v>
      </c>
      <c r="AI2" s="26">
        <f>股权价值增加表!AI4</f>
        <v>6940940134.21</v>
      </c>
      <c r="AJ2" s="26">
        <f>股权价值增加表!AJ4</f>
        <v>3575394783.4299998</v>
      </c>
      <c r="AK2" s="26">
        <f>股权价值增加表!AK4</f>
        <v>11917120466.15</v>
      </c>
      <c r="AL2" s="26">
        <f>股权价值增加表!AL4</f>
        <v>4660474238.6400003</v>
      </c>
      <c r="AM2" s="26">
        <f>股权价值增加表!AM4</f>
        <v>3199327190.8000002</v>
      </c>
      <c r="AN2" s="26">
        <f>股权价值增加表!AN4</f>
        <v>1549689921.1800001</v>
      </c>
      <c r="AO2" s="26">
        <f>股权价值增加表!AO4</f>
        <v>6580129765.1800003</v>
      </c>
      <c r="AP2" s="26">
        <f>股权价值增加表!AP4</f>
        <v>5120647626.3500004</v>
      </c>
      <c r="AQ2" s="26">
        <f>股权价值增加表!AQ4</f>
        <v>3442075295.3600001</v>
      </c>
      <c r="AR2" s="26">
        <f>股权价值增加表!AR4</f>
        <v>1788555071.6700001</v>
      </c>
      <c r="AS2" s="26">
        <f>股权价值增加表!AS4</f>
        <v>6648986102.8400002</v>
      </c>
      <c r="AT2" s="26">
        <f>股权价值增加表!AT4</f>
        <v>4881953554.7200003</v>
      </c>
      <c r="AU2" s="26">
        <f>股权价值增加表!AU4</f>
        <v>3425705083.5500002</v>
      </c>
      <c r="AV2" s="26">
        <f>股权价值增加表!AV4</f>
        <v>1705403569.95</v>
      </c>
      <c r="AW2" s="26">
        <f>股权价值增加表!AW4</f>
        <v>4217034152.5999999</v>
      </c>
      <c r="AX2" s="26">
        <f>股权价值增加表!AX4</f>
        <v>2433306901.4000001</v>
      </c>
      <c r="AY2" s="26">
        <f>股权价值增加表!AY4</f>
        <v>1565474217.5799999</v>
      </c>
      <c r="AZ2" s="26">
        <f>股权价值增加表!AZ4</f>
        <v>746157118.29999995</v>
      </c>
      <c r="BA2" s="26">
        <f>股权价值增加表!BA4</f>
        <v>3056764453</v>
      </c>
      <c r="BB2" s="26">
        <f>股权价值增加表!BB4</f>
        <v>2308914489.1100001</v>
      </c>
      <c r="BC2" s="26">
        <f>股权价值增加表!BC4</f>
        <v>1517214113.4100001</v>
      </c>
      <c r="BD2" s="26">
        <f>股权价值增加表!BD4</f>
        <v>787189588.39999998</v>
      </c>
      <c r="BE2" s="26">
        <f>股权价值增加表!BE4</f>
        <v>2377850873.52</v>
      </c>
      <c r="BF2" s="26">
        <f>股权价值增加表!BF4</f>
        <v>1675492643</v>
      </c>
      <c r="BG2" s="26">
        <f>股权价值增加表!BG4</f>
        <v>1054599281.13</v>
      </c>
      <c r="BH2" s="26">
        <f>股权价值增加表!BH4</f>
        <v>329092815.69</v>
      </c>
      <c r="BI2" s="26">
        <f>股权价值增加表!BI4</f>
        <v>1376597157.76</v>
      </c>
      <c r="BJ2" s="26">
        <f>股权价值增加表!BJ4</f>
        <v>1014596056.9299999</v>
      </c>
      <c r="BK2" s="26">
        <f>股权价值增加表!BK4</f>
        <v>672223749.58000004</v>
      </c>
      <c r="BL2" s="26">
        <f>股权价值增加表!BL4</f>
        <v>392896529.39999998</v>
      </c>
      <c r="BM2" s="26">
        <f>股权价值增加表!BM4</f>
        <v>2536380521.7600002</v>
      </c>
      <c r="BN2" s="26">
        <f>股权价值增加表!BN4</f>
        <v>2203933549.6900001</v>
      </c>
      <c r="BO2" s="26">
        <f>股权价值增加表!BO4</f>
        <v>1367752390.02</v>
      </c>
      <c r="BP2" s="26">
        <f>股权价值增加表!BP4</f>
        <v>611508372.74000001</v>
      </c>
      <c r="BQ2" s="26">
        <f>股权价值增加表!BQ4</f>
        <v>1906409322.8</v>
      </c>
      <c r="BR2" s="26">
        <f>股权价值增加表!BR4</f>
        <v>646122321.89999998</v>
      </c>
      <c r="BS2" s="26">
        <f>股权价值增加表!BS4</f>
        <v>1859074053.9000001</v>
      </c>
      <c r="BT2" s="26">
        <f>股权价值增加表!BT4</f>
        <v>549623332.33000004</v>
      </c>
      <c r="BU2" s="26">
        <f>股权价值增加表!BU4</f>
        <v>1314714236.1099999</v>
      </c>
      <c r="BV2" s="26">
        <f>股权价值增加表!BV4</f>
        <v>566333099.61000001</v>
      </c>
      <c r="BW2" s="26">
        <f>股权价值增加表!BW4</f>
        <v>1218895749.3699999</v>
      </c>
      <c r="BX2" s="26">
        <f>股权价值增加表!BX4</f>
        <v>679984331.27999997</v>
      </c>
      <c r="BY2" s="26">
        <f>股权价值增加表!BY4</f>
        <v>1365735697.6600001</v>
      </c>
      <c r="BZ2" s="26">
        <f>股权价值增加表!BZ4</f>
        <v>636022622.80999994</v>
      </c>
      <c r="CA2" s="26">
        <f>股权价值增加表!CA4</f>
        <v>613666529.59000003</v>
      </c>
      <c r="CB2" s="26">
        <f>股权价值增加表!CB4</f>
        <v>146955056.78</v>
      </c>
      <c r="CC2" s="26">
        <f>股权价值增加表!CC4</f>
        <v>213156267.63999999</v>
      </c>
      <c r="CD2" s="26">
        <f>股权价值增加表!CD4</f>
        <v>111235147.11</v>
      </c>
      <c r="CE2" s="26">
        <f>股权价值增加表!CE4</f>
        <v>127416182.34</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8.1121152468222407E-2</v>
      </c>
      <c r="F3" s="66">
        <f t="shared" ref="F3:BQ3" si="0">(F2-J2)/J2</f>
        <v>9.3279973109279615E-2</v>
      </c>
      <c r="G3" s="66">
        <f t="shared" si="0"/>
        <v>6.2757163645381184E-2</v>
      </c>
      <c r="H3" s="66">
        <f t="shared" si="0"/>
        <v>0.10589427592319366</v>
      </c>
      <c r="I3" s="66">
        <f t="shared" si="0"/>
        <v>-6.4223660137870606E-2</v>
      </c>
      <c r="J3" s="66">
        <f t="shared" si="0"/>
        <v>-9.2260667979041922E-2</v>
      </c>
      <c r="K3" s="66">
        <f t="shared" si="0"/>
        <v>-0.11976340310121024</v>
      </c>
      <c r="L3" s="66">
        <f t="shared" si="0"/>
        <v>-9.2097220388936377E-2</v>
      </c>
      <c r="M3" s="66">
        <f t="shared" si="0"/>
        <v>-5.0898467930358217E-2</v>
      </c>
      <c r="N3" s="66">
        <f t="shared" si="0"/>
        <v>-4.4720604844413141E-2</v>
      </c>
      <c r="O3" s="66">
        <f t="shared" si="0"/>
        <v>2.0824720279881928E-2</v>
      </c>
      <c r="P3" s="66">
        <f t="shared" si="0"/>
        <v>2.6580942683230403E-2</v>
      </c>
      <c r="Q3" s="66">
        <f t="shared" si="0"/>
        <v>0.16296239068017479</v>
      </c>
      <c r="R3" s="66">
        <f t="shared" si="0"/>
        <v>0.24944139719002745</v>
      </c>
      <c r="S3" s="66">
        <f t="shared" si="0"/>
        <v>0.20156726798668051</v>
      </c>
      <c r="T3" s="66">
        <f t="shared" si="0"/>
        <v>0.23983924831692316</v>
      </c>
      <c r="U3" s="66">
        <f t="shared" si="0"/>
        <v>0.18737050685996778</v>
      </c>
      <c r="V3" s="66">
        <f t="shared" si="0"/>
        <v>0.14393139004645553</v>
      </c>
      <c r="W3" s="66">
        <f t="shared" si="0"/>
        <v>0.11367689010791084</v>
      </c>
      <c r="X3" s="66">
        <f t="shared" si="0"/>
        <v>0.13664545741491727</v>
      </c>
      <c r="Y3" s="66">
        <f t="shared" si="0"/>
        <v>9.9682751925195184E-2</v>
      </c>
      <c r="Z3" s="66">
        <f t="shared" si="0"/>
        <v>0.1219884271452743</v>
      </c>
      <c r="AA3" s="66">
        <f t="shared" si="0"/>
        <v>0.1372311282441368</v>
      </c>
      <c r="AB3" s="66">
        <f t="shared" si="0"/>
        <v>0.22285426473578612</v>
      </c>
      <c r="AC3" s="66">
        <f t="shared" si="0"/>
        <v>0.36092721567772701</v>
      </c>
      <c r="AD3" s="66">
        <f t="shared" si="0"/>
        <v>0.37411732172751944</v>
      </c>
      <c r="AE3" s="66">
        <f t="shared" si="0"/>
        <v>0.38427691915881623</v>
      </c>
      <c r="AF3" s="66">
        <f t="shared" si="0"/>
        <v>0.2015210331119808</v>
      </c>
      <c r="AG3" s="66">
        <f t="shared" si="0"/>
        <v>0.33821018844178136</v>
      </c>
      <c r="AH3" s="66">
        <f t="shared" si="0"/>
        <v>1.486149323902531</v>
      </c>
      <c r="AI3" s="66">
        <f t="shared" si="0"/>
        <v>1.1694999355393842</v>
      </c>
      <c r="AJ3" s="66">
        <f t="shared" si="0"/>
        <v>1.3071678627860865</v>
      </c>
      <c r="AK3" s="66">
        <f t="shared" si="0"/>
        <v>0.81107681632840944</v>
      </c>
      <c r="AL3" s="66">
        <f t="shared" si="0"/>
        <v>-8.9866247648446723E-2</v>
      </c>
      <c r="AM3" s="66">
        <f t="shared" si="0"/>
        <v>-7.0523763639694398E-2</v>
      </c>
      <c r="AN3" s="66">
        <f t="shared" si="0"/>
        <v>-0.13355202435392058</v>
      </c>
      <c r="AO3" s="66">
        <f t="shared" si="0"/>
        <v>-1.0355915412515158E-2</v>
      </c>
      <c r="AP3" s="66">
        <f t="shared" si="0"/>
        <v>4.889314676073156E-2</v>
      </c>
      <c r="AQ3" s="66">
        <f t="shared" si="0"/>
        <v>4.7786401370650882E-3</v>
      </c>
      <c r="AR3" s="66">
        <f t="shared" si="0"/>
        <v>4.8757668381354397E-2</v>
      </c>
      <c r="AS3" s="66">
        <f t="shared" si="0"/>
        <v>0.57669723844673804</v>
      </c>
      <c r="AT3" s="66">
        <f t="shared" si="0"/>
        <v>1.0063040761159945</v>
      </c>
      <c r="AU3" s="66">
        <f t="shared" si="0"/>
        <v>1.1882858529894234</v>
      </c>
      <c r="AV3" s="66">
        <f t="shared" si="0"/>
        <v>1.2855823902551384</v>
      </c>
      <c r="AW3" s="66">
        <f t="shared" si="0"/>
        <v>0.37957445444030746</v>
      </c>
      <c r="AX3" s="66">
        <f t="shared" si="0"/>
        <v>5.3874845896934261E-2</v>
      </c>
      <c r="AY3" s="66">
        <f t="shared" si="0"/>
        <v>3.1808367549081985E-2</v>
      </c>
      <c r="AZ3" s="66">
        <f t="shared" si="0"/>
        <v>-5.2125270334685773E-2</v>
      </c>
      <c r="BA3" s="66">
        <f t="shared" si="0"/>
        <v>0.28551562549210036</v>
      </c>
      <c r="BB3" s="66">
        <f t="shared" si="0"/>
        <v>0.37805110559951299</v>
      </c>
      <c r="BC3" s="66">
        <f t="shared" si="0"/>
        <v>0.43866408839603005</v>
      </c>
      <c r="BD3" s="66">
        <f t="shared" si="0"/>
        <v>1.3919987033126837</v>
      </c>
      <c r="BE3" s="66">
        <f t="shared" si="0"/>
        <v>0.72733966514157333</v>
      </c>
      <c r="BF3" s="66">
        <f t="shared" si="0"/>
        <v>0.65138887693863501</v>
      </c>
      <c r="BG3" s="66">
        <f t="shared" si="0"/>
        <v>0.56882181236367368</v>
      </c>
      <c r="BH3" s="66">
        <f t="shared" si="0"/>
        <v>-0.16239317208384579</v>
      </c>
      <c r="BI3" s="66">
        <f t="shared" si="0"/>
        <v>-0.45725921408481085</v>
      </c>
      <c r="BJ3" s="66">
        <f t="shared" si="0"/>
        <v>-0.53964308176500586</v>
      </c>
      <c r="BK3" s="66">
        <f t="shared" si="0"/>
        <v>-0.50851941149218505</v>
      </c>
      <c r="BL3" s="66">
        <f t="shared" si="0"/>
        <v>-0.35749607541833123</v>
      </c>
      <c r="BM3" s="66">
        <f t="shared" si="0"/>
        <v>0.33044907587565869</v>
      </c>
      <c r="BN3" s="66">
        <f t="shared" si="0"/>
        <v>2.4110159562496922</v>
      </c>
      <c r="BO3" s="66">
        <f t="shared" si="0"/>
        <v>-0.26428299768333402</v>
      </c>
      <c r="BP3" s="66">
        <f t="shared" si="0"/>
        <v>0.11259536626229597</v>
      </c>
      <c r="BQ3" s="66">
        <f t="shared" si="0"/>
        <v>0.45005604293197443</v>
      </c>
      <c r="BR3" s="66">
        <f t="shared" ref="BR3:CJ3" si="1">(BR2-BV2)/BV2</f>
        <v>0.14088744299943984</v>
      </c>
      <c r="BS3" s="66">
        <f t="shared" si="1"/>
        <v>0.52521169662039069</v>
      </c>
      <c r="BT3" s="66">
        <f t="shared" si="1"/>
        <v>-0.19171176886474556</v>
      </c>
      <c r="BU3" s="66">
        <f t="shared" si="1"/>
        <v>-3.7358225048534963E-2</v>
      </c>
      <c r="BV3" s="66">
        <f t="shared" si="1"/>
        <v>-0.1095708245283885</v>
      </c>
      <c r="BW3" s="66">
        <f t="shared" si="1"/>
        <v>0.98625098583160908</v>
      </c>
      <c r="BX3" s="66">
        <f t="shared" si="1"/>
        <v>3.6271584399982566</v>
      </c>
      <c r="BY3" s="66">
        <f t="shared" si="1"/>
        <v>5.4072040328956854</v>
      </c>
      <c r="BZ3" s="66">
        <f t="shared" si="1"/>
        <v>4.7178206649112413</v>
      </c>
      <c r="CA3" s="66">
        <f t="shared" si="1"/>
        <v>3.8162369827756994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18802813425.34</v>
      </c>
      <c r="F4" s="26">
        <f>股权价值增加表!F5</f>
        <v>13690954012.040001</v>
      </c>
      <c r="G4" s="26">
        <f>股权价值增加表!G5</f>
        <v>8330800141.5900002</v>
      </c>
      <c r="H4" s="26">
        <f>股权价值增加表!H5</f>
        <v>4208437604.4899998</v>
      </c>
      <c r="I4" s="26">
        <f>股权价值增加表!I5</f>
        <v>15100628531.34</v>
      </c>
      <c r="J4" s="26">
        <f>股权价值增加表!J5</f>
        <v>10443343469.48</v>
      </c>
      <c r="K4" s="26">
        <f>股权价值增加表!K5</f>
        <v>6485138772.5900002</v>
      </c>
      <c r="L4" s="26">
        <f>股权价值增加表!L5</f>
        <v>3172250522.6900001</v>
      </c>
      <c r="M4" s="26">
        <f>股权价值增加表!M5</f>
        <v>14949958764.77</v>
      </c>
      <c r="N4" s="26">
        <f>股权价值增加表!N5</f>
        <v>11178937332.32</v>
      </c>
      <c r="O4" s="26">
        <f>股权价值增加表!O5</f>
        <v>7241149269.9300003</v>
      </c>
      <c r="P4" s="26">
        <f>股权价值增加表!P5</f>
        <v>3642925936.1799998</v>
      </c>
      <c r="Q4" s="26">
        <f>股权价值增加表!Q5</f>
        <v>16240284880.75</v>
      </c>
      <c r="R4" s="26">
        <f>股权价值增加表!R5</f>
        <v>12182874957.18</v>
      </c>
      <c r="S4" s="26">
        <f>股权价值增加表!S5</f>
        <v>8097015162.4899998</v>
      </c>
      <c r="T4" s="26">
        <f>股权价值增加表!T5</f>
        <v>4161028247.8099999</v>
      </c>
      <c r="U4" s="26">
        <f>股权价值增加表!U5</f>
        <v>16859390927.969999</v>
      </c>
      <c r="V4" s="26">
        <f>股权价值增加表!V5</f>
        <v>12293285761.549999</v>
      </c>
      <c r="W4" s="26">
        <f>股权价值增加表!W5</f>
        <v>7806688265.9200001</v>
      </c>
      <c r="X4" s="26">
        <f>股权价值增加表!X5</f>
        <v>4048177909.9299998</v>
      </c>
      <c r="Y4" s="26">
        <f>股权价值增加表!Y5</f>
        <v>17830993366.959999</v>
      </c>
      <c r="Z4" s="26">
        <f>股权价值增加表!Z5</f>
        <v>13663961377.280001</v>
      </c>
      <c r="AA4" s="26">
        <f>股权价值增加表!AA5</f>
        <v>9097131116.4599991</v>
      </c>
      <c r="AB4" s="26">
        <f>股权价值增加表!AB5</f>
        <v>4561320252.3599997</v>
      </c>
      <c r="AC4" s="26">
        <f>股权价值增加表!AC5</f>
        <v>18002874363.049999</v>
      </c>
      <c r="AD4" s="26">
        <f>股权价值增加表!AD5</f>
        <v>12938008188.41</v>
      </c>
      <c r="AE4" s="26">
        <f>股权价值增加表!AE5</f>
        <v>7966739319.9899998</v>
      </c>
      <c r="AF4" s="26">
        <f>股权价值增加表!AF5</f>
        <v>3577707490.21</v>
      </c>
      <c r="AG4" s="26">
        <f>股权价值增加表!AG5</f>
        <v>12300709001.91</v>
      </c>
      <c r="AH4" s="26">
        <f>股权价值增加表!AH5</f>
        <v>8906901739.5</v>
      </c>
      <c r="AI4" s="26">
        <f>股权价值增加表!AI5</f>
        <v>5643134194.8599997</v>
      </c>
      <c r="AJ4" s="26">
        <f>股权价值增加表!AJ5</f>
        <v>2944113800.1700001</v>
      </c>
      <c r="AK4" s="26">
        <f>股权价值增加表!AK5</f>
        <v>8568720773.4099998</v>
      </c>
      <c r="AL4" s="26">
        <f>股权价值增加表!AL5</f>
        <v>3822773428.0999999</v>
      </c>
      <c r="AM4" s="26">
        <f>股权价值增加表!AM5</f>
        <v>2647537533.5799999</v>
      </c>
      <c r="AN4" s="26">
        <f>股权价值增加表!AN5</f>
        <v>1294470262.1900001</v>
      </c>
      <c r="AO4" s="26">
        <f>股权价值增加表!AO5</f>
        <v>5486677458.1899996</v>
      </c>
      <c r="AP4" s="26">
        <f>股权价值增加表!AP5</f>
        <v>4308634971.3900003</v>
      </c>
      <c r="AQ4" s="26">
        <f>股权价值增加表!AQ5</f>
        <v>2872327200.3299999</v>
      </c>
      <c r="AR4" s="26">
        <f>股权价值增加表!AR5</f>
        <v>1506918222.01</v>
      </c>
      <c r="AS4" s="26">
        <f>股权价值增加表!AS5</f>
        <v>4953622605.0600004</v>
      </c>
      <c r="AT4" s="26">
        <f>股权价值增加表!AT5</f>
        <v>3601428728.6300001</v>
      </c>
      <c r="AU4" s="26">
        <f>股权价值增加表!AU5</f>
        <v>2501947941.9200001</v>
      </c>
      <c r="AV4" s="26">
        <f>股权价值增加表!AV5</f>
        <v>1239653308.54</v>
      </c>
      <c r="AW4" s="26">
        <f>股权价值增加表!AW5</f>
        <v>2991212940.29</v>
      </c>
      <c r="AX4" s="26">
        <f>股权价值增加表!AX5</f>
        <v>1689003184.6900001</v>
      </c>
      <c r="AY4" s="26">
        <f>股权价值增加表!AY5</f>
        <v>1082311276.6800001</v>
      </c>
      <c r="AZ4" s="26">
        <f>股权价值增加表!AZ5</f>
        <v>536888369.50999999</v>
      </c>
      <c r="BA4" s="26">
        <f>股权价值增加表!BA5</f>
        <v>2064789244.8</v>
      </c>
      <c r="BB4" s="26">
        <f>股权价值增加表!BB5</f>
        <v>1490826430.03</v>
      </c>
      <c r="BC4" s="26">
        <f>股权价值增加表!BC5</f>
        <v>968579495.03999996</v>
      </c>
      <c r="BD4" s="26">
        <f>股权价值增加表!BD5</f>
        <v>489318458.95999998</v>
      </c>
      <c r="BE4" s="26">
        <f>股权价值增加表!BE5</f>
        <v>1522572226.01</v>
      </c>
      <c r="BF4" s="26">
        <f>股权价值增加表!BF5</f>
        <v>1065345430.78</v>
      </c>
      <c r="BG4" s="26">
        <f>股权价值增加表!BG5</f>
        <v>640497710.48000002</v>
      </c>
      <c r="BH4" s="26">
        <f>股权价值增加表!BH5</f>
        <v>203124328.44999999</v>
      </c>
      <c r="BI4" s="26">
        <f>股权价值增加表!BI5</f>
        <v>849294022.29999995</v>
      </c>
      <c r="BJ4" s="26">
        <f>股权价值增加表!BJ5</f>
        <v>676222967.48000002</v>
      </c>
      <c r="BK4" s="26">
        <f>股权价值增加表!BK5</f>
        <v>448882387.26999998</v>
      </c>
      <c r="BL4" s="26">
        <f>股权价值增加表!BL5</f>
        <v>279809126.81999999</v>
      </c>
      <c r="BM4" s="26">
        <f>股权价值增加表!BM5</f>
        <v>2278457773.3299999</v>
      </c>
      <c r="BN4" s="26">
        <f>股权价值增加表!BN5</f>
        <v>2078550105.47</v>
      </c>
      <c r="BO4" s="26">
        <f>股权价值增加表!BO5</f>
        <v>1299132380.52</v>
      </c>
      <c r="BP4" s="26">
        <f>股权价值增加表!BP5</f>
        <v>588287981.12</v>
      </c>
      <c r="BQ4" s="26">
        <f>股权价值增加表!BQ5</f>
        <v>1790471263.3099999</v>
      </c>
      <c r="BR4" s="26">
        <f>股权价值增加表!BR5</f>
        <v>587842039.77999997</v>
      </c>
      <c r="BS4" s="26">
        <f>股权价值增加表!BS5</f>
        <v>1686826469.3299999</v>
      </c>
      <c r="BT4" s="26">
        <f>股权价值增加表!BT5</f>
        <v>537892038.76999998</v>
      </c>
      <c r="BU4" s="26">
        <f>股权价值增加表!BU5</f>
        <v>1262408535.9200001</v>
      </c>
      <c r="BV4" s="26">
        <f>股权价值增加表!BV5</f>
        <v>593242180.36000001</v>
      </c>
      <c r="BW4" s="26">
        <f>股权价值增加表!BW5</f>
        <v>974972031.59000003</v>
      </c>
      <c r="BX4" s="26">
        <f>股权价值增加表!BX5</f>
        <v>469798419.18000001</v>
      </c>
      <c r="BY4" s="26">
        <f>股权价值增加表!BY5</f>
        <v>1184676713.98</v>
      </c>
      <c r="BZ4" s="26">
        <f>股权价值增加表!BZ5</f>
        <v>0</v>
      </c>
      <c r="CA4" s="26">
        <f>股权价值增加表!CA5</f>
        <v>448903262.67000002</v>
      </c>
      <c r="CB4" s="26">
        <f>股权价值增加表!CB5</f>
        <v>0</v>
      </c>
      <c r="CC4" s="26">
        <f>股权价值增加表!CC5</f>
        <v>107296083.95</v>
      </c>
      <c r="CD4" s="26">
        <f>股权价值增加表!CD5</f>
        <v>0</v>
      </c>
      <c r="CE4" s="26">
        <f>股权价值增加表!CE5</f>
        <v>68411425.040000007</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0.59417426259429951</v>
      </c>
      <c r="F5" s="66">
        <f t="shared" si="2"/>
        <v>0.56562080198879372</v>
      </c>
      <c r="G5" s="66">
        <f t="shared" si="2"/>
        <v>0.59662955563922881</v>
      </c>
      <c r="H5" s="66">
        <f t="shared" si="2"/>
        <v>0.55151109736615844</v>
      </c>
      <c r="I5" s="66">
        <f t="shared" si="2"/>
        <v>0.51589389430650934</v>
      </c>
      <c r="J5" s="66">
        <f t="shared" si="2"/>
        <v>0.47169645892322576</v>
      </c>
      <c r="K5" s="66">
        <f t="shared" si="2"/>
        <v>0.49359569427850536</v>
      </c>
      <c r="L5" s="66">
        <f t="shared" si="2"/>
        <v>0.45974228586079757</v>
      </c>
      <c r="M5" s="66">
        <f t="shared" si="2"/>
        <v>0.47794444554475923</v>
      </c>
      <c r="N5" s="66">
        <f t="shared" si="2"/>
        <v>0.45833680130762516</v>
      </c>
      <c r="O5" s="66">
        <f t="shared" si="2"/>
        <v>0.48513098086205914</v>
      </c>
      <c r="P5" s="66">
        <f t="shared" si="2"/>
        <v>0.47933226203681722</v>
      </c>
      <c r="Q5" s="66">
        <f t="shared" si="2"/>
        <v>0.49276941190197704</v>
      </c>
      <c r="R5" s="66">
        <f t="shared" si="2"/>
        <v>0.47716041214060129</v>
      </c>
      <c r="S5" s="66">
        <f t="shared" si="2"/>
        <v>0.5537677253828982</v>
      </c>
      <c r="T5" s="66">
        <f t="shared" si="2"/>
        <v>0.56205676683496131</v>
      </c>
      <c r="U5" s="66">
        <f t="shared" si="2"/>
        <v>0.59491874028117531</v>
      </c>
      <c r="V5" s="66">
        <f t="shared" si="2"/>
        <v>0.60158706055549049</v>
      </c>
      <c r="W5" s="66">
        <f t="shared" si="2"/>
        <v>0.64153095233353397</v>
      </c>
      <c r="X5" s="66">
        <f t="shared" si="2"/>
        <v>0.6779606504494502</v>
      </c>
      <c r="Y5" s="66">
        <f t="shared" si="2"/>
        <v>0.7470979838125914</v>
      </c>
      <c r="Z5" s="66">
        <f t="shared" si="2"/>
        <v>0.76490431807318315</v>
      </c>
      <c r="AA5" s="66">
        <f t="shared" si="2"/>
        <v>0.83255788677134634</v>
      </c>
      <c r="AB5" s="66">
        <f t="shared" si="2"/>
        <v>0.86828137024862784</v>
      </c>
      <c r="AC5" s="66">
        <f t="shared" si="2"/>
        <v>0.82949025837246493</v>
      </c>
      <c r="AD5" s="66">
        <f t="shared" si="2"/>
        <v>0.81261771542246541</v>
      </c>
      <c r="AE5" s="66">
        <f t="shared" si="2"/>
        <v>0.82916188559138793</v>
      </c>
      <c r="AF5" s="66">
        <f t="shared" si="2"/>
        <v>0.83281674808962913</v>
      </c>
      <c r="AG5" s="66">
        <f t="shared" si="2"/>
        <v>0.77131980530164101</v>
      </c>
      <c r="AH5" s="66">
        <f t="shared" si="2"/>
        <v>0.76872205206250144</v>
      </c>
      <c r="AI5" s="66">
        <f t="shared" si="2"/>
        <v>0.81302159156315601</v>
      </c>
      <c r="AJ5" s="66">
        <f t="shared" si="2"/>
        <v>0.82343740439918911</v>
      </c>
      <c r="AK5" s="66">
        <f t="shared" ref="AK5:BP5" si="3">AK4/AK2</f>
        <v>0.71902611018735896</v>
      </c>
      <c r="AL5" s="66">
        <f t="shared" si="3"/>
        <v>0.82025416993090072</v>
      </c>
      <c r="AM5" s="66">
        <f t="shared" si="3"/>
        <v>0.82752946969390029</v>
      </c>
      <c r="AN5" s="66">
        <f t="shared" si="3"/>
        <v>0.83530920895732164</v>
      </c>
      <c r="AO5" s="66">
        <f t="shared" si="3"/>
        <v>0.83382511500362655</v>
      </c>
      <c r="AP5" s="66">
        <f t="shared" si="3"/>
        <v>0.84142383655115849</v>
      </c>
      <c r="AQ5" s="66">
        <f t="shared" si="3"/>
        <v>0.8344754120288902</v>
      </c>
      <c r="AR5" s="66">
        <f t="shared" si="3"/>
        <v>0.84253386763370297</v>
      </c>
      <c r="AS5" s="66">
        <f t="shared" si="3"/>
        <v>0.74501924480548176</v>
      </c>
      <c r="AT5" s="66">
        <f t="shared" si="3"/>
        <v>0.73770237431858499</v>
      </c>
      <c r="AU5" s="66">
        <f t="shared" si="3"/>
        <v>0.73034539777933072</v>
      </c>
      <c r="AV5" s="66">
        <f t="shared" si="3"/>
        <v>0.72689733408752322</v>
      </c>
      <c r="AW5" s="66">
        <f t="shared" si="3"/>
        <v>0.70931674538271794</v>
      </c>
      <c r="AX5" s="66">
        <f t="shared" si="3"/>
        <v>0.6941184376365489</v>
      </c>
      <c r="AY5" s="66">
        <f t="shared" si="3"/>
        <v>0.69136320772698456</v>
      </c>
      <c r="AZ5" s="66">
        <f t="shared" si="3"/>
        <v>0.71953795835013212</v>
      </c>
      <c r="BA5" s="66">
        <f t="shared" si="3"/>
        <v>0.67548196027127771</v>
      </c>
      <c r="BB5" s="66">
        <f t="shared" si="3"/>
        <v>0.64568282500780594</v>
      </c>
      <c r="BC5" s="66">
        <f t="shared" si="3"/>
        <v>0.63839341229371926</v>
      </c>
      <c r="BD5" s="66">
        <f t="shared" si="3"/>
        <v>0.62160179221191536</v>
      </c>
      <c r="BE5" s="66">
        <f t="shared" si="3"/>
        <v>0.64031442970857677</v>
      </c>
      <c r="BF5" s="66">
        <f t="shared" si="3"/>
        <v>0.63584011259666273</v>
      </c>
      <c r="BG5" s="66">
        <f t="shared" si="3"/>
        <v>0.60733751856317275</v>
      </c>
      <c r="BH5" s="66">
        <f t="shared" si="3"/>
        <v>0.61722504644811138</v>
      </c>
      <c r="BI5" s="66">
        <f t="shared" si="3"/>
        <v>0.61695174765722449</v>
      </c>
      <c r="BJ5" s="66">
        <f t="shared" si="3"/>
        <v>0.66649477184658001</v>
      </c>
      <c r="BK5" s="66">
        <f t="shared" si="3"/>
        <v>0.66775740599831246</v>
      </c>
      <c r="BL5" s="66">
        <f t="shared" si="3"/>
        <v>0.71217001394057111</v>
      </c>
      <c r="BM5" s="66">
        <f t="shared" si="3"/>
        <v>0.89831070447937866</v>
      </c>
      <c r="BN5" s="66">
        <f t="shared" si="3"/>
        <v>0.94310924472399082</v>
      </c>
      <c r="BO5" s="66">
        <f t="shared" si="3"/>
        <v>0.94983009351641745</v>
      </c>
      <c r="BP5" s="66">
        <f t="shared" si="3"/>
        <v>0.96202767998751049</v>
      </c>
      <c r="BQ5" s="66">
        <f t="shared" ref="BQ5:CK5" si="4">BQ4/BQ2</f>
        <v>0.93918511722355702</v>
      </c>
      <c r="BR5" s="66">
        <f t="shared" si="4"/>
        <v>0.90979992465107862</v>
      </c>
      <c r="BS5" s="66">
        <f t="shared" si="4"/>
        <v>0.90734764749760455</v>
      </c>
      <c r="BT5" s="66">
        <f t="shared" si="4"/>
        <v>0.97865575773454161</v>
      </c>
      <c r="BU5" s="66">
        <f t="shared" si="4"/>
        <v>0.96021515645501576</v>
      </c>
      <c r="BV5" s="66">
        <f t="shared" si="4"/>
        <v>1.0475145824401411</v>
      </c>
      <c r="BW5" s="66">
        <f t="shared" si="4"/>
        <v>0.79988139436364869</v>
      </c>
      <c r="BX5" s="66">
        <f t="shared" si="4"/>
        <v>0.69089594799287979</v>
      </c>
      <c r="BY5" s="66">
        <f t="shared" si="4"/>
        <v>0.86742750885825148</v>
      </c>
      <c r="BZ5" s="66">
        <f t="shared" si="4"/>
        <v>0</v>
      </c>
      <c r="CA5" s="66">
        <f t="shared" si="4"/>
        <v>0.73151009713682635</v>
      </c>
      <c r="CB5" s="66">
        <f t="shared" si="4"/>
        <v>0</v>
      </c>
      <c r="CC5" s="66">
        <f t="shared" si="4"/>
        <v>0.50336818681406337</v>
      </c>
      <c r="CD5" s="66">
        <f t="shared" si="4"/>
        <v>0</v>
      </c>
      <c r="CE5" s="66">
        <f t="shared" si="4"/>
        <v>0.53691315956594532</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0.2451676025482282</v>
      </c>
      <c r="F6" s="66">
        <f t="shared" ref="F6:BQ6" si="5">(F4-J4)/J4</f>
        <v>0.31097421549438975</v>
      </c>
      <c r="G6" s="66">
        <f t="shared" si="5"/>
        <v>0.28459859283209904</v>
      </c>
      <c r="H6" s="66">
        <f t="shared" si="5"/>
        <v>0.32664099962739873</v>
      </c>
      <c r="I6" s="66">
        <f t="shared" si="5"/>
        <v>1.0078273053505489E-2</v>
      </c>
      <c r="J6" s="66">
        <f t="shared" si="5"/>
        <v>-6.5801769969072735E-2</v>
      </c>
      <c r="K6" s="66">
        <f t="shared" si="5"/>
        <v>-0.10440476630960384</v>
      </c>
      <c r="L6" s="66">
        <f t="shared" si="5"/>
        <v>-0.1292025755493546</v>
      </c>
      <c r="M6" s="66">
        <f t="shared" si="5"/>
        <v>-7.9452184826477645E-2</v>
      </c>
      <c r="N6" s="66">
        <f t="shared" si="5"/>
        <v>-8.2405641393235182E-2</v>
      </c>
      <c r="O6" s="66">
        <f t="shared" si="5"/>
        <v>-0.10570140667697638</v>
      </c>
      <c r="P6" s="66">
        <f t="shared" si="5"/>
        <v>-0.12451304840400536</v>
      </c>
      <c r="Q6" s="66">
        <f t="shared" si="5"/>
        <v>-3.6721732704643115E-2</v>
      </c>
      <c r="R6" s="66">
        <f t="shared" si="5"/>
        <v>-8.9813908593366805E-3</v>
      </c>
      <c r="S6" s="66">
        <f t="shared" si="5"/>
        <v>3.7189508109017E-2</v>
      </c>
      <c r="T6" s="66">
        <f t="shared" si="5"/>
        <v>2.7876822706626423E-2</v>
      </c>
      <c r="U6" s="66">
        <f t="shared" si="5"/>
        <v>-5.4489529494769137E-2</v>
      </c>
      <c r="V6" s="66">
        <f t="shared" si="5"/>
        <v>-0.10031319453296444</v>
      </c>
      <c r="W6" s="66">
        <f t="shared" si="5"/>
        <v>-0.1418516270701124</v>
      </c>
      <c r="X6" s="66">
        <f t="shared" si="5"/>
        <v>-0.11249864382236767</v>
      </c>
      <c r="Y6" s="66">
        <f t="shared" si="5"/>
        <v>-9.5474196299884934E-3</v>
      </c>
      <c r="Z6" s="66">
        <f t="shared" si="5"/>
        <v>5.6110119757098093E-2</v>
      </c>
      <c r="AA6" s="66">
        <f t="shared" si="5"/>
        <v>0.14188888967832053</v>
      </c>
      <c r="AB6" s="66">
        <f t="shared" si="5"/>
        <v>0.27492822284704577</v>
      </c>
      <c r="AC6" s="66">
        <f t="shared" si="5"/>
        <v>0.46356395881364176</v>
      </c>
      <c r="AD6" s="66">
        <f t="shared" si="5"/>
        <v>0.45258234196443387</v>
      </c>
      <c r="AE6" s="66">
        <f t="shared" si="5"/>
        <v>0.41175790702380177</v>
      </c>
      <c r="AF6" s="66">
        <f t="shared" si="5"/>
        <v>0.21520692916266171</v>
      </c>
      <c r="AG6" s="66">
        <f t="shared" si="5"/>
        <v>0.43553621680390242</v>
      </c>
      <c r="AH6" s="66">
        <f t="shared" si="5"/>
        <v>1.3299580545444254</v>
      </c>
      <c r="AI6" s="66">
        <f t="shared" si="5"/>
        <v>1.1314652288344915</v>
      </c>
      <c r="AJ6" s="66">
        <f t="shared" si="5"/>
        <v>1.2743773156975531</v>
      </c>
      <c r="AK6" s="66">
        <f t="shared" si="5"/>
        <v>0.56173218467934793</v>
      </c>
      <c r="AL6" s="66">
        <f t="shared" si="5"/>
        <v>-0.11276461025735433</v>
      </c>
      <c r="AM6" s="66">
        <f t="shared" si="5"/>
        <v>-7.8260466538830967E-2</v>
      </c>
      <c r="AN6" s="66">
        <f t="shared" si="5"/>
        <v>-0.14098174454127088</v>
      </c>
      <c r="AO6" s="66">
        <f t="shared" si="5"/>
        <v>0.10760909653987308</v>
      </c>
      <c r="AP6" s="66">
        <f t="shared" si="5"/>
        <v>0.19636824606245221</v>
      </c>
      <c r="AQ6" s="66">
        <f t="shared" si="5"/>
        <v>0.14803635687390443</v>
      </c>
      <c r="AR6" s="66">
        <f t="shared" si="5"/>
        <v>0.21559649914117596</v>
      </c>
      <c r="AS6" s="66">
        <f t="shared" si="5"/>
        <v>0.6560581623385674</v>
      </c>
      <c r="AT6" s="66">
        <f t="shared" si="5"/>
        <v>1.1322806027100576</v>
      </c>
      <c r="AU6" s="66">
        <f t="shared" si="5"/>
        <v>1.3116713239787621</v>
      </c>
      <c r="AV6" s="66">
        <f t="shared" si="5"/>
        <v>1.3089591411179011</v>
      </c>
      <c r="AW6" s="66">
        <f t="shared" si="5"/>
        <v>0.44867712180462055</v>
      </c>
      <c r="AX6" s="66">
        <f t="shared" si="5"/>
        <v>0.13293080312240785</v>
      </c>
      <c r="AY6" s="66">
        <f t="shared" si="5"/>
        <v>0.11742121552480653</v>
      </c>
      <c r="AZ6" s="66">
        <f t="shared" si="5"/>
        <v>9.7216668774575452E-2</v>
      </c>
      <c r="BA6" s="66">
        <f t="shared" si="5"/>
        <v>0.35611907896869699</v>
      </c>
      <c r="BB6" s="66">
        <f t="shared" si="5"/>
        <v>0.39938313617066079</v>
      </c>
      <c r="BC6" s="66">
        <f t="shared" si="5"/>
        <v>0.51222944156057915</v>
      </c>
      <c r="BD6" s="66">
        <f t="shared" si="5"/>
        <v>1.4089603775869124</v>
      </c>
      <c r="BE6" s="66">
        <f t="shared" si="5"/>
        <v>0.79275043274963142</v>
      </c>
      <c r="BF6" s="66">
        <f t="shared" si="5"/>
        <v>0.5754351478922648</v>
      </c>
      <c r="BG6" s="66">
        <f t="shared" si="5"/>
        <v>0.42687200176277934</v>
      </c>
      <c r="BH6" s="66">
        <f t="shared" si="5"/>
        <v>-0.27406110458766775</v>
      </c>
      <c r="BI6" s="66">
        <f t="shared" si="5"/>
        <v>-0.62725048836049124</v>
      </c>
      <c r="BJ6" s="66">
        <f t="shared" si="5"/>
        <v>-0.67466602527385644</v>
      </c>
      <c r="BK6" s="66">
        <f t="shared" si="5"/>
        <v>-0.65447525286812791</v>
      </c>
      <c r="BL6" s="66">
        <f t="shared" si="5"/>
        <v>-0.52436708584919389</v>
      </c>
      <c r="BM6" s="66">
        <f t="shared" si="5"/>
        <v>0.27254640720559314</v>
      </c>
      <c r="BN6" s="66">
        <f t="shared" si="5"/>
        <v>2.5358990422799601</v>
      </c>
      <c r="BO6" s="66">
        <f t="shared" si="5"/>
        <v>-0.22983637965083056</v>
      </c>
      <c r="BP6" s="66">
        <f t="shared" si="5"/>
        <v>9.3691556516137781E-2</v>
      </c>
      <c r="BQ6" s="66">
        <f t="shared" si="5"/>
        <v>0.4182978111797746</v>
      </c>
      <c r="BR6" s="66">
        <f t="shared" ref="BR6:CJ6" si="6">(BR4-BV4)/BV4</f>
        <v>-9.1027589722683742E-3</v>
      </c>
      <c r="BS6" s="66">
        <f t="shared" si="6"/>
        <v>0.73012805975479755</v>
      </c>
      <c r="BT6" s="66">
        <f t="shared" si="6"/>
        <v>0.14494220672102853</v>
      </c>
      <c r="BU6" s="66">
        <f t="shared" si="6"/>
        <v>6.5614374810200202E-2</v>
      </c>
      <c r="BV6" s="66" t="e">
        <f t="shared" si="6"/>
        <v>#DIV/0!</v>
      </c>
      <c r="BW6" s="66">
        <f t="shared" si="6"/>
        <v>1.1718978512007971</v>
      </c>
      <c r="BX6" s="66" t="e">
        <f t="shared" si="6"/>
        <v>#DIV/0!</v>
      </c>
      <c r="BY6" s="66">
        <f t="shared" si="6"/>
        <v>10.041192468236394</v>
      </c>
      <c r="BZ6" s="66" t="e">
        <f t="shared" si="6"/>
        <v>#DIV/0!</v>
      </c>
      <c r="CA6" s="66">
        <f t="shared" si="6"/>
        <v>5.5618171585744234</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12842470810.369999</v>
      </c>
      <c r="F7" s="27">
        <f>股权价值增加表!F6</f>
        <v>10514227204.599998</v>
      </c>
      <c r="G7" s="27">
        <f>股权价值增加表!G6</f>
        <v>5632303199.25</v>
      </c>
      <c r="H7" s="27">
        <f>股权价值增加表!H6</f>
        <v>3422302057.1199999</v>
      </c>
      <c r="I7" s="27">
        <f>股权价值增加表!I6</f>
        <v>14170174434.139999</v>
      </c>
      <c r="J7" s="27">
        <f>股权价值增加表!J6</f>
        <v>11696622332.510002</v>
      </c>
      <c r="K7" s="27">
        <f>股权价值增加表!K6</f>
        <v>6653425537.7600002</v>
      </c>
      <c r="L7" s="27">
        <f>股权价值增加表!L6</f>
        <v>3727812012.8899999</v>
      </c>
      <c r="M7" s="27">
        <f>股权价值增加表!M6</f>
        <v>16329741008.139999</v>
      </c>
      <c r="N7" s="27">
        <f>股权价值增加表!N6</f>
        <v>13211286844.369999</v>
      </c>
      <c r="O7" s="27">
        <f>股权价值增加表!O6</f>
        <v>7685024393.6499996</v>
      </c>
      <c r="P7" s="27">
        <f>股权价值增加表!P6</f>
        <v>3957075617.4400001</v>
      </c>
      <c r="Q7" s="27">
        <f>股权价值增加表!Q6</f>
        <v>16716884311.360001</v>
      </c>
      <c r="R7" s="27">
        <f>股权价值增加表!R6</f>
        <v>13349157137.700001</v>
      </c>
      <c r="S7" s="27">
        <f>股权价值增加表!S6</f>
        <v>6524666079.210001</v>
      </c>
      <c r="T7" s="27">
        <f>股权价值增加表!T6</f>
        <v>3242188817.3300004</v>
      </c>
      <c r="U7" s="27">
        <f>股权价值增加表!U6</f>
        <v>11479590157.08</v>
      </c>
      <c r="V7" s="27">
        <f>股权价值增加表!V6</f>
        <v>8141471844.7700005</v>
      </c>
      <c r="W7" s="27">
        <f>股权价值增加表!W6</f>
        <v>4362152906.1599998</v>
      </c>
      <c r="X7" s="27">
        <f>股权价值增加表!X6</f>
        <v>1922932518.4500003</v>
      </c>
      <c r="Y7" s="27">
        <f>股权价值增加表!Y6</f>
        <v>6036014379.420002</v>
      </c>
      <c r="Z7" s="27">
        <f>股权价值增加表!Z6</f>
        <v>4199660326.0199986</v>
      </c>
      <c r="AA7" s="27">
        <f>股权价值增加表!AA6</f>
        <v>1829593932.9400005</v>
      </c>
      <c r="AB7" s="27">
        <f>股权价值增加表!AB6</f>
        <v>691954099.31000042</v>
      </c>
      <c r="AC7" s="27">
        <f>股权价值增加表!AC6</f>
        <v>3700664866.420002</v>
      </c>
      <c r="AD7" s="27">
        <f>股权价值增加表!AD6</f>
        <v>2983387497.2399998</v>
      </c>
      <c r="AE7" s="27">
        <f>股权价值增加表!AE6</f>
        <v>1641443905.0599995</v>
      </c>
      <c r="AF7" s="27">
        <f>股权价值增加表!AF6</f>
        <v>718204543.76000023</v>
      </c>
      <c r="AG7" s="27">
        <f>股权价值增加表!AG6</f>
        <v>3646903022.7800007</v>
      </c>
      <c r="AH7" s="27">
        <f>股权价值增加表!AH6</f>
        <v>2679733137.9599991</v>
      </c>
      <c r="AI7" s="27">
        <f>股权价值增加表!AI6</f>
        <v>1297805939.3500004</v>
      </c>
      <c r="AJ7" s="27">
        <f>股权价值增加表!AJ6</f>
        <v>631280983.25999975</v>
      </c>
      <c r="AK7" s="27">
        <f>股权价值增加表!AK6</f>
        <v>3348399692.7399998</v>
      </c>
      <c r="AL7" s="27">
        <f>股权价值增加表!AL6</f>
        <v>837700810.54000044</v>
      </c>
      <c r="AM7" s="27">
        <f>股权价值增加表!AM6</f>
        <v>551789657.22000027</v>
      </c>
      <c r="AN7" s="27">
        <f>股权价值增加表!AN6</f>
        <v>255219658.99000001</v>
      </c>
      <c r="AO7" s="27">
        <f>股权价值增加表!AO6</f>
        <v>1093452306.9900007</v>
      </c>
      <c r="AP7" s="27">
        <f>股权价值增加表!AP6</f>
        <v>812012654.96000004</v>
      </c>
      <c r="AQ7" s="27">
        <f>股权价值增加表!AQ6</f>
        <v>569748095.03000021</v>
      </c>
      <c r="AR7" s="27">
        <f>股权价值增加表!AR6</f>
        <v>281636849.66000009</v>
      </c>
      <c r="AS7" s="27">
        <f>股权价值增加表!AS6</f>
        <v>1695363497.7799997</v>
      </c>
      <c r="AT7" s="27">
        <f>股权价值增加表!AT6</f>
        <v>1280524826.0900002</v>
      </c>
      <c r="AU7" s="27">
        <f>股权价值增加表!AU6</f>
        <v>923757141.63000011</v>
      </c>
      <c r="AV7" s="27">
        <f>股权价值增加表!AV6</f>
        <v>465750261.41000009</v>
      </c>
      <c r="AW7" s="27">
        <f>股权价值增加表!AW6</f>
        <v>1225821212.3099999</v>
      </c>
      <c r="AX7" s="27">
        <f>股权价值增加表!AX6</f>
        <v>744303716.71000004</v>
      </c>
      <c r="AY7" s="27">
        <f>股权价值增加表!AY6</f>
        <v>483162940.89999986</v>
      </c>
      <c r="AZ7" s="27">
        <f>股权价值增加表!AZ6</f>
        <v>209268748.78999996</v>
      </c>
      <c r="BA7" s="27">
        <f>股权价值增加表!BA6</f>
        <v>991975208.20000005</v>
      </c>
      <c r="BB7" s="27">
        <f>股权价值增加表!BB6</f>
        <v>818088059.08000016</v>
      </c>
      <c r="BC7" s="27">
        <f>股权价值增加表!BC6</f>
        <v>548634618.37000012</v>
      </c>
      <c r="BD7" s="27">
        <f>股权价值增加表!BD6</f>
        <v>297871129.44</v>
      </c>
      <c r="BE7" s="27">
        <f>股权价值增加表!BE6</f>
        <v>855278647.50999999</v>
      </c>
      <c r="BF7" s="27">
        <f>股权价值增加表!BF6</f>
        <v>610147212.22000003</v>
      </c>
      <c r="BG7" s="27">
        <f>股权价值增加表!BG6</f>
        <v>414101570.64999998</v>
      </c>
      <c r="BH7" s="27">
        <f>股权价值增加表!BH6</f>
        <v>125968487.24000001</v>
      </c>
      <c r="BI7" s="27">
        <f>股权价值增加表!BI6</f>
        <v>527303135.46000004</v>
      </c>
      <c r="BJ7" s="27">
        <f>股权价值增加表!BJ6</f>
        <v>338373089.44999993</v>
      </c>
      <c r="BK7" s="27">
        <f>股权价值增加表!BK6</f>
        <v>223341362.31000006</v>
      </c>
      <c r="BL7" s="27">
        <f>股权价值增加表!BL6</f>
        <v>113087402.57999998</v>
      </c>
      <c r="BM7" s="27">
        <f>股权价值增加表!BM6</f>
        <v>257922748.43000031</v>
      </c>
      <c r="BN7" s="27">
        <f>股权价值增加表!BN6</f>
        <v>125383444.22000003</v>
      </c>
      <c r="BO7" s="27">
        <f>股权价值增加表!BO6</f>
        <v>68620009.5</v>
      </c>
      <c r="BP7" s="27">
        <f>股权价值增加表!BP6</f>
        <v>23220391.620000005</v>
      </c>
      <c r="BQ7" s="27">
        <f>股权价值增加表!BQ6</f>
        <v>115938059.49000001</v>
      </c>
      <c r="BR7" s="27">
        <f>股权价值增加表!BR6</f>
        <v>58280282.120000005</v>
      </c>
      <c r="BS7" s="27">
        <f>股权价值增加表!BS6</f>
        <v>172247584.57000017</v>
      </c>
      <c r="BT7" s="27">
        <f>股权价值增加表!BT6</f>
        <v>11731293.560000062</v>
      </c>
      <c r="BU7" s="27">
        <f>股权价值增加表!BU6</f>
        <v>52305700.189999819</v>
      </c>
      <c r="BV7" s="27">
        <f>股权价值增加表!BV6</f>
        <v>-26909080.75</v>
      </c>
      <c r="BW7" s="27">
        <f>股权价值增加表!BW6</f>
        <v>243923717.77999985</v>
      </c>
      <c r="BX7" s="27">
        <f>股权价值增加表!BX6</f>
        <v>210185912.09999996</v>
      </c>
      <c r="BY7" s="27">
        <f>股权价值增加表!BY6</f>
        <v>181058983.68000007</v>
      </c>
      <c r="BZ7" s="27">
        <f>股权价值增加表!BZ6</f>
        <v>636022622.80999994</v>
      </c>
      <c r="CA7" s="27">
        <f>股权价值增加表!CA6</f>
        <v>164763266.92000002</v>
      </c>
      <c r="CB7" s="27">
        <f>股权价值增加表!CB6</f>
        <v>146955056.78</v>
      </c>
      <c r="CC7" s="27">
        <f>股权价值增加表!CC6</f>
        <v>105860183.68999998</v>
      </c>
      <c r="CD7" s="27">
        <f>股权价值增加表!CD6</f>
        <v>111235147.11</v>
      </c>
      <c r="CE7" s="27">
        <f>股权价值增加表!CE6</f>
        <v>59004757.299999997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0.40582573740570049</v>
      </c>
      <c r="F8" s="66">
        <f t="shared" ref="F8:BQ8" si="7">F7/F2</f>
        <v>0.43437919801120634</v>
      </c>
      <c r="G8" s="66">
        <f t="shared" si="7"/>
        <v>0.40337044436077124</v>
      </c>
      <c r="H8" s="66">
        <f t="shared" si="7"/>
        <v>0.4484889026338415</v>
      </c>
      <c r="I8" s="66">
        <f t="shared" si="7"/>
        <v>0.48410610569349061</v>
      </c>
      <c r="J8" s="66">
        <f t="shared" si="7"/>
        <v>0.52830354107677424</v>
      </c>
      <c r="K8" s="66">
        <f t="shared" si="7"/>
        <v>0.50640430572149464</v>
      </c>
      <c r="L8" s="66">
        <f t="shared" si="7"/>
        <v>0.54025771413920243</v>
      </c>
      <c r="M8" s="66">
        <f t="shared" si="7"/>
        <v>0.52205555445524077</v>
      </c>
      <c r="N8" s="66">
        <f t="shared" si="7"/>
        <v>0.54166319869237478</v>
      </c>
      <c r="O8" s="66">
        <f t="shared" si="7"/>
        <v>0.51486901913794081</v>
      </c>
      <c r="P8" s="66">
        <f t="shared" si="7"/>
        <v>0.52066773796318278</v>
      </c>
      <c r="Q8" s="66">
        <f t="shared" si="7"/>
        <v>0.50723058809802302</v>
      </c>
      <c r="R8" s="66">
        <f t="shared" si="7"/>
        <v>0.52283958785939877</v>
      </c>
      <c r="S8" s="66">
        <f t="shared" si="7"/>
        <v>0.4462322746171018</v>
      </c>
      <c r="T8" s="66">
        <f t="shared" si="7"/>
        <v>0.43794323316503864</v>
      </c>
      <c r="U8" s="66">
        <f t="shared" si="7"/>
        <v>0.40508125971882469</v>
      </c>
      <c r="V8" s="66">
        <f t="shared" si="7"/>
        <v>0.39841293944450951</v>
      </c>
      <c r="W8" s="66">
        <f t="shared" si="7"/>
        <v>0.35846904766646603</v>
      </c>
      <c r="X8" s="66">
        <f t="shared" si="7"/>
        <v>0.32203934955054986</v>
      </c>
      <c r="Y8" s="66">
        <f t="shared" si="7"/>
        <v>0.2529020161874086</v>
      </c>
      <c r="Z8" s="66">
        <f t="shared" si="7"/>
        <v>0.23509568192681685</v>
      </c>
      <c r="AA8" s="66">
        <f t="shared" si="7"/>
        <v>0.16744211322865363</v>
      </c>
      <c r="AB8" s="66">
        <f t="shared" si="7"/>
        <v>0.13171862975137216</v>
      </c>
      <c r="AC8" s="66">
        <f t="shared" si="7"/>
        <v>0.1705097416275351</v>
      </c>
      <c r="AD8" s="66">
        <f t="shared" si="7"/>
        <v>0.18738228457753459</v>
      </c>
      <c r="AE8" s="66">
        <f t="shared" si="7"/>
        <v>0.1708381144086121</v>
      </c>
      <c r="AF8" s="66">
        <f t="shared" si="7"/>
        <v>0.16718325191037087</v>
      </c>
      <c r="AG8" s="66">
        <f t="shared" si="7"/>
        <v>0.22868019469835901</v>
      </c>
      <c r="AH8" s="66">
        <f t="shared" si="7"/>
        <v>0.23127794793749859</v>
      </c>
      <c r="AI8" s="66">
        <f t="shared" si="7"/>
        <v>0.18697840843684402</v>
      </c>
      <c r="AJ8" s="66">
        <f t="shared" si="7"/>
        <v>0.17656259560081086</v>
      </c>
      <c r="AK8" s="66">
        <f t="shared" si="7"/>
        <v>0.28097388981264104</v>
      </c>
      <c r="AL8" s="66">
        <f t="shared" si="7"/>
        <v>0.1797458300690993</v>
      </c>
      <c r="AM8" s="66">
        <f t="shared" si="7"/>
        <v>0.17247053030609971</v>
      </c>
      <c r="AN8" s="66">
        <f t="shared" si="7"/>
        <v>0.16469079104267831</v>
      </c>
      <c r="AO8" s="66">
        <f t="shared" si="7"/>
        <v>0.16617488499637351</v>
      </c>
      <c r="AP8" s="66">
        <f t="shared" si="7"/>
        <v>0.15857616344884151</v>
      </c>
      <c r="AQ8" s="66">
        <f t="shared" si="7"/>
        <v>0.16552458797110983</v>
      </c>
      <c r="AR8" s="66">
        <f t="shared" si="7"/>
        <v>0.15746613236629703</v>
      </c>
      <c r="AS8" s="66">
        <f t="shared" si="7"/>
        <v>0.25498075519451818</v>
      </c>
      <c r="AT8" s="66">
        <f t="shared" si="7"/>
        <v>0.26229762568141501</v>
      </c>
      <c r="AU8" s="66">
        <f t="shared" si="7"/>
        <v>0.26965460222066934</v>
      </c>
      <c r="AV8" s="66">
        <f t="shared" si="7"/>
        <v>0.27310266591247678</v>
      </c>
      <c r="AW8" s="66">
        <f t="shared" si="7"/>
        <v>0.29068325461728201</v>
      </c>
      <c r="AX8" s="66">
        <f t="shared" si="7"/>
        <v>0.3058815623634511</v>
      </c>
      <c r="AY8" s="66">
        <f t="shared" si="7"/>
        <v>0.30863679227301549</v>
      </c>
      <c r="AZ8" s="66">
        <f t="shared" si="7"/>
        <v>0.28046204164986788</v>
      </c>
      <c r="BA8" s="66">
        <f t="shared" si="7"/>
        <v>0.32451803972872229</v>
      </c>
      <c r="BB8" s="66">
        <f t="shared" si="7"/>
        <v>0.35431717499219401</v>
      </c>
      <c r="BC8" s="66">
        <f t="shared" si="7"/>
        <v>0.36160658770628074</v>
      </c>
      <c r="BD8" s="66">
        <f t="shared" si="7"/>
        <v>0.37839820778808464</v>
      </c>
      <c r="BE8" s="66">
        <f t="shared" si="7"/>
        <v>0.35968557029142317</v>
      </c>
      <c r="BF8" s="66">
        <f t="shared" si="7"/>
        <v>0.36415988740333732</v>
      </c>
      <c r="BG8" s="66">
        <f t="shared" si="7"/>
        <v>0.39266248143682725</v>
      </c>
      <c r="BH8" s="66">
        <f t="shared" si="7"/>
        <v>0.38277495355188867</v>
      </c>
      <c r="BI8" s="66">
        <f t="shared" si="7"/>
        <v>0.38304825234277551</v>
      </c>
      <c r="BJ8" s="66">
        <f t="shared" si="7"/>
        <v>0.33350522815341999</v>
      </c>
      <c r="BK8" s="66">
        <f t="shared" si="7"/>
        <v>0.3322425940016876</v>
      </c>
      <c r="BL8" s="66">
        <f t="shared" si="7"/>
        <v>0.28782998605942889</v>
      </c>
      <c r="BM8" s="66">
        <f t="shared" si="7"/>
        <v>0.1016892955206213</v>
      </c>
      <c r="BN8" s="66">
        <f t="shared" si="7"/>
        <v>5.6890755276009189E-2</v>
      </c>
      <c r="BO8" s="66">
        <f t="shared" si="7"/>
        <v>5.0169906483582605E-2</v>
      </c>
      <c r="BP8" s="66">
        <f t="shared" si="7"/>
        <v>3.797232001248952E-2</v>
      </c>
      <c r="BQ8" s="66">
        <f t="shared" si="7"/>
        <v>6.0814882776442966E-2</v>
      </c>
      <c r="BR8" s="66">
        <f t="shared" ref="BR8:CJ8" si="8">BR7/BR2</f>
        <v>9.0200075348921341E-2</v>
      </c>
      <c r="BS8" s="66">
        <f t="shared" si="8"/>
        <v>9.265235250239548E-2</v>
      </c>
      <c r="BT8" s="66">
        <f t="shared" si="8"/>
        <v>2.1344242265458377E-2</v>
      </c>
      <c r="BU8" s="66">
        <f t="shared" si="8"/>
        <v>3.9784843544984246E-2</v>
      </c>
      <c r="BV8" s="66">
        <f t="shared" si="8"/>
        <v>-4.7514582440141125E-2</v>
      </c>
      <c r="BW8" s="66">
        <f t="shared" si="8"/>
        <v>0.20011860563635125</v>
      </c>
      <c r="BX8" s="66">
        <f t="shared" si="8"/>
        <v>0.30910405200712021</v>
      </c>
      <c r="BY8" s="66">
        <f t="shared" si="8"/>
        <v>0.13257249114174849</v>
      </c>
      <c r="BZ8" s="66">
        <f t="shared" si="8"/>
        <v>1</v>
      </c>
      <c r="CA8" s="66">
        <f t="shared" si="8"/>
        <v>0.2684899028631737</v>
      </c>
      <c r="CB8" s="66">
        <f t="shared" si="8"/>
        <v>1</v>
      </c>
      <c r="CC8" s="66">
        <f t="shared" si="8"/>
        <v>0.49663181318593663</v>
      </c>
      <c r="CD8" s="66">
        <f t="shared" si="8"/>
        <v>1</v>
      </c>
      <c r="CE8" s="66">
        <f t="shared" si="8"/>
        <v>0.46308684043405468</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-9.369705573780257E-2</v>
      </c>
      <c r="F9" s="66">
        <f t="shared" ref="F9:BQ9" si="9">(F7-J7)/J7</f>
        <v>-0.10108859586101307</v>
      </c>
      <c r="G9" s="66">
        <f t="shared" si="9"/>
        <v>-0.15347317448956979</v>
      </c>
      <c r="H9" s="66">
        <f t="shared" si="9"/>
        <v>-8.1954228033390628E-2</v>
      </c>
      <c r="I9" s="66">
        <f t="shared" si="9"/>
        <v>-0.13224744794932791</v>
      </c>
      <c r="J9" s="66">
        <f t="shared" si="9"/>
        <v>-0.11464927903714939</v>
      </c>
      <c r="K9" s="66">
        <f t="shared" si="9"/>
        <v>-0.13423494878459871</v>
      </c>
      <c r="L9" s="66">
        <f t="shared" si="9"/>
        <v>-5.7937635444611627E-2</v>
      </c>
      <c r="M9" s="66">
        <f t="shared" si="9"/>
        <v>-2.3158819311617597E-2</v>
      </c>
      <c r="N9" s="66">
        <f t="shared" si="9"/>
        <v>-1.0328014863248232E-2</v>
      </c>
      <c r="O9" s="66">
        <f t="shared" si="9"/>
        <v>0.17784179302866232</v>
      </c>
      <c r="P9" s="66">
        <f t="shared" si="9"/>
        <v>0.22049511622790727</v>
      </c>
      <c r="Q9" s="66">
        <f t="shared" si="9"/>
        <v>0.45622657974857372</v>
      </c>
      <c r="R9" s="66">
        <f t="shared" si="9"/>
        <v>0.63964911900731625</v>
      </c>
      <c r="S9" s="66">
        <f t="shared" si="9"/>
        <v>0.4957444682867983</v>
      </c>
      <c r="T9" s="66">
        <f t="shared" si="9"/>
        <v>0.68606479230139616</v>
      </c>
      <c r="U9" s="66">
        <f t="shared" si="9"/>
        <v>0.90184937203265392</v>
      </c>
      <c r="V9" s="66">
        <f t="shared" si="9"/>
        <v>0.9386024613294478</v>
      </c>
      <c r="W9" s="66">
        <f t="shared" si="9"/>
        <v>1.3842191579365342</v>
      </c>
      <c r="X9" s="66">
        <f t="shared" si="9"/>
        <v>1.7789885490489921</v>
      </c>
      <c r="Y9" s="66">
        <f t="shared" si="9"/>
        <v>0.63106214620812207</v>
      </c>
      <c r="Z9" s="66">
        <f t="shared" si="9"/>
        <v>0.40768181468387887</v>
      </c>
      <c r="AA9" s="66">
        <f t="shared" si="9"/>
        <v>0.11462470773445264</v>
      </c>
      <c r="AB9" s="66">
        <f t="shared" si="9"/>
        <v>-3.6550095203479835E-2</v>
      </c>
      <c r="AC9" s="66">
        <f t="shared" si="9"/>
        <v>1.4741780437862902E-2</v>
      </c>
      <c r="AD9" s="66">
        <f t="shared" si="9"/>
        <v>0.11331514880290046</v>
      </c>
      <c r="AE9" s="66">
        <f t="shared" si="9"/>
        <v>0.26478378260628738</v>
      </c>
      <c r="AF9" s="66">
        <f t="shared" si="9"/>
        <v>0.13769393155345547</v>
      </c>
      <c r="AG9" s="66">
        <f t="shared" si="9"/>
        <v>8.9148058007296985E-2</v>
      </c>
      <c r="AH9" s="66">
        <f t="shared" si="9"/>
        <v>2.1989143429771589</v>
      </c>
      <c r="AI9" s="66">
        <f t="shared" si="9"/>
        <v>1.3519939570606361</v>
      </c>
      <c r="AJ9" s="66">
        <f t="shared" si="9"/>
        <v>1.4734810232025839</v>
      </c>
      <c r="AK9" s="66">
        <f t="shared" si="9"/>
        <v>2.0622274710428865</v>
      </c>
      <c r="AL9" s="66">
        <f t="shared" si="9"/>
        <v>3.1635166549548177E-2</v>
      </c>
      <c r="AM9" s="66">
        <f t="shared" si="9"/>
        <v>-3.1519961131338821E-2</v>
      </c>
      <c r="AN9" s="66">
        <f t="shared" si="9"/>
        <v>-9.3798772077913983E-2</v>
      </c>
      <c r="AO9" s="66">
        <f t="shared" si="9"/>
        <v>-0.35503370904126103</v>
      </c>
      <c r="AP9" s="66">
        <f t="shared" si="9"/>
        <v>-0.36587511743959839</v>
      </c>
      <c r="AQ9" s="66">
        <f t="shared" si="9"/>
        <v>-0.38322739889765745</v>
      </c>
      <c r="AR9" s="66">
        <f t="shared" si="9"/>
        <v>-0.39530501001249019</v>
      </c>
      <c r="AS9" s="66">
        <f t="shared" si="9"/>
        <v>0.38304304147679935</v>
      </c>
      <c r="AT9" s="66">
        <f t="shared" si="9"/>
        <v>0.72043320131494881</v>
      </c>
      <c r="AU9" s="66">
        <f t="shared" si="9"/>
        <v>0.91189568452682701</v>
      </c>
      <c r="AV9" s="66">
        <f t="shared" si="9"/>
        <v>1.2256082864880027</v>
      </c>
      <c r="AW9" s="66">
        <f t="shared" si="9"/>
        <v>0.23573775047697798</v>
      </c>
      <c r="AX9" s="66">
        <f t="shared" si="9"/>
        <v>-9.0191198308133255E-2</v>
      </c>
      <c r="AY9" s="66">
        <f t="shared" si="9"/>
        <v>-0.11933566581073099</v>
      </c>
      <c r="AZ9" s="66">
        <f t="shared" si="9"/>
        <v>-0.29745205860189672</v>
      </c>
      <c r="BA9" s="66">
        <f t="shared" si="9"/>
        <v>0.15982693019166222</v>
      </c>
      <c r="BB9" s="66">
        <f t="shared" si="9"/>
        <v>0.34080438735991986</v>
      </c>
      <c r="BC9" s="66">
        <f t="shared" si="9"/>
        <v>0.32487934665118168</v>
      </c>
      <c r="BD9" s="66">
        <f t="shared" si="9"/>
        <v>1.3646479843207489</v>
      </c>
      <c r="BE9" s="66">
        <f t="shared" si="9"/>
        <v>0.62198665244781082</v>
      </c>
      <c r="BF9" s="66">
        <f t="shared" si="9"/>
        <v>0.80317889112207042</v>
      </c>
      <c r="BG9" s="66">
        <f t="shared" si="9"/>
        <v>0.85411948045352581</v>
      </c>
      <c r="BH9" s="66">
        <f t="shared" si="9"/>
        <v>0.11390379800161847</v>
      </c>
      <c r="BI9" s="66">
        <f t="shared" si="9"/>
        <v>1.0444227532070867</v>
      </c>
      <c r="BJ9" s="66">
        <f t="shared" si="9"/>
        <v>1.6987062889761144</v>
      </c>
      <c r="BK9" s="66">
        <f t="shared" si="9"/>
        <v>2.2547556308630368</v>
      </c>
      <c r="BL9" s="66">
        <f t="shared" si="9"/>
        <v>3.8701763704362517</v>
      </c>
      <c r="BM9" s="66">
        <f t="shared" si="9"/>
        <v>1.2246598706634975</v>
      </c>
      <c r="BN9" s="66">
        <f t="shared" si="9"/>
        <v>1.1513870499431278</v>
      </c>
      <c r="BO9" s="66">
        <f t="shared" si="9"/>
        <v>-0.60161990270398635</v>
      </c>
      <c r="BP9" s="66">
        <f t="shared" si="9"/>
        <v>0.97935474900858943</v>
      </c>
      <c r="BQ9" s="66">
        <f t="shared" si="9"/>
        <v>1.216547318339233</v>
      </c>
      <c r="BR9" s="66">
        <f t="shared" ref="BR9:CK9" si="10">(BR7-BV7)/BV7</f>
        <v>-3.1658221126710173</v>
      </c>
      <c r="BS9" s="66">
        <f t="shared" si="10"/>
        <v>-0.29384651013988705</v>
      </c>
      <c r="BT9" s="66">
        <f t="shared" si="10"/>
        <v>-0.9441861091317163</v>
      </c>
      <c r="BU9" s="66">
        <f t="shared" si="10"/>
        <v>-0.71111237273681027</v>
      </c>
      <c r="BV9" s="66">
        <f t="shared" si="10"/>
        <v>-1.0423083704650529</v>
      </c>
      <c r="BW9" s="66">
        <f t="shared" si="10"/>
        <v>0.48044963140015789</v>
      </c>
      <c r="BX9" s="66">
        <f t="shared" si="10"/>
        <v>0.43027342308240618</v>
      </c>
      <c r="BY9" s="66">
        <f t="shared" si="10"/>
        <v>0.71035962123598406</v>
      </c>
      <c r="BZ9" s="66">
        <f t="shared" si="10"/>
        <v>4.7178206649112413</v>
      </c>
      <c r="CA9" s="66">
        <f t="shared" si="10"/>
        <v>1.7923725892522233</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563632265.88</v>
      </c>
      <c r="F10" s="27">
        <f>股权价值增加表!F8</f>
        <v>419065660.93000001</v>
      </c>
      <c r="G10" s="27">
        <f>股权价值增加表!G8</f>
        <v>268221427.03</v>
      </c>
      <c r="H10" s="27">
        <f>股权价值增加表!H8</f>
        <v>139645399.47999999</v>
      </c>
      <c r="I10" s="27">
        <f>股权价值增加表!I8</f>
        <v>457552305.98000002</v>
      </c>
      <c r="J10" s="27">
        <f>股权价值增加表!J8</f>
        <v>310049176.24000001</v>
      </c>
      <c r="K10" s="27">
        <f>股权价值增加表!K8</f>
        <v>187390171.59</v>
      </c>
      <c r="L10" s="27">
        <f>股权价值增加表!L8</f>
        <v>108006382.68000001</v>
      </c>
      <c r="M10" s="27">
        <f>股权价值增加表!M8</f>
        <v>477811121.38999999</v>
      </c>
      <c r="N10" s="27">
        <f>股权价值增加表!N8</f>
        <v>382638589.73000002</v>
      </c>
      <c r="O10" s="27">
        <f>股权价值增加表!O8</f>
        <v>228206532.72</v>
      </c>
      <c r="P10" s="27">
        <f>股权价值增加表!P8</f>
        <v>116267597.44</v>
      </c>
      <c r="Q10" s="27">
        <f>股权价值增加表!Q8</f>
        <v>435828042.25</v>
      </c>
      <c r="R10" s="27">
        <f>股权价值增加表!R8</f>
        <v>328987671.73000002</v>
      </c>
      <c r="S10" s="27">
        <f>股权价值增加表!S8</f>
        <v>170759759.09</v>
      </c>
      <c r="T10" s="27">
        <f>股权价值增加表!T8</f>
        <v>89320225.640000001</v>
      </c>
      <c r="U10" s="27">
        <f>股权价值增加表!U8</f>
        <v>275451532.95999998</v>
      </c>
      <c r="V10" s="27">
        <f>股权价值增加表!V8</f>
        <v>204351367.24000001</v>
      </c>
      <c r="W10" s="27">
        <f>股权价值增加表!W8</f>
        <v>98718272.170000002</v>
      </c>
      <c r="X10" s="27">
        <f>股权价值增加表!X8</f>
        <v>46405928.890000001</v>
      </c>
      <c r="Y10" s="27">
        <f>股权价值增加表!Y8</f>
        <v>195450929.24000001</v>
      </c>
      <c r="Z10" s="27">
        <f>股权价值增加表!Z8</f>
        <v>130711364.63</v>
      </c>
      <c r="AA10" s="27">
        <f>股权价值增加表!AA8</f>
        <v>71452206.560000002</v>
      </c>
      <c r="AB10" s="27">
        <f>股权价值增加表!AB8</f>
        <v>31511762.120000001</v>
      </c>
      <c r="AC10" s="27">
        <f>股权价值增加表!AC8</f>
        <v>143245951.97</v>
      </c>
      <c r="AD10" s="27">
        <f>股权价值增加表!AD8</f>
        <v>113793938.73999999</v>
      </c>
      <c r="AE10" s="27">
        <f>股权价值增加表!AE8</f>
        <v>65402651.609999999</v>
      </c>
      <c r="AF10" s="27">
        <f>股权价值增加表!AF8</f>
        <v>27549512.530000001</v>
      </c>
      <c r="AG10" s="27">
        <f>股权价值增加表!AG8</f>
        <v>122161669.63</v>
      </c>
      <c r="AH10" s="27">
        <f>股权价值增加表!AH8</f>
        <v>88387121.469999999</v>
      </c>
      <c r="AI10" s="27">
        <f>股权价值增加表!AI8</f>
        <v>42257616.039999999</v>
      </c>
      <c r="AJ10" s="27">
        <f>股权价值增加表!AJ8</f>
        <v>20950309.27</v>
      </c>
      <c r="AK10" s="27">
        <f>股权价值增加表!AK8</f>
        <v>105974818.13</v>
      </c>
      <c r="AL10" s="27">
        <f>股权价值增加表!AL8</f>
        <v>22852516.710000001</v>
      </c>
      <c r="AM10" s="27">
        <f>股权价值增加表!AM8</f>
        <v>14196169.82</v>
      </c>
      <c r="AN10" s="27">
        <f>股权价值增加表!AN8</f>
        <v>6460568.0999999996</v>
      </c>
      <c r="AO10" s="27">
        <f>股权价值增加表!AO8</f>
        <v>29625736.52</v>
      </c>
      <c r="AP10" s="27">
        <f>股权价值增加表!AP8</f>
        <v>22996582.84</v>
      </c>
      <c r="AQ10" s="27">
        <f>股权价值增加表!AQ8</f>
        <v>13849189.49</v>
      </c>
      <c r="AR10" s="27">
        <f>股权价值增加表!AR8</f>
        <v>5817043.3300000001</v>
      </c>
      <c r="AS10" s="27">
        <f>股权价值增加表!AS8</f>
        <v>20969908.780000001</v>
      </c>
      <c r="AT10" s="27">
        <f>股权价值增加表!AT8</f>
        <v>14892376.74</v>
      </c>
      <c r="AU10" s="27">
        <f>股权价值增加表!AU8</f>
        <v>9519602.4900000002</v>
      </c>
      <c r="AV10" s="27">
        <f>股权价值增加表!AV8</f>
        <v>4002052.76</v>
      </c>
      <c r="AW10" s="27">
        <f>股权价值增加表!AW8</f>
        <v>11595240.35</v>
      </c>
      <c r="AX10" s="27">
        <f>股权价值增加表!AX8</f>
        <v>8999867.1300000008</v>
      </c>
      <c r="AY10" s="27">
        <f>股权价值增加表!AY8</f>
        <v>6007357.4500000002</v>
      </c>
      <c r="AZ10" s="27">
        <f>股权价值增加表!AZ8</f>
        <v>2104577.39</v>
      </c>
      <c r="BA10" s="27">
        <f>股权价值增加表!BA8</f>
        <v>10353101.16</v>
      </c>
      <c r="BB10" s="27">
        <f>股权价值增加表!BB8</f>
        <v>7809508.6100000003</v>
      </c>
      <c r="BC10" s="27">
        <f>股权价值增加表!BC8</f>
        <v>4567452.24</v>
      </c>
      <c r="BD10" s="27">
        <f>股权价值增加表!BD8</f>
        <v>1599302.77</v>
      </c>
      <c r="BE10" s="27">
        <f>股权价值增加表!BE8</f>
        <v>7060017.4100000001</v>
      </c>
      <c r="BF10" s="27">
        <f>股权价值增加表!BF8</f>
        <v>4845746.53</v>
      </c>
      <c r="BG10" s="27">
        <f>股权价值增加表!BG8</f>
        <v>3073461.2</v>
      </c>
      <c r="BH10" s="27">
        <f>股权价值增加表!BH8</f>
        <v>1017184.82</v>
      </c>
      <c r="BI10" s="27">
        <f>股权价值增加表!BI8</f>
        <v>5804603.5899999999</v>
      </c>
      <c r="BJ10" s="27">
        <f>股权价值增加表!BJ8</f>
        <v>3871150.02</v>
      </c>
      <c r="BK10" s="27">
        <f>股权价值增加表!BK8</f>
        <v>2056249.88</v>
      </c>
      <c r="BL10" s="27">
        <f>股权价值增加表!BL8</f>
        <v>735429.71</v>
      </c>
      <c r="BM10" s="27">
        <f>股权价值增加表!BM8</f>
        <v>159710794.02000001</v>
      </c>
      <c r="BN10" s="27">
        <f>股权价值增加表!BN8</f>
        <v>158154103.47</v>
      </c>
      <c r="BO10" s="27">
        <f>股权价值增加表!BO8</f>
        <v>101327612.17</v>
      </c>
      <c r="BP10" s="27">
        <f>股权价值增加表!BP8</f>
        <v>49735643.399999999</v>
      </c>
      <c r="BQ10" s="27">
        <f>股权价值增加表!BQ8</f>
        <v>115145718.44</v>
      </c>
      <c r="BR10" s="27">
        <f>股权价值增加表!BR8</f>
        <v>25944218.300000001</v>
      </c>
      <c r="BS10" s="27">
        <f>股权价值增加表!BS8</f>
        <v>104025004.81</v>
      </c>
      <c r="BT10" s="27">
        <f>股权价值增加表!BT8</f>
        <v>26012204.870000001</v>
      </c>
      <c r="BU10" s="27">
        <f>股权价值增加表!BU8</f>
        <v>75296582.010000005</v>
      </c>
      <c r="BV10" s="27">
        <f>股权价值增加表!BV8</f>
        <v>24452956.84</v>
      </c>
      <c r="BW10" s="27">
        <f>股权价值增加表!BW8</f>
        <v>118571168.17</v>
      </c>
      <c r="BX10" s="27">
        <f>股权价值增加表!BX8</f>
        <v>75754759.849999994</v>
      </c>
      <c r="BY10" s="27">
        <f>股权价值增加表!BY8</f>
        <v>1714519.81</v>
      </c>
      <c r="BZ10" s="27">
        <f>股权价值增加表!BZ8</f>
        <v>0</v>
      </c>
      <c r="CA10" s="27">
        <f>股权价值增加表!CA8</f>
        <v>1626136.71</v>
      </c>
      <c r="CB10" s="27">
        <f>股权价值增加表!CB8</f>
        <v>0</v>
      </c>
      <c r="CC10" s="27">
        <f>股权价值增加表!CC8</f>
        <v>1611066.23</v>
      </c>
      <c r="CD10" s="27">
        <f>股权价值增加表!CD8</f>
        <v>0</v>
      </c>
      <c r="CE10" s="27">
        <f>股权价值增加表!CE8</f>
        <v>1162940.06</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1.7810940223566434E-2</v>
      </c>
      <c r="F11" s="57">
        <f t="shared" ref="F11:BQ11" si="11">F10/F2</f>
        <v>1.7313056125434448E-2</v>
      </c>
      <c r="G11" s="57">
        <f t="shared" si="11"/>
        <v>1.9209298999133827E-2</v>
      </c>
      <c r="H11" s="57">
        <f t="shared" si="11"/>
        <v>1.8300375281121356E-2</v>
      </c>
      <c r="I11" s="57">
        <f t="shared" si="11"/>
        <v>1.5631696421844189E-2</v>
      </c>
      <c r="J11" s="57">
        <f t="shared" si="11"/>
        <v>1.4004049464797814E-2</v>
      </c>
      <c r="K11" s="57">
        <f t="shared" si="11"/>
        <v>1.4262606412968731E-2</v>
      </c>
      <c r="L11" s="57">
        <f t="shared" si="11"/>
        <v>1.565295707438415E-2</v>
      </c>
      <c r="M11" s="57">
        <f t="shared" si="11"/>
        <v>1.5275438219001437E-2</v>
      </c>
      <c r="N11" s="57">
        <f t="shared" si="11"/>
        <v>1.568819486684718E-2</v>
      </c>
      <c r="O11" s="57">
        <f t="shared" si="11"/>
        <v>1.5289017658747066E-2</v>
      </c>
      <c r="P11" s="57">
        <f t="shared" si="11"/>
        <v>1.52983649568624E-2</v>
      </c>
      <c r="Q11" s="57">
        <f t="shared" si="11"/>
        <v>1.3224073940013572E-2</v>
      </c>
      <c r="R11" s="57">
        <f t="shared" si="11"/>
        <v>1.2885291327671983E-2</v>
      </c>
      <c r="S11" s="57">
        <f t="shared" si="11"/>
        <v>1.1678531098257377E-2</v>
      </c>
      <c r="T11" s="57">
        <f t="shared" si="11"/>
        <v>1.2065055617589256E-2</v>
      </c>
      <c r="U11" s="57">
        <f t="shared" si="11"/>
        <v>9.7198813229496181E-3</v>
      </c>
      <c r="V11" s="57">
        <f t="shared" si="11"/>
        <v>1.0000185525900186E-2</v>
      </c>
      <c r="W11" s="57">
        <f t="shared" si="11"/>
        <v>8.1123806921317761E-3</v>
      </c>
      <c r="X11" s="57">
        <f t="shared" si="11"/>
        <v>7.7717418638647119E-3</v>
      </c>
      <c r="Y11" s="57">
        <f t="shared" si="11"/>
        <v>8.189167712892069E-3</v>
      </c>
      <c r="Z11" s="57">
        <f t="shared" si="11"/>
        <v>7.3171816332100953E-3</v>
      </c>
      <c r="AA11" s="57">
        <f t="shared" si="11"/>
        <v>6.5392152028135395E-3</v>
      </c>
      <c r="AB11" s="57">
        <f t="shared" si="11"/>
        <v>5.9984992236284986E-3</v>
      </c>
      <c r="AC11" s="57">
        <f t="shared" si="11"/>
        <v>6.6001194761587303E-3</v>
      </c>
      <c r="AD11" s="57">
        <f t="shared" si="11"/>
        <v>7.147233884939045E-3</v>
      </c>
      <c r="AE11" s="57">
        <f t="shared" si="11"/>
        <v>6.8069738136847047E-3</v>
      </c>
      <c r="AF11" s="57">
        <f t="shared" si="11"/>
        <v>6.412960114674543E-3</v>
      </c>
      <c r="AG11" s="57">
        <f t="shared" si="11"/>
        <v>7.6601857030927263E-3</v>
      </c>
      <c r="AH11" s="57">
        <f t="shared" si="11"/>
        <v>7.6283685819722715E-3</v>
      </c>
      <c r="AI11" s="57">
        <f t="shared" si="11"/>
        <v>6.0881689256652334E-3</v>
      </c>
      <c r="AJ11" s="57">
        <f t="shared" si="11"/>
        <v>5.8595793021495781E-3</v>
      </c>
      <c r="AK11" s="57">
        <f t="shared" si="11"/>
        <v>8.8926530893949016E-3</v>
      </c>
      <c r="AL11" s="57">
        <f t="shared" si="11"/>
        <v>4.9034745263753943E-3</v>
      </c>
      <c r="AM11" s="57">
        <f t="shared" si="11"/>
        <v>4.4372360103782354E-3</v>
      </c>
      <c r="AN11" s="57">
        <f t="shared" si="11"/>
        <v>4.168942452100771E-3</v>
      </c>
      <c r="AO11" s="57">
        <f t="shared" si="11"/>
        <v>4.5023027777917361E-3</v>
      </c>
      <c r="AP11" s="57">
        <f t="shared" si="11"/>
        <v>4.4909520275645239E-3</v>
      </c>
      <c r="AQ11" s="57">
        <f t="shared" si="11"/>
        <v>4.0234998661037536E-3</v>
      </c>
      <c r="AR11" s="57">
        <f t="shared" si="11"/>
        <v>3.2523702636500546E-3</v>
      </c>
      <c r="AS11" s="57">
        <f t="shared" si="11"/>
        <v>3.1538505955130609E-3</v>
      </c>
      <c r="AT11" s="57">
        <f t="shared" si="11"/>
        <v>3.0504953750741157E-3</v>
      </c>
      <c r="AU11" s="57">
        <f t="shared" si="11"/>
        <v>2.778873912909922E-3</v>
      </c>
      <c r="AV11" s="57">
        <f t="shared" si="11"/>
        <v>2.3466895639941308E-3</v>
      </c>
      <c r="AW11" s="57">
        <f t="shared" si="11"/>
        <v>2.7496197399423453E-3</v>
      </c>
      <c r="AX11" s="57">
        <f t="shared" si="11"/>
        <v>3.698615708861853E-3</v>
      </c>
      <c r="AY11" s="57">
        <f t="shared" si="11"/>
        <v>3.8374042718419973E-3</v>
      </c>
      <c r="AZ11" s="57">
        <f t="shared" si="11"/>
        <v>2.8205552669589807E-3</v>
      </c>
      <c r="BA11" s="57">
        <f t="shared" si="11"/>
        <v>3.3869476432307885E-3</v>
      </c>
      <c r="BB11" s="57">
        <f t="shared" si="11"/>
        <v>3.3823290757771947E-3</v>
      </c>
      <c r="BC11" s="57">
        <f t="shared" si="11"/>
        <v>3.0104203484730752E-3</v>
      </c>
      <c r="BD11" s="57">
        <f t="shared" si="11"/>
        <v>2.0316614873561252E-3</v>
      </c>
      <c r="BE11" s="57">
        <f t="shared" si="11"/>
        <v>2.9690749275411272E-3</v>
      </c>
      <c r="BF11" s="57">
        <f t="shared" si="11"/>
        <v>2.8921323828218089E-3</v>
      </c>
      <c r="BG11" s="57">
        <f t="shared" si="11"/>
        <v>2.91434031389325E-3</v>
      </c>
      <c r="BH11" s="57">
        <f t="shared" si="11"/>
        <v>3.0908751923596268E-3</v>
      </c>
      <c r="BI11" s="57">
        <f t="shared" si="11"/>
        <v>4.2166319734709143E-3</v>
      </c>
      <c r="BJ11" s="57">
        <f t="shared" si="11"/>
        <v>3.8154593579965809E-3</v>
      </c>
      <c r="BK11" s="57">
        <f t="shared" si="11"/>
        <v>3.0588771689258644E-3</v>
      </c>
      <c r="BL11" s="57">
        <f t="shared" si="11"/>
        <v>1.8718152362483048E-3</v>
      </c>
      <c r="BM11" s="57">
        <f t="shared" si="11"/>
        <v>6.2967994214518069E-2</v>
      </c>
      <c r="BN11" s="57">
        <f t="shared" si="11"/>
        <v>7.1759923747358706E-2</v>
      </c>
      <c r="BO11" s="57">
        <f t="shared" si="11"/>
        <v>7.4083301121863399E-2</v>
      </c>
      <c r="BP11" s="57">
        <f t="shared" si="11"/>
        <v>8.1332726773876096E-2</v>
      </c>
      <c r="BQ11" s="57">
        <f t="shared" si="11"/>
        <v>6.0399263192272928E-2</v>
      </c>
      <c r="BR11" s="57">
        <f t="shared" ref="BR11:CJ11" si="12">BR10/BR2</f>
        <v>4.0153725417979562E-2</v>
      </c>
      <c r="BS11" s="57">
        <f t="shared" si="12"/>
        <v>5.5955277624242246E-2</v>
      </c>
      <c r="BT11" s="57">
        <f t="shared" si="12"/>
        <v>4.7327330082089711E-2</v>
      </c>
      <c r="BU11" s="57">
        <f t="shared" si="12"/>
        <v>5.7272204059179342E-2</v>
      </c>
      <c r="BV11" s="57">
        <f t="shared" si="12"/>
        <v>4.3177693228312629E-2</v>
      </c>
      <c r="BW11" s="57">
        <f t="shared" si="12"/>
        <v>9.7277530282048205E-2</v>
      </c>
      <c r="BX11" s="57">
        <f t="shared" si="12"/>
        <v>0.11140662566062297</v>
      </c>
      <c r="BY11" s="57">
        <f t="shared" si="12"/>
        <v>1.2553818523873934E-3</v>
      </c>
      <c r="BZ11" s="57">
        <f t="shared" si="12"/>
        <v>0</v>
      </c>
      <c r="CA11" s="57">
        <f t="shared" si="12"/>
        <v>2.6498702985910715E-3</v>
      </c>
      <c r="CB11" s="57">
        <f t="shared" si="12"/>
        <v>0</v>
      </c>
      <c r="CC11" s="57">
        <f t="shared" si="12"/>
        <v>7.5581461799703337E-3</v>
      </c>
      <c r="CD11" s="57">
        <f t="shared" si="12"/>
        <v>0</v>
      </c>
      <c r="CE11" s="57">
        <f t="shared" si="12"/>
        <v>9.1270986042949129E-3</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7555575.1600000001</v>
      </c>
      <c r="F12" s="27">
        <f>股权价值增加表!F9</f>
        <v>5294391.33</v>
      </c>
      <c r="G12" s="27">
        <f>股权价值增加表!G9</f>
        <v>3457929.07</v>
      </c>
      <c r="H12" s="27">
        <f>股权价值增加表!H9</f>
        <v>1360352.63</v>
      </c>
      <c r="I12" s="27">
        <f>股权价值增加表!I9</f>
        <v>5996781.04</v>
      </c>
      <c r="J12" s="27">
        <f>股权价值增加表!J9</f>
        <v>4483665.4400000004</v>
      </c>
      <c r="K12" s="27">
        <f>股权价值增加表!K9</f>
        <v>3033969.4</v>
      </c>
      <c r="L12" s="27">
        <f>股权价值增加表!L9</f>
        <v>737978.25</v>
      </c>
      <c r="M12" s="27">
        <f>股权价值增加表!M9</f>
        <v>6555754.2699999996</v>
      </c>
      <c r="N12" s="27">
        <f>股权价值增加表!N9</f>
        <v>5260996.84</v>
      </c>
      <c r="O12" s="27">
        <f>股权价值增加表!O9</f>
        <v>3543648.71</v>
      </c>
      <c r="P12" s="27">
        <f>股权价值增加表!P9</f>
        <v>1103936.22</v>
      </c>
      <c r="Q12" s="27">
        <f>股权价值增加表!Q9</f>
        <v>16938541.219999999</v>
      </c>
      <c r="R12" s="27">
        <f>股权价值增加表!R9</f>
        <v>14829495.98</v>
      </c>
      <c r="S12" s="27">
        <f>股权价值增加表!S9</f>
        <v>12019350.76</v>
      </c>
      <c r="T12" s="27">
        <f>股权价值增加表!T9</f>
        <v>6333692.1900000004</v>
      </c>
      <c r="U12" s="27">
        <f>股权价值增加表!U9</f>
        <v>50430538.899999999</v>
      </c>
      <c r="V12" s="27">
        <f>股权价值增加表!V9</f>
        <v>39250424.280000001</v>
      </c>
      <c r="W12" s="27">
        <f>股权价值增加表!W9</f>
        <v>30832709.100000001</v>
      </c>
      <c r="X12" s="27">
        <f>股权价值增加表!X9</f>
        <v>23815566.629999999</v>
      </c>
      <c r="Y12" s="27">
        <f>股权价值增加表!Y9</f>
        <v>43366409.82</v>
      </c>
      <c r="Z12" s="27">
        <f>股权价值增加表!Z9</f>
        <v>24082564.879999999</v>
      </c>
      <c r="AA12" s="27">
        <f>股权价值增加表!AA9</f>
        <v>15032374.119999999</v>
      </c>
      <c r="AB12" s="27">
        <f>股权价值增加表!AB9</f>
        <v>6308215.2999999998</v>
      </c>
      <c r="AC12" s="27">
        <f>股权价值增加表!AC9</f>
        <v>33250545.010000002</v>
      </c>
      <c r="AD12" s="27">
        <f>股权价值增加表!AD9</f>
        <v>27369745.41</v>
      </c>
      <c r="AE12" s="27">
        <f>股权价值增加表!AE9</f>
        <v>6807124.5800000001</v>
      </c>
      <c r="AF12" s="27">
        <f>股权价值增加表!AF9</f>
        <v>9782521.8699999992</v>
      </c>
      <c r="AG12" s="27">
        <f>股权价值增加表!AG9</f>
        <v>14740158.970000001</v>
      </c>
      <c r="AH12" s="27">
        <f>股权价值增加表!AH9</f>
        <v>10551877.33</v>
      </c>
      <c r="AI12" s="27">
        <f>股权价值增加表!AI9</f>
        <v>7202900.3499999996</v>
      </c>
      <c r="AJ12" s="27">
        <f>股权价值增加表!AJ9</f>
        <v>2476554.2000000002</v>
      </c>
      <c r="AK12" s="27">
        <f>股权价值增加表!AK9</f>
        <v>4458340.32</v>
      </c>
      <c r="AL12" s="27">
        <f>股权价值增加表!AL9</f>
        <v>5592608.0099999998</v>
      </c>
      <c r="AM12" s="27">
        <f>股权价值增加表!AM9</f>
        <v>2524391.86</v>
      </c>
      <c r="AN12" s="27">
        <f>股权价值增加表!AN9</f>
        <v>2803319.25</v>
      </c>
      <c r="AO12" s="27">
        <f>股权价值增加表!AO9</f>
        <v>11690672.310000001</v>
      </c>
      <c r="AP12" s="27">
        <f>股权价值增加表!AP9</f>
        <v>17037598.199999999</v>
      </c>
      <c r="AQ12" s="27">
        <f>股权价值增加表!AQ9</f>
        <v>13059786.779999999</v>
      </c>
      <c r="AR12" s="27">
        <f>股权价值增加表!AR9</f>
        <v>6536243.0599999996</v>
      </c>
      <c r="AS12" s="27">
        <f>股权价值增加表!AS9</f>
        <v>9443784.8100000005</v>
      </c>
      <c r="AT12" s="27">
        <f>股权价值增加表!AT9</f>
        <v>7240704.79</v>
      </c>
      <c r="AU12" s="27">
        <f>股权价值增加表!AU9</f>
        <v>5037153.51</v>
      </c>
      <c r="AV12" s="27">
        <f>股权价值增加表!AV9</f>
        <v>2675133.1</v>
      </c>
      <c r="AW12" s="27">
        <f>股权价值增加表!AW9</f>
        <v>10928492.16</v>
      </c>
      <c r="AX12" s="27">
        <f>股权价值增加表!AX9</f>
        <v>7067642.7300000004</v>
      </c>
      <c r="AY12" s="27">
        <f>股权价值增加表!AY9</f>
        <v>4461398.3899999997</v>
      </c>
      <c r="AZ12" s="27">
        <f>股权价值增加表!AZ9</f>
        <v>2604944.2999999998</v>
      </c>
      <c r="BA12" s="27">
        <f>股权价值增加表!BA9</f>
        <v>10374715.279999999</v>
      </c>
      <c r="BB12" s="27">
        <f>股权价值增加表!BB9</f>
        <v>7903097.6299999999</v>
      </c>
      <c r="BC12" s="27">
        <f>股权价值增加表!BC9</f>
        <v>4812201.45</v>
      </c>
      <c r="BD12" s="27">
        <f>股权价值增加表!BD9</f>
        <v>2718559.54</v>
      </c>
      <c r="BE12" s="27">
        <f>股权价值增加表!BE9</f>
        <v>9491683.5600000005</v>
      </c>
      <c r="BF12" s="27">
        <f>股权价值增加表!BF9</f>
        <v>6705755.3399999999</v>
      </c>
      <c r="BG12" s="27">
        <f>股权价值增加表!BG9</f>
        <v>4776275.22</v>
      </c>
      <c r="BH12" s="27">
        <f>股权价值增加表!BH9</f>
        <v>2339110.8199999998</v>
      </c>
      <c r="BI12" s="27">
        <f>股权价值增加表!BI9</f>
        <v>8252358.5099999998</v>
      </c>
      <c r="BJ12" s="27">
        <f>股权价值增加表!BJ9</f>
        <v>5720975.7199999997</v>
      </c>
      <c r="BK12" s="27">
        <f>股权价值增加表!BK9</f>
        <v>4159667.56</v>
      </c>
      <c r="BL12" s="27">
        <f>股权价值增加表!BL9</f>
        <v>2159355.7400000002</v>
      </c>
      <c r="BM12" s="27">
        <f>股权价值增加表!BM9</f>
        <v>5254365.47</v>
      </c>
      <c r="BN12" s="27">
        <f>股权价值增加表!BN9</f>
        <v>2652487.39</v>
      </c>
      <c r="BO12" s="27">
        <f>股权价值增加表!BO9</f>
        <v>3625229.47</v>
      </c>
      <c r="BP12" s="27">
        <f>股权价值增加表!BP9</f>
        <v>808986.43</v>
      </c>
      <c r="BQ12" s="27">
        <f>股权价值增加表!BQ9</f>
        <v>3045031.1</v>
      </c>
      <c r="BR12" s="27">
        <f>股权价值增加表!BR9</f>
        <v>1269103.17</v>
      </c>
      <c r="BS12" s="27">
        <f>股权价值增加表!BS9</f>
        <v>2715260.55</v>
      </c>
      <c r="BT12" s="27">
        <f>股权价值增加表!BT9</f>
        <v>836402.46</v>
      </c>
      <c r="BU12" s="27">
        <f>股权价值增加表!BU9</f>
        <v>6424518.5700000003</v>
      </c>
      <c r="BV12" s="27">
        <f>股权价值增加表!BV9</f>
        <v>5384556.7999999998</v>
      </c>
      <c r="BW12" s="27">
        <f>股权价值增加表!BW9</f>
        <v>6024911.4100000001</v>
      </c>
      <c r="BX12" s="27">
        <f>股权价值增加表!BX9</f>
        <v>4316092.0999999996</v>
      </c>
      <c r="BY12" s="27">
        <f>股权价值增加表!BY9</f>
        <v>1238907.43</v>
      </c>
      <c r="BZ12" s="27">
        <f>股权价值增加表!BZ9</f>
        <v>0</v>
      </c>
      <c r="CA12" s="27">
        <f>股权价值增加表!CA9</f>
        <v>1132037.73</v>
      </c>
      <c r="CB12" s="27">
        <f>股权价值增加表!CB9</f>
        <v>0</v>
      </c>
      <c r="CC12" s="27">
        <f>股权价值增加表!CC9</f>
        <v>370359.06</v>
      </c>
      <c r="CD12" s="27">
        <f>股权价值增加表!CD9</f>
        <v>0</v>
      </c>
      <c r="CE12" s="27">
        <f>股权价值增加表!CE9</f>
        <v>685814.42</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2.3875832821479103E-4</v>
      </c>
      <c r="F13" s="57">
        <f t="shared" ref="F13:BQ13" si="13">F12/F2</f>
        <v>2.1872967124742442E-4</v>
      </c>
      <c r="G13" s="57">
        <f t="shared" si="13"/>
        <v>2.4764760279944874E-4</v>
      </c>
      <c r="H13" s="57">
        <f t="shared" si="13"/>
        <v>1.7827270884943031E-4</v>
      </c>
      <c r="I13" s="57">
        <f t="shared" si="13"/>
        <v>2.0487244736921626E-4</v>
      </c>
      <c r="J13" s="57">
        <f t="shared" si="13"/>
        <v>2.0251456032497557E-4</v>
      </c>
      <c r="K13" s="57">
        <f t="shared" si="13"/>
        <v>2.3092092319477921E-4</v>
      </c>
      <c r="L13" s="57">
        <f t="shared" si="13"/>
        <v>1.0695240024197369E-4</v>
      </c>
      <c r="M13" s="57">
        <f t="shared" si="13"/>
        <v>2.0958494862785275E-4</v>
      </c>
      <c r="N13" s="57">
        <f t="shared" si="13"/>
        <v>2.1570104488945172E-4</v>
      </c>
      <c r="O13" s="57">
        <f t="shared" si="13"/>
        <v>2.3741172988269159E-4</v>
      </c>
      <c r="P13" s="57">
        <f t="shared" si="13"/>
        <v>1.4525473609596539E-4</v>
      </c>
      <c r="Q13" s="57">
        <f t="shared" si="13"/>
        <v>5.1395619330240033E-4</v>
      </c>
      <c r="R13" s="57">
        <f t="shared" si="13"/>
        <v>5.8081925970059371E-4</v>
      </c>
      <c r="S13" s="57">
        <f t="shared" si="13"/>
        <v>8.2202248573998876E-4</v>
      </c>
      <c r="T13" s="57">
        <f t="shared" si="13"/>
        <v>8.5553241709254485E-4</v>
      </c>
      <c r="U13" s="57">
        <f t="shared" si="13"/>
        <v>1.7795466516121225E-3</v>
      </c>
      <c r="V13" s="57">
        <f t="shared" si="13"/>
        <v>1.9207677935881534E-3</v>
      </c>
      <c r="W13" s="57">
        <f t="shared" si="13"/>
        <v>2.5337424216483398E-3</v>
      </c>
      <c r="X13" s="57">
        <f t="shared" si="13"/>
        <v>3.9884652805627831E-3</v>
      </c>
      <c r="Y13" s="57">
        <f t="shared" si="13"/>
        <v>1.8170023775425953E-3</v>
      </c>
      <c r="Z13" s="57">
        <f t="shared" si="13"/>
        <v>1.348134509339232E-3</v>
      </c>
      <c r="AA13" s="57">
        <f t="shared" si="13"/>
        <v>1.3757437889247012E-3</v>
      </c>
      <c r="AB13" s="57">
        <f t="shared" si="13"/>
        <v>1.2008158869514663E-3</v>
      </c>
      <c r="AC13" s="57">
        <f t="shared" si="13"/>
        <v>1.5320333084131725E-3</v>
      </c>
      <c r="AD13" s="57">
        <f t="shared" si="13"/>
        <v>1.7190544064342569E-3</v>
      </c>
      <c r="AE13" s="57">
        <f t="shared" si="13"/>
        <v>7.0847156226712957E-4</v>
      </c>
      <c r="AF13" s="57">
        <f t="shared" si="13"/>
        <v>2.2771699682499398E-3</v>
      </c>
      <c r="AG13" s="57">
        <f t="shared" si="13"/>
        <v>9.2428627854624073E-4</v>
      </c>
      <c r="AH13" s="57">
        <f t="shared" si="13"/>
        <v>9.1069386768431282E-4</v>
      </c>
      <c r="AI13" s="57">
        <f t="shared" si="13"/>
        <v>1.03774131612213E-3</v>
      </c>
      <c r="AJ13" s="57">
        <f t="shared" si="13"/>
        <v>6.9266594320646071E-4</v>
      </c>
      <c r="AK13" s="57">
        <f t="shared" si="13"/>
        <v>3.7411221382411121E-4</v>
      </c>
      <c r="AL13" s="57">
        <f t="shared" si="13"/>
        <v>1.2000083518607777E-3</v>
      </c>
      <c r="AM13" s="57">
        <f t="shared" si="13"/>
        <v>7.8903835383237848E-4</v>
      </c>
      <c r="AN13" s="57">
        <f t="shared" si="13"/>
        <v>1.8089549474939045E-3</v>
      </c>
      <c r="AO13" s="57">
        <f t="shared" si="13"/>
        <v>1.7766628816141897E-3</v>
      </c>
      <c r="AP13" s="57">
        <f t="shared" si="13"/>
        <v>3.3272350380696681E-3</v>
      </c>
      <c r="AQ13" s="57">
        <f t="shared" si="13"/>
        <v>3.7941606906754491E-3</v>
      </c>
      <c r="AR13" s="57">
        <f t="shared" si="13"/>
        <v>3.654482416298769E-3</v>
      </c>
      <c r="AS13" s="57">
        <f t="shared" si="13"/>
        <v>1.420334568900099E-3</v>
      </c>
      <c r="AT13" s="57">
        <f t="shared" si="13"/>
        <v>1.483157246139611E-3</v>
      </c>
      <c r="AU13" s="57">
        <f t="shared" si="13"/>
        <v>1.4703990527929751E-3</v>
      </c>
      <c r="AV13" s="57">
        <f t="shared" si="13"/>
        <v>1.5686217310301696E-3</v>
      </c>
      <c r="AW13" s="57">
        <f t="shared" si="13"/>
        <v>2.5915114188160109E-3</v>
      </c>
      <c r="AX13" s="57">
        <f t="shared" si="13"/>
        <v>2.9045422613701711E-3</v>
      </c>
      <c r="AY13" s="57">
        <f t="shared" si="13"/>
        <v>2.8498702437250523E-3</v>
      </c>
      <c r="AZ13" s="57">
        <f t="shared" si="13"/>
        <v>3.4911471540135545E-3</v>
      </c>
      <c r="BA13" s="57">
        <f t="shared" si="13"/>
        <v>3.3940185577001013E-3</v>
      </c>
      <c r="BB13" s="57">
        <f t="shared" si="13"/>
        <v>3.4228628506057612E-3</v>
      </c>
      <c r="BC13" s="57">
        <f t="shared" si="13"/>
        <v>3.1717352267336763E-3</v>
      </c>
      <c r="BD13" s="57">
        <f t="shared" si="13"/>
        <v>3.4535003766063533E-3</v>
      </c>
      <c r="BE13" s="57">
        <f t="shared" si="13"/>
        <v>3.9917068247215994E-3</v>
      </c>
      <c r="BF13" s="57">
        <f t="shared" si="13"/>
        <v>4.0022588986086049E-3</v>
      </c>
      <c r="BG13" s="57">
        <f t="shared" si="13"/>
        <v>4.5289953307025158E-3</v>
      </c>
      <c r="BH13" s="57">
        <f t="shared" si="13"/>
        <v>7.1077541303830941E-3</v>
      </c>
      <c r="BI13" s="57">
        <f t="shared" si="13"/>
        <v>5.9947519602817165E-3</v>
      </c>
      <c r="BJ13" s="57">
        <f t="shared" si="13"/>
        <v>5.6386733231654053E-3</v>
      </c>
      <c r="BK13" s="57">
        <f t="shared" si="13"/>
        <v>6.1879211536321451E-3</v>
      </c>
      <c r="BL13" s="57">
        <f t="shared" si="13"/>
        <v>5.4959908739779274E-3</v>
      </c>
      <c r="BM13" s="57">
        <f t="shared" si="13"/>
        <v>2.0715998348520607E-3</v>
      </c>
      <c r="BN13" s="57">
        <f t="shared" si="13"/>
        <v>1.2035242125939289E-3</v>
      </c>
      <c r="BO13" s="57">
        <f t="shared" si="13"/>
        <v>2.6505012869668539E-3</v>
      </c>
      <c r="BP13" s="57">
        <f t="shared" si="13"/>
        <v>1.32293598266718E-3</v>
      </c>
      <c r="BQ13" s="57">
        <f t="shared" si="13"/>
        <v>1.5972598662745063E-3</v>
      </c>
      <c r="BR13" s="57">
        <f t="shared" ref="BR13:CJ13" si="14">BR12/BR2</f>
        <v>1.9641840669860316E-3</v>
      </c>
      <c r="BS13" s="57">
        <f t="shared" si="14"/>
        <v>1.4605445890140179E-3</v>
      </c>
      <c r="BT13" s="57">
        <f t="shared" si="14"/>
        <v>1.5217739328027917E-3</v>
      </c>
      <c r="BU13" s="57">
        <f t="shared" si="14"/>
        <v>4.8866273700731962E-3</v>
      </c>
      <c r="BV13" s="57">
        <f t="shared" si="14"/>
        <v>9.5077557778417403E-3</v>
      </c>
      <c r="BW13" s="57">
        <f t="shared" si="14"/>
        <v>4.9429259336690968E-3</v>
      </c>
      <c r="BX13" s="57">
        <f t="shared" si="14"/>
        <v>6.3473405216196727E-3</v>
      </c>
      <c r="BY13" s="57">
        <f t="shared" si="14"/>
        <v>9.0713556958546017E-4</v>
      </c>
      <c r="BZ13" s="57">
        <f t="shared" si="14"/>
        <v>0</v>
      </c>
      <c r="CA13" s="57">
        <f t="shared" si="14"/>
        <v>1.8447115418798083E-3</v>
      </c>
      <c r="CB13" s="57">
        <f t="shared" si="14"/>
        <v>0</v>
      </c>
      <c r="CC13" s="57">
        <f t="shared" si="14"/>
        <v>1.7375002109977836E-3</v>
      </c>
      <c r="CD13" s="57">
        <f t="shared" si="14"/>
        <v>0</v>
      </c>
      <c r="CE13" s="57">
        <f t="shared" si="14"/>
        <v>5.3824750310753977E-3</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999062914.15999997</v>
      </c>
      <c r="F14" s="26">
        <f>股权价值增加表!F10</f>
        <v>674137933.04999995</v>
      </c>
      <c r="G14" s="26">
        <f>股权价值增加表!G10</f>
        <v>395650449.10000002</v>
      </c>
      <c r="H14" s="26">
        <f>股权价值增加表!H10</f>
        <v>212660948.59</v>
      </c>
      <c r="I14" s="26">
        <f>股权价值增加表!I10</f>
        <v>935503345.89999998</v>
      </c>
      <c r="J14" s="26">
        <f>股权价值增加表!J10</f>
        <v>690956986.73000002</v>
      </c>
      <c r="K14" s="26">
        <f>股权价值增加表!K10</f>
        <v>411099346.33999997</v>
      </c>
      <c r="L14" s="26">
        <f>股权价值增加表!L10</f>
        <v>206145180.44</v>
      </c>
      <c r="M14" s="26">
        <f>股权价值增加表!M10</f>
        <v>867126250.90999997</v>
      </c>
      <c r="N14" s="26">
        <f>股权价值增加表!N10</f>
        <v>587548571.40999997</v>
      </c>
      <c r="O14" s="26">
        <f>股权价值增加表!O10</f>
        <v>360286687.81</v>
      </c>
      <c r="P14" s="26">
        <f>股权价值增加表!P10</f>
        <v>174274830.13</v>
      </c>
      <c r="Q14" s="26">
        <f>股权价值增加表!Q10</f>
        <v>805069824.28999996</v>
      </c>
      <c r="R14" s="26">
        <f>股权价值增加表!R10</f>
        <v>523092708.31</v>
      </c>
      <c r="S14" s="26">
        <f>股权价值增加表!S10</f>
        <v>331897299.69999999</v>
      </c>
      <c r="T14" s="26">
        <f>股权价值增加表!T10</f>
        <v>157559215.53999999</v>
      </c>
      <c r="U14" s="26">
        <f>股权价值增加表!U10</f>
        <v>740755626.61000001</v>
      </c>
      <c r="V14" s="26">
        <f>股权价值增加表!V10</f>
        <v>467945851.72000003</v>
      </c>
      <c r="W14" s="26">
        <f>股权价值增加表!W10</f>
        <v>284288843.19</v>
      </c>
      <c r="X14" s="26">
        <f>股权价值增加表!X10</f>
        <v>128137886.11</v>
      </c>
      <c r="Y14" s="26">
        <f>股权价值增加表!Y10</f>
        <v>640802468.13999999</v>
      </c>
      <c r="Z14" s="26">
        <f>股权价值增加表!Z10</f>
        <v>403806222.29000002</v>
      </c>
      <c r="AA14" s="26">
        <f>股权价值增加表!AA10</f>
        <v>232526542.46000001</v>
      </c>
      <c r="AB14" s="26">
        <f>股权价值增加表!AB10</f>
        <v>106282419.84</v>
      </c>
      <c r="AC14" s="26">
        <f>股权价值增加表!AC10</f>
        <v>560265677.49000001</v>
      </c>
      <c r="AD14" s="26">
        <f>股权价值增加表!AD10</f>
        <v>356419102.73000002</v>
      </c>
      <c r="AE14" s="26">
        <f>股权价值增加表!AE10</f>
        <v>216999361.90000001</v>
      </c>
      <c r="AF14" s="26">
        <f>股权价值增加表!AF10</f>
        <v>102658594.41</v>
      </c>
      <c r="AG14" s="26">
        <f>股权价值增加表!AG10</f>
        <v>464798208.04000002</v>
      </c>
      <c r="AH14" s="26">
        <f>股权价值增加表!AH10</f>
        <v>305782238.52999997</v>
      </c>
      <c r="AI14" s="26">
        <f>股权价值增加表!AI10</f>
        <v>186564185.31</v>
      </c>
      <c r="AJ14" s="26">
        <f>股权价值增加表!AJ10</f>
        <v>85180433.5</v>
      </c>
      <c r="AK14" s="26">
        <f>股权价值增加表!AK10</f>
        <v>444250932.95999998</v>
      </c>
      <c r="AL14" s="26">
        <f>股权价值增加表!AL10</f>
        <v>128281686.22</v>
      </c>
      <c r="AM14" s="26">
        <f>股权价值增加表!AM10</f>
        <v>84555407.530000001</v>
      </c>
      <c r="AN14" s="26">
        <f>股权价值增加表!AN10</f>
        <v>47597222.909999996</v>
      </c>
      <c r="AO14" s="26">
        <f>股权价值增加表!AO10</f>
        <v>193049342.69999999</v>
      </c>
      <c r="AP14" s="26">
        <f>股权价值增加表!AP10</f>
        <v>148783494.94999999</v>
      </c>
      <c r="AQ14" s="26">
        <f>股权价值增加表!AQ10</f>
        <v>93540898.670000002</v>
      </c>
      <c r="AR14" s="26">
        <f>股权价值增加表!AR10</f>
        <v>50396407.299999997</v>
      </c>
      <c r="AS14" s="26">
        <f>股权价值增加表!AS10</f>
        <v>181845598.19999999</v>
      </c>
      <c r="AT14" s="26">
        <f>股权价值增加表!AT10</f>
        <v>121185186.06999999</v>
      </c>
      <c r="AU14" s="26">
        <f>股权价值增加表!AU10</f>
        <v>80605125.230000004</v>
      </c>
      <c r="AV14" s="26">
        <f>股权价值增加表!AV10</f>
        <v>40071653.979999997</v>
      </c>
      <c r="AW14" s="26">
        <f>股权价值增加表!AW10</f>
        <v>136723054.75999999</v>
      </c>
      <c r="AX14" s="26">
        <f>股权价值增加表!AX10</f>
        <v>60228640.909999996</v>
      </c>
      <c r="AY14" s="26">
        <f>股权价值增加表!AY10</f>
        <v>42556360.710000001</v>
      </c>
      <c r="AZ14" s="26">
        <f>股权价值增加表!AZ10</f>
        <v>16854309.300000001</v>
      </c>
      <c r="BA14" s="26">
        <f>股权价值增加表!BA10</f>
        <v>81930840.450000003</v>
      </c>
      <c r="BB14" s="26">
        <f>股权价值增加表!BB10</f>
        <v>57732292.060000002</v>
      </c>
      <c r="BC14" s="26">
        <f>股权价值增加表!BC10</f>
        <v>37135849.020000003</v>
      </c>
      <c r="BD14" s="26">
        <f>股权价值增加表!BD10</f>
        <v>23690920.059999999</v>
      </c>
      <c r="BE14" s="26">
        <f>股权价值增加表!BE10</f>
        <v>65974899.07</v>
      </c>
      <c r="BF14" s="26">
        <f>股权价值增加表!BF10</f>
        <v>43554251.159999996</v>
      </c>
      <c r="BG14" s="26">
        <f>股权价值增加表!BG10</f>
        <v>34435209.549999997</v>
      </c>
      <c r="BH14" s="26">
        <f>股权价值增加表!BH10</f>
        <v>6847007.2300000004</v>
      </c>
      <c r="BI14" s="26">
        <f>股权价值增加表!BI10</f>
        <v>38018187.740000002</v>
      </c>
      <c r="BJ14" s="26">
        <f>股权价值增加表!BJ10</f>
        <v>13115630.390000001</v>
      </c>
      <c r="BK14" s="26">
        <f>股权价值增加表!BK10</f>
        <v>1930144.23</v>
      </c>
      <c r="BL14" s="26">
        <f>股权价值增加表!BL10</f>
        <v>8054116.8600000003</v>
      </c>
      <c r="BM14" s="26">
        <f>股权价值增加表!BM10</f>
        <v>66697920.439999998</v>
      </c>
      <c r="BN14" s="26">
        <f>股权价值增加表!BN10</f>
        <v>54551692.140000001</v>
      </c>
      <c r="BO14" s="26">
        <f>股权价值增加表!BO10</f>
        <v>30638188.09</v>
      </c>
      <c r="BP14" s="26">
        <f>股权价值增加表!BP10</f>
        <v>9606170.3699999992</v>
      </c>
      <c r="BQ14" s="26">
        <f>股权价值增加表!BQ10</f>
        <v>47905028.289999999</v>
      </c>
      <c r="BR14" s="26">
        <f>股权价值增加表!BR10</f>
        <v>14389505.550000001</v>
      </c>
      <c r="BS14" s="26">
        <f>股权价值增加表!BS10</f>
        <v>29360730.66</v>
      </c>
      <c r="BT14" s="26">
        <f>股权价值增加表!BT10</f>
        <v>7711478.6100000003</v>
      </c>
      <c r="BU14" s="26">
        <f>股权价值增加表!BU10</f>
        <v>11282548.199999999</v>
      </c>
      <c r="BV14" s="26">
        <f>股权价值增加表!BV10</f>
        <v>6499523.8600000003</v>
      </c>
      <c r="BW14" s="26">
        <f>股权价值增加表!BW10</f>
        <v>16182357.470000001</v>
      </c>
      <c r="BX14" s="26">
        <f>股权价值增加表!BX10</f>
        <v>4203332.2300000004</v>
      </c>
      <c r="BY14" s="26">
        <f>股权价值增加表!BY10</f>
        <v>7277503.9400000004</v>
      </c>
      <c r="BZ14" s="26">
        <f>股权价值增加表!BZ10</f>
        <v>0</v>
      </c>
      <c r="CA14" s="26">
        <f>股权价值增加表!CA10</f>
        <v>9238054.9299999997</v>
      </c>
      <c r="CB14" s="26">
        <f>股权价值增加表!CB10</f>
        <v>0</v>
      </c>
      <c r="CC14" s="26">
        <f>股权价值增加表!CC10</f>
        <v>6201153.5800000001</v>
      </c>
      <c r="CD14" s="26">
        <f>股权价值增加表!CD10</f>
        <v>0</v>
      </c>
      <c r="CE14" s="26">
        <f>股权价值增加表!CE10</f>
        <v>3503307.24</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3.1570672796568257E-2</v>
      </c>
      <c r="F15" s="57">
        <f t="shared" ref="F15:BQ15" si="15">F14/F2</f>
        <v>2.7850976492031373E-2</v>
      </c>
      <c r="G15" s="57">
        <f t="shared" si="15"/>
        <v>2.8335423683557601E-2</v>
      </c>
      <c r="H15" s="57">
        <f t="shared" si="15"/>
        <v>2.786898230323467E-2</v>
      </c>
      <c r="I15" s="57">
        <f t="shared" si="15"/>
        <v>3.1960289815187823E-2</v>
      </c>
      <c r="J15" s="57">
        <f t="shared" si="15"/>
        <v>3.120858419157517E-2</v>
      </c>
      <c r="K15" s="57">
        <f t="shared" si="15"/>
        <v>3.128951814135076E-2</v>
      </c>
      <c r="L15" s="57">
        <f t="shared" si="15"/>
        <v>2.987584233867701E-2</v>
      </c>
      <c r="M15" s="57">
        <f t="shared" si="15"/>
        <v>2.7721693533036423E-2</v>
      </c>
      <c r="N15" s="57">
        <f t="shared" si="15"/>
        <v>2.40895109103395E-2</v>
      </c>
      <c r="O15" s="57">
        <f t="shared" si="15"/>
        <v>2.4137913435182845E-2</v>
      </c>
      <c r="P15" s="57">
        <f t="shared" si="15"/>
        <v>2.2930894013697953E-2</v>
      </c>
      <c r="Q15" s="57">
        <f t="shared" si="15"/>
        <v>2.4427760151279468E-2</v>
      </c>
      <c r="R15" s="57">
        <f t="shared" si="15"/>
        <v>2.0487703695739011E-2</v>
      </c>
      <c r="S15" s="57">
        <f t="shared" si="15"/>
        <v>2.2698983394156644E-2</v>
      </c>
      <c r="T15" s="57">
        <f t="shared" si="15"/>
        <v>2.1282533546383382E-2</v>
      </c>
      <c r="U15" s="57">
        <f t="shared" si="15"/>
        <v>2.6139105862235099E-2</v>
      </c>
      <c r="V15" s="57">
        <f t="shared" si="15"/>
        <v>2.2899505868142774E-2</v>
      </c>
      <c r="W15" s="57">
        <f t="shared" si="15"/>
        <v>2.3362030876224099E-2</v>
      </c>
      <c r="X15" s="57">
        <f t="shared" si="15"/>
        <v>2.1459640990890972E-2</v>
      </c>
      <c r="Y15" s="57">
        <f t="shared" si="15"/>
        <v>2.6848881726164141E-2</v>
      </c>
      <c r="Z15" s="57">
        <f t="shared" si="15"/>
        <v>2.2604947025686495E-2</v>
      </c>
      <c r="AA15" s="57">
        <f t="shared" si="15"/>
        <v>2.1280533866162243E-2</v>
      </c>
      <c r="AB15" s="57">
        <f t="shared" si="15"/>
        <v>2.0231652246795972E-2</v>
      </c>
      <c r="AC15" s="57">
        <f t="shared" si="15"/>
        <v>2.5814484520996793E-2</v>
      </c>
      <c r="AD15" s="57">
        <f t="shared" si="15"/>
        <v>2.2386172027069311E-2</v>
      </c>
      <c r="AE15" s="57">
        <f t="shared" si="15"/>
        <v>2.2584848437761842E-2</v>
      </c>
      <c r="AF15" s="57">
        <f t="shared" si="15"/>
        <v>2.3896810176331672E-2</v>
      </c>
      <c r="AG15" s="57">
        <f t="shared" si="15"/>
        <v>2.9145317011750858E-2</v>
      </c>
      <c r="AH15" s="57">
        <f t="shared" si="15"/>
        <v>2.6390944546362798E-2</v>
      </c>
      <c r="AI15" s="57">
        <f t="shared" si="15"/>
        <v>2.6878806285977896E-2</v>
      </c>
      <c r="AJ15" s="57">
        <f t="shared" si="15"/>
        <v>2.3824063819403871E-2</v>
      </c>
      <c r="AK15" s="57">
        <f t="shared" si="15"/>
        <v>3.7278378969304971E-2</v>
      </c>
      <c r="AL15" s="57">
        <f t="shared" si="15"/>
        <v>2.7525457636138465E-2</v>
      </c>
      <c r="AM15" s="57">
        <f t="shared" si="15"/>
        <v>2.6429121651936043E-2</v>
      </c>
      <c r="AN15" s="57">
        <f t="shared" si="15"/>
        <v>3.0714030116268318E-2</v>
      </c>
      <c r="AO15" s="57">
        <f t="shared" si="15"/>
        <v>2.9338227297819725E-2</v>
      </c>
      <c r="AP15" s="57">
        <f t="shared" si="15"/>
        <v>2.9055601128338705E-2</v>
      </c>
      <c r="AQ15" s="57">
        <f t="shared" si="15"/>
        <v>2.7175727037724993E-2</v>
      </c>
      <c r="AR15" s="57">
        <f t="shared" si="15"/>
        <v>2.8177162726638401E-2</v>
      </c>
      <c r="AS15" s="57">
        <f t="shared" si="15"/>
        <v>2.7349372579125675E-2</v>
      </c>
      <c r="AT15" s="57">
        <f t="shared" si="15"/>
        <v>2.4823092786869099E-2</v>
      </c>
      <c r="AU15" s="57">
        <f t="shared" si="15"/>
        <v>2.352949926047641E-2</v>
      </c>
      <c r="AV15" s="57">
        <f t="shared" si="15"/>
        <v>2.3496874690590006E-2</v>
      </c>
      <c r="AW15" s="57">
        <f t="shared" si="15"/>
        <v>3.2421614293947278E-2</v>
      </c>
      <c r="AX15" s="57">
        <f t="shared" si="15"/>
        <v>2.4751765128906478E-2</v>
      </c>
      <c r="AY15" s="57">
        <f t="shared" si="15"/>
        <v>2.718432551114516E-2</v>
      </c>
      <c r="AZ15" s="57">
        <f t="shared" si="15"/>
        <v>2.2588150520362064E-2</v>
      </c>
      <c r="BA15" s="57">
        <f t="shared" si="15"/>
        <v>2.6803125235767063E-2</v>
      </c>
      <c r="BB15" s="57">
        <f t="shared" si="15"/>
        <v>2.5004084097654752E-2</v>
      </c>
      <c r="BC15" s="57">
        <f t="shared" si="15"/>
        <v>2.4476340347596479E-2</v>
      </c>
      <c r="BD15" s="57">
        <f t="shared" si="15"/>
        <v>3.0095570888015569E-2</v>
      </c>
      <c r="BE15" s="57">
        <f t="shared" si="15"/>
        <v>2.7745599946869457E-2</v>
      </c>
      <c r="BF15" s="57">
        <f t="shared" si="15"/>
        <v>2.5994892512339128E-2</v>
      </c>
      <c r="BG15" s="57">
        <f t="shared" si="15"/>
        <v>3.2652411362449223E-2</v>
      </c>
      <c r="BH15" s="57">
        <f t="shared" si="15"/>
        <v>2.0805702536058301E-2</v>
      </c>
      <c r="BI15" s="57">
        <f t="shared" si="15"/>
        <v>2.7617511430768335E-2</v>
      </c>
      <c r="BJ15" s="57">
        <f t="shared" si="15"/>
        <v>1.2926947922196477E-2</v>
      </c>
      <c r="BK15" s="57">
        <f t="shared" si="15"/>
        <v>2.8712824133421922E-3</v>
      </c>
      <c r="BL15" s="57">
        <f t="shared" si="15"/>
        <v>2.049933317634442E-2</v>
      </c>
      <c r="BM15" s="57">
        <f t="shared" si="15"/>
        <v>2.6296496076904957E-2</v>
      </c>
      <c r="BN15" s="57">
        <f t="shared" si="15"/>
        <v>2.475196774769961E-2</v>
      </c>
      <c r="BO15" s="57">
        <f t="shared" si="15"/>
        <v>2.2400390826260587E-2</v>
      </c>
      <c r="BP15" s="57">
        <f t="shared" si="15"/>
        <v>1.5708976030789905E-2</v>
      </c>
      <c r="BQ15" s="57">
        <f t="shared" si="15"/>
        <v>2.5128406432486629E-2</v>
      </c>
      <c r="BR15" s="57">
        <f t="shared" ref="BR15:CK15" si="16">BR14/BR2</f>
        <v>2.2270559400712143E-2</v>
      </c>
      <c r="BS15" s="57">
        <f t="shared" si="16"/>
        <v>1.579320124360109E-2</v>
      </c>
      <c r="BT15" s="57">
        <f t="shared" si="16"/>
        <v>1.4030478977864684E-2</v>
      </c>
      <c r="BU15" s="57">
        <f t="shared" si="16"/>
        <v>8.5817494708074395E-3</v>
      </c>
      <c r="BV15" s="57">
        <f t="shared" si="16"/>
        <v>1.1476503606227213E-2</v>
      </c>
      <c r="BW15" s="57">
        <f t="shared" si="16"/>
        <v>1.3276244074494506E-2</v>
      </c>
      <c r="BX15" s="57">
        <f t="shared" si="16"/>
        <v>6.1815133623559582E-3</v>
      </c>
      <c r="BY15" s="57">
        <f t="shared" si="16"/>
        <v>5.3286327306732925E-3</v>
      </c>
      <c r="BZ15" s="57">
        <f t="shared" si="16"/>
        <v>0</v>
      </c>
      <c r="CA15" s="57">
        <f t="shared" si="16"/>
        <v>1.5053867995981605E-2</v>
      </c>
      <c r="CB15" s="57">
        <f t="shared" si="16"/>
        <v>0</v>
      </c>
      <c r="CC15" s="57">
        <f t="shared" si="16"/>
        <v>2.9092053678070304E-2</v>
      </c>
      <c r="CD15" s="57">
        <f t="shared" si="16"/>
        <v>0</v>
      </c>
      <c r="CE15" s="57">
        <f t="shared" si="16"/>
        <v>2.7494994557690496E-2</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118982486.23</v>
      </c>
      <c r="F16" s="26">
        <f>股权价值增加表!F11</f>
        <v>18459957.870000001</v>
      </c>
      <c r="G16" s="26">
        <f>股权价值增加表!G11</f>
        <v>18472726.899999999</v>
      </c>
      <c r="H16" s="26">
        <f>股权价值增加表!H11</f>
        <v>-405471.2</v>
      </c>
      <c r="I16" s="26">
        <f>股权价值增加表!I11</f>
        <v>49459770.420000002</v>
      </c>
      <c r="J16" s="26">
        <f>股权价值增加表!J11</f>
        <v>22604406.59</v>
      </c>
      <c r="K16" s="26">
        <f>股权价值增加表!K11</f>
        <v>22604406.59</v>
      </c>
      <c r="L16" s="26">
        <f>股权价值增加表!L11</f>
        <v>-318.92</v>
      </c>
      <c r="M16" s="26">
        <f>股权价值增加表!M11</f>
        <v>103043941.31999999</v>
      </c>
      <c r="N16" s="26">
        <f>股权价值增加表!N11</f>
        <v>53096508.909999996</v>
      </c>
      <c r="O16" s="26">
        <f>股权价值增加表!O11</f>
        <v>32216401.280000001</v>
      </c>
      <c r="P16" s="26">
        <f>股权价值增加表!P11</f>
        <v>0</v>
      </c>
      <c r="Q16" s="26">
        <f>股权价值增加表!Q11</f>
        <v>39430262.850000001</v>
      </c>
      <c r="R16" s="26">
        <f>股权价值增加表!R11</f>
        <v>7551480.5</v>
      </c>
      <c r="S16" s="26">
        <f>股权价值增加表!S11</f>
        <v>7551480.5</v>
      </c>
      <c r="T16" s="26">
        <f>股权价值增加表!T11</f>
        <v>0</v>
      </c>
      <c r="U16" s="26">
        <f>股权价值增加表!U11</f>
        <v>19412194.149999999</v>
      </c>
      <c r="V16" s="26">
        <f>股权价值增加表!V11</f>
        <v>6434154.0899999999</v>
      </c>
      <c r="W16" s="26">
        <f>股权价值增加表!W11</f>
        <v>6455482.5199999996</v>
      </c>
      <c r="X16" s="26">
        <f>股权价值增加表!X11</f>
        <v>0</v>
      </c>
      <c r="Y16" s="26">
        <f>股权价值增加表!Y11</f>
        <v>5711269.1100000003</v>
      </c>
      <c r="Z16" s="26">
        <f>股权价值增加表!Z11</f>
        <v>9089125.4800000004</v>
      </c>
      <c r="AA16" s="26">
        <f>股权价值增加表!AA11</f>
        <v>7986243.21</v>
      </c>
      <c r="AB16" s="26">
        <f>股权价值增加表!AB11</f>
        <v>0</v>
      </c>
      <c r="AC16" s="26">
        <f>股权价值增加表!AC11</f>
        <v>12107454.17</v>
      </c>
      <c r="AD16" s="26">
        <f>股权价值增加表!AD11</f>
        <v>4780409.71</v>
      </c>
      <c r="AE16" s="26">
        <f>股权价值增加表!AE11</f>
        <v>4673224.3899999997</v>
      </c>
      <c r="AF16" s="26">
        <f>股权价值增加表!AF11</f>
        <v>0</v>
      </c>
      <c r="AG16" s="26">
        <f>股权价值增加表!AG11</f>
        <v>1547865.64</v>
      </c>
      <c r="AH16" s="26">
        <f>股权价值增加表!AH11</f>
        <v>-42500</v>
      </c>
      <c r="AI16" s="26">
        <f>股权价值增加表!AI11</f>
        <v>-42500</v>
      </c>
      <c r="AJ16" s="26">
        <f>股权价值增加表!AJ11</f>
        <v>-42500</v>
      </c>
      <c r="AK16" s="26">
        <f>股权价值增加表!AK11</f>
        <v>8612439.5800000001</v>
      </c>
      <c r="AL16" s="26">
        <f>股权价值增加表!AL11</f>
        <v>-1582793.35</v>
      </c>
      <c r="AM16" s="26">
        <f>股权价值增加表!AM11</f>
        <v>2332847.23</v>
      </c>
      <c r="AN16" s="26">
        <f>股权价值增加表!AN11</f>
        <v>0</v>
      </c>
      <c r="AO16" s="26">
        <f>股权价值增加表!AO11</f>
        <v>20769937.809999999</v>
      </c>
      <c r="AP16" s="26">
        <f>股权价值增加表!AP11</f>
        <v>-253303.37</v>
      </c>
      <c r="AQ16" s="26">
        <f>股权价值增加表!AQ11</f>
        <v>-252503.37</v>
      </c>
      <c r="AR16" s="26">
        <f>股权价值增加表!AR11</f>
        <v>-21325.37</v>
      </c>
      <c r="AS16" s="26">
        <f>股权价值增加表!AS11</f>
        <v>-10718194.720000001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-775084.12</v>
      </c>
      <c r="BT16" s="26">
        <f>股权价值增加表!BT11</f>
        <v>-167721.79999999999</v>
      </c>
      <c r="BU16" s="26">
        <f>股权价值增加表!BU11</f>
        <v>775084.12</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3.7598804720399598E-3</v>
      </c>
      <c r="F17" s="57">
        <f t="shared" ref="F17:BQ17" si="17">F16/F2</f>
        <v>7.6264489428030349E-4</v>
      </c>
      <c r="G17" s="57">
        <f t="shared" si="17"/>
        <v>1.3229671405474755E-3</v>
      </c>
      <c r="H17" s="57">
        <f t="shared" si="17"/>
        <v>-5.3136552677837022E-5</v>
      </c>
      <c r="I17" s="57">
        <f t="shared" si="17"/>
        <v>1.6897305645605112E-3</v>
      </c>
      <c r="J17" s="57">
        <f t="shared" si="17"/>
        <v>1.0209774844353306E-3</v>
      </c>
      <c r="K17" s="57">
        <f t="shared" si="17"/>
        <v>1.7204624535873537E-3</v>
      </c>
      <c r="L17" s="57">
        <f t="shared" si="17"/>
        <v>-4.6219870958487261E-8</v>
      </c>
      <c r="M17" s="57">
        <f t="shared" si="17"/>
        <v>3.2942752669653788E-3</v>
      </c>
      <c r="N17" s="57">
        <f t="shared" si="17"/>
        <v>2.1769586259377193E-3</v>
      </c>
      <c r="O17" s="57">
        <f t="shared" si="17"/>
        <v>2.1583831198888109E-3</v>
      </c>
      <c r="P17" s="57">
        <f t="shared" si="17"/>
        <v>0</v>
      </c>
      <c r="Q17" s="57">
        <f t="shared" si="17"/>
        <v>1.1964092735076187E-3</v>
      </c>
      <c r="R17" s="57">
        <f t="shared" si="17"/>
        <v>2.9576496190893934E-4</v>
      </c>
      <c r="S17" s="57">
        <f t="shared" si="17"/>
        <v>5.1645774348189942E-4</v>
      </c>
      <c r="T17" s="57">
        <f t="shared" si="17"/>
        <v>0</v>
      </c>
      <c r="U17" s="57">
        <f t="shared" si="17"/>
        <v>6.8499972146989949E-4</v>
      </c>
      <c r="V17" s="57">
        <f t="shared" si="17"/>
        <v>3.1486324496504252E-4</v>
      </c>
      <c r="W17" s="57">
        <f t="shared" si="17"/>
        <v>5.3049279127838063E-4</v>
      </c>
      <c r="X17" s="57">
        <f t="shared" si="17"/>
        <v>0</v>
      </c>
      <c r="Y17" s="57">
        <f t="shared" si="17"/>
        <v>2.3929556527111154E-4</v>
      </c>
      <c r="Z17" s="57">
        <f t="shared" si="17"/>
        <v>5.088064240814582E-4</v>
      </c>
      <c r="AA17" s="57">
        <f t="shared" si="17"/>
        <v>7.3089083635709631E-4</v>
      </c>
      <c r="AB17" s="57">
        <f t="shared" si="17"/>
        <v>0</v>
      </c>
      <c r="AC17" s="57">
        <f t="shared" si="17"/>
        <v>5.5785621146803451E-4</v>
      </c>
      <c r="AD17" s="57">
        <f t="shared" si="17"/>
        <v>3.002506692493421E-4</v>
      </c>
      <c r="AE17" s="57">
        <f t="shared" si="17"/>
        <v>4.8637960793838643E-4</v>
      </c>
      <c r="AF17" s="57">
        <f t="shared" si="17"/>
        <v>0</v>
      </c>
      <c r="AG17" s="57">
        <f t="shared" si="17"/>
        <v>9.7059399087688075E-5</v>
      </c>
      <c r="AH17" s="57">
        <f t="shared" si="17"/>
        <v>-3.6680192695704218E-6</v>
      </c>
      <c r="AI17" s="57">
        <f t="shared" si="17"/>
        <v>-6.123089837719403E-6</v>
      </c>
      <c r="AJ17" s="57">
        <f t="shared" si="17"/>
        <v>-1.1886799241573061E-5</v>
      </c>
      <c r="AK17" s="57">
        <f t="shared" si="17"/>
        <v>7.2269468152673421E-4</v>
      </c>
      <c r="AL17" s="57">
        <f t="shared" si="17"/>
        <v>-3.3962066282376533E-4</v>
      </c>
      <c r="AM17" s="57">
        <f t="shared" si="17"/>
        <v>7.2916806905787756E-4</v>
      </c>
      <c r="AN17" s="57">
        <f t="shared" si="17"/>
        <v>0</v>
      </c>
      <c r="AO17" s="57">
        <f t="shared" si="17"/>
        <v>3.1564632539479768E-3</v>
      </c>
      <c r="AP17" s="57">
        <f t="shared" si="17"/>
        <v>-4.946705738870666E-5</v>
      </c>
      <c r="AQ17" s="57">
        <f t="shared" si="17"/>
        <v>-7.3357886836578087E-5</v>
      </c>
      <c r="AR17" s="57">
        <f t="shared" si="17"/>
        <v>-1.1923239232487367E-5</v>
      </c>
      <c r="AS17" s="57">
        <f t="shared" si="17"/>
        <v>-1.6120043799492841E-3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-4.1691944351222274E-4</v>
      </c>
      <c r="BT17" s="57">
        <f t="shared" si="18"/>
        <v>-3.0515771462791161E-4</v>
      </c>
      <c r="BU17" s="57">
        <f t="shared" si="18"/>
        <v>5.89545696480273E-4</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56101537.369999997</v>
      </c>
      <c r="F18" s="26">
        <f>股权价值增加表!F12</f>
        <v>1204</v>
      </c>
      <c r="G18" s="26">
        <f>股权价值增加表!G12</f>
        <v>868</v>
      </c>
      <c r="H18" s="26">
        <f>股权价值增加表!H12</f>
        <v>644</v>
      </c>
      <c r="I18" s="26">
        <f>股权价值增加表!I12</f>
        <v>65394715.479999997</v>
      </c>
      <c r="J18" s="26">
        <f>股权价值增加表!J12</f>
        <v>0</v>
      </c>
      <c r="K18" s="26">
        <f>股权价值增加表!K12</f>
        <v>0</v>
      </c>
      <c r="L18" s="26">
        <f>股权价值增加表!L12</f>
        <v>0</v>
      </c>
      <c r="M18" s="26">
        <f>股权价值增加表!M12</f>
        <v>48644769.100000001</v>
      </c>
      <c r="N18" s="26">
        <f>股权价值增加表!N12</f>
        <v>0</v>
      </c>
      <c r="O18" s="26">
        <f>股权价值增加表!O12</f>
        <v>0</v>
      </c>
      <c r="P18" s="26">
        <f>股权价值增加表!P12</f>
        <v>0</v>
      </c>
      <c r="Q18" s="26">
        <f>股权价值增加表!Q12</f>
        <v>66127569.869999997</v>
      </c>
      <c r="R18" s="26">
        <f>股权价值增加表!R12</f>
        <v>0</v>
      </c>
      <c r="S18" s="26">
        <f>股权价值增加表!S12</f>
        <v>0</v>
      </c>
      <c r="T18" s="26">
        <f>股权价值增加表!T12</f>
        <v>0</v>
      </c>
      <c r="U18" s="26">
        <f>股权价值增加表!U12</f>
        <v>34607509.600000001</v>
      </c>
      <c r="V18" s="26">
        <f>股权价值增加表!V12</f>
        <v>0</v>
      </c>
      <c r="W18" s="26">
        <f>股权价值增加表!W12</f>
        <v>0</v>
      </c>
      <c r="X18" s="26">
        <f>股权价值增加表!X12</f>
        <v>0</v>
      </c>
      <c r="Y18" s="26">
        <f>股权价值增加表!Y12</f>
        <v>29649964.809999999</v>
      </c>
      <c r="Z18" s="26">
        <f>股权价值增加表!Z12</f>
        <v>0</v>
      </c>
      <c r="AA18" s="26">
        <f>股权价值增加表!AA12</f>
        <v>0</v>
      </c>
      <c r="AB18" s="26">
        <f>股权价值增加表!AB12</f>
        <v>0</v>
      </c>
      <c r="AC18" s="26">
        <f>股权价值增加表!AC12</f>
        <v>8397985.5600000005</v>
      </c>
      <c r="AD18" s="26">
        <f>股权价值增加表!AD12</f>
        <v>0</v>
      </c>
      <c r="AE18" s="26">
        <f>股权价值增加表!AE12</f>
        <v>0</v>
      </c>
      <c r="AF18" s="26">
        <f>股权价值增加表!AF12</f>
        <v>0</v>
      </c>
      <c r="AG18" s="26">
        <f>股权价值增加表!AG12</f>
        <v>8357133.4500000002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1.772824568492655E-3</v>
      </c>
      <c r="F19" s="57">
        <f t="shared" ref="F19:BQ19" si="19">F18/F2</f>
        <v>4.9741416485339214E-8</v>
      </c>
      <c r="G19" s="57">
        <f t="shared" si="19"/>
        <v>6.216383126387306E-8</v>
      </c>
      <c r="H19" s="57">
        <f t="shared" si="19"/>
        <v>8.4395488322048629E-8</v>
      </c>
      <c r="I19" s="57">
        <f t="shared" si="19"/>
        <v>2.2341278289195582E-3</v>
      </c>
      <c r="J19" s="57">
        <f t="shared" si="19"/>
        <v>0</v>
      </c>
      <c r="K19" s="57">
        <f t="shared" si="19"/>
        <v>0</v>
      </c>
      <c r="L19" s="57">
        <f t="shared" si="19"/>
        <v>0</v>
      </c>
      <c r="M19" s="57">
        <f t="shared" si="19"/>
        <v>1.555154603565893E-3</v>
      </c>
      <c r="N19" s="57">
        <f t="shared" si="19"/>
        <v>0</v>
      </c>
      <c r="O19" s="57">
        <f t="shared" si="19"/>
        <v>0</v>
      </c>
      <c r="P19" s="57">
        <f t="shared" si="19"/>
        <v>0</v>
      </c>
      <c r="Q19" s="57">
        <f t="shared" si="19"/>
        <v>2.0064699575542137E-3</v>
      </c>
      <c r="R19" s="57">
        <f t="shared" si="19"/>
        <v>0</v>
      </c>
      <c r="S19" s="57">
        <f t="shared" si="19"/>
        <v>0</v>
      </c>
      <c r="T19" s="57">
        <f t="shared" si="19"/>
        <v>0</v>
      </c>
      <c r="U19" s="57">
        <f t="shared" si="19"/>
        <v>1.2211980909312549E-3</v>
      </c>
      <c r="V19" s="57">
        <f t="shared" si="19"/>
        <v>0</v>
      </c>
      <c r="W19" s="57">
        <f t="shared" si="19"/>
        <v>0</v>
      </c>
      <c r="X19" s="57">
        <f t="shared" si="19"/>
        <v>0</v>
      </c>
      <c r="Y19" s="57">
        <f t="shared" si="19"/>
        <v>1.242299207553453E-3</v>
      </c>
      <c r="Z19" s="57">
        <f t="shared" si="19"/>
        <v>0</v>
      </c>
      <c r="AA19" s="57">
        <f t="shared" si="19"/>
        <v>0</v>
      </c>
      <c r="AB19" s="57">
        <f t="shared" si="19"/>
        <v>0</v>
      </c>
      <c r="AC19" s="57">
        <f t="shared" si="19"/>
        <v>3.8694083352989973E-4</v>
      </c>
      <c r="AD19" s="57">
        <f t="shared" si="19"/>
        <v>0</v>
      </c>
      <c r="AE19" s="57">
        <f t="shared" si="19"/>
        <v>0</v>
      </c>
      <c r="AF19" s="57">
        <f t="shared" si="19"/>
        <v>0</v>
      </c>
      <c r="AG19" s="57">
        <f t="shared" si="19"/>
        <v>5.2403666687285432E-4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-40251316.18</v>
      </c>
      <c r="F20" s="26">
        <f>股权价值增加表!F13-股权价值增加表!F14</f>
        <v>2085610.8500000015</v>
      </c>
      <c r="G20" s="26">
        <f>股权价值增加表!G13-股权价值增加表!G14</f>
        <v>409198467.51999998</v>
      </c>
      <c r="H20" s="26">
        <f>股权价值增加表!H13-股权价值增加表!H14</f>
        <v>153811926.72</v>
      </c>
      <c r="I20" s="26">
        <f>股权价值增加表!I13-股权价值增加表!I14</f>
        <v>429858504.55000007</v>
      </c>
      <c r="J20" s="26">
        <f>股权价值增加表!J13-股权价值增加表!J14</f>
        <v>188286101.83000004</v>
      </c>
      <c r="K20" s="26">
        <f>股权价值增加表!K13-股权价值增加表!K14</f>
        <v>-69561868.680000007</v>
      </c>
      <c r="L20" s="26">
        <f>股权价值增加表!L13-股权价值增加表!L14</f>
        <v>314866916.81</v>
      </c>
      <c r="M20" s="26">
        <f>股权价值增加表!M13-股权价值增加表!M14</f>
        <v>1416236573.9300001</v>
      </c>
      <c r="N20" s="26">
        <f>股权价值增加表!N13-股权价值增加表!N14</f>
        <v>1125864466.4200001</v>
      </c>
      <c r="O20" s="26">
        <f>股权价值增加表!O13-股权价值增加表!O14</f>
        <v>717425768.86000001</v>
      </c>
      <c r="P20" s="26">
        <f>股权价值增加表!P13-股权价值增加表!P14</f>
        <v>284701591.81</v>
      </c>
      <c r="Q20" s="26">
        <f>股权价值增加表!Q13-股权价值增加表!Q14</f>
        <v>1015813765.1700001</v>
      </c>
      <c r="R20" s="26">
        <f>股权价值增加表!R13-股权价值增加表!R14</f>
        <v>509596217.97000003</v>
      </c>
      <c r="S20" s="26">
        <f>股权价值增加表!S13-股权价值增加表!S14</f>
        <v>165373335</v>
      </c>
      <c r="T20" s="26">
        <f>股权价值增加表!T13-股权价值增加表!T14</f>
        <v>11032086.49</v>
      </c>
      <c r="U20" s="26">
        <f>股权价值增加表!U13-股权价值增加表!U14</f>
        <v>47469480.289999999</v>
      </c>
      <c r="V20" s="26">
        <f>股权价值增加表!V13-股权价值增加表!V14</f>
        <v>29984803.090000004</v>
      </c>
      <c r="W20" s="26">
        <f>股权价值增加表!W13-股权价值增加表!W14</f>
        <v>24262571.73</v>
      </c>
      <c r="X20" s="26">
        <f>股权价值增加表!X13-股权价值增加表!X14</f>
        <v>57527142.009999998</v>
      </c>
      <c r="Y20" s="26">
        <f>股权价值增加表!Y13-股权价值增加表!Y14</f>
        <v>54468679.409999996</v>
      </c>
      <c r="Z20" s="26">
        <f>股权价值增加表!Z13-股权价值增加表!Z14</f>
        <v>30062870.229999997</v>
      </c>
      <c r="AA20" s="26">
        <f>股权价值增加表!AA13-股权价值增加表!AA14</f>
        <v>16225633.630000001</v>
      </c>
      <c r="AB20" s="26">
        <f>股权价值增加表!AB13-股权价值增加表!AB14</f>
        <v>13432308.85</v>
      </c>
      <c r="AC20" s="26">
        <f>股权价值增加表!AC13-股权价值增加表!AC14</f>
        <v>103189814.94999999</v>
      </c>
      <c r="AD20" s="26">
        <f>股权价值增加表!AD13-股权价值增加表!AD14</f>
        <v>20294032.050000001</v>
      </c>
      <c r="AE20" s="26">
        <f>股权价值增加表!AE13-股权价值增加表!AE14</f>
        <v>8353734.3399999989</v>
      </c>
      <c r="AF20" s="26">
        <f>股权价值增加表!AF13-股权价值增加表!AF14</f>
        <v>4335752.47</v>
      </c>
      <c r="AG20" s="26">
        <f>股权价值增加表!AG13-股权价值增加表!AG14</f>
        <v>16960444.999999996</v>
      </c>
      <c r="AH20" s="26">
        <f>股权价值增加表!AH13-股权价值增加表!AH14</f>
        <v>20177977.359999999</v>
      </c>
      <c r="AI20" s="26">
        <f>股权价值增加表!AI13-股权价值增加表!AI14</f>
        <v>14714587.430000002</v>
      </c>
      <c r="AJ20" s="26">
        <f>股权价值增加表!AJ13-股权价值增加表!AJ14</f>
        <v>907341.85999999987</v>
      </c>
      <c r="AK20" s="26">
        <f>股权价值增加表!AK13-股权价值增加表!AK14</f>
        <v>49901136.349999994</v>
      </c>
      <c r="AL20" s="26">
        <f>股权价值增加表!AL13-股权价值增加表!AL14</f>
        <v>8374920.2199999997</v>
      </c>
      <c r="AM20" s="26">
        <f>股权价值增加表!AM13-股权价值增加表!AM14</f>
        <v>6854239.21</v>
      </c>
      <c r="AN20" s="26">
        <f>股权价值增加表!AN13-股权价值增加表!AN14</f>
        <v>3469713.94</v>
      </c>
      <c r="AO20" s="26">
        <f>股权价值增加表!AO13-股权价值增加表!AO14</f>
        <v>3784643.0099999979</v>
      </c>
      <c r="AP20" s="26">
        <f>股权价值增加表!AP13-股权价值增加表!AP14</f>
        <v>2471850.16</v>
      </c>
      <c r="AQ20" s="26">
        <f>股权价值增加表!AQ13-股权价值增加表!AQ14</f>
        <v>1582025.4</v>
      </c>
      <c r="AR20" s="26">
        <f>股权价值增加表!AR13-股权价值增加表!AR14</f>
        <v>751086</v>
      </c>
      <c r="AS20" s="26">
        <f>股权价值增加表!AS13-股权价值增加表!AS14</f>
        <v>6135891.9900000021</v>
      </c>
      <c r="AT20" s="26">
        <f>股权价值增加表!AT13-股权价值增加表!AT14</f>
        <v>7221707.1099999994</v>
      </c>
      <c r="AU20" s="26">
        <f>股权价值增加表!AU13-股权价值增加表!AU14</f>
        <v>7116272.25</v>
      </c>
      <c r="AV20" s="26">
        <f>股权价值增加表!AV13-股权价值增加表!AV14</f>
        <v>7084395.8300000001</v>
      </c>
      <c r="AW20" s="26">
        <f>股权价值增加表!AW13-股权价值增加表!AW14</f>
        <v>-8942356.2800000012</v>
      </c>
      <c r="AX20" s="26">
        <f>股权价值增加表!AX13-股权价值增加表!AX14</f>
        <v>-2715227.91</v>
      </c>
      <c r="AY20" s="26">
        <f>股权价值增加表!AY13-股权价值增加表!AY14</f>
        <v>-418583.07000000007</v>
      </c>
      <c r="AZ20" s="26">
        <f>股权价值增加表!AZ13-股权价值增加表!AZ14</f>
        <v>-459000</v>
      </c>
      <c r="BA20" s="26">
        <f>股权价值增加表!BA13-股权价值增加表!BA14</f>
        <v>-20437489.449999999</v>
      </c>
      <c r="BB20" s="26">
        <f>股权价值增加表!BB13-股权价值增加表!BB14</f>
        <v>-3665290.07</v>
      </c>
      <c r="BC20" s="26">
        <f>股权价值增加表!BC13-股权价值增加表!BC14</f>
        <v>-369892.62</v>
      </c>
      <c r="BD20" s="26">
        <f>股权价值增加表!BD13-股权价值增加表!BD14</f>
        <v>-137661.25</v>
      </c>
      <c r="BE20" s="26">
        <f>股权价值增加表!BE13-股权价值增加表!BE14</f>
        <v>-19787268.009999998</v>
      </c>
      <c r="BF20" s="26">
        <f>股权价值增加表!BF13-股权价值增加表!BF14</f>
        <v>-8391415.5700000003</v>
      </c>
      <c r="BG20" s="26">
        <f>股权价值增加表!BG13-股权价值增加表!BG14</f>
        <v>-60748.72</v>
      </c>
      <c r="BH20" s="26">
        <f>股权价值增加表!BH13-股权价值增加表!BH14</f>
        <v>1500</v>
      </c>
      <c r="BI20" s="26">
        <f>股权价值增加表!BI13-股权价值增加表!BI14</f>
        <v>-13898804.060000001</v>
      </c>
      <c r="BJ20" s="26">
        <f>股权价值增加表!BJ13-股权价值增加表!BJ14</f>
        <v>-12662667.98</v>
      </c>
      <c r="BK20" s="26">
        <f>股权价值增加表!BK13-股权价值增加表!BK14</f>
        <v>-12647967.98</v>
      </c>
      <c r="BL20" s="26">
        <f>股权价值增加表!BL13-股权价值增加表!BL14</f>
        <v>323032.02</v>
      </c>
      <c r="BM20" s="26">
        <f>股权价值增加表!BM13-股权价值增加表!BM14</f>
        <v>4687500.91</v>
      </c>
      <c r="BN20" s="26">
        <f>股权价值增加表!BN13-股权价值增加表!BN14</f>
        <v>16468.310000000001</v>
      </c>
      <c r="BO20" s="26">
        <f>股权价值增加表!BO13-股权价值增加表!BO14</f>
        <v>25368.31</v>
      </c>
      <c r="BP20" s="26">
        <f>股权价值增加表!BP13-股权价值增加表!BP14</f>
        <v>-650</v>
      </c>
      <c r="BQ20" s="26">
        <f>股权价值增加表!BQ13-股权价值增加表!BQ14</f>
        <v>-7486533.4899999993</v>
      </c>
      <c r="BR20" s="26">
        <f>股权价值增加表!BR13-股权价值增加表!BR14</f>
        <v>-17561029.510000002</v>
      </c>
      <c r="BS20" s="26">
        <f>股权价值增加表!BS13-股权价值增加表!BS14</f>
        <v>-22774801.030000001</v>
      </c>
      <c r="BT20" s="26">
        <f>股权价值增加表!BT13-股权价值增加表!BT14</f>
        <v>-8675261.7199999988</v>
      </c>
      <c r="BU20" s="26">
        <f>股权价值增加表!BU13-股权价值增加表!BU14</f>
        <v>-7230.609999999986</v>
      </c>
      <c r="BV20" s="26">
        <f>股权价值增加表!BV13-股权价值增加表!BV14</f>
        <v>-406290.29</v>
      </c>
      <c r="BW20" s="26">
        <f>股权价值增加表!BW13-股权价值增加表!BW14</f>
        <v>-13746718.549999999</v>
      </c>
      <c r="BX20" s="26">
        <f>股权价值增加表!BX13-股权价值增加表!BX14</f>
        <v>-7189477.1000000006</v>
      </c>
      <c r="BY20" s="26">
        <f>股权价值增加表!BY13-股权价值增加表!BY14</f>
        <v>-615825.94999999995</v>
      </c>
      <c r="BZ20" s="26">
        <f>股权价值增加表!BZ13-股权价值增加表!BZ14</f>
        <v>0</v>
      </c>
      <c r="CA20" s="26">
        <f>股权价值增加表!CA13-股权价值增加表!CA14</f>
        <v>-81424.72</v>
      </c>
      <c r="CB20" s="26">
        <f>股权价值增加表!CB13-股权价值增加表!CB14</f>
        <v>0</v>
      </c>
      <c r="CC20" s="26">
        <f>股权价值增加表!CC13-股权价值增加表!CC14</f>
        <v>8613.7999999999993</v>
      </c>
      <c r="CD20" s="26">
        <f>股权价值增加表!CD13-股权价值增加表!CD14</f>
        <v>-72830.37</v>
      </c>
      <c r="CE20" s="26">
        <f>股权价值增加表!CE13-股权价值增加表!CE14</f>
        <v>-993</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-1.271953061953495E-3</v>
      </c>
      <c r="F21" s="57">
        <f t="shared" ref="F21:BQ21" si="21">F20/F2</f>
        <v>8.6163818867269438E-5</v>
      </c>
      <c r="G21" s="57">
        <f t="shared" si="21"/>
        <v>2.9305696415148297E-2</v>
      </c>
      <c r="H21" s="57">
        <f t="shared" si="21"/>
        <v>2.0156883020635962E-2</v>
      </c>
      <c r="I21" s="57">
        <f t="shared" si="21"/>
        <v>1.4685572686780956E-2</v>
      </c>
      <c r="J21" s="57">
        <f t="shared" si="21"/>
        <v>8.504353778770353E-3</v>
      </c>
      <c r="K21" s="57">
        <f t="shared" si="21"/>
        <v>-5.2944802062735372E-3</v>
      </c>
      <c r="L21" s="57">
        <f t="shared" si="21"/>
        <v>4.5632472921281017E-2</v>
      </c>
      <c r="M21" s="57">
        <f t="shared" si="21"/>
        <v>4.5276539871285514E-2</v>
      </c>
      <c r="N21" s="57">
        <f t="shared" si="21"/>
        <v>4.6160480455772153E-2</v>
      </c>
      <c r="O21" s="57">
        <f t="shared" si="21"/>
        <v>4.8064948528002555E-2</v>
      </c>
      <c r="P21" s="57">
        <f t="shared" si="21"/>
        <v>3.7460728106613633E-2</v>
      </c>
      <c r="Q21" s="57">
        <f t="shared" si="21"/>
        <v>3.0822239593720553E-2</v>
      </c>
      <c r="R21" s="57">
        <f t="shared" si="21"/>
        <v>1.9959093583945108E-2</v>
      </c>
      <c r="S21" s="57">
        <f t="shared" si="21"/>
        <v>1.1310145000861251E-2</v>
      </c>
      <c r="T21" s="57">
        <f t="shared" si="21"/>
        <v>1.4901746623028911E-3</v>
      </c>
      <c r="U21" s="57">
        <f t="shared" si="21"/>
        <v>1.6750595283414103E-3</v>
      </c>
      <c r="V21" s="57">
        <f t="shared" si="21"/>
        <v>1.4673432231330405E-3</v>
      </c>
      <c r="W21" s="57">
        <f t="shared" si="21"/>
        <v>1.9938276280298296E-3</v>
      </c>
      <c r="X21" s="57">
        <f t="shared" si="21"/>
        <v>9.6342452044732105E-3</v>
      </c>
      <c r="Y21" s="57">
        <f t="shared" si="21"/>
        <v>2.2821746231787882E-3</v>
      </c>
      <c r="Z21" s="57">
        <f t="shared" si="21"/>
        <v>1.6829101471873642E-3</v>
      </c>
      <c r="AA21" s="57">
        <f t="shared" si="21"/>
        <v>1.48494938388616E-3</v>
      </c>
      <c r="AB21" s="57">
        <f t="shared" si="21"/>
        <v>2.5569402911024262E-3</v>
      </c>
      <c r="AC21" s="57">
        <f t="shared" si="21"/>
        <v>4.7545155589132863E-3</v>
      </c>
      <c r="AD21" s="57">
        <f t="shared" si="21"/>
        <v>1.2746390109688104E-3</v>
      </c>
      <c r="AE21" s="57">
        <f t="shared" si="21"/>
        <v>8.6943953339904461E-4</v>
      </c>
      <c r="AF21" s="57">
        <f t="shared" si="21"/>
        <v>1.0092740344110774E-3</v>
      </c>
      <c r="AG21" s="57">
        <f t="shared" si="21"/>
        <v>1.0635100085042157E-3</v>
      </c>
      <c r="AH21" s="57">
        <f t="shared" si="21"/>
        <v>1.7414872888808402E-3</v>
      </c>
      <c r="AI21" s="57">
        <f t="shared" si="21"/>
        <v>2.1199703707968629E-3</v>
      </c>
      <c r="AJ21" s="57">
        <f t="shared" si="21"/>
        <v>2.5377389490107035E-4</v>
      </c>
      <c r="AK21" s="57">
        <f t="shared" si="21"/>
        <v>4.1873484867205749E-3</v>
      </c>
      <c r="AL21" s="57">
        <f t="shared" si="21"/>
        <v>1.7970103022056255E-3</v>
      </c>
      <c r="AM21" s="57">
        <f t="shared" si="21"/>
        <v>2.1424001989262245E-3</v>
      </c>
      <c r="AN21" s="57">
        <f t="shared" si="21"/>
        <v>2.2389730310422434E-3</v>
      </c>
      <c r="AO21" s="57">
        <f t="shared" si="21"/>
        <v>5.751623668619958E-4</v>
      </c>
      <c r="AP21" s="57">
        <f t="shared" si="21"/>
        <v>4.8272217507806445E-4</v>
      </c>
      <c r="AQ21" s="57">
        <f t="shared" si="21"/>
        <v>4.5961382719681001E-4</v>
      </c>
      <c r="AR21" s="57">
        <f t="shared" si="21"/>
        <v>4.1994010243067326E-4</v>
      </c>
      <c r="AS21" s="57">
        <f t="shared" si="21"/>
        <v>9.2283122495611194E-4</v>
      </c>
      <c r="AT21" s="57">
        <f t="shared" si="21"/>
        <v>1.4792658367300247E-3</v>
      </c>
      <c r="AU21" s="57">
        <f t="shared" si="21"/>
        <v>2.0773160784248036E-3</v>
      </c>
      <c r="AV21" s="57">
        <f t="shared" si="21"/>
        <v>4.1540876041485618E-3</v>
      </c>
      <c r="AW21" s="57">
        <f t="shared" si="21"/>
        <v>-2.1205320982488648E-3</v>
      </c>
      <c r="AX21" s="57">
        <f t="shared" si="21"/>
        <v>-1.1158592072532229E-3</v>
      </c>
      <c r="AY21" s="57">
        <f t="shared" si="21"/>
        <v>-2.6738419917708375E-4</v>
      </c>
      <c r="AZ21" s="57">
        <f t="shared" si="21"/>
        <v>-6.1515194151837399E-4</v>
      </c>
      <c r="BA21" s="57">
        <f t="shared" si="21"/>
        <v>-6.6859876723383239E-3</v>
      </c>
      <c r="BB21" s="57">
        <f t="shared" si="21"/>
        <v>-1.5874516303169077E-3</v>
      </c>
      <c r="BC21" s="57">
        <f t="shared" si="21"/>
        <v>-2.4379724439067561E-4</v>
      </c>
      <c r="BD21" s="57">
        <f t="shared" si="21"/>
        <v>-1.7487686832825495E-4</v>
      </c>
      <c r="BE21" s="57">
        <f t="shared" si="21"/>
        <v>-8.3214924158420186E-3</v>
      </c>
      <c r="BF21" s="57">
        <f t="shared" si="21"/>
        <v>-5.0083273149889923E-3</v>
      </c>
      <c r="BG21" s="57">
        <f t="shared" si="21"/>
        <v>-5.7603604598429017E-5</v>
      </c>
      <c r="BH21" s="57">
        <f t="shared" si="21"/>
        <v>4.5579846428886352E-6</v>
      </c>
      <c r="BI21" s="57">
        <f t="shared" si="21"/>
        <v>-1.0096493358025049E-2</v>
      </c>
      <c r="BJ21" s="57">
        <f t="shared" si="21"/>
        <v>-1.2480501864274086E-2</v>
      </c>
      <c r="BK21" s="57">
        <f t="shared" si="21"/>
        <v>-1.8815116228640166E-2</v>
      </c>
      <c r="BL21" s="57">
        <f t="shared" si="21"/>
        <v>8.2218089453044694E-4</v>
      </c>
      <c r="BM21" s="57">
        <f t="shared" si="21"/>
        <v>1.8481063349072451E-3</v>
      </c>
      <c r="BN21" s="57">
        <f t="shared" si="21"/>
        <v>7.4722352687613444E-6</v>
      </c>
      <c r="BO21" s="57">
        <f t="shared" si="21"/>
        <v>1.8547443371405152E-5</v>
      </c>
      <c r="BP21" s="57">
        <f t="shared" si="21"/>
        <v>-1.0629453805963926E-6</v>
      </c>
      <c r="BQ21" s="57">
        <f t="shared" si="21"/>
        <v>-3.9270336125949625E-3</v>
      </c>
      <c r="BR21" s="57">
        <f t="shared" ref="BR21:CK21" si="22">BR20/BR2</f>
        <v>-2.7179109767264648E-2</v>
      </c>
      <c r="BS21" s="57">
        <f t="shared" si="22"/>
        <v>-1.2250615290027097E-2</v>
      </c>
      <c r="BT21" s="57">
        <f t="shared" si="22"/>
        <v>-1.5784012813326625E-2</v>
      </c>
      <c r="BU21" s="57">
        <f t="shared" si="22"/>
        <v>-5.4997578952168681E-6</v>
      </c>
      <c r="BV21" s="57">
        <f t="shared" si="22"/>
        <v>-7.174051636391869E-4</v>
      </c>
      <c r="BW21" s="57">
        <f t="shared" si="22"/>
        <v>-1.1278010081752395E-2</v>
      </c>
      <c r="BX21" s="57">
        <f t="shared" si="22"/>
        <v>-1.0573004066823946E-2</v>
      </c>
      <c r="BY21" s="57">
        <f t="shared" si="22"/>
        <v>-4.5091151315377703E-4</v>
      </c>
      <c r="BZ21" s="57">
        <f t="shared" si="22"/>
        <v>0</v>
      </c>
      <c r="CA21" s="57">
        <f t="shared" si="22"/>
        <v>-1.3268561356018731E-4</v>
      </c>
      <c r="CB21" s="57">
        <f t="shared" si="22"/>
        <v>0</v>
      </c>
      <c r="CC21" s="57">
        <f t="shared" si="22"/>
        <v>4.0410728220048689E-5</v>
      </c>
      <c r="CD21" s="57">
        <f t="shared" si="22"/>
        <v>-6.5474242532334072E-4</v>
      </c>
      <c r="CE21" s="57">
        <f t="shared" si="22"/>
        <v>-7.7933585967146476E-6</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5.3881123326928605E-2</v>
      </c>
      <c r="F22" s="66">
        <f t="shared" ref="F22:BQ22" si="23">F11+F13+F15+F17+F19+F21</f>
        <v>4.6231620743277302E-2</v>
      </c>
      <c r="G22" s="66">
        <f t="shared" si="23"/>
        <v>7.8421096005017926E-2</v>
      </c>
      <c r="H22" s="66">
        <f t="shared" si="23"/>
        <v>6.6451461156651903E-2</v>
      </c>
      <c r="I22" s="66">
        <f t="shared" si="23"/>
        <v>6.6406289764662257E-2</v>
      </c>
      <c r="J22" s="66">
        <f t="shared" si="23"/>
        <v>5.4940479479903645E-2</v>
      </c>
      <c r="K22" s="66">
        <f t="shared" si="23"/>
        <v>4.220902772482809E-2</v>
      </c>
      <c r="L22" s="66">
        <f t="shared" si="23"/>
        <v>9.1268178514713194E-2</v>
      </c>
      <c r="M22" s="66">
        <f t="shared" si="23"/>
        <v>9.3332686442482493E-2</v>
      </c>
      <c r="N22" s="66">
        <f t="shared" si="23"/>
        <v>8.8330845903786009E-2</v>
      </c>
      <c r="O22" s="66">
        <f t="shared" si="23"/>
        <v>8.9887674471703982E-2</v>
      </c>
      <c r="P22" s="66">
        <f t="shared" si="23"/>
        <v>7.5835241813269949E-2</v>
      </c>
      <c r="Q22" s="66">
        <f t="shared" si="23"/>
        <v>7.2190909109377824E-2</v>
      </c>
      <c r="R22" s="66">
        <f t="shared" si="23"/>
        <v>5.4208672828965632E-2</v>
      </c>
      <c r="S22" s="66">
        <f t="shared" si="23"/>
        <v>4.7026139722497154E-2</v>
      </c>
      <c r="T22" s="66">
        <f t="shared" si="23"/>
        <v>3.5693296243368075E-2</v>
      </c>
      <c r="U22" s="66">
        <f t="shared" si="23"/>
        <v>4.1219791177539405E-2</v>
      </c>
      <c r="V22" s="66">
        <f t="shared" si="23"/>
        <v>3.66026656557292E-2</v>
      </c>
      <c r="W22" s="66">
        <f t="shared" si="23"/>
        <v>3.6532474409312427E-2</v>
      </c>
      <c r="X22" s="66">
        <f t="shared" si="23"/>
        <v>4.2854093339791677E-2</v>
      </c>
      <c r="Y22" s="66">
        <f t="shared" si="23"/>
        <v>4.0618821212602157E-2</v>
      </c>
      <c r="Z22" s="66">
        <f t="shared" si="23"/>
        <v>3.3461979739504641E-2</v>
      </c>
      <c r="AA22" s="66">
        <f t="shared" si="23"/>
        <v>3.1411333078143741E-2</v>
      </c>
      <c r="AB22" s="66">
        <f t="shared" si="23"/>
        <v>2.9987907648478362E-2</v>
      </c>
      <c r="AC22" s="66">
        <f t="shared" si="23"/>
        <v>3.9645949909479915E-2</v>
      </c>
      <c r="AD22" s="66">
        <f t="shared" si="23"/>
        <v>3.2827349998660771E-2</v>
      </c>
      <c r="AE22" s="66">
        <f t="shared" si="23"/>
        <v>3.1456112955051109E-2</v>
      </c>
      <c r="AF22" s="66">
        <f t="shared" si="23"/>
        <v>3.3596214293667229E-2</v>
      </c>
      <c r="AG22" s="66">
        <f t="shared" si="23"/>
        <v>3.9414395067854588E-2</v>
      </c>
      <c r="AH22" s="66">
        <f t="shared" si="23"/>
        <v>3.6667826265630657E-2</v>
      </c>
      <c r="AI22" s="66">
        <f t="shared" si="23"/>
        <v>3.6118563808724406E-2</v>
      </c>
      <c r="AJ22" s="66">
        <f t="shared" si="23"/>
        <v>3.0618196160419407E-2</v>
      </c>
      <c r="AK22" s="66">
        <f t="shared" si="23"/>
        <v>5.1455187440771294E-2</v>
      </c>
      <c r="AL22" s="66">
        <f t="shared" si="23"/>
        <v>3.5086330153756493E-2</v>
      </c>
      <c r="AM22" s="66">
        <f t="shared" si="23"/>
        <v>3.4526964284130761E-2</v>
      </c>
      <c r="AN22" s="66">
        <f t="shared" si="23"/>
        <v>3.8930900546905234E-2</v>
      </c>
      <c r="AO22" s="66">
        <f t="shared" si="23"/>
        <v>3.9348818578035627E-2</v>
      </c>
      <c r="AP22" s="66">
        <f t="shared" si="23"/>
        <v>3.730704331166225E-2</v>
      </c>
      <c r="AQ22" s="66">
        <f t="shared" si="23"/>
        <v>3.5379643534864426E-2</v>
      </c>
      <c r="AR22" s="66">
        <f t="shared" si="23"/>
        <v>3.5492032269785416E-2</v>
      </c>
      <c r="AS22" s="66">
        <f t="shared" si="23"/>
        <v>3.1234384588545661E-2</v>
      </c>
      <c r="AT22" s="66">
        <f t="shared" si="23"/>
        <v>3.0836011244812854E-2</v>
      </c>
      <c r="AU22" s="66">
        <f t="shared" si="23"/>
        <v>2.9856088304604112E-2</v>
      </c>
      <c r="AV22" s="66">
        <f t="shared" si="23"/>
        <v>3.1566273589762869E-2</v>
      </c>
      <c r="AW22" s="66">
        <f t="shared" si="23"/>
        <v>3.5642213354456775E-2</v>
      </c>
      <c r="AX22" s="66">
        <f t="shared" si="23"/>
        <v>3.0239063891885281E-2</v>
      </c>
      <c r="AY22" s="66">
        <f t="shared" si="23"/>
        <v>3.3604215827535124E-2</v>
      </c>
      <c r="AZ22" s="66">
        <f t="shared" si="23"/>
        <v>2.8284700999816222E-2</v>
      </c>
      <c r="BA22" s="66">
        <f t="shared" si="23"/>
        <v>2.6898103764359627E-2</v>
      </c>
      <c r="BB22" s="66">
        <f t="shared" si="23"/>
        <v>3.02218243937208E-2</v>
      </c>
      <c r="BC22" s="66">
        <f t="shared" si="23"/>
        <v>3.0414698678412556E-2</v>
      </c>
      <c r="BD22" s="66">
        <f t="shared" si="23"/>
        <v>3.5405855883649792E-2</v>
      </c>
      <c r="BE22" s="66">
        <f t="shared" si="23"/>
        <v>2.6384889283290164E-2</v>
      </c>
      <c r="BF22" s="66">
        <f t="shared" si="23"/>
        <v>2.7880956478780548E-2</v>
      </c>
      <c r="BG22" s="66">
        <f t="shared" si="23"/>
        <v>4.003814340244656E-2</v>
      </c>
      <c r="BH22" s="66">
        <f t="shared" si="23"/>
        <v>3.100888984344391E-2</v>
      </c>
      <c r="BI22" s="66">
        <f t="shared" si="23"/>
        <v>2.7732402006495922E-2</v>
      </c>
      <c r="BJ22" s="66">
        <f t="shared" si="23"/>
        <v>9.9005787390843789E-3</v>
      </c>
      <c r="BK22" s="66">
        <f t="shared" si="23"/>
        <v>-6.6970354927399639E-3</v>
      </c>
      <c r="BL22" s="66">
        <f t="shared" si="23"/>
        <v>2.86893201811011E-2</v>
      </c>
      <c r="BM22" s="66">
        <f t="shared" si="23"/>
        <v>9.3184196461182325E-2</v>
      </c>
      <c r="BN22" s="66">
        <f t="shared" si="23"/>
        <v>9.7722887942921E-2</v>
      </c>
      <c r="BO22" s="66">
        <f t="shared" si="23"/>
        <v>9.9152740678462248E-2</v>
      </c>
      <c r="BP22" s="66">
        <f t="shared" si="23"/>
        <v>9.8363575841952572E-2</v>
      </c>
      <c r="BQ22" s="66">
        <f t="shared" si="23"/>
        <v>8.3197895878439107E-2</v>
      </c>
      <c r="BR22" s="66">
        <f t="shared" ref="BR22:CJ22" si="24">BR11+BR13+BR15+BR17+BR19+BR21</f>
        <v>3.7209359118413082E-2</v>
      </c>
      <c r="BS22" s="66">
        <f t="shared" si="24"/>
        <v>6.0541488723318028E-2</v>
      </c>
      <c r="BT22" s="66">
        <f t="shared" si="24"/>
        <v>4.6790412464802644E-2</v>
      </c>
      <c r="BU22" s="66">
        <f t="shared" si="24"/>
        <v>7.1324626838645044E-2</v>
      </c>
      <c r="BV22" s="66">
        <f t="shared" si="24"/>
        <v>6.3444547448742394E-2</v>
      </c>
      <c r="BW22" s="66">
        <f t="shared" si="24"/>
        <v>0.10421869020845942</v>
      </c>
      <c r="BX22" s="66">
        <f t="shared" si="24"/>
        <v>0.11336247547777466</v>
      </c>
      <c r="BY22" s="66">
        <f t="shared" si="24"/>
        <v>7.0402386394923687E-3</v>
      </c>
      <c r="BZ22" s="66">
        <f t="shared" si="24"/>
        <v>0</v>
      </c>
      <c r="CA22" s="66">
        <f t="shared" si="24"/>
        <v>1.94157642228923E-2</v>
      </c>
      <c r="CB22" s="66">
        <f t="shared" si="24"/>
        <v>0</v>
      </c>
      <c r="CC22" s="66">
        <f t="shared" si="24"/>
        <v>3.8428110797258476E-2</v>
      </c>
      <c r="CD22" s="66">
        <f t="shared" si="24"/>
        <v>-6.5474242532334072E-4</v>
      </c>
      <c r="CE22" s="66">
        <f t="shared" si="24"/>
        <v>4.1996774834464096E-2</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9449535560.5695438</v>
      </c>
      <c r="F23" s="27">
        <f>股权价值增加表!F17</f>
        <v>8031188317.2360077</v>
      </c>
      <c r="G23" s="27">
        <f>股权价值增加表!G17</f>
        <v>4476234380.3899679</v>
      </c>
      <c r="H23" s="27">
        <f>股权价值增加表!H17</f>
        <v>2836458248.9664464</v>
      </c>
      <c r="I23" s="27">
        <f>股权价值增加表!I17</f>
        <v>11531351186.453886</v>
      </c>
      <c r="J23" s="27">
        <f>股权价值增加表!J17</f>
        <v>9469406964.9870529</v>
      </c>
      <c r="K23" s="27">
        <f>股权价值增加表!K17</f>
        <v>5103104700.8276415</v>
      </c>
      <c r="L23" s="27">
        <f>股权价值增加表!L17</f>
        <v>3290835790.0333147</v>
      </c>
      <c r="M23" s="27">
        <f>股权价值增加表!M17</f>
        <v>14932034486.502201</v>
      </c>
      <c r="N23" s="27">
        <f>股权价值增加表!N17</f>
        <v>12171451794.755148</v>
      </c>
      <c r="O23" s="27">
        <f>股权价值增加表!O17</f>
        <v>6977278441.0756521</v>
      </c>
      <c r="P23" s="27">
        <f>股权价值增加表!P17</f>
        <v>3540713819.9791498</v>
      </c>
      <c r="Q23" s="27">
        <f>股权价值增加表!Q17</f>
        <v>15190531811.188114</v>
      </c>
      <c r="R23" s="27">
        <f>股权价值增加表!R17</f>
        <v>12014897864.532066</v>
      </c>
      <c r="S23" s="27">
        <f>股权价值增加表!S17</f>
        <v>5525105520.7066593</v>
      </c>
      <c r="T23" s="27">
        <f>股权价值增加表!T17</f>
        <v>2620949939.8801651</v>
      </c>
      <c r="U23" s="27">
        <f>股权价值增加表!U17</f>
        <v>9303682276.1951733</v>
      </c>
      <c r="V23" s="27">
        <f>股权价值增加表!V17</f>
        <v>6707713278.9301577</v>
      </c>
      <c r="W23" s="27">
        <f>股权价值增加表!W17</f>
        <v>3589041470.9867134</v>
      </c>
      <c r="X23" s="27">
        <f>股权价值增加表!X17</f>
        <v>1600983014.7405372</v>
      </c>
      <c r="Y23" s="27">
        <f>股权价值增加表!Y17</f>
        <v>4499526275.272295</v>
      </c>
      <c r="Z23" s="27">
        <f>股权价值增加表!Z17</f>
        <v>3151954131.2275872</v>
      </c>
      <c r="AA23" s="27">
        <f>股权价值增加表!AA17</f>
        <v>930818775.58950186</v>
      </c>
      <c r="AB23" s="27">
        <f>股权价值增加表!AB17</f>
        <v>989821389.03938377</v>
      </c>
      <c r="AC23" s="27">
        <f>股权价值增加表!AC17</f>
        <v>2265431457.3353381</v>
      </c>
      <c r="AD23" s="27">
        <f>股权价值增加表!AD17</f>
        <v>1841660783.3069024</v>
      </c>
      <c r="AE23" s="27">
        <f>股权价值增加表!AE17</f>
        <v>952221343.06440735</v>
      </c>
      <c r="AF23" s="27">
        <f>股权价值增加表!AF17</f>
        <v>300916199.23918641</v>
      </c>
      <c r="AG23" s="27">
        <f>股权价值增加表!AG17</f>
        <v>2407454747.595459</v>
      </c>
      <c r="AH23" s="27">
        <f>股权价值增加表!AH17</f>
        <v>1880988199.0847352</v>
      </c>
      <c r="AI23" s="27">
        <f>股权价值增加表!AI17</f>
        <v>832374657.05152857</v>
      </c>
      <c r="AJ23" s="27">
        <f>股权价值增加表!AJ17</f>
        <v>404600836.06966579</v>
      </c>
      <c r="AK23" s="27">
        <f>股权价值增加表!AK17</f>
        <v>2310006112.1760182</v>
      </c>
      <c r="AL23" s="27">
        <f>股权价值增加表!AL17</f>
        <v>548822133.11075926</v>
      </c>
      <c r="AM23" s="27">
        <f>股权价值增加表!AM17</f>
        <v>348662004.99909031</v>
      </c>
      <c r="AN23" s="27">
        <f>股权价值增加表!AN17</f>
        <v>140910710.88051683</v>
      </c>
      <c r="AO23" s="27">
        <f>股权价值增加表!AO17</f>
        <v>506126828.66985053</v>
      </c>
      <c r="AP23" s="27">
        <f>股权价值增加表!AP17</f>
        <v>472623402.98785782</v>
      </c>
      <c r="AQ23" s="27">
        <f>股权价值增加表!AQ17</f>
        <v>366898108.83763522</v>
      </c>
      <c r="AR23" s="27">
        <f>股权价值增加表!AR17</f>
        <v>186009516.49062073</v>
      </c>
      <c r="AS23" s="27">
        <f>股权价值增加表!AS17</f>
        <v>1301946361.5246069</v>
      </c>
      <c r="AT23" s="27">
        <f>股权价值增加表!AT17</f>
        <v>1030633430.9902276</v>
      </c>
      <c r="AU23" s="27">
        <f>股权价值增加表!AU17</f>
        <v>761430040.08989835</v>
      </c>
      <c r="AV23" s="27">
        <f>股权价值增加表!AV17</f>
        <v>378024040.45645326</v>
      </c>
      <c r="AW23" s="27">
        <f>股权价值增加表!AW17</f>
        <v>962790380.47577786</v>
      </c>
      <c r="AX23" s="27">
        <f>股权价值增加表!AX17</f>
        <v>601878915.8031956</v>
      </c>
      <c r="AY23" s="27">
        <f>股权价值增加表!AY17</f>
        <v>392832494.87957788</v>
      </c>
      <c r="AZ23" s="27">
        <f>股权价值增加表!AZ17</f>
        <v>169201106.09300876</v>
      </c>
      <c r="BA23" s="27">
        <f>股权价值增加表!BA17</f>
        <v>808209635.10432124</v>
      </c>
      <c r="BB23" s="27">
        <f>股权价值增加表!BB17</f>
        <v>685386384.84864545</v>
      </c>
      <c r="BC23" s="27">
        <f>股权价值增加表!BC17</f>
        <v>465366171.00173742</v>
      </c>
      <c r="BD23" s="27">
        <f>股权价值增加表!BD17</f>
        <v>253506334.03813171</v>
      </c>
      <c r="BE23" s="27">
        <f>股权价值增加表!BE17</f>
        <v>700375490.89937329</v>
      </c>
      <c r="BF23" s="27">
        <f>股权价值增加表!BF17</f>
        <v>508280008.34459603</v>
      </c>
      <c r="BG23" s="27">
        <f>股权价值增加表!BG17</f>
        <v>346870365.01161534</v>
      </c>
      <c r="BH23" s="27">
        <f>股权价值增加表!BH17</f>
        <v>112777744.84435798</v>
      </c>
      <c r="BI23" s="27">
        <f>股权价值增加表!BI17</f>
        <v>421557866.96440107</v>
      </c>
      <c r="BJ23" s="27">
        <f>股权价值增加表!BJ17</f>
        <v>278284932.11786765</v>
      </c>
      <c r="BK23" s="27">
        <f>股权价值增加表!BK17</f>
        <v>184429592.2834636</v>
      </c>
      <c r="BL23" s="27">
        <f>股权价值增加表!BL17</f>
        <v>92249743.195517018</v>
      </c>
      <c r="BM23" s="27">
        <f>股权价值增加表!BM17</f>
        <v>-5664243.1453366391</v>
      </c>
      <c r="BN23" s="27">
        <f>股权价值增加表!BN17</f>
        <v>-89958370.469999969</v>
      </c>
      <c r="BO23" s="27">
        <f>股权价值增加表!BO17</f>
        <v>-66945651.919999987</v>
      </c>
      <c r="BP23" s="27">
        <f>股权价值增加表!BP17</f>
        <v>-36931058.579999991</v>
      </c>
      <c r="BQ23" s="27">
        <f>股权价值增加表!BQ17</f>
        <v>-57644251.829999976</v>
      </c>
      <c r="BR23" s="27">
        <f>股权价值增加表!BR17</f>
        <v>-883574.4099999927</v>
      </c>
      <c r="BS23" s="27">
        <f>股权价值增加表!BS17</f>
        <v>14146871.640000165</v>
      </c>
      <c r="BT23" s="27">
        <f>股权价值增加表!BT17</f>
        <v>-31336332.299999945</v>
      </c>
      <c r="BU23" s="27">
        <f>股权价值增加表!BU17</f>
        <v>-41480263.320000201</v>
      </c>
      <c r="BV23" s="27">
        <f>股权价值增加表!BV17</f>
        <v>-63652408.539999999</v>
      </c>
      <c r="BW23" s="27">
        <f>股权价值增加表!BW17</f>
        <v>55287220.185182847</v>
      </c>
      <c r="BX23" s="27">
        <f>股权价值增加表!BX17</f>
        <v>77330083.226681858</v>
      </c>
      <c r="BY23" s="27">
        <f>股权价值增加表!BY17</f>
        <v>112935653.69820741</v>
      </c>
      <c r="BZ23" s="27">
        <f>股权价值增加表!BZ17</f>
        <v>605045102.11999989</v>
      </c>
      <c r="CA23" s="27">
        <f>股权价值增加表!CA17</f>
        <v>97881357.618237168</v>
      </c>
      <c r="CB23" s="27">
        <f>股权价值增加表!CB17</f>
        <v>127522699.11818066</v>
      </c>
      <c r="CC23" s="27">
        <f>股权价值增加表!CC17</f>
        <v>65271215.472856551</v>
      </c>
      <c r="CD23" s="27">
        <f>股权价值增加表!CD17</f>
        <v>89646632.711809173</v>
      </c>
      <c r="CE23" s="27">
        <f>股权价值增加表!CE17</f>
        <v>35855220.602730975</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0.29860801660634956</v>
      </c>
      <c r="F24" s="57">
        <f t="shared" ref="F24:BQ24" si="25">F23/F2</f>
        <v>0.33179624830550403</v>
      </c>
      <c r="G24" s="57">
        <f t="shared" si="25"/>
        <v>0.32057589714298312</v>
      </c>
      <c r="H24" s="57">
        <f t="shared" si="25"/>
        <v>0.37171471898544445</v>
      </c>
      <c r="I24" s="57">
        <f t="shared" si="25"/>
        <v>0.3939540435584627</v>
      </c>
      <c r="J24" s="57">
        <f t="shared" si="25"/>
        <v>0.42770648562320346</v>
      </c>
      <c r="K24" s="57">
        <f t="shared" si="25"/>
        <v>0.3884065701765933</v>
      </c>
      <c r="L24" s="57">
        <f t="shared" si="25"/>
        <v>0.47692840073031256</v>
      </c>
      <c r="M24" s="57">
        <f t="shared" si="25"/>
        <v>0.4773714132459223</v>
      </c>
      <c r="N24" s="57">
        <f t="shared" si="25"/>
        <v>0.49902992717826417</v>
      </c>
      <c r="O24" s="57">
        <f t="shared" si="25"/>
        <v>0.46745258351778896</v>
      </c>
      <c r="P24" s="57">
        <f t="shared" si="25"/>
        <v>0.46588330212809659</v>
      </c>
      <c r="Q24" s="57">
        <f t="shared" si="25"/>
        <v>0.46091737195756338</v>
      </c>
      <c r="R24" s="57">
        <f t="shared" si="25"/>
        <v>0.47058133954568554</v>
      </c>
      <c r="S24" s="57">
        <f t="shared" si="25"/>
        <v>0.37787074067443416</v>
      </c>
      <c r="T24" s="57">
        <f t="shared" si="25"/>
        <v>0.3540285144713099</v>
      </c>
      <c r="U24" s="57">
        <f t="shared" si="25"/>
        <v>0.32829981601220148</v>
      </c>
      <c r="V24" s="57">
        <f t="shared" si="25"/>
        <v>0.32825020037700942</v>
      </c>
      <c r="W24" s="57">
        <f t="shared" si="25"/>
        <v>0.29493699689509911</v>
      </c>
      <c r="X24" s="57">
        <f t="shared" si="25"/>
        <v>0.26812148827984311</v>
      </c>
      <c r="Y24" s="57">
        <f t="shared" si="25"/>
        <v>0.18852494301279787</v>
      </c>
      <c r="Z24" s="57">
        <f t="shared" si="25"/>
        <v>0.17644541423788199</v>
      </c>
      <c r="AA24" s="57">
        <f t="shared" si="25"/>
        <v>8.5187352237861447E-2</v>
      </c>
      <c r="AB24" s="57">
        <f t="shared" si="25"/>
        <v>0.18841989258084771</v>
      </c>
      <c r="AC24" s="57">
        <f t="shared" si="25"/>
        <v>0.10438073870731819</v>
      </c>
      <c r="AD24" s="57">
        <f t="shared" si="25"/>
        <v>0.11567206918717539</v>
      </c>
      <c r="AE24" s="57">
        <f t="shared" si="25"/>
        <v>9.9105244015520136E-2</v>
      </c>
      <c r="AF24" s="57">
        <f t="shared" si="25"/>
        <v>7.0047104516965483E-2</v>
      </c>
      <c r="AG24" s="57">
        <f t="shared" si="25"/>
        <v>0.15096020293622966</v>
      </c>
      <c r="AH24" s="57">
        <f t="shared" si="25"/>
        <v>0.16234119906064409</v>
      </c>
      <c r="AI24" s="57">
        <f t="shared" si="25"/>
        <v>0.11992246597099736</v>
      </c>
      <c r="AJ24" s="57">
        <f t="shared" si="25"/>
        <v>0.11316256261959363</v>
      </c>
      <c r="AK24" s="57">
        <f t="shared" si="25"/>
        <v>0.1938392851475722</v>
      </c>
      <c r="AL24" s="57">
        <f t="shared" si="25"/>
        <v>0.11776100564197393</v>
      </c>
      <c r="AM24" s="57">
        <f t="shared" si="25"/>
        <v>0.10897978987635412</v>
      </c>
      <c r="AN24" s="57">
        <f t="shared" si="25"/>
        <v>9.0928326341066609E-2</v>
      </c>
      <c r="AO24" s="57">
        <f t="shared" si="25"/>
        <v>7.6917454021669343E-2</v>
      </c>
      <c r="AP24" s="57">
        <f t="shared" si="25"/>
        <v>9.2297583718867204E-2</v>
      </c>
      <c r="AQ24" s="57">
        <f t="shared" si="25"/>
        <v>0.10659212171570524</v>
      </c>
      <c r="AR24" s="57">
        <f t="shared" si="25"/>
        <v>0.10399988204832905</v>
      </c>
      <c r="AS24" s="57">
        <f t="shared" si="25"/>
        <v>0.19581126225673759</v>
      </c>
      <c r="AT24" s="57">
        <f t="shared" si="25"/>
        <v>0.21111086359963099</v>
      </c>
      <c r="AU24" s="57">
        <f t="shared" si="25"/>
        <v>0.22226958290899965</v>
      </c>
      <c r="AV24" s="57">
        <f t="shared" si="25"/>
        <v>0.22166251268462889</v>
      </c>
      <c r="AW24" s="57">
        <f t="shared" si="25"/>
        <v>0.22830983711198363</v>
      </c>
      <c r="AX24" s="57">
        <f t="shared" si="25"/>
        <v>0.2473501864713018</v>
      </c>
      <c r="AY24" s="57">
        <f t="shared" si="25"/>
        <v>0.25093514186828381</v>
      </c>
      <c r="AZ24" s="57">
        <f t="shared" si="25"/>
        <v>0.22676337455374881</v>
      </c>
      <c r="BA24" s="57">
        <f t="shared" si="25"/>
        <v>0.26440036434967051</v>
      </c>
      <c r="BB24" s="57">
        <f t="shared" si="25"/>
        <v>0.29684355487449698</v>
      </c>
      <c r="BC24" s="57">
        <f t="shared" si="25"/>
        <v>0.30672412475508032</v>
      </c>
      <c r="BD24" s="57">
        <f t="shared" si="25"/>
        <v>0.3220397446482941</v>
      </c>
      <c r="BE24" s="57">
        <f t="shared" si="25"/>
        <v>0.29454138554222603</v>
      </c>
      <c r="BF24" s="57">
        <f t="shared" si="25"/>
        <v>0.30336152800677862</v>
      </c>
      <c r="BG24" s="57">
        <f t="shared" si="25"/>
        <v>0.32891200593266551</v>
      </c>
      <c r="BH24" s="57">
        <f t="shared" si="25"/>
        <v>0.34269281937346441</v>
      </c>
      <c r="BI24" s="57">
        <f t="shared" si="25"/>
        <v>0.30623183012404326</v>
      </c>
      <c r="BJ24" s="57">
        <f t="shared" si="25"/>
        <v>0.27428150367537585</v>
      </c>
      <c r="BK24" s="57">
        <f t="shared" si="25"/>
        <v>0.27435744779724563</v>
      </c>
      <c r="BL24" s="57">
        <f t="shared" si="25"/>
        <v>0.23479398847425151</v>
      </c>
      <c r="BM24" s="57">
        <f t="shared" si="25"/>
        <v>-2.2331992761899181E-3</v>
      </c>
      <c r="BN24" s="57">
        <f t="shared" si="25"/>
        <v>-4.0817188196374296E-2</v>
      </c>
      <c r="BO24" s="57">
        <f t="shared" si="25"/>
        <v>-4.8945739308136817E-2</v>
      </c>
      <c r="BP24" s="57">
        <f t="shared" si="25"/>
        <v>-6.0393381720224244E-2</v>
      </c>
      <c r="BQ24" s="57">
        <f t="shared" si="25"/>
        <v>-3.0237080327186059E-2</v>
      </c>
      <c r="BR24" s="57">
        <f t="shared" ref="BR24:CJ24" si="26">BR23/BR2</f>
        <v>-1.3675033040210351E-3</v>
      </c>
      <c r="BS24" s="57">
        <f t="shared" si="26"/>
        <v>7.6096331990232417E-3</v>
      </c>
      <c r="BT24" s="57">
        <f t="shared" si="26"/>
        <v>-5.7014195825997538E-2</v>
      </c>
      <c r="BU24" s="57">
        <f t="shared" si="26"/>
        <v>-3.1550782809451242E-2</v>
      </c>
      <c r="BV24" s="57">
        <f t="shared" si="26"/>
        <v>-0.11239394021616189</v>
      </c>
      <c r="BW24" s="57">
        <f t="shared" si="26"/>
        <v>4.5358448590667969E-2</v>
      </c>
      <c r="BX24" s="57">
        <f t="shared" si="26"/>
        <v>0.11372333106722621</v>
      </c>
      <c r="BY24" s="57">
        <f t="shared" si="26"/>
        <v>8.2692173816432485E-2</v>
      </c>
      <c r="BZ24" s="57">
        <f t="shared" si="26"/>
        <v>0.95129493892349481</v>
      </c>
      <c r="CA24" s="57">
        <f t="shared" si="26"/>
        <v>0.15950251952576458</v>
      </c>
      <c r="CB24" s="57">
        <f t="shared" si="26"/>
        <v>0.86776666221897569</v>
      </c>
      <c r="CC24" s="57">
        <f t="shared" si="26"/>
        <v>0.30621297790357838</v>
      </c>
      <c r="CD24" s="57">
        <f t="shared" si="26"/>
        <v>0.80592002654662709</v>
      </c>
      <c r="CE24" s="57">
        <f t="shared" si="26"/>
        <v>0.28140240858146381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600</v>
      </c>
      <c r="B26" s="152"/>
      <c r="C26" s="152"/>
      <c r="D26" s="152"/>
      <c r="E26" s="153">
        <f>POWER(E2/Y2,1/6)-1</f>
        <v>4.8138091578627584E-2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25569</v>
      </c>
      <c r="CG27" s="1"/>
      <c r="CH27" s="1"/>
      <c r="CI27" s="1"/>
      <c r="CJ27" s="1"/>
      <c r="CK27" s="1"/>
    </row>
    <row r="28" spans="1:89" s="26" customFormat="1" x14ac:dyDescent="0.25">
      <c r="A28" s="17" t="s">
        <v>374</v>
      </c>
      <c r="E28" s="26">
        <f>股权价值增加表!E15</f>
        <v>11056884715.389999</v>
      </c>
      <c r="F28" s="26">
        <f>股权价值增加表!F15</f>
        <v>9399353668.2699986</v>
      </c>
      <c r="G28" s="26">
        <f>股权价值增加表!G15</f>
        <v>5355698266.6699991</v>
      </c>
      <c r="H28" s="26">
        <f>股权价值增加表!H15</f>
        <v>3222852110.3399997</v>
      </c>
      <c r="I28" s="26">
        <f>股权价值增加表!I15</f>
        <v>13086126019.869999</v>
      </c>
      <c r="J28" s="26">
        <f>股权价值增加表!J15</f>
        <v>10856814199.340002</v>
      </c>
      <c r="K28" s="26">
        <f>股权价值增加表!K15</f>
        <v>5959735775.1599998</v>
      </c>
      <c r="L28" s="26">
        <f>股权价值增加表!L15</f>
        <v>3727789707.25</v>
      </c>
      <c r="M28" s="26">
        <f>股权价值增加表!M15</f>
        <v>16242795745.08</v>
      </c>
      <c r="N28" s="26">
        <f>股权价值增加表!N15</f>
        <v>13308606643.9</v>
      </c>
      <c r="O28" s="26">
        <f>股权价值增加表!O15</f>
        <v>7778196891.9899988</v>
      </c>
      <c r="P28" s="26">
        <f>股权价值增加表!P15</f>
        <v>3950130845.46</v>
      </c>
      <c r="Q28" s="26">
        <f>股权价值增加表!Q15</f>
        <v>16369303836.049999</v>
      </c>
      <c r="R28" s="26">
        <f>股权价值增加表!R15</f>
        <v>12984291999.15</v>
      </c>
      <c r="S28" s="26">
        <f>股权价值增加表!S15</f>
        <v>6167811524.1600008</v>
      </c>
      <c r="T28" s="26">
        <f>股权价值增加表!T15</f>
        <v>3000007770.4500003</v>
      </c>
      <c r="U28" s="26">
        <f>股权价值增加表!U15</f>
        <v>10406402235.150002</v>
      </c>
      <c r="V28" s="26">
        <f>股权价值增加表!V15</f>
        <v>7453474850.5300007</v>
      </c>
      <c r="W28" s="26">
        <f>股权价值增加表!W15</f>
        <v>3966120170.9099998</v>
      </c>
      <c r="X28" s="26">
        <f>股权价值增加表!X15</f>
        <v>1782100278.8300002</v>
      </c>
      <c r="Y28" s="26">
        <f>股权价值增加表!Y15</f>
        <v>5175502017.7100029</v>
      </c>
      <c r="Z28" s="26">
        <f>股权价值增加表!Z15</f>
        <v>3662033918.9699988</v>
      </c>
      <c r="AA28" s="26">
        <f>股权价值增加表!AA15</f>
        <v>1518822200.2200005</v>
      </c>
      <c r="AB28" s="26">
        <f>股权价值增加表!AB15</f>
        <v>561284010.90000045</v>
      </c>
      <c r="AC28" s="26">
        <f>股权价值增加表!AC15</f>
        <v>3046587067.1700025</v>
      </c>
      <c r="AD28" s="26">
        <f>股权价值增加表!AD15</f>
        <v>2501318332.6999998</v>
      </c>
      <c r="AE28" s="26">
        <f>股权价值增加表!AE15</f>
        <v>1355915276.9199994</v>
      </c>
      <c r="AF28" s="26">
        <f>股权价值增加表!AF15</f>
        <v>582549667.42000031</v>
      </c>
      <c r="AG28" s="26">
        <f>股权价值增加表!AG15</f>
        <v>3052258432.0500007</v>
      </c>
      <c r="AH28" s="26">
        <f>股权价值增加表!AH15</f>
        <v>2295232377.9899993</v>
      </c>
      <c r="AI28" s="26">
        <f>股权价值增加表!AI15</f>
        <v>1076538325.0800004</v>
      </c>
      <c r="AJ28" s="26">
        <f>股权价值增加表!AJ15</f>
        <v>523623528.14999968</v>
      </c>
      <c r="AK28" s="26">
        <f>股权价值增加表!AK15</f>
        <v>2835004298.1000004</v>
      </c>
      <c r="AL28" s="26">
        <f>股权价值增加表!AL15</f>
        <v>690931713.17000031</v>
      </c>
      <c r="AM28" s="26">
        <f>股权价值增加表!AM15</f>
        <v>455035079.99000025</v>
      </c>
      <c r="AN28" s="26">
        <f>股权价值增加表!AN15</f>
        <v>201828262.67000002</v>
      </c>
      <c r="AO28" s="26">
        <f>股权价值增加表!AO15</f>
        <v>842101260.6600008</v>
      </c>
      <c r="AP28" s="26">
        <f>股权价值增加表!AP15</f>
        <v>625920132.50000012</v>
      </c>
      <c r="AQ28" s="26">
        <f>股权价值增加表!AQ15</f>
        <v>451132748.86000019</v>
      </c>
      <c r="AR28" s="26">
        <f>股权价值增加表!AR15</f>
        <v>219659567.34000009</v>
      </c>
      <c r="AS28" s="26">
        <f>股权价值增加表!AS15</f>
        <v>1499958292.6999998</v>
      </c>
      <c r="AT28" s="26">
        <f>股权价值增加表!AT15</f>
        <v>1144428265.6000004</v>
      </c>
      <c r="AU28" s="26">
        <f>股权价值增加表!AU15</f>
        <v>835711532.6500001</v>
      </c>
      <c r="AV28" s="26">
        <f>股权价值增加表!AV15</f>
        <v>426085817.4000001</v>
      </c>
      <c r="AW28" s="26">
        <f>股权价值增加表!AW15</f>
        <v>1057632068.76</v>
      </c>
      <c r="AX28" s="26">
        <f>股权价值增加表!AX15</f>
        <v>665292338.03000009</v>
      </c>
      <c r="AY28" s="26">
        <f>股权价值增加表!AY15</f>
        <v>429719241.27999979</v>
      </c>
      <c r="AZ28" s="26">
        <f>股权价值增加表!AZ15</f>
        <v>187245917.79999995</v>
      </c>
      <c r="BA28" s="26">
        <f>股权价值增加表!BA15</f>
        <v>868879061.86000013</v>
      </c>
      <c r="BB28" s="26">
        <f>股权价值增加表!BB15</f>
        <v>740977870.71000016</v>
      </c>
      <c r="BC28" s="26">
        <f>股权价值增加表!BC15</f>
        <v>501749223.04000008</v>
      </c>
      <c r="BD28" s="26">
        <f>股权价值增加表!BD15</f>
        <v>269724685.81999999</v>
      </c>
      <c r="BE28" s="26">
        <f>股权价值增加表!BE15</f>
        <v>752964779.46000004</v>
      </c>
      <c r="BF28" s="26">
        <f>股权价值增加表!BF15</f>
        <v>546650043.62</v>
      </c>
      <c r="BG28" s="26">
        <f>股权价值增加表!BG15</f>
        <v>371755875.95999992</v>
      </c>
      <c r="BH28" s="26">
        <f>股权价值增加表!BH15</f>
        <v>115766684.37</v>
      </c>
      <c r="BI28" s="26">
        <f>股权价值增加表!BI15</f>
        <v>461329181.56</v>
      </c>
      <c r="BJ28" s="26">
        <f>股权价值增加表!BJ15</f>
        <v>303002665.33999991</v>
      </c>
      <c r="BK28" s="26">
        <f>股权价值增加表!BK15</f>
        <v>202547332.66000009</v>
      </c>
      <c r="BL28" s="26">
        <f>股权价值增加表!BL15</f>
        <v>102461532.28999998</v>
      </c>
      <c r="BM28" s="26">
        <f>股权价值增加表!BM15</f>
        <v>30947169.410000298</v>
      </c>
      <c r="BN28" s="26">
        <f>股权价值增加表!BN15</f>
        <v>-89958370.469999969</v>
      </c>
      <c r="BO28" s="26">
        <f>股权价值增加表!BO15</f>
        <v>-66945651.919999987</v>
      </c>
      <c r="BP28" s="26">
        <f>股权价值增加表!BP15</f>
        <v>-36931058.579999991</v>
      </c>
      <c r="BQ28" s="26">
        <f>股权价值增加表!BQ15</f>
        <v>-57644251.829999976</v>
      </c>
      <c r="BR28" s="26">
        <f>股权价值增加表!BR15</f>
        <v>-883574.4099999927</v>
      </c>
      <c r="BS28" s="26">
        <f>股权价值增加表!BS15</f>
        <v>14146871.640000165</v>
      </c>
      <c r="BT28" s="26">
        <f>股权价值增加表!BT15</f>
        <v>-31336332.299999945</v>
      </c>
      <c r="BU28" s="26">
        <f>股权价值增加表!BU15</f>
        <v>-41480263.320000201</v>
      </c>
      <c r="BV28" s="26">
        <f>股权价值增加表!BV15</f>
        <v>-63652408.539999999</v>
      </c>
      <c r="BW28" s="26">
        <f>股权价值增加表!BW15</f>
        <v>89398562.179999843</v>
      </c>
      <c r="BX28" s="26">
        <f>股权价值增加表!BX15</f>
        <v>118722250.81999996</v>
      </c>
      <c r="BY28" s="26">
        <f>股权价值增加表!BY15</f>
        <v>170212226.55000007</v>
      </c>
      <c r="BZ28" s="26">
        <f>股权价值增加表!BZ15</f>
        <v>636022622.80999994</v>
      </c>
      <c r="CA28" s="26">
        <f>股权价值增加表!CA15</f>
        <v>152685612.83000001</v>
      </c>
      <c r="CB28" s="26">
        <f>股权价值增加表!CB15</f>
        <v>146955056.78</v>
      </c>
      <c r="CC28" s="26">
        <f>股权价值增加表!CC15</f>
        <v>97686218.619999975</v>
      </c>
      <c r="CD28" s="26">
        <f>股权价值增加表!CD15</f>
        <v>111162316.73999999</v>
      </c>
      <c r="CE28" s="26">
        <f>股权价值增加表!CE15</f>
        <v>53651702.579999998</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0.96170062075306373</v>
      </c>
      <c r="F29" s="59">
        <f t="shared" si="27"/>
        <v>0.97148131332394227</v>
      </c>
      <c r="G29" s="59">
        <f t="shared" si="27"/>
        <v>0.97186516299776782</v>
      </c>
      <c r="H29" s="59">
        <f t="shared" si="27"/>
        <v>0.98032095091262772</v>
      </c>
      <c r="I29" s="59">
        <f t="shared" si="27"/>
        <v>0.93474850201247073</v>
      </c>
      <c r="J29" s="59">
        <f t="shared" si="27"/>
        <v>0.94054122781328309</v>
      </c>
      <c r="K29" s="59">
        <f t="shared" si="27"/>
        <v>0.94561105700636527</v>
      </c>
      <c r="L29" s="59">
        <f t="shared" si="27"/>
        <v>0.95255594359893925</v>
      </c>
      <c r="M29" s="59">
        <f t="shared" si="27"/>
        <v>0.96212161094060844</v>
      </c>
      <c r="N29" s="59">
        <f t="shared" si="27"/>
        <v>0.96745194364462339</v>
      </c>
      <c r="O29" s="59">
        <f t="shared" si="27"/>
        <v>0.9593084349239781</v>
      </c>
      <c r="P29" s="59">
        <f t="shared" si="27"/>
        <v>0.96195649506497893</v>
      </c>
      <c r="Q29" s="59">
        <f t="shared" si="27"/>
        <v>0.95597823487103062</v>
      </c>
      <c r="R29" s="59">
        <f t="shared" si="27"/>
        <v>0.96245487360989423</v>
      </c>
      <c r="S29" s="59">
        <f t="shared" si="27"/>
        <v>0.93191932811752021</v>
      </c>
      <c r="T29" s="59">
        <f t="shared" si="27"/>
        <v>0.96631762238203378</v>
      </c>
      <c r="U29" s="59">
        <f t="shared" si="27"/>
        <v>0.94056129737255323</v>
      </c>
      <c r="V29" s="59">
        <f t="shared" si="27"/>
        <v>0.94510319104970852</v>
      </c>
      <c r="W29" s="59">
        <f t="shared" si="27"/>
        <v>0.94337417528096235</v>
      </c>
      <c r="X29" s="59">
        <f t="shared" si="27"/>
        <v>0.94822673188647844</v>
      </c>
      <c r="Y29" s="59">
        <f t="shared" si="27"/>
        <v>0.95525017811536839</v>
      </c>
      <c r="Z29" s="59">
        <f t="shared" si="27"/>
        <v>0.97117830332007837</v>
      </c>
      <c r="AA29" s="59">
        <f t="shared" si="27"/>
        <v>0.95596645566560512</v>
      </c>
      <c r="AB29" s="59">
        <f t="shared" si="27"/>
        <v>0.94245207296308986</v>
      </c>
      <c r="AC29" s="59">
        <f t="shared" si="27"/>
        <v>0.90902288613751958</v>
      </c>
      <c r="AD29" s="59">
        <f t="shared" si="27"/>
        <v>0.97122140056097772</v>
      </c>
      <c r="AE29" s="59">
        <f t="shared" si="27"/>
        <v>0.96287446925804077</v>
      </c>
      <c r="AF29" s="59">
        <f t="shared" si="27"/>
        <v>0.96255286691236364</v>
      </c>
      <c r="AG29" s="59">
        <f t="shared" si="27"/>
        <v>0.93023838940709647</v>
      </c>
      <c r="AH29" s="59">
        <f t="shared" si="27"/>
        <v>0.96449126384102224</v>
      </c>
      <c r="AI29" s="59">
        <f t="shared" si="27"/>
        <v>0.93491602062024126</v>
      </c>
      <c r="AJ29" s="59">
        <f t="shared" si="27"/>
        <v>0.9320028751369831</v>
      </c>
      <c r="AK29" s="59">
        <f t="shared" ref="AK29:BP29" si="28">AK28/AK34</f>
        <v>0.96055597886124</v>
      </c>
      <c r="AL29" s="59">
        <f t="shared" si="28"/>
        <v>0.89635864541819732</v>
      </c>
      <c r="AM29" s="59">
        <f t="shared" si="28"/>
        <v>0.9245941126474263</v>
      </c>
      <c r="AN29" s="59">
        <f t="shared" si="28"/>
        <v>0.86937626815814262</v>
      </c>
      <c r="AO29" s="59">
        <f t="shared" si="28"/>
        <v>0.9246410847699833</v>
      </c>
      <c r="AP29" s="59">
        <f t="shared" si="28"/>
        <v>0.87906495192264589</v>
      </c>
      <c r="AQ29" s="59">
        <f t="shared" si="28"/>
        <v>0.88162462538947173</v>
      </c>
      <c r="AR29" s="59">
        <f t="shared" si="28"/>
        <v>0.82942208780145077</v>
      </c>
      <c r="AS29" s="59">
        <f t="shared" si="28"/>
        <v>0.90445087736606189</v>
      </c>
      <c r="AT29" s="59">
        <f t="shared" si="28"/>
        <v>0.90912202165943179</v>
      </c>
      <c r="AU29" s="59">
        <f t="shared" si="28"/>
        <v>0.92661469068774027</v>
      </c>
      <c r="AV29" s="59">
        <f t="shared" si="28"/>
        <v>0.93172241658195931</v>
      </c>
      <c r="AW29" s="59">
        <f t="shared" si="28"/>
        <v>0.92005732015086239</v>
      </c>
      <c r="AX29" s="59">
        <f t="shared" si="28"/>
        <v>0.8794314242993283</v>
      </c>
      <c r="AY29" s="59">
        <f t="shared" si="28"/>
        <v>0.89005469824649974</v>
      </c>
      <c r="AZ29" s="59">
        <f t="shared" si="28"/>
        <v>0.88383751196446536</v>
      </c>
      <c r="BA29" s="59">
        <f t="shared" si="28"/>
        <v>0.87098463984306351</v>
      </c>
      <c r="BB29" s="59">
        <f t="shared" si="28"/>
        <v>0.8746799514190513</v>
      </c>
      <c r="BC29" s="59">
        <f t="shared" si="28"/>
        <v>0.90367740501453953</v>
      </c>
      <c r="BD29" s="59">
        <f t="shared" si="28"/>
        <v>0.91159880989960618</v>
      </c>
      <c r="BE29" s="59">
        <f t="shared" si="28"/>
        <v>0.88699887750642914</v>
      </c>
      <c r="BF29" s="59">
        <f t="shared" si="28"/>
        <v>0.88837826785890051</v>
      </c>
      <c r="BG29" s="59">
        <f t="shared" si="28"/>
        <v>0.90431063455953709</v>
      </c>
      <c r="BH29" s="59">
        <f t="shared" si="28"/>
        <v>0.81135963565199765</v>
      </c>
      <c r="BI29" s="59">
        <f t="shared" si="28"/>
        <v>0.87262877941407735</v>
      </c>
      <c r="BJ29" s="59">
        <f t="shared" si="28"/>
        <v>0.84451727681822475</v>
      </c>
      <c r="BK29" s="59">
        <f t="shared" si="28"/>
        <v>0.85925603126608308</v>
      </c>
      <c r="BL29" s="59">
        <f t="shared" si="28"/>
        <v>0.84361875185970547</v>
      </c>
      <c r="BM29" s="59">
        <f t="shared" si="28"/>
        <v>0.60543440775536117</v>
      </c>
      <c r="BN29" s="59">
        <f t="shared" si="28"/>
        <v>1.0044040228575557</v>
      </c>
      <c r="BO29" s="59">
        <f t="shared" si="28"/>
        <v>1</v>
      </c>
      <c r="BP29" s="59">
        <f t="shared" si="28"/>
        <v>1</v>
      </c>
      <c r="BQ29" s="59">
        <f t="shared" ref="BQ29:CK29" si="29">BQ28/BQ34</f>
        <v>1.0465960401662044</v>
      </c>
      <c r="BR29" s="59">
        <f t="shared" si="29"/>
        <v>2.4459862779960817</v>
      </c>
      <c r="BS29" s="59">
        <f t="shared" si="29"/>
        <v>1.0758955313528105</v>
      </c>
      <c r="BT29" s="59">
        <f t="shared" si="29"/>
        <v>1.0368795770393082</v>
      </c>
      <c r="BU29" s="59">
        <f t="shared" si="29"/>
        <v>0.99500115003340306</v>
      </c>
      <c r="BV29" s="59">
        <f t="shared" si="29"/>
        <v>1</v>
      </c>
      <c r="BW29" s="59">
        <f t="shared" si="29"/>
        <v>0.99796830924509838</v>
      </c>
      <c r="BX29" s="59">
        <f t="shared" si="29"/>
        <v>0.99846935665676484</v>
      </c>
      <c r="BY29" s="59">
        <f t="shared" si="29"/>
        <v>1.0001654385733354</v>
      </c>
      <c r="BZ29" s="59">
        <f t="shared" si="29"/>
        <v>1</v>
      </c>
      <c r="CA29" s="59">
        <f t="shared" si="29"/>
        <v>0.88003681683007462</v>
      </c>
      <c r="CB29" s="59">
        <f t="shared" si="29"/>
        <v>0.9976889986463845</v>
      </c>
      <c r="CC29" s="59">
        <f t="shared" si="29"/>
        <v>0.9998450144413813</v>
      </c>
      <c r="CD29" s="59">
        <f t="shared" si="29"/>
        <v>0.99986380062891567</v>
      </c>
      <c r="CE29" s="59">
        <f t="shared" si="29"/>
        <v>0.9947871296820413</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345673565.06</v>
      </c>
      <c r="F30" s="26">
        <f>股权价值增加表!F20</f>
        <v>289125342.58999997</v>
      </c>
      <c r="G30" s="26">
        <f>股权价值增加表!G20</f>
        <v>171226086.88</v>
      </c>
      <c r="H30" s="26">
        <f>股权价值增加表!H20</f>
        <v>74517491.569999993</v>
      </c>
      <c r="I30" s="26">
        <f>股权价值增加表!I20</f>
        <v>631230626.76999998</v>
      </c>
      <c r="J30" s="26">
        <f>股权价值增加表!J20</f>
        <v>489935065.30000001</v>
      </c>
      <c r="K30" s="26">
        <f>股权价值增加表!K20</f>
        <v>303430528.54000002</v>
      </c>
      <c r="L30" s="26">
        <f>股权价值增加表!L20</f>
        <v>185670423.15000001</v>
      </c>
      <c r="M30" s="26">
        <f>股权价值增加表!M20</f>
        <v>551027246.50999999</v>
      </c>
      <c r="N30" s="26">
        <f>股权价值增加表!N20</f>
        <v>419140343.29000002</v>
      </c>
      <c r="O30" s="26">
        <f>股权价值增加表!O20</f>
        <v>301340835.26999998</v>
      </c>
      <c r="P30" s="26">
        <f>股权价值增加表!P20</f>
        <v>156219977.81</v>
      </c>
      <c r="Q30" s="26">
        <f>股权价值增加表!Q20</f>
        <v>505052099.07999998</v>
      </c>
      <c r="R30" s="26">
        <f>股权价值增加表!R20</f>
        <v>345239280.75</v>
      </c>
      <c r="S30" s="26">
        <f>股权价值增加表!S20</f>
        <v>235891432.84999999</v>
      </c>
      <c r="T30" s="26">
        <f>股权价值增加表!T20</f>
        <v>104430045.5</v>
      </c>
      <c r="U30" s="26">
        <f>股权价值增加表!U20</f>
        <v>529819245.31999999</v>
      </c>
      <c r="V30" s="26">
        <f>股权价值增加表!V20</f>
        <v>408733517.67000002</v>
      </c>
      <c r="W30" s="26">
        <f>股权价值增加表!W20</f>
        <v>231264890.75999999</v>
      </c>
      <c r="X30" s="26">
        <f>股权价值增加表!X20</f>
        <v>96969591.650000006</v>
      </c>
      <c r="Y30" s="26">
        <f>股权价值增加表!Y20</f>
        <v>188578122.41999999</v>
      </c>
      <c r="Z30" s="26">
        <f>股权价值增加表!Z20</f>
        <v>86687539.280000001</v>
      </c>
      <c r="AA30" s="26">
        <f>股权价值增加表!AA20</f>
        <v>48708038.539999999</v>
      </c>
      <c r="AB30" s="26">
        <f>股权价值增加表!AB20</f>
        <v>31155964.66</v>
      </c>
      <c r="AC30" s="26">
        <f>股权价值增加表!AC20</f>
        <v>71117014.459999993</v>
      </c>
      <c r="AD30" s="26">
        <f>股权价值增加表!AD20</f>
        <v>59421519.450000003</v>
      </c>
      <c r="AE30" s="26">
        <f>股权价值增加表!AE20</f>
        <v>51124634.079999998</v>
      </c>
      <c r="AF30" s="26">
        <f>股权价值增加表!AF20</f>
        <v>22663497.949999999</v>
      </c>
      <c r="AG30" s="26">
        <f>股权价值增加表!AG20</f>
        <v>76422893.829999998</v>
      </c>
      <c r="AH30" s="26">
        <f>股权价值增加表!AH20</f>
        <v>74163697.260000005</v>
      </c>
      <c r="AI30" s="26">
        <f>股权价值增加表!AI20</f>
        <v>64605346.560000002</v>
      </c>
      <c r="AJ30" s="26">
        <f>股权价值增加表!AJ20</f>
        <v>38202558.57</v>
      </c>
      <c r="AK30" s="26">
        <f>股权价值增加表!AK20</f>
        <v>102161989.84</v>
      </c>
      <c r="AL30" s="26">
        <f>股权价值增加表!AL20</f>
        <v>79888891.620000005</v>
      </c>
      <c r="AM30" s="26">
        <f>股权价值增加表!AM20</f>
        <v>37110688.369999997</v>
      </c>
      <c r="AN30" s="26">
        <f>股权价值增加表!AN20</f>
        <v>30324684.289999999</v>
      </c>
      <c r="AO30" s="26">
        <f>股权价值增加表!AO20</f>
        <v>68631860.040000007</v>
      </c>
      <c r="AP30" s="26">
        <f>股权价值增加表!AP20</f>
        <v>86109315.530000001</v>
      </c>
      <c r="AQ30" s="26">
        <f>股权价值增加表!AQ20</f>
        <v>60573408.009999998</v>
      </c>
      <c r="AR30" s="26">
        <f>股权价值增加表!AR20</f>
        <v>45174912.68</v>
      </c>
      <c r="AS30" s="26">
        <f>股权价值增加表!AS20</f>
        <v>147983409.97999999</v>
      </c>
      <c r="AT30" s="26">
        <f>股权价值增加表!AT20</f>
        <v>114399744.65000001</v>
      </c>
      <c r="AU30" s="26">
        <f>股权价值增加表!AU20</f>
        <v>66186031.729999997</v>
      </c>
      <c r="AV30" s="26">
        <f>股权价值增加表!AV20</f>
        <v>31224009.879999999</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3.0065835961318597E-2</v>
      </c>
      <c r="F31" s="59">
        <f t="shared" ref="F31:BQ31" si="30">F30/F34</f>
        <v>2.9882891680387779E-2</v>
      </c>
      <c r="G31" s="59">
        <f t="shared" si="30"/>
        <v>3.1071330114078421E-2</v>
      </c>
      <c r="H31" s="59">
        <f t="shared" si="30"/>
        <v>2.2666587139122396E-2</v>
      </c>
      <c r="I31" s="59">
        <f t="shared" si="30"/>
        <v>4.5089118192941882E-2</v>
      </c>
      <c r="J31" s="59">
        <f t="shared" si="30"/>
        <v>4.244377028153027E-2</v>
      </c>
      <c r="K31" s="59">
        <f t="shared" si="30"/>
        <v>4.8144292573609339E-2</v>
      </c>
      <c r="L31" s="59">
        <f t="shared" si="30"/>
        <v>4.7444056401060711E-2</v>
      </c>
      <c r="M31" s="59">
        <f t="shared" si="30"/>
        <v>3.263940705804632E-2</v>
      </c>
      <c r="N31" s="59">
        <f t="shared" si="30"/>
        <v>3.0468865045436239E-2</v>
      </c>
      <c r="O31" s="59">
        <f t="shared" si="30"/>
        <v>3.716527224442491E-2</v>
      </c>
      <c r="P31" s="59">
        <f t="shared" si="30"/>
        <v>3.8043504935021052E-2</v>
      </c>
      <c r="Q31" s="59">
        <f t="shared" si="30"/>
        <v>2.9495378608166516E-2</v>
      </c>
      <c r="R31" s="59">
        <f t="shared" si="30"/>
        <v>2.559070824509832E-2</v>
      </c>
      <c r="S31" s="59">
        <f t="shared" si="30"/>
        <v>3.5641780678470097E-2</v>
      </c>
      <c r="T31" s="59">
        <f t="shared" si="30"/>
        <v>3.3637443964910377E-2</v>
      </c>
      <c r="U31" s="59">
        <f t="shared" si="30"/>
        <v>4.7886624550020886E-2</v>
      </c>
      <c r="V31" s="59">
        <f t="shared" si="30"/>
        <v>5.1827551522686206E-2</v>
      </c>
      <c r="W31" s="59">
        <f t="shared" si="30"/>
        <v>5.5008248915992715E-2</v>
      </c>
      <c r="X31" s="59">
        <f t="shared" si="30"/>
        <v>5.159595117902855E-2</v>
      </c>
      <c r="Y31" s="59">
        <f t="shared" si="30"/>
        <v>3.4806147193827727E-2</v>
      </c>
      <c r="Z31" s="59">
        <f t="shared" si="30"/>
        <v>2.2989698943209808E-2</v>
      </c>
      <c r="AA31" s="59">
        <f t="shared" si="30"/>
        <v>3.0657473243914154E-2</v>
      </c>
      <c r="AB31" s="59">
        <f t="shared" si="30"/>
        <v>5.2313985270842044E-2</v>
      </c>
      <c r="AC31" s="59">
        <f t="shared" si="30"/>
        <v>2.1219480130585593E-2</v>
      </c>
      <c r="AD31" s="59">
        <f t="shared" si="30"/>
        <v>2.3072413690501708E-2</v>
      </c>
      <c r="AE31" s="59">
        <f t="shared" si="30"/>
        <v>3.6305074324120896E-2</v>
      </c>
      <c r="AF31" s="59">
        <f t="shared" si="30"/>
        <v>3.7447133087636232E-2</v>
      </c>
      <c r="AG31" s="59">
        <f t="shared" si="30"/>
        <v>2.3291445089890783E-2</v>
      </c>
      <c r="AH31" s="59">
        <f t="shared" si="30"/>
        <v>3.1164704187408441E-2</v>
      </c>
      <c r="AI31" s="59">
        <f t="shared" si="30"/>
        <v>5.6106291907608838E-2</v>
      </c>
      <c r="AJ31" s="59">
        <f t="shared" si="30"/>
        <v>6.7997124863016942E-2</v>
      </c>
      <c r="AK31" s="59">
        <f t="shared" si="30"/>
        <v>3.4614519004059652E-2</v>
      </c>
      <c r="AL31" s="59">
        <f t="shared" si="30"/>
        <v>0.10364135458180267</v>
      </c>
      <c r="AM31" s="59">
        <f t="shared" si="30"/>
        <v>7.5405887352573683E-2</v>
      </c>
      <c r="AN31" s="59">
        <f t="shared" si="30"/>
        <v>0.13062373184185747</v>
      </c>
      <c r="AO31" s="59">
        <f t="shared" si="30"/>
        <v>7.5358915230016796E-2</v>
      </c>
      <c r="AP31" s="59">
        <f t="shared" si="30"/>
        <v>0.12093504807735415</v>
      </c>
      <c r="AQ31" s="59">
        <f t="shared" si="30"/>
        <v>0.11837537461052823</v>
      </c>
      <c r="AR31" s="59">
        <f t="shared" si="30"/>
        <v>0.17057791219854918</v>
      </c>
      <c r="AS31" s="59">
        <f t="shared" si="30"/>
        <v>8.9231631068292738E-2</v>
      </c>
      <c r="AT31" s="59">
        <f t="shared" si="30"/>
        <v>9.0877978340568114E-2</v>
      </c>
      <c r="AU31" s="59">
        <f t="shared" si="30"/>
        <v>7.3385309312259742E-2</v>
      </c>
      <c r="AV31" s="59">
        <f t="shared" si="30"/>
        <v>6.8277583418040716E-2</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94662867.989999995</v>
      </c>
      <c r="F32" s="26">
        <f>股权价值增加表!F27</f>
        <v>-13199065.32</v>
      </c>
      <c r="G32" s="26">
        <f>股权价值增加表!G27</f>
        <v>-16182256.210000001</v>
      </c>
      <c r="H32" s="26">
        <f>股权价值增加表!H27</f>
        <v>-9821674.5299999993</v>
      </c>
      <c r="I32" s="26">
        <f>股权价值增加表!I27</f>
        <v>282265702.79000002</v>
      </c>
      <c r="J32" s="26">
        <f>股权价值增加表!J27</f>
        <v>196406822.81999993</v>
      </c>
      <c r="K32" s="26">
        <f>股权价值增加表!K27</f>
        <v>39357055.140000001</v>
      </c>
      <c r="L32" s="26">
        <f>股权价值增加表!L27</f>
        <v>0</v>
      </c>
      <c r="M32" s="26">
        <f>股权价值增加表!M27</f>
        <v>88445902.880000055</v>
      </c>
      <c r="N32" s="26">
        <f>股权价值增加表!N27</f>
        <v>28602081.440000009</v>
      </c>
      <c r="O32" s="26">
        <f>股权价值增加表!O27</f>
        <v>28591638.460000049</v>
      </c>
      <c r="P32" s="26">
        <f>股权价值增加表!P27</f>
        <v>0</v>
      </c>
      <c r="Q32" s="26">
        <f>股权价值增加表!Q27</f>
        <v>248736661.48999998</v>
      </c>
      <c r="R32" s="26">
        <f>股权价值增加表!R27</f>
        <v>161274736.23000002</v>
      </c>
      <c r="S32" s="26">
        <f>股权价值增加表!S27</f>
        <v>214693440.69000003</v>
      </c>
      <c r="T32" s="26">
        <f>股权价值增加表!T27</f>
        <v>139500</v>
      </c>
      <c r="U32" s="26">
        <f>股权价值增加表!U27</f>
        <v>127812585.38000003</v>
      </c>
      <c r="V32" s="26">
        <f>股权价值增加表!V27</f>
        <v>24205434.139999971</v>
      </c>
      <c r="W32" s="26">
        <f>股权价值增加表!W27</f>
        <v>6800588.9800000051</v>
      </c>
      <c r="X32" s="26">
        <f>股权价值增加表!X27</f>
        <v>333250</v>
      </c>
      <c r="Y32" s="26">
        <f>股权价值增加表!Y27</f>
        <v>53874377.210000016</v>
      </c>
      <c r="Z32" s="26">
        <f>股权价值增加表!Z27</f>
        <v>21990785.269999996</v>
      </c>
      <c r="AA32" s="26">
        <f>股权价值增加表!AA27</f>
        <v>21251659.619999997</v>
      </c>
      <c r="AB32" s="26">
        <f>股权价值增加表!AB27</f>
        <v>3117111.1099999994</v>
      </c>
      <c r="AC32" s="26">
        <f>股权价值增加表!AC27</f>
        <v>233792468.82000002</v>
      </c>
      <c r="AD32" s="26">
        <f>股权价值增加表!AD27</f>
        <v>14695914.869999999</v>
      </c>
      <c r="AE32" s="26">
        <f>股权价值增加表!AE27</f>
        <v>1155362.8500000001</v>
      </c>
      <c r="AF32" s="26">
        <f>股权价值增加表!AF27</f>
        <v>0</v>
      </c>
      <c r="AG32" s="26">
        <f>股权价值增加表!AG27</f>
        <v>152475920.26999998</v>
      </c>
      <c r="AH32" s="26">
        <f>股权价值增加表!AH27</f>
        <v>10337639.34</v>
      </c>
      <c r="AI32" s="26">
        <f>股权价值增加表!AI27</f>
        <v>10337639.34</v>
      </c>
      <c r="AJ32" s="26">
        <f>股权价值增加表!AJ27</f>
        <v>0</v>
      </c>
      <c r="AK32" s="26">
        <f>股权价值增加表!AK27</f>
        <v>14253890.050000001</v>
      </c>
      <c r="AL32" s="26">
        <f>股权价值增加表!AL27</f>
        <v>0</v>
      </c>
      <c r="AM32" s="26">
        <f>股权价值增加表!AM27</f>
        <v>0</v>
      </c>
      <c r="AN32" s="26">
        <f>股权价值增加表!AN27</f>
        <v>0</v>
      </c>
      <c r="AO32" s="26">
        <f>股权价值增加表!AO27</f>
        <v>0</v>
      </c>
      <c r="AP32" s="26">
        <f>股权价值增加表!AP27</f>
        <v>0</v>
      </c>
      <c r="AQ32" s="26">
        <f>股权价值增加表!AQ27</f>
        <v>0</v>
      </c>
      <c r="AR32" s="26">
        <f>股权价值增加表!AR27</f>
        <v>0</v>
      </c>
      <c r="AS32" s="26">
        <f>股权价值增加表!AS27</f>
        <v>10477046.460000008</v>
      </c>
      <c r="AT32" s="26">
        <f>股权价值增加表!AT27</f>
        <v>0</v>
      </c>
      <c r="AU32" s="26">
        <f>股权价值增加表!AU27</f>
        <v>0</v>
      </c>
      <c r="AV32" s="26">
        <f>股权价值增加表!AV27</f>
        <v>0</v>
      </c>
      <c r="AW32" s="26">
        <f>股权价值增加表!AW27</f>
        <v>91896385.170000002</v>
      </c>
      <c r="AX32" s="26">
        <f>股权价值增加表!AX27</f>
        <v>91210465.540000007</v>
      </c>
      <c r="AY32" s="26">
        <f>股权价值增加表!AY27</f>
        <v>53081694.579999998</v>
      </c>
      <c r="AZ32" s="26">
        <f>股权价值增加表!AZ27</f>
        <v>24609672.469999999</v>
      </c>
      <c r="BA32" s="26">
        <f>股权价值增加表!BA27</f>
        <v>128703469.58</v>
      </c>
      <c r="BB32" s="26">
        <f>股权价值增加表!BB27</f>
        <v>106163840.39</v>
      </c>
      <c r="BC32" s="26">
        <f>股权价值增加表!BC27</f>
        <v>53481238.909999996</v>
      </c>
      <c r="BD32" s="26">
        <f>股权价值增加表!BD27</f>
        <v>26156224.609999999</v>
      </c>
      <c r="BE32" s="26">
        <f>股权价值增加表!BE27</f>
        <v>95925561.390000001</v>
      </c>
      <c r="BF32" s="26">
        <f>股权价值增加表!BF27</f>
        <v>68684733.689999998</v>
      </c>
      <c r="BG32" s="26">
        <f>股权价值增加表!BG27</f>
        <v>39337239.340000004</v>
      </c>
      <c r="BH32" s="26">
        <f>股权价值增加表!BH27</f>
        <v>26915646.969999999</v>
      </c>
      <c r="BI32" s="26">
        <f>股权价值增加表!BI27</f>
        <v>67336835.930000007</v>
      </c>
      <c r="BJ32" s="26">
        <f>股权价值增加表!BJ27</f>
        <v>55785335.399999999</v>
      </c>
      <c r="BK32" s="26">
        <f>股权价值增加表!BK27</f>
        <v>33176741.760000002</v>
      </c>
      <c r="BL32" s="26">
        <f>股权价值增加表!BL27</f>
        <v>18993250.530000001</v>
      </c>
      <c r="BM32" s="26">
        <f>股权价值增加表!BM27</f>
        <v>20168474.190000001</v>
      </c>
      <c r="BN32" s="26">
        <f>股权价值增加表!BN27</f>
        <v>394441.59</v>
      </c>
      <c r="BO32" s="26">
        <f>股权价值增加表!BO27</f>
        <v>0</v>
      </c>
      <c r="BP32" s="26">
        <f>股权价值增加表!BP27</f>
        <v>0</v>
      </c>
      <c r="BQ32" s="26">
        <f>股权价值增加表!BQ27</f>
        <v>2566409.36</v>
      </c>
      <c r="BR32" s="26">
        <f>股权价值增加表!BR27</f>
        <v>522340</v>
      </c>
      <c r="BS32" s="26">
        <f>股权价值增加表!BS27</f>
        <v>-997944.79</v>
      </c>
      <c r="BT32" s="26">
        <f>股权价值增加表!BT27</f>
        <v>1114565.96</v>
      </c>
      <c r="BU32" s="26">
        <f>股权价值增加表!BU27</f>
        <v>-208395.35</v>
      </c>
      <c r="BV32" s="26">
        <f>股权价值增加表!BV27</f>
        <v>0</v>
      </c>
      <c r="BW32" s="26">
        <f>股权价值增加表!BW27</f>
        <v>182000</v>
      </c>
      <c r="BX32" s="26">
        <f>股权价值增加表!BX27</f>
        <v>182000</v>
      </c>
      <c r="BY32" s="26">
        <f>股权价值增加表!BY27</f>
        <v>-28155.01</v>
      </c>
      <c r="BZ32" s="26">
        <f>股权价值增加表!BZ27</f>
        <v>0</v>
      </c>
      <c r="CA32" s="26">
        <f>股权价值增加表!CA27</f>
        <v>20813506.649999999</v>
      </c>
      <c r="CB32" s="26">
        <f>股权价值增加表!CB27</f>
        <v>340400</v>
      </c>
      <c r="CC32" s="26">
        <f>股权价值增加表!CC27</f>
        <v>15142.3</v>
      </c>
      <c r="CD32" s="26">
        <f>股权价值增加表!CD27</f>
        <v>15142.3</v>
      </c>
      <c r="CE32" s="26">
        <f>股权价值增加表!CE27</f>
        <v>281144.94</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8.2335432856177025E-3</v>
      </c>
      <c r="F33" s="59">
        <f t="shared" ref="F33:BQ33" si="32">F32/F34</f>
        <v>-1.3642050043300665E-3</v>
      </c>
      <c r="G33" s="59">
        <f t="shared" si="32"/>
        <v>-2.9364931118462385E-3</v>
      </c>
      <c r="H33" s="59">
        <f t="shared" si="32"/>
        <v>-2.9875380517501229E-3</v>
      </c>
      <c r="I33" s="59">
        <f t="shared" si="32"/>
        <v>2.0162379794587286E-2</v>
      </c>
      <c r="J33" s="59">
        <f t="shared" si="32"/>
        <v>1.701500190518675E-2</v>
      </c>
      <c r="K33" s="59">
        <f t="shared" si="32"/>
        <v>6.2446504200253843E-3</v>
      </c>
      <c r="L33" s="59">
        <f t="shared" si="32"/>
        <v>0</v>
      </c>
      <c r="M33" s="59">
        <f t="shared" si="32"/>
        <v>5.2389820013453063E-3</v>
      </c>
      <c r="N33" s="59">
        <f t="shared" si="32"/>
        <v>2.0791913099402399E-3</v>
      </c>
      <c r="O33" s="59">
        <f t="shared" si="32"/>
        <v>3.5262928315970602E-3</v>
      </c>
      <c r="P33" s="59">
        <f t="shared" si="32"/>
        <v>0</v>
      </c>
      <c r="Q33" s="59">
        <f t="shared" si="32"/>
        <v>1.452638652080286E-2</v>
      </c>
      <c r="R33" s="59">
        <f t="shared" si="32"/>
        <v>1.1954418145007441E-2</v>
      </c>
      <c r="S33" s="59">
        <f t="shared" si="32"/>
        <v>3.2438891204009696E-2</v>
      </c>
      <c r="T33" s="59">
        <f t="shared" si="32"/>
        <v>4.4933653055863101E-5</v>
      </c>
      <c r="U33" s="59">
        <f t="shared" si="32"/>
        <v>1.1552078077425981E-2</v>
      </c>
      <c r="V33" s="59">
        <f t="shared" si="32"/>
        <v>3.0692574276051689E-3</v>
      </c>
      <c r="W33" s="59">
        <f t="shared" si="32"/>
        <v>1.6175758030448966E-3</v>
      </c>
      <c r="X33" s="59">
        <f t="shared" si="32"/>
        <v>1.7731693449295105E-4</v>
      </c>
      <c r="Y33" s="59">
        <f t="shared" si="32"/>
        <v>9.94367469080382E-3</v>
      </c>
      <c r="Z33" s="59">
        <f t="shared" si="32"/>
        <v>5.8319977367117699E-3</v>
      </c>
      <c r="AA33" s="59">
        <f t="shared" si="32"/>
        <v>1.3376071090480845E-2</v>
      </c>
      <c r="AB33" s="59">
        <f t="shared" si="32"/>
        <v>5.2339417660681757E-3</v>
      </c>
      <c r="AC33" s="59">
        <f t="shared" si="32"/>
        <v>6.9757633731894753E-2</v>
      </c>
      <c r="AD33" s="59">
        <f t="shared" si="32"/>
        <v>5.7061857485207002E-3</v>
      </c>
      <c r="AE33" s="59">
        <f t="shared" si="32"/>
        <v>8.2045641783844614E-4</v>
      </c>
      <c r="AF33" s="59">
        <f t="shared" si="32"/>
        <v>0</v>
      </c>
      <c r="AG33" s="59">
        <f t="shared" si="32"/>
        <v>4.6470165503012723E-2</v>
      </c>
      <c r="AH33" s="59">
        <f t="shared" si="32"/>
        <v>4.344031971569161E-3</v>
      </c>
      <c r="AI33" s="59">
        <f t="shared" si="32"/>
        <v>8.9776874721499943E-3</v>
      </c>
      <c r="AJ33" s="59">
        <f t="shared" si="32"/>
        <v>0</v>
      </c>
      <c r="AK33" s="59">
        <f t="shared" si="32"/>
        <v>4.8295021347002165E-3</v>
      </c>
      <c r="AL33" s="59">
        <f t="shared" si="32"/>
        <v>0</v>
      </c>
      <c r="AM33" s="59">
        <f t="shared" si="32"/>
        <v>0</v>
      </c>
      <c r="AN33" s="59">
        <f t="shared" si="32"/>
        <v>0</v>
      </c>
      <c r="AO33" s="59">
        <f t="shared" si="32"/>
        <v>0</v>
      </c>
      <c r="AP33" s="59">
        <f t="shared" si="32"/>
        <v>0</v>
      </c>
      <c r="AQ33" s="59">
        <f t="shared" si="32"/>
        <v>0</v>
      </c>
      <c r="AR33" s="59">
        <f t="shared" si="32"/>
        <v>0</v>
      </c>
      <c r="AS33" s="59">
        <f t="shared" si="32"/>
        <v>6.3174915656453185E-3</v>
      </c>
      <c r="AT33" s="59">
        <f t="shared" si="32"/>
        <v>0</v>
      </c>
      <c r="AU33" s="59">
        <f t="shared" si="32"/>
        <v>0</v>
      </c>
      <c r="AV33" s="59">
        <f t="shared" si="32"/>
        <v>0</v>
      </c>
      <c r="AW33" s="59">
        <f t="shared" si="32"/>
        <v>7.9942679849137499E-2</v>
      </c>
      <c r="AX33" s="59">
        <f t="shared" si="32"/>
        <v>0.12056857570067181</v>
      </c>
      <c r="AY33" s="59">
        <f t="shared" si="32"/>
        <v>0.10994530175350026</v>
      </c>
      <c r="AZ33" s="59">
        <f t="shared" si="32"/>
        <v>0.11616248803553464</v>
      </c>
      <c r="BA33" s="59">
        <f t="shared" si="32"/>
        <v>0.12901536015693646</v>
      </c>
      <c r="BB33" s="59">
        <f t="shared" si="32"/>
        <v>0.12532004858094867</v>
      </c>
      <c r="BC33" s="59">
        <f t="shared" si="32"/>
        <v>9.6322594985460502E-2</v>
      </c>
      <c r="BD33" s="59">
        <f t="shared" si="32"/>
        <v>8.8401190100393726E-2</v>
      </c>
      <c r="BE33" s="59">
        <f t="shared" si="32"/>
        <v>0.11300112249357089</v>
      </c>
      <c r="BF33" s="59">
        <f t="shared" si="32"/>
        <v>0.11162173214109962</v>
      </c>
      <c r="BG33" s="59">
        <f t="shared" si="32"/>
        <v>9.5689365440462804E-2</v>
      </c>
      <c r="BH33" s="59">
        <f t="shared" si="32"/>
        <v>0.18864036434800238</v>
      </c>
      <c r="BI33" s="59">
        <f t="shared" si="32"/>
        <v>0.1273712205859226</v>
      </c>
      <c r="BJ33" s="59">
        <f t="shared" si="32"/>
        <v>0.15548272318177531</v>
      </c>
      <c r="BK33" s="59">
        <f t="shared" si="32"/>
        <v>0.14074396873391695</v>
      </c>
      <c r="BL33" s="59">
        <f t="shared" si="32"/>
        <v>0.15638124814029455</v>
      </c>
      <c r="BM33" s="59">
        <f t="shared" si="32"/>
        <v>0.39456559224463883</v>
      </c>
      <c r="BN33" s="59">
        <f t="shared" si="32"/>
        <v>-4.4040228575555557E-3</v>
      </c>
      <c r="BO33" s="59">
        <f t="shared" si="32"/>
        <v>0</v>
      </c>
      <c r="BP33" s="59">
        <f t="shared" si="32"/>
        <v>0</v>
      </c>
      <c r="BQ33" s="59">
        <f t="shared" si="32"/>
        <v>-4.6596040166204444E-2</v>
      </c>
      <c r="BR33" s="59">
        <f t="shared" ref="BR33:CJ33" si="33">BR32/BR34</f>
        <v>-1.4459862779960817</v>
      </c>
      <c r="BS33" s="59">
        <f t="shared" si="33"/>
        <v>-7.5895531352810547E-2</v>
      </c>
      <c r="BT33" s="59">
        <f t="shared" si="33"/>
        <v>-3.687957703930822E-2</v>
      </c>
      <c r="BU33" s="59">
        <f t="shared" si="33"/>
        <v>4.9988499665968985E-3</v>
      </c>
      <c r="BV33" s="59">
        <f t="shared" si="33"/>
        <v>0</v>
      </c>
      <c r="BW33" s="59">
        <f t="shared" si="33"/>
        <v>2.0316907549016716E-3</v>
      </c>
      <c r="BX33" s="59">
        <f t="shared" si="33"/>
        <v>1.5306433432351872E-3</v>
      </c>
      <c r="BY33" s="59">
        <f t="shared" si="33"/>
        <v>-1.6543857333547484E-4</v>
      </c>
      <c r="BZ33" s="59">
        <f t="shared" si="33"/>
        <v>0</v>
      </c>
      <c r="CA33" s="59">
        <f t="shared" si="33"/>
        <v>0.11996318316992531</v>
      </c>
      <c r="CB33" s="59">
        <f t="shared" si="33"/>
        <v>2.3110013536155449E-3</v>
      </c>
      <c r="CC33" s="59">
        <f t="shared" si="33"/>
        <v>1.5498555861876733E-4</v>
      </c>
      <c r="CD33" s="59">
        <f t="shared" si="33"/>
        <v>1.3619937108431328E-4</v>
      </c>
      <c r="CE33" s="59">
        <f t="shared" si="33"/>
        <v>5.2128703179586912E-3</v>
      </c>
      <c r="CF33" s="59" t="e">
        <f t="shared" si="33"/>
        <v>#DIV/0!</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11497221148.439999</v>
      </c>
      <c r="F34" s="58">
        <f>股权价值增加表!F31</f>
        <v>9675279945.539999</v>
      </c>
      <c r="G34" s="58">
        <f>股权价值增加表!G31</f>
        <v>5510742097.3399992</v>
      </c>
      <c r="H34" s="58">
        <f>股权价值增加表!H31</f>
        <v>3287547927.3799996</v>
      </c>
      <c r="I34" s="58">
        <f>股权价值增加表!I31</f>
        <v>13999622349.43</v>
      </c>
      <c r="J34" s="58">
        <f>股权价值增加表!J31</f>
        <v>11543156087.460001</v>
      </c>
      <c r="K34" s="58">
        <f>股权价值增加表!K31</f>
        <v>6302523358.8400002</v>
      </c>
      <c r="L34" s="58">
        <f>股权价值增加表!L31</f>
        <v>3913460130.4000001</v>
      </c>
      <c r="M34" s="58">
        <f>股权价值增加表!M31</f>
        <v>16882268894.469999</v>
      </c>
      <c r="N34" s="58">
        <f>股权价值增加表!N31</f>
        <v>13756349068.630001</v>
      </c>
      <c r="O34" s="58">
        <f>股权价值增加表!O31</f>
        <v>8108129365.7199984</v>
      </c>
      <c r="P34" s="58">
        <f>股权价值增加表!P31</f>
        <v>4106350823.27</v>
      </c>
      <c r="Q34" s="58">
        <f>股权价值增加表!Q31</f>
        <v>17123092596.619999</v>
      </c>
      <c r="R34" s="58">
        <f>股权价值增加表!R31</f>
        <v>13490806016.129999</v>
      </c>
      <c r="S34" s="58">
        <f>股权价值增加表!S31</f>
        <v>6618396397.7000008</v>
      </c>
      <c r="T34" s="58">
        <f>股权价值增加表!T31</f>
        <v>3104577315.9500003</v>
      </c>
      <c r="U34" s="58">
        <f>股权价值增加表!U31</f>
        <v>11064034065.85</v>
      </c>
      <c r="V34" s="58">
        <f>股权价值增加表!V31</f>
        <v>7886413802.3400011</v>
      </c>
      <c r="W34" s="58">
        <f>股权价值增加表!W31</f>
        <v>4204185650.6500001</v>
      </c>
      <c r="X34" s="58">
        <f>股权价值增加表!X31</f>
        <v>1879403120.4800003</v>
      </c>
      <c r="Y34" s="58">
        <f>股权价值增加表!Y31</f>
        <v>5417954517.340003</v>
      </c>
      <c r="Z34" s="58">
        <f>股权价值增加表!Z31</f>
        <v>3770712243.519999</v>
      </c>
      <c r="AA34" s="58">
        <f>股权价值增加表!AA31</f>
        <v>1588781898.3800004</v>
      </c>
      <c r="AB34" s="58">
        <f>股权价值增加表!AB31</f>
        <v>595557086.67000043</v>
      </c>
      <c r="AC34" s="58">
        <f>股权价值增加表!AC31</f>
        <v>3351496550.4500027</v>
      </c>
      <c r="AD34" s="58">
        <f>股权价值增加表!AD31</f>
        <v>2575435767.0199995</v>
      </c>
      <c r="AE34" s="58">
        <f>股权价值增加表!AE31</f>
        <v>1408195273.8499992</v>
      </c>
      <c r="AF34" s="58">
        <f>股权价值增加表!AF31</f>
        <v>605213165.37000036</v>
      </c>
      <c r="AG34" s="58">
        <f>股权价值增加表!AG31</f>
        <v>3281157246.1500006</v>
      </c>
      <c r="AH34" s="58">
        <f>股权价值增加表!AH31</f>
        <v>2379733714.5899997</v>
      </c>
      <c r="AI34" s="58">
        <f>股权价值增加表!AI31</f>
        <v>1151481310.9800003</v>
      </c>
      <c r="AJ34" s="58">
        <f>股权价值增加表!AJ31</f>
        <v>561826086.71999967</v>
      </c>
      <c r="AK34" s="58">
        <f>股权价值增加表!AK31</f>
        <v>2951420177.9900007</v>
      </c>
      <c r="AL34" s="58">
        <f>股权价值增加表!AL31</f>
        <v>770820604.79000032</v>
      </c>
      <c r="AM34" s="58">
        <f>股权价值增加表!AM31</f>
        <v>492145768.36000025</v>
      </c>
      <c r="AN34" s="58">
        <f>股权价值增加表!AN31</f>
        <v>232152946.96000001</v>
      </c>
      <c r="AO34" s="58">
        <f>股权价值增加表!AO31</f>
        <v>910733120.70000076</v>
      </c>
      <c r="AP34" s="58">
        <f>股权价值增加表!AP31</f>
        <v>712029448.03000009</v>
      </c>
      <c r="AQ34" s="58">
        <f>股权价值增加表!AQ31</f>
        <v>511706156.87000018</v>
      </c>
      <c r="AR34" s="58">
        <f>股权价值增加表!AR31</f>
        <v>264834480.0200001</v>
      </c>
      <c r="AS34" s="58">
        <f>股权价值增加表!AS31</f>
        <v>1658418749.1399999</v>
      </c>
      <c r="AT34" s="58">
        <f>股权价值增加表!AT31</f>
        <v>1258828010.2500005</v>
      </c>
      <c r="AU34" s="58">
        <f>股权价值增加表!AU31</f>
        <v>901897564.38000011</v>
      </c>
      <c r="AV34" s="58">
        <f>股权价值增加表!AV31</f>
        <v>457309827.28000009</v>
      </c>
      <c r="AW34" s="58">
        <f>股权价值增加表!AW31</f>
        <v>1149528453.9300001</v>
      </c>
      <c r="AX34" s="58">
        <f>股权价值增加表!AX31</f>
        <v>756502803.57000005</v>
      </c>
      <c r="AY34" s="58">
        <f>股权价值增加表!AY31</f>
        <v>482800935.85999978</v>
      </c>
      <c r="AZ34" s="58">
        <f>股权价值增加表!AZ31</f>
        <v>211855590.26999995</v>
      </c>
      <c r="BA34" s="58">
        <f>股权价值增加表!BA31</f>
        <v>997582531.44000018</v>
      </c>
      <c r="BB34" s="58">
        <f>股权价值增加表!BB31</f>
        <v>847141711.10000014</v>
      </c>
      <c r="BC34" s="58">
        <f>股权价值增加表!BC31</f>
        <v>555230461.95000005</v>
      </c>
      <c r="BD34" s="58">
        <f>股权价值增加表!BD31</f>
        <v>295880910.43000001</v>
      </c>
      <c r="BE34" s="58">
        <f>股权价值增加表!BE31</f>
        <v>848890340.85000002</v>
      </c>
      <c r="BF34" s="58">
        <f>股权价值增加表!BF31</f>
        <v>615334777.30999994</v>
      </c>
      <c r="BG34" s="58">
        <f>股权价值增加表!BG31</f>
        <v>411093115.29999995</v>
      </c>
      <c r="BH34" s="58">
        <f>股权价值增加表!BH31</f>
        <v>142682331.34</v>
      </c>
      <c r="BI34" s="58">
        <f>股权价值增加表!BI31</f>
        <v>528666017.49000001</v>
      </c>
      <c r="BJ34" s="58">
        <f>股权价值增加表!BJ31</f>
        <v>358788000.73999989</v>
      </c>
      <c r="BK34" s="58">
        <f>股权价值增加表!BK31</f>
        <v>235724074.42000008</v>
      </c>
      <c r="BL34" s="58">
        <f>股权价值增加表!BL31</f>
        <v>121454782.81999998</v>
      </c>
      <c r="BM34" s="58">
        <f>股权价值增加表!BM31</f>
        <v>51115643.6000003</v>
      </c>
      <c r="BN34" s="58">
        <f>股权价值增加表!BN31</f>
        <v>-89563928.879999965</v>
      </c>
      <c r="BO34" s="58">
        <f>股权价值增加表!BO31</f>
        <v>-66945651.919999987</v>
      </c>
      <c r="BP34" s="58">
        <f>股权价值增加表!BP31</f>
        <v>-36931058.579999991</v>
      </c>
      <c r="BQ34" s="58">
        <f>股权价值增加表!BQ31</f>
        <v>-55077842.469999976</v>
      </c>
      <c r="BR34" s="58">
        <f>股权价值增加表!BR31</f>
        <v>-361234.4099999927</v>
      </c>
      <c r="BS34" s="58">
        <f>股权价值增加表!BS31</f>
        <v>13148926.850000165</v>
      </c>
      <c r="BT34" s="58">
        <f>股权价值增加表!BT31</f>
        <v>-30221766.339999944</v>
      </c>
      <c r="BU34" s="58">
        <f>股权价值增加表!BU31</f>
        <v>-41688658.670000203</v>
      </c>
      <c r="BV34" s="58">
        <f>股权价值增加表!BV31</f>
        <v>-63652408.539999999</v>
      </c>
      <c r="BW34" s="58">
        <f>股权价值增加表!BW31</f>
        <v>89580562.179999843</v>
      </c>
      <c r="BX34" s="58">
        <f>股权价值增加表!BX31</f>
        <v>118904250.81999996</v>
      </c>
      <c r="BY34" s="58">
        <f>股权价值增加表!BY31</f>
        <v>170184071.54000008</v>
      </c>
      <c r="BZ34" s="58">
        <f>股权价值增加表!BZ31</f>
        <v>636022622.80999994</v>
      </c>
      <c r="CA34" s="58">
        <f>股权价值增加表!CA31</f>
        <v>173499119.48000002</v>
      </c>
      <c r="CB34" s="58">
        <f>股权价值增加表!CB31</f>
        <v>147295456.78</v>
      </c>
      <c r="CC34" s="58">
        <f>股权价值增加表!CC31</f>
        <v>97701360.919999972</v>
      </c>
      <c r="CD34" s="58">
        <f>股权价值增加表!CD31</f>
        <v>111177459.03999999</v>
      </c>
      <c r="CE34" s="58">
        <f>股权价值增加表!CE31</f>
        <v>53932847.519999996</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677</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25569</v>
      </c>
      <c r="CG38" s="1"/>
      <c r="CH38" s="1"/>
      <c r="CI38" s="1"/>
      <c r="CJ38" s="1"/>
      <c r="CK38" s="1"/>
    </row>
    <row r="39" spans="1:89" x14ac:dyDescent="0.25">
      <c r="A39" s="17" t="s">
        <v>377</v>
      </c>
      <c r="E39" s="26">
        <f>股权价值增加表!E31</f>
        <v>11497221148.439999</v>
      </c>
      <c r="F39" s="26">
        <f>股权价值增加表!F31</f>
        <v>9675279945.539999</v>
      </c>
      <c r="G39" s="26">
        <f>股权价值增加表!G31</f>
        <v>5510742097.3399992</v>
      </c>
      <c r="H39" s="26">
        <f>股权价值增加表!H31</f>
        <v>3287547927.3799996</v>
      </c>
      <c r="I39" s="26">
        <f>股权价值增加表!I31</f>
        <v>13999622349.43</v>
      </c>
      <c r="J39" s="26">
        <f>股权价值增加表!J31</f>
        <v>11543156087.460001</v>
      </c>
      <c r="K39" s="26">
        <f>股权价值增加表!K31</f>
        <v>6302523358.8400002</v>
      </c>
      <c r="L39" s="26">
        <f>股权价值增加表!L31</f>
        <v>3913460130.4000001</v>
      </c>
      <c r="M39" s="26">
        <f>股权价值增加表!M31</f>
        <v>16882268894.469999</v>
      </c>
      <c r="N39" s="26">
        <f>股权价值增加表!N31</f>
        <v>13756349068.630001</v>
      </c>
      <c r="O39" s="26">
        <f>股权价值增加表!O31</f>
        <v>8108129365.7199984</v>
      </c>
      <c r="P39" s="26">
        <f>股权价值增加表!P31</f>
        <v>4106350823.27</v>
      </c>
      <c r="Q39" s="26">
        <f>股权价值增加表!Q31</f>
        <v>17123092596.619999</v>
      </c>
      <c r="R39" s="26">
        <f>股权价值增加表!R31</f>
        <v>13490806016.129999</v>
      </c>
      <c r="S39" s="26">
        <f>股权价值增加表!S31</f>
        <v>6618396397.7000008</v>
      </c>
      <c r="T39" s="26">
        <f>股权价值增加表!T31</f>
        <v>3104577315.9500003</v>
      </c>
      <c r="U39" s="26">
        <f>股权价值增加表!U31</f>
        <v>11064034065.85</v>
      </c>
      <c r="V39" s="26">
        <f>股权价值增加表!V31</f>
        <v>7886413802.3400011</v>
      </c>
      <c r="W39" s="26">
        <f>股权价值增加表!W31</f>
        <v>4204185650.6500001</v>
      </c>
      <c r="X39" s="26">
        <f>股权价值增加表!X31</f>
        <v>1879403120.4800003</v>
      </c>
      <c r="Y39" s="26">
        <f>股权价值增加表!Y31</f>
        <v>5417954517.340003</v>
      </c>
      <c r="Z39" s="26">
        <f>股权价值增加表!Z31</f>
        <v>3770712243.519999</v>
      </c>
      <c r="AA39" s="26">
        <f>股权价值增加表!AA31</f>
        <v>1588781898.3800004</v>
      </c>
      <c r="AB39" s="26">
        <f>股权价值增加表!AB31</f>
        <v>595557086.67000043</v>
      </c>
      <c r="AC39" s="26">
        <f>股权价值增加表!AC31</f>
        <v>3351496550.4500027</v>
      </c>
      <c r="AD39" s="26">
        <f>股权价值增加表!AD31</f>
        <v>2575435767.0199995</v>
      </c>
      <c r="AE39" s="26">
        <f>股权价值增加表!AE31</f>
        <v>1408195273.8499992</v>
      </c>
      <c r="AF39" s="26">
        <f>股权价值增加表!AF31</f>
        <v>605213165.37000036</v>
      </c>
      <c r="AG39" s="26">
        <f>股权价值增加表!AG31</f>
        <v>3281157246.1500006</v>
      </c>
      <c r="AH39" s="26">
        <f>股权价值增加表!AH31</f>
        <v>2379733714.5899997</v>
      </c>
      <c r="AI39" s="26">
        <f>股权价值增加表!AI31</f>
        <v>1151481310.9800003</v>
      </c>
      <c r="AJ39" s="26">
        <f>股权价值增加表!AJ31</f>
        <v>561826086.71999967</v>
      </c>
      <c r="AK39" s="26">
        <f>股权价值增加表!AK31</f>
        <v>2951420177.9900007</v>
      </c>
      <c r="AL39" s="26">
        <f>股权价值增加表!AL31</f>
        <v>770820604.79000032</v>
      </c>
      <c r="AM39" s="26">
        <f>股权价值增加表!AM31</f>
        <v>492145768.36000025</v>
      </c>
      <c r="AN39" s="26">
        <f>股权价值增加表!AN31</f>
        <v>232152946.96000001</v>
      </c>
      <c r="AO39" s="26">
        <f>股权价值增加表!AO31</f>
        <v>910733120.70000076</v>
      </c>
      <c r="AP39" s="26">
        <f>股权价值增加表!AP31</f>
        <v>712029448.03000009</v>
      </c>
      <c r="AQ39" s="26">
        <f>股权价值增加表!AQ31</f>
        <v>511706156.87000018</v>
      </c>
      <c r="AR39" s="26">
        <f>股权价值增加表!AR31</f>
        <v>264834480.0200001</v>
      </c>
      <c r="AS39" s="26">
        <f>股权价值增加表!AS31</f>
        <v>1658418749.1399999</v>
      </c>
      <c r="AT39" s="26">
        <f>股权价值增加表!AT31</f>
        <v>1258828010.2500005</v>
      </c>
      <c r="AU39" s="26">
        <f>股权价值增加表!AU31</f>
        <v>901897564.38000011</v>
      </c>
      <c r="AV39" s="26">
        <f>股权价值增加表!AV31</f>
        <v>457309827.28000009</v>
      </c>
      <c r="AW39" s="26">
        <f>股权价值增加表!AW31</f>
        <v>1149528453.9300001</v>
      </c>
      <c r="AX39" s="26">
        <f>股权价值增加表!AX31</f>
        <v>756502803.57000005</v>
      </c>
      <c r="AY39" s="26">
        <f>股权价值增加表!AY31</f>
        <v>482800935.85999978</v>
      </c>
      <c r="AZ39" s="26">
        <f>股权价值增加表!AZ31</f>
        <v>211855590.26999995</v>
      </c>
      <c r="BA39" s="26">
        <f>股权价值增加表!BA31</f>
        <v>997582531.44000018</v>
      </c>
      <c r="BB39" s="26">
        <f>股权价值增加表!BB31</f>
        <v>847141711.10000014</v>
      </c>
      <c r="BC39" s="26">
        <f>股权价值增加表!BC31</f>
        <v>555230461.95000005</v>
      </c>
      <c r="BD39" s="26">
        <f>股权价值增加表!BD31</f>
        <v>295880910.43000001</v>
      </c>
      <c r="BE39" s="26">
        <f>股权价值增加表!BE31</f>
        <v>848890340.85000002</v>
      </c>
      <c r="BF39" s="26">
        <f>股权价值增加表!BF31</f>
        <v>615334777.30999994</v>
      </c>
      <c r="BG39" s="26">
        <f>股权价值增加表!BG31</f>
        <v>411093115.29999995</v>
      </c>
      <c r="BH39" s="26">
        <f>股权价值增加表!BH31</f>
        <v>142682331.34</v>
      </c>
      <c r="BI39" s="26">
        <f>股权价值增加表!BI31</f>
        <v>528666017.49000001</v>
      </c>
      <c r="BJ39" s="26">
        <f>股权价值增加表!BJ31</f>
        <v>358788000.73999989</v>
      </c>
      <c r="BK39" s="26">
        <f>股权价值增加表!BK31</f>
        <v>235724074.42000008</v>
      </c>
      <c r="BL39" s="26">
        <f>股权价值增加表!BL31</f>
        <v>121454782.81999998</v>
      </c>
      <c r="BM39" s="26">
        <f>股权价值增加表!BM31</f>
        <v>51115643.6000003</v>
      </c>
      <c r="BN39" s="26">
        <f>股权价值增加表!BN31</f>
        <v>-89563928.879999965</v>
      </c>
      <c r="BO39" s="26">
        <f>股权价值增加表!BO31</f>
        <v>-66945651.919999987</v>
      </c>
      <c r="BP39" s="26">
        <f>股权价值增加表!BP31</f>
        <v>-36931058.579999991</v>
      </c>
      <c r="BQ39" s="26">
        <f>股权价值增加表!BQ31</f>
        <v>-55077842.469999976</v>
      </c>
      <c r="BR39" s="26">
        <f>股权价值增加表!BR31</f>
        <v>-361234.4099999927</v>
      </c>
      <c r="BS39" s="26">
        <f>股权价值增加表!BS31</f>
        <v>13148926.850000165</v>
      </c>
      <c r="BT39" s="26">
        <f>股权价值增加表!BT31</f>
        <v>-30221766.339999944</v>
      </c>
      <c r="BU39" s="26">
        <f>股权价值增加表!BU31</f>
        <v>-41688658.670000203</v>
      </c>
      <c r="BV39" s="26">
        <f>股权价值增加表!BV31</f>
        <v>-63652408.539999999</v>
      </c>
      <c r="BW39" s="26">
        <f>股权价值增加表!BW31</f>
        <v>89580562.179999843</v>
      </c>
      <c r="BX39" s="26">
        <f>股权价值增加表!BX31</f>
        <v>118904250.81999996</v>
      </c>
      <c r="BY39" s="26">
        <f>股权价值增加表!BY31</f>
        <v>170184071.54000008</v>
      </c>
      <c r="BZ39" s="26">
        <f>股权价值增加表!BZ31</f>
        <v>636022622.80999994</v>
      </c>
      <c r="CA39" s="26">
        <f>股权价值增加表!CA31</f>
        <v>173499119.48000002</v>
      </c>
      <c r="CB39" s="26">
        <f>股权价值增加表!CB31</f>
        <v>147295456.78</v>
      </c>
      <c r="CC39" s="26">
        <f>股权价值增加表!CC31</f>
        <v>97701360.919999972</v>
      </c>
      <c r="CD39" s="26">
        <f>股权价值增加表!CD31</f>
        <v>111177459.03999999</v>
      </c>
      <c r="CE39" s="26">
        <f>股权价值增加表!CE31</f>
        <v>53932847.519999996</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6568307369.579998</v>
      </c>
      <c r="F40" s="26">
        <f>股权价值增加表!F38</f>
        <v>6133535724.9399986</v>
      </c>
      <c r="G40" s="26">
        <f>股权价值增加表!G38</f>
        <v>3154990000.0899992</v>
      </c>
      <c r="H40" s="26">
        <f>股权价值增加表!H38</f>
        <v>2094678778.0499997</v>
      </c>
      <c r="I40" s="26">
        <f>股权价值增加表!I38</f>
        <v>8900618873.5699997</v>
      </c>
      <c r="J40" s="26">
        <f>股权价值增加表!J38</f>
        <v>7754405942.2600012</v>
      </c>
      <c r="K40" s="26">
        <f>股权价值增加表!K38</f>
        <v>3746481214.8600001</v>
      </c>
      <c r="L40" s="26">
        <f>股权价值增加表!L38</f>
        <v>2615084378.3800001</v>
      </c>
      <c r="M40" s="26">
        <f>股权价值增加表!M38</f>
        <v>10880747521.529999</v>
      </c>
      <c r="N40" s="26">
        <f>股权价值增加表!N38</f>
        <v>9238118363.8300018</v>
      </c>
      <c r="O40" s="26">
        <f>股权价值增加表!O38</f>
        <v>5076360070.2099981</v>
      </c>
      <c r="P40" s="26">
        <f>股权价值增加表!P38</f>
        <v>2555659326.73</v>
      </c>
      <c r="Q40" s="26">
        <f>股权价值增加表!Q38</f>
        <v>10874547662.599998</v>
      </c>
      <c r="R40" s="26">
        <f>股权价值增加表!R38</f>
        <v>9078195534.3799992</v>
      </c>
      <c r="S40" s="26">
        <f>股权价值增加表!S38</f>
        <v>3832894627.9500008</v>
      </c>
      <c r="T40" s="26">
        <f>股权价值增加表!T38</f>
        <v>1726160784.6100004</v>
      </c>
      <c r="U40" s="26">
        <f>股权价值增加表!U38</f>
        <v>6624076833.4700003</v>
      </c>
      <c r="V40" s="26">
        <f>股权价值增加表!V38</f>
        <v>4845622437.1600018</v>
      </c>
      <c r="W40" s="26">
        <f>股权价值增加表!W38</f>
        <v>2281951605.5300002</v>
      </c>
      <c r="X40" s="26">
        <f>股权价值增加表!X38</f>
        <v>940059626.99000025</v>
      </c>
      <c r="Y40" s="26">
        <f>股权价值增加表!Y38</f>
        <v>2300142232.5100031</v>
      </c>
      <c r="Z40" s="26">
        <f>股权价值增加表!Z38</f>
        <v>1586004007.9599991</v>
      </c>
      <c r="AA40" s="26">
        <f>股权价值增加表!AA38</f>
        <v>225969039.52000046</v>
      </c>
      <c r="AB40" s="26">
        <f>股权价值增加表!AB38</f>
        <v>-42262334.669999599</v>
      </c>
      <c r="AC40" s="26">
        <f>股权价值增加表!AC38</f>
        <v>1156190953.5300026</v>
      </c>
      <c r="AD40" s="26">
        <f>股权价值增加表!AD38</f>
        <v>1001179033.4399996</v>
      </c>
      <c r="AE40" s="26">
        <f>股权价值增加表!AE38</f>
        <v>356942300.40999913</v>
      </c>
      <c r="AF40" s="26">
        <f>股权价值增加表!AF38</f>
        <v>65408698.010000348</v>
      </c>
      <c r="AG40" s="26">
        <f>股权价值增加表!AG38</f>
        <v>1517061848.6500006</v>
      </c>
      <c r="AH40" s="26">
        <f>股权价值增加表!AH38</f>
        <v>1073433374.6699996</v>
      </c>
      <c r="AI40" s="26">
        <f>股权价值增加表!AI38</f>
        <v>301179444.28000021</v>
      </c>
      <c r="AJ40" s="26">
        <f>股权价值增加表!AJ38</f>
        <v>115467226.39999968</v>
      </c>
      <c r="AK40" s="26">
        <f>股权价值增加表!AK38</f>
        <v>1256247055.8300006</v>
      </c>
      <c r="AL40" s="26">
        <f>股权价值增加表!AL38</f>
        <v>327724190.95000035</v>
      </c>
      <c r="AM40" s="26">
        <f>股权价值增加表!AM38</f>
        <v>188554229.67000026</v>
      </c>
      <c r="AN40" s="26">
        <f>股权价值增加表!AN38</f>
        <v>80051915.200000018</v>
      </c>
      <c r="AO40" s="26">
        <f>股权价值增加表!AO38</f>
        <v>278811278.05000079</v>
      </c>
      <c r="AP40" s="26">
        <f>股权价值增加表!AP38</f>
        <v>243480291.76000011</v>
      </c>
      <c r="AQ40" s="26">
        <f>股权价值增加表!AQ38</f>
        <v>209682028.55000019</v>
      </c>
      <c r="AR40" s="26">
        <f>股权价值增加表!AR38</f>
        <v>117415720.23000011</v>
      </c>
      <c r="AS40" s="26">
        <f>股权价值增加表!AS38</f>
        <v>1059408508.1999998</v>
      </c>
      <c r="AT40" s="26">
        <f>股权价值增加表!AT38</f>
        <v>827965756.59000039</v>
      </c>
      <c r="AU40" s="26">
        <f>股权价值增加表!AU38</f>
        <v>622085498.20000005</v>
      </c>
      <c r="AV40" s="26">
        <f>股权价值增加表!AV38</f>
        <v>324207864.26000011</v>
      </c>
      <c r="AW40" s="26">
        <f>股权价值增加表!AW38</f>
        <v>812807570.38000011</v>
      </c>
      <c r="AX40" s="26">
        <f>股权价值增加表!AX38</f>
        <v>556335367.5</v>
      </c>
      <c r="AY40" s="26">
        <f>股权价值增加表!AY38</f>
        <v>346034884.71999979</v>
      </c>
      <c r="AZ40" s="26">
        <f>股权价值增加表!AZ38</f>
        <v>135385518.79999995</v>
      </c>
      <c r="BA40" s="26">
        <f>股权价值增加表!BA38</f>
        <v>704127960.46000016</v>
      </c>
      <c r="BB40" s="26">
        <f>股权价值增加表!BB38</f>
        <v>620053629.80000019</v>
      </c>
      <c r="BC40" s="26">
        <f>股权价值增加表!BC38</f>
        <v>404729528.06000006</v>
      </c>
      <c r="BD40" s="26">
        <f>股权价值增加表!BD38</f>
        <v>221571362.50999999</v>
      </c>
      <c r="BE40" s="26">
        <f>股权价值增加表!BE38</f>
        <v>616183679.61000001</v>
      </c>
      <c r="BF40" s="26">
        <f>股权价值增加表!BF38</f>
        <v>455201005.48999995</v>
      </c>
      <c r="BG40" s="26">
        <f>股权价值增加表!BG38</f>
        <v>324334054.92999995</v>
      </c>
      <c r="BH40" s="26">
        <f>股权价值增加表!BH38</f>
        <v>115674465.93000001</v>
      </c>
      <c r="BI40" s="26">
        <f>股权价值增加表!BI38</f>
        <v>392472598.89999998</v>
      </c>
      <c r="BJ40" s="26">
        <f>股权价值增加表!BJ38</f>
        <v>252081578.94999987</v>
      </c>
      <c r="BK40" s="26">
        <f>股权价值增加表!BK38</f>
        <v>159779184.82000008</v>
      </c>
      <c r="BL40" s="26">
        <f>股权价值增加表!BL38</f>
        <v>84979507.229999974</v>
      </c>
      <c r="BM40" s="26">
        <f>股权价值增加表!BM38</f>
        <v>10423165.750000298</v>
      </c>
      <c r="BN40" s="26">
        <f>股权价值增加表!BN38</f>
        <v>-89311536.409999967</v>
      </c>
      <c r="BO40" s="26">
        <f>股权价值增加表!BO38</f>
        <v>-66766287.609999985</v>
      </c>
      <c r="BP40" s="26">
        <f>股权价值增加表!BP38</f>
        <v>-36816950.089999989</v>
      </c>
      <c r="BQ40" s="26">
        <f>股权价值增加表!BQ38</f>
        <v>-56412568.379999973</v>
      </c>
      <c r="BR40" s="26">
        <f>股权价值增加表!BR38</f>
        <v>-1665814.9699999928</v>
      </c>
      <c r="BS40" s="26">
        <f>股权价值增加表!BS38</f>
        <v>6416326.6100001652</v>
      </c>
      <c r="BT40" s="26">
        <f>股权价值增加表!BT38</f>
        <v>-34818332.969999947</v>
      </c>
      <c r="BU40" s="26">
        <f>股权价值增加表!BU38</f>
        <v>-51582165.800000206</v>
      </c>
      <c r="BV40" s="26">
        <f>股权价值增加表!BV38</f>
        <v>-68450014.060000002</v>
      </c>
      <c r="BW40" s="26">
        <f>股权价值增加表!BW38</f>
        <v>86154246.179999843</v>
      </c>
      <c r="BX40" s="26">
        <f>股权价值增加表!BX38</f>
        <v>117539076.07999997</v>
      </c>
      <c r="BY40" s="26">
        <f>股权价值增加表!BY38</f>
        <v>167346630.32000008</v>
      </c>
      <c r="BZ40" s="26">
        <f>股权价值增加表!BZ38</f>
        <v>636022622.80999994</v>
      </c>
      <c r="CA40" s="26">
        <f>股权价值增加表!CA38</f>
        <v>168590748.87</v>
      </c>
      <c r="CB40" s="26">
        <f>股权价值增加表!CB38</f>
        <v>147295456.78</v>
      </c>
      <c r="CC40" s="26">
        <f>股权价值增加表!CC38</f>
        <v>102247561.20999998</v>
      </c>
      <c r="CD40" s="26">
        <f>股权价值增加表!CD38</f>
        <v>111177459.03999999</v>
      </c>
      <c r="CE40" s="26">
        <f>股权价值增加表!CE38</f>
        <v>56221027.569999993</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0.42870479007258033</v>
      </c>
      <c r="F41" s="59">
        <f t="shared" ref="F41:BQ41" si="34">1-F40/F39</f>
        <v>0.36606116210959183</v>
      </c>
      <c r="G41" s="59">
        <f t="shared" si="34"/>
        <v>0.42748364115735094</v>
      </c>
      <c r="H41" s="59">
        <f t="shared" si="34"/>
        <v>0.36284464156258034</v>
      </c>
      <c r="I41" s="59">
        <f t="shared" si="34"/>
        <v>0.36422435895691208</v>
      </c>
      <c r="J41" s="59">
        <f t="shared" si="34"/>
        <v>0.32822480407381294</v>
      </c>
      <c r="K41" s="59">
        <f t="shared" si="34"/>
        <v>0.40555853559747024</v>
      </c>
      <c r="L41" s="59">
        <f t="shared" si="34"/>
        <v>0.33177181030519176</v>
      </c>
      <c r="M41" s="59">
        <f t="shared" si="34"/>
        <v>0.35549258280715301</v>
      </c>
      <c r="N41" s="59">
        <f t="shared" si="34"/>
        <v>0.32844693619351217</v>
      </c>
      <c r="O41" s="59">
        <f t="shared" si="34"/>
        <v>0.37391723278711897</v>
      </c>
      <c r="P41" s="59">
        <f t="shared" si="34"/>
        <v>0.37763249251683317</v>
      </c>
      <c r="Q41" s="59">
        <f t="shared" si="34"/>
        <v>0.36491918143650215</v>
      </c>
      <c r="R41" s="59">
        <f t="shared" si="34"/>
        <v>0.32708279078908664</v>
      </c>
      <c r="S41" s="59">
        <f t="shared" si="34"/>
        <v>0.42087261057950631</v>
      </c>
      <c r="T41" s="59">
        <f t="shared" si="34"/>
        <v>0.44399491172543226</v>
      </c>
      <c r="U41" s="59">
        <f t="shared" si="34"/>
        <v>0.4012964173785647</v>
      </c>
      <c r="V41" s="59">
        <f t="shared" si="34"/>
        <v>0.38557339766748699</v>
      </c>
      <c r="W41" s="59">
        <f t="shared" si="34"/>
        <v>0.45721911562654405</v>
      </c>
      <c r="X41" s="59">
        <f t="shared" si="34"/>
        <v>0.49980947847425694</v>
      </c>
      <c r="Y41" s="59">
        <f t="shared" si="34"/>
        <v>0.57545929461968237</v>
      </c>
      <c r="Z41" s="59">
        <f t="shared" si="34"/>
        <v>0.5793887452733737</v>
      </c>
      <c r="AA41" s="59">
        <f t="shared" si="34"/>
        <v>0.85777214622698716</v>
      </c>
      <c r="AB41" s="59">
        <f t="shared" si="34"/>
        <v>1.0709626929406639</v>
      </c>
      <c r="AC41" s="59">
        <f t="shared" si="34"/>
        <v>0.65502248439588517</v>
      </c>
      <c r="AD41" s="59">
        <f t="shared" si="34"/>
        <v>0.61125839507989377</v>
      </c>
      <c r="AE41" s="59">
        <f t="shared" si="34"/>
        <v>0.7465249976062478</v>
      </c>
      <c r="AF41" s="59">
        <f t="shared" si="34"/>
        <v>0.8919245288228117</v>
      </c>
      <c r="AG41" s="59">
        <f t="shared" si="34"/>
        <v>0.53764427156605499</v>
      </c>
      <c r="AH41" s="59">
        <f t="shared" si="34"/>
        <v>0.54892710554594992</v>
      </c>
      <c r="AI41" s="59">
        <f t="shared" si="34"/>
        <v>0.73844174333696033</v>
      </c>
      <c r="AJ41" s="59">
        <f t="shared" si="34"/>
        <v>0.79447870234344298</v>
      </c>
      <c r="AK41" s="59">
        <f t="shared" si="34"/>
        <v>0.57435845116247064</v>
      </c>
      <c r="AL41" s="59">
        <f t="shared" si="34"/>
        <v>0.57483727223497816</v>
      </c>
      <c r="AM41" s="59">
        <f t="shared" si="34"/>
        <v>0.61687320750856378</v>
      </c>
      <c r="AN41" s="59">
        <f t="shared" si="34"/>
        <v>0.65517596804923195</v>
      </c>
      <c r="AO41" s="59">
        <f t="shared" si="34"/>
        <v>0.69386061436340096</v>
      </c>
      <c r="AP41" s="59">
        <f t="shared" si="34"/>
        <v>0.65804744110844493</v>
      </c>
      <c r="AQ41" s="59">
        <f t="shared" si="34"/>
        <v>0.59022961569862398</v>
      </c>
      <c r="AR41" s="59">
        <f t="shared" si="34"/>
        <v>0.55664488921105382</v>
      </c>
      <c r="AS41" s="59">
        <f t="shared" si="34"/>
        <v>0.36119360158622582</v>
      </c>
      <c r="AT41" s="59">
        <f t="shared" si="34"/>
        <v>0.3422725345731954</v>
      </c>
      <c r="AU41" s="59">
        <f t="shared" si="34"/>
        <v>0.31024816701035651</v>
      </c>
      <c r="AV41" s="59">
        <f t="shared" si="34"/>
        <v>0.2910542373682794</v>
      </c>
      <c r="AW41" s="59">
        <f t="shared" si="34"/>
        <v>0.29292087759882834</v>
      </c>
      <c r="AX41" s="59">
        <f t="shared" si="34"/>
        <v>0.26459576240219229</v>
      </c>
      <c r="AY41" s="59">
        <f t="shared" si="34"/>
        <v>0.28327627595912264</v>
      </c>
      <c r="AZ41" s="59">
        <f t="shared" si="34"/>
        <v>0.3609537580412322</v>
      </c>
      <c r="BA41" s="59">
        <f t="shared" si="34"/>
        <v>0.29416570732889769</v>
      </c>
      <c r="BB41" s="59">
        <f t="shared" si="34"/>
        <v>0.26806386502339696</v>
      </c>
      <c r="BC41" s="59">
        <f t="shared" si="34"/>
        <v>0.27106029694666323</v>
      </c>
      <c r="BD41" s="59">
        <f t="shared" si="34"/>
        <v>0.25114681380426629</v>
      </c>
      <c r="BE41" s="59">
        <f t="shared" si="34"/>
        <v>0.2741304147800635</v>
      </c>
      <c r="BF41" s="59">
        <f t="shared" si="34"/>
        <v>0.26023845510575794</v>
      </c>
      <c r="BG41" s="59">
        <f t="shared" si="34"/>
        <v>0.21104479044044944</v>
      </c>
      <c r="BH41" s="59">
        <f t="shared" si="34"/>
        <v>0.18928668431722306</v>
      </c>
      <c r="BI41" s="59">
        <f t="shared" si="34"/>
        <v>0.25761712325792951</v>
      </c>
      <c r="BJ41" s="59">
        <f t="shared" si="34"/>
        <v>0.29740800018372449</v>
      </c>
      <c r="BK41" s="59">
        <f t="shared" si="34"/>
        <v>0.32217706140903368</v>
      </c>
      <c r="BL41" s="59">
        <f t="shared" si="34"/>
        <v>0.30031979591991509</v>
      </c>
      <c r="BM41" s="59">
        <f t="shared" si="34"/>
        <v>0.7960865790605004</v>
      </c>
      <c r="BN41" s="59">
        <f t="shared" si="34"/>
        <v>2.8180147203922257E-3</v>
      </c>
      <c r="BO41" s="59">
        <f t="shared" si="34"/>
        <v>2.6792525706426096E-3</v>
      </c>
      <c r="BP41" s="59">
        <f t="shared" si="34"/>
        <v>3.0897703555619049E-3</v>
      </c>
      <c r="BQ41" s="59">
        <f t="shared" si="34"/>
        <v>-2.423344579495823E-2</v>
      </c>
      <c r="BR41" s="59">
        <f t="shared" ref="BR41:CK41" si="35">1-BR40/BR39</f>
        <v>-3.6114515225723549</v>
      </c>
      <c r="BS41" s="59">
        <f t="shared" si="35"/>
        <v>0.51202659477871504</v>
      </c>
      <c r="BT41" s="59">
        <f t="shared" si="35"/>
        <v>-0.15209457244450419</v>
      </c>
      <c r="BU41" s="59">
        <f t="shared" si="35"/>
        <v>-0.23731891228056035</v>
      </c>
      <c r="BV41" s="59">
        <f t="shared" si="35"/>
        <v>-7.5371940041909502E-2</v>
      </c>
      <c r="BW41" s="59">
        <f t="shared" si="35"/>
        <v>3.8248431541602623E-2</v>
      </c>
      <c r="BX41" s="59">
        <f t="shared" si="35"/>
        <v>1.1481294660075969E-2</v>
      </c>
      <c r="BY41" s="59">
        <f t="shared" si="35"/>
        <v>1.6672777859431331E-2</v>
      </c>
      <c r="BZ41" s="59">
        <f t="shared" si="35"/>
        <v>0</v>
      </c>
      <c r="CA41" s="59">
        <f t="shared" si="35"/>
        <v>2.829046409406033E-2</v>
      </c>
      <c r="CB41" s="59">
        <f t="shared" si="35"/>
        <v>0</v>
      </c>
      <c r="CC41" s="59">
        <f t="shared" si="35"/>
        <v>-4.6531596358443172E-2</v>
      </c>
      <c r="CD41" s="59">
        <f t="shared" si="35"/>
        <v>0</v>
      </c>
      <c r="CE41" s="59">
        <f t="shared" si="35"/>
        <v>-4.2426464672599806E-2</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2.3326074799180541</v>
      </c>
      <c r="F42" s="29">
        <f t="shared" ref="F42:BQ42" si="36">F39/(F39-F40)</f>
        <v>2.7317839298685795</v>
      </c>
      <c r="G42" s="29">
        <f t="shared" si="36"/>
        <v>2.3392708017847013</v>
      </c>
      <c r="H42" s="29">
        <f t="shared" si="36"/>
        <v>2.7560004626044021</v>
      </c>
      <c r="I42" s="29">
        <f t="shared" si="36"/>
        <v>2.7455604640608362</v>
      </c>
      <c r="J42" s="29">
        <f t="shared" si="36"/>
        <v>3.046692351060448</v>
      </c>
      <c r="K42" s="29">
        <f t="shared" si="36"/>
        <v>2.4657353063147753</v>
      </c>
      <c r="L42" s="29">
        <f t="shared" si="36"/>
        <v>3.0141198526786086</v>
      </c>
      <c r="M42" s="29">
        <f t="shared" si="36"/>
        <v>2.8129982125182007</v>
      </c>
      <c r="N42" s="29">
        <f t="shared" si="36"/>
        <v>3.0446318409584023</v>
      </c>
      <c r="O42" s="29">
        <f t="shared" si="36"/>
        <v>2.6743886408929605</v>
      </c>
      <c r="P42" s="29">
        <f t="shared" si="36"/>
        <v>2.6480772174428937</v>
      </c>
      <c r="Q42" s="29">
        <f t="shared" si="36"/>
        <v>2.740332793862756</v>
      </c>
      <c r="R42" s="29">
        <f t="shared" si="36"/>
        <v>3.0573299120614137</v>
      </c>
      <c r="S42" s="29">
        <f t="shared" si="36"/>
        <v>2.3760158652830454</v>
      </c>
      <c r="T42" s="29">
        <f t="shared" si="36"/>
        <v>2.2522780635342117</v>
      </c>
      <c r="U42" s="29">
        <f t="shared" si="36"/>
        <v>2.4919235674527482</v>
      </c>
      <c r="V42" s="29">
        <f t="shared" si="36"/>
        <v>2.5935399227474343</v>
      </c>
      <c r="W42" s="29">
        <f t="shared" si="36"/>
        <v>2.1871351521024298</v>
      </c>
      <c r="X42" s="29">
        <f t="shared" si="36"/>
        <v>2.000762376601279</v>
      </c>
      <c r="Y42" s="29">
        <f t="shared" si="36"/>
        <v>1.7377423726571208</v>
      </c>
      <c r="Z42" s="29">
        <f t="shared" si="36"/>
        <v>1.7259568953624891</v>
      </c>
      <c r="AA42" s="29">
        <f t="shared" si="36"/>
        <v>1.1658107626816969</v>
      </c>
      <c r="AB42" s="29">
        <f t="shared" si="36"/>
        <v>0.93373934180114759</v>
      </c>
      <c r="AC42" s="29">
        <f t="shared" si="36"/>
        <v>1.5266651509257441</v>
      </c>
      <c r="AD42" s="29">
        <f t="shared" si="36"/>
        <v>1.6359693511764306</v>
      </c>
      <c r="AE42" s="29">
        <f t="shared" si="36"/>
        <v>1.3395398723505931</v>
      </c>
      <c r="AF42" s="29">
        <f t="shared" si="36"/>
        <v>1.1211710942851068</v>
      </c>
      <c r="AG42" s="29">
        <f t="shared" si="36"/>
        <v>1.8599658787160349</v>
      </c>
      <c r="AH42" s="29">
        <f t="shared" si="36"/>
        <v>1.8217355089532767</v>
      </c>
      <c r="AI42" s="29">
        <f t="shared" si="36"/>
        <v>1.354202967293098</v>
      </c>
      <c r="AJ42" s="29">
        <f t="shared" si="36"/>
        <v>1.258686981854062</v>
      </c>
      <c r="AK42" s="29">
        <f t="shared" si="36"/>
        <v>1.7410730145539843</v>
      </c>
      <c r="AL42" s="29">
        <f t="shared" si="36"/>
        <v>1.7396227563880489</v>
      </c>
      <c r="AM42" s="29">
        <f t="shared" si="36"/>
        <v>1.6210786719669901</v>
      </c>
      <c r="AN42" s="29">
        <f t="shared" si="36"/>
        <v>1.5263075093817497</v>
      </c>
      <c r="AO42" s="29">
        <f t="shared" si="36"/>
        <v>1.4412116487076787</v>
      </c>
      <c r="AP42" s="29">
        <f t="shared" si="36"/>
        <v>1.5196472739344671</v>
      </c>
      <c r="AQ42" s="29">
        <f t="shared" si="36"/>
        <v>1.6942558851716585</v>
      </c>
      <c r="AR42" s="29">
        <f t="shared" si="36"/>
        <v>1.7964774659430074</v>
      </c>
      <c r="AS42" s="29">
        <f t="shared" si="36"/>
        <v>2.7685983240245062</v>
      </c>
      <c r="AT42" s="29">
        <f t="shared" si="36"/>
        <v>2.9216483912358697</v>
      </c>
      <c r="AU42" s="29">
        <f t="shared" si="36"/>
        <v>3.2232261342147384</v>
      </c>
      <c r="AV42" s="29">
        <f t="shared" si="36"/>
        <v>3.4357857457841132</v>
      </c>
      <c r="AW42" s="29">
        <f t="shared" si="36"/>
        <v>3.4138911783869372</v>
      </c>
      <c r="AX42" s="29">
        <f t="shared" si="36"/>
        <v>3.779350020277251</v>
      </c>
      <c r="AY42" s="29">
        <f t="shared" si="36"/>
        <v>3.5301226571627975</v>
      </c>
      <c r="AZ42" s="29">
        <f t="shared" si="36"/>
        <v>2.7704379791656542</v>
      </c>
      <c r="BA42" s="29">
        <f t="shared" si="36"/>
        <v>3.399444514047079</v>
      </c>
      <c r="BB42" s="29">
        <f t="shared" si="36"/>
        <v>3.7304543076431389</v>
      </c>
      <c r="BC42" s="29">
        <f t="shared" si="36"/>
        <v>3.6892160573290123</v>
      </c>
      <c r="BD42" s="29">
        <f t="shared" si="36"/>
        <v>3.9817347664197706</v>
      </c>
      <c r="BE42" s="29">
        <f t="shared" si="36"/>
        <v>3.6478987594364747</v>
      </c>
      <c r="BF42" s="29">
        <f t="shared" si="36"/>
        <v>3.8426296359375915</v>
      </c>
      <c r="BG42" s="29">
        <f t="shared" si="36"/>
        <v>4.7383306544217696</v>
      </c>
      <c r="BH42" s="29">
        <f t="shared" si="36"/>
        <v>5.2829917942041469</v>
      </c>
      <c r="BI42" s="29">
        <f t="shared" si="36"/>
        <v>3.8817295502472775</v>
      </c>
      <c r="BJ42" s="29">
        <f t="shared" si="36"/>
        <v>3.3623843319017905</v>
      </c>
      <c r="BK42" s="29">
        <f t="shared" si="36"/>
        <v>3.1038832982910822</v>
      </c>
      <c r="BL42" s="29">
        <f t="shared" si="36"/>
        <v>3.3297838290575603</v>
      </c>
      <c r="BM42" s="29">
        <f t="shared" si="36"/>
        <v>1.256144779101976</v>
      </c>
      <c r="BN42" s="29">
        <f t="shared" si="36"/>
        <v>354.85975029286885</v>
      </c>
      <c r="BO42" s="29">
        <f t="shared" si="36"/>
        <v>373.2384214005512</v>
      </c>
      <c r="BP42" s="29">
        <f t="shared" si="36"/>
        <v>323.64864857995508</v>
      </c>
      <c r="BQ42" s="29">
        <f t="shared" si="36"/>
        <v>-41.265283049761223</v>
      </c>
      <c r="BR42" s="29">
        <f t="shared" ref="BR42:CK42" si="37">BR39/(BR39-BR40)</f>
        <v>-0.27689697445743994</v>
      </c>
      <c r="BS42" s="29">
        <f t="shared" si="37"/>
        <v>1.9530235542397456</v>
      </c>
      <c r="BT42" s="29">
        <f t="shared" si="37"/>
        <v>-6.5748565772449004</v>
      </c>
      <c r="BU42" s="29">
        <f t="shared" si="37"/>
        <v>-4.2137391849234147</v>
      </c>
      <c r="BV42" s="29">
        <f t="shared" si="37"/>
        <v>-13.267536956644147</v>
      </c>
      <c r="BW42" s="29">
        <f t="shared" si="37"/>
        <v>26.144862931498391</v>
      </c>
      <c r="BX42" s="29">
        <f t="shared" si="37"/>
        <v>87.098191415408422</v>
      </c>
      <c r="BY42" s="29">
        <f t="shared" si="37"/>
        <v>59.978007769972464</v>
      </c>
      <c r="BZ42" s="29" t="e">
        <f t="shared" si="37"/>
        <v>#DIV/0!</v>
      </c>
      <c r="CA42" s="29">
        <f t="shared" si="37"/>
        <v>35.347599695614569</v>
      </c>
      <c r="CB42" s="29" t="e">
        <f t="shared" si="37"/>
        <v>#DIV/0!</v>
      </c>
      <c r="CC42" s="29">
        <f t="shared" si="37"/>
        <v>-21.490773544427324</v>
      </c>
      <c r="CD42" s="29" t="e">
        <f t="shared" si="37"/>
        <v>#DIV/0!</v>
      </c>
      <c r="CE42" s="29">
        <f t="shared" si="37"/>
        <v>-23.570193927702526</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699</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25569</v>
      </c>
      <c r="CG46" s="1"/>
      <c r="CH46" s="1"/>
      <c r="CI46" s="1"/>
      <c r="CJ46" s="1"/>
      <c r="CK46" s="1"/>
    </row>
    <row r="47" spans="1:89" s="26" customFormat="1" x14ac:dyDescent="0.25">
      <c r="A47" s="17" t="s">
        <v>425</v>
      </c>
      <c r="E47" s="26">
        <f>股权价值增加表!E42</f>
        <v>5613466691.4999981</v>
      </c>
      <c r="F47" s="26">
        <f>股权价值增加表!F42</f>
        <v>5240741246.2599983</v>
      </c>
      <c r="G47" s="26">
        <f>股权价值增加表!G42</f>
        <v>2636906338.8199992</v>
      </c>
      <c r="H47" s="26">
        <f>股权价值增加表!H42</f>
        <v>1843543760.4699998</v>
      </c>
      <c r="I47" s="26">
        <f>股权价值增加表!I42</f>
        <v>7843128046.6099997</v>
      </c>
      <c r="J47" s="26">
        <f>股权价值增加表!J42</f>
        <v>6763459730.5200014</v>
      </c>
      <c r="K47" s="26">
        <f>股权价值增加表!K42</f>
        <v>3207975423.8100004</v>
      </c>
      <c r="L47" s="26">
        <f>股权价值增加表!L42</f>
        <v>2308556528.71</v>
      </c>
      <c r="M47" s="26">
        <f>股权价值增加表!M42</f>
        <v>10002692872.599998</v>
      </c>
      <c r="N47" s="26">
        <f>股权价值增加表!N42</f>
        <v>8448766677.7000017</v>
      </c>
      <c r="O47" s="26">
        <f>股权价值增加表!O42</f>
        <v>4553648894.3199978</v>
      </c>
      <c r="P47" s="26">
        <f>股权价值增加表!P42</f>
        <v>2290774318.96</v>
      </c>
      <c r="Q47" s="26">
        <f>股权价值增加表!Q42</f>
        <v>10091459224.869999</v>
      </c>
      <c r="R47" s="26">
        <f>股权价值增加表!R42</f>
        <v>8400426619.0999994</v>
      </c>
      <c r="S47" s="26">
        <f>股权价值增加表!S42</f>
        <v>3433494552.5200009</v>
      </c>
      <c r="T47" s="26">
        <f>股权价值增加表!T42</f>
        <v>1508056428.7900004</v>
      </c>
      <c r="U47" s="26">
        <f>股权价值增加表!U42</f>
        <v>5922153001.5</v>
      </c>
      <c r="V47" s="26">
        <f>股权价值增加表!V42</f>
        <v>4360790989.2000017</v>
      </c>
      <c r="W47" s="26">
        <f>股权价值增加表!W42</f>
        <v>2064995157.5100002</v>
      </c>
      <c r="X47" s="26">
        <f>股权价值增加表!X42</f>
        <v>844520094.37000024</v>
      </c>
      <c r="Y47" s="26">
        <f>股权价值增加表!Y42</f>
        <v>1999719133.840003</v>
      </c>
      <c r="Z47" s="26">
        <f>股权价值增加表!Z42</f>
        <v>1365091639.1399992</v>
      </c>
      <c r="AA47" s="26">
        <f>股权价值增加表!AA42</f>
        <v>138486403.91000044</v>
      </c>
      <c r="AB47" s="26">
        <f>股权价值增加表!AB42</f>
        <v>-74529403.999999598</v>
      </c>
      <c r="AC47" s="26">
        <f>股权价值增加表!AC42</f>
        <v>859739537.74000263</v>
      </c>
      <c r="AD47" s="26">
        <f>股权价值增加表!AD42</f>
        <v>737144144.68999958</v>
      </c>
      <c r="AE47" s="26">
        <f>股权价值增加表!AE42</f>
        <v>250670585.74999914</v>
      </c>
      <c r="AF47" s="26">
        <f>股权价值增加表!AF42</f>
        <v>33786881.880000353</v>
      </c>
      <c r="AG47" s="26">
        <f>股权价值增加表!AG42</f>
        <v>1196575529.6400006</v>
      </c>
      <c r="AH47" s="26">
        <f>股权价值增加表!AH42</f>
        <v>879699820.20999956</v>
      </c>
      <c r="AI47" s="26">
        <f>股权价值增加表!AI42</f>
        <v>232870610.18000022</v>
      </c>
      <c r="AJ47" s="26">
        <f>股权价值增加表!AJ42</f>
        <v>89220850.149999678</v>
      </c>
      <c r="AK47" s="26">
        <f>股权价值增加表!AK42</f>
        <v>1023609868.7100006</v>
      </c>
      <c r="AL47" s="26">
        <f>股权价值增加表!AL42</f>
        <v>260318474.49000037</v>
      </c>
      <c r="AM47" s="26">
        <f>股权价值增加表!AM42</f>
        <v>144476104.50000024</v>
      </c>
      <c r="AN47" s="26">
        <f>股权价值增加表!AN42</f>
        <v>55889953.810000017</v>
      </c>
      <c r="AO47" s="26">
        <f>股权价值增加表!AO42</f>
        <v>167573514.67000079</v>
      </c>
      <c r="AP47" s="26">
        <f>股权价值增加表!AP42</f>
        <v>183848510.50000012</v>
      </c>
      <c r="AQ47" s="26">
        <f>股权价值增加表!AQ42</f>
        <v>170530603.08000019</v>
      </c>
      <c r="AR47" s="26">
        <f>股权价值增加表!AR42</f>
        <v>99428591.310000107</v>
      </c>
      <c r="AS47" s="26">
        <f>股权价值增加表!AS42</f>
        <v>919554269.8299998</v>
      </c>
      <c r="AT47" s="26">
        <f>股权价值增加表!AT42</f>
        <v>745637987.20000041</v>
      </c>
      <c r="AU47" s="26">
        <f>股权价值增加表!AU42</f>
        <v>566791969.87</v>
      </c>
      <c r="AV47" s="26">
        <f>股权价值增加表!AV42</f>
        <v>287637752.28000009</v>
      </c>
      <c r="AW47" s="26">
        <f>股权价值增加表!AW42</f>
        <v>739920179.29000008</v>
      </c>
      <c r="AX47" s="26">
        <f>股权价值增加表!AX42</f>
        <v>503307356.29000002</v>
      </c>
      <c r="AY47" s="26">
        <f>股权价值增加表!AY42</f>
        <v>316331534.68999982</v>
      </c>
      <c r="AZ47" s="26">
        <f>股权价值增加表!AZ42</f>
        <v>122338472.30999996</v>
      </c>
      <c r="BA47" s="26">
        <f>股权价值增加表!BA42</f>
        <v>654962269.1700002</v>
      </c>
      <c r="BB47" s="26">
        <f>股权价值增加表!BB42</f>
        <v>573534423.28000021</v>
      </c>
      <c r="BC47" s="26">
        <f>股权价值增加表!BC42</f>
        <v>375381609.21000004</v>
      </c>
      <c r="BD47" s="26">
        <f>股权价值增加表!BD42</f>
        <v>208248435.5</v>
      </c>
      <c r="BE47" s="26">
        <f>股权价值增加表!BE42</f>
        <v>573147587.86000001</v>
      </c>
      <c r="BF47" s="26">
        <f>股权价值增加表!BF42</f>
        <v>423249890.06999993</v>
      </c>
      <c r="BG47" s="26">
        <f>股权价值增加表!BG42</f>
        <v>302622982.69999993</v>
      </c>
      <c r="BH47" s="26">
        <f>股权价值增加表!BH42</f>
        <v>112687907.36000001</v>
      </c>
      <c r="BI47" s="26">
        <f>股权价值增加表!BI42</f>
        <v>358637429.07999998</v>
      </c>
      <c r="BJ47" s="26">
        <f>股权价值增加表!BJ42</f>
        <v>231517782.21999988</v>
      </c>
      <c r="BK47" s="26">
        <f>股权价值增加表!BK42</f>
        <v>145487030.24000007</v>
      </c>
      <c r="BL47" s="26">
        <f>股权价值增加表!BL42</f>
        <v>76510057.419999972</v>
      </c>
      <c r="BM47" s="26">
        <f>股权价值增加表!BM42</f>
        <v>-1907746.2099997029</v>
      </c>
      <c r="BN47" s="26">
        <f>股权价值增加表!BN42</f>
        <v>-89311536.409999967</v>
      </c>
      <c r="BO47" s="26">
        <f>股权价值增加表!BO42</f>
        <v>-66766287.609999985</v>
      </c>
      <c r="BP47" s="26">
        <f>股权价值增加表!BP42</f>
        <v>-36816950.089999989</v>
      </c>
      <c r="BQ47" s="26">
        <f>股权价值增加表!BQ42</f>
        <v>-56412568.379999973</v>
      </c>
      <c r="BR47" s="26">
        <f>股权价值增加表!BR42</f>
        <v>-1665814.9699999928</v>
      </c>
      <c r="BS47" s="26">
        <f>股权价值增加表!BS42</f>
        <v>6416326.6100001652</v>
      </c>
      <c r="BT47" s="26">
        <f>股权价值增加表!BT42</f>
        <v>-34818332.969999947</v>
      </c>
      <c r="BU47" s="26">
        <f>股权价值增加表!BU42</f>
        <v>-51582165.800000206</v>
      </c>
      <c r="BV47" s="26">
        <f>股权价值增加表!BV42</f>
        <v>-68450014.060000002</v>
      </c>
      <c r="BW47" s="26">
        <f>股权价值增加表!BW42</f>
        <v>53280820.879999846</v>
      </c>
      <c r="BX47" s="26">
        <f>股权价值增加表!BX42</f>
        <v>76559418.919999972</v>
      </c>
      <c r="BY47" s="26">
        <f>股权价值增加表!BY42</f>
        <v>111034333.27000009</v>
      </c>
      <c r="BZ47" s="26">
        <f>股权价值增加表!BZ42</f>
        <v>605045102.11999989</v>
      </c>
      <c r="CA47" s="26">
        <f>股权价值增加表!CA42</f>
        <v>108077578.99000001</v>
      </c>
      <c r="CB47" s="26">
        <f>股权价值增加表!CB42</f>
        <v>127818086.89</v>
      </c>
      <c r="CC47" s="26">
        <f>股权价值增加表!CC42</f>
        <v>68318977.779999971</v>
      </c>
      <c r="CD47" s="26">
        <f>股权价值增加表!CD42</f>
        <v>89658844.189999998</v>
      </c>
      <c r="CE47" s="26">
        <f>股权价值增加表!CE42</f>
        <v>37572290.329999998</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0.17738714715557849</v>
      </c>
      <c r="F48" s="63">
        <f>股权价值增加表!F43</f>
        <v>0.21651320018448028</v>
      </c>
      <c r="G48" s="63">
        <f>股权价值增加表!G43</f>
        <v>0.18884815749429001</v>
      </c>
      <c r="H48" s="63">
        <f>股权价值增加表!H43</f>
        <v>0.24159437252784391</v>
      </c>
      <c r="I48" s="63">
        <f>股权价值增加表!I43</f>
        <v>0.267950560012298</v>
      </c>
      <c r="J48" s="63">
        <f>股权价值增加表!J43</f>
        <v>0.30548645788387274</v>
      </c>
      <c r="K48" s="63">
        <f>股权价值增加表!K43</f>
        <v>0.24416483780369322</v>
      </c>
      <c r="L48" s="63">
        <f>股权价值增加表!L43</f>
        <v>0.33457037770396802</v>
      </c>
      <c r="M48" s="63">
        <f>股权价值增加表!M43</f>
        <v>0.31978225319358405</v>
      </c>
      <c r="N48" s="63">
        <f>股权价值增加表!N43</f>
        <v>0.34639971393844671</v>
      </c>
      <c r="O48" s="63">
        <f>股权价值增加表!O43</f>
        <v>0.30507811291456044</v>
      </c>
      <c r="P48" s="63">
        <f>股权价值增加表!P43</f>
        <v>0.30141761193046973</v>
      </c>
      <c r="Q48" s="63">
        <f>股权价值增加表!Q43</f>
        <v>0.30619921165091785</v>
      </c>
      <c r="R48" s="63">
        <f>股权价值增加表!R43</f>
        <v>0.32901519894237313</v>
      </c>
      <c r="S48" s="63">
        <f>股权价值增加表!S43</f>
        <v>0.234822144988903</v>
      </c>
      <c r="T48" s="63">
        <f>股权价值增加表!T43</f>
        <v>0.20370285181709474</v>
      </c>
      <c r="U48" s="63">
        <f>股权价值增加表!U43</f>
        <v>0.20897550916621291</v>
      </c>
      <c r="V48" s="63">
        <f>股权价值增加表!V43</f>
        <v>0.21340067120988554</v>
      </c>
      <c r="W48" s="63">
        <f>股权价值增加表!W43</f>
        <v>0.16969530034198269</v>
      </c>
      <c r="X48" s="63">
        <f>股权价值增加表!X43</f>
        <v>0.14143434533652124</v>
      </c>
      <c r="Y48" s="63">
        <f>股权价值增加表!Y43</f>
        <v>8.3785917157684256E-2</v>
      </c>
      <c r="Z48" s="63">
        <f>股权价值增加表!Z43</f>
        <v>7.6417406381138364E-2</v>
      </c>
      <c r="AA48" s="63">
        <f>股权价值增加表!AA43</f>
        <v>1.2674099813429908E-2</v>
      </c>
      <c r="AB48" s="63">
        <f>股权价值增加表!AB43</f>
        <v>-1.4187228576079779E-2</v>
      </c>
      <c r="AC48" s="63">
        <f>股权价值增加表!AC43</f>
        <v>3.9612872750846607E-2</v>
      </c>
      <c r="AD48" s="63">
        <f>股权价值增加表!AD43</f>
        <v>4.6298965194011839E-2</v>
      </c>
      <c r="AE48" s="63">
        <f>股权价值增加表!AE43</f>
        <v>2.6089280343495395E-2</v>
      </c>
      <c r="AF48" s="63">
        <f>股权价值增加表!AF43</f>
        <v>7.8648914625881507E-3</v>
      </c>
      <c r="AG48" s="63">
        <f>股权价值增加表!AG43</f>
        <v>7.5031642843296498E-2</v>
      </c>
      <c r="AH48" s="63">
        <f>股权价值增加表!AH43</f>
        <v>7.5923668046303863E-2</v>
      </c>
      <c r="AI48" s="63">
        <f>股权价值增加表!AI43</f>
        <v>3.3550298039921787E-2</v>
      </c>
      <c r="AJ48" s="63">
        <f>股权价值增加表!AJ43</f>
        <v>2.4954125503423998E-2</v>
      </c>
      <c r="AK48" s="63">
        <f>股权价值增加表!AK43</f>
        <v>8.5894060701787373E-2</v>
      </c>
      <c r="AL48" s="63">
        <f>股权价值增加表!AL43</f>
        <v>5.5856649164949659E-2</v>
      </c>
      <c r="AM48" s="63">
        <f>股权价值增加表!AM43</f>
        <v>4.5158277313885366E-2</v>
      </c>
      <c r="AN48" s="63">
        <f>股权价值增加表!AN43</f>
        <v>3.6065249600025162E-2</v>
      </c>
      <c r="AO48" s="63">
        <f>股权价值增加表!AO43</f>
        <v>2.5466597263286157E-2</v>
      </c>
      <c r="AP48" s="63">
        <f>股权价值增加表!AP43</f>
        <v>3.5903370806838239E-2</v>
      </c>
      <c r="AQ48" s="63">
        <f>股权价值增加表!AQ43</f>
        <v>4.9542961279748741E-2</v>
      </c>
      <c r="AR48" s="63">
        <f>股权价值增加表!AR43</f>
        <v>5.5591573826777485E-2</v>
      </c>
      <c r="AS48" s="63">
        <f>股权价值增加表!AS43</f>
        <v>0.13829992356838106</v>
      </c>
      <c r="AT48" s="63">
        <f>股权价值增加表!AT43</f>
        <v>0.15273352743782212</v>
      </c>
      <c r="AU48" s="63">
        <f>股权价值增加表!AU43</f>
        <v>0.16545264581930769</v>
      </c>
      <c r="AV48" s="63">
        <f>股权价值增加表!AV43</f>
        <v>0.16866257192626447</v>
      </c>
      <c r="AW48" s="63">
        <f>股权价值增加表!AW43</f>
        <v>0.17545984986481661</v>
      </c>
      <c r="AX48" s="63">
        <f>股权价值增加表!AX43</f>
        <v>0.20684088636761058</v>
      </c>
      <c r="AY48" s="63">
        <f>股权价值增加表!AY43</f>
        <v>0.20206754677761687</v>
      </c>
      <c r="AZ48" s="63">
        <f>股权价值增加表!AZ43</f>
        <v>0.16395805830912485</v>
      </c>
      <c r="BA48" s="63">
        <f>股权价值增加表!BA43</f>
        <v>0.21426651586686721</v>
      </c>
      <c r="BB48" s="63">
        <f>股权价值增加表!BB43</f>
        <v>0.24840002779881043</v>
      </c>
      <c r="BC48" s="63">
        <f>股权价值增加表!BC43</f>
        <v>0.24741505229365068</v>
      </c>
      <c r="BD48" s="63">
        <f>股权价值增加表!BD43</f>
        <v>0.26454673507975984</v>
      </c>
      <c r="BE48" s="63">
        <f>股权价值增加表!BE43</f>
        <v>0.24103596833705279</v>
      </c>
      <c r="BF48" s="63">
        <f>股权价值增加表!BF43</f>
        <v>0.25261220443926469</v>
      </c>
      <c r="BG48" s="63">
        <f>股权价值增加表!BG43</f>
        <v>0.28695542289365139</v>
      </c>
      <c r="BH48" s="63">
        <f>股权价值增加表!BH43</f>
        <v>0.34241983412409149</v>
      </c>
      <c r="BI48" s="63">
        <f>股权价值增加表!BI43</f>
        <v>0.2605246037726644</v>
      </c>
      <c r="BJ48" s="63">
        <f>股权价值增加表!BJ43</f>
        <v>0.22818714959383388</v>
      </c>
      <c r="BK48" s="63">
        <f>股权价值增加表!BK43</f>
        <v>0.2164264953907076</v>
      </c>
      <c r="BL48" s="63">
        <f>股权价值增加表!BL43</f>
        <v>0.19473335011851589</v>
      </c>
      <c r="BM48" s="63">
        <f>股权价值增加表!BM43</f>
        <v>-7.521529966157891E-4</v>
      </c>
      <c r="BN48" s="63">
        <f>股权价值增加表!BN43</f>
        <v>-4.0523697469264583E-2</v>
      </c>
      <c r="BO48" s="63">
        <f>股权价值增加表!BO43</f>
        <v>-4.8814601310273487E-2</v>
      </c>
      <c r="BP48" s="63">
        <f>股权价值增加表!BP43</f>
        <v>-6.0206780039712963E-2</v>
      </c>
      <c r="BQ48" s="63">
        <f>股权价值增加表!BQ43</f>
        <v>-2.9591005302651983E-2</v>
      </c>
      <c r="BR48" s="63">
        <f>股权价值增加表!BR43</f>
        <v>-2.5781727600765513E-3</v>
      </c>
      <c r="BS48" s="63">
        <f>股权价值增加表!BS43</f>
        <v>3.4513561181384227E-3</v>
      </c>
      <c r="BT48" s="63">
        <f>股权价值增加表!BT43</f>
        <v>-6.33494448323286E-2</v>
      </c>
      <c r="BU48" s="63">
        <f>股权价值增加表!BU43</f>
        <v>-3.9234507684820119E-2</v>
      </c>
      <c r="BV48" s="63">
        <f>股权价值增加表!BV43</f>
        <v>-0.1208652895392084</v>
      </c>
      <c r="BW48" s="63">
        <f>股权价值增加表!BW43</f>
        <v>4.3712369091071686E-2</v>
      </c>
      <c r="BX48" s="63">
        <f>股权价值增加表!BX43</f>
        <v>0.11258997508940362</v>
      </c>
      <c r="BY48" s="63">
        <f>股权价值增加表!BY43</f>
        <v>8.1300015413115517E-2</v>
      </c>
      <c r="BZ48" s="63">
        <f>股权价值增加表!BZ43</f>
        <v>0.95129493892349481</v>
      </c>
      <c r="CA48" s="63">
        <f>股权价值增加表!CA43</f>
        <v>0.17611776718897851</v>
      </c>
      <c r="CB48" s="63">
        <f>股权价值增加表!CB43</f>
        <v>0.86977671739020779</v>
      </c>
      <c r="CC48" s="63">
        <f>股权价值增加表!CC43</f>
        <v>0.32051123120331615</v>
      </c>
      <c r="CD48" s="63">
        <f>股权价值增加表!CD43</f>
        <v>0.8060298072994565</v>
      </c>
      <c r="CE48" s="63">
        <f>股权价值增加表!CE43</f>
        <v>0.29487848121003435</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-0.28428215654004502</v>
      </c>
      <c r="F49" s="59">
        <f t="shared" ref="F49:BQ49" si="38">(F47-J47)/J47</f>
        <v>-0.22513898876173696</v>
      </c>
      <c r="G49" s="59">
        <f t="shared" si="38"/>
        <v>-0.17801541768414247</v>
      </c>
      <c r="H49" s="59">
        <f t="shared" si="38"/>
        <v>-0.20143009818340687</v>
      </c>
      <c r="I49" s="59">
        <f t="shared" si="38"/>
        <v>-0.21589834392552568</v>
      </c>
      <c r="J49" s="59">
        <f t="shared" si="38"/>
        <v>-0.19947372338122013</v>
      </c>
      <c r="K49" s="59">
        <f t="shared" si="38"/>
        <v>-0.2955154210919787</v>
      </c>
      <c r="L49" s="59">
        <f t="shared" si="38"/>
        <v>7.7625323467363791E-3</v>
      </c>
      <c r="M49" s="59">
        <f t="shared" si="38"/>
        <v>-8.7961859917383717E-3</v>
      </c>
      <c r="N49" s="59">
        <f t="shared" si="38"/>
        <v>5.7544766226624473E-3</v>
      </c>
      <c r="O49" s="59">
        <f t="shared" si="38"/>
        <v>0.32624322673757078</v>
      </c>
      <c r="P49" s="59">
        <f t="shared" si="38"/>
        <v>0.51902427205460655</v>
      </c>
      <c r="Q49" s="59">
        <f t="shared" si="38"/>
        <v>0.70401866049627071</v>
      </c>
      <c r="R49" s="59">
        <f t="shared" si="38"/>
        <v>0.92635387476827435</v>
      </c>
      <c r="S49" s="59">
        <f t="shared" si="38"/>
        <v>0.66271312551655381</v>
      </c>
      <c r="T49" s="59">
        <f t="shared" si="38"/>
        <v>0.78569632486363594</v>
      </c>
      <c r="U49" s="59">
        <f t="shared" si="38"/>
        <v>1.9614923922480354</v>
      </c>
      <c r="V49" s="59">
        <f t="shared" si="38"/>
        <v>2.1945042106823522</v>
      </c>
      <c r="W49" s="59">
        <f t="shared" si="38"/>
        <v>13.911176109764535</v>
      </c>
      <c r="X49" s="59">
        <f t="shared" si="38"/>
        <v>-12.331367876898691</v>
      </c>
      <c r="Y49" s="59">
        <f t="shared" si="38"/>
        <v>1.3259592540046079</v>
      </c>
      <c r="Z49" s="59">
        <f t="shared" si="38"/>
        <v>0.85186526810720065</v>
      </c>
      <c r="AA49" s="59">
        <f t="shared" si="38"/>
        <v>-0.44753628154794017</v>
      </c>
      <c r="AB49" s="59">
        <f t="shared" si="38"/>
        <v>-3.2058680722507331</v>
      </c>
      <c r="AC49" s="59">
        <f t="shared" si="38"/>
        <v>-0.28149998354164718</v>
      </c>
      <c r="AD49" s="59">
        <f t="shared" si="38"/>
        <v>-0.16205036336823336</v>
      </c>
      <c r="AE49" s="59">
        <f t="shared" si="38"/>
        <v>7.6437192122441766E-2</v>
      </c>
      <c r="AF49" s="59">
        <f t="shared" si="38"/>
        <v>-0.62131181418696135</v>
      </c>
      <c r="AG49" s="59">
        <f t="shared" si="38"/>
        <v>0.16897615607006514</v>
      </c>
      <c r="AH49" s="59">
        <f t="shared" si="38"/>
        <v>2.3793215096756088</v>
      </c>
      <c r="AI49" s="59">
        <f t="shared" si="38"/>
        <v>0.61182785891074343</v>
      </c>
      <c r="AJ49" s="59">
        <f t="shared" si="38"/>
        <v>0.59636650359936394</v>
      </c>
      <c r="AK49" s="59">
        <f t="shared" si="38"/>
        <v>5.108422746433261</v>
      </c>
      <c r="AL49" s="59">
        <f t="shared" si="38"/>
        <v>0.41594007904676605</v>
      </c>
      <c r="AM49" s="59">
        <f t="shared" si="38"/>
        <v>-0.1527848849967248</v>
      </c>
      <c r="AN49" s="59">
        <f t="shared" si="38"/>
        <v>-0.43788850798715034</v>
      </c>
      <c r="AO49" s="59">
        <f t="shared" si="38"/>
        <v>-0.81776658521635648</v>
      </c>
      <c r="AP49" s="59">
        <f t="shared" si="38"/>
        <v>-0.75343462423315766</v>
      </c>
      <c r="AQ49" s="59">
        <f t="shared" si="38"/>
        <v>-0.69913017095299845</v>
      </c>
      <c r="AR49" s="59">
        <f t="shared" si="38"/>
        <v>-0.65432704670417652</v>
      </c>
      <c r="AS49" s="59">
        <f t="shared" si="38"/>
        <v>0.24277495812098263</v>
      </c>
      <c r="AT49" s="59">
        <f t="shared" si="38"/>
        <v>0.48147643359770848</v>
      </c>
      <c r="AU49" s="59">
        <f t="shared" si="38"/>
        <v>0.79176562471221112</v>
      </c>
      <c r="AV49" s="59">
        <f t="shared" si="38"/>
        <v>1.3511635125795876</v>
      </c>
      <c r="AW49" s="59">
        <f t="shared" si="38"/>
        <v>0.12971420510629209</v>
      </c>
      <c r="AX49" s="59">
        <f t="shared" si="38"/>
        <v>-0.12244612378865924</v>
      </c>
      <c r="AY49" s="59">
        <f t="shared" si="38"/>
        <v>-0.1573067861376389</v>
      </c>
      <c r="AZ49" s="59">
        <f t="shared" si="38"/>
        <v>-0.41253593566612912</v>
      </c>
      <c r="BA49" s="59">
        <f t="shared" si="38"/>
        <v>0.14274627171594179</v>
      </c>
      <c r="BB49" s="59">
        <f t="shared" si="38"/>
        <v>0.35507282278359292</v>
      </c>
      <c r="BC49" s="59">
        <f t="shared" si="38"/>
        <v>0.24042663865397201</v>
      </c>
      <c r="BD49" s="59">
        <f t="shared" si="38"/>
        <v>0.84801049534726203</v>
      </c>
      <c r="BE49" s="59">
        <f t="shared" si="38"/>
        <v>0.59812540852268381</v>
      </c>
      <c r="BF49" s="59">
        <f t="shared" si="38"/>
        <v>0.82815283565478581</v>
      </c>
      <c r="BG49" s="59">
        <f t="shared" si="38"/>
        <v>1.0800684583414986</v>
      </c>
      <c r="BH49" s="59">
        <f t="shared" si="38"/>
        <v>0.47285090561888715</v>
      </c>
      <c r="BI49" s="59">
        <f t="shared" si="38"/>
        <v>-188.99011482772428</v>
      </c>
      <c r="BJ49" s="59">
        <f t="shared" si="38"/>
        <v>-3.5922494621207468</v>
      </c>
      <c r="BK49" s="59">
        <f t="shared" si="38"/>
        <v>-3.1790492694431256</v>
      </c>
      <c r="BL49" s="59">
        <f t="shared" si="38"/>
        <v>-3.0781204644319846</v>
      </c>
      <c r="BM49" s="59">
        <f t="shared" si="38"/>
        <v>-0.96618224865868618</v>
      </c>
      <c r="BN49" s="59">
        <f t="shared" si="38"/>
        <v>52.614319728439199</v>
      </c>
      <c r="BO49" s="59">
        <f t="shared" si="38"/>
        <v>-11.405687189604935</v>
      </c>
      <c r="BP49" s="59">
        <f t="shared" si="38"/>
        <v>5.7401286894524318E-2</v>
      </c>
      <c r="BQ49" s="59">
        <f t="shared" si="38"/>
        <v>9.3644819000596291E-2</v>
      </c>
      <c r="BR49" s="59">
        <f t="shared" ref="BR49:CJ49" si="39">(BR47-BV47)/BV47</f>
        <v>-0.97566377461164844</v>
      </c>
      <c r="BS49" s="59">
        <f t="shared" si="39"/>
        <v>-0.87957530488407554</v>
      </c>
      <c r="BT49" s="59">
        <f t="shared" si="39"/>
        <v>-1.4547883651831663</v>
      </c>
      <c r="BU49" s="59">
        <f t="shared" si="39"/>
        <v>-1.4645605037729081</v>
      </c>
      <c r="BV49" s="59">
        <f t="shared" si="39"/>
        <v>-1.1131320852282911</v>
      </c>
      <c r="BW49" s="59">
        <f t="shared" si="39"/>
        <v>-0.5070131901739795</v>
      </c>
      <c r="BX49" s="59">
        <f t="shared" si="39"/>
        <v>-0.40102828337677388</v>
      </c>
      <c r="BY49" s="59">
        <f t="shared" si="39"/>
        <v>0.62523411324378475</v>
      </c>
      <c r="BZ49" s="59">
        <f t="shared" si="39"/>
        <v>5.7483036122774704</v>
      </c>
      <c r="CA49" s="59">
        <f t="shared" si="39"/>
        <v>1.8765235773690461</v>
      </c>
      <c r="CB49" s="59" t="e">
        <f t="shared" si="39"/>
        <v>#DIV/0!</v>
      </c>
      <c r="CC49" s="59">
        <f t="shared" si="39"/>
        <v>-16.778054914549646</v>
      </c>
      <c r="CD49" s="59">
        <f t="shared" si="39"/>
        <v>-22.24617160900474</v>
      </c>
      <c r="CE49" s="59">
        <f t="shared" si="39"/>
        <v>-4.0033805219824137</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756861903.18719769</v>
      </c>
      <c r="F50" s="26">
        <f>股权价值增加表!F47</f>
        <v>473330753.05679798</v>
      </c>
      <c r="G50" s="26">
        <f>股权价值增加表!G47</f>
        <v>-1923252476.4176011</v>
      </c>
      <c r="H50" s="26">
        <f>股权价值增加表!H47</f>
        <v>-2843873446.1244006</v>
      </c>
      <c r="I50" s="26">
        <f>股权价值增加表!I47</f>
        <v>3305705780.4396</v>
      </c>
      <c r="J50" s="26">
        <f>股权价值增加表!J47</f>
        <v>2411421387.5584021</v>
      </c>
      <c r="K50" s="26">
        <f>股权价值增加表!K47</f>
        <v>-769514521.07479954</v>
      </c>
      <c r="L50" s="26">
        <f>股权价值增加表!L47</f>
        <v>-2000452642.1859999</v>
      </c>
      <c r="M50" s="26">
        <f>股权价值增加表!M47</f>
        <v>5891521473.7439985</v>
      </c>
      <c r="N50" s="26">
        <f>股权价值增加表!N47</f>
        <v>4592042117.7136021</v>
      </c>
      <c r="O50" s="26">
        <f>股权价值增加表!O47</f>
        <v>1086905066.8807979</v>
      </c>
      <c r="P50" s="26">
        <f>股权价值增加表!P47</f>
        <v>-1400493649.7152004</v>
      </c>
      <c r="Q50" s="26">
        <f>股权价值增加表!Q47</f>
        <v>6674184169.7115984</v>
      </c>
      <c r="R50" s="26">
        <f>股权价值增加表!R47</f>
        <v>5179378608.6487999</v>
      </c>
      <c r="S50" s="26">
        <f>股权价值增加表!S47</f>
        <v>671830396.25760078</v>
      </c>
      <c r="T50" s="26">
        <f>股权价值增加表!T47</f>
        <v>-1311291188.5171995</v>
      </c>
      <c r="U50" s="26">
        <f>股权价值增加表!U47</f>
        <v>3223449898.4959998</v>
      </c>
      <c r="V50" s="26">
        <f>股权价值增加表!V47</f>
        <v>1749684855.0624018</v>
      </c>
      <c r="W50" s="26">
        <f>股权价值增加表!W47</f>
        <v>-263095990.72119999</v>
      </c>
      <c r="X50" s="26">
        <f>股权价值增加表!X47</f>
        <v>-1276520335.6435995</v>
      </c>
      <c r="Y50" s="26">
        <f>股权价值增加表!Y47</f>
        <v>-38684023.762396812</v>
      </c>
      <c r="Z50" s="26">
        <f>股权价值增加表!Z47</f>
        <v>-638489819.27440095</v>
      </c>
      <c r="AA50" s="26">
        <f>股权价值增加表!AA47</f>
        <v>-1739699788.2523994</v>
      </c>
      <c r="AB50" s="26">
        <f>股权价值增加表!AB47</f>
        <v>-1808919345.5031996</v>
      </c>
      <c r="AC50" s="26">
        <f>股权价值增加表!AC47</f>
        <v>-940566408.24159741</v>
      </c>
      <c r="AD50" s="26">
        <f>股权价值增加表!AD47</f>
        <v>-859939921.07560039</v>
      </c>
      <c r="AE50" s="26">
        <f>股权价值增加表!AE47</f>
        <v>-1251009797.5100009</v>
      </c>
      <c r="AF50" s="26">
        <f>股权价值增加表!AF47</f>
        <v>-1297859909.6527996</v>
      </c>
      <c r="AG50" s="26">
        <f>股权价值增加表!AG47</f>
        <v>-100410124.20079947</v>
      </c>
      <c r="AH50" s="26">
        <f>股权价值增加表!AH47</f>
        <v>-391579226.05640054</v>
      </c>
      <c r="AI50" s="26">
        <f>股权价值增加表!AI47</f>
        <v>-1003433063.0983998</v>
      </c>
      <c r="AJ50" s="26">
        <f>股权价值增加表!AJ47</f>
        <v>-1146880701.2084005</v>
      </c>
      <c r="AK50" s="26">
        <f>股权价值增加表!AK47</f>
        <v>-285354014.63559926</v>
      </c>
      <c r="AL50" s="26">
        <f>股权价值增加表!AL47</f>
        <v>-202459564.92359966</v>
      </c>
      <c r="AM50" s="26">
        <f>股权价值增加表!AM47</f>
        <v>-315142545.31439978</v>
      </c>
      <c r="AN50" s="26">
        <f>股权价值增加表!AN47</f>
        <v>-431455083.53960001</v>
      </c>
      <c r="AO50" s="26">
        <f>股权价值增加表!AO47</f>
        <v>-314580326.37479925</v>
      </c>
      <c r="AP50" s="26">
        <f>股权价值增加表!AP47</f>
        <v>-306980469.06639987</v>
      </c>
      <c r="AQ50" s="26">
        <f>股权价值增加表!AQ47</f>
        <v>-318672943.89119983</v>
      </c>
      <c r="AR50" s="26">
        <f>股权价值增加表!AR47</f>
        <v>-412946400.42439991</v>
      </c>
      <c r="AS50" s="26">
        <f>股权价值增加表!AS47</f>
        <v>405744717.62359983</v>
      </c>
      <c r="AT50" s="26">
        <f>股权价值增加表!AT47</f>
        <v>243928622.76960039</v>
      </c>
      <c r="AU50" s="26">
        <f>股权价值增加表!AU47</f>
        <v>194543711.2924</v>
      </c>
      <c r="AV50" s="26">
        <f>股权价值增加表!AV47</f>
        <v>-91497408.339199901</v>
      </c>
      <c r="AW50" s="26">
        <f>股权价值增加表!AW47</f>
        <v>329737198.1148001</v>
      </c>
      <c r="AX50" s="26">
        <f>股权价值增加表!AX47</f>
        <v>161967356.28839999</v>
      </c>
      <c r="AY50" s="26">
        <f>股权价值增加表!AY47</f>
        <v>96560611.953999817</v>
      </c>
      <c r="AZ50" s="26">
        <f>股权价值增加表!AZ47</f>
        <v>-76390782.769200042</v>
      </c>
      <c r="BA50" s="26">
        <f>股权价值增加表!BA47</f>
        <v>454592596.74120021</v>
      </c>
      <c r="BB50" s="26">
        <f>股权价值增加表!BB47</f>
        <v>347429228.32960021</v>
      </c>
      <c r="BC50" s="26">
        <f>股权价值增加表!BC47</f>
        <v>165128636.83000004</v>
      </c>
      <c r="BD50" s="26">
        <f>股权价值增加表!BD47</f>
        <v>1030478.4775999784</v>
      </c>
      <c r="BE50" s="26">
        <f>股权价值增加表!BE47</f>
        <v>380642703.00800002</v>
      </c>
      <c r="BF50" s="26">
        <f>股权价值增加表!BF47</f>
        <v>241108350.72199994</v>
      </c>
      <c r="BG50" s="26">
        <f>股权价值增加表!BG47</f>
        <v>125954573.94639993</v>
      </c>
      <c r="BH50" s="26">
        <f>股权价值增加表!BH47</f>
        <v>-21741904.688799977</v>
      </c>
      <c r="BI50" s="26">
        <f>股权价值增加表!BI47</f>
        <v>228422649.61999997</v>
      </c>
      <c r="BJ50" s="26">
        <f>股权价值增加表!BJ47</f>
        <v>107201981.06479988</v>
      </c>
      <c r="BK50" s="26">
        <f>股权价值增加表!BK47</f>
        <v>28111681.391200081</v>
      </c>
      <c r="BL50" s="26">
        <f>股权价值增加表!BL47</f>
        <v>-36349133.576800033</v>
      </c>
      <c r="BM50" s="26">
        <f>股权价值增加表!BM47</f>
        <v>-112045876.34119973</v>
      </c>
      <c r="BN50" s="26">
        <f>股权价值增加表!BN47</f>
        <v>-151113482.11879998</v>
      </c>
      <c r="BO50" s="26">
        <f>股权价值增加表!BO47</f>
        <v>-130314137.25879999</v>
      </c>
      <c r="BP50" s="26">
        <f>股权价值增加表!BP47</f>
        <v>-102760746.74039999</v>
      </c>
      <c r="BQ50" s="26">
        <f>股权价值增加表!BQ47</f>
        <v>-125269281.91759998</v>
      </c>
      <c r="BR50" s="26">
        <f>股权价值增加表!BR47</f>
        <v>-77858632.213200003</v>
      </c>
      <c r="BS50" s="26">
        <f>股权价值增加表!BS47</f>
        <v>-65600522.746799842</v>
      </c>
      <c r="BT50" s="26">
        <f>股权价值增加表!BT47</f>
        <v>-108654415.33879995</v>
      </c>
      <c r="BU50" s="26">
        <f>股权价值增加表!BU47</f>
        <v>-128172383.3272002</v>
      </c>
      <c r="BV50" s="26">
        <f>股权价值增加表!BV47</f>
        <v>-140513703.46640003</v>
      </c>
      <c r="BW50" s="26">
        <f>股权价值增加表!BW47</f>
        <v>-28110506.18640016</v>
      </c>
      <c r="BX50" s="26">
        <f>股权价值增加表!BX47</f>
        <v>35466369.12319997</v>
      </c>
      <c r="BY50" s="26">
        <f>股权价值增加表!BY47</f>
        <v>77856155.923600078</v>
      </c>
      <c r="BZ50" s="26">
        <f>股权价值增加表!BZ47</f>
        <v>578461055.96319985</v>
      </c>
      <c r="CA50" s="26">
        <f>股权价值增加表!CA47</f>
        <v>86525033.162</v>
      </c>
      <c r="CB50" s="26">
        <f>股权价值增加表!CB47</f>
        <v>112930749.6964</v>
      </c>
      <c r="CC50" s="26">
        <f>股权价值增加表!CC47</f>
        <v>58928536.431999974</v>
      </c>
      <c r="CD50" s="26">
        <f>股权价值增加表!CD47</f>
        <v>79712650.52759999</v>
      </c>
      <c r="CE50" s="26">
        <f>股权价值增加表!CE47</f>
        <v>37572290.329999998</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684</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11497221148.439999</v>
      </c>
      <c r="F54" s="193">
        <f t="shared" ref="F54:AC54" si="41">F39</f>
        <v>9675279945.539999</v>
      </c>
      <c r="G54" s="193">
        <f t="shared" si="41"/>
        <v>5510742097.3399992</v>
      </c>
      <c r="H54" s="193">
        <f t="shared" si="41"/>
        <v>3287547927.3799996</v>
      </c>
      <c r="I54" s="193">
        <f t="shared" si="41"/>
        <v>13999622349.43</v>
      </c>
      <c r="J54" s="193">
        <f t="shared" si="41"/>
        <v>11543156087.460001</v>
      </c>
      <c r="K54" s="193">
        <f t="shared" si="41"/>
        <v>6302523358.8400002</v>
      </c>
      <c r="L54" s="193">
        <f t="shared" si="41"/>
        <v>3913460130.4000001</v>
      </c>
      <c r="M54" s="193">
        <f t="shared" si="41"/>
        <v>16882268894.469999</v>
      </c>
      <c r="N54" s="193">
        <f t="shared" si="41"/>
        <v>13756349068.630001</v>
      </c>
      <c r="O54" s="193">
        <f t="shared" si="41"/>
        <v>8108129365.7199984</v>
      </c>
      <c r="P54" s="193">
        <f t="shared" si="41"/>
        <v>4106350823.27</v>
      </c>
      <c r="Q54" s="193">
        <f t="shared" si="41"/>
        <v>17123092596.619999</v>
      </c>
      <c r="R54" s="193">
        <f t="shared" si="41"/>
        <v>13490806016.129999</v>
      </c>
      <c r="S54" s="193">
        <f t="shared" si="41"/>
        <v>6618396397.7000008</v>
      </c>
      <c r="T54" s="193">
        <f t="shared" si="41"/>
        <v>3104577315.9500003</v>
      </c>
      <c r="U54" s="193">
        <f t="shared" si="41"/>
        <v>11064034065.85</v>
      </c>
      <c r="V54" s="193">
        <f t="shared" si="41"/>
        <v>7886413802.3400011</v>
      </c>
      <c r="W54" s="193">
        <f t="shared" si="41"/>
        <v>4204185650.6500001</v>
      </c>
      <c r="X54" s="193">
        <f t="shared" si="41"/>
        <v>1879403120.4800003</v>
      </c>
      <c r="Y54" s="193">
        <f t="shared" si="41"/>
        <v>5417954517.340003</v>
      </c>
      <c r="Z54" s="193">
        <f t="shared" si="41"/>
        <v>3770712243.519999</v>
      </c>
      <c r="AA54" s="193">
        <f t="shared" si="41"/>
        <v>1588781898.3800004</v>
      </c>
      <c r="AB54" s="193">
        <f t="shared" si="41"/>
        <v>595557086.67000043</v>
      </c>
      <c r="AC54" s="193">
        <f t="shared" si="41"/>
        <v>3351496550.4500027</v>
      </c>
    </row>
    <row r="55" spans="1:88" s="63" customFormat="1" x14ac:dyDescent="0.25">
      <c r="A55" s="63" t="s">
        <v>673</v>
      </c>
      <c r="E55" s="63">
        <f>E54/E2</f>
        <v>0.36331546472463039</v>
      </c>
      <c r="F55" s="63">
        <f t="shared" ref="F55:AC55" si="42">F54/F2</f>
        <v>0.3997193765642485</v>
      </c>
      <c r="G55" s="63">
        <f t="shared" si="42"/>
        <v>0.39466456437530606</v>
      </c>
      <c r="H55" s="63">
        <f t="shared" si="42"/>
        <v>0.43082952284685389</v>
      </c>
      <c r="I55" s="63">
        <f t="shared" si="42"/>
        <v>0.47827940920992862</v>
      </c>
      <c r="J55" s="63">
        <f t="shared" si="42"/>
        <v>0.52137190231894892</v>
      </c>
      <c r="K55" s="63">
        <f t="shared" si="42"/>
        <v>0.47969650335959013</v>
      </c>
      <c r="L55" s="63">
        <f t="shared" si="42"/>
        <v>0.56716299457002606</v>
      </c>
      <c r="M55" s="63">
        <f t="shared" si="42"/>
        <v>0.53971965898122221</v>
      </c>
      <c r="N55" s="63">
        <f t="shared" si="42"/>
        <v>0.56401076796075922</v>
      </c>
      <c r="O55" s="63">
        <f t="shared" si="42"/>
        <v>0.54321553188838401</v>
      </c>
      <c r="P55" s="63">
        <f t="shared" si="42"/>
        <v>0.54030920839931684</v>
      </c>
      <c r="Q55" s="63">
        <f t="shared" si="42"/>
        <v>0.51955592717348109</v>
      </c>
      <c r="R55" s="63">
        <f t="shared" si="42"/>
        <v>0.52838747679763975</v>
      </c>
      <c r="S55" s="63">
        <f t="shared" si="42"/>
        <v>0.45264263994654746</v>
      </c>
      <c r="T55" s="63">
        <f t="shared" si="42"/>
        <v>0.41935516527925693</v>
      </c>
      <c r="U55" s="63">
        <f t="shared" si="42"/>
        <v>0.3904174971091936</v>
      </c>
      <c r="V55" s="63">
        <f t="shared" si="42"/>
        <v>0.38593136039455223</v>
      </c>
      <c r="W55" s="63">
        <f t="shared" si="42"/>
        <v>0.3454877577247058</v>
      </c>
      <c r="X55" s="63">
        <f t="shared" si="42"/>
        <v>0.31474934905698843</v>
      </c>
      <c r="Y55" s="63">
        <f t="shared" si="42"/>
        <v>0.22700602333201003</v>
      </c>
      <c r="Z55" s="63">
        <f t="shared" si="42"/>
        <v>0.21108330136790932</v>
      </c>
      <c r="AA55" s="63">
        <f t="shared" si="42"/>
        <v>0.14540330164775606</v>
      </c>
      <c r="AB55" s="63">
        <f t="shared" si="42"/>
        <v>0.11336873858123832</v>
      </c>
      <c r="AC55" s="63">
        <f t="shared" si="42"/>
        <v>0.15442165975857045</v>
      </c>
    </row>
    <row r="56" spans="1:88" x14ac:dyDescent="0.25">
      <c r="A56" s="17" t="s">
        <v>674</v>
      </c>
      <c r="E56" s="193">
        <f>E23</f>
        <v>9449535560.5695438</v>
      </c>
      <c r="F56" s="193">
        <f t="shared" ref="F56:AC56" si="43">F23</f>
        <v>8031188317.2360077</v>
      </c>
      <c r="G56" s="193">
        <f t="shared" si="43"/>
        <v>4476234380.3899679</v>
      </c>
      <c r="H56" s="193">
        <f t="shared" si="43"/>
        <v>2836458248.9664464</v>
      </c>
      <c r="I56" s="193">
        <f t="shared" si="43"/>
        <v>11531351186.453886</v>
      </c>
      <c r="J56" s="193">
        <f t="shared" si="43"/>
        <v>9469406964.9870529</v>
      </c>
      <c r="K56" s="193">
        <f t="shared" si="43"/>
        <v>5103104700.8276415</v>
      </c>
      <c r="L56" s="193">
        <f t="shared" si="43"/>
        <v>3290835790.0333147</v>
      </c>
      <c r="M56" s="193">
        <f t="shared" si="43"/>
        <v>14932034486.502201</v>
      </c>
      <c r="N56" s="193">
        <f t="shared" si="43"/>
        <v>12171451794.755148</v>
      </c>
      <c r="O56" s="193">
        <f t="shared" si="43"/>
        <v>6977278441.0756521</v>
      </c>
      <c r="P56" s="193">
        <f t="shared" si="43"/>
        <v>3540713819.9791498</v>
      </c>
      <c r="Q56" s="193">
        <f t="shared" si="43"/>
        <v>15190531811.188114</v>
      </c>
      <c r="R56" s="193">
        <f t="shared" si="43"/>
        <v>12014897864.532066</v>
      </c>
      <c r="S56" s="193">
        <f t="shared" si="43"/>
        <v>5525105520.7066593</v>
      </c>
      <c r="T56" s="193">
        <f t="shared" si="43"/>
        <v>2620949939.8801651</v>
      </c>
      <c r="U56" s="193">
        <f t="shared" si="43"/>
        <v>9303682276.1951733</v>
      </c>
      <c r="V56" s="193">
        <f t="shared" si="43"/>
        <v>6707713278.9301577</v>
      </c>
      <c r="W56" s="193">
        <f t="shared" si="43"/>
        <v>3589041470.9867134</v>
      </c>
      <c r="X56" s="193">
        <f t="shared" si="43"/>
        <v>1600983014.7405372</v>
      </c>
      <c r="Y56" s="193">
        <f t="shared" si="43"/>
        <v>4499526275.272295</v>
      </c>
      <c r="Z56" s="193">
        <f t="shared" si="43"/>
        <v>3151954131.2275872</v>
      </c>
      <c r="AA56" s="193">
        <f t="shared" si="43"/>
        <v>930818775.58950186</v>
      </c>
      <c r="AB56" s="193">
        <f t="shared" si="43"/>
        <v>989821389.03938377</v>
      </c>
      <c r="AC56" s="193">
        <f t="shared" si="43"/>
        <v>2265431457.3353381</v>
      </c>
    </row>
    <row r="57" spans="1:88" s="63" customFormat="1" x14ac:dyDescent="0.25">
      <c r="A57" s="63" t="s">
        <v>675</v>
      </c>
      <c r="E57" s="63">
        <f>E56/E2</f>
        <v>0.29860801660634956</v>
      </c>
      <c r="F57" s="63">
        <f t="shared" ref="F57:AC57" si="44">F56/F2</f>
        <v>0.33179624830550403</v>
      </c>
      <c r="G57" s="63">
        <f t="shared" si="44"/>
        <v>0.32057589714298312</v>
      </c>
      <c r="H57" s="63">
        <f t="shared" si="44"/>
        <v>0.37171471898544445</v>
      </c>
      <c r="I57" s="63">
        <f t="shared" si="44"/>
        <v>0.3939540435584627</v>
      </c>
      <c r="J57" s="63">
        <f t="shared" si="44"/>
        <v>0.42770648562320346</v>
      </c>
      <c r="K57" s="63">
        <f t="shared" si="44"/>
        <v>0.3884065701765933</v>
      </c>
      <c r="L57" s="63">
        <f t="shared" si="44"/>
        <v>0.47692840073031256</v>
      </c>
      <c r="M57" s="63">
        <f t="shared" si="44"/>
        <v>0.4773714132459223</v>
      </c>
      <c r="N57" s="63">
        <f t="shared" si="44"/>
        <v>0.49902992717826417</v>
      </c>
      <c r="O57" s="63">
        <f t="shared" si="44"/>
        <v>0.46745258351778896</v>
      </c>
      <c r="P57" s="63">
        <f t="shared" si="44"/>
        <v>0.46588330212809659</v>
      </c>
      <c r="Q57" s="63">
        <f t="shared" si="44"/>
        <v>0.46091737195756338</v>
      </c>
      <c r="R57" s="63">
        <f t="shared" si="44"/>
        <v>0.47058133954568554</v>
      </c>
      <c r="S57" s="63">
        <f t="shared" si="44"/>
        <v>0.37787074067443416</v>
      </c>
      <c r="T57" s="63">
        <f t="shared" si="44"/>
        <v>0.3540285144713099</v>
      </c>
      <c r="U57" s="63">
        <f t="shared" si="44"/>
        <v>0.32829981601220148</v>
      </c>
      <c r="V57" s="63">
        <f t="shared" si="44"/>
        <v>0.32825020037700942</v>
      </c>
      <c r="W57" s="63">
        <f t="shared" si="44"/>
        <v>0.29493699689509911</v>
      </c>
      <c r="X57" s="63">
        <f t="shared" si="44"/>
        <v>0.26812148827984311</v>
      </c>
      <c r="Y57" s="63">
        <f t="shared" si="44"/>
        <v>0.18852494301279787</v>
      </c>
      <c r="Z57" s="63">
        <f t="shared" si="44"/>
        <v>0.17644541423788199</v>
      </c>
      <c r="AA57" s="63">
        <f t="shared" si="44"/>
        <v>8.5187352237861447E-2</v>
      </c>
      <c r="AB57" s="63">
        <f t="shared" si="44"/>
        <v>0.18841989258084771</v>
      </c>
      <c r="AC57" s="63">
        <f t="shared" si="44"/>
        <v>0.10438073870731819</v>
      </c>
    </row>
    <row r="58" spans="1:88" ht="93" customHeight="1" x14ac:dyDescent="0.25">
      <c r="A58" s="279" t="s">
        <v>676</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6568307369.579998</v>
      </c>
      <c r="F61" s="89">
        <f>股权价值增加表!F38</f>
        <v>6133535724.9399986</v>
      </c>
      <c r="G61" s="89">
        <f>股权价值增加表!G38</f>
        <v>3154990000.0899992</v>
      </c>
      <c r="H61" s="89">
        <f>股权价值增加表!H38</f>
        <v>2094678778.0499997</v>
      </c>
      <c r="I61" s="89">
        <f>股权价值增加表!I38</f>
        <v>8900618873.5699997</v>
      </c>
      <c r="J61" s="89">
        <f>股权价值增加表!J38</f>
        <v>7754405942.2600012</v>
      </c>
      <c r="K61" s="89">
        <f>股权价值增加表!K38</f>
        <v>3746481214.8600001</v>
      </c>
      <c r="L61" s="89">
        <f>股权价值增加表!L38</f>
        <v>2615084378.3800001</v>
      </c>
      <c r="M61" s="89">
        <f>股权价值增加表!M38</f>
        <v>10880747521.529999</v>
      </c>
      <c r="N61" s="89">
        <f>股权价值增加表!N38</f>
        <v>9238118363.8300018</v>
      </c>
      <c r="O61" s="89">
        <f>股权价值增加表!O38</f>
        <v>5076360070.2099981</v>
      </c>
      <c r="P61" s="89">
        <f>股权价值增加表!P38</f>
        <v>2555659326.73</v>
      </c>
      <c r="Q61" s="89">
        <f>股权价值增加表!Q38</f>
        <v>10874547662.599998</v>
      </c>
      <c r="R61" s="89">
        <f>股权价值增加表!R38</f>
        <v>9078195534.3799992</v>
      </c>
      <c r="S61" s="89">
        <f>股权价值增加表!S38</f>
        <v>3832894627.9500008</v>
      </c>
      <c r="T61" s="89">
        <f>股权价值增加表!T38</f>
        <v>1726160784.6100004</v>
      </c>
      <c r="U61" s="89">
        <f>股权价值增加表!U38</f>
        <v>6624076833.4700003</v>
      </c>
      <c r="V61" s="89">
        <f>股权价值增加表!V38</f>
        <v>4845622437.1600018</v>
      </c>
      <c r="W61" s="89">
        <f>股权价值增加表!W38</f>
        <v>2281951605.5300002</v>
      </c>
      <c r="X61" s="89">
        <f>股权价值增加表!X38</f>
        <v>940059626.99000025</v>
      </c>
      <c r="Y61" s="89">
        <f>股权价值增加表!Y38</f>
        <v>2300142232.5100031</v>
      </c>
      <c r="Z61" s="89">
        <f>股权价值增加表!Z38</f>
        <v>1586004007.9599991</v>
      </c>
      <c r="AA61" s="89">
        <f>股权价值增加表!AA38</f>
        <v>225969039.52000046</v>
      </c>
      <c r="AB61" s="89">
        <f>股权价值增加表!AB38</f>
        <v>-42262334.669999599</v>
      </c>
      <c r="AC61" s="89">
        <f>股权价值增加表!AC38</f>
        <v>1156190953.5300026</v>
      </c>
    </row>
    <row r="62" spans="1:88" s="193" customFormat="1" x14ac:dyDescent="0.25">
      <c r="A62" s="89" t="s">
        <v>680</v>
      </c>
      <c r="B62" s="89"/>
      <c r="C62" s="89"/>
      <c r="D62" s="89"/>
      <c r="E62" s="89">
        <f>股权价值增加表!E40</f>
        <v>954840678.08000004</v>
      </c>
      <c r="F62" s="89">
        <f>股权价值增加表!F40</f>
        <v>892794478.67999995</v>
      </c>
      <c r="G62" s="89">
        <f>股权价值增加表!G40</f>
        <v>518083661.26999998</v>
      </c>
      <c r="H62" s="89">
        <f>股权价值增加表!H40</f>
        <v>251135017.58000001</v>
      </c>
      <c r="I62" s="89">
        <f>股权价值增加表!I40</f>
        <v>1057490826.96</v>
      </c>
      <c r="J62" s="89">
        <f>股权价值增加表!J40</f>
        <v>990946211.74000001</v>
      </c>
      <c r="K62" s="89">
        <f>股权价值增加表!K40</f>
        <v>538505791.04999995</v>
      </c>
      <c r="L62" s="89">
        <f>股权价值增加表!L40</f>
        <v>306527849.67000002</v>
      </c>
      <c r="M62" s="89">
        <f>股权价值增加表!M40</f>
        <v>878054648.92999995</v>
      </c>
      <c r="N62" s="89">
        <f>股权价值增加表!N40</f>
        <v>789351686.13</v>
      </c>
      <c r="O62" s="89">
        <f>股权价值增加表!O40</f>
        <v>522711175.88999999</v>
      </c>
      <c r="P62" s="89">
        <f>股权价值增加表!P40</f>
        <v>264885007.77000001</v>
      </c>
      <c r="Q62" s="89">
        <f>股权价值增加表!Q40</f>
        <v>783088437.73000002</v>
      </c>
      <c r="R62" s="89">
        <f>股权价值增加表!R40</f>
        <v>677768915.27999997</v>
      </c>
      <c r="S62" s="89">
        <f>股权价值增加表!S40</f>
        <v>399400075.43000001</v>
      </c>
      <c r="T62" s="89">
        <f>股权价值增加表!T40</f>
        <v>218104355.81999999</v>
      </c>
      <c r="U62" s="89">
        <f>股权价值增加表!U40</f>
        <v>701923831.97000003</v>
      </c>
      <c r="V62" s="89">
        <f>股权价值增加表!V40</f>
        <v>484831447.95999998</v>
      </c>
      <c r="W62" s="89">
        <f>股权价值增加表!W40</f>
        <v>216956448.02000001</v>
      </c>
      <c r="X62" s="89">
        <f>股权价值增加表!X40</f>
        <v>95539532.620000005</v>
      </c>
      <c r="Y62" s="89">
        <f>股权价值增加表!Y40</f>
        <v>300423098.67000002</v>
      </c>
      <c r="Z62" s="89">
        <f>股权价值增加表!Z40</f>
        <v>220912368.81999999</v>
      </c>
      <c r="AA62" s="89">
        <f>股权价值增加表!AA40</f>
        <v>87482635.609999999</v>
      </c>
      <c r="AB62" s="89">
        <f>股权价值增加表!AB40</f>
        <v>32267069.329999998</v>
      </c>
      <c r="AC62" s="89">
        <f>股权价值增加表!AC40</f>
        <v>296451415.79000002</v>
      </c>
    </row>
    <row r="63" spans="1:88" x14ac:dyDescent="0.25">
      <c r="A63" s="184" t="s">
        <v>681</v>
      </c>
      <c r="B63" s="64"/>
      <c r="C63" s="64"/>
      <c r="D63" s="64"/>
      <c r="E63" s="64">
        <f>股权价值增加表!E42</f>
        <v>5613466691.4999981</v>
      </c>
      <c r="F63" s="64">
        <f>股权价值增加表!F42</f>
        <v>5240741246.2599983</v>
      </c>
      <c r="G63" s="64">
        <f>股权价值增加表!G42</f>
        <v>2636906338.8199992</v>
      </c>
      <c r="H63" s="64">
        <f>股权价值增加表!H42</f>
        <v>1843543760.4699998</v>
      </c>
      <c r="I63" s="64">
        <f>股权价值增加表!I42</f>
        <v>7843128046.6099997</v>
      </c>
      <c r="J63" s="64">
        <f>股权价值增加表!J42</f>
        <v>6763459730.5200014</v>
      </c>
      <c r="K63" s="64">
        <f>股权价值增加表!K42</f>
        <v>3207975423.8100004</v>
      </c>
      <c r="L63" s="64">
        <f>股权价值增加表!L42</f>
        <v>2308556528.71</v>
      </c>
      <c r="M63" s="64">
        <f>股权价值增加表!M42</f>
        <v>10002692872.599998</v>
      </c>
      <c r="N63" s="64">
        <f>股权价值增加表!N42</f>
        <v>8448766677.7000017</v>
      </c>
      <c r="O63" s="64">
        <f>股权价值增加表!O42</f>
        <v>4553648894.3199978</v>
      </c>
      <c r="P63" s="64">
        <f>股权价值增加表!P42</f>
        <v>2290774318.96</v>
      </c>
      <c r="Q63" s="64">
        <f>股权价值增加表!Q42</f>
        <v>10091459224.869999</v>
      </c>
      <c r="R63" s="64">
        <f>股权价值增加表!R42</f>
        <v>8400426619.0999994</v>
      </c>
      <c r="S63" s="64">
        <f>股权价值增加表!S42</f>
        <v>3433494552.5200009</v>
      </c>
      <c r="T63" s="64">
        <f>股权价值增加表!T42</f>
        <v>1508056428.7900004</v>
      </c>
      <c r="U63" s="64">
        <f>股权价值增加表!U42</f>
        <v>5922153001.5</v>
      </c>
      <c r="V63" s="64">
        <f>股权价值增加表!V42</f>
        <v>4360790989.2000017</v>
      </c>
      <c r="W63" s="64">
        <f>股权价值增加表!W42</f>
        <v>2064995157.5100002</v>
      </c>
      <c r="X63" s="64">
        <f>股权价值增加表!X42</f>
        <v>844520094.37000024</v>
      </c>
      <c r="Y63" s="64">
        <f>股权价值增加表!Y42</f>
        <v>1999719133.840003</v>
      </c>
      <c r="Z63" s="64">
        <f>股权价值增加表!Z42</f>
        <v>1365091639.1399992</v>
      </c>
      <c r="AA63" s="64">
        <f>股权价值增加表!AA42</f>
        <v>138486403.91000044</v>
      </c>
      <c r="AB63" s="64">
        <f>股权价值增加表!AB42</f>
        <v>-74529403.999999598</v>
      </c>
      <c r="AC63" s="64">
        <f>股权价值增加表!AC42</f>
        <v>859739537.74000263</v>
      </c>
    </row>
    <row r="64" spans="1:88" s="63" customFormat="1" x14ac:dyDescent="0.25">
      <c r="A64" s="214" t="s">
        <v>682</v>
      </c>
      <c r="B64" s="214"/>
      <c r="C64" s="214"/>
      <c r="D64" s="214"/>
      <c r="E64" s="214">
        <f>1-E63/E61</f>
        <v>0.14537088847306123</v>
      </c>
      <c r="F64" s="214">
        <f t="shared" ref="F64:AC64" si="46">1-F63/F61</f>
        <v>0.14555951391132305</v>
      </c>
      <c r="G64" s="214">
        <f t="shared" si="46"/>
        <v>0.16421087269855728</v>
      </c>
      <c r="H64" s="214">
        <f t="shared" si="46"/>
        <v>0.11989189951778156</v>
      </c>
      <c r="I64" s="214">
        <f t="shared" si="46"/>
        <v>0.11881093236113871</v>
      </c>
      <c r="J64" s="214">
        <f t="shared" si="46"/>
        <v>0.12779137681450692</v>
      </c>
      <c r="K64" s="214">
        <f t="shared" si="46"/>
        <v>0.14373641829941031</v>
      </c>
      <c r="L64" s="214">
        <f t="shared" si="46"/>
        <v>0.11721528077801024</v>
      </c>
      <c r="M64" s="214">
        <f t="shared" si="46"/>
        <v>8.069800785217851E-2</v>
      </c>
      <c r="N64" s="214">
        <f t="shared" si="46"/>
        <v>8.5445071717261012E-2</v>
      </c>
      <c r="O64" s="214">
        <f t="shared" si="46"/>
        <v>0.10296968076741986</v>
      </c>
      <c r="P64" s="214">
        <f t="shared" si="46"/>
        <v>0.10364644653515842</v>
      </c>
      <c r="Q64" s="214">
        <f t="shared" si="46"/>
        <v>7.2011127453440293E-2</v>
      </c>
      <c r="R64" s="214">
        <f t="shared" si="46"/>
        <v>7.4658990623546639E-2</v>
      </c>
      <c r="S64" s="214">
        <f t="shared" si="46"/>
        <v>0.10420324955387994</v>
      </c>
      <c r="T64" s="214">
        <f t="shared" si="46"/>
        <v>0.12635228291857947</v>
      </c>
      <c r="U64" s="214">
        <f t="shared" si="46"/>
        <v>0.10596553295144973</v>
      </c>
      <c r="V64" s="214">
        <f t="shared" si="46"/>
        <v>0.10005555617415329</v>
      </c>
      <c r="W64" s="214">
        <f t="shared" si="46"/>
        <v>9.5074955794082316E-2</v>
      </c>
      <c r="X64" s="214">
        <f t="shared" si="46"/>
        <v>0.1016313538811473</v>
      </c>
      <c r="Y64" s="214">
        <f t="shared" si="46"/>
        <v>0.13061066155990142</v>
      </c>
      <c r="Z64" s="214">
        <f t="shared" si="46"/>
        <v>0.13928865734970552</v>
      </c>
      <c r="AA64" s="214">
        <f t="shared" si="46"/>
        <v>0.38714434418019883</v>
      </c>
      <c r="AB64" s="214">
        <f t="shared" si="46"/>
        <v>-0.76349471892534004</v>
      </c>
      <c r="AC64" s="214">
        <f t="shared" si="46"/>
        <v>0.25640350746984741</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703</v>
      </c>
      <c r="B69" s="283"/>
      <c r="C69" s="283"/>
      <c r="D69" s="283"/>
      <c r="E69" s="283"/>
      <c r="F69" s="257"/>
      <c r="G69" s="257"/>
      <c r="H69" s="257"/>
      <c r="I69" s="257" t="s">
        <v>707</v>
      </c>
      <c r="J69" s="257"/>
      <c r="K69" s="257"/>
      <c r="L69" s="257"/>
      <c r="M69" s="257" t="s">
        <v>708</v>
      </c>
    </row>
    <row r="70" spans="1:29" ht="57.6" x14ac:dyDescent="0.25">
      <c r="A70" s="284" t="s">
        <v>704</v>
      </c>
      <c r="B70" s="65"/>
      <c r="C70" s="65"/>
      <c r="D70" s="65"/>
      <c r="E70" s="65" t="s">
        <v>705</v>
      </c>
      <c r="F70" s="65"/>
      <c r="G70" s="65"/>
      <c r="H70" s="65"/>
      <c r="I70" s="258" t="s">
        <v>709</v>
      </c>
      <c r="J70" s="259"/>
      <c r="K70" s="259"/>
      <c r="L70" s="259"/>
      <c r="M70" s="258" t="s">
        <v>710</v>
      </c>
    </row>
    <row r="71" spans="1:29" ht="54.6" customHeight="1" x14ac:dyDescent="0.25">
      <c r="A71" s="284"/>
      <c r="B71" s="65"/>
      <c r="C71" s="65"/>
      <c r="D71" s="65"/>
      <c r="E71" s="65" t="s">
        <v>706</v>
      </c>
      <c r="F71" s="65"/>
      <c r="G71" s="65"/>
      <c r="H71" s="65"/>
      <c r="I71" s="258" t="s">
        <v>711</v>
      </c>
      <c r="J71" s="259"/>
      <c r="K71" s="259"/>
      <c r="L71" s="259"/>
      <c r="M71" s="258" t="s">
        <v>712</v>
      </c>
    </row>
    <row r="72" spans="1:29" ht="57.6" x14ac:dyDescent="0.25">
      <c r="A72" s="284" t="s">
        <v>720</v>
      </c>
      <c r="B72" s="65"/>
      <c r="C72" s="65"/>
      <c r="D72" s="65"/>
      <c r="E72" s="65" t="s">
        <v>713</v>
      </c>
      <c r="F72" s="65"/>
      <c r="G72" s="65"/>
      <c r="H72" s="65"/>
      <c r="I72" s="258" t="s">
        <v>721</v>
      </c>
      <c r="J72" s="259"/>
      <c r="K72" s="259"/>
      <c r="L72" s="259"/>
      <c r="M72" s="258" t="s">
        <v>722</v>
      </c>
    </row>
    <row r="73" spans="1:29" ht="43.2" x14ac:dyDescent="0.25">
      <c r="A73" s="284"/>
      <c r="B73" s="65"/>
      <c r="C73" s="65"/>
      <c r="D73" s="65"/>
      <c r="E73" s="65" t="s">
        <v>714</v>
      </c>
      <c r="F73" s="65"/>
      <c r="G73" s="65"/>
      <c r="H73" s="65"/>
      <c r="I73" s="258" t="s">
        <v>723</v>
      </c>
      <c r="J73" s="259"/>
      <c r="K73" s="259"/>
      <c r="L73" s="259"/>
      <c r="M73" s="258" t="s">
        <v>724</v>
      </c>
    </row>
    <row r="74" spans="1:29" ht="72" x14ac:dyDescent="0.25">
      <c r="A74" s="284"/>
      <c r="B74" s="65"/>
      <c r="C74" s="65"/>
      <c r="D74" s="65"/>
      <c r="E74" s="65" t="s">
        <v>715</v>
      </c>
      <c r="F74" s="65"/>
      <c r="G74" s="65"/>
      <c r="H74" s="65"/>
      <c r="I74" s="258" t="s">
        <v>725</v>
      </c>
      <c r="J74" s="259"/>
      <c r="K74" s="259"/>
      <c r="L74" s="259"/>
      <c r="M74" s="258" t="s">
        <v>726</v>
      </c>
    </row>
    <row r="75" spans="1:29" ht="72" x14ac:dyDescent="0.25">
      <c r="A75" s="284"/>
      <c r="B75" s="65"/>
      <c r="C75" s="65"/>
      <c r="D75" s="65"/>
      <c r="E75" s="65" t="s">
        <v>716</v>
      </c>
      <c r="F75" s="65"/>
      <c r="G75" s="65"/>
      <c r="H75" s="65"/>
      <c r="I75" s="258" t="s">
        <v>727</v>
      </c>
      <c r="J75" s="259"/>
      <c r="K75" s="259"/>
      <c r="L75" s="259"/>
      <c r="M75" s="258" t="s">
        <v>728</v>
      </c>
    </row>
    <row r="76" spans="1:29" x14ac:dyDescent="0.25">
      <c r="A76" s="284"/>
      <c r="B76" s="65"/>
      <c r="C76" s="65"/>
      <c r="D76" s="65"/>
      <c r="E76" s="65" t="s">
        <v>717</v>
      </c>
      <c r="F76" s="65"/>
      <c r="G76" s="65"/>
      <c r="H76" s="65"/>
      <c r="I76" s="258" t="s">
        <v>729</v>
      </c>
      <c r="J76" s="259"/>
      <c r="K76" s="259"/>
      <c r="L76" s="259"/>
      <c r="M76" s="258" t="s">
        <v>730</v>
      </c>
    </row>
    <row r="77" spans="1:29" ht="57.6" x14ac:dyDescent="0.25">
      <c r="A77" s="284"/>
      <c r="B77" s="65"/>
      <c r="C77" s="65"/>
      <c r="D77" s="65"/>
      <c r="E77" s="65" t="s">
        <v>718</v>
      </c>
      <c r="F77" s="65"/>
      <c r="G77" s="65"/>
      <c r="H77" s="65"/>
      <c r="I77" s="258" t="s">
        <v>731</v>
      </c>
      <c r="J77" s="259"/>
      <c r="K77" s="259"/>
      <c r="L77" s="259"/>
      <c r="M77" s="258" t="s">
        <v>732</v>
      </c>
    </row>
    <row r="78" spans="1:29" ht="57.6" x14ac:dyDescent="0.25">
      <c r="A78" s="284"/>
      <c r="B78" s="65"/>
      <c r="C78" s="65"/>
      <c r="D78" s="65"/>
      <c r="E78" s="65" t="s">
        <v>719</v>
      </c>
      <c r="F78" s="65"/>
      <c r="G78" s="65"/>
      <c r="H78" s="65"/>
      <c r="I78" s="258" t="s">
        <v>733</v>
      </c>
      <c r="J78" s="259"/>
      <c r="K78" s="259"/>
      <c r="L78" s="259"/>
      <c r="M78" s="258"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0" width="21.5546875" hidden="1" customWidth="1"/>
    <col min="31"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18.33203125" hidden="1" customWidth="1"/>
    <col min="69" max="69" width="19.33203125" bestFit="1" customWidth="1"/>
    <col min="70" max="70" width="18.33203125" hidden="1" customWidth="1"/>
    <col min="71" max="71" width="19.33203125" bestFit="1" customWidth="1"/>
    <col min="72" max="72" width="18.33203125" hidden="1" customWidth="1"/>
    <col min="73" max="73" width="19.33203125" bestFit="1" customWidth="1"/>
    <col min="74" max="74" width="18.33203125" hidden="1" customWidth="1"/>
    <col min="75" max="75" width="19.33203125" bestFit="1" customWidth="1"/>
    <col min="76" max="76" width="18.33203125" hidden="1" customWidth="1"/>
    <col min="77" max="77" width="19.33203125" bestFit="1" customWidth="1"/>
    <col min="78" max="78" width="17.21875" hidden="1" customWidth="1"/>
    <col min="79" max="79" width="17.21875" bestFit="1" customWidth="1"/>
    <col min="80" max="80" width="17.21875" hidden="1" customWidth="1"/>
    <col min="81" max="81" width="17.21875" bestFit="1" customWidth="1"/>
    <col min="82" max="82" width="17.21875" hidden="1" customWidth="1"/>
    <col min="83" max="83" width="17.21875" bestFit="1" customWidth="1"/>
    <col min="84" max="84" width="19.33203125" hidden="1" customWidth="1"/>
    <col min="85" max="87" width="17.21875" bestFit="1" customWidth="1"/>
    <col min="88" max="89" width="16.109375" bestFit="1" customWidth="1"/>
  </cols>
  <sheetData>
    <row r="1" spans="1:89"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s="26" customFormat="1" x14ac:dyDescent="0.25">
      <c r="A2" s="17" t="s">
        <v>425</v>
      </c>
      <c r="E2" s="26">
        <f>股权价值增加表!E42</f>
        <v>5613466691.4999981</v>
      </c>
      <c r="F2" s="26">
        <f>股权价值增加表!F42</f>
        <v>5240741246.2599983</v>
      </c>
      <c r="G2" s="26">
        <f>股权价值增加表!G42</f>
        <v>2636906338.8199992</v>
      </c>
      <c r="H2" s="26">
        <f>股权价值增加表!H42</f>
        <v>1843543760.4699998</v>
      </c>
      <c r="I2" s="26">
        <f>股权价值增加表!I42</f>
        <v>7843128046.6099997</v>
      </c>
      <c r="J2" s="26">
        <f>股权价值增加表!J42</f>
        <v>6763459730.5200014</v>
      </c>
      <c r="K2" s="26">
        <f>股权价值增加表!K42</f>
        <v>3207975423.8100004</v>
      </c>
      <c r="L2" s="26">
        <f>股权价值增加表!L42</f>
        <v>2308556528.71</v>
      </c>
      <c r="M2" s="26">
        <f>股权价值增加表!M42</f>
        <v>10002692872.599998</v>
      </c>
      <c r="N2" s="26">
        <f>股权价值增加表!N42</f>
        <v>8448766677.7000017</v>
      </c>
      <c r="O2" s="26">
        <f>股权价值增加表!O42</f>
        <v>4553648894.3199978</v>
      </c>
      <c r="P2" s="26">
        <f>股权价值增加表!P42</f>
        <v>2290774318.96</v>
      </c>
      <c r="Q2" s="26">
        <f>股权价值增加表!Q42</f>
        <v>10091459224.869999</v>
      </c>
      <c r="R2" s="26">
        <f>股权价值增加表!R42</f>
        <v>8400426619.0999994</v>
      </c>
      <c r="S2" s="26">
        <f>股权价值增加表!S42</f>
        <v>3433494552.5200009</v>
      </c>
      <c r="T2" s="26">
        <f>股权价值增加表!T42</f>
        <v>1508056428.7900004</v>
      </c>
      <c r="U2" s="26">
        <f>股权价值增加表!U42</f>
        <v>5922153001.5</v>
      </c>
      <c r="V2" s="26">
        <f>股权价值增加表!V42</f>
        <v>4360790989.2000017</v>
      </c>
      <c r="W2" s="26">
        <f>股权价值增加表!W42</f>
        <v>2064995157.5100002</v>
      </c>
      <c r="X2" s="26">
        <f>股权价值增加表!X42</f>
        <v>844520094.37000024</v>
      </c>
      <c r="Y2" s="26">
        <f>股权价值增加表!Y42</f>
        <v>1999719133.840003</v>
      </c>
      <c r="Z2" s="26">
        <f>股权价值增加表!Z42</f>
        <v>1365091639.1399992</v>
      </c>
      <c r="AA2" s="26">
        <f>股权价值增加表!AA42</f>
        <v>138486403.91000044</v>
      </c>
      <c r="AB2" s="26">
        <f>股权价值增加表!AB42</f>
        <v>-74529403.999999598</v>
      </c>
      <c r="AC2" s="26">
        <f>股权价值增加表!AC42</f>
        <v>859739537.74000263</v>
      </c>
      <c r="AD2" s="26">
        <f>股权价值增加表!AD42</f>
        <v>737144144.68999958</v>
      </c>
      <c r="AE2" s="26">
        <f>股权价值增加表!AE42</f>
        <v>250670585.74999914</v>
      </c>
      <c r="AF2" s="26">
        <f>股权价值增加表!AF42</f>
        <v>33786881.880000353</v>
      </c>
      <c r="AG2" s="26">
        <f>股权价值增加表!AG42</f>
        <v>1196575529.6400006</v>
      </c>
      <c r="AH2" s="26">
        <f>股权价值增加表!AH42</f>
        <v>879699820.20999956</v>
      </c>
      <c r="AI2" s="26">
        <f>股权价值增加表!AI42</f>
        <v>232870610.18000022</v>
      </c>
      <c r="AJ2" s="26">
        <f>股权价值增加表!AJ42</f>
        <v>89220850.149999678</v>
      </c>
      <c r="AK2" s="26">
        <f>股权价值增加表!AK42</f>
        <v>1023609868.7100006</v>
      </c>
      <c r="AL2" s="26">
        <f>股权价值增加表!AL42</f>
        <v>260318474.49000037</v>
      </c>
      <c r="AM2" s="26">
        <f>股权价值增加表!AM42</f>
        <v>144476104.50000024</v>
      </c>
      <c r="AN2" s="26">
        <f>股权价值增加表!AN42</f>
        <v>55889953.810000017</v>
      </c>
      <c r="AO2" s="26">
        <f>股权价值增加表!AO42</f>
        <v>167573514.67000079</v>
      </c>
      <c r="AP2" s="26">
        <f>股权价值增加表!AP42</f>
        <v>183848510.50000012</v>
      </c>
      <c r="AQ2" s="26">
        <f>股权价值增加表!AQ42</f>
        <v>170530603.08000019</v>
      </c>
      <c r="AR2" s="26">
        <f>股权价值增加表!AR42</f>
        <v>99428591.310000107</v>
      </c>
      <c r="AS2" s="26">
        <f>股权价值增加表!AS42</f>
        <v>919554269.8299998</v>
      </c>
      <c r="AT2" s="26">
        <f>股权价值增加表!AT42</f>
        <v>745637987.20000041</v>
      </c>
      <c r="AU2" s="26">
        <f>股权价值增加表!AU42</f>
        <v>566791969.87</v>
      </c>
      <c r="AV2" s="26">
        <f>股权价值增加表!AV42</f>
        <v>287637752.28000009</v>
      </c>
      <c r="AW2" s="26">
        <f>股权价值增加表!AW42</f>
        <v>739920179.29000008</v>
      </c>
      <c r="AX2" s="26">
        <f>股权价值增加表!AX42</f>
        <v>503307356.29000002</v>
      </c>
      <c r="AY2" s="26">
        <f>股权价值增加表!AY42</f>
        <v>316331534.68999982</v>
      </c>
      <c r="AZ2" s="26">
        <f>股权价值增加表!AZ42</f>
        <v>122338472.30999996</v>
      </c>
      <c r="BA2" s="26">
        <f>股权价值增加表!BA42</f>
        <v>654962269.1700002</v>
      </c>
      <c r="BB2" s="26">
        <f>股权价值增加表!BB42</f>
        <v>573534423.28000021</v>
      </c>
      <c r="BC2" s="26">
        <f>股权价值增加表!BC42</f>
        <v>375381609.21000004</v>
      </c>
      <c r="BD2" s="26">
        <f>股权价值增加表!BD42</f>
        <v>208248435.5</v>
      </c>
      <c r="BE2" s="26">
        <f>股权价值增加表!BE42</f>
        <v>573147587.86000001</v>
      </c>
      <c r="BF2" s="26">
        <f>股权价值增加表!BF42</f>
        <v>423249890.06999993</v>
      </c>
      <c r="BG2" s="26">
        <f>股权价值增加表!BG42</f>
        <v>302622982.69999993</v>
      </c>
      <c r="BH2" s="26">
        <f>股权价值增加表!BH42</f>
        <v>112687907.36000001</v>
      </c>
      <c r="BI2" s="26">
        <f>股权价值增加表!BI42</f>
        <v>358637429.07999998</v>
      </c>
      <c r="BJ2" s="26">
        <f>股权价值增加表!BJ42</f>
        <v>231517782.21999988</v>
      </c>
      <c r="BK2" s="26">
        <f>股权价值增加表!BK42</f>
        <v>145487030.24000007</v>
      </c>
      <c r="BL2" s="26">
        <f>股权价值增加表!BL42</f>
        <v>76510057.419999972</v>
      </c>
      <c r="BM2" s="26">
        <f>股权价值增加表!BM42</f>
        <v>-1907746.2099997029</v>
      </c>
      <c r="BN2" s="26">
        <f>股权价值增加表!BN42</f>
        <v>-89311536.409999967</v>
      </c>
      <c r="BO2" s="26">
        <f>股权价值增加表!BO42</f>
        <v>-66766287.609999985</v>
      </c>
      <c r="BP2" s="26">
        <f>股权价值增加表!BP42</f>
        <v>-36816950.089999989</v>
      </c>
      <c r="BQ2" s="26">
        <f>股权价值增加表!BQ42</f>
        <v>-56412568.379999973</v>
      </c>
      <c r="BR2" s="26">
        <f>股权价值增加表!BR42</f>
        <v>-1665814.9699999928</v>
      </c>
      <c r="BS2" s="26">
        <f>股权价值增加表!BS42</f>
        <v>6416326.6100001652</v>
      </c>
      <c r="BT2" s="26">
        <f>股权价值增加表!BT42</f>
        <v>-34818332.969999947</v>
      </c>
      <c r="BU2" s="26">
        <f>股权价值增加表!BU42</f>
        <v>-51582165.800000206</v>
      </c>
      <c r="BV2" s="26">
        <f>股权价值增加表!BV42</f>
        <v>-68450014.060000002</v>
      </c>
      <c r="BW2" s="26">
        <f>股权价值增加表!BW42</f>
        <v>53280820.879999846</v>
      </c>
      <c r="BX2" s="26">
        <f>股权价值增加表!BX42</f>
        <v>76559418.919999972</v>
      </c>
      <c r="BY2" s="26">
        <f>股权价值增加表!BY42</f>
        <v>111034333.27000009</v>
      </c>
      <c r="BZ2" s="26">
        <f>股权价值增加表!BZ42</f>
        <v>605045102.11999989</v>
      </c>
      <c r="CA2" s="26">
        <f>股权价值增加表!CA42</f>
        <v>108077578.99000001</v>
      </c>
      <c r="CB2" s="26">
        <f>股权价值增加表!CB42</f>
        <v>127818086.89</v>
      </c>
      <c r="CC2" s="26">
        <f>股权价值增加表!CC42</f>
        <v>68318977.779999971</v>
      </c>
      <c r="CD2" s="26">
        <f>股权价值增加表!CD42</f>
        <v>89658844.189999998</v>
      </c>
      <c r="CE2" s="26">
        <f>股权价值增加表!CE42</f>
        <v>37572290.329999998</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60707559853.910004</v>
      </c>
      <c r="F3" s="26">
        <f>资产资本表!F107</f>
        <v>59592631165.040001</v>
      </c>
      <c r="G3" s="26">
        <f>资产资本表!G107</f>
        <v>57001985190.470001</v>
      </c>
      <c r="H3" s="26">
        <f>资产资本表!H107</f>
        <v>58592715082.429993</v>
      </c>
      <c r="I3" s="26">
        <f>资产资本表!I107</f>
        <v>56717778327.130005</v>
      </c>
      <c r="J3" s="26">
        <f>资产资本表!J107</f>
        <v>54400479287.020004</v>
      </c>
      <c r="K3" s="26">
        <f>资产资本表!K107</f>
        <v>49718624311.059998</v>
      </c>
      <c r="L3" s="26">
        <f>资产资本表!L107</f>
        <v>53862614636.199997</v>
      </c>
      <c r="M3" s="26">
        <f>资产资本表!M107</f>
        <v>51389642485.699997</v>
      </c>
      <c r="N3" s="26">
        <f>资产资本表!N107</f>
        <v>48209056999.830002</v>
      </c>
      <c r="O3" s="26">
        <f>资产资本表!O107</f>
        <v>43334297842.989998</v>
      </c>
      <c r="P3" s="26">
        <f>资产资本表!P107</f>
        <v>46140849608.440002</v>
      </c>
      <c r="Q3" s="26">
        <f>资产资本表!Q107</f>
        <v>42715938189.479996</v>
      </c>
      <c r="R3" s="26">
        <f>资产资本表!R107</f>
        <v>40263100130.639999</v>
      </c>
      <c r="S3" s="26">
        <f>资产资本表!S107</f>
        <v>34520801953.279999</v>
      </c>
      <c r="T3" s="26">
        <f>资产资本表!T107</f>
        <v>35241845216.339996</v>
      </c>
      <c r="U3" s="26">
        <f>资产资本表!U107</f>
        <v>33733788787.549999</v>
      </c>
      <c r="V3" s="26">
        <f>资产资本表!V107</f>
        <v>32638826676.720001</v>
      </c>
      <c r="W3" s="26">
        <f>资产资本表!W107</f>
        <v>29101139352.889999</v>
      </c>
      <c r="X3" s="26">
        <f>资产资本表!X107</f>
        <v>26513005375.169998</v>
      </c>
      <c r="Y3" s="26">
        <f>资产资本表!Y107</f>
        <v>25480039470.029999</v>
      </c>
      <c r="Z3" s="26">
        <f>资产资本表!Z107</f>
        <v>25044768230.18</v>
      </c>
      <c r="AA3" s="26">
        <f>资产资本表!AA107</f>
        <v>23477327402.029999</v>
      </c>
      <c r="AB3" s="26">
        <f>资产资本表!AB107</f>
        <v>21679874268.790001</v>
      </c>
      <c r="AC3" s="26">
        <f>资产资本表!AC107</f>
        <v>22503824324.77</v>
      </c>
      <c r="AD3" s="26">
        <f>资产资本表!AD107</f>
        <v>19963550822.07</v>
      </c>
      <c r="AE3" s="26">
        <f>资产资本表!AE107</f>
        <v>18771004790.75</v>
      </c>
      <c r="AF3" s="26">
        <f>资产资本表!AF107</f>
        <v>16645584894.16</v>
      </c>
      <c r="AG3" s="26">
        <f>资产资本表!AG107</f>
        <v>16212320673.010002</v>
      </c>
      <c r="AH3" s="26">
        <f>资产资本表!AH107</f>
        <v>15890988078.329998</v>
      </c>
      <c r="AI3" s="26">
        <f>资产资本表!AI107</f>
        <v>15453795915.98</v>
      </c>
      <c r="AJ3" s="26">
        <f>资产资本表!AJ107</f>
        <v>15451269391.98</v>
      </c>
      <c r="AK3" s="26">
        <f>资产资本表!AK107</f>
        <v>16362048541.82</v>
      </c>
      <c r="AL3" s="26">
        <f>资产资本表!AL107</f>
        <v>5784725492.6700001</v>
      </c>
      <c r="AM3" s="26">
        <f>资产资本表!AM107</f>
        <v>5745233122.6800003</v>
      </c>
      <c r="AN3" s="26">
        <f>资产资本表!AN107</f>
        <v>6091812966.8699999</v>
      </c>
      <c r="AO3" s="26">
        <f>资产资本表!AO107</f>
        <v>6026923013.0600004</v>
      </c>
      <c r="AP3" s="26">
        <f>资产资本表!AP107</f>
        <v>6135362244.5799999</v>
      </c>
      <c r="AQ3" s="26">
        <f>资产资本表!AQ107</f>
        <v>6115044337.1399994</v>
      </c>
      <c r="AR3" s="26">
        <f>资产资本表!AR107</f>
        <v>6404687396.6800003</v>
      </c>
      <c r="AS3" s="26">
        <f>资产资本表!AS107</f>
        <v>6422619402.5799999</v>
      </c>
      <c r="AT3" s="26">
        <f>资产资本表!AT107</f>
        <v>6271367055.3800001</v>
      </c>
      <c r="AU3" s="26">
        <f>资产资本表!AU107</f>
        <v>4653103232.2199993</v>
      </c>
      <c r="AV3" s="26">
        <f>资产资本表!AV107</f>
        <v>4739189507.7399998</v>
      </c>
      <c r="AW3" s="26">
        <f>资产资本表!AW107</f>
        <v>5127287264.6900005</v>
      </c>
      <c r="AX3" s="26">
        <f>资产资本表!AX107</f>
        <v>4266750000.0199995</v>
      </c>
      <c r="AY3" s="26">
        <f>资产资本表!AY107</f>
        <v>2747136534.1999998</v>
      </c>
      <c r="AZ3" s="26">
        <f>资产资本表!AZ107</f>
        <v>2484115688.4899998</v>
      </c>
      <c r="BA3" s="26">
        <f>资产资本表!BA107</f>
        <v>2504620905.3600001</v>
      </c>
      <c r="BB3" s="26">
        <f>资产资本表!BB107</f>
        <v>2826314936.8800001</v>
      </c>
      <c r="BC3" s="26">
        <f>资产资本表!BC107</f>
        <v>2628162154.75</v>
      </c>
      <c r="BD3" s="26">
        <f>资产资本表!BD107</f>
        <v>2590224462.7799997</v>
      </c>
      <c r="BE3" s="26">
        <f>资产资本表!BE107</f>
        <v>2406311060.6499996</v>
      </c>
      <c r="BF3" s="26">
        <f>资产资本表!BF107</f>
        <v>2276769241.8499999</v>
      </c>
      <c r="BG3" s="26">
        <f>资产资本表!BG107</f>
        <v>2208355109.4200001</v>
      </c>
      <c r="BH3" s="26">
        <f>资产资本表!BH107</f>
        <v>1680372650.6099999</v>
      </c>
      <c r="BI3" s="26">
        <f>资产资本表!BI107</f>
        <v>1627684743.25</v>
      </c>
      <c r="BJ3" s="26">
        <f>资产资本表!BJ107</f>
        <v>1553947514.4400001</v>
      </c>
      <c r="BK3" s="26">
        <f>资产资本表!BK107</f>
        <v>1467191860.6100001</v>
      </c>
      <c r="BL3" s="26">
        <f>资产资本表!BL107</f>
        <v>1410739887.46</v>
      </c>
      <c r="BM3" s="26">
        <f>资产资本表!BM107</f>
        <v>1376726626.6399999</v>
      </c>
      <c r="BN3" s="26">
        <f>资产资本表!BN107</f>
        <v>772524321.36000001</v>
      </c>
      <c r="BO3" s="26">
        <f>资产资本表!BO107</f>
        <v>794348120.61000001</v>
      </c>
      <c r="BP3" s="26">
        <f>资产资本表!BP107</f>
        <v>824297458.13</v>
      </c>
      <c r="BQ3" s="26">
        <f>资产资本表!BQ107</f>
        <v>860708919.22000003</v>
      </c>
      <c r="BR3" s="26">
        <f>资产资本表!BR107</f>
        <v>952410215.53999996</v>
      </c>
      <c r="BS3" s="26">
        <f>资产资本表!BS107</f>
        <v>900210616.96000004</v>
      </c>
      <c r="BT3" s="26">
        <f>资产资本表!BT107</f>
        <v>922951029.61000001</v>
      </c>
      <c r="BU3" s="26">
        <f>资产资本表!BU107</f>
        <v>957377719.09000003</v>
      </c>
      <c r="BV3" s="26">
        <f>资产资本表!BV107</f>
        <v>900796117.58000004</v>
      </c>
      <c r="BW3" s="26">
        <f>资产资本表!BW107</f>
        <v>1017391588.33</v>
      </c>
      <c r="BX3" s="26">
        <f>资产资本表!BX107</f>
        <v>513663122.45999998</v>
      </c>
      <c r="BY3" s="26">
        <f>资产资本表!BY107</f>
        <v>414727216.82999998</v>
      </c>
      <c r="BZ3" s="26">
        <f>资产资本表!BZ107</f>
        <v>332300576.95999998</v>
      </c>
      <c r="CA3" s="26">
        <f>资产资本表!CA107</f>
        <v>269406822.85000002</v>
      </c>
      <c r="CB3" s="26">
        <f>资产资本表!CB107</f>
        <v>186091714.91999999</v>
      </c>
      <c r="CC3" s="26">
        <f>资产资本表!CC107</f>
        <v>117380516.84999999</v>
      </c>
      <c r="CD3" s="26">
        <f>资产资本表!CD107</f>
        <v>124327420.78</v>
      </c>
      <c r="CE3" s="26">
        <f>资产资本表!CE107</f>
        <v>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9.2467341876506848E-2</v>
      </c>
      <c r="F4" s="59">
        <f t="shared" ref="F4:BQ4" si="0">F2/F3</f>
        <v>8.794277318861661E-2</v>
      </c>
      <c r="G4" s="59">
        <f t="shared" si="0"/>
        <v>4.6259903580706446E-2</v>
      </c>
      <c r="H4" s="59">
        <f t="shared" si="0"/>
        <v>3.1463702575933665E-2</v>
      </c>
      <c r="I4" s="59">
        <f t="shared" si="0"/>
        <v>0.13828341444147099</v>
      </c>
      <c r="J4" s="59">
        <f t="shared" si="0"/>
        <v>0.1243272084945356</v>
      </c>
      <c r="K4" s="59">
        <f t="shared" si="0"/>
        <v>6.452261035501701E-2</v>
      </c>
      <c r="L4" s="59">
        <f t="shared" si="0"/>
        <v>4.2860090329860538E-2</v>
      </c>
      <c r="M4" s="59">
        <f t="shared" si="0"/>
        <v>0.19464414206390734</v>
      </c>
      <c r="N4" s="59">
        <f t="shared" si="0"/>
        <v>0.1752526849411262</v>
      </c>
      <c r="O4" s="59">
        <f t="shared" si="0"/>
        <v>0.10508186635027299</v>
      </c>
      <c r="P4" s="59">
        <f t="shared" si="0"/>
        <v>4.9647423885774651E-2</v>
      </c>
      <c r="Q4" s="59">
        <f t="shared" si="0"/>
        <v>0.23624575866989397</v>
      </c>
      <c r="R4" s="59">
        <f t="shared" si="0"/>
        <v>0.2086383460747803</v>
      </c>
      <c r="S4" s="59">
        <f t="shared" si="0"/>
        <v>9.9461610340537493E-2</v>
      </c>
      <c r="T4" s="59">
        <f t="shared" si="0"/>
        <v>4.2791642138272183E-2</v>
      </c>
      <c r="U4" s="59">
        <f t="shared" si="0"/>
        <v>0.17555552501964045</v>
      </c>
      <c r="V4" s="59">
        <f t="shared" si="0"/>
        <v>0.13360746795197706</v>
      </c>
      <c r="W4" s="59">
        <f t="shared" si="0"/>
        <v>7.0959254634988297E-2</v>
      </c>
      <c r="X4" s="59">
        <f t="shared" si="0"/>
        <v>3.1853050320764902E-2</v>
      </c>
      <c r="Y4" s="59">
        <f t="shared" si="0"/>
        <v>7.8481791058137976E-2</v>
      </c>
      <c r="Z4" s="59">
        <f t="shared" si="0"/>
        <v>5.450605997203864E-2</v>
      </c>
      <c r="AA4" s="59">
        <f t="shared" si="0"/>
        <v>5.8987295077729349E-3</v>
      </c>
      <c r="AB4" s="59">
        <f t="shared" si="0"/>
        <v>-3.4377230732971055E-3</v>
      </c>
      <c r="AC4" s="59">
        <f t="shared" si="0"/>
        <v>3.8204152562357402E-2</v>
      </c>
      <c r="AD4" s="59">
        <f t="shared" si="0"/>
        <v>3.6924500619152173E-2</v>
      </c>
      <c r="AE4" s="59">
        <f t="shared" si="0"/>
        <v>1.3354137860191954E-2</v>
      </c>
      <c r="AF4" s="59">
        <f t="shared" si="0"/>
        <v>2.0297803949114622E-3</v>
      </c>
      <c r="AG4" s="59">
        <f t="shared" si="0"/>
        <v>7.3806554519492043E-2</v>
      </c>
      <c r="AH4" s="59">
        <f t="shared" si="0"/>
        <v>5.5358409173411713E-2</v>
      </c>
      <c r="AI4" s="59">
        <f t="shared" si="0"/>
        <v>1.5068829137260726E-2</v>
      </c>
      <c r="AJ4" s="59">
        <f t="shared" si="0"/>
        <v>5.7743378803756969E-3</v>
      </c>
      <c r="AK4" s="59">
        <f t="shared" si="0"/>
        <v>6.2560006841059126E-2</v>
      </c>
      <c r="AL4" s="59">
        <f t="shared" si="0"/>
        <v>4.5001007363246144E-2</v>
      </c>
      <c r="AM4" s="59">
        <f t="shared" si="0"/>
        <v>2.5147126568226343E-2</v>
      </c>
      <c r="AN4" s="59">
        <f t="shared" si="0"/>
        <v>9.1746010775371062E-3</v>
      </c>
      <c r="AO4" s="59">
        <f t="shared" si="0"/>
        <v>2.7804157163925685E-2</v>
      </c>
      <c r="AP4" s="59">
        <f t="shared" si="0"/>
        <v>2.9965388052256004E-2</v>
      </c>
      <c r="AQ4" s="59">
        <f t="shared" si="0"/>
        <v>2.7887059141055583E-2</v>
      </c>
      <c r="AR4" s="59">
        <f t="shared" si="0"/>
        <v>1.552434727127212E-2</v>
      </c>
      <c r="AS4" s="59">
        <f t="shared" si="0"/>
        <v>0.14317433623119721</v>
      </c>
      <c r="AT4" s="59">
        <f t="shared" si="0"/>
        <v>0.11889560611196279</v>
      </c>
      <c r="AU4" s="59">
        <f t="shared" si="0"/>
        <v>0.12180945523522871</v>
      </c>
      <c r="AV4" s="59">
        <f t="shared" si="0"/>
        <v>6.0693448069597727E-2</v>
      </c>
      <c r="AW4" s="59">
        <f t="shared" si="0"/>
        <v>0.14431026410117401</v>
      </c>
      <c r="AX4" s="59">
        <f t="shared" si="0"/>
        <v>0.11796035771667918</v>
      </c>
      <c r="AY4" s="59">
        <f t="shared" si="0"/>
        <v>0.11514954963172934</v>
      </c>
      <c r="AZ4" s="59">
        <f t="shared" si="0"/>
        <v>4.9248299053400731E-2</v>
      </c>
      <c r="BA4" s="59">
        <f t="shared" si="0"/>
        <v>0.26150155808743425</v>
      </c>
      <c r="BB4" s="59">
        <f t="shared" si="0"/>
        <v>0.20292657969431074</v>
      </c>
      <c r="BC4" s="59">
        <f t="shared" si="0"/>
        <v>0.14283045988298529</v>
      </c>
      <c r="BD4" s="59">
        <f t="shared" si="0"/>
        <v>8.039783365974934E-2</v>
      </c>
      <c r="BE4" s="59">
        <f t="shared" si="0"/>
        <v>0.23818516119241032</v>
      </c>
      <c r="BF4" s="59">
        <f t="shared" si="0"/>
        <v>0.18589933590550714</v>
      </c>
      <c r="BG4" s="59">
        <f t="shared" si="0"/>
        <v>0.13703547106582895</v>
      </c>
      <c r="BH4" s="59">
        <f t="shared" si="0"/>
        <v>6.7061260083644339E-2</v>
      </c>
      <c r="BI4" s="59">
        <f t="shared" si="0"/>
        <v>0.22033592842057867</v>
      </c>
      <c r="BJ4" s="59">
        <f t="shared" si="0"/>
        <v>0.14898687379633443</v>
      </c>
      <c r="BK4" s="59">
        <f t="shared" si="0"/>
        <v>9.9160194481662634E-2</v>
      </c>
      <c r="BL4" s="59">
        <f t="shared" si="0"/>
        <v>5.4233993169183238E-2</v>
      </c>
      <c r="BM4" s="59">
        <f t="shared" si="0"/>
        <v>-1.3857117114497121E-3</v>
      </c>
      <c r="BN4" s="59">
        <f t="shared" si="0"/>
        <v>-0.11560999950496104</v>
      </c>
      <c r="BO4" s="59">
        <f t="shared" si="0"/>
        <v>-8.4051671902652031E-2</v>
      </c>
      <c r="BP4" s="59">
        <f t="shared" si="0"/>
        <v>-4.4664641055090562E-2</v>
      </c>
      <c r="BQ4" s="59">
        <f t="shared" si="0"/>
        <v>-6.5541981871319183E-2</v>
      </c>
      <c r="BR4" s="59">
        <f t="shared" ref="BR4:CJ4" si="1">BR2/BR3</f>
        <v>-1.7490519765745107E-3</v>
      </c>
      <c r="BS4" s="59">
        <f t="shared" si="1"/>
        <v>7.1275837999645233E-3</v>
      </c>
      <c r="BT4" s="59">
        <f t="shared" si="1"/>
        <v>-3.7725005826920954E-2</v>
      </c>
      <c r="BU4" s="59">
        <f t="shared" si="1"/>
        <v>-5.387859438490978E-2</v>
      </c>
      <c r="BV4" s="59">
        <f t="shared" si="1"/>
        <v>-7.5988353772984518E-2</v>
      </c>
      <c r="BW4" s="59">
        <f t="shared" si="1"/>
        <v>5.2370022999165725E-2</v>
      </c>
      <c r="BX4" s="59">
        <f t="shared" si="1"/>
        <v>0.14904597112860057</v>
      </c>
      <c r="BY4" s="59">
        <f t="shared" si="1"/>
        <v>0.26772859065942123</v>
      </c>
      <c r="BZ4" s="59">
        <f t="shared" si="1"/>
        <v>1.8207765621569505</v>
      </c>
      <c r="CA4" s="59">
        <f t="shared" si="1"/>
        <v>0.4011686780856894</v>
      </c>
      <c r="CB4" s="59">
        <f t="shared" si="1"/>
        <v>0.6868553333766011</v>
      </c>
      <c r="CC4" s="59">
        <f t="shared" si="1"/>
        <v>0.58202996215551228</v>
      </c>
      <c r="CD4" s="59">
        <f t="shared" si="1"/>
        <v>0.72115100295254431</v>
      </c>
      <c r="CE4" s="59" t="e">
        <f t="shared" si="1"/>
        <v>#DIV/0!</v>
      </c>
      <c r="CF4" s="59">
        <f t="shared" si="1"/>
        <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756861903.18719769</v>
      </c>
      <c r="F5" s="26">
        <f>股权价值增加表!F47</f>
        <v>473330753.05679798</v>
      </c>
      <c r="G5" s="26">
        <f>股权价值增加表!G47</f>
        <v>-1923252476.4176011</v>
      </c>
      <c r="H5" s="26">
        <f>股权价值增加表!H47</f>
        <v>-2843873446.1244006</v>
      </c>
      <c r="I5" s="26">
        <f>股权价值增加表!I47</f>
        <v>3305705780.4396</v>
      </c>
      <c r="J5" s="26">
        <f>股权价值增加表!J47</f>
        <v>2411421387.5584021</v>
      </c>
      <c r="K5" s="26">
        <f>股权价值增加表!K47</f>
        <v>-769514521.07479954</v>
      </c>
      <c r="L5" s="26">
        <f>股权价值增加表!L47</f>
        <v>-2000452642.1859999</v>
      </c>
      <c r="M5" s="26">
        <f>股权价值增加表!M47</f>
        <v>5891521473.7439985</v>
      </c>
      <c r="N5" s="26">
        <f>股权价值增加表!N47</f>
        <v>4592042117.7136021</v>
      </c>
      <c r="O5" s="26">
        <f>股权价值增加表!O47</f>
        <v>1086905066.8807979</v>
      </c>
      <c r="P5" s="26">
        <f>股权价值增加表!P47</f>
        <v>-1400493649.7152004</v>
      </c>
      <c r="Q5" s="26">
        <f>股权价值增加表!Q47</f>
        <v>6674184169.7115984</v>
      </c>
      <c r="R5" s="26">
        <f>股权价值增加表!R47</f>
        <v>5179378608.6487999</v>
      </c>
      <c r="S5" s="26">
        <f>股权价值增加表!S47</f>
        <v>671830396.25760078</v>
      </c>
      <c r="T5" s="26">
        <f>股权价值增加表!T47</f>
        <v>-1311291188.5171995</v>
      </c>
      <c r="U5" s="26">
        <f>股权价值增加表!U47</f>
        <v>3223449898.4959998</v>
      </c>
      <c r="V5" s="26">
        <f>股权价值增加表!V47</f>
        <v>1749684855.0624018</v>
      </c>
      <c r="W5" s="26">
        <f>股权价值增加表!W47</f>
        <v>-263095990.72119999</v>
      </c>
      <c r="X5" s="26">
        <f>股权价值增加表!X47</f>
        <v>-1276520335.6435995</v>
      </c>
      <c r="Y5" s="26">
        <f>股权价值增加表!Y47</f>
        <v>-38684023.762396812</v>
      </c>
      <c r="Z5" s="26">
        <f>股权价值增加表!Z47</f>
        <v>-638489819.27440095</v>
      </c>
      <c r="AA5" s="26">
        <f>股权价值增加表!AA47</f>
        <v>-1739699788.2523994</v>
      </c>
      <c r="AB5" s="26">
        <f>股权价值增加表!AB47</f>
        <v>-1808919345.5031996</v>
      </c>
      <c r="AC5" s="26">
        <f>股权价值增加表!AC47</f>
        <v>-940566408.24159741</v>
      </c>
      <c r="AD5" s="26">
        <f>股权价值增加表!AD47</f>
        <v>-859939921.07560039</v>
      </c>
      <c r="AE5" s="26">
        <f>股权价值增加表!AE47</f>
        <v>-1251009797.5100009</v>
      </c>
      <c r="AF5" s="26">
        <f>股权价值增加表!AF47</f>
        <v>-1297859909.6527996</v>
      </c>
      <c r="AG5" s="26">
        <f>股权价值增加表!AG47</f>
        <v>-100410124.20079947</v>
      </c>
      <c r="AH5" s="26">
        <f>股权价值增加表!AH47</f>
        <v>-391579226.05640054</v>
      </c>
      <c r="AI5" s="26">
        <f>股权价值增加表!AI47</f>
        <v>-1003433063.0983998</v>
      </c>
      <c r="AJ5" s="26">
        <f>股权价值增加表!AJ47</f>
        <v>-1146880701.2084005</v>
      </c>
      <c r="AK5" s="26">
        <f>股权价值增加表!AK47</f>
        <v>-285354014.63559926</v>
      </c>
      <c r="AL5" s="26">
        <f>股权价值增加表!AL47</f>
        <v>-202459564.92359966</v>
      </c>
      <c r="AM5" s="26">
        <f>股权价值增加表!AM47</f>
        <v>-315142545.31439978</v>
      </c>
      <c r="AN5" s="26">
        <f>股权价值增加表!AN47</f>
        <v>-431455083.53960001</v>
      </c>
      <c r="AO5" s="26">
        <f>股权价值增加表!AO47</f>
        <v>-314580326.37479925</v>
      </c>
      <c r="AP5" s="26">
        <f>股权价值增加表!AP47</f>
        <v>-306980469.06639987</v>
      </c>
      <c r="AQ5" s="26">
        <f>股权价值增加表!AQ47</f>
        <v>-318672943.89119983</v>
      </c>
      <c r="AR5" s="26">
        <f>股权价值增加表!AR47</f>
        <v>-412946400.42439991</v>
      </c>
      <c r="AS5" s="26">
        <f>股权价值增加表!AS47</f>
        <v>405744717.62359983</v>
      </c>
      <c r="AT5" s="26">
        <f>股权价值增加表!AT47</f>
        <v>243928622.76960039</v>
      </c>
      <c r="AU5" s="26">
        <f>股权价值增加表!AU47</f>
        <v>194543711.2924</v>
      </c>
      <c r="AV5" s="26">
        <f>股权价值增加表!AV47</f>
        <v>-91497408.339199901</v>
      </c>
      <c r="AW5" s="26">
        <f>股权价值增加表!AW47</f>
        <v>329737198.1148001</v>
      </c>
      <c r="AX5" s="26">
        <f>股权价值增加表!AX47</f>
        <v>161967356.28839999</v>
      </c>
      <c r="AY5" s="26">
        <f>股权价值增加表!AY47</f>
        <v>96560611.953999817</v>
      </c>
      <c r="AZ5" s="26">
        <f>股权价值增加表!AZ47</f>
        <v>-76390782.769200042</v>
      </c>
      <c r="BA5" s="26">
        <f>股权价值增加表!BA47</f>
        <v>454592596.74120021</v>
      </c>
      <c r="BB5" s="26">
        <f>股权价值增加表!BB47</f>
        <v>347429228.32960021</v>
      </c>
      <c r="BC5" s="26">
        <f>股权价值增加表!BC47</f>
        <v>165128636.83000004</v>
      </c>
      <c r="BD5" s="26">
        <f>股权价值增加表!BD47</f>
        <v>1030478.4775999784</v>
      </c>
      <c r="BE5" s="26">
        <f>股权价值增加表!BE47</f>
        <v>380642703.00800002</v>
      </c>
      <c r="BF5" s="26">
        <f>股权价值增加表!BF47</f>
        <v>241108350.72199994</v>
      </c>
      <c r="BG5" s="26">
        <f>股权价值增加表!BG47</f>
        <v>125954573.94639993</v>
      </c>
      <c r="BH5" s="26">
        <f>股权价值增加表!BH47</f>
        <v>-21741904.688799977</v>
      </c>
      <c r="BI5" s="26">
        <f>股权价值增加表!BI47</f>
        <v>228422649.61999997</v>
      </c>
      <c r="BJ5" s="26">
        <f>股权价值增加表!BJ47</f>
        <v>107201981.06479988</v>
      </c>
      <c r="BK5" s="26">
        <f>股权价值增加表!BK47</f>
        <v>28111681.391200081</v>
      </c>
      <c r="BL5" s="26">
        <f>股权价值增加表!BL47</f>
        <v>-36349133.576800033</v>
      </c>
      <c r="BM5" s="26">
        <f>股权价值增加表!BM47</f>
        <v>-112045876.34119973</v>
      </c>
      <c r="BN5" s="26">
        <f>股权价值增加表!BN47</f>
        <v>-151113482.11879998</v>
      </c>
      <c r="BO5" s="26">
        <f>股权价值增加表!BO47</f>
        <v>-130314137.25879999</v>
      </c>
      <c r="BP5" s="26">
        <f>股权价值增加表!BP47</f>
        <v>-102760746.74039999</v>
      </c>
      <c r="BQ5" s="26">
        <f>股权价值增加表!BQ47</f>
        <v>-125269281.91759998</v>
      </c>
      <c r="BR5" s="26">
        <f>股权价值增加表!BR47</f>
        <v>-77858632.213200003</v>
      </c>
      <c r="BS5" s="26">
        <f>股权价值增加表!BS47</f>
        <v>-65600522.746799842</v>
      </c>
      <c r="BT5" s="26">
        <f>股权价值增加表!BT47</f>
        <v>-108654415.33879995</v>
      </c>
      <c r="BU5" s="26">
        <f>股权价值增加表!BU47</f>
        <v>-128172383.3272002</v>
      </c>
      <c r="BV5" s="26">
        <f>股权价值增加表!BV47</f>
        <v>-140513703.46640003</v>
      </c>
      <c r="BW5" s="26">
        <f>股权价值增加表!BW47</f>
        <v>-28110506.18640016</v>
      </c>
      <c r="BX5" s="26">
        <f>股权价值增加表!BX47</f>
        <v>35466369.12319997</v>
      </c>
      <c r="BY5" s="26">
        <f>股权价值增加表!BY47</f>
        <v>77856155.923600078</v>
      </c>
      <c r="BZ5" s="26">
        <f>股权价值增加表!BZ47</f>
        <v>578461055.96319985</v>
      </c>
      <c r="CA5" s="26">
        <f>股权价值增加表!CA47</f>
        <v>86525033.162</v>
      </c>
      <c r="CB5" s="26">
        <f>股权价值增加表!CB47</f>
        <v>112930749.6964</v>
      </c>
      <c r="CC5" s="26">
        <f>股权价值增加表!CC47</f>
        <v>58928536.431999974</v>
      </c>
      <c r="CD5" s="26">
        <f>股权价值增加表!CD47</f>
        <v>79712650.52759999</v>
      </c>
      <c r="CE5" s="26">
        <f>股权价值增加表!CE47</f>
        <v>37572290.329999998</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0.36331546472463039</v>
      </c>
      <c r="F6" s="158">
        <f>股权价值增加表!F31/股权价值增加表!F4</f>
        <v>0.3997193765642485</v>
      </c>
      <c r="G6" s="158">
        <f>股权价值增加表!G31/股权价值增加表!G4</f>
        <v>0.39466456437530606</v>
      </c>
      <c r="H6" s="158">
        <f>股权价值增加表!H31/股权价值增加表!H4</f>
        <v>0.43082952284685389</v>
      </c>
      <c r="I6" s="158">
        <f>股权价值增加表!I31/股权价值增加表!I4</f>
        <v>0.47827940920992862</v>
      </c>
      <c r="J6" s="158">
        <f>股权价值增加表!J31/股权价值增加表!J4</f>
        <v>0.52137190231894892</v>
      </c>
      <c r="K6" s="158">
        <f>股权价值增加表!K31/股权价值增加表!K4</f>
        <v>0.47969650335959013</v>
      </c>
      <c r="L6" s="158">
        <f>股权价值增加表!L31/股权价值增加表!L4</f>
        <v>0.56716299457002606</v>
      </c>
      <c r="M6" s="158">
        <f>股权价值增加表!M31/股权价值增加表!M4</f>
        <v>0.53971965898122221</v>
      </c>
      <c r="N6" s="158">
        <f>股权价值增加表!N31/股权价值增加表!N4</f>
        <v>0.56401076796075922</v>
      </c>
      <c r="O6" s="158">
        <f>股权价值增加表!O31/股权价值增加表!O4</f>
        <v>0.54321553188838401</v>
      </c>
      <c r="P6" s="158">
        <f>股权价值增加表!P31/股权价值增加表!P4</f>
        <v>0.54030920839931684</v>
      </c>
      <c r="Q6" s="158">
        <f>股权价值增加表!Q31/股权价值增加表!Q4</f>
        <v>0.51955592717348109</v>
      </c>
      <c r="R6" s="158">
        <f>股权价值增加表!R31/股权价值增加表!R4</f>
        <v>0.52838747679763975</v>
      </c>
      <c r="S6" s="158">
        <f>股权价值增加表!S31/股权价值增加表!S4</f>
        <v>0.45264263994654746</v>
      </c>
      <c r="T6" s="158">
        <f>股权价值增加表!T31/股权价值增加表!T4</f>
        <v>0.41935516527925693</v>
      </c>
      <c r="U6" s="158">
        <f>股权价值增加表!U31/股权价值增加表!U4</f>
        <v>0.3904174971091936</v>
      </c>
      <c r="V6" s="158">
        <f>股权价值增加表!V31/股权价值增加表!V4</f>
        <v>0.38593136039455223</v>
      </c>
      <c r="W6" s="158">
        <f>股权价值增加表!W31/股权价值增加表!W4</f>
        <v>0.3454877577247058</v>
      </c>
      <c r="X6" s="158">
        <f>股权价值增加表!X31/股权价值增加表!X4</f>
        <v>0.31474934905698843</v>
      </c>
      <c r="Y6" s="158">
        <f>股权价值增加表!Y31/股权价值增加表!Y4</f>
        <v>0.22700602333201003</v>
      </c>
      <c r="Z6" s="158">
        <f>股权价值增加表!Z31/股权价值增加表!Z4</f>
        <v>0.21108330136790932</v>
      </c>
      <c r="AA6" s="158">
        <f>股权价值增加表!AA31/股权价值增加表!AA4</f>
        <v>0.14540330164775606</v>
      </c>
      <c r="AB6" s="158">
        <f>股权价值增加表!AB31/股权价值增加表!AB4</f>
        <v>0.11336873858123832</v>
      </c>
      <c r="AC6" s="158">
        <f>股权价值增加表!AC31/股权价值增加表!AC4</f>
        <v>0.15442165975857045</v>
      </c>
      <c r="AD6" s="158">
        <f>股权价值增加表!AD31/股权价值增加表!AD4</f>
        <v>0.16175942221832018</v>
      </c>
      <c r="AE6" s="158">
        <f>股权价值增加表!AE31/股权价值增加表!AE4</f>
        <v>0.14656207535453938</v>
      </c>
      <c r="AF6" s="158">
        <f>股权价值增加表!AF31/股权价值增加表!AF4</f>
        <v>0.1408811820596573</v>
      </c>
      <c r="AG6" s="158">
        <f>股权价值增加表!AG31/股权价值增加表!AG4</f>
        <v>0.20574599137915645</v>
      </c>
      <c r="AH6" s="158">
        <f>股权价值增加表!AH31/股权价值增加表!AH4</f>
        <v>0.20538609697794158</v>
      </c>
      <c r="AI6" s="158">
        <f>股权价值增加表!AI31/股权价值增加表!AI4</f>
        <v>0.16589702384906954</v>
      </c>
      <c r="AJ6" s="158">
        <f>股权价值增加表!AJ31/股权价值增加表!AJ4</f>
        <v>0.15713679768280595</v>
      </c>
      <c r="AK6" s="158">
        <f>股权价值增加表!AK31/股权价值增加表!AK4</f>
        <v>0.24766219208519089</v>
      </c>
      <c r="AL6" s="158">
        <f>股权价值增加表!AL31/股权价值增加表!AL4</f>
        <v>0.16539531500874424</v>
      </c>
      <c r="AM6" s="158">
        <f>股权价值增加表!AM31/股权价值增加表!AM4</f>
        <v>0.15382789536975677</v>
      </c>
      <c r="AN6" s="158">
        <f>股权价值增加表!AN31/股权价值增加表!AN4</f>
        <v>0.1498060636435119</v>
      </c>
      <c r="AO6" s="158">
        <f>股权价值增加表!AO31/股权价值增加表!AO4</f>
        <v>0.13840655932339163</v>
      </c>
      <c r="AP6" s="158">
        <f>股权价值增加表!AP31/股权价值增加表!AP4</f>
        <v>0.1390506631165197</v>
      </c>
      <c r="AQ6" s="158">
        <f>股权价值增加表!AQ31/股权价值增加表!AQ4</f>
        <v>0.14866210438795233</v>
      </c>
      <c r="AR6" s="158">
        <f>股权价值增加表!AR31/股权价值增加表!AR4</f>
        <v>0.14807175032788913</v>
      </c>
      <c r="AS6" s="158">
        <f>股权价值增加表!AS31/股权价值增加表!AS4</f>
        <v>0.24942430672725197</v>
      </c>
      <c r="AT6" s="158">
        <f>股权价值增加表!AT31/股权价值增加表!AT4</f>
        <v>0.25785333599352511</v>
      </c>
      <c r="AU6" s="158">
        <f>股权价值增加表!AU31/股权价值增加表!AU4</f>
        <v>0.26327355752567555</v>
      </c>
      <c r="AV6" s="158">
        <f>股权价值增加表!AV31/股权价值增加表!AV4</f>
        <v>0.26815343613559328</v>
      </c>
      <c r="AW6" s="158">
        <f>股权价值增加表!AW31/股权价值增加表!AW4</f>
        <v>0.27259168703228587</v>
      </c>
      <c r="AX6" s="158">
        <f>股权价值增加表!AX31/股权价值增加表!AX4</f>
        <v>0.31089494018808195</v>
      </c>
      <c r="AY6" s="158">
        <f>股权价值增加表!AY31/股权价值增加表!AY4</f>
        <v>0.30840554921839675</v>
      </c>
      <c r="AZ6" s="158">
        <f>股权价值增加表!AZ31/股权价值增加表!AZ4</f>
        <v>0.28392892739893594</v>
      </c>
      <c r="BA6" s="158">
        <f>股权价值增加表!BA31/股权价值增加表!BA4</f>
        <v>0.32635243793840341</v>
      </c>
      <c r="BB6" s="158">
        <f>股权价值增加表!BB31/股权价值增加表!BB4</f>
        <v>0.36690042662712097</v>
      </c>
      <c r="BC6" s="158">
        <f>股权价值增加表!BC31/股权价值增加表!BC4</f>
        <v>0.36595392637239388</v>
      </c>
      <c r="BD6" s="158">
        <f>股权价值增加表!BD31/股权价值增加表!BD4</f>
        <v>0.3758699489806413</v>
      </c>
      <c r="BE6" s="158">
        <f>股权价值增加表!BE31/股权价值增加表!BE4</f>
        <v>0.35699898185514201</v>
      </c>
      <c r="BF6" s="158">
        <f>股权价值增加表!BF31/股权价值增加表!BF4</f>
        <v>0.36725603056557254</v>
      </c>
      <c r="BG6" s="158">
        <f>股权价值增加表!BG31/股权价值增加表!BG4</f>
        <v>0.38980978145510864</v>
      </c>
      <c r="BH6" s="158">
        <f>股权价值增加表!BH31/股权价值增加表!BH4</f>
        <v>0.4335625833728452</v>
      </c>
      <c r="BI6" s="158">
        <f>股权价值增加表!BI31/股权价值增加表!BI4</f>
        <v>0.38403828927719552</v>
      </c>
      <c r="BJ6" s="158">
        <f>股权价值增加表!BJ31/股权价值增加表!BJ4</f>
        <v>0.35362644895904</v>
      </c>
      <c r="BK6" s="158">
        <f>股权价值增加表!BK31/股权价值增加表!BK4</f>
        <v>0.35066311561779628</v>
      </c>
      <c r="BL6" s="158">
        <f>股权价值增加表!BL31/股权价值增加表!BL4</f>
        <v>0.30912663699390769</v>
      </c>
      <c r="BM6" s="158">
        <f>股权价值增加表!BM31/股权价值增加表!BM4</f>
        <v>2.0152986967638058E-2</v>
      </c>
      <c r="BN6" s="158">
        <f>股权价值增加表!BN31/股权价值增加表!BN4</f>
        <v>-4.0638216561746071E-2</v>
      </c>
      <c r="BO6" s="158">
        <f>股权价值增加表!BO31/股权价值增加表!BO4</f>
        <v>-4.8945739308136817E-2</v>
      </c>
      <c r="BP6" s="158">
        <f>股权价值增加表!BP31/股权价值增加表!BP4</f>
        <v>-6.0393381720224244E-2</v>
      </c>
      <c r="BQ6" s="158">
        <f>股权价值增加表!BQ31/股权价值增加表!BQ4</f>
        <v>-2.8890879734634067E-2</v>
      </c>
      <c r="BR6" s="158">
        <f>股权价值增加表!BR31/股权价值增加表!BR4</f>
        <v>-5.5908052973272881E-4</v>
      </c>
      <c r="BS6" s="158">
        <f>股权价值增加表!BS31/股权价值增加表!BS4</f>
        <v>7.0728365136483416E-3</v>
      </c>
      <c r="BT6" s="158">
        <f>股权价值增加表!BT31/股权价值增加表!BT4</f>
        <v>-5.4986323473353665E-2</v>
      </c>
      <c r="BU6" s="158">
        <f>股权价值增加表!BU31/股权价值增加表!BU4</f>
        <v>-3.1709292806739016E-2</v>
      </c>
      <c r="BV6" s="158">
        <f>股权价值增加表!BV31/股权价值增加表!BV4</f>
        <v>-0.11239394021616189</v>
      </c>
      <c r="BW6" s="158">
        <f>股权价值增加表!BW31/股权价值增加表!BW4</f>
        <v>7.3493210741197981E-2</v>
      </c>
      <c r="BX6" s="158">
        <f>股权价值增加表!BX31/股权价值增加表!BX4</f>
        <v>0.17486322162184978</v>
      </c>
      <c r="BY6" s="158">
        <f>股权价值增加表!BY31/股权价值增加表!BY4</f>
        <v>0.12460981420606274</v>
      </c>
      <c r="BZ6" s="158">
        <f>股权价值增加表!BZ31/股权价值增加表!BZ4</f>
        <v>1</v>
      </c>
      <c r="CA6" s="158">
        <f>股权价值增加表!CA31/股权价值增加表!CA4</f>
        <v>0.28272540722714246</v>
      </c>
      <c r="CB6" s="158">
        <f>股权价值增加表!CB31/股权价值增加表!CB4</f>
        <v>1.0023163544518894</v>
      </c>
      <c r="CC6" s="158">
        <f>股权价值增加表!CC31/股权价值增加表!CC4</f>
        <v>0.45835556233799318</v>
      </c>
      <c r="CD6" s="158">
        <f>股权价值增加表!CD31/股权价值增加表!CD4</f>
        <v>0.99948138631090266</v>
      </c>
      <c r="CE6" s="158">
        <f>股权价值增加表!CE31/股权价值增加表!CE4</f>
        <v>0.42328098777975043</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0.16376779430012833</v>
      </c>
      <c r="F7" s="61">
        <f>股权价值增加表!F4/资产资本表!F70</f>
        <v>0.12509239100489225</v>
      </c>
      <c r="G7" s="61">
        <f>股权价值增加表!G4/资产资本表!G70</f>
        <v>7.3137749875080052E-2</v>
      </c>
      <c r="H7" s="61">
        <f>股权价值增加表!H4/资产资本表!H70</f>
        <v>4.0847717548166948E-2</v>
      </c>
      <c r="I7" s="61">
        <f>股权价值增加表!I4/资产资本表!I70</f>
        <v>0.15950243733520539</v>
      </c>
      <c r="J7" s="61">
        <f>股权价值增加表!J4/资产资本表!J70</f>
        <v>0.12306622546786047</v>
      </c>
      <c r="K7" s="61">
        <f>股权价值增加表!K4/资产资本表!K70</f>
        <v>7.4010322219172794E-2</v>
      </c>
      <c r="L7" s="61">
        <f>股权价值增加表!L4/资产资本表!L70</f>
        <v>4.0125591899311558E-2</v>
      </c>
      <c r="M7" s="61">
        <f>股权价值增加表!M4/资产资本表!M70</f>
        <v>0.18649281843666496</v>
      </c>
      <c r="N7" s="61">
        <f>股权价值增加表!N4/资产资本表!N70</f>
        <v>0.14755967952834101</v>
      </c>
      <c r="O7" s="61">
        <f>股权价值增加表!O4/资产资本表!O70</f>
        <v>9.1958728663170938E-2</v>
      </c>
      <c r="P7" s="61">
        <f>股权价值增加表!P4/资产资本表!P70</f>
        <v>4.6613331931266329E-2</v>
      </c>
      <c r="Q7" s="61">
        <f>股权价值增加表!Q4/资产资本表!Q70</f>
        <v>0.20490387092096304</v>
      </c>
      <c r="R7" s="61">
        <f>股权价值增加表!R4/资产资本表!R70</f>
        <v>0.15933595453178623</v>
      </c>
      <c r="S7" s="61">
        <f>股权价值增加表!S4/资产资本表!S70</f>
        <v>9.4388255232655066E-2</v>
      </c>
      <c r="T7" s="61">
        <f>股权价值增加表!T4/资产资本表!T70</f>
        <v>4.7905093900339937E-2</v>
      </c>
      <c r="U7" s="61">
        <f>股权价值增加表!U4/资产资本表!U70</f>
        <v>0.19176946758890004</v>
      </c>
      <c r="V7" s="61">
        <f>股权价值增加表!V4/资产资本表!V70</f>
        <v>0.14213187080372541</v>
      </c>
      <c r="W7" s="61">
        <f>股权价值增加表!W4/资产资本表!W70</f>
        <v>8.6621034220772969E-2</v>
      </c>
      <c r="X7" s="61">
        <f>股权价值增加表!X4/资产资本表!X70</f>
        <v>4.3337345442205341E-2</v>
      </c>
      <c r="Y7" s="61">
        <f>股权价值增加表!Y4/资产资本表!Y70</f>
        <v>0.17955062072254752</v>
      </c>
      <c r="Z7" s="61">
        <f>股权价值增加表!Z4/资产资本表!Z70</f>
        <v>0.13814612004333618</v>
      </c>
      <c r="AA7" s="61">
        <f>股权价值增加表!AA4/资产资本表!AA70</f>
        <v>8.8752447573568885E-2</v>
      </c>
      <c r="AB7" s="61">
        <f>股权价值增加表!AB4/资产资本表!AB70</f>
        <v>4.5091861891507372E-2</v>
      </c>
      <c r="AC7" s="61">
        <f>股权价值增加表!AC4/资产资本表!AC70</f>
        <v>0.18523067306264743</v>
      </c>
      <c r="AD7" s="61">
        <f>股权价值增加表!AD4/资产资本表!AD70</f>
        <v>0.15220737264890896</v>
      </c>
      <c r="AE7" s="61">
        <f>股权价值增加表!AE4/资产资本表!AE70</f>
        <v>9.3649433195372875E-2</v>
      </c>
      <c r="AF7" s="61">
        <f>股权价值增加表!AF4/资产资本表!AF70</f>
        <v>4.338271136823401E-2</v>
      </c>
      <c r="AG7" s="61">
        <f>股权价值增加表!AG4/资产资本表!AG70</f>
        <v>0.17046652685731495</v>
      </c>
      <c r="AH7" s="61">
        <f>股权价值增加表!AH4/资产资本表!AH70</f>
        <v>0.12899521670373099</v>
      </c>
      <c r="AI7" s="61">
        <f>股权价值增加表!AI4/资产资本表!AI70</f>
        <v>8.0077790247421649E-2</v>
      </c>
      <c r="AJ7" s="61">
        <f>股权价值增加表!AJ4/资产资本表!AJ70</f>
        <v>4.267657920141555E-2</v>
      </c>
      <c r="AK7" s="61">
        <f>股权价值增加表!AK4/资产资本表!AK70</f>
        <v>0.14447105014924533</v>
      </c>
      <c r="AL7" s="61">
        <f>股权价值增加表!AL4/资产资本表!AL70</f>
        <v>0.27460188183647199</v>
      </c>
      <c r="AM7" s="61">
        <f>股权价值增加表!AM4/资产资本表!AM70</f>
        <v>0.19112813815549093</v>
      </c>
      <c r="AN7" s="61">
        <f>股权价值增加表!AN4/资产资本表!AN70</f>
        <v>9.0484507695814481E-2</v>
      </c>
      <c r="AO7" s="61">
        <f>股权价值增加表!AO4/资产资本表!AO70</f>
        <v>0.38500235894863899</v>
      </c>
      <c r="AP7" s="61">
        <f>股权价值增加表!AP4/资产资本表!AP70</f>
        <v>0.30189164246577538</v>
      </c>
      <c r="AQ7" s="61">
        <f>股权价值增加表!AQ4/资产资本表!AQ70</f>
        <v>0.20579589442221363</v>
      </c>
      <c r="AR7" s="61">
        <f>股权价值增加表!AR4/资产资本表!AR70</f>
        <v>0.10693703980588416</v>
      </c>
      <c r="AS7" s="61">
        <f>股权价值增加表!AS4/资产资本表!AS70</f>
        <v>0.40046603143642545</v>
      </c>
      <c r="AT7" s="61">
        <f>股权价值增加表!AT4/资产资本表!AT70</f>
        <v>0.30334910392865788</v>
      </c>
      <c r="AU7" s="61">
        <f>股权价值增加表!AU4/资产资本表!AU70</f>
        <v>0.22625671486042684</v>
      </c>
      <c r="AV7" s="61">
        <f>股权价值增加表!AV4/资产资本表!AV70</f>
        <v>0.11021203043040832</v>
      </c>
      <c r="AW7" s="61">
        <f>股权价值增加表!AW4/资产资本表!AW70</f>
        <v>0.2711607223001159</v>
      </c>
      <c r="AX7" s="61">
        <f>股权价值增加表!AX4/资产资本表!AX70</f>
        <v>0.23837521960955141</v>
      </c>
      <c r="AY7" s="61">
        <f>股权价值增加表!AY4/资产资本表!AY70</f>
        <v>0.18090369391174493</v>
      </c>
      <c r="AZ7" s="61">
        <f>股权价值增加表!AZ4/资产资本表!AZ70</f>
        <v>8.7739289641384749E-2</v>
      </c>
      <c r="BA7" s="61">
        <f>股权价值增加表!BA4/资产资本表!BA70</f>
        <v>0.3610584462635249</v>
      </c>
      <c r="BB7" s="61">
        <f>股权价值增加表!BB4/资产资本表!BB70</f>
        <v>0.26261648917901909</v>
      </c>
      <c r="BC7" s="61">
        <f>股权价值增加表!BC4/资产资本表!BC70</f>
        <v>0.17628307082186798</v>
      </c>
      <c r="BD7" s="61">
        <f>股权价值增加表!BD4/资产资本表!BD70</f>
        <v>8.9807835081883766E-2</v>
      </c>
      <c r="BE7" s="61">
        <f>股权价值增加表!BE4/资产资本表!BE70</f>
        <v>0.28115024295369645</v>
      </c>
      <c r="BF7" s="61">
        <f>股权价值增加表!BF4/资产资本表!BF70</f>
        <v>0.20166919059166175</v>
      </c>
      <c r="BG7" s="61">
        <f>股权价值增加表!BG4/资产资本表!BG70</f>
        <v>0.12473778529021774</v>
      </c>
      <c r="BH7" s="61">
        <f>股权价值增加表!BH4/资产资本表!BH70</f>
        <v>7.0045207622449465E-2</v>
      </c>
      <c r="BI7" s="61">
        <f>股权价值增加表!BI4/资产资本表!BI70</f>
        <v>0.32158418274350486</v>
      </c>
      <c r="BJ7" s="61">
        <f>股权价值增加表!BJ4/资产资本表!BJ70</f>
        <v>0.24097519902274167</v>
      </c>
      <c r="BK7" s="61">
        <f>股权价值增加表!BK4/资产资本表!BK70</f>
        <v>0.16168365377399246</v>
      </c>
      <c r="BL7" s="61">
        <f>股权价值增加表!BL4/资产资本表!BL70</f>
        <v>8.9829270064623518E-2</v>
      </c>
      <c r="BM7" s="61">
        <f>股权价值增加表!BM4/资产资本表!BM70</f>
        <v>0.58992435319256287</v>
      </c>
      <c r="BN7" s="61">
        <f>股权价值增加表!BN4/资产资本表!BN70</f>
        <v>2.8562313346378145</v>
      </c>
      <c r="BO7" s="61">
        <f>股权价值增加表!BO4/资产资本表!BO70</f>
        <v>1.7220813563246424</v>
      </c>
      <c r="BP7" s="61">
        <f>股权价值增加表!BP4/资产资本表!BP70</f>
        <v>0.7421272005199262</v>
      </c>
      <c r="BQ7" s="61">
        <f>股权价值增加表!BQ4/资产资本表!BQ70</f>
        <v>2.2163085587033891</v>
      </c>
      <c r="BR7" s="61">
        <f>股权价值增加表!BR4/资产资本表!BR70</f>
        <v>0.67289345647909871</v>
      </c>
      <c r="BS7" s="61">
        <f>股权价值增加表!BS4/资产资本表!BS70</f>
        <v>1.9064525776923269</v>
      </c>
      <c r="BT7" s="61">
        <f>股权价值增加表!BT4/资产资本表!BT70</f>
        <v>0.52695314707507979</v>
      </c>
      <c r="BU7" s="61">
        <f>股权价值增加表!BU4/资产资本表!BU70</f>
        <v>1.1744344195169814</v>
      </c>
      <c r="BV7" s="61">
        <f>股权价值增加表!BV4/资产资本表!BV70</f>
        <v>0.53478057490709774</v>
      </c>
      <c r="BW7" s="61">
        <f>股权价值增加表!BW4/资产资本表!BW70</f>
        <v>1.064609891857587</v>
      </c>
      <c r="BX7" s="61">
        <f>股权价值增加表!BX4/资产资本表!BX70</f>
        <v>1.05726555976841</v>
      </c>
      <c r="BY7" s="61">
        <f>股权价值增加表!BY4/资产资本表!BY70</f>
        <v>2.5725073096611641</v>
      </c>
      <c r="BZ7" s="61">
        <f>股权价值增加表!BZ4/资产资本表!BZ70</f>
        <v>1.6436875799145332</v>
      </c>
      <c r="CA7" s="61">
        <f>股权价值增加表!CA4/资产资本表!CA70</f>
        <v>1.5375274656809466</v>
      </c>
      <c r="CB7" s="61">
        <f>股权价值增加表!CB4/资产资本表!CB70</f>
        <v>0.40897063850184134</v>
      </c>
      <c r="CC7" s="61">
        <f>股权价值增加表!CC4/资产资本表!CC70</f>
        <v>0.76090304010911958</v>
      </c>
      <c r="CD7" s="61">
        <f>股权价值增加表!CD4/资产资本表!CD70</f>
        <v>0.88695801077325465</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5.9499372293078806E-2</v>
      </c>
      <c r="F8" s="63">
        <f>股权价值增加表!F31/资产资本表!F70</f>
        <v>5.0001852545406747E-2</v>
      </c>
      <c r="G8" s="63">
        <f>股权价值增加表!G31/资产资本表!G70</f>
        <v>2.886487819383856E-2</v>
      </c>
      <c r="H8" s="63">
        <f>股权价值增加表!H31/资产资本表!H70</f>
        <v>1.7598402660659828E-2</v>
      </c>
      <c r="I8" s="63">
        <f>股权价值增加表!I31/资产资本表!I70</f>
        <v>7.6286731496225696E-2</v>
      </c>
      <c r="J8" s="63">
        <f>股权价值增加表!J31/资产资本表!J70</f>
        <v>6.4163272083391093E-2</v>
      </c>
      <c r="K8" s="63">
        <f>股权价值增加表!K31/资产资本表!K70</f>
        <v>3.5502492781053767E-2</v>
      </c>
      <c r="L8" s="63">
        <f>股权价值增加表!L31/资产资本表!L70</f>
        <v>2.2757750860508325E-2</v>
      </c>
      <c r="M8" s="63">
        <f>股权价值增加表!M31/资产资本表!M70</f>
        <v>0.1006538403690838</v>
      </c>
      <c r="N8" s="63">
        <f>股权价值增加表!N31/资产资本表!N70</f>
        <v>8.3225248170823121E-2</v>
      </c>
      <c r="O8" s="63">
        <f>股权价值增加表!O31/资产资本表!O70</f>
        <v>4.9953409702543979E-2</v>
      </c>
      <c r="P8" s="63">
        <f>股权价值增加表!P31/资产资本表!P70</f>
        <v>2.5185612476637104E-2</v>
      </c>
      <c r="Q8" s="63">
        <f>股权价值增加表!Q31/资产资本表!Q70</f>
        <v>0.10645902063777625</v>
      </c>
      <c r="R8" s="63">
        <f>股权价值增加表!R31/资产资本表!R70</f>
        <v>8.4191122978193977E-2</v>
      </c>
      <c r="S8" s="63">
        <f>股权价值增加表!S31/资产资本表!S70</f>
        <v>4.2724149028457517E-2</v>
      </c>
      <c r="T8" s="63">
        <f>股权价值增加表!T31/资产资本表!T70</f>
        <v>2.0089248570295377E-2</v>
      </c>
      <c r="U8" s="63">
        <f>股权价值增加表!U31/资产资本表!U70</f>
        <v>7.4870155558020984E-2</v>
      </c>
      <c r="V8" s="63">
        <f>股权价值增加表!V31/资产资本表!V70</f>
        <v>5.4853146254704485E-2</v>
      </c>
      <c r="W8" s="63">
        <f>股权价值增加表!W31/资产资本表!W70</f>
        <v>2.9926506884729861E-2</v>
      </c>
      <c r="X8" s="63">
        <f>股权价值增加表!X31/资产资本表!X70</f>
        <v>1.3640401267791976E-2</v>
      </c>
      <c r="Y8" s="63">
        <f>股权价值增加表!Y31/资产资本表!Y70</f>
        <v>4.0759072397019508E-2</v>
      </c>
      <c r="Z8" s="63">
        <f>股权价值增加表!Z31/资产资本表!Z70</f>
        <v>2.9160339089914906E-2</v>
      </c>
      <c r="AA8" s="63">
        <f>股权价值增加表!AA31/资产资本表!AA70</f>
        <v>1.2904898906516291E-2</v>
      </c>
      <c r="AB8" s="63">
        <f>股权价值增加表!AB31/资产资本表!AB70</f>
        <v>5.1120075029196009E-3</v>
      </c>
      <c r="AC8" s="63">
        <f>股权价值增加表!AC31/资产资本表!AC70</f>
        <v>2.8603627972531142E-2</v>
      </c>
      <c r="AD8" s="63">
        <f>股权价值增加表!AD31/资产资本表!AD70</f>
        <v>2.4620976657056062E-2</v>
      </c>
      <c r="AE8" s="63">
        <f>股权价值增加表!AE31/资产资本表!AE70</f>
        <v>1.3725455284890142E-2</v>
      </c>
      <c r="AF8" s="63">
        <f>股权价值增加表!AF31/资产资本表!AF70</f>
        <v>6.1118076585097401E-3</v>
      </c>
      <c r="AG8" s="63">
        <f>股权价值增加表!AG31/资产资本表!AG70</f>
        <v>3.5072804565219863E-2</v>
      </c>
      <c r="AH8" s="63">
        <f>股权价值增加表!AH31/资产资本表!AH70</f>
        <v>2.6493824087603084E-2</v>
      </c>
      <c r="AI8" s="63">
        <f>股权价值增加表!AI31/资产资本表!AI70</f>
        <v>1.3284667078457296E-2</v>
      </c>
      <c r="AJ8" s="63">
        <f>股权价值增加表!AJ31/资产资本表!AJ70</f>
        <v>6.7060609917670797E-3</v>
      </c>
      <c r="AK8" s="63">
        <f>股权价值增加表!AK31/资产资本表!AK70</f>
        <v>3.5780016972811642E-2</v>
      </c>
      <c r="AL8" s="63">
        <f>股权价值增加表!AL31/资产资本表!AL70</f>
        <v>4.5417864748337249E-2</v>
      </c>
      <c r="AM8" s="63">
        <f>股权价值增加表!AM31/资产资本表!AM70</f>
        <v>2.9400839238399274E-2</v>
      </c>
      <c r="AN8" s="63">
        <f>股权价值增加表!AN31/资产资本表!AN70</f>
        <v>1.3555127918631026E-2</v>
      </c>
      <c r="AO8" s="63">
        <f>股权价值增加表!AO31/资产资本表!AO70</f>
        <v>5.3286851833470525E-2</v>
      </c>
      <c r="AP8" s="63">
        <f>股权价值增加表!AP31/资产资本表!AP70</f>
        <v>4.1978233074201336E-2</v>
      </c>
      <c r="AQ8" s="63">
        <f>股权价值增加表!AQ31/资产资本表!AQ70</f>
        <v>3.0594050739207138E-2</v>
      </c>
      <c r="AR8" s="63">
        <f>股权价值增加表!AR31/资产资本表!AR70</f>
        <v>1.5834354658940421E-2</v>
      </c>
      <c r="AS8" s="63">
        <f>股权价值增加表!AS31/资产资本表!AS70</f>
        <v>9.9885962258844302E-2</v>
      </c>
      <c r="AT8" s="63">
        <f>股权价值增加表!AT31/资产资本表!AT70</f>
        <v>7.8219578418650987E-2</v>
      </c>
      <c r="AU8" s="63">
        <f>股权价值增加表!AU31/资产资本表!AU70</f>
        <v>5.9567410235376948E-2</v>
      </c>
      <c r="AV8" s="63">
        <f>股权价值增加表!AV31/资产资本表!AV70</f>
        <v>2.955373466339456E-2</v>
      </c>
      <c r="AW8" s="63">
        <f>股权价值增加表!AW31/资产资本表!AW70</f>
        <v>7.3916158748681779E-2</v>
      </c>
      <c r="AX8" s="63">
        <f>股权价值增加表!AX31/资产资本表!AX70</f>
        <v>7.4109649642832384E-2</v>
      </c>
      <c r="AY8" s="63">
        <f>股权价值增加表!AY31/资产资本表!AY70</f>
        <v>5.5791703076488432E-2</v>
      </c>
      <c r="AZ8" s="63">
        <f>股权价值增加表!AZ31/资产资本表!AZ70</f>
        <v>2.4911722398622944E-2</v>
      </c>
      <c r="BA8" s="63">
        <f>股权价值增加表!BA31/资产资本表!BA70</f>
        <v>0.11783230417635338</v>
      </c>
      <c r="BB8" s="63">
        <f>股权价值增加表!BB31/资产资本表!BB70</f>
        <v>9.6354101919098809E-2</v>
      </c>
      <c r="BC8" s="63">
        <f>股权价值增加表!BC31/资产资本表!BC70</f>
        <v>6.4511481920245375E-2</v>
      </c>
      <c r="BD8" s="63">
        <f>股权价值增加表!BD31/资产资本表!BD70</f>
        <v>3.3756066390289496E-2</v>
      </c>
      <c r="BE8" s="63">
        <f>股权价值增加表!BE31/资产资本表!BE70</f>
        <v>0.10037035048279544</v>
      </c>
      <c r="BF8" s="63">
        <f>股权价值增加表!BF31/资产资本表!BF70</f>
        <v>7.4064226424065599E-2</v>
      </c>
      <c r="BG8" s="63">
        <f>股权价值增加表!BG31/资产资本表!BG70</f>
        <v>4.8624008823174039E-2</v>
      </c>
      <c r="BH8" s="63">
        <f>股权价值增加表!BH31/资产资本表!BH70</f>
        <v>3.0368981169676498E-2</v>
      </c>
      <c r="BI8" s="63">
        <f>股权价值增加表!BI31/资产资本表!BI70</f>
        <v>0.12350063939942063</v>
      </c>
      <c r="BJ8" s="63">
        <f>股权价值增加表!BJ31/资产资本表!BJ70</f>
        <v>8.5215203917610061E-2</v>
      </c>
      <c r="BK8" s="63">
        <f>股权价值增加表!BK31/资产资本表!BK70</f>
        <v>5.669649377685726E-2</v>
      </c>
      <c r="BL8" s="63">
        <f>股权价值增加表!BL31/资产资本表!BL70</f>
        <v>2.7768620158694576E-2</v>
      </c>
      <c r="BM8" s="63">
        <f>股权价值增加表!BM31/资产资本表!BM70</f>
        <v>1.188873780178203E-2</v>
      </c>
      <c r="BN8" s="63">
        <f>股权价值增加表!BN31/资产资本表!BN70</f>
        <v>-0.11607214752745651</v>
      </c>
      <c r="BO8" s="63">
        <f>股权价值增加表!BO31/资产资本表!BO70</f>
        <v>-8.428854513406861E-2</v>
      </c>
      <c r="BP8" s="63">
        <f>股权价值增加表!BP31/资产资本表!BP70</f>
        <v>-4.48195713059613E-2</v>
      </c>
      <c r="BQ8" s="63">
        <f>股权价值增加表!BQ31/资产资本表!BQ70</f>
        <v>-6.4031104024339786E-2</v>
      </c>
      <c r="BR8" s="63">
        <f>股权价值增加表!BR31/资产资本表!BR70</f>
        <v>-3.7620163010202139E-4</v>
      </c>
      <c r="BS8" s="63">
        <f>股权价值增加表!BS31/资产资本表!BS70</f>
        <v>1.348402740304129E-2</v>
      </c>
      <c r="BT8" s="63">
        <f>股权价值增加表!BT31/资产资本表!BT70</f>
        <v>-2.8975216200372047E-2</v>
      </c>
      <c r="BU8" s="63">
        <f>股权价值增加表!BU31/资产资本表!BU70</f>
        <v>-3.7240484890776526E-2</v>
      </c>
      <c r="BV8" s="63">
        <f>股权价值增加表!BV31/资产资本表!BV70</f>
        <v>-6.0106095964873027E-2</v>
      </c>
      <c r="BW8" s="63">
        <f>股权价值增加表!BW31/资产资本表!BW70</f>
        <v>7.8241599139453638E-2</v>
      </c>
      <c r="BX8" s="63">
        <f>股权价值增加表!BX31/资产资本表!BX70</f>
        <v>0.18487686189093255</v>
      </c>
      <c r="BY8" s="63">
        <f>股权价值增加表!BY31/资产资本表!BY70</f>
        <v>0.32055965790061597</v>
      </c>
      <c r="BZ8" s="63">
        <f>股权价值增加表!BZ31/资产资本表!BZ70</f>
        <v>1.6436875799145332</v>
      </c>
      <c r="CA8" s="63">
        <f>股权价值增加表!CA31/资产资本表!CA70</f>
        <v>0.4346980788575619</v>
      </c>
      <c r="CB8" s="63">
        <f>股权价值增加表!CB31/资产资本表!CB70</f>
        <v>0.4099179594610271</v>
      </c>
      <c r="CC8" s="63">
        <f>股权价值增加表!CC31/资产资本表!CC70</f>
        <v>0.34876414083390411</v>
      </c>
      <c r="CD8" s="63">
        <f>股权价值增加表!CD31/资产资本表!CD70</f>
        <v>0.88649802220721308</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0.57129520992741967</v>
      </c>
      <c r="F9" s="158">
        <f>股权价值增加表!F38/股权价值增加表!F31</f>
        <v>0.63393883789040817</v>
      </c>
      <c r="G9" s="158">
        <f>股权价值增加表!G38/股权价值增加表!G31</f>
        <v>0.57251635884264906</v>
      </c>
      <c r="H9" s="158">
        <f>股权价值增加表!H38/股权价值增加表!H31</f>
        <v>0.63715535843741966</v>
      </c>
      <c r="I9" s="158">
        <f>股权价值增加表!I38/股权价值增加表!I31</f>
        <v>0.63577564104308792</v>
      </c>
      <c r="J9" s="158">
        <f>股权价值增加表!J38/股权价值增加表!J31</f>
        <v>0.67177519592618706</v>
      </c>
      <c r="K9" s="158">
        <f>股权价值增加表!K38/股权价值增加表!K31</f>
        <v>0.59444146440252976</v>
      </c>
      <c r="L9" s="158">
        <f>股权价值增加表!L38/股权价值增加表!L31</f>
        <v>0.66822818969480824</v>
      </c>
      <c r="M9" s="158">
        <f>股权价值增加表!M38/股权价值增加表!M31</f>
        <v>0.64450741719284699</v>
      </c>
      <c r="N9" s="158">
        <f>股权价值增加表!N38/股权价值增加表!N31</f>
        <v>0.67155306380648783</v>
      </c>
      <c r="O9" s="158">
        <f>股权价值增加表!O38/股权价值增加表!O31</f>
        <v>0.62608276721288103</v>
      </c>
      <c r="P9" s="158">
        <f>股权价值增加表!P38/股权价值增加表!P31</f>
        <v>0.62236750748316683</v>
      </c>
      <c r="Q9" s="158">
        <f>股权价值增加表!Q38/股权价值增加表!Q31</f>
        <v>0.63508081856349785</v>
      </c>
      <c r="R9" s="158">
        <f>股权价值增加表!R38/股权价值增加表!R31</f>
        <v>0.67291720921091336</v>
      </c>
      <c r="S9" s="158">
        <f>股权价值增加表!S38/股权价值增加表!S31</f>
        <v>0.57912738942049369</v>
      </c>
      <c r="T9" s="158">
        <f>股权价值增加表!T38/股权价值增加表!T31</f>
        <v>0.55600508827456774</v>
      </c>
      <c r="U9" s="158">
        <f>股权价值增加表!U38/股权价值增加表!U31</f>
        <v>0.5987035826214353</v>
      </c>
      <c r="V9" s="158">
        <f>股权价值增加表!V38/股权价值增加表!V31</f>
        <v>0.61442660233251301</v>
      </c>
      <c r="W9" s="158">
        <f>股权价值增加表!W38/股权价值增加表!W31</f>
        <v>0.54278088437345595</v>
      </c>
      <c r="X9" s="158">
        <f>股权价值增加表!X38/股权价值增加表!X31</f>
        <v>0.50019052152574306</v>
      </c>
      <c r="Y9" s="158">
        <f>股权价值增加表!Y38/股权价值增加表!Y31</f>
        <v>0.42454070538031763</v>
      </c>
      <c r="Z9" s="158">
        <f>股权价值增加表!Z38/股权价值增加表!Z31</f>
        <v>0.42061125472662636</v>
      </c>
      <c r="AA9" s="158">
        <f>股权价值增加表!AA38/股权价值增加表!AA31</f>
        <v>0.14222785377301286</v>
      </c>
      <c r="AB9" s="158">
        <f>股权价值增加表!AB38/股权价值增加表!AB31</f>
        <v>-7.0962692940663902E-2</v>
      </c>
      <c r="AC9" s="158">
        <f>股权价值增加表!AC38/股权价值增加表!AC31</f>
        <v>0.34497751560411477</v>
      </c>
      <c r="AD9" s="158">
        <f>股权价值增加表!AD38/股权价值增加表!AD31</f>
        <v>0.38874160492010629</v>
      </c>
      <c r="AE9" s="158">
        <f>股权价值增加表!AE38/股权价值增加表!AE31</f>
        <v>0.25347500239375226</v>
      </c>
      <c r="AF9" s="158">
        <f>股权价值增加表!AF38/股权价值增加表!AF31</f>
        <v>0.10807547117718826</v>
      </c>
      <c r="AG9" s="158">
        <f>股权价值增加表!AG38/股权价值增加表!AG31</f>
        <v>0.46235572843394501</v>
      </c>
      <c r="AH9" s="158">
        <f>股权价值增加表!AH38/股权价值增加表!AH31</f>
        <v>0.45107289445405013</v>
      </c>
      <c r="AI9" s="158">
        <f>股权价值增加表!AI38/股权价值增加表!AI31</f>
        <v>0.26155825666303961</v>
      </c>
      <c r="AJ9" s="158">
        <f>股权价值增加表!AJ38/股权价值增加表!AJ31</f>
        <v>0.20552129765655702</v>
      </c>
      <c r="AK9" s="158">
        <f>股权价值增加表!AK38/股权价值增加表!AK31</f>
        <v>0.42564154883752942</v>
      </c>
      <c r="AL9" s="158">
        <f>股权价值增加表!AL38/股权价值增加表!AL31</f>
        <v>0.42516272776502179</v>
      </c>
      <c r="AM9" s="158">
        <f>股权价值增加表!AM38/股权价值增加表!AM31</f>
        <v>0.38312679249143622</v>
      </c>
      <c r="AN9" s="158">
        <f>股权价值增加表!AN38/股权价值增加表!AN31</f>
        <v>0.34482403195076811</v>
      </c>
      <c r="AO9" s="158">
        <f>股权价值增加表!AO38/股权价值增加表!AO31</f>
        <v>0.30613938563659898</v>
      </c>
      <c r="AP9" s="158">
        <f>股权价值增加表!AP38/股权价值增加表!AP31</f>
        <v>0.34195255889155513</v>
      </c>
      <c r="AQ9" s="158">
        <f>股权价值增加表!AQ38/股权价值增加表!AQ31</f>
        <v>0.40977038430137602</v>
      </c>
      <c r="AR9" s="158">
        <f>股权价值增加表!AR38/股权价值增加表!AR31</f>
        <v>0.44335511078894624</v>
      </c>
      <c r="AS9" s="158">
        <f>股权价值增加表!AS38/股权价值增加表!AS31</f>
        <v>0.63880639841377418</v>
      </c>
      <c r="AT9" s="158">
        <f>股权价值增加表!AT38/股权价值增加表!AT31</f>
        <v>0.6577274654268046</v>
      </c>
      <c r="AU9" s="158">
        <f>股权价值增加表!AU38/股权价值增加表!AU31</f>
        <v>0.68975183298964349</v>
      </c>
      <c r="AV9" s="158">
        <f>股权价值增加表!AV38/股权价值增加表!AV31</f>
        <v>0.7089457626317206</v>
      </c>
      <c r="AW9" s="158">
        <f>股权价值增加表!AW38/股权价值增加表!AW31</f>
        <v>0.70707912240117166</v>
      </c>
      <c r="AX9" s="158">
        <f>股权价值增加表!AX38/股权价值增加表!AX31</f>
        <v>0.73540423759780771</v>
      </c>
      <c r="AY9" s="158">
        <f>股权价值增加表!AY38/股权价值增加表!AY31</f>
        <v>0.71672372404087736</v>
      </c>
      <c r="AZ9" s="158">
        <f>股权价值增加表!AZ38/股权价值增加表!AZ31</f>
        <v>0.6390462419587678</v>
      </c>
      <c r="BA9" s="158">
        <f>股权价值增加表!BA38/股权价值增加表!BA31</f>
        <v>0.70583429267110231</v>
      </c>
      <c r="BB9" s="158">
        <f>股权价值增加表!BB38/股权价值增加表!BB31</f>
        <v>0.73193613497660304</v>
      </c>
      <c r="BC9" s="158">
        <f>股权价值增加表!BC38/股权价值增加表!BC31</f>
        <v>0.72893970305333677</v>
      </c>
      <c r="BD9" s="158">
        <f>股权价值增加表!BD38/股权价值增加表!BD31</f>
        <v>0.74885318619573371</v>
      </c>
      <c r="BE9" s="158">
        <f>股权价值增加表!BE38/股权价值增加表!BE31</f>
        <v>0.7258695852199365</v>
      </c>
      <c r="BF9" s="158">
        <f>股权价值增加表!BF38/股权价值增加表!BF31</f>
        <v>0.73976154489424206</v>
      </c>
      <c r="BG9" s="158">
        <f>股权价值增加表!BG38/股权价值增加表!BG31</f>
        <v>0.78895520955955056</v>
      </c>
      <c r="BH9" s="158">
        <f>股权价值增加表!BH38/股权价值增加表!BH31</f>
        <v>0.81071331568277694</v>
      </c>
      <c r="BI9" s="158">
        <f>股权价值增加表!BI38/股权价值增加表!BI31</f>
        <v>0.74238287674207049</v>
      </c>
      <c r="BJ9" s="158">
        <f>股权价值增加表!BJ38/股权价值增加表!BJ31</f>
        <v>0.70259199981627551</v>
      </c>
      <c r="BK9" s="158">
        <f>股权价值增加表!BK38/股权价值增加表!BK31</f>
        <v>0.67782293859096632</v>
      </c>
      <c r="BL9" s="158">
        <f>股权价值增加表!BL38/股权价值增加表!BL31</f>
        <v>0.69968020408008491</v>
      </c>
      <c r="BM9" s="158">
        <f>股权价值增加表!BM38/股权价值增加表!BM31</f>
        <v>0.20391342093949957</v>
      </c>
      <c r="BN9" s="158">
        <f>股权价值增加表!BN38/股权价值增加表!BN31</f>
        <v>0.99718198527960777</v>
      </c>
      <c r="BO9" s="158">
        <f>股权价值增加表!BO38/股权价值增加表!BO31</f>
        <v>0.99732074742935739</v>
      </c>
      <c r="BP9" s="158">
        <f>股权价值增加表!BP38/股权价值增加表!BP31</f>
        <v>0.9969102296444381</v>
      </c>
      <c r="BQ9" s="158">
        <f>股权价值增加表!BQ38/股权价值增加表!BQ31</f>
        <v>1.0242334457949582</v>
      </c>
      <c r="BR9" s="158">
        <f>股权价值增加表!BR38/股权价值增加表!BR31</f>
        <v>4.6114515225723549</v>
      </c>
      <c r="BS9" s="158">
        <f>股权价值增加表!BS38/股权价值增加表!BS31</f>
        <v>0.48797340522128502</v>
      </c>
      <c r="BT9" s="158">
        <f>股权价值增加表!BT38/股权价值增加表!BT31</f>
        <v>1.1520945724445042</v>
      </c>
      <c r="BU9" s="158">
        <f>股权价值增加表!BU38/股权价值增加表!BU31</f>
        <v>1.2373189122805603</v>
      </c>
      <c r="BV9" s="158">
        <f>股权价值增加表!BV38/股权价值增加表!BV31</f>
        <v>1.0753719400419095</v>
      </c>
      <c r="BW9" s="158">
        <f>股权价值增加表!BW38/股权价值增加表!BW31</f>
        <v>0.96175156845839738</v>
      </c>
      <c r="BX9" s="158">
        <f>股权价值增加表!BX38/股权价值增加表!BX31</f>
        <v>0.98851870533992403</v>
      </c>
      <c r="BY9" s="158">
        <f>股权价值增加表!BY38/股权价值增加表!BY31</f>
        <v>0.98332722214056867</v>
      </c>
      <c r="BZ9" s="158">
        <f>股权价值增加表!BZ38/股权价值增加表!BZ31</f>
        <v>1</v>
      </c>
      <c r="CA9" s="158">
        <f>股权价值增加表!CA38/股权价值增加表!CA31</f>
        <v>0.97170953590593967</v>
      </c>
      <c r="CB9" s="158">
        <f>股权价值增加表!CB38/股权价值增加表!CB31</f>
        <v>1</v>
      </c>
      <c r="CC9" s="158">
        <f>股权价值增加表!CC38/股权价值增加表!CC31</f>
        <v>1.0465315963584432</v>
      </c>
      <c r="CD9" s="158">
        <f>股权价值增加表!CD38/股权价值增加表!CD31</f>
        <v>1</v>
      </c>
      <c r="CE9" s="158">
        <f>股权价值增加表!CE38/股权价值增加表!CE31</f>
        <v>1.0424264646725998</v>
      </c>
      <c r="CF9" s="158" t="e">
        <f>股权价值增加表!CF38/股权价值增加表!CF31</f>
        <v>#DIV/0!</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3.1830079572876202</v>
      </c>
      <c r="F10" s="61">
        <f>资产资本表!F70/资产资本表!F107</f>
        <v>3.247019402153462</v>
      </c>
      <c r="G10" s="61">
        <f>资产资本表!G70/资产资本表!G107</f>
        <v>3.3492716731930332</v>
      </c>
      <c r="H10" s="61">
        <f>资产资本表!H70/资产资本表!H107</f>
        <v>3.1882709317643134</v>
      </c>
      <c r="I10" s="61">
        <f>资产资本表!I70/资产资本表!I107</f>
        <v>3.2355498960381444</v>
      </c>
      <c r="J10" s="61">
        <f>资产资本表!J70/资产资本表!J107</f>
        <v>3.3070087122198379</v>
      </c>
      <c r="K10" s="61">
        <f>资产资本表!K70/资产资本表!K107</f>
        <v>3.5705614580922669</v>
      </c>
      <c r="L10" s="61">
        <f>资产资本表!L70/资产资本表!L107</f>
        <v>3.1925973113399131</v>
      </c>
      <c r="M10" s="61">
        <f>资产资本表!M70/资产资本表!M107</f>
        <v>3.2638099887118779</v>
      </c>
      <c r="N10" s="61">
        <f>资产资本表!N70/资产资本表!N107</f>
        <v>3.4286207740423724</v>
      </c>
      <c r="O10" s="61">
        <f>资产资本表!O70/资产资本表!O107</f>
        <v>3.7456204528124553</v>
      </c>
      <c r="P10" s="61">
        <f>资产资本表!P70/资产资本表!P107</f>
        <v>3.5336045581858198</v>
      </c>
      <c r="Q10" s="61">
        <f>资产资本表!Q70/资产资本表!Q107</f>
        <v>3.7653884769308861</v>
      </c>
      <c r="R10" s="61">
        <f>资产资本表!R70/资产资本表!R107</f>
        <v>3.9798287419146856</v>
      </c>
      <c r="S10" s="61">
        <f>资产资本表!S70/资产资本表!S107</f>
        <v>4.4874381666553722</v>
      </c>
      <c r="T10" s="61">
        <f>资产资本表!T70/资产资本表!T107</f>
        <v>4.3851065264382738</v>
      </c>
      <c r="U10" s="61">
        <f>资产资本表!U70/资产资本表!U107</f>
        <v>4.3806610106321404</v>
      </c>
      <c r="V10" s="61">
        <f>资产资本表!V70/资产资本表!V107</f>
        <v>4.4049753255241209</v>
      </c>
      <c r="W10" s="61">
        <f>资产资本表!W70/资产资本表!W107</f>
        <v>4.8274286703159177</v>
      </c>
      <c r="X10" s="61">
        <f>资产资本表!X70/资产资本表!X107</f>
        <v>5.1967740827958302</v>
      </c>
      <c r="Y10" s="61">
        <f>资产资本表!Y70/资产资本表!Y107</f>
        <v>5.2168814380221011</v>
      </c>
      <c r="Z10" s="61">
        <f>资产资本表!Z70/资产资本表!Z107</f>
        <v>5.1631388473751763</v>
      </c>
      <c r="AA10" s="61">
        <f>资产资本表!AA70/资产资本表!AA107</f>
        <v>5.2439799184069287</v>
      </c>
      <c r="AB10" s="61">
        <f>资产资本表!AB70/资产资本表!AB107</f>
        <v>5.3737215023919145</v>
      </c>
      <c r="AC10" s="61">
        <f>资产资本表!AC70/资产资本表!AC107</f>
        <v>5.2066852757142446</v>
      </c>
      <c r="AD10" s="61">
        <f>资产资本表!AD70/资产资本表!AD107</f>
        <v>5.2397148950310726</v>
      </c>
      <c r="AE10" s="61">
        <f>资产资本表!AE70/资产资本表!AE107</f>
        <v>5.4657353903381916</v>
      </c>
      <c r="AF10" s="61">
        <f>资产资本表!AF70/资产资本表!AF107</f>
        <v>5.94894054359915</v>
      </c>
      <c r="AG10" s="61">
        <f>资产资本表!AG70/资产资本表!AG107</f>
        <v>5.7704723375861304</v>
      </c>
      <c r="AH10" s="61">
        <f>资产资本表!AH70/资产资本表!AH107</f>
        <v>5.6523990306441343</v>
      </c>
      <c r="AI10" s="61">
        <f>资产资本表!AI70/资产资本表!AI107</f>
        <v>5.6088140983265573</v>
      </c>
      <c r="AJ10" s="61">
        <f>资产资本表!AJ70/资产资本表!AJ107</f>
        <v>5.4221338834280823</v>
      </c>
      <c r="AK10" s="61">
        <f>资产资本表!AK70/资产资本表!AK107</f>
        <v>5.0414193398325304</v>
      </c>
      <c r="AL10" s="61">
        <f>资产资本表!AL70/资产资本表!AL107</f>
        <v>2.9338901410646736</v>
      </c>
      <c r="AM10" s="61">
        <f>资产资本表!AM70/资产资本表!AM107</f>
        <v>2.9135761420124262</v>
      </c>
      <c r="AN10" s="61">
        <f>资产资本表!AN70/资产资本表!AN107</f>
        <v>2.8114089279926975</v>
      </c>
      <c r="AO10" s="61">
        <f>资产资本表!AO70/资产资本表!AO107</f>
        <v>2.8357988622858574</v>
      </c>
      <c r="AP10" s="61">
        <f>资产资本表!AP70/资产资本表!AP107</f>
        <v>2.7646081979029318</v>
      </c>
      <c r="AQ10" s="61">
        <f>资产资本表!AQ70/资产资本表!AQ107</f>
        <v>2.7351682695292743</v>
      </c>
      <c r="AR10" s="61">
        <f>资产资本表!AR70/资产资本表!AR107</f>
        <v>2.6114169690998352</v>
      </c>
      <c r="AS10" s="61">
        <f>资产资本表!AS70/资产资本表!AS107</f>
        <v>2.5851012297631151</v>
      </c>
      <c r="AT10" s="61">
        <f>资产资本表!AT70/资产资本表!AT107</f>
        <v>2.5661893999401459</v>
      </c>
      <c r="AU10" s="61">
        <f>资产资本表!AU70/资产资本表!AU107</f>
        <v>3.253912028198505</v>
      </c>
      <c r="AV10" s="61">
        <f>资产资本表!AV70/资产资本表!AV107</f>
        <v>3.2650819718579016</v>
      </c>
      <c r="AW10" s="61">
        <f>资产资本表!AW70/资产资本表!AW107</f>
        <v>3.0331416034108774</v>
      </c>
      <c r="AX10" s="61">
        <f>资产资本表!AX70/资产资本表!AX107</f>
        <v>2.3924263913405173</v>
      </c>
      <c r="AY10" s="61">
        <f>资产资本表!AY70/资产资本表!AY107</f>
        <v>3.150055749001949</v>
      </c>
      <c r="AZ10" s="61">
        <f>资产资本表!AZ70/资产资本表!AZ107</f>
        <v>3.4234528820472989</v>
      </c>
      <c r="BA10" s="61">
        <f>资产资本表!BA70/资产资本表!BA107</f>
        <v>3.3802005197441756</v>
      </c>
      <c r="BB10" s="61">
        <f>资产资本表!BB70/资产资本表!BB107</f>
        <v>3.1107513926192332</v>
      </c>
      <c r="BC10" s="61">
        <f>资产资本表!BC70/资产资本表!BC107</f>
        <v>3.274794931026126</v>
      </c>
      <c r="BD10" s="61">
        <f>资产资本表!BD70/资产资本表!BD107</f>
        <v>3.3839794213133705</v>
      </c>
      <c r="BE10" s="61">
        <f>资产资本表!BE70/资产资本表!BE107</f>
        <v>3.514749549958605</v>
      </c>
      <c r="BF10" s="61">
        <f>资产资本表!BF70/资产资本表!BF107</f>
        <v>3.649084786541299</v>
      </c>
      <c r="BG10" s="61">
        <f>资产资本表!BG70/资产资本表!BG107</f>
        <v>3.828428421179277</v>
      </c>
      <c r="BH10" s="61">
        <f>资产资本表!BH70/资产资本表!BH107</f>
        <v>2.7959819930801961</v>
      </c>
      <c r="BI10" s="61">
        <f>资产资本表!BI70/资产资本表!BI107</f>
        <v>2.629916114414621</v>
      </c>
      <c r="BJ10" s="61">
        <f>资产资本表!BJ70/资产资本表!BJ107</f>
        <v>2.7094708088498756</v>
      </c>
      <c r="BK10" s="61">
        <f>资产资本表!BK70/资产资本表!BK107</f>
        <v>2.8337453990450951</v>
      </c>
      <c r="BL10" s="61">
        <f>资产资本表!BL70/资产资本表!BL107</f>
        <v>3.100368930125692</v>
      </c>
      <c r="BM10" s="61">
        <f>资产资本表!BM70/资产资本表!BM107</f>
        <v>3.1229884088341064</v>
      </c>
      <c r="BN10" s="61">
        <f>资产资本表!BN70/资产资本表!BN107</f>
        <v>0.99883316827046564</v>
      </c>
      <c r="BO10" s="61">
        <f>资产资本表!BO70/资产资本表!BO107</f>
        <v>0.99986863462341935</v>
      </c>
      <c r="BP10" s="61">
        <f>资产资本表!BP70/资产资本表!BP107</f>
        <v>0.99963187853243141</v>
      </c>
      <c r="BQ10" s="61">
        <f>资产资本表!BQ70/资产资本表!BQ107</f>
        <v>0.99937763494947218</v>
      </c>
      <c r="BR10" s="61">
        <f>资产资本表!BR70/资产资本表!BR107</f>
        <v>1.0081946651376212</v>
      </c>
      <c r="BS10" s="61">
        <f>资产资本表!BS70/资产资本表!BS107</f>
        <v>1.0832446485946408</v>
      </c>
      <c r="BT10" s="61">
        <f>资产资本表!BT70/资产资本表!BT107</f>
        <v>1.1300938193554393</v>
      </c>
      <c r="BU10" s="61">
        <f>资产资本表!BU70/资产资本表!BU107</f>
        <v>1.1692820395632839</v>
      </c>
      <c r="BV10" s="61">
        <f>资产资本表!BV70/资产资本表!BV107</f>
        <v>1.1756277138216571</v>
      </c>
      <c r="BW10" s="61">
        <f>资产资本表!BW70/资产资本表!BW107</f>
        <v>1.125350796893589</v>
      </c>
      <c r="BX10" s="61">
        <f>资产资本表!BX70/资产资本表!BX107</f>
        <v>1.2520925534031961</v>
      </c>
      <c r="BY10" s="61">
        <f>资产资本表!BY70/资产资本表!BY107</f>
        <v>1.2801106373436273</v>
      </c>
      <c r="BZ10" s="61">
        <f>资产资本表!BZ70/资产资本表!BZ107</f>
        <v>1.1644536179260927</v>
      </c>
      <c r="CA10" s="61">
        <f>资产资本表!CA70/资产资本表!CA107</f>
        <v>1.4814976399919337</v>
      </c>
      <c r="CB10" s="61">
        <f>资产资本表!CB70/资产资本表!CB107</f>
        <v>1.9309248300735689</v>
      </c>
      <c r="CC10" s="61">
        <f>资产资本表!CC70/资产资本表!CC107</f>
        <v>2.3865622698525373</v>
      </c>
      <c r="CD10" s="61">
        <f>资产资本表!CD70/资产资本表!CD107</f>
        <v>1.0087232915570503</v>
      </c>
      <c r="CE10" s="61" t="e">
        <f>资产资本表!CE70/资产资本表!CE107</f>
        <v>#DIV/0!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1.8184371991592783</v>
      </c>
      <c r="F11" s="28">
        <f t="shared" ref="F11:BQ11" si="2">F9*F10</f>
        <v>2.0584117064087737</v>
      </c>
      <c r="G11" s="28">
        <f t="shared" si="2"/>
        <v>1.9175128231113023</v>
      </c>
      <c r="H11" s="28">
        <f t="shared" si="2"/>
        <v>2.0314239083238972</v>
      </c>
      <c r="I11" s="28">
        <f t="shared" si="2"/>
        <v>2.0570838092805479</v>
      </c>
      <c r="J11" s="28">
        <f t="shared" si="2"/>
        <v>2.2215664255810892</v>
      </c>
      <c r="K11" s="28">
        <f t="shared" si="2"/>
        <v>2.122489781887599</v>
      </c>
      <c r="L11" s="28">
        <f t="shared" si="2"/>
        <v>2.1333835217811821</v>
      </c>
      <c r="M11" s="28">
        <f t="shared" si="2"/>
        <v>2.1035497460329076</v>
      </c>
      <c r="N11" s="28">
        <f t="shared" si="2"/>
        <v>2.3025007854387272</v>
      </c>
      <c r="O11" s="28">
        <f t="shared" si="2"/>
        <v>2.3450684180259866</v>
      </c>
      <c r="P11" s="28">
        <f t="shared" si="2"/>
        <v>2.1992006613092654</v>
      </c>
      <c r="Q11" s="28">
        <f t="shared" si="2"/>
        <v>2.3913259961388298</v>
      </c>
      <c r="R11" s="28">
        <f t="shared" si="2"/>
        <v>2.6780952501466104</v>
      </c>
      <c r="S11" s="28">
        <f t="shared" si="2"/>
        <v>2.5987983506410122</v>
      </c>
      <c r="T11" s="28">
        <f t="shared" si="2"/>
        <v>2.4381415413256957</v>
      </c>
      <c r="U11" s="28">
        <f t="shared" si="2"/>
        <v>2.6227174413154999</v>
      </c>
      <c r="V11" s="28">
        <f t="shared" si="2"/>
        <v>2.7065340226203412</v>
      </c>
      <c r="W11" s="28">
        <f t="shared" si="2"/>
        <v>2.6202360029238503</v>
      </c>
      <c r="X11" s="28">
        <f t="shared" si="2"/>
        <v>2.5993771387251114</v>
      </c>
      <c r="Y11" s="28">
        <f t="shared" si="2"/>
        <v>2.2147785255833887</v>
      </c>
      <c r="Z11" s="28">
        <f t="shared" si="2"/>
        <v>2.1716743089222601</v>
      </c>
      <c r="AA11" s="28">
        <f t="shared" si="2"/>
        <v>0.74584000902379655</v>
      </c>
      <c r="AB11" s="28">
        <f t="shared" si="2"/>
        <v>-0.38133374892288052</v>
      </c>
      <c r="AC11" s="28">
        <f t="shared" si="2"/>
        <v>1.7961893509484255</v>
      </c>
      <c r="AD11" s="28">
        <f t="shared" si="2"/>
        <v>2.0368951776181654</v>
      </c>
      <c r="AE11" s="28">
        <f t="shared" si="2"/>
        <v>1.3854272911495895</v>
      </c>
      <c r="AF11" s="28">
        <f t="shared" si="2"/>
        <v>0.64293455225455654</v>
      </c>
      <c r="AG11" s="28">
        <f t="shared" si="2"/>
        <v>2.668010941052565</v>
      </c>
      <c r="AH11" s="28">
        <f t="shared" si="2"/>
        <v>2.5496439913619167</v>
      </c>
      <c r="AI11" s="28">
        <f t="shared" si="2"/>
        <v>1.4670316375053727</v>
      </c>
      <c r="AJ11" s="28">
        <f t="shared" si="2"/>
        <v>1.1143639917897263</v>
      </c>
      <c r="AK11" s="28">
        <f t="shared" si="2"/>
        <v>2.1458375361457933</v>
      </c>
      <c r="AL11" s="28">
        <f t="shared" si="2"/>
        <v>1.2473807353379611</v>
      </c>
      <c r="AM11" s="28">
        <f t="shared" si="2"/>
        <v>1.1162690819687942</v>
      </c>
      <c r="AN11" s="28">
        <f t="shared" si="2"/>
        <v>0.9694413620128286</v>
      </c>
      <c r="AO11" s="28">
        <f t="shared" si="2"/>
        <v>0.86814972148915881</v>
      </c>
      <c r="AP11" s="28">
        <f t="shared" si="2"/>
        <v>0.94536484760547834</v>
      </c>
      <c r="AQ11" s="28">
        <f t="shared" si="2"/>
        <v>1.1207909529339404</v>
      </c>
      <c r="AR11" s="28">
        <f t="shared" si="2"/>
        <v>1.1577850596513917</v>
      </c>
      <c r="AS11" s="28">
        <f t="shared" si="2"/>
        <v>1.6513792061199941</v>
      </c>
      <c r="AT11" s="28">
        <f t="shared" si="2"/>
        <v>1.6878532498277647</v>
      </c>
      <c r="AU11" s="28">
        <f t="shared" si="2"/>
        <v>2.2443917858369673</v>
      </c>
      <c r="AV11" s="28">
        <f t="shared" si="2"/>
        <v>2.314766028593882</v>
      </c>
      <c r="AW11" s="28">
        <f t="shared" si="2"/>
        <v>2.1446711030582457</v>
      </c>
      <c r="AX11" s="28">
        <f t="shared" si="2"/>
        <v>1.7594005063326474</v>
      </c>
      <c r="AY11" s="28">
        <f t="shared" si="2"/>
        <v>2.2577196873610523</v>
      </c>
      <c r="AZ11" s="28">
        <f t="shared" si="2"/>
        <v>2.1877446987952394</v>
      </c>
      <c r="BA11" s="28">
        <f t="shared" si="2"/>
        <v>2.3858614429401226</v>
      </c>
      <c r="BB11" s="28">
        <f t="shared" si="2"/>
        <v>2.2768713511868071</v>
      </c>
      <c r="BC11" s="28">
        <f t="shared" si="2"/>
        <v>2.3871280445827567</v>
      </c>
      <c r="BD11" s="28">
        <f t="shared" si="2"/>
        <v>2.5341037716713126</v>
      </c>
      <c r="BE11" s="28">
        <f t="shared" si="2"/>
        <v>2.551249797980411</v>
      </c>
      <c r="BF11" s="28">
        <f t="shared" si="2"/>
        <v>2.6994525991418667</v>
      </c>
      <c r="BG11" s="28">
        <f t="shared" si="2"/>
        <v>3.0204585473152359</v>
      </c>
      <c r="BH11" s="28">
        <f t="shared" si="2"/>
        <v>2.2667398321993848</v>
      </c>
      <c r="BI11" s="28">
        <f t="shared" si="2"/>
        <v>1.9524046906094545</v>
      </c>
      <c r="BJ11" s="28">
        <f t="shared" si="2"/>
        <v>1.9036525140336555</v>
      </c>
      <c r="BK11" s="28">
        <f t="shared" si="2"/>
        <v>1.9207776335993769</v>
      </c>
      <c r="BL11" s="28">
        <f t="shared" si="2"/>
        <v>2.1692667657538989</v>
      </c>
      <c r="BM11" s="28">
        <f t="shared" si="2"/>
        <v>0.63681924999976713</v>
      </c>
      <c r="BN11" s="28">
        <f t="shared" si="2"/>
        <v>0.99601844169906351</v>
      </c>
      <c r="BO11" s="28">
        <f t="shared" si="2"/>
        <v>0.99718973401379962</v>
      </c>
      <c r="BP11" s="28">
        <f t="shared" si="2"/>
        <v>0.99654324558766727</v>
      </c>
      <c r="BQ11" s="28">
        <f t="shared" si="2"/>
        <v>1.0235959986947138</v>
      </c>
      <c r="BR11" s="28">
        <f t="shared" ref="BR11:CJ11" si="3">BR9*BR10</f>
        <v>4.649240823598209</v>
      </c>
      <c r="BS11" s="28">
        <f t="shared" si="3"/>
        <v>0.52859457986246117</v>
      </c>
      <c r="BT11" s="28">
        <f t="shared" si="3"/>
        <v>1.3019749556324816</v>
      </c>
      <c r="BU11" s="28">
        <f t="shared" si="3"/>
        <v>1.4467747813416376</v>
      </c>
      <c r="BV11" s="28">
        <f t="shared" si="3"/>
        <v>1.2642370553794302</v>
      </c>
      <c r="BW11" s="28">
        <f t="shared" si="3"/>
        <v>1.0823078939783166</v>
      </c>
      <c r="BX11" s="28">
        <f t="shared" si="3"/>
        <v>1.2377169098558871</v>
      </c>
      <c r="BY11" s="28">
        <f t="shared" si="3"/>
        <v>1.258767637051702</v>
      </c>
      <c r="BZ11" s="28">
        <f t="shared" si="3"/>
        <v>1.1644536179260927</v>
      </c>
      <c r="CA11" s="28">
        <f t="shared" si="3"/>
        <v>1.4395853842023068</v>
      </c>
      <c r="CB11" s="28">
        <f t="shared" si="3"/>
        <v>1.9309248300735689</v>
      </c>
      <c r="CC11" s="28">
        <f t="shared" si="3"/>
        <v>2.4976128220776053</v>
      </c>
      <c r="CD11" s="28">
        <f t="shared" si="3"/>
        <v>1.0087232915570503</v>
      </c>
      <c r="CE11" s="28" t="e">
        <f t="shared" si="3"/>
        <v>#DIV/0!</v>
      </c>
      <c r="CF11" s="28" t="e">
        <f t="shared" si="3"/>
        <v>#DIV/0!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0.85462911152693877</v>
      </c>
      <c r="F12" s="158">
        <f>F2/股权价值增加表!F38</f>
        <v>0.85444048608867695</v>
      </c>
      <c r="G12" s="158">
        <f>G2/股权价值增加表!G38</f>
        <v>0.83578912730144272</v>
      </c>
      <c r="H12" s="158">
        <f>H2/股权价值增加表!H38</f>
        <v>0.88010810048221844</v>
      </c>
      <c r="I12" s="158">
        <f>I2/股权价值增加表!I38</f>
        <v>0.88118906763886129</v>
      </c>
      <c r="J12" s="158">
        <f>J2/股权价值增加表!J38</f>
        <v>0.87220862318549308</v>
      </c>
      <c r="K12" s="158">
        <f>K2/股权价值增加表!K38</f>
        <v>0.85626358170058969</v>
      </c>
      <c r="L12" s="158">
        <f>L2/股权价值增加表!L38</f>
        <v>0.88278471922198976</v>
      </c>
      <c r="M12" s="158">
        <f>M2/股权价值增加表!M38</f>
        <v>0.91930199214782149</v>
      </c>
      <c r="N12" s="158">
        <f>N2/股权价值增加表!N38</f>
        <v>0.91455492828273899</v>
      </c>
      <c r="O12" s="158">
        <f>O2/股权价值增加表!O38</f>
        <v>0.89703031923258014</v>
      </c>
      <c r="P12" s="158">
        <f>P2/股权价值增加表!P38</f>
        <v>0.89635355346484158</v>
      </c>
      <c r="Q12" s="158">
        <f>Q2/股权价值增加表!Q38</f>
        <v>0.92798887254655971</v>
      </c>
      <c r="R12" s="158">
        <f>R2/股权价值增加表!R38</f>
        <v>0.92534100937645336</v>
      </c>
      <c r="S12" s="158">
        <f>S2/股权价值增加表!S38</f>
        <v>0.89579675044612006</v>
      </c>
      <c r="T12" s="158">
        <f>T2/股权价值增加表!T38</f>
        <v>0.87364771708142053</v>
      </c>
      <c r="U12" s="158">
        <f>U2/股权价值增加表!U38</f>
        <v>0.89403446704855027</v>
      </c>
      <c r="V12" s="158">
        <f>V2/股权价值增加表!V38</f>
        <v>0.89994444382584671</v>
      </c>
      <c r="W12" s="158">
        <f>W2/股权价值增加表!W38</f>
        <v>0.90492504420591768</v>
      </c>
      <c r="X12" s="158">
        <f>X2/股权价值增加表!X38</f>
        <v>0.8983686461188527</v>
      </c>
      <c r="Y12" s="158">
        <f>Y2/股权价值增加表!Y38</f>
        <v>0.86938933844009858</v>
      </c>
      <c r="Z12" s="158">
        <f>Z2/股权价值增加表!Z38</f>
        <v>0.86071134265029448</v>
      </c>
      <c r="AA12" s="158">
        <f>AA2/股权价值增加表!AA38</f>
        <v>0.61285565581980117</v>
      </c>
      <c r="AB12" s="158">
        <f>AB2/股权价值增加表!AB38</f>
        <v>1.76349471892534</v>
      </c>
      <c r="AC12" s="158">
        <f>AC2/股权价值增加表!AC38</f>
        <v>0.74359649253015259</v>
      </c>
      <c r="AD12" s="158">
        <f>AD2/股权价值增加表!AD38</f>
        <v>0.73627605060526513</v>
      </c>
      <c r="AE12" s="158">
        <f>AE2/股权价值增加表!AE38</f>
        <v>0.70227200716213301</v>
      </c>
      <c r="AF12" s="158">
        <f>AF2/股权价值增加表!AF38</f>
        <v>0.51655028930303226</v>
      </c>
      <c r="AG12" s="158">
        <f>AG2/股权价值增加表!AG38</f>
        <v>0.78874538352197465</v>
      </c>
      <c r="AH12" s="158">
        <f>AH2/股权价值增加表!AH38</f>
        <v>0.81951972145494489</v>
      </c>
      <c r="AI12" s="158">
        <f>AI2/股权价值增加表!AI38</f>
        <v>0.77319556365043718</v>
      </c>
      <c r="AJ12" s="158">
        <f>AJ2/股权价值增加表!AJ38</f>
        <v>0.77269414821589522</v>
      </c>
      <c r="AK12" s="158">
        <f>AK2/股权价值增加表!AK38</f>
        <v>0.81481573545555741</v>
      </c>
      <c r="AL12" s="158">
        <f>AL2/股权价值增加表!AL38</f>
        <v>0.79432181596175233</v>
      </c>
      <c r="AM12" s="158">
        <f>AM2/股权价值增加表!AM38</f>
        <v>0.76623104532237907</v>
      </c>
      <c r="AN12" s="158">
        <f>AN2/股权价值增加表!AN38</f>
        <v>0.69817135130828212</v>
      </c>
      <c r="AO12" s="158">
        <f>AO2/股权价值增加表!AO38</f>
        <v>0.6010284657134598</v>
      </c>
      <c r="AP12" s="158">
        <f>AP2/股权价值增加表!AP38</f>
        <v>0.75508579840712786</v>
      </c>
      <c r="AQ12" s="158">
        <f>AQ2/股权价值增加表!AQ38</f>
        <v>0.81328192148492084</v>
      </c>
      <c r="AR12" s="158">
        <f>AR2/股权价值增加表!AR38</f>
        <v>0.84680817113103879</v>
      </c>
      <c r="AS12" s="158">
        <f>AS2/股权价值增加表!AS38</f>
        <v>0.86798837531744866</v>
      </c>
      <c r="AT12" s="158">
        <f>AT2/股权价值增加表!AT38</f>
        <v>0.90056621456294383</v>
      </c>
      <c r="AU12" s="158">
        <f>AU2/股权价值增加表!AU38</f>
        <v>0.91111586994072125</v>
      </c>
      <c r="AV12" s="158">
        <f>AV2/股权价值增加表!AV38</f>
        <v>0.88720165051063526</v>
      </c>
      <c r="AW12" s="158">
        <f>AW2/股权价值增加表!AW38</f>
        <v>0.91032638751639083</v>
      </c>
      <c r="AX12" s="158">
        <f>AX2/股权价值增加表!AX38</f>
        <v>0.90468337210288907</v>
      </c>
      <c r="AY12" s="158">
        <f>AY2/股权价值增加表!AY38</f>
        <v>0.91416082209735894</v>
      </c>
      <c r="AZ12" s="158">
        <f>AZ2/股权价值增加表!AZ38</f>
        <v>0.9036304133141897</v>
      </c>
      <c r="BA12" s="158">
        <f>BA2/股权价值增加表!BA38</f>
        <v>0.93017506184830312</v>
      </c>
      <c r="BB12" s="158">
        <f>BB2/股权价值增加表!BB38</f>
        <v>0.92497551133600353</v>
      </c>
      <c r="BC12" s="158">
        <f>BC2/股权价值增加表!BC38</f>
        <v>0.92748757672642734</v>
      </c>
      <c r="BD12" s="158">
        <f>BD2/股权价值增加表!BD38</f>
        <v>0.939870717681764</v>
      </c>
      <c r="BE12" s="158">
        <f>BE2/股权价值增加表!BE38</f>
        <v>0.93015704054797632</v>
      </c>
      <c r="BF12" s="158">
        <f>BF2/股权价值增加表!BF38</f>
        <v>0.92980877670600415</v>
      </c>
      <c r="BG12" s="158">
        <f>BG2/股权价值增加表!BG38</f>
        <v>0.93305953568555777</v>
      </c>
      <c r="BH12" s="158">
        <f>BH2/股权价值增加表!BH38</f>
        <v>0.97418134982523019</v>
      </c>
      <c r="BI12" s="158">
        <f>BI2/股权价值增加表!BI38</f>
        <v>0.91378972719412443</v>
      </c>
      <c r="BJ12" s="158">
        <f>BJ2/股权价值增加表!BJ38</f>
        <v>0.91842404028229763</v>
      </c>
      <c r="BK12" s="158">
        <f>BK2/股权价值增加表!BK38</f>
        <v>0.91055058519605725</v>
      </c>
      <c r="BL12" s="158">
        <f>BL2/股权价值增加表!BL38</f>
        <v>0.90033538571743954</v>
      </c>
      <c r="BM12" s="158">
        <f>BM2/股权价值增加表!BM38</f>
        <v>-0.18302944189481477</v>
      </c>
      <c r="BN12" s="158">
        <f>BN2/股权价值增加表!BN38</f>
        <v>1</v>
      </c>
      <c r="BO12" s="158">
        <f>BO2/股权价值增加表!BO38</f>
        <v>1</v>
      </c>
      <c r="BP12" s="158">
        <f>BP2/股权价值增加表!BP38</f>
        <v>1</v>
      </c>
      <c r="BQ12" s="158">
        <f>BQ2/股权价值增加表!BQ38</f>
        <v>1</v>
      </c>
      <c r="BR12" s="158">
        <f>BR2/股权价值增加表!BR38</f>
        <v>1</v>
      </c>
      <c r="BS12" s="158">
        <f>BS2/股权价值增加表!BS38</f>
        <v>1</v>
      </c>
      <c r="BT12" s="158">
        <f>BT2/股权价值增加表!BT38</f>
        <v>1</v>
      </c>
      <c r="BU12" s="158">
        <f>BU2/股权价值增加表!BU38</f>
        <v>1</v>
      </c>
      <c r="BV12" s="158">
        <f>BV2/股权价值增加表!BV38</f>
        <v>1</v>
      </c>
      <c r="BW12" s="158">
        <f>BW2/股权价值增加表!BW38</f>
        <v>0.61843522800584438</v>
      </c>
      <c r="BX12" s="158">
        <f>BX2/股权价值增加表!BX38</f>
        <v>0.65135290724840955</v>
      </c>
      <c r="BY12" s="158">
        <f>BY2/股权价值增加表!BY38</f>
        <v>0.66349906811795567</v>
      </c>
      <c r="BZ12" s="158">
        <f>BZ2/股权价值增加表!BZ38</f>
        <v>0.95129493892349481</v>
      </c>
      <c r="CA12" s="158">
        <f>CA2/股权价值增加表!CA38</f>
        <v>0.64106470677900851</v>
      </c>
      <c r="CB12" s="158">
        <f>CB2/股权价值增加表!CB38</f>
        <v>0.86776666221897569</v>
      </c>
      <c r="CC12" s="158">
        <f>CC2/股权价值增加表!CC38</f>
        <v>0.66817219864720123</v>
      </c>
      <c r="CD12" s="158">
        <f>CD2/股权价值增加表!CD38</f>
        <v>0.80644804229373579</v>
      </c>
      <c r="CE12" s="158">
        <f>CE2/股权价值增加表!CE38</f>
        <v>0.66829604427310196</v>
      </c>
      <c r="CF12" s="158" t="e">
        <f>CF2/股权价值增加表!CF38</f>
        <v>#DIV/0!</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0.14537088847306123</v>
      </c>
      <c r="F13" s="63">
        <f>1-F2/股权价值增加表!F38</f>
        <v>0.14555951391132305</v>
      </c>
      <c r="G13" s="63">
        <f>1-G2/股权价值增加表!G38</f>
        <v>0.16421087269855728</v>
      </c>
      <c r="H13" s="63">
        <f>1-H2/股权价值增加表!H38</f>
        <v>0.11989189951778156</v>
      </c>
      <c r="I13" s="63">
        <f>1-I2/股权价值增加表!I38</f>
        <v>0.11881093236113871</v>
      </c>
      <c r="J13" s="63">
        <f>1-J2/股权价值增加表!J38</f>
        <v>0.12779137681450692</v>
      </c>
      <c r="K13" s="63">
        <f>1-K2/股权价值增加表!K38</f>
        <v>0.14373641829941031</v>
      </c>
      <c r="L13" s="63">
        <f>1-L2/股权价值增加表!L38</f>
        <v>0.11721528077801024</v>
      </c>
      <c r="M13" s="63">
        <f>1-M2/股权价值增加表!M38</f>
        <v>8.069800785217851E-2</v>
      </c>
      <c r="N13" s="63">
        <f>1-N2/股权价值增加表!N38</f>
        <v>8.5445071717261012E-2</v>
      </c>
      <c r="O13" s="63">
        <f>1-O2/股权价值增加表!O38</f>
        <v>0.10296968076741986</v>
      </c>
      <c r="P13" s="63">
        <f>1-P2/股权价值增加表!P38</f>
        <v>0.10364644653515842</v>
      </c>
      <c r="Q13" s="63">
        <f>1-Q2/股权价值增加表!Q38</f>
        <v>7.2011127453440293E-2</v>
      </c>
      <c r="R13" s="63">
        <f>1-R2/股权价值增加表!R38</f>
        <v>7.4658990623546639E-2</v>
      </c>
      <c r="S13" s="63">
        <f>1-S2/股权价值增加表!S38</f>
        <v>0.10420324955387994</v>
      </c>
      <c r="T13" s="63">
        <f>1-T2/股权价值增加表!T38</f>
        <v>0.12635228291857947</v>
      </c>
      <c r="U13" s="63">
        <f>1-U2/股权价值增加表!U38</f>
        <v>0.10596553295144973</v>
      </c>
      <c r="V13" s="63">
        <f>1-V2/股权价值增加表!V38</f>
        <v>0.10005555617415329</v>
      </c>
      <c r="W13" s="63">
        <f>1-W2/股权价值增加表!W38</f>
        <v>9.5074955794082316E-2</v>
      </c>
      <c r="X13" s="63">
        <f>1-X2/股权价值增加表!X38</f>
        <v>0.1016313538811473</v>
      </c>
      <c r="Y13" s="63">
        <f>1-Y2/股权价值增加表!Y38</f>
        <v>0.13061066155990142</v>
      </c>
      <c r="Z13" s="63">
        <f>1-Z2/股权价值增加表!Z38</f>
        <v>0.13928865734970552</v>
      </c>
      <c r="AA13" s="63">
        <f>1-AA2/股权价值增加表!AA38</f>
        <v>0.38714434418019883</v>
      </c>
      <c r="AB13" s="63">
        <f>1-AB2/股权价值增加表!AB38</f>
        <v>-0.76349471892534004</v>
      </c>
      <c r="AC13" s="63">
        <f>1-AC2/股权价值增加表!AC38</f>
        <v>0.25640350746984741</v>
      </c>
      <c r="AD13" s="63">
        <f>1-AD2/股权价值增加表!AD38</f>
        <v>0.26372394939473487</v>
      </c>
      <c r="AE13" s="63">
        <f>1-AE2/股权价值增加表!AE38</f>
        <v>0.29772799283786699</v>
      </c>
      <c r="AF13" s="63">
        <f>1-AF2/股权价值增加表!AF38</f>
        <v>0.48344971069696774</v>
      </c>
      <c r="AG13" s="63">
        <f>1-AG2/股权价值增加表!AG38</f>
        <v>0.21125461647802535</v>
      </c>
      <c r="AH13" s="63">
        <f>1-AH2/股权价值增加表!AH38</f>
        <v>0.18048027854505511</v>
      </c>
      <c r="AI13" s="63">
        <f>1-AI2/股权价值增加表!AI38</f>
        <v>0.22680443634956282</v>
      </c>
      <c r="AJ13" s="63">
        <f>1-AJ2/股权价值增加表!AJ38</f>
        <v>0.22730585178410478</v>
      </c>
      <c r="AK13" s="63">
        <f>1-AK2/股权价值增加表!AK38</f>
        <v>0.18518426454444259</v>
      </c>
      <c r="AL13" s="63">
        <f>1-AL2/股权价值增加表!AL38</f>
        <v>0.20567818403824767</v>
      </c>
      <c r="AM13" s="63">
        <f>1-AM2/股权价值增加表!AM38</f>
        <v>0.23376895467762093</v>
      </c>
      <c r="AN13" s="63">
        <f>1-AN2/股权价值增加表!AN38</f>
        <v>0.30182864869171788</v>
      </c>
      <c r="AO13" s="63">
        <f>1-AO2/股权价值增加表!AO38</f>
        <v>0.3989715342865402</v>
      </c>
      <c r="AP13" s="63">
        <f>1-AP2/股权价值增加表!AP38</f>
        <v>0.24491420159287214</v>
      </c>
      <c r="AQ13" s="63">
        <f>1-AQ2/股权价值增加表!AQ38</f>
        <v>0.18671807851507916</v>
      </c>
      <c r="AR13" s="63">
        <f>1-AR2/股权价值增加表!AR38</f>
        <v>0.15319182886896121</v>
      </c>
      <c r="AS13" s="63">
        <f>1-AS2/股权价值增加表!AS38</f>
        <v>0.13201162468255134</v>
      </c>
      <c r="AT13" s="63">
        <f>1-AT2/股权价值增加表!AT38</f>
        <v>9.9433785437056166E-2</v>
      </c>
      <c r="AU13" s="63">
        <f>1-AU2/股权价值增加表!AU38</f>
        <v>8.8884130059278754E-2</v>
      </c>
      <c r="AV13" s="63">
        <f>1-AV2/股权价值增加表!AV38</f>
        <v>0.11279834948936474</v>
      </c>
      <c r="AW13" s="63">
        <f>1-AW2/股权价值增加表!AW38</f>
        <v>8.9673612483609166E-2</v>
      </c>
      <c r="AX13" s="63">
        <f>1-AX2/股权价值增加表!AX38</f>
        <v>9.5316627897110928E-2</v>
      </c>
      <c r="AY13" s="63">
        <f>1-AY2/股权价值增加表!AY38</f>
        <v>8.5839177902641062E-2</v>
      </c>
      <c r="AZ13" s="63">
        <f>1-AZ2/股权价值增加表!AZ38</f>
        <v>9.6369586685810305E-2</v>
      </c>
      <c r="BA13" s="63">
        <f>1-BA2/股权价值增加表!BA38</f>
        <v>6.982493815169688E-2</v>
      </c>
      <c r="BB13" s="63">
        <f>1-BB2/股权价值增加表!BB38</f>
        <v>7.5024488663996469E-2</v>
      </c>
      <c r="BC13" s="63">
        <f>1-BC2/股权价值增加表!BC38</f>
        <v>7.2512423273572657E-2</v>
      </c>
      <c r="BD13" s="63">
        <f>1-BD2/股权价值增加表!BD38</f>
        <v>6.0129282318235999E-2</v>
      </c>
      <c r="BE13" s="63">
        <f>1-BE2/股权价值增加表!BE38</f>
        <v>6.9842959452023679E-2</v>
      </c>
      <c r="BF13" s="63">
        <f>1-BF2/股权价值增加表!BF38</f>
        <v>7.0191223293995852E-2</v>
      </c>
      <c r="BG13" s="63">
        <f>1-BG2/股权价值增加表!BG38</f>
        <v>6.6940464314442227E-2</v>
      </c>
      <c r="BH13" s="63">
        <f>1-BH2/股权价值增加表!BH38</f>
        <v>2.5818650174769808E-2</v>
      </c>
      <c r="BI13" s="63">
        <f>1-BI2/股权价值增加表!BI38</f>
        <v>8.6210272805875565E-2</v>
      </c>
      <c r="BJ13" s="63">
        <f>1-BJ2/股权价值增加表!BJ38</f>
        <v>8.1575959717702373E-2</v>
      </c>
      <c r="BK13" s="63">
        <f>1-BK2/股权价值增加表!BK38</f>
        <v>8.9449414803942751E-2</v>
      </c>
      <c r="BL13" s="63">
        <f>1-BL2/股权价值增加表!BL38</f>
        <v>9.966461428256046E-2</v>
      </c>
      <c r="BM13" s="63">
        <f>1-BM2/股权价值增加表!BM38</f>
        <v>1.1830294418948148</v>
      </c>
      <c r="BN13" s="63">
        <f>1-BN2/股权价值增加表!BN38</f>
        <v>0</v>
      </c>
      <c r="BO13" s="63">
        <f>1-BO2/股权价值增加表!BO38</f>
        <v>0</v>
      </c>
      <c r="BP13" s="63">
        <f>1-BP2/股权价值增加表!BP38</f>
        <v>0</v>
      </c>
      <c r="BQ13" s="63">
        <f>1-BQ2/股权价值增加表!BQ38</f>
        <v>0</v>
      </c>
      <c r="BR13" s="63">
        <f>1-BR2/股权价值增加表!BR38</f>
        <v>0</v>
      </c>
      <c r="BS13" s="63">
        <f>1-BS2/股权价值增加表!BS38</f>
        <v>0</v>
      </c>
      <c r="BT13" s="63">
        <f>1-BT2/股权价值增加表!BT38</f>
        <v>0</v>
      </c>
      <c r="BU13" s="63">
        <f>1-BU2/股权价值增加表!BU38</f>
        <v>0</v>
      </c>
      <c r="BV13" s="63">
        <f>1-BV2/股权价值增加表!BV38</f>
        <v>0</v>
      </c>
      <c r="BW13" s="63">
        <f>1-BW2/股权价值增加表!BW38</f>
        <v>0.38156477199415562</v>
      </c>
      <c r="BX13" s="63">
        <f>1-BX2/股权价值增加表!BX38</f>
        <v>0.34864709275159045</v>
      </c>
      <c r="BY13" s="63">
        <f>1-BY2/股权价值增加表!BY38</f>
        <v>0.33650093188204433</v>
      </c>
      <c r="BZ13" s="63">
        <f>1-BZ2/股权价值增加表!BZ38</f>
        <v>4.8705061076505185E-2</v>
      </c>
      <c r="CA13" s="63">
        <f>1-CA2/股权价值增加表!CA38</f>
        <v>0.35893529322099149</v>
      </c>
      <c r="CB13" s="63">
        <f>1-CB2/股权价值增加表!CB38</f>
        <v>0.13223333778102431</v>
      </c>
      <c r="CC13" s="63">
        <f>1-CC2/股权价值增加表!CC38</f>
        <v>0.33182780135279877</v>
      </c>
      <c r="CD13" s="63">
        <f>1-CD2/股权价值增加表!CD38</f>
        <v>0.19355195770626421</v>
      </c>
      <c r="CE13" s="63">
        <f>1-CE2/股权价值增加表!CE38</f>
        <v>0.33170395572689804</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9.2467341876506834E-2</v>
      </c>
      <c r="F14" s="59">
        <f t="shared" ref="F14:BQ14" si="4">F6*F7*F9*F10*F12</f>
        <v>8.7942773188616583E-2</v>
      </c>
      <c r="G14" s="59">
        <f t="shared" si="4"/>
        <v>4.6259903580706446E-2</v>
      </c>
      <c r="H14" s="59">
        <f t="shared" si="4"/>
        <v>3.1463702575933658E-2</v>
      </c>
      <c r="I14" s="59">
        <f t="shared" si="4"/>
        <v>0.13828341444147099</v>
      </c>
      <c r="J14" s="59">
        <f t="shared" si="4"/>
        <v>0.1243272084945356</v>
      </c>
      <c r="K14" s="59">
        <f t="shared" si="4"/>
        <v>6.4522610355017024E-2</v>
      </c>
      <c r="L14" s="59">
        <f t="shared" si="4"/>
        <v>4.2860090329860531E-2</v>
      </c>
      <c r="M14" s="59">
        <f t="shared" si="4"/>
        <v>0.19464414206390737</v>
      </c>
      <c r="N14" s="59">
        <f t="shared" si="4"/>
        <v>0.17525268494112625</v>
      </c>
      <c r="O14" s="59">
        <f t="shared" si="4"/>
        <v>0.105081866350273</v>
      </c>
      <c r="P14" s="59">
        <f t="shared" si="4"/>
        <v>4.9647423885774651E-2</v>
      </c>
      <c r="Q14" s="59">
        <f t="shared" si="4"/>
        <v>0.23624575866989395</v>
      </c>
      <c r="R14" s="59">
        <f t="shared" si="4"/>
        <v>0.2086383460747803</v>
      </c>
      <c r="S14" s="59">
        <f t="shared" si="4"/>
        <v>9.9461610340537493E-2</v>
      </c>
      <c r="T14" s="59">
        <f t="shared" si="4"/>
        <v>4.2791642138272183E-2</v>
      </c>
      <c r="U14" s="59">
        <f t="shared" si="4"/>
        <v>0.17555552501964042</v>
      </c>
      <c r="V14" s="59">
        <f t="shared" si="4"/>
        <v>0.13360746795197709</v>
      </c>
      <c r="W14" s="59">
        <f t="shared" si="4"/>
        <v>7.0959254634988311E-2</v>
      </c>
      <c r="X14" s="59">
        <f t="shared" si="4"/>
        <v>3.1853050320764895E-2</v>
      </c>
      <c r="Y14" s="59">
        <f t="shared" si="4"/>
        <v>7.8481791058137976E-2</v>
      </c>
      <c r="Z14" s="59">
        <f t="shared" si="4"/>
        <v>5.4506059972038647E-2</v>
      </c>
      <c r="AA14" s="59">
        <f t="shared" si="4"/>
        <v>5.8987295077729358E-3</v>
      </c>
      <c r="AB14" s="59">
        <f t="shared" si="4"/>
        <v>-3.4377230732971064E-3</v>
      </c>
      <c r="AC14" s="59">
        <f t="shared" si="4"/>
        <v>3.8204152562357402E-2</v>
      </c>
      <c r="AD14" s="59">
        <f t="shared" si="4"/>
        <v>3.692450061915218E-2</v>
      </c>
      <c r="AE14" s="59">
        <f t="shared" si="4"/>
        <v>1.3354137860191956E-2</v>
      </c>
      <c r="AF14" s="59">
        <f t="shared" si="4"/>
        <v>2.0297803949114617E-3</v>
      </c>
      <c r="AG14" s="59">
        <f t="shared" si="4"/>
        <v>7.3806554519492043E-2</v>
      </c>
      <c r="AH14" s="59">
        <f t="shared" si="4"/>
        <v>5.5358409173411706E-2</v>
      </c>
      <c r="AI14" s="59">
        <f t="shared" si="4"/>
        <v>1.5068829137260729E-2</v>
      </c>
      <c r="AJ14" s="59">
        <f t="shared" si="4"/>
        <v>5.7743378803756969E-3</v>
      </c>
      <c r="AK14" s="59">
        <f t="shared" si="4"/>
        <v>6.2560006841059126E-2</v>
      </c>
      <c r="AL14" s="59">
        <f t="shared" si="4"/>
        <v>4.5001007363246144E-2</v>
      </c>
      <c r="AM14" s="59">
        <f t="shared" si="4"/>
        <v>2.5147126568226347E-2</v>
      </c>
      <c r="AN14" s="59">
        <f t="shared" si="4"/>
        <v>9.1746010775371079E-3</v>
      </c>
      <c r="AO14" s="59">
        <f t="shared" si="4"/>
        <v>2.7804157163925685E-2</v>
      </c>
      <c r="AP14" s="59">
        <f t="shared" si="4"/>
        <v>2.9965388052256008E-2</v>
      </c>
      <c r="AQ14" s="59">
        <f t="shared" si="4"/>
        <v>2.7887059141055576E-2</v>
      </c>
      <c r="AR14" s="59">
        <f t="shared" si="4"/>
        <v>1.5524347271272118E-2</v>
      </c>
      <c r="AS14" s="59">
        <f t="shared" si="4"/>
        <v>0.14317433623119721</v>
      </c>
      <c r="AT14" s="59">
        <f t="shared" si="4"/>
        <v>0.1188956061119628</v>
      </c>
      <c r="AU14" s="59">
        <f t="shared" si="4"/>
        <v>0.12180945523522872</v>
      </c>
      <c r="AV14" s="59">
        <f t="shared" si="4"/>
        <v>6.0693448069597741E-2</v>
      </c>
      <c r="AW14" s="59">
        <f t="shared" si="4"/>
        <v>0.14431026410117398</v>
      </c>
      <c r="AX14" s="59">
        <f t="shared" si="4"/>
        <v>0.11796035771667918</v>
      </c>
      <c r="AY14" s="59">
        <f t="shared" si="4"/>
        <v>0.11514954963172937</v>
      </c>
      <c r="AZ14" s="59">
        <f t="shared" si="4"/>
        <v>4.9248299053400717E-2</v>
      </c>
      <c r="BA14" s="59">
        <f t="shared" si="4"/>
        <v>0.26150155808743425</v>
      </c>
      <c r="BB14" s="59">
        <f t="shared" si="4"/>
        <v>0.20292657969431072</v>
      </c>
      <c r="BC14" s="59">
        <f t="shared" si="4"/>
        <v>0.14283045988298529</v>
      </c>
      <c r="BD14" s="59">
        <f t="shared" si="4"/>
        <v>8.0397833659749326E-2</v>
      </c>
      <c r="BE14" s="59">
        <f t="shared" si="4"/>
        <v>0.23818516119241034</v>
      </c>
      <c r="BF14" s="59">
        <f t="shared" si="4"/>
        <v>0.18589933590550717</v>
      </c>
      <c r="BG14" s="59">
        <f t="shared" si="4"/>
        <v>0.13703547106582897</v>
      </c>
      <c r="BH14" s="59">
        <f t="shared" si="4"/>
        <v>6.7061260083644339E-2</v>
      </c>
      <c r="BI14" s="59">
        <f t="shared" si="4"/>
        <v>0.2203359284205787</v>
      </c>
      <c r="BJ14" s="59">
        <f t="shared" si="4"/>
        <v>0.14898687379633443</v>
      </c>
      <c r="BK14" s="59">
        <f t="shared" si="4"/>
        <v>9.9160194481662661E-2</v>
      </c>
      <c r="BL14" s="59">
        <f t="shared" si="4"/>
        <v>5.4233993169183224E-2</v>
      </c>
      <c r="BM14" s="59">
        <f t="shared" si="4"/>
        <v>-1.3857117114497123E-3</v>
      </c>
      <c r="BN14" s="59">
        <f t="shared" si="4"/>
        <v>-0.11560999950496105</v>
      </c>
      <c r="BO14" s="59">
        <f t="shared" si="4"/>
        <v>-8.4051671902652017E-2</v>
      </c>
      <c r="BP14" s="59">
        <f t="shared" si="4"/>
        <v>-4.4664641055090555E-2</v>
      </c>
      <c r="BQ14" s="59">
        <f t="shared" si="4"/>
        <v>-6.5541981871319183E-2</v>
      </c>
      <c r="BR14" s="59">
        <f t="shared" ref="BR14:CJ14" si="5">BR6*BR7*BR9*BR10*BR12</f>
        <v>-1.7490519765745107E-3</v>
      </c>
      <c r="BS14" s="59">
        <f t="shared" si="5"/>
        <v>7.127583799964525E-3</v>
      </c>
      <c r="BT14" s="59">
        <f t="shared" si="5"/>
        <v>-3.7725005826920954E-2</v>
      </c>
      <c r="BU14" s="59">
        <f t="shared" si="5"/>
        <v>-5.3878594384909766E-2</v>
      </c>
      <c r="BV14" s="59">
        <f t="shared" si="5"/>
        <v>-7.5988353772984518E-2</v>
      </c>
      <c r="BW14" s="59">
        <f t="shared" si="5"/>
        <v>5.2370022999165718E-2</v>
      </c>
      <c r="BX14" s="59">
        <f t="shared" si="5"/>
        <v>0.14904597112860052</v>
      </c>
      <c r="BY14" s="59">
        <f t="shared" si="5"/>
        <v>0.26772859065942117</v>
      </c>
      <c r="BZ14" s="59">
        <f t="shared" si="5"/>
        <v>1.8207765621569505</v>
      </c>
      <c r="CA14" s="59">
        <f t="shared" si="5"/>
        <v>0.40116867808568935</v>
      </c>
      <c r="CB14" s="59">
        <f t="shared" si="5"/>
        <v>0.6868553333766011</v>
      </c>
      <c r="CC14" s="59">
        <f t="shared" si="5"/>
        <v>0.58202996215551239</v>
      </c>
      <c r="CD14" s="59">
        <f t="shared" si="5"/>
        <v>0.72115100295254431</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25569</v>
      </c>
      <c r="CG18" s="1"/>
      <c r="CH18" s="1"/>
      <c r="CI18" s="1"/>
      <c r="CJ18" s="1"/>
      <c r="CK18" s="1"/>
    </row>
    <row r="19" spans="1:89" s="116" customFormat="1" x14ac:dyDescent="0.25">
      <c r="A19" s="159" t="s">
        <v>447</v>
      </c>
      <c r="B19" s="76">
        <v>43373</v>
      </c>
      <c r="C19" s="76">
        <v>43281</v>
      </c>
      <c r="D19" s="76">
        <v>43190</v>
      </c>
      <c r="E19" s="76">
        <f>股权价值增加表!E4</f>
        <v>31645284235.709999</v>
      </c>
      <c r="F19" s="76">
        <f>股权价值增加表!F4</f>
        <v>24205181216.639999</v>
      </c>
      <c r="G19" s="76">
        <f>股权价值增加表!G4</f>
        <v>13963103340.84</v>
      </c>
      <c r="H19" s="76">
        <f>股权价值增加表!H4</f>
        <v>7630739661.6099997</v>
      </c>
      <c r="I19" s="76">
        <f>股权价值增加表!I4</f>
        <v>29270802965.48</v>
      </c>
      <c r="J19" s="76">
        <f>股权价值增加表!J4</f>
        <v>22139965801.990002</v>
      </c>
      <c r="K19" s="76">
        <f>股权价值增加表!K4</f>
        <v>13138564310.35</v>
      </c>
      <c r="L19" s="76">
        <f>股权价值增加表!L4</f>
        <v>6900062535.5799999</v>
      </c>
      <c r="M19" s="76">
        <f>股权价值增加表!M4</f>
        <v>31279699772.91</v>
      </c>
      <c r="N19" s="76">
        <f>股权价值增加表!N4</f>
        <v>24390224176.689999</v>
      </c>
      <c r="O19" s="76">
        <f>股权价值增加表!O4</f>
        <v>14926173663.58</v>
      </c>
      <c r="P19" s="76">
        <f>股权价值增加表!P4</f>
        <v>7600001553.6199999</v>
      </c>
      <c r="Q19" s="76">
        <f>股权价值增加表!Q4</f>
        <v>32957169192.110001</v>
      </c>
      <c r="R19" s="76">
        <f>股权价值增加表!R4</f>
        <v>25532032094.880001</v>
      </c>
      <c r="S19" s="76">
        <f>股权价值增加表!S4</f>
        <v>14621681241.700001</v>
      </c>
      <c r="T19" s="76">
        <f>股权价值增加表!T4</f>
        <v>7403217065.1400003</v>
      </c>
      <c r="U19" s="76">
        <f>股权价值增加表!U4</f>
        <v>28338981085.049999</v>
      </c>
      <c r="V19" s="76">
        <f>股权价值增加表!V4</f>
        <v>20434757606.32</v>
      </c>
      <c r="W19" s="76">
        <f>股权价值增加表!W4</f>
        <v>12168841172.08</v>
      </c>
      <c r="X19" s="76">
        <f>股权价值增加表!X4</f>
        <v>5971110428.3800001</v>
      </c>
      <c r="Y19" s="76">
        <f>股权价值增加表!Y4</f>
        <v>23867007746.380001</v>
      </c>
      <c r="Z19" s="76">
        <f>股权价值增加表!Z4</f>
        <v>17863621703.299999</v>
      </c>
      <c r="AA19" s="76">
        <f>股权价值增加表!AA4</f>
        <v>10926725049.4</v>
      </c>
      <c r="AB19" s="76">
        <f>股权价值增加表!AB4</f>
        <v>5253274351.6700001</v>
      </c>
      <c r="AC19" s="76">
        <f>股权价值增加表!AC4</f>
        <v>21703539229.470001</v>
      </c>
      <c r="AD19" s="76">
        <f>股权价值增加表!AD4</f>
        <v>15921395685.65</v>
      </c>
      <c r="AE19" s="76">
        <f>股权价值增加表!AE4</f>
        <v>9608183225.0499992</v>
      </c>
      <c r="AF19" s="76">
        <f>股权价值增加表!AF4</f>
        <v>4295912033.9700003</v>
      </c>
      <c r="AG19" s="76">
        <f>股权价值增加表!AG4</f>
        <v>15947612024.690001</v>
      </c>
      <c r="AH19" s="76">
        <f>股权价值增加表!AH4</f>
        <v>11586634877.459999</v>
      </c>
      <c r="AI19" s="76">
        <f>股权价值增加表!AI4</f>
        <v>6940940134.21</v>
      </c>
      <c r="AJ19" s="76">
        <f>股权价值增加表!AJ4</f>
        <v>3575394783.4299998</v>
      </c>
      <c r="AK19" s="76">
        <f>股权价值增加表!AK4</f>
        <v>11917120466.15</v>
      </c>
      <c r="AL19" s="76">
        <f>股权价值增加表!AL4</f>
        <v>4660474238.6400003</v>
      </c>
      <c r="AM19" s="76">
        <f>股权价值增加表!AM4</f>
        <v>3199327190.8000002</v>
      </c>
      <c r="AN19" s="76">
        <f>股权价值增加表!AN4</f>
        <v>1549689921.1800001</v>
      </c>
      <c r="AO19" s="76">
        <f>股权价值增加表!AO4</f>
        <v>6580129765.1800003</v>
      </c>
      <c r="AP19" s="76">
        <f>股权价值增加表!AP4</f>
        <v>5120647626.3500004</v>
      </c>
      <c r="AQ19" s="76">
        <f>股权价值增加表!AQ4</f>
        <v>3442075295.3600001</v>
      </c>
      <c r="AR19" s="76">
        <f>股权价值增加表!AR4</f>
        <v>1788555071.6700001</v>
      </c>
      <c r="AS19" s="76">
        <f>股权价值增加表!AS4</f>
        <v>6648986102.8400002</v>
      </c>
      <c r="AT19" s="76">
        <f>股权价值增加表!AT4</f>
        <v>4881953554.7200003</v>
      </c>
      <c r="AU19" s="76">
        <f>股权价值增加表!AU4</f>
        <v>3425705083.5500002</v>
      </c>
      <c r="AV19" s="76">
        <f>股权价值增加表!AV4</f>
        <v>1705403569.95</v>
      </c>
      <c r="AW19" s="76">
        <f>股权价值增加表!AW4</f>
        <v>4217034152.5999999</v>
      </c>
      <c r="AX19" s="76">
        <f>股权价值增加表!AX4</f>
        <v>2433306901.4000001</v>
      </c>
      <c r="AY19" s="76">
        <f>股权价值增加表!AY4</f>
        <v>1565474217.5799999</v>
      </c>
      <c r="AZ19" s="76">
        <f>股权价值增加表!AZ4</f>
        <v>746157118.29999995</v>
      </c>
      <c r="BA19" s="76">
        <f>股权价值增加表!BA4</f>
        <v>3056764453</v>
      </c>
      <c r="BB19" s="76">
        <f>股权价值增加表!BB4</f>
        <v>2308914489.1100001</v>
      </c>
      <c r="BC19" s="76">
        <f>股权价值增加表!BC4</f>
        <v>1517214113.4100001</v>
      </c>
      <c r="BD19" s="76">
        <f>股权价值增加表!BD4</f>
        <v>787189588.39999998</v>
      </c>
      <c r="BE19" s="76">
        <f>股权价值增加表!BE4</f>
        <v>2377850873.52</v>
      </c>
      <c r="BF19" s="76">
        <f>股权价值增加表!BF4</f>
        <v>1675492643</v>
      </c>
      <c r="BG19" s="76">
        <f>股权价值增加表!BG4</f>
        <v>1054599281.13</v>
      </c>
      <c r="BH19" s="76">
        <f>股权价值增加表!BH4</f>
        <v>329092815.69</v>
      </c>
      <c r="BI19" s="76">
        <f>股权价值增加表!BI4</f>
        <v>1376597157.76</v>
      </c>
      <c r="BJ19" s="76">
        <f>股权价值增加表!BJ4</f>
        <v>1014596056.9299999</v>
      </c>
      <c r="BK19" s="76">
        <f>股权价值增加表!BK4</f>
        <v>672223749.58000004</v>
      </c>
      <c r="BL19" s="76">
        <f>股权价值增加表!BL4</f>
        <v>392896529.39999998</v>
      </c>
      <c r="BM19" s="76">
        <f>股权价值增加表!BM4</f>
        <v>2536380521.7600002</v>
      </c>
      <c r="BN19" s="76">
        <f>股权价值增加表!BN4</f>
        <v>2203933549.6900001</v>
      </c>
      <c r="BO19" s="76">
        <f>股权价值增加表!BO4</f>
        <v>1367752390.02</v>
      </c>
      <c r="BP19" s="76">
        <f>股权价值增加表!BP4</f>
        <v>611508372.74000001</v>
      </c>
      <c r="BQ19" s="76">
        <f>股权价值增加表!BQ4</f>
        <v>1906409322.8</v>
      </c>
      <c r="BR19" s="76">
        <f>股权价值增加表!BR4</f>
        <v>646122321.89999998</v>
      </c>
      <c r="BS19" s="76">
        <f>股权价值增加表!BS4</f>
        <v>1859074053.9000001</v>
      </c>
      <c r="BT19" s="76">
        <f>股权价值增加表!BT4</f>
        <v>549623332.33000004</v>
      </c>
      <c r="BU19" s="76">
        <f>股权价值增加表!BU4</f>
        <v>1314714236.1099999</v>
      </c>
      <c r="BV19" s="76">
        <f>股权价值增加表!BV4</f>
        <v>566333099.61000001</v>
      </c>
      <c r="BW19" s="76">
        <f>股权价值增加表!BW4</f>
        <v>1218895749.3699999</v>
      </c>
      <c r="BX19" s="76">
        <f>股权价值增加表!BX4</f>
        <v>679984331.27999997</v>
      </c>
      <c r="BY19" s="76">
        <f>股权价值增加表!BY4</f>
        <v>1365735697.6600001</v>
      </c>
      <c r="BZ19" s="76">
        <f>股权价值增加表!BZ4</f>
        <v>636022622.80999994</v>
      </c>
      <c r="CA19" s="76">
        <f>股权价值增加表!CA4</f>
        <v>613666529.59000003</v>
      </c>
      <c r="CB19" s="76">
        <f>股权价值增加表!CB4</f>
        <v>146955056.78</v>
      </c>
      <c r="CC19" s="76">
        <f>股权价值增加表!CC4</f>
        <v>213156267.63999999</v>
      </c>
      <c r="CD19" s="76">
        <f>股权价值增加表!CD4</f>
        <v>111235147.11</v>
      </c>
      <c r="CE19" s="76">
        <f>股权价值增加表!CE4</f>
        <v>127416182.34</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11056884715.389999</v>
      </c>
      <c r="F20" s="76">
        <f>股权价值增加表!F15</f>
        <v>9399353668.2699986</v>
      </c>
      <c r="G20" s="76">
        <f>股权价值增加表!G15</f>
        <v>5355698266.6699991</v>
      </c>
      <c r="H20" s="76">
        <f>股权价值增加表!H15</f>
        <v>3222852110.3399997</v>
      </c>
      <c r="I20" s="76">
        <f>股权价值增加表!I15</f>
        <v>13086126019.869999</v>
      </c>
      <c r="J20" s="76">
        <f>股权价值增加表!J15</f>
        <v>10856814199.340002</v>
      </c>
      <c r="K20" s="76">
        <f>股权价值增加表!K15</f>
        <v>5959735775.1599998</v>
      </c>
      <c r="L20" s="76">
        <f>股权价值增加表!L15</f>
        <v>3727789707.25</v>
      </c>
      <c r="M20" s="76">
        <f>股权价值增加表!M15</f>
        <v>16242795745.08</v>
      </c>
      <c r="N20" s="76">
        <f>股权价值增加表!N15</f>
        <v>13308606643.9</v>
      </c>
      <c r="O20" s="76">
        <f>股权价值增加表!O15</f>
        <v>7778196891.9899988</v>
      </c>
      <c r="P20" s="76">
        <f>股权价值增加表!P15</f>
        <v>3950130845.46</v>
      </c>
      <c r="Q20" s="76">
        <f>股权价值增加表!Q15</f>
        <v>16369303836.049999</v>
      </c>
      <c r="R20" s="76">
        <f>股权价值增加表!R15</f>
        <v>12984291999.15</v>
      </c>
      <c r="S20" s="76">
        <f>股权价值增加表!S15</f>
        <v>6167811524.1600008</v>
      </c>
      <c r="T20" s="76">
        <f>股权价值增加表!T15</f>
        <v>3000007770.4500003</v>
      </c>
      <c r="U20" s="76">
        <f>股权价值增加表!U15</f>
        <v>10406402235.150002</v>
      </c>
      <c r="V20" s="76">
        <f>股权价值增加表!V15</f>
        <v>7453474850.5300007</v>
      </c>
      <c r="W20" s="76">
        <f>股权价值增加表!W15</f>
        <v>3966120170.9099998</v>
      </c>
      <c r="X20" s="76">
        <f>股权价值增加表!X15</f>
        <v>1782100278.8300002</v>
      </c>
      <c r="Y20" s="76">
        <f>股权价值增加表!Y15</f>
        <v>5175502017.7100029</v>
      </c>
      <c r="Z20" s="76">
        <f>股权价值增加表!Z15</f>
        <v>3662033918.9699988</v>
      </c>
      <c r="AA20" s="76">
        <f>股权价值增加表!AA15</f>
        <v>1518822200.2200005</v>
      </c>
      <c r="AB20" s="76">
        <f>股权价值增加表!AB15</f>
        <v>561284010.90000045</v>
      </c>
      <c r="AC20" s="76">
        <f>股权价值增加表!AC15</f>
        <v>3046587067.1700025</v>
      </c>
      <c r="AD20" s="76">
        <f>股权价值增加表!AD15</f>
        <v>2501318332.6999998</v>
      </c>
      <c r="AE20" s="76">
        <f>股权价值增加表!AE15</f>
        <v>1355915276.9199994</v>
      </c>
      <c r="AF20" s="76">
        <f>股权价值增加表!AF15</f>
        <v>582549667.42000031</v>
      </c>
      <c r="AG20" s="76">
        <f>股权价值增加表!AG15</f>
        <v>3052258432.0500007</v>
      </c>
      <c r="AH20" s="76">
        <f>股权价值增加表!AH15</f>
        <v>2295232377.9899993</v>
      </c>
      <c r="AI20" s="76">
        <f>股权价值增加表!AI15</f>
        <v>1076538325.0800004</v>
      </c>
      <c r="AJ20" s="76">
        <f>股权价值增加表!AJ15</f>
        <v>523623528.14999968</v>
      </c>
      <c r="AK20" s="76">
        <f>股权价值增加表!AK15</f>
        <v>2835004298.1000004</v>
      </c>
      <c r="AL20" s="76">
        <f>股权价值增加表!AL15</f>
        <v>690931713.17000031</v>
      </c>
      <c r="AM20" s="76">
        <f>股权价值增加表!AM15</f>
        <v>455035079.99000025</v>
      </c>
      <c r="AN20" s="76">
        <f>股权价值增加表!AN15</f>
        <v>201828262.67000002</v>
      </c>
      <c r="AO20" s="76">
        <f>股权价值增加表!AO15</f>
        <v>842101260.6600008</v>
      </c>
      <c r="AP20" s="76">
        <f>股权价值增加表!AP15</f>
        <v>625920132.50000012</v>
      </c>
      <c r="AQ20" s="76">
        <f>股权价值增加表!AQ15</f>
        <v>451132748.86000019</v>
      </c>
      <c r="AR20" s="76">
        <f>股权价值增加表!AR15</f>
        <v>219659567.34000009</v>
      </c>
      <c r="AS20" s="76">
        <f>股权价值增加表!AS15</f>
        <v>1499958292.6999998</v>
      </c>
      <c r="AT20" s="76">
        <f>股权价值增加表!AT15</f>
        <v>1144428265.6000004</v>
      </c>
      <c r="AU20" s="76">
        <f>股权价值增加表!AU15</f>
        <v>835711532.6500001</v>
      </c>
      <c r="AV20" s="76">
        <f>股权价值增加表!AV15</f>
        <v>426085817.4000001</v>
      </c>
      <c r="AW20" s="76">
        <f>股权价值增加表!AW15</f>
        <v>1057632068.76</v>
      </c>
      <c r="AX20" s="76">
        <f>股权价值增加表!AX15</f>
        <v>665292338.03000009</v>
      </c>
      <c r="AY20" s="76">
        <f>股权价值增加表!AY15</f>
        <v>429719241.27999979</v>
      </c>
      <c r="AZ20" s="76">
        <f>股权价值增加表!AZ15</f>
        <v>187245917.79999995</v>
      </c>
      <c r="BA20" s="76">
        <f>股权价值增加表!BA15</f>
        <v>868879061.86000013</v>
      </c>
      <c r="BB20" s="76">
        <f>股权价值增加表!BB15</f>
        <v>740977870.71000016</v>
      </c>
      <c r="BC20" s="76">
        <f>股权价值增加表!BC15</f>
        <v>501749223.04000008</v>
      </c>
      <c r="BD20" s="76">
        <f>股权价值增加表!BD15</f>
        <v>269724685.81999999</v>
      </c>
      <c r="BE20" s="76">
        <f>股权价值增加表!BE15</f>
        <v>752964779.46000004</v>
      </c>
      <c r="BF20" s="76">
        <f>股权价值增加表!BF15</f>
        <v>546650043.62</v>
      </c>
      <c r="BG20" s="76">
        <f>股权价值增加表!BG15</f>
        <v>371755875.95999992</v>
      </c>
      <c r="BH20" s="76">
        <f>股权价值增加表!BH15</f>
        <v>115766684.37</v>
      </c>
      <c r="BI20" s="76">
        <f>股权价值增加表!BI15</f>
        <v>461329181.56</v>
      </c>
      <c r="BJ20" s="76">
        <f>股权价值增加表!BJ15</f>
        <v>303002665.33999991</v>
      </c>
      <c r="BK20" s="76">
        <f>股权价值增加表!BK15</f>
        <v>202547332.66000009</v>
      </c>
      <c r="BL20" s="76">
        <f>股权价值增加表!BL15</f>
        <v>102461532.28999998</v>
      </c>
      <c r="BM20" s="76">
        <f>股权价值增加表!BM15</f>
        <v>30947169.410000298</v>
      </c>
      <c r="BN20" s="76">
        <f>股权价值增加表!BN15</f>
        <v>-89958370.469999969</v>
      </c>
      <c r="BO20" s="76">
        <f>股权价值增加表!BO15</f>
        <v>-66945651.919999987</v>
      </c>
      <c r="BP20" s="76">
        <f>股权价值增加表!BP15</f>
        <v>-36931058.579999991</v>
      </c>
      <c r="BQ20" s="76">
        <f>股权价值增加表!BQ15</f>
        <v>-57644251.829999976</v>
      </c>
      <c r="BR20" s="76">
        <f>股权价值增加表!BR15</f>
        <v>-883574.4099999927</v>
      </c>
      <c r="BS20" s="76">
        <f>股权价值增加表!BS15</f>
        <v>14146871.640000165</v>
      </c>
      <c r="BT20" s="76">
        <f>股权价值增加表!BT15</f>
        <v>-31336332.299999945</v>
      </c>
      <c r="BU20" s="76">
        <f>股权价值增加表!BU15</f>
        <v>-41480263.320000201</v>
      </c>
      <c r="BV20" s="76">
        <f>股权价值增加表!BV15</f>
        <v>-63652408.539999999</v>
      </c>
      <c r="BW20" s="76">
        <f>股权价值增加表!BW15</f>
        <v>89398562.179999843</v>
      </c>
      <c r="BX20" s="76">
        <f>股权价值增加表!BX15</f>
        <v>118722250.81999996</v>
      </c>
      <c r="BY20" s="76">
        <f>股权价值增加表!BY15</f>
        <v>170212226.55000007</v>
      </c>
      <c r="BZ20" s="76">
        <f>股权价值增加表!BZ15</f>
        <v>636022622.80999994</v>
      </c>
      <c r="CA20" s="76">
        <f>股权价值增加表!CA15</f>
        <v>152685612.83000001</v>
      </c>
      <c r="CB20" s="76">
        <f>股权价值增加表!CB15</f>
        <v>146955056.78</v>
      </c>
      <c r="CC20" s="76">
        <f>股权价值增加表!CC15</f>
        <v>97686218.619999975</v>
      </c>
      <c r="CD20" s="76">
        <f>股权价值增加表!CD15</f>
        <v>111162316.73999999</v>
      </c>
      <c r="CE20" s="76">
        <f>股权价值增加表!CE15</f>
        <v>53651702.579999998</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0.34940070795486489</v>
      </c>
      <c r="F21" s="244">
        <f t="shared" ref="F21:BQ21" si="6">F20/F19</f>
        <v>0.38831990490566359</v>
      </c>
      <c r="G21" s="244">
        <f t="shared" si="6"/>
        <v>0.38356074118604983</v>
      </c>
      <c r="H21" s="244">
        <f t="shared" si="6"/>
        <v>0.4223512075184615</v>
      </c>
      <c r="I21" s="244">
        <f t="shared" si="6"/>
        <v>0.44707096130239027</v>
      </c>
      <c r="J21" s="244">
        <f t="shared" si="6"/>
        <v>0.49037176915441133</v>
      </c>
      <c r="K21" s="244">
        <f t="shared" si="6"/>
        <v>0.45360631758411946</v>
      </c>
      <c r="L21" s="244">
        <f t="shared" si="6"/>
        <v>0.54025448146705124</v>
      </c>
      <c r="M21" s="244">
        <f t="shared" si="6"/>
        <v>0.51927594775532937</v>
      </c>
      <c r="N21" s="244">
        <f t="shared" si="6"/>
        <v>0.54565331370013315</v>
      </c>
      <c r="O21" s="244">
        <f t="shared" si="6"/>
        <v>0.52111124172224188</v>
      </c>
      <c r="P21" s="244">
        <f t="shared" si="6"/>
        <v>0.51975395236314004</v>
      </c>
      <c r="Q21" s="244">
        <f t="shared" si="6"/>
        <v>0.49668415817608624</v>
      </c>
      <c r="R21" s="244">
        <f t="shared" si="6"/>
        <v>0.50854910219832328</v>
      </c>
      <c r="S21" s="244">
        <f t="shared" si="6"/>
        <v>0.42182642489632716</v>
      </c>
      <c r="T21" s="244">
        <f t="shared" si="6"/>
        <v>0.40523028624627633</v>
      </c>
      <c r="U21" s="244">
        <f t="shared" si="6"/>
        <v>0.36721158759796818</v>
      </c>
      <c r="V21" s="244">
        <f t="shared" si="6"/>
        <v>0.36474496023504643</v>
      </c>
      <c r="W21" s="244">
        <f t="shared" si="6"/>
        <v>0.32592422851321329</v>
      </c>
      <c r="X21" s="244">
        <f t="shared" si="6"/>
        <v>0.29845374661970459</v>
      </c>
      <c r="Y21" s="244">
        <f t="shared" si="6"/>
        <v>0.21684754422116409</v>
      </c>
      <c r="Z21" s="244">
        <f t="shared" si="6"/>
        <v>0.20499952248168693</v>
      </c>
      <c r="AA21" s="244">
        <f t="shared" si="6"/>
        <v>0.13900067891828219</v>
      </c>
      <c r="AB21" s="244">
        <f t="shared" si="6"/>
        <v>0.10684460268509867</v>
      </c>
      <c r="AC21" s="244">
        <f t="shared" si="6"/>
        <v>0.14037282283588176</v>
      </c>
      <c r="AD21" s="244">
        <f t="shared" si="6"/>
        <v>0.15710421260081145</v>
      </c>
      <c r="AE21" s="244">
        <f t="shared" si="6"/>
        <v>0.14112088052035909</v>
      </c>
      <c r="AF21" s="244">
        <f t="shared" si="6"/>
        <v>0.1356055856855258</v>
      </c>
      <c r="AG21" s="244">
        <f t="shared" si="6"/>
        <v>0.19139281964751287</v>
      </c>
      <c r="AH21" s="244">
        <f t="shared" si="6"/>
        <v>0.19809309624962965</v>
      </c>
      <c r="AI21" s="244">
        <f t="shared" si="6"/>
        <v>0.15509978536971336</v>
      </c>
      <c r="AJ21" s="244">
        <f t="shared" si="6"/>
        <v>0.14645194723019356</v>
      </c>
      <c r="AK21" s="244">
        <f t="shared" si="6"/>
        <v>0.23789339934531098</v>
      </c>
      <c r="AL21" s="244">
        <f t="shared" si="6"/>
        <v>0.14825352051975402</v>
      </c>
      <c r="AM21" s="244">
        <f t="shared" si="6"/>
        <v>0.14222836641982139</v>
      </c>
      <c r="AN21" s="244">
        <f t="shared" si="6"/>
        <v>0.13023783655785756</v>
      </c>
      <c r="AO21" s="244">
        <f t="shared" si="6"/>
        <v>0.12797639115206189</v>
      </c>
      <c r="AP21" s="244">
        <f t="shared" si="6"/>
        <v>0.12223456448733541</v>
      </c>
      <c r="AQ21" s="244">
        <f t="shared" si="6"/>
        <v>0.13106417209063903</v>
      </c>
      <c r="AR21" s="244">
        <f t="shared" si="6"/>
        <v>0.12281398030137296</v>
      </c>
      <c r="AS21" s="244">
        <f t="shared" si="6"/>
        <v>0.22559203305588477</v>
      </c>
      <c r="AT21" s="244">
        <f t="shared" si="6"/>
        <v>0.23442014611006229</v>
      </c>
      <c r="AU21" s="244">
        <f t="shared" si="6"/>
        <v>0.24395314607291482</v>
      </c>
      <c r="AV21" s="244">
        <f t="shared" si="6"/>
        <v>0.24984456753101103</v>
      </c>
      <c r="AW21" s="244">
        <f t="shared" si="6"/>
        <v>0.25079997706632756</v>
      </c>
      <c r="AX21" s="244">
        <f t="shared" si="6"/>
        <v>0.27341078005705938</v>
      </c>
      <c r="AY21" s="244">
        <f t="shared" si="6"/>
        <v>0.27449780804712615</v>
      </c>
      <c r="AZ21" s="244">
        <f t="shared" si="6"/>
        <v>0.25094703676701485</v>
      </c>
      <c r="BA21" s="244">
        <f t="shared" si="6"/>
        <v>0.28424796061968605</v>
      </c>
      <c r="BB21" s="244">
        <f t="shared" si="6"/>
        <v>0.32092044733783942</v>
      </c>
      <c r="BC21" s="244">
        <f t="shared" si="6"/>
        <v>0.33070429453908678</v>
      </c>
      <c r="BD21" s="244">
        <f t="shared" si="6"/>
        <v>0.34264259816777831</v>
      </c>
      <c r="BE21" s="244">
        <f t="shared" si="6"/>
        <v>0.31665769617644901</v>
      </c>
      <c r="BF21" s="244">
        <f t="shared" si="6"/>
        <v>0.32626227629457877</v>
      </c>
      <c r="BG21" s="244">
        <f t="shared" si="6"/>
        <v>0.35250913082518376</v>
      </c>
      <c r="BH21" s="244">
        <f t="shared" si="6"/>
        <v>0.35177517967773053</v>
      </c>
      <c r="BI21" s="244">
        <f t="shared" si="6"/>
        <v>0.33512286362022947</v>
      </c>
      <c r="BJ21" s="244">
        <f t="shared" si="6"/>
        <v>0.29864364568578744</v>
      </c>
      <c r="BK21" s="244">
        <f t="shared" si="6"/>
        <v>0.30130939703714726</v>
      </c>
      <c r="BL21" s="244">
        <f t="shared" si="6"/>
        <v>0.26078502766738865</v>
      </c>
      <c r="BM21" s="244">
        <f t="shared" si="6"/>
        <v>1.2201311729253459E-2</v>
      </c>
      <c r="BN21" s="244">
        <f t="shared" si="6"/>
        <v>-4.0817188196374296E-2</v>
      </c>
      <c r="BO21" s="244">
        <f t="shared" si="6"/>
        <v>-4.8945739308136817E-2</v>
      </c>
      <c r="BP21" s="244">
        <f t="shared" si="6"/>
        <v>-6.0393381720224244E-2</v>
      </c>
      <c r="BQ21" s="244">
        <f t="shared" si="6"/>
        <v>-3.0237080327186059E-2</v>
      </c>
      <c r="BR21" s="244">
        <f t="shared" ref="BR21:CK21" si="7">BR20/BR19</f>
        <v>-1.3675033040210351E-3</v>
      </c>
      <c r="BS21" s="244">
        <f t="shared" si="7"/>
        <v>7.6096331990232417E-3</v>
      </c>
      <c r="BT21" s="244">
        <f t="shared" si="7"/>
        <v>-5.7014195825997538E-2</v>
      </c>
      <c r="BU21" s="244">
        <f t="shared" si="7"/>
        <v>-3.1550782809451242E-2</v>
      </c>
      <c r="BV21" s="244">
        <f t="shared" si="7"/>
        <v>-0.11239394021616189</v>
      </c>
      <c r="BW21" s="244">
        <f t="shared" si="7"/>
        <v>7.334389526438706E-2</v>
      </c>
      <c r="BX21" s="244">
        <f t="shared" si="7"/>
        <v>0.17459556839569765</v>
      </c>
      <c r="BY21" s="244">
        <f t="shared" si="7"/>
        <v>0.12463042947594857</v>
      </c>
      <c r="BZ21" s="244">
        <f t="shared" si="7"/>
        <v>1</v>
      </c>
      <c r="CA21" s="244">
        <f t="shared" si="7"/>
        <v>0.24880876741316102</v>
      </c>
      <c r="CB21" s="244">
        <f t="shared" si="7"/>
        <v>1</v>
      </c>
      <c r="CC21" s="244">
        <f t="shared" si="7"/>
        <v>0.4582845238451182</v>
      </c>
      <c r="CD21" s="244">
        <f t="shared" si="7"/>
        <v>0.99934525757467663</v>
      </c>
      <c r="CE21" s="244">
        <f t="shared" si="7"/>
        <v>0.42107447888239719</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179155022345.81</v>
      </c>
      <c r="F22" s="193">
        <f>资产资本表!F69</f>
        <v>177812356248.29996</v>
      </c>
      <c r="G22" s="193">
        <f>资产资本表!G69</f>
        <v>177023443208.72995</v>
      </c>
      <c r="H22" s="193">
        <f>资产资本表!H69</f>
        <v>173932200902.23001</v>
      </c>
      <c r="I22" s="193">
        <f>资产资本表!I69</f>
        <v>170093137764.76001</v>
      </c>
      <c r="J22" s="193">
        <f>资产资本表!J69</f>
        <v>165846501012.87</v>
      </c>
      <c r="K22" s="193">
        <f>资产资本表!K69</f>
        <v>165586833333.95001</v>
      </c>
      <c r="L22" s="193">
        <f>资产资本表!L69</f>
        <v>162380576053.46997</v>
      </c>
      <c r="M22" s="193">
        <f>资产资本表!M69</f>
        <v>158190936461.66995</v>
      </c>
      <c r="N22" s="193">
        <f>资产资本表!N69</f>
        <v>154299473033.17999</v>
      </c>
      <c r="O22" s="193">
        <f>资产资本表!O69</f>
        <v>152054307930.87</v>
      </c>
      <c r="P22" s="193">
        <f>资产资本表!P69</f>
        <v>152162994358.94998</v>
      </c>
      <c r="Q22" s="193">
        <f>资产资本表!Q69</f>
        <v>149967282049.17996</v>
      </c>
      <c r="R22" s="193">
        <f>资产资本表!R69</f>
        <v>147718972809.84</v>
      </c>
      <c r="S22" s="193">
        <f>资产资本表!S69</f>
        <v>145123874784.15997</v>
      </c>
      <c r="T22" s="193">
        <f>资产资本表!T69</f>
        <v>145440480079.52997</v>
      </c>
      <c r="U22" s="193">
        <f>资产资本表!U69</f>
        <v>140606948832.04996</v>
      </c>
      <c r="V22" s="193">
        <f>资产资本表!V69</f>
        <v>137098470946.25003</v>
      </c>
      <c r="W22" s="193">
        <f>资产资本表!W69</f>
        <v>133896690799.95001</v>
      </c>
      <c r="X22" s="193">
        <f>资产资本表!X69</f>
        <v>129002492894.7</v>
      </c>
      <c r="Y22" s="193">
        <f>资产资本表!Y69</f>
        <v>124840860048</v>
      </c>
      <c r="Z22" s="193">
        <f>资产资本表!Z69</f>
        <v>124273275236.00999</v>
      </c>
      <c r="AA22" s="193">
        <f>资产资本表!AA69</f>
        <v>115784246656.92001</v>
      </c>
      <c r="AB22" s="193">
        <f>资产资本表!AB69</f>
        <v>111351080193.44</v>
      </c>
      <c r="AC22" s="193">
        <f>资产资本表!AC69</f>
        <v>110410453201.51001</v>
      </c>
      <c r="AD22" s="193">
        <f>资产资本表!AD69</f>
        <v>100850024515.42998</v>
      </c>
      <c r="AE22" s="193">
        <f>资产资本表!AE69</f>
        <v>98490864370.26001</v>
      </c>
      <c r="AF22" s="193">
        <f>资产资本表!AF69</f>
        <v>93797766932.110001</v>
      </c>
      <c r="AG22" s="193">
        <f>资产资本表!AG69</f>
        <v>90863963179.689972</v>
      </c>
      <c r="AH22" s="193">
        <f>资产资本表!AH69</f>
        <v>87175852299.259979</v>
      </c>
      <c r="AI22" s="193">
        <f>资产资本表!AI69</f>
        <v>84024344148.799988</v>
      </c>
      <c r="AJ22" s="193">
        <f>资产资本表!AJ69</f>
        <v>81233973610.029984</v>
      </c>
      <c r="AK22" s="193">
        <f>资产资本表!AK69</f>
        <v>78799639411.5</v>
      </c>
      <c r="AL22" s="193">
        <f>资产资本表!AL69</f>
        <v>15230654696.27</v>
      </c>
      <c r="AM22" s="193">
        <f>资产资本表!AM69</f>
        <v>14851804190.15</v>
      </c>
      <c r="AN22" s="193">
        <f>资产资本表!AN69</f>
        <v>14737532388.800001</v>
      </c>
      <c r="AO22" s="193">
        <f>资产资本表!AO69</f>
        <v>15100821071.98</v>
      </c>
      <c r="AP22" s="193">
        <f>资产资本表!AP69</f>
        <v>14736934811.170002</v>
      </c>
      <c r="AQ22" s="193">
        <f>资产资本表!AQ69</f>
        <v>14576396450.880001</v>
      </c>
      <c r="AR22" s="193">
        <f>资产资本表!AR69</f>
        <v>14363979750.85</v>
      </c>
      <c r="AS22" s="193">
        <f>资产资本表!AS69</f>
        <v>14289168859.240002</v>
      </c>
      <c r="AT22" s="193">
        <f>资产资本表!AT69</f>
        <v>13779794851.1</v>
      </c>
      <c r="AU22" s="193">
        <f>资产资本表!AU69</f>
        <v>13561837888.359997</v>
      </c>
      <c r="AV22" s="193">
        <f>资产资本表!AV69</f>
        <v>13758107742.469997</v>
      </c>
      <c r="AW22" s="193">
        <f>资产资本表!AW69</f>
        <v>13568653328.24</v>
      </c>
      <c r="AX22" s="193">
        <f>资产资本表!AX69</f>
        <v>9540493125.1499996</v>
      </c>
      <c r="AY22" s="193">
        <f>资产资本表!AY69</f>
        <v>8029039793.579999</v>
      </c>
      <c r="AZ22" s="193">
        <f>资产资本表!AZ69</f>
        <v>7761121833.7600002</v>
      </c>
      <c r="BA22" s="193">
        <f>资产资本表!BA69</f>
        <v>7857947878.3899994</v>
      </c>
      <c r="BB22" s="193">
        <f>资产资本表!BB69</f>
        <v>7912702342.7800007</v>
      </c>
      <c r="BC22" s="193">
        <f>资产资本表!BC69</f>
        <v>7806826440.21</v>
      </c>
      <c r="BD22" s="193">
        <f>资产资本表!BD69</f>
        <v>7763730476.8699989</v>
      </c>
      <c r="BE22" s="193">
        <f>资产资本表!BE69</f>
        <v>7654832410.75</v>
      </c>
      <c r="BF22" s="193">
        <f>资产资本表!BF69</f>
        <v>7196530363.3000011</v>
      </c>
      <c r="BG22" s="193">
        <f>资产资本表!BG69</f>
        <v>7689348277.5799999</v>
      </c>
      <c r="BH22" s="193">
        <f>资产资本表!BH69</f>
        <v>4212898112.5899992</v>
      </c>
      <c r="BI22" s="193">
        <f>资产资本表!BI69</f>
        <v>3897805888.5700002</v>
      </c>
      <c r="BJ22" s="193">
        <f>资产资本表!BJ69</f>
        <v>3809879242.3700004</v>
      </c>
      <c r="BK22" s="193">
        <f>资产资本表!BK69</f>
        <v>3728334433.9800005</v>
      </c>
      <c r="BL22" s="193">
        <f>资产资本表!BL69</f>
        <v>3899307415.8799996</v>
      </c>
      <c r="BM22" s="193">
        <f>资产资本表!BM69</f>
        <v>3884173159.6600003</v>
      </c>
      <c r="BN22" s="193">
        <f>资产资本表!BN69</f>
        <v>752424695.84000015</v>
      </c>
      <c r="BO22" s="193">
        <f>资产资本表!BO69</f>
        <v>764890740.22000003</v>
      </c>
      <c r="BP22" s="193">
        <f>资产资本表!BP69</f>
        <v>784022752.57000005</v>
      </c>
      <c r="BQ22" s="193">
        <f>资产资本表!BQ69</f>
        <v>808807965.27999997</v>
      </c>
      <c r="BR22" s="193">
        <f>资产资本表!BR69</f>
        <v>896115656.8499999</v>
      </c>
      <c r="BS22" s="193">
        <f>资产资本表!BS69</f>
        <v>797114155.06999993</v>
      </c>
      <c r="BT22" s="193">
        <f>资产资本表!BT69</f>
        <v>882170968.73000002</v>
      </c>
      <c r="BU22" s="193">
        <f>资产资本表!BU69</f>
        <v>1004732883.52</v>
      </c>
      <c r="BV22" s="193">
        <f>资产资本表!BV69</f>
        <v>944446823.61000001</v>
      </c>
      <c r="BW22" s="193">
        <f>资产资本表!BW69</f>
        <v>1081683768.6599998</v>
      </c>
      <c r="BX22" s="193">
        <f>资产资本表!BX69</f>
        <v>604964695.25</v>
      </c>
      <c r="BY22" s="193">
        <f>资产资本表!BY69</f>
        <v>507875038.19</v>
      </c>
      <c r="BZ22" s="193">
        <f>资产资本表!BZ69</f>
        <v>384098609.07999998</v>
      </c>
      <c r="CA22" s="193">
        <f>资产资本表!CA69</f>
        <v>330916627.96000004</v>
      </c>
      <c r="CB22" s="193">
        <f>资产资本表!CB69</f>
        <v>356479113.00999999</v>
      </c>
      <c r="CC22" s="193">
        <f>资产资本表!CC69</f>
        <v>257922839.96999997</v>
      </c>
      <c r="CD22" s="193">
        <f>资产资本表!CD69</f>
        <v>45477460.129999995</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0.17663632211564459</v>
      </c>
      <c r="F23" s="246">
        <f t="shared" ref="F23:BQ23" si="8">F19/F22</f>
        <v>0.13612766698192508</v>
      </c>
      <c r="G23" s="246">
        <f t="shared" si="8"/>
        <v>7.8877142415403015E-2</v>
      </c>
      <c r="H23" s="246">
        <f t="shared" si="8"/>
        <v>4.38719203346329E-2</v>
      </c>
      <c r="I23" s="246">
        <f t="shared" si="8"/>
        <v>0.17208691279457566</v>
      </c>
      <c r="J23" s="246">
        <f t="shared" si="8"/>
        <v>0.13349673141594889</v>
      </c>
      <c r="K23" s="246">
        <f t="shared" si="8"/>
        <v>7.9345465130386192E-2</v>
      </c>
      <c r="L23" s="246">
        <f t="shared" si="8"/>
        <v>4.2493152218575039E-2</v>
      </c>
      <c r="M23" s="246">
        <f t="shared" si="8"/>
        <v>0.19773383022161417</v>
      </c>
      <c r="N23" s="246">
        <f t="shared" si="8"/>
        <v>0.15807069004989546</v>
      </c>
      <c r="O23" s="246">
        <f t="shared" si="8"/>
        <v>9.8163438226071431E-2</v>
      </c>
      <c r="P23" s="246">
        <f t="shared" si="8"/>
        <v>4.9946451077925835E-2</v>
      </c>
      <c r="Q23" s="246">
        <f t="shared" si="8"/>
        <v>0.21976239578244869</v>
      </c>
      <c r="R23" s="246">
        <f t="shared" si="8"/>
        <v>0.17284192821830424</v>
      </c>
      <c r="S23" s="246">
        <f t="shared" si="8"/>
        <v>0.10075310670588526</v>
      </c>
      <c r="T23" s="246">
        <f t="shared" si="8"/>
        <v>5.0902039522227667E-2</v>
      </c>
      <c r="U23" s="246">
        <f t="shared" si="8"/>
        <v>0.20154751468862264</v>
      </c>
      <c r="V23" s="246">
        <f t="shared" si="8"/>
        <v>0.14905168135924377</v>
      </c>
      <c r="W23" s="246">
        <f t="shared" si="8"/>
        <v>9.0882314561911065E-2</v>
      </c>
      <c r="X23" s="246">
        <f t="shared" si="8"/>
        <v>4.6286783258165397E-2</v>
      </c>
      <c r="Y23" s="246">
        <f t="shared" si="8"/>
        <v>0.19117945628701521</v>
      </c>
      <c r="Z23" s="246">
        <f t="shared" si="8"/>
        <v>0.14374467615321812</v>
      </c>
      <c r="AA23" s="246">
        <f t="shared" si="8"/>
        <v>9.4371431044302151E-2</v>
      </c>
      <c r="AB23" s="246">
        <f t="shared" si="8"/>
        <v>4.7177578722576996E-2</v>
      </c>
      <c r="AC23" s="246">
        <f t="shared" si="8"/>
        <v>0.19657141692787813</v>
      </c>
      <c r="AD23" s="246">
        <f t="shared" si="8"/>
        <v>0.15787200610163499</v>
      </c>
      <c r="AE23" s="246">
        <f t="shared" si="8"/>
        <v>9.755405525663409E-2</v>
      </c>
      <c r="AF23" s="246">
        <f t="shared" si="8"/>
        <v>4.5799726096670761E-2</v>
      </c>
      <c r="AG23" s="246">
        <f t="shared" si="8"/>
        <v>0.17551085674254005</v>
      </c>
      <c r="AH23" s="246">
        <f t="shared" si="8"/>
        <v>0.1329110593342413</v>
      </c>
      <c r="AI23" s="246">
        <f t="shared" si="8"/>
        <v>8.2606299454336521E-2</v>
      </c>
      <c r="AJ23" s="246">
        <f t="shared" si="8"/>
        <v>4.4013540450378079E-2</v>
      </c>
      <c r="AK23" s="246">
        <f t="shared" si="8"/>
        <v>0.15123318526773383</v>
      </c>
      <c r="AL23" s="246">
        <f t="shared" si="8"/>
        <v>0.30599303388982707</v>
      </c>
      <c r="AM23" s="246">
        <f t="shared" si="8"/>
        <v>0.21541673656873656</v>
      </c>
      <c r="AN23" s="246">
        <f t="shared" si="8"/>
        <v>0.10515260494746795</v>
      </c>
      <c r="AO23" s="246">
        <f t="shared" si="8"/>
        <v>0.43574648913558861</v>
      </c>
      <c r="AP23" s="246">
        <f t="shared" si="8"/>
        <v>0.34747033165056523</v>
      </c>
      <c r="AQ23" s="246">
        <f t="shared" si="8"/>
        <v>0.236140345589475</v>
      </c>
      <c r="AR23" s="246">
        <f t="shared" si="8"/>
        <v>0.1245166801049104</v>
      </c>
      <c r="AS23" s="246">
        <f t="shared" si="8"/>
        <v>0.46531650429342325</v>
      </c>
      <c r="AT23" s="246">
        <f t="shared" si="8"/>
        <v>0.35428347137768079</v>
      </c>
      <c r="AU23" s="246">
        <f t="shared" si="8"/>
        <v>0.25259888163758776</v>
      </c>
      <c r="AV23" s="246">
        <f t="shared" si="8"/>
        <v>0.12395625923800394</v>
      </c>
      <c r="AW23" s="246">
        <f t="shared" si="8"/>
        <v>0.31079238673031928</v>
      </c>
      <c r="AX23" s="246">
        <f t="shared" si="8"/>
        <v>0.25505043287390267</v>
      </c>
      <c r="AY23" s="246">
        <f t="shared" si="8"/>
        <v>0.19497651746996564</v>
      </c>
      <c r="AZ23" s="246">
        <f t="shared" si="8"/>
        <v>9.6140369173732212E-2</v>
      </c>
      <c r="BA23" s="246">
        <f t="shared" si="8"/>
        <v>0.38900289239718078</v>
      </c>
      <c r="BB23" s="246">
        <f t="shared" si="8"/>
        <v>0.29179847656177599</v>
      </c>
      <c r="BC23" s="246">
        <f t="shared" si="8"/>
        <v>0.19434454256538944</v>
      </c>
      <c r="BD23" s="246">
        <f t="shared" si="8"/>
        <v>0.10139321435039832</v>
      </c>
      <c r="BE23" s="246">
        <f t="shared" si="8"/>
        <v>0.31063395590224613</v>
      </c>
      <c r="BF23" s="246">
        <f t="shared" si="8"/>
        <v>0.232819505847495</v>
      </c>
      <c r="BG23" s="246">
        <f t="shared" si="8"/>
        <v>0.13715067169020267</v>
      </c>
      <c r="BH23" s="246">
        <f t="shared" si="8"/>
        <v>7.8115541106139122E-2</v>
      </c>
      <c r="BI23" s="246">
        <f t="shared" si="8"/>
        <v>0.35317232235621571</v>
      </c>
      <c r="BJ23" s="246">
        <f t="shared" si="8"/>
        <v>0.26630661823781404</v>
      </c>
      <c r="BK23" s="246">
        <f t="shared" si="8"/>
        <v>0.18030135479622211</v>
      </c>
      <c r="BL23" s="246">
        <f t="shared" si="8"/>
        <v>0.10076059348383813</v>
      </c>
      <c r="BM23" s="246">
        <f t="shared" si="8"/>
        <v>0.6530039772948798</v>
      </c>
      <c r="BN23" s="246">
        <f t="shared" si="8"/>
        <v>2.9291084700902172</v>
      </c>
      <c r="BO23" s="246">
        <f t="shared" si="8"/>
        <v>1.7881670127508711</v>
      </c>
      <c r="BP23" s="246">
        <f t="shared" si="8"/>
        <v>0.77996253391307369</v>
      </c>
      <c r="BQ23" s="246">
        <f t="shared" si="8"/>
        <v>2.3570605194769851</v>
      </c>
      <c r="BR23" s="246">
        <f t="shared" ref="BR23:CK23" si="9">BR19/BR22</f>
        <v>0.72102559190990001</v>
      </c>
      <c r="BS23" s="246">
        <f t="shared" si="9"/>
        <v>2.3322557278345437</v>
      </c>
      <c r="BT23" s="246">
        <f t="shared" si="9"/>
        <v>0.62303493519091246</v>
      </c>
      <c r="BU23" s="246">
        <f t="shared" si="9"/>
        <v>1.3085211578862688</v>
      </c>
      <c r="BV23" s="246">
        <f t="shared" si="9"/>
        <v>0.59964530077541101</v>
      </c>
      <c r="BW23" s="246">
        <f t="shared" si="9"/>
        <v>1.1268503648529178</v>
      </c>
      <c r="BX23" s="246">
        <f t="shared" si="9"/>
        <v>1.1240066347987436</v>
      </c>
      <c r="BY23" s="246">
        <f t="shared" si="9"/>
        <v>2.6891175879155291</v>
      </c>
      <c r="BZ23" s="246">
        <f t="shared" si="9"/>
        <v>1.6558836917775177</v>
      </c>
      <c r="CA23" s="246">
        <f t="shared" si="9"/>
        <v>1.8544445269283287</v>
      </c>
      <c r="CB23" s="246">
        <f t="shared" si="9"/>
        <v>0.41224030081077317</v>
      </c>
      <c r="CC23" s="246">
        <f t="shared" si="9"/>
        <v>0.8264342454696646</v>
      </c>
      <c r="CD23" s="246">
        <f t="shared" si="9"/>
        <v>2.4459401820600313</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6.171685599774978E-2</v>
      </c>
      <c r="F24" s="161">
        <f t="shared" ref="F24:BQ24" si="10">F21*F23</f>
        <v>5.286108269745099E-2</v>
      </c>
      <c r="G24" s="161">
        <f t="shared" si="10"/>
        <v>3.0254175207489589E-2</v>
      </c>
      <c r="H24" s="161">
        <f t="shared" si="10"/>
        <v>1.8529358529485951E-2</v>
      </c>
      <c r="I24" s="161">
        <f t="shared" si="10"/>
        <v>7.6935061530631552E-2</v>
      </c>
      <c r="J24" s="161">
        <f t="shared" si="10"/>
        <v>6.5463028360770142E-2</v>
      </c>
      <c r="K24" s="161">
        <f t="shared" si="10"/>
        <v>3.5991604254793634E-2</v>
      </c>
      <c r="L24" s="161">
        <f t="shared" si="10"/>
        <v>2.2957115917746736E-2</v>
      </c>
      <c r="M24" s="161">
        <f t="shared" si="10"/>
        <v>0.10267842209162009</v>
      </c>
      <c r="N24" s="161">
        <f t="shared" si="10"/>
        <v>8.6251795824592123E-2</v>
      </c>
      <c r="O24" s="161">
        <f t="shared" si="10"/>
        <v>5.115407118571267E-2</v>
      </c>
      <c r="P24" s="161">
        <f t="shared" si="10"/>
        <v>2.5959865354264169E-2</v>
      </c>
      <c r="Q24" s="161">
        <f t="shared" si="10"/>
        <v>0.10915250054796541</v>
      </c>
      <c r="R24" s="161">
        <f t="shared" si="10"/>
        <v>8.7898607417645658E-2</v>
      </c>
      <c r="S24" s="161">
        <f t="shared" si="10"/>
        <v>4.2500322798941746E-2</v>
      </c>
      <c r="T24" s="161">
        <f t="shared" si="10"/>
        <v>2.0627048046111589E-2</v>
      </c>
      <c r="U24" s="161">
        <f t="shared" si="10"/>
        <v>7.401058284523393E-2</v>
      </c>
      <c r="V24" s="161">
        <f t="shared" si="10"/>
        <v>5.4365849590344177E-2</v>
      </c>
      <c r="W24" s="161">
        <f t="shared" si="10"/>
        <v>2.9620748259086033E-2</v>
      </c>
      <c r="X24" s="161">
        <f t="shared" si="10"/>
        <v>1.381446388237368E-2</v>
      </c>
      <c r="Y24" s="161">
        <f t="shared" si="10"/>
        <v>4.1456795601376641E-2</v>
      </c>
      <c r="Z24" s="161">
        <f t="shared" si="10"/>
        <v>2.9467589970694444E-2</v>
      </c>
      <c r="AA24" s="161">
        <f t="shared" si="10"/>
        <v>1.3117692985647852E-2</v>
      </c>
      <c r="AB24" s="161">
        <f t="shared" si="10"/>
        <v>5.0406696542587039E-3</v>
      </c>
      <c r="AC24" s="161">
        <f t="shared" si="10"/>
        <v>2.7593284683015286E-2</v>
      </c>
      <c r="AD24" s="161">
        <f t="shared" si="10"/>
        <v>2.4802357210307865E-2</v>
      </c>
      <c r="AE24" s="161">
        <f t="shared" si="10"/>
        <v>1.3766914176147968E-2</v>
      </c>
      <c r="AF24" s="161">
        <f t="shared" si="10"/>
        <v>6.2106986815756993E-3</v>
      </c>
      <c r="AG24" s="161">
        <f t="shared" si="10"/>
        <v>3.3591517750705437E-2</v>
      </c>
      <c r="AH24" s="161">
        <f t="shared" si="10"/>
        <v>2.6328763269338099E-2</v>
      </c>
      <c r="AI24" s="161">
        <f t="shared" si="10"/>
        <v>1.2812219315553864E-2</v>
      </c>
      <c r="AJ24" s="161">
        <f t="shared" si="10"/>
        <v>6.44586870345276E-3</v>
      </c>
      <c r="AK24" s="161">
        <f t="shared" si="10"/>
        <v>3.5977376537160405E-2</v>
      </c>
      <c r="AL24" s="161">
        <f t="shared" si="10"/>
        <v>4.5364544528687267E-2</v>
      </c>
      <c r="AM24" s="161">
        <f t="shared" si="10"/>
        <v>3.0638370541660402E-2</v>
      </c>
      <c r="AN24" s="161">
        <f t="shared" si="10"/>
        <v>1.3694847776781295E-2</v>
      </c>
      <c r="AO24" s="161">
        <f t="shared" si="10"/>
        <v>5.576526313675377E-2</v>
      </c>
      <c r="AP24" s="161">
        <f t="shared" si="10"/>
        <v>4.2472884661576837E-2</v>
      </c>
      <c r="AQ24" s="161">
        <f t="shared" si="10"/>
        <v>3.0949538891881925E-2</v>
      </c>
      <c r="AR24" s="161">
        <f t="shared" si="10"/>
        <v>1.5292389097596825E-2</v>
      </c>
      <c r="AS24" s="161">
        <f t="shared" si="10"/>
        <v>0.10497169621801068</v>
      </c>
      <c r="AT24" s="161">
        <f t="shared" si="10"/>
        <v>8.3051183124736E-2</v>
      </c>
      <c r="AU24" s="161">
        <f t="shared" si="10"/>
        <v>6.1622291869989368E-2</v>
      </c>
      <c r="AV24" s="161">
        <f t="shared" si="10"/>
        <v>3.0969797982080983E-2</v>
      </c>
      <c r="AW24" s="161">
        <f t="shared" si="10"/>
        <v>7.7946723464353287E-2</v>
      </c>
      <c r="AX24" s="161">
        <f t="shared" si="10"/>
        <v>6.9733537805944393E-2</v>
      </c>
      <c r="AY24" s="161">
        <f t="shared" si="10"/>
        <v>5.3520626666167768E-2</v>
      </c>
      <c r="AZ24" s="161">
        <f t="shared" si="10"/>
        <v>2.4126140757834959E-2</v>
      </c>
      <c r="BA24" s="161">
        <f t="shared" si="10"/>
        <v>0.11057327883905781</v>
      </c>
      <c r="BB24" s="161">
        <f t="shared" si="10"/>
        <v>9.3644097630705206E-2</v>
      </c>
      <c r="BC24" s="161">
        <f t="shared" si="10"/>
        <v>6.4270574846608641E-2</v>
      </c>
      <c r="BD24" s="161">
        <f t="shared" si="10"/>
        <v>3.4741634401602946E-2</v>
      </c>
      <c r="BE24" s="161">
        <f t="shared" si="10"/>
        <v>9.8364632830181917E-2</v>
      </c>
      <c r="BF24" s="161">
        <f t="shared" si="10"/>
        <v>7.5960221943582706E-2</v>
      </c>
      <c r="BG24" s="161">
        <f t="shared" si="10"/>
        <v>4.8346864069603479E-2</v>
      </c>
      <c r="BH24" s="161">
        <f t="shared" si="10"/>
        <v>2.7479108508235234E-2</v>
      </c>
      <c r="BI24" s="161">
        <f t="shared" si="10"/>
        <v>0.11835612001942179</v>
      </c>
      <c r="BJ24" s="161">
        <f t="shared" si="10"/>
        <v>7.9530779340794E-2</v>
      </c>
      <c r="BK24" s="161">
        <f t="shared" si="10"/>
        <v>5.4326492498630446E-2</v>
      </c>
      <c r="BL24" s="161">
        <f t="shared" si="10"/>
        <v>2.6276854159465228E-2</v>
      </c>
      <c r="BM24" s="161">
        <f t="shared" si="10"/>
        <v>7.9675050874171757E-3</v>
      </c>
      <c r="BN24" s="161">
        <f t="shared" si="10"/>
        <v>-0.11955797167126639</v>
      </c>
      <c r="BO24" s="161">
        <f t="shared" si="10"/>
        <v>-8.7523156445513894E-2</v>
      </c>
      <c r="BP24" s="161">
        <f t="shared" si="10"/>
        <v>-4.7104575038085607E-2</v>
      </c>
      <c r="BQ24" s="161">
        <f t="shared" si="10"/>
        <v>-7.1270628263464503E-2</v>
      </c>
      <c r="BR24" s="161">
        <f t="shared" ref="BR24:CK24" si="11">BR21*BR23</f>
        <v>-9.8600487922051081E-4</v>
      </c>
      <c r="BS24" s="161">
        <f t="shared" si="11"/>
        <v>1.7747610615141858E-2</v>
      </c>
      <c r="BT24" s="161">
        <f t="shared" si="11"/>
        <v>-3.5521835801412369E-2</v>
      </c>
      <c r="BU24" s="161">
        <f t="shared" si="11"/>
        <v>-4.128486685404132E-2</v>
      </c>
      <c r="BV24" s="161">
        <f t="shared" si="11"/>
        <v>-6.7396498086253961E-2</v>
      </c>
      <c r="BW24" s="161">
        <f t="shared" si="11"/>
        <v>8.2647595138408747E-2</v>
      </c>
      <c r="BX24" s="161">
        <f t="shared" si="11"/>
        <v>0.19624657728322198</v>
      </c>
      <c r="BY24" s="161">
        <f t="shared" si="11"/>
        <v>0.3351458798932393</v>
      </c>
      <c r="BZ24" s="161">
        <f t="shared" si="11"/>
        <v>1.6558836917775177</v>
      </c>
      <c r="CA24" s="161">
        <f t="shared" si="11"/>
        <v>0.46140205698111997</v>
      </c>
      <c r="CB24" s="161">
        <f t="shared" si="11"/>
        <v>0.41224030081077317</v>
      </c>
      <c r="CC24" s="161">
        <f t="shared" si="11"/>
        <v>0.3787420246743648</v>
      </c>
      <c r="CD24" s="161">
        <f t="shared" si="11"/>
        <v>2.4443387212530334</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25569</v>
      </c>
      <c r="CG25" s="1"/>
      <c r="CH25" s="1"/>
      <c r="CI25" s="1"/>
      <c r="CJ25" s="1"/>
      <c r="CK25" s="1"/>
    </row>
    <row r="26" spans="1:89" s="76" customFormat="1" x14ac:dyDescent="0.25">
      <c r="A26" s="147" t="s">
        <v>443</v>
      </c>
      <c r="E26" s="76">
        <f>利润表!E14</f>
        <v>345673565.06</v>
      </c>
      <c r="F26" s="76">
        <f>利润表!F14</f>
        <v>289125342.58999997</v>
      </c>
      <c r="G26" s="76">
        <f>利润表!G14</f>
        <v>171226086.88</v>
      </c>
      <c r="H26" s="76">
        <f>利润表!H14</f>
        <v>74517491.569999993</v>
      </c>
      <c r="I26" s="76">
        <f>利润表!I14</f>
        <v>631230626.76999998</v>
      </c>
      <c r="J26" s="76">
        <f>利润表!J14</f>
        <v>489935065.30000001</v>
      </c>
      <c r="K26" s="76">
        <f>利润表!K14</f>
        <v>303430528.54000002</v>
      </c>
      <c r="L26" s="76">
        <f>利润表!L14</f>
        <v>185670423.15000001</v>
      </c>
      <c r="M26" s="76">
        <f>利润表!M14</f>
        <v>551027246.50999999</v>
      </c>
      <c r="N26" s="76">
        <f>利润表!N14</f>
        <v>419140343.29000002</v>
      </c>
      <c r="O26" s="76">
        <f>利润表!O14</f>
        <v>301340835.26999998</v>
      </c>
      <c r="P26" s="76">
        <f>利润表!P14</f>
        <v>156219977.81</v>
      </c>
      <c r="Q26" s="76">
        <f>利润表!Q14</f>
        <v>505052099.07999998</v>
      </c>
      <c r="R26" s="76">
        <f>利润表!R14</f>
        <v>345239280.75</v>
      </c>
      <c r="S26" s="76">
        <f>利润表!S14</f>
        <v>235891432.84999999</v>
      </c>
      <c r="T26" s="76">
        <f>利润表!T14</f>
        <v>104430045.5</v>
      </c>
      <c r="U26" s="76">
        <f>利润表!U14</f>
        <v>529819245.31999999</v>
      </c>
      <c r="V26" s="76">
        <f>利润表!V14</f>
        <v>408733517.67000002</v>
      </c>
      <c r="W26" s="76">
        <f>利润表!W14</f>
        <v>231264890.75999999</v>
      </c>
      <c r="X26" s="76">
        <f>利润表!X14</f>
        <v>96969591.650000006</v>
      </c>
      <c r="Y26" s="76">
        <f>利润表!Y14</f>
        <v>188578122.41999999</v>
      </c>
      <c r="Z26" s="76">
        <f>利润表!Z14</f>
        <v>86687539.280000001</v>
      </c>
      <c r="AA26" s="76">
        <f>利润表!AA14</f>
        <v>48708038.539999999</v>
      </c>
      <c r="AB26" s="76">
        <f>利润表!AB14</f>
        <v>31155964.66</v>
      </c>
      <c r="AC26" s="76">
        <f>利润表!AC14</f>
        <v>71117014.459999993</v>
      </c>
      <c r="AD26" s="76">
        <f>利润表!AD14</f>
        <v>59421519.450000003</v>
      </c>
      <c r="AE26" s="76">
        <f>利润表!AE14</f>
        <v>51124634.079999998</v>
      </c>
      <c r="AF26" s="76">
        <f>利润表!AF14</f>
        <v>22663497.949999999</v>
      </c>
      <c r="AG26" s="76">
        <f>利润表!AG14</f>
        <v>76422893.829999998</v>
      </c>
      <c r="AH26" s="76">
        <f>利润表!AH14</f>
        <v>74163697.260000005</v>
      </c>
      <c r="AI26" s="76">
        <f>利润表!AI14</f>
        <v>64605346.560000002</v>
      </c>
      <c r="AJ26" s="76">
        <f>利润表!AJ14</f>
        <v>38202558.57</v>
      </c>
      <c r="AK26" s="76">
        <f>利润表!AK14</f>
        <v>102161989.84</v>
      </c>
      <c r="AL26" s="76">
        <f>利润表!AL14</f>
        <v>79888891.620000005</v>
      </c>
      <c r="AM26" s="76">
        <f>利润表!AM14</f>
        <v>37110688.369999997</v>
      </c>
      <c r="AN26" s="76">
        <f>利润表!AN14</f>
        <v>30324684.289999999</v>
      </c>
      <c r="AO26" s="76">
        <f>利润表!AO14</f>
        <v>68631860.040000007</v>
      </c>
      <c r="AP26" s="76">
        <f>利润表!AP14</f>
        <v>86109315.530000001</v>
      </c>
      <c r="AQ26" s="76">
        <f>利润表!AQ14</f>
        <v>60573408.009999998</v>
      </c>
      <c r="AR26" s="76">
        <f>利润表!AR14</f>
        <v>45174912.68</v>
      </c>
      <c r="AS26" s="76">
        <f>利润表!AS14</f>
        <v>147983409.97999999</v>
      </c>
      <c r="AT26" s="76">
        <f>利润表!AT14</f>
        <v>114399744.65000001</v>
      </c>
      <c r="AU26" s="76">
        <f>利润表!AU14</f>
        <v>66186031.729999997</v>
      </c>
      <c r="AV26" s="76">
        <f>利润表!AV14</f>
        <v>31224009.879999999</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8729612779.75</v>
      </c>
      <c r="F27" s="76">
        <f>资产资本表!F19</f>
        <v>8679760447.7099991</v>
      </c>
      <c r="G27" s="76">
        <f>资产资本表!G19</f>
        <v>8562046822.4300003</v>
      </c>
      <c r="H27" s="76">
        <f>资产资本表!H19</f>
        <v>8919850139.6499996</v>
      </c>
      <c r="I27" s="76">
        <f>资产资本表!I19</f>
        <v>8846824928.5300007</v>
      </c>
      <c r="J27" s="76">
        <f>资产资本表!J19</f>
        <v>7312406516.4799995</v>
      </c>
      <c r="K27" s="76">
        <f>资产资本表!K19</f>
        <v>6268767675.3199997</v>
      </c>
      <c r="L27" s="76">
        <f>资产资本表!L19</f>
        <v>4984330317.3400002</v>
      </c>
      <c r="M27" s="76">
        <f>资产资本表!M19</f>
        <v>2639024894.1900001</v>
      </c>
      <c r="N27" s="76">
        <f>资产资本表!N19</f>
        <v>2507148433.9499998</v>
      </c>
      <c r="O27" s="76">
        <f>资产资本表!O19</f>
        <v>2530719406</v>
      </c>
      <c r="P27" s="76">
        <f>资产资本表!P19</f>
        <v>2760483019.1300001</v>
      </c>
      <c r="Q27" s="76">
        <f>资产资本表!Q19</f>
        <v>2503484741.3099999</v>
      </c>
      <c r="R27" s="76">
        <f>资产资本表!R19</f>
        <v>2637521922.96</v>
      </c>
      <c r="S27" s="76">
        <f>资产资本表!S19</f>
        <v>2808010267.1799998</v>
      </c>
      <c r="T27" s="76">
        <f>资产资本表!T19</f>
        <v>2912177181.96</v>
      </c>
      <c r="U27" s="76">
        <f>资产资本表!U19</f>
        <v>2807747136.46</v>
      </c>
      <c r="V27" s="76">
        <f>资产资本表!V19</f>
        <v>2686661408.8099999</v>
      </c>
      <c r="W27" s="76">
        <f>资产资本表!W19</f>
        <v>2437586084.9699998</v>
      </c>
      <c r="X27" s="76">
        <f>资产资本表!X19</f>
        <v>2541979629.1199999</v>
      </c>
      <c r="Y27" s="76">
        <f>资产资本表!Y19</f>
        <v>1573141463.02</v>
      </c>
      <c r="Z27" s="76">
        <f>资产资本表!Z19</f>
        <v>1478355523.4100001</v>
      </c>
      <c r="AA27" s="76">
        <f>资产资本表!AA19</f>
        <v>1440376022.6700001</v>
      </c>
      <c r="AB27" s="76">
        <f>资产资本表!AB19</f>
        <v>1467523948.79</v>
      </c>
      <c r="AC27" s="76">
        <f>资产资本表!AC19</f>
        <v>1436367984.1300001</v>
      </c>
      <c r="AD27" s="76">
        <f>资产资本表!AD19</f>
        <v>1510746593.74</v>
      </c>
      <c r="AE27" s="76">
        <f>资产资本表!AE19</f>
        <v>1502618178.24</v>
      </c>
      <c r="AF27" s="76">
        <f>资产资本表!AF19</f>
        <v>1498992613.53</v>
      </c>
      <c r="AG27" s="76">
        <f>资产资本表!AG19</f>
        <v>1476329115.5699999</v>
      </c>
      <c r="AH27" s="76">
        <f>资产资本表!AH19</f>
        <v>1537121964.28</v>
      </c>
      <c r="AI27" s="76">
        <f>资产资本表!AI19</f>
        <v>1551762623.3</v>
      </c>
      <c r="AJ27" s="76">
        <f>资产资本表!AJ19</f>
        <v>1587635239.8</v>
      </c>
      <c r="AK27" s="76">
        <f>资产资本表!AK19</f>
        <v>1549432681.23</v>
      </c>
      <c r="AL27" s="76">
        <f>资产资本表!AL19</f>
        <v>853967856.78999996</v>
      </c>
      <c r="AM27" s="76">
        <f>资产资本表!AM19</f>
        <v>811189653.53999996</v>
      </c>
      <c r="AN27" s="76">
        <f>资产资本表!AN19</f>
        <v>907031149.46000004</v>
      </c>
      <c r="AO27" s="76">
        <f>资产资本表!AO19</f>
        <v>876706465.16999996</v>
      </c>
      <c r="AP27" s="76">
        <f>资产资本表!AP19</f>
        <v>1006433920.66</v>
      </c>
      <c r="AQ27" s="76">
        <f>资产资本表!AQ19</f>
        <v>1029898013.13</v>
      </c>
      <c r="AR27" s="76">
        <f>资产资本表!AR19</f>
        <v>1035113073.83</v>
      </c>
      <c r="AS27" s="76">
        <f>资产资本表!AS19</f>
        <v>863131531.36000001</v>
      </c>
      <c r="AT27" s="76">
        <f>资产资本表!AT19</f>
        <v>918229206.58000004</v>
      </c>
      <c r="AU27" s="76">
        <f>资产资本表!AU19</f>
        <v>912015493.66999996</v>
      </c>
      <c r="AV27" s="76">
        <f>资产资本表!AV19</f>
        <v>856051667.25999999</v>
      </c>
      <c r="AW27" s="76">
        <f>资产资本表!AW19</f>
        <v>1412186711.3399999</v>
      </c>
      <c r="AX27" s="76">
        <f>资产资本表!AX19</f>
        <v>424059053.56999999</v>
      </c>
      <c r="AY27" s="76">
        <f>资产资本表!AY19</f>
        <v>425490282.61000001</v>
      </c>
      <c r="AZ27" s="76">
        <f>资产资本表!AZ19</f>
        <v>397018259.50999999</v>
      </c>
      <c r="BA27" s="76">
        <f>资产资本表!BA19</f>
        <v>397104587.04000002</v>
      </c>
      <c r="BB27" s="76">
        <f>资产资本表!BB19</f>
        <v>475475153.05000001</v>
      </c>
      <c r="BC27" s="76">
        <f>资产资本表!BC19</f>
        <v>422786356.37</v>
      </c>
      <c r="BD27" s="76">
        <f>资产资本表!BD19</f>
        <v>417961342.06999999</v>
      </c>
      <c r="BE27" s="76">
        <f>资产资本表!BE19</f>
        <v>391805117.45999998</v>
      </c>
      <c r="BF27" s="76">
        <f>资产资本表!BF19</f>
        <v>355564289.75999999</v>
      </c>
      <c r="BG27" s="76">
        <f>资产资本表!BG19</f>
        <v>326216795.41000003</v>
      </c>
      <c r="BH27" s="76">
        <f>资产资本表!BH19</f>
        <v>303744932.42000002</v>
      </c>
      <c r="BI27" s="76">
        <f>资产资本表!BI19</f>
        <v>246829285.46000001</v>
      </c>
      <c r="BJ27" s="76">
        <f>资产资本表!BJ19</f>
        <v>235277784.91999999</v>
      </c>
      <c r="BK27" s="76">
        <f>资产资本表!BK19</f>
        <v>212669191.28</v>
      </c>
      <c r="BL27" s="76">
        <f>资产资本表!BL19</f>
        <v>253268542.19</v>
      </c>
      <c r="BM27" s="76">
        <f>资产资本表!BM19</f>
        <v>234275291.65000001</v>
      </c>
      <c r="BN27" s="76">
        <f>资产资本表!BN19</f>
        <v>17198219.629999999</v>
      </c>
      <c r="BO27" s="76">
        <f>资产资本表!BO19</f>
        <v>16803778.039999999</v>
      </c>
      <c r="BP27" s="76">
        <f>资产资本表!BP19</f>
        <v>16803778.039999999</v>
      </c>
      <c r="BQ27" s="76">
        <f>资产资本表!BQ19</f>
        <v>16803778.039999999</v>
      </c>
      <c r="BR27" s="76">
        <f>资产资本表!BR19</f>
        <v>19162288.68</v>
      </c>
      <c r="BS27" s="76">
        <f>资产资本表!BS19</f>
        <v>19162288.68</v>
      </c>
      <c r="BT27" s="76">
        <f>资产资本表!BT19</f>
        <v>22274799.460000001</v>
      </c>
      <c r="BU27" s="76">
        <f>资产资本表!BU19</f>
        <v>35171954.649999999</v>
      </c>
      <c r="BV27" s="76">
        <f>资产资本表!BV19</f>
        <v>39940000</v>
      </c>
      <c r="BW27" s="76">
        <f>资产资本表!BW19</f>
        <v>10500000</v>
      </c>
      <c r="BX27" s="76">
        <f>资产资本表!BX19</f>
        <v>2500000</v>
      </c>
      <c r="BY27" s="76">
        <f>资产资本表!BY19</f>
        <v>2500000</v>
      </c>
      <c r="BZ27" s="76">
        <f>资产资本表!BZ19</f>
        <v>2850000</v>
      </c>
      <c r="CA27" s="76">
        <f>资产资本表!CA19</f>
        <v>2850000</v>
      </c>
      <c r="CB27" s="76">
        <f>资产资本表!CB19</f>
        <v>2850000</v>
      </c>
      <c r="CC27" s="76">
        <f>资产资本表!CC19</f>
        <v>2850000</v>
      </c>
      <c r="CD27" s="76">
        <f>资产资本表!CD19</f>
        <v>3115107.7</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3.9597811928365909E-2</v>
      </c>
      <c r="F28" s="110">
        <f t="shared" ref="F28:BQ28" si="12">F26/F27</f>
        <v>3.3310290569860207E-2</v>
      </c>
      <c r="G28" s="110">
        <f t="shared" si="12"/>
        <v>1.9998265652021299E-2</v>
      </c>
      <c r="H28" s="110">
        <f t="shared" si="12"/>
        <v>8.3541192288376209E-3</v>
      </c>
      <c r="I28" s="110">
        <f t="shared" si="12"/>
        <v>7.1351092834939372E-2</v>
      </c>
      <c r="J28" s="110">
        <f t="shared" si="12"/>
        <v>6.7000523589030705E-2</v>
      </c>
      <c r="K28" s="110">
        <f t="shared" si="12"/>
        <v>4.8403537067516371E-2</v>
      </c>
      <c r="L28" s="110">
        <f t="shared" si="12"/>
        <v>3.7250826355562885E-2</v>
      </c>
      <c r="M28" s="110">
        <f t="shared" si="12"/>
        <v>0.20879956370367156</v>
      </c>
      <c r="N28" s="110">
        <f t="shared" si="12"/>
        <v>0.1671781126375699</v>
      </c>
      <c r="O28" s="110">
        <f t="shared" si="12"/>
        <v>0.11907319102843279</v>
      </c>
      <c r="P28" s="110">
        <f t="shared" si="12"/>
        <v>5.6591537324230536E-2</v>
      </c>
      <c r="Q28" s="110">
        <f t="shared" si="12"/>
        <v>0.2017396354553857</v>
      </c>
      <c r="R28" s="110">
        <f t="shared" si="12"/>
        <v>0.130895321758141</v>
      </c>
      <c r="S28" s="110">
        <f t="shared" si="12"/>
        <v>8.4006613368582395E-2</v>
      </c>
      <c r="T28" s="110">
        <f t="shared" si="12"/>
        <v>3.5859784269621539E-2</v>
      </c>
      <c r="U28" s="110">
        <f t="shared" si="12"/>
        <v>0.18869905998301351</v>
      </c>
      <c r="V28" s="110">
        <f t="shared" si="12"/>
        <v>0.15213436137865988</v>
      </c>
      <c r="W28" s="110">
        <f t="shared" si="12"/>
        <v>9.4874553225407929E-2</v>
      </c>
      <c r="X28" s="110">
        <f t="shared" si="12"/>
        <v>3.8147273305872087E-2</v>
      </c>
      <c r="Y28" s="110">
        <f t="shared" si="12"/>
        <v>0.11987359487555667</v>
      </c>
      <c r="Z28" s="110">
        <f t="shared" si="12"/>
        <v>5.8637816078263127E-2</v>
      </c>
      <c r="AA28" s="110">
        <f t="shared" si="12"/>
        <v>3.381619644689083E-2</v>
      </c>
      <c r="AB28" s="110">
        <f t="shared" si="12"/>
        <v>2.1230293846780938E-2</v>
      </c>
      <c r="AC28" s="110">
        <f t="shared" si="12"/>
        <v>4.9511695641890237E-2</v>
      </c>
      <c r="AD28" s="110">
        <f t="shared" si="12"/>
        <v>3.9332552326261587E-2</v>
      </c>
      <c r="AE28" s="110">
        <f t="shared" si="12"/>
        <v>3.4023702641400033E-2</v>
      </c>
      <c r="AF28" s="110">
        <f t="shared" si="12"/>
        <v>1.5119152519790869E-2</v>
      </c>
      <c r="AG28" s="110">
        <f t="shared" si="12"/>
        <v>5.1765485774148454E-2</v>
      </c>
      <c r="AH28" s="110">
        <f t="shared" si="12"/>
        <v>4.8248414233504795E-2</v>
      </c>
      <c r="AI28" s="110">
        <f t="shared" si="12"/>
        <v>4.163352409056572E-2</v>
      </c>
      <c r="AJ28" s="110">
        <f t="shared" si="12"/>
        <v>2.4062553924421904E-2</v>
      </c>
      <c r="AK28" s="110">
        <f t="shared" si="12"/>
        <v>6.5935094230037697E-2</v>
      </c>
      <c r="AL28" s="110">
        <f t="shared" si="12"/>
        <v>9.3550232581699574E-2</v>
      </c>
      <c r="AM28" s="110">
        <f t="shared" si="12"/>
        <v>4.5748473501912162E-2</v>
      </c>
      <c r="AN28" s="110">
        <f t="shared" si="12"/>
        <v>3.343290283696846E-2</v>
      </c>
      <c r="AO28" s="110">
        <f t="shared" si="12"/>
        <v>7.82837389327245E-2</v>
      </c>
      <c r="AP28" s="110">
        <f t="shared" si="12"/>
        <v>8.5558836762508139E-2</v>
      </c>
      <c r="AQ28" s="110">
        <f t="shared" si="12"/>
        <v>5.8814957634406133E-2</v>
      </c>
      <c r="AR28" s="110">
        <f t="shared" si="12"/>
        <v>4.364249068253892E-2</v>
      </c>
      <c r="AS28" s="110">
        <f t="shared" si="12"/>
        <v>0.17144943105812477</v>
      </c>
      <c r="AT28" s="110">
        <f t="shared" si="12"/>
        <v>0.12458735120840769</v>
      </c>
      <c r="AU28" s="110">
        <f t="shared" si="12"/>
        <v>7.2571170324819592E-2</v>
      </c>
      <c r="AV28" s="110">
        <f t="shared" si="12"/>
        <v>3.6474445496893874E-2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25569</v>
      </c>
      <c r="CG31" s="1"/>
      <c r="CH31" s="1"/>
      <c r="CI31" s="1"/>
      <c r="CJ31" s="1"/>
      <c r="CK31" s="1"/>
    </row>
    <row r="32" spans="1:89" s="76" customFormat="1" x14ac:dyDescent="0.25">
      <c r="A32" s="147" t="s">
        <v>450</v>
      </c>
      <c r="E32" s="76">
        <f>股权价值增加表!E29</f>
        <v>82830018.294090137</v>
      </c>
      <c r="F32" s="76">
        <f>股权价值增加表!F29</f>
        <v>-13184350.708738705</v>
      </c>
      <c r="G32" s="76">
        <f>股权价值增加表!G29</f>
        <v>-16164335.220618917</v>
      </c>
      <c r="H32" s="76">
        <f>股权价值增加表!H29</f>
        <v>-9823569.5413637776</v>
      </c>
      <c r="I32" s="76">
        <f>股权价值增加表!I29</f>
        <v>258520399.50333878</v>
      </c>
      <c r="J32" s="76">
        <f>股权价值增加表!J29</f>
        <v>170155473.28780761</v>
      </c>
      <c r="K32" s="76">
        <f>股权价值增加表!K29</f>
        <v>30190826.793502007</v>
      </c>
      <c r="L32" s="76">
        <f>股权价值增加表!L29</f>
        <v>0</v>
      </c>
      <c r="M32" s="76">
        <f>股权价值增加表!M29</f>
        <v>81323422.058888569</v>
      </c>
      <c r="N32" s="76">
        <f>股权价值增加表!N29</f>
        <v>26182045.117023692</v>
      </c>
      <c r="O32" s="76">
        <f>股权价值增加表!O29</f>
        <v>25676332.958477851</v>
      </c>
      <c r="P32" s="76">
        <f>股权价值增加表!P29</f>
        <v>0</v>
      </c>
      <c r="Q32" s="76">
        <f>股权价值增加表!Q29</f>
        <v>230880636.1195724</v>
      </c>
      <c r="R32" s="76">
        <f>股权价值增加表!R29</f>
        <v>149305770.64932275</v>
      </c>
      <c r="S32" s="76">
        <f>股权价值增加表!S29</f>
        <v>192421680.88829997</v>
      </c>
      <c r="T32" s="76">
        <f>股权价值增加表!T29</f>
        <v>121873.85653285816</v>
      </c>
      <c r="U32" s="76">
        <f>股权价值增加表!U29</f>
        <v>115531643.8182185</v>
      </c>
      <c r="V32" s="76">
        <f>股权价值增加表!V29</f>
        <v>22396584.942578908</v>
      </c>
      <c r="W32" s="76">
        <f>股权价值增加表!W29</f>
        <v>6736546.1931432486</v>
      </c>
      <c r="X32" s="76">
        <f>股权价值增加表!X29</f>
        <v>299381.35131910769</v>
      </c>
      <c r="Y32" s="76">
        <f>股权价值增加表!Y29</f>
        <v>48472069.152803965</v>
      </c>
      <c r="Z32" s="76">
        <f>股权价值增加表!Z29</f>
        <v>21026680.868274532</v>
      </c>
      <c r="AA32" s="76">
        <f>股权价值增加表!AA29</f>
        <v>18771872.210134611</v>
      </c>
      <c r="AB32" s="76">
        <f>股权价值增加表!AB29</f>
        <v>3412668.3981223255</v>
      </c>
      <c r="AC32" s="76">
        <f>股权价值增加表!AC29</f>
        <v>180233685.31434482</v>
      </c>
      <c r="AD32" s="76">
        <f>股权价值增加表!AD29</f>
        <v>14695914.869999999</v>
      </c>
      <c r="AE32" s="76">
        <f>股权价值增加表!AE29</f>
        <v>1155362.8500000001</v>
      </c>
      <c r="AF32" s="76">
        <f>股权价值增加表!AF29</f>
        <v>0</v>
      </c>
      <c r="AG32" s="76">
        <f>股权价值增加表!AG29</f>
        <v>121385756.95758176</v>
      </c>
      <c r="AH32" s="76">
        <f>股权价值增加表!AH29</f>
        <v>10337639.34</v>
      </c>
      <c r="AI32" s="76">
        <f>股权价值增加表!AI29</f>
        <v>10337639.34</v>
      </c>
      <c r="AJ32" s="76">
        <f>股权价值增加表!AJ29</f>
        <v>0</v>
      </c>
      <c r="AK32" s="76">
        <f>股权价值增加表!AK29</f>
        <v>14253890.050000001</v>
      </c>
      <c r="AL32" s="76">
        <f>股权价值增加表!AL29</f>
        <v>0</v>
      </c>
      <c r="AM32" s="76">
        <f>股权价值增加表!AM29</f>
        <v>0</v>
      </c>
      <c r="AN32" s="76">
        <f>股权价值增加表!AN29</f>
        <v>0</v>
      </c>
      <c r="AO32" s="76">
        <f>股权价值增加表!AO29</f>
        <v>0</v>
      </c>
      <c r="AP32" s="76">
        <f>股权价值增加表!AP29</f>
        <v>0</v>
      </c>
      <c r="AQ32" s="76">
        <f>股权价值增加表!AQ29</f>
        <v>0</v>
      </c>
      <c r="AR32" s="76">
        <f>股权价值增加表!AR29</f>
        <v>0</v>
      </c>
      <c r="AS32" s="76">
        <f>股权价值增加表!AS29</f>
        <v>9093954.5349408351</v>
      </c>
      <c r="AT32" s="76">
        <f>股权价值增加表!AT29</f>
        <v>0</v>
      </c>
      <c r="AU32" s="76">
        <f>股权价值增加表!AU29</f>
        <v>0</v>
      </c>
      <c r="AV32" s="76">
        <f>股权价值增加表!AV29</f>
        <v>0</v>
      </c>
      <c r="AW32" s="76">
        <f>股权价值增加表!AW29</f>
        <v>83655704.337620929</v>
      </c>
      <c r="AX32" s="76">
        <f>股权价值增加表!AX29</f>
        <v>82516591.53580156</v>
      </c>
      <c r="AY32" s="76">
        <f>股权价值增加表!AY29</f>
        <v>48525205.555573717</v>
      </c>
      <c r="AZ32" s="76">
        <f>股权价值增加表!AZ29</f>
        <v>22238048.505592935</v>
      </c>
      <c r="BA32" s="76">
        <f>股权价值增加表!BA29</f>
        <v>119716757.7766677</v>
      </c>
      <c r="BB32" s="76">
        <f>股权价值增加表!BB29</f>
        <v>98198952.550134107</v>
      </c>
      <c r="BC32" s="76">
        <f>股权价值增加表!BC29</f>
        <v>49603184.676963016</v>
      </c>
      <c r="BD32" s="76">
        <f>股权价值增加表!BD29</f>
        <v>24583469.596046116</v>
      </c>
      <c r="BE32" s="76">
        <f>股权价值增加表!BE29</f>
        <v>89225836.295425624</v>
      </c>
      <c r="BF32" s="76">
        <f>股权价值增加表!BF29</f>
        <v>63863668.210676573</v>
      </c>
      <c r="BG32" s="76">
        <f>股权价值增加表!BG29</f>
        <v>36703986.273732059</v>
      </c>
      <c r="BH32" s="76">
        <f>股权价值增加表!BH29</f>
        <v>26220721.296653967</v>
      </c>
      <c r="BI32" s="76">
        <f>股权价值增加表!BI29</f>
        <v>61531708.93459022</v>
      </c>
      <c r="BJ32" s="76">
        <f>股权价值增加表!BJ29</f>
        <v>51234593.126571082</v>
      </c>
      <c r="BK32" s="76">
        <f>股权价值增加表!BK29</f>
        <v>30209101.624466475</v>
      </c>
      <c r="BL32" s="76">
        <f>股权价值增加表!BL29</f>
        <v>17100295.541955516</v>
      </c>
      <c r="BM32" s="76">
        <f>股权价值增加表!BM29</f>
        <v>-3691424.5748656765</v>
      </c>
      <c r="BN32" s="76">
        <f>股权价值增加表!BN29</f>
        <v>394441.59</v>
      </c>
      <c r="BO32" s="76">
        <f>股权价值增加表!BO29</f>
        <v>0</v>
      </c>
      <c r="BP32" s="76">
        <f>股权价值增加表!BP29</f>
        <v>0</v>
      </c>
      <c r="BQ32" s="76">
        <f>股权价值增加表!BQ29</f>
        <v>2566409.36</v>
      </c>
      <c r="BR32" s="76">
        <f>股权价值增加表!BR29</f>
        <v>522340</v>
      </c>
      <c r="BS32" s="76">
        <f>股权价值增加表!BS29</f>
        <v>-997944.79</v>
      </c>
      <c r="BT32" s="76">
        <f>股权价值增加表!BT29</f>
        <v>1114565.96</v>
      </c>
      <c r="BU32" s="76">
        <f>股权价值增加表!BU29</f>
        <v>-208395.35</v>
      </c>
      <c r="BV32" s="76">
        <f>股权价值增加表!BV29</f>
        <v>0</v>
      </c>
      <c r="BW32" s="76">
        <f>股权价值增加表!BW29</f>
        <v>112555.21149706366</v>
      </c>
      <c r="BX32" s="76">
        <f>股权价值增加表!BX29</f>
        <v>118546.22911921053</v>
      </c>
      <c r="BY32" s="76">
        <f>股权价值增加表!BY29</f>
        <v>-18680.822897851722</v>
      </c>
      <c r="BZ32" s="76">
        <f>股权价值增加表!BZ29</f>
        <v>0</v>
      </c>
      <c r="CA32" s="76">
        <f>股权价值增加表!CA29</f>
        <v>13342804.537625192</v>
      </c>
      <c r="CB32" s="76">
        <f>股权价值增加表!CB29</f>
        <v>295387.77181933937</v>
      </c>
      <c r="CC32" s="76">
        <f>股权价值增加表!CC29</f>
        <v>10117.663883575515</v>
      </c>
      <c r="CD32" s="76">
        <f>股权价值增加表!CD29</f>
        <v>12211.478190824435</v>
      </c>
      <c r="CE32" s="76">
        <f>股权价值增加表!CE29</f>
        <v>187888.05126939857</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5130675837.9799995</v>
      </c>
      <c r="F34" s="76">
        <f>资产资本表!F4</f>
        <v>6690045271.3299999</v>
      </c>
      <c r="G34" s="76">
        <f>资产资本表!G4</f>
        <v>4939231197.5699997</v>
      </c>
      <c r="H34" s="76">
        <f>资产资本表!H4</f>
        <v>3745988380.3099999</v>
      </c>
      <c r="I34" s="76">
        <f>资产资本表!I4</f>
        <v>4340632063</v>
      </c>
      <c r="J34" s="76">
        <f>资产资本表!J4</f>
        <v>6440217790.4700003</v>
      </c>
      <c r="K34" s="76">
        <f>资产资本表!K4</f>
        <v>4950257604.3900003</v>
      </c>
      <c r="L34" s="76">
        <f>资产资本表!L4</f>
        <v>4033124758.8200002</v>
      </c>
      <c r="M34" s="76">
        <f>资产资本表!M4</f>
        <v>6326753352.6300001</v>
      </c>
      <c r="N34" s="76">
        <f>资产资本表!N4</f>
        <v>7826965573.0100002</v>
      </c>
      <c r="O34" s="76">
        <f>资产资本表!O4</f>
        <v>6912957543.6400003</v>
      </c>
      <c r="P34" s="76">
        <f>资产资本表!P4</f>
        <v>7458490444.7200003</v>
      </c>
      <c r="Q34" s="76">
        <f>资产资本表!Q4</f>
        <v>7600933209.9399996</v>
      </c>
      <c r="R34" s="76">
        <f>资产资本表!R4</f>
        <v>9407241846.4899998</v>
      </c>
      <c r="S34" s="76">
        <f>资产资本表!S4</f>
        <v>6450077278.5200005</v>
      </c>
      <c r="T34" s="76">
        <f>资产资本表!T4</f>
        <v>5852475023.3400002</v>
      </c>
      <c r="U34" s="76">
        <f>资产资本表!U4</f>
        <v>3994354964.9899998</v>
      </c>
      <c r="V34" s="76">
        <f>资产资本表!V4</f>
        <v>3638315200.54</v>
      </c>
      <c r="W34" s="76">
        <f>资产资本表!W4</f>
        <v>3796897505.5700002</v>
      </c>
      <c r="X34" s="76">
        <f>资产资本表!X4</f>
        <v>5995975997.2600002</v>
      </c>
      <c r="Y34" s="76">
        <f>资产资本表!Y4</f>
        <v>6268350125.5100002</v>
      </c>
      <c r="Z34" s="76">
        <f>资产资本表!Z4</f>
        <v>3307772855.48</v>
      </c>
      <c r="AA34" s="76">
        <f>资产资本表!AA4</f>
        <v>5635222909.2600002</v>
      </c>
      <c r="AB34" s="76">
        <f>资产资本表!AB4</f>
        <v>3509431834.46</v>
      </c>
      <c r="AC34" s="76">
        <f>资产资本表!AC4</f>
        <v>5101432558</v>
      </c>
      <c r="AD34" s="76">
        <f>资产资本表!AD4</f>
        <v>2202569664.5900002</v>
      </c>
      <c r="AE34" s="76">
        <f>资产资本表!AE4</f>
        <v>2561609220.6199999</v>
      </c>
      <c r="AF34" s="76">
        <f>资产资本表!AF4</f>
        <v>3684581633.8899999</v>
      </c>
      <c r="AG34" s="76">
        <f>资产资本表!AG4</f>
        <v>1170924553.96</v>
      </c>
      <c r="AH34" s="76">
        <f>资产资本表!AH4</f>
        <v>1070562500.4400001</v>
      </c>
      <c r="AI34" s="76">
        <f>资产资本表!AI4</f>
        <v>1051591778.36</v>
      </c>
      <c r="AJ34" s="76">
        <f>资产资本表!AJ4</f>
        <v>906334359.41999996</v>
      </c>
      <c r="AK34" s="76">
        <f>资产资本表!AK4</f>
        <v>2084415547.1900001</v>
      </c>
      <c r="AL34" s="76">
        <f>资产资本表!AL4</f>
        <v>848274581.05999994</v>
      </c>
      <c r="AM34" s="76">
        <f>资产资本表!AM4</f>
        <v>1036069037.8200001</v>
      </c>
      <c r="AN34" s="76">
        <f>资产资本表!AN4</f>
        <v>1440643233.1600001</v>
      </c>
      <c r="AO34" s="76">
        <f>资产资本表!AO4</f>
        <v>1070983977.46</v>
      </c>
      <c r="AP34" s="76">
        <f>资产资本表!AP4</f>
        <v>1175435568.02</v>
      </c>
      <c r="AQ34" s="76">
        <f>资产资本表!AQ4</f>
        <v>1075108412.2</v>
      </c>
      <c r="AR34" s="76">
        <f>资产资本表!AR4</f>
        <v>1214567186.97</v>
      </c>
      <c r="AS34" s="76">
        <f>资产资本表!AS4</f>
        <v>1337967684.52</v>
      </c>
      <c r="AT34" s="76">
        <f>资产资本表!AT4</f>
        <v>1351160086.72</v>
      </c>
      <c r="AU34" s="76">
        <f>资产资本表!AU4</f>
        <v>621479709.75</v>
      </c>
      <c r="AV34" s="76">
        <f>资产资本表!AV4</f>
        <v>815331526.63</v>
      </c>
      <c r="AW34" s="76">
        <f>资产资本表!AW4</f>
        <v>507948275.58999997</v>
      </c>
      <c r="AX34" s="76">
        <f>资产资本表!AX4</f>
        <v>243333126.58000001</v>
      </c>
      <c r="AY34" s="76">
        <f>资产资本表!AY4</f>
        <v>199103156.66</v>
      </c>
      <c r="AZ34" s="76">
        <f>资产资本表!AZ4</f>
        <v>323112919.82999998</v>
      </c>
      <c r="BA34" s="76">
        <f>资产资本表!BA4</f>
        <v>157764420.63</v>
      </c>
      <c r="BB34" s="76">
        <f>资产资本表!BB4</f>
        <v>403785630.05000001</v>
      </c>
      <c r="BC34" s="76">
        <f>资产资本表!BC4</f>
        <v>377079305.70999998</v>
      </c>
      <c r="BD34" s="76">
        <f>资产资本表!BD4</f>
        <v>583574459.69000006</v>
      </c>
      <c r="BE34" s="76">
        <f>资产资本表!BE4</f>
        <v>368943189.26999998</v>
      </c>
      <c r="BF34" s="76">
        <f>资产资本表!BF4</f>
        <v>756029349.84000003</v>
      </c>
      <c r="BG34" s="76">
        <f>资产资本表!BG4</f>
        <v>438964391.97000003</v>
      </c>
      <c r="BH34" s="76">
        <f>资产资本表!BH4</f>
        <v>181648627.75999999</v>
      </c>
      <c r="BI34" s="76">
        <f>资产资本表!BI4</f>
        <v>136039161.43000001</v>
      </c>
      <c r="BJ34" s="76">
        <f>资产资本表!BJ4</f>
        <v>165218401.56999999</v>
      </c>
      <c r="BK34" s="76">
        <f>资产资本表!BK4</f>
        <v>216644559.25999999</v>
      </c>
      <c r="BL34" s="76">
        <f>资产资本表!BL4</f>
        <v>221238157.5</v>
      </c>
      <c r="BM34" s="76">
        <f>资产资本表!BM4</f>
        <v>181052845.81999999</v>
      </c>
      <c r="BN34" s="76">
        <f>资产资本表!BN4</f>
        <v>2000000</v>
      </c>
      <c r="BO34" s="76">
        <f>资产资本表!BO4</f>
        <v>12549252.51</v>
      </c>
      <c r="BP34" s="76">
        <f>资产资本表!BP4</f>
        <v>23167485.93</v>
      </c>
      <c r="BQ34" s="76">
        <f>资产资本表!BQ4</f>
        <v>34561500.75</v>
      </c>
      <c r="BR34" s="76">
        <f>资产资本表!BR4</f>
        <v>44936952.799999997</v>
      </c>
      <c r="BS34" s="76">
        <f>资产资本表!BS4</f>
        <v>158871889.68000001</v>
      </c>
      <c r="BT34" s="76">
        <f>资产资本表!BT4</f>
        <v>138575485.94</v>
      </c>
      <c r="BU34" s="76">
        <f>资产资本表!BU4</f>
        <v>79539733.840000004</v>
      </c>
      <c r="BV34" s="76">
        <f>资产资本表!BV4</f>
        <v>74614056.719999999</v>
      </c>
      <c r="BW34" s="76">
        <f>资产资本表!BW4</f>
        <v>52738666.020000003</v>
      </c>
      <c r="BX34" s="76">
        <f>资产资本表!BX4</f>
        <v>35689075.340000004</v>
      </c>
      <c r="BY34" s="76">
        <f>资产资本表!BY4</f>
        <v>20521683.670000002</v>
      </c>
      <c r="BZ34" s="76">
        <f>资产资本表!BZ4</f>
        <v>0</v>
      </c>
      <c r="CA34" s="76">
        <f>资产资本表!CA4</f>
        <v>65358944.289999999</v>
      </c>
      <c r="CB34" s="76">
        <f>资产资本表!CB4</f>
        <v>0</v>
      </c>
      <c r="CC34" s="76">
        <f>资产资本表!CC4</f>
        <v>19363072.760000002</v>
      </c>
      <c r="CD34" s="76">
        <f>资产资本表!CD4</f>
        <v>75719397.290000007</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12019746.539999999</v>
      </c>
      <c r="F36" s="76">
        <f>资产资本表!F13</f>
        <v>12744231.689999999</v>
      </c>
      <c r="G36" s="76">
        <f>资产资本表!G13</f>
        <v>9823639</v>
      </c>
      <c r="H36" s="76">
        <f>资产资本表!H13</f>
        <v>8150153.9100000001</v>
      </c>
      <c r="I36" s="76">
        <f>资产资本表!I13</f>
        <v>5952343.5499999998</v>
      </c>
      <c r="J36" s="76">
        <f>资产资本表!J13</f>
        <v>8362761.7699999996</v>
      </c>
      <c r="K36" s="76">
        <f>资产资本表!K13</f>
        <v>6211006.9500000002</v>
      </c>
      <c r="L36" s="76">
        <f>资产资本表!L13</f>
        <v>12384019.01</v>
      </c>
      <c r="M36" s="76">
        <f>资产资本表!M13</f>
        <v>12214911.619999999</v>
      </c>
      <c r="N36" s="76">
        <f>资产资本表!N13</f>
        <v>12038366.359999999</v>
      </c>
      <c r="O36" s="76">
        <f>资产资本表!O13</f>
        <v>20245909.920000002</v>
      </c>
      <c r="P36" s="76">
        <f>资产资本表!P13</f>
        <v>17295752.300000001</v>
      </c>
      <c r="Q36" s="76">
        <f>资产资本表!Q13</f>
        <v>21915240.960000001</v>
      </c>
      <c r="R36" s="76">
        <f>资产资本表!R13</f>
        <v>18624947.390000001</v>
      </c>
      <c r="S36" s="76">
        <f>资产资本表!S13</f>
        <v>7479571.2400000002</v>
      </c>
      <c r="T36" s="76">
        <f>资产资本表!T13</f>
        <v>5921194.4100000001</v>
      </c>
      <c r="U36" s="76">
        <f>资产资本表!U13</f>
        <v>5636597.7800000003</v>
      </c>
      <c r="V36" s="76">
        <f>资产资本表!V13</f>
        <v>5824630.9299999997</v>
      </c>
      <c r="W36" s="76">
        <f>资产资本表!W13</f>
        <v>5659076.4000000004</v>
      </c>
      <c r="X36" s="76">
        <f>资产资本表!X13</f>
        <v>8016010.9199999999</v>
      </c>
      <c r="Y36" s="76">
        <f>资产资本表!Y13</f>
        <v>7446604.5700000003</v>
      </c>
      <c r="Z36" s="76">
        <f>资产资本表!Z13</f>
        <v>10931596.720000001</v>
      </c>
      <c r="AA36" s="76">
        <f>资产资本表!AA13</f>
        <v>12546632.529999999</v>
      </c>
      <c r="AB36" s="76">
        <f>资产资本表!AB13</f>
        <v>10549121.050000001</v>
      </c>
      <c r="AC36" s="76">
        <f>资产资本表!AC13</f>
        <v>4125816.82</v>
      </c>
      <c r="AD36" s="76">
        <f>资产资本表!AD13</f>
        <v>3604872.88</v>
      </c>
      <c r="AE36" s="76">
        <f>资产资本表!AE13</f>
        <v>5133381.8499999996</v>
      </c>
      <c r="AF36" s="76">
        <f>资产资本表!AF13</f>
        <v>4382530.5599999996</v>
      </c>
      <c r="AG36" s="76">
        <f>资产资本表!AG13</f>
        <v>2908891.16</v>
      </c>
      <c r="AH36" s="76">
        <f>资产资本表!AH13</f>
        <v>0</v>
      </c>
      <c r="AI36" s="76">
        <f>资产资本表!AI13</f>
        <v>0</v>
      </c>
      <c r="AJ36" s="76">
        <f>资产资本表!AJ13</f>
        <v>215662.11</v>
      </c>
      <c r="AK36" s="76">
        <f>资产资本表!AK13</f>
        <v>2845291.4</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97093375.060000002</v>
      </c>
      <c r="G37" s="76">
        <f>资产资本表!G11</f>
        <v>173368868.74000001</v>
      </c>
      <c r="H37" s="76">
        <f>资产资本表!H11</f>
        <v>0</v>
      </c>
      <c r="I37" s="76">
        <f>资产资本表!I11</f>
        <v>20703087.370000001</v>
      </c>
      <c r="J37" s="76">
        <f>资产资本表!J11</f>
        <v>107804723.23999999</v>
      </c>
      <c r="K37" s="76">
        <f>资产资本表!K11</f>
        <v>177684723.24000001</v>
      </c>
      <c r="L37" s="76">
        <f>资产资本表!L11</f>
        <v>14850000</v>
      </c>
      <c r="M37" s="76">
        <f>资产资本表!M11</f>
        <v>14850000</v>
      </c>
      <c r="N37" s="76">
        <f>资产资本表!N11</f>
        <v>103804472.09</v>
      </c>
      <c r="O37" s="76">
        <f>资产资本表!O11</f>
        <v>254498723.84999999</v>
      </c>
      <c r="P37" s="76">
        <f>资产资本表!P11</f>
        <v>118381270.56</v>
      </c>
      <c r="Q37" s="76">
        <f>资产资本表!Q11</f>
        <v>219159570.56</v>
      </c>
      <c r="R37" s="76">
        <f>资产资本表!R11</f>
        <v>204321769.52000001</v>
      </c>
      <c r="S37" s="76">
        <f>资产资本表!S11</f>
        <v>263422182.37</v>
      </c>
      <c r="T37" s="76">
        <f>资产资本表!T11</f>
        <v>75995354.060000002</v>
      </c>
      <c r="U37" s="76">
        <f>资产资本表!U11</f>
        <v>115995354.06</v>
      </c>
      <c r="V37" s="76">
        <f>资产资本表!V11</f>
        <v>115995354.06</v>
      </c>
      <c r="W37" s="76">
        <f>资产资本表!W11</f>
        <v>115995354.06</v>
      </c>
      <c r="X37" s="76">
        <f>资产资本表!X11</f>
        <v>0</v>
      </c>
      <c r="Y37" s="76">
        <f>资产资本表!Y11</f>
        <v>0</v>
      </c>
      <c r="Z37" s="76">
        <f>资产资本表!Z11</f>
        <v>0</v>
      </c>
      <c r="AA37" s="76">
        <f>资产资本表!AA11</f>
        <v>0</v>
      </c>
      <c r="AB37" s="76">
        <f>资产资本表!AB11</f>
        <v>0</v>
      </c>
      <c r="AC37" s="76">
        <f>资产资本表!AC11</f>
        <v>53008645.899999999</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66173073.759999998</v>
      </c>
      <c r="AS37" s="76">
        <f>资产资本表!AS11</f>
        <v>66173073.759999998</v>
      </c>
      <c r="AT37" s="76">
        <f>资产资本表!AT11</f>
        <v>0</v>
      </c>
      <c r="AU37" s="76">
        <f>资产资本表!AU11</f>
        <v>0</v>
      </c>
      <c r="AV37" s="76">
        <f>资产资本表!AV11</f>
        <v>0</v>
      </c>
      <c r="AW37" s="76">
        <f>资产资本表!AW11</f>
        <v>63000000</v>
      </c>
      <c r="AX37" s="76">
        <f>资产资本表!AX11</f>
        <v>0</v>
      </c>
      <c r="AY37" s="76">
        <f>资产资本表!AY11</f>
        <v>0</v>
      </c>
      <c r="AZ37" s="76">
        <f>资产资本表!AZ11</f>
        <v>23000000</v>
      </c>
      <c r="BA37" s="76">
        <f>资产资本表!BA11</f>
        <v>53304000</v>
      </c>
      <c r="BB37" s="76">
        <f>资产资本表!BB11</f>
        <v>0</v>
      </c>
      <c r="BC37" s="76">
        <f>资产资本表!BC11</f>
        <v>0</v>
      </c>
      <c r="BD37" s="76">
        <f>资产资本表!BD11</f>
        <v>0</v>
      </c>
      <c r="BE37" s="76">
        <f>资产资本表!BE11</f>
        <v>42000000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95254881.299999997</v>
      </c>
      <c r="F38" s="76">
        <f>资产资本表!F8</f>
        <v>94831100.549999997</v>
      </c>
      <c r="G38" s="76">
        <f>资产资本表!G8</f>
        <v>94831100.549999997</v>
      </c>
      <c r="H38" s="76">
        <f>资产资本表!H8</f>
        <v>90000000</v>
      </c>
      <c r="I38" s="76">
        <f>资产资本表!I8</f>
        <v>90000000</v>
      </c>
      <c r="J38" s="76">
        <f>资产资本表!J8</f>
        <v>70000000</v>
      </c>
      <c r="K38" s="76">
        <f>资产资本表!K8</f>
        <v>289000000</v>
      </c>
      <c r="L38" s="76">
        <f>资产资本表!L8</f>
        <v>289000000</v>
      </c>
      <c r="M38" s="76">
        <f>资产资本表!M8</f>
        <v>289000000</v>
      </c>
      <c r="N38" s="76">
        <f>资产资本表!N8</f>
        <v>289000000</v>
      </c>
      <c r="O38" s="76">
        <f>资产资本表!O8</f>
        <v>289000000</v>
      </c>
      <c r="P38" s="76">
        <f>资产资本表!P8</f>
        <v>279000000</v>
      </c>
      <c r="Q38" s="76">
        <f>资产资本表!Q8</f>
        <v>279000000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110060491.13</v>
      </c>
      <c r="F40" s="76">
        <f>资产资本表!F10</f>
        <v>111598943.62</v>
      </c>
      <c r="G40" s="76">
        <f>资产资本表!G10</f>
        <v>112389477.19</v>
      </c>
      <c r="H40" s="76">
        <f>资产资本表!H10</f>
        <v>113260734.36</v>
      </c>
      <c r="I40" s="76">
        <f>资产资本表!I10</f>
        <v>115951582.65000001</v>
      </c>
      <c r="J40" s="76">
        <f>资产资本表!J10</f>
        <v>117566146.28</v>
      </c>
      <c r="K40" s="76">
        <f>资产资本表!K10</f>
        <v>244649370.59</v>
      </c>
      <c r="L40" s="76">
        <f>资产资本表!L10</f>
        <v>247373520.63</v>
      </c>
      <c r="M40" s="76">
        <f>资产资本表!M10</f>
        <v>253248841.05000001</v>
      </c>
      <c r="N40" s="76">
        <f>资产资本表!N10</f>
        <v>252144448.02000001</v>
      </c>
      <c r="O40" s="76">
        <f>资产资本表!O10</f>
        <v>252102794.69</v>
      </c>
      <c r="P40" s="76">
        <f>资产资本表!P10</f>
        <v>246871649.28999999</v>
      </c>
      <c r="Q40" s="76">
        <f>资产资本表!Q10</f>
        <v>250326628.00999999</v>
      </c>
      <c r="R40" s="76">
        <f>资产资本表!R10</f>
        <v>253559842.31</v>
      </c>
      <c r="S40" s="76">
        <f>资产资本表!S10</f>
        <v>257100145.22999999</v>
      </c>
      <c r="T40" s="76">
        <f>资产资本表!T10</f>
        <v>252196628.59999999</v>
      </c>
      <c r="U40" s="76">
        <f>资产资本表!U10</f>
        <v>245610397.18000001</v>
      </c>
      <c r="V40" s="76">
        <f>资产资本表!V10</f>
        <v>227958624.41999999</v>
      </c>
      <c r="W40" s="76">
        <f>资产资本表!W10</f>
        <v>230845630.05000001</v>
      </c>
      <c r="X40" s="76">
        <f>资产资本表!X10</f>
        <v>233634658.71000001</v>
      </c>
      <c r="Y40" s="76">
        <f>资产资本表!Y10</f>
        <v>236546710.16999999</v>
      </c>
      <c r="Z40" s="76">
        <f>资产资本表!Z10</f>
        <v>239280561.13</v>
      </c>
      <c r="AA40" s="76">
        <f>资产资本表!AA10</f>
        <v>242241212.72999999</v>
      </c>
      <c r="AB40" s="76">
        <f>资产资本表!AB10</f>
        <v>163021429.61000001</v>
      </c>
      <c r="AC40" s="76">
        <f>资产资本表!AC10</f>
        <v>164942552.68000001</v>
      </c>
      <c r="AD40" s="76">
        <f>资产资本表!AD10</f>
        <v>36368953.469999999</v>
      </c>
      <c r="AE40" s="76">
        <f>资产资本表!AE10</f>
        <v>37120046.039999999</v>
      </c>
      <c r="AF40" s="76">
        <f>资产资本表!AF10</f>
        <v>37871138.700000003</v>
      </c>
      <c r="AG40" s="76">
        <f>资产资本表!AG10</f>
        <v>38622231.299999997</v>
      </c>
      <c r="AH40" s="76">
        <f>资产资本表!AH10</f>
        <v>38668845.950000003</v>
      </c>
      <c r="AI40" s="76">
        <f>资产资本表!AI10</f>
        <v>49769855.75</v>
      </c>
      <c r="AJ40" s="76">
        <f>资产资本表!AJ10</f>
        <v>50692440.869999997</v>
      </c>
      <c r="AK40" s="76">
        <f>资产资本表!AK10</f>
        <v>51615026.689999998</v>
      </c>
      <c r="AL40" s="76">
        <f>资产资本表!AL10</f>
        <v>38851957.590000004</v>
      </c>
      <c r="AM40" s="76">
        <f>资产资本表!AM10</f>
        <v>40111275.030000001</v>
      </c>
      <c r="AN40" s="76">
        <f>资产资本表!AN10</f>
        <v>41370591.299999997</v>
      </c>
      <c r="AO40" s="76">
        <f>资产资本表!AO10</f>
        <v>42629908.909999996</v>
      </c>
      <c r="AP40" s="76">
        <f>资产资本表!AP10</f>
        <v>43068458.619999997</v>
      </c>
      <c r="AQ40" s="76">
        <f>资产资本表!AQ10</f>
        <v>44272361.5</v>
      </c>
      <c r="AR40" s="76">
        <f>资产资本表!AR10</f>
        <v>45476264.060000002</v>
      </c>
      <c r="AS40" s="76">
        <f>资产资本表!AS10</f>
        <v>46680167.030000001</v>
      </c>
      <c r="AT40" s="76">
        <f>资产资本表!AT10</f>
        <v>44331516.25</v>
      </c>
      <c r="AU40" s="76">
        <f>资产资本表!AU10</f>
        <v>45455483.990000002</v>
      </c>
      <c r="AV40" s="76">
        <f>资产资本表!AV10</f>
        <v>44351286.579999998</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5348010956.9499998</v>
      </c>
      <c r="F43" s="76">
        <f t="shared" ref="F43:BQ43" si="14">SUM(F34:F42)</f>
        <v>7006312922.25</v>
      </c>
      <c r="G43" s="76">
        <f t="shared" si="14"/>
        <v>5329644283.0499992</v>
      </c>
      <c r="H43" s="76">
        <f t="shared" si="14"/>
        <v>3957399268.5799999</v>
      </c>
      <c r="I43" s="76">
        <f t="shared" si="14"/>
        <v>4573239076.5699997</v>
      </c>
      <c r="J43" s="76">
        <f t="shared" si="14"/>
        <v>6743951421.7600002</v>
      </c>
      <c r="K43" s="76">
        <f t="shared" si="14"/>
        <v>5667802705.1700001</v>
      </c>
      <c r="L43" s="76">
        <f t="shared" si="14"/>
        <v>4596732298.46</v>
      </c>
      <c r="M43" s="76">
        <f t="shared" si="14"/>
        <v>6896067105.3000002</v>
      </c>
      <c r="N43" s="76">
        <f t="shared" si="14"/>
        <v>8483952859.4800005</v>
      </c>
      <c r="O43" s="76">
        <f t="shared" si="14"/>
        <v>7728804972.1000004</v>
      </c>
      <c r="P43" s="76">
        <f t="shared" si="14"/>
        <v>8120039116.8700008</v>
      </c>
      <c r="Q43" s="76">
        <f t="shared" si="14"/>
        <v>8371334649.4700003</v>
      </c>
      <c r="R43" s="76">
        <f t="shared" si="14"/>
        <v>9883748405.7099991</v>
      </c>
      <c r="S43" s="76">
        <f t="shared" si="14"/>
        <v>6978079177.3599997</v>
      </c>
      <c r="T43" s="76">
        <f t="shared" si="14"/>
        <v>6186588200.4100008</v>
      </c>
      <c r="U43" s="76">
        <f t="shared" si="14"/>
        <v>4361597314.0100002</v>
      </c>
      <c r="V43" s="76">
        <f t="shared" si="14"/>
        <v>3988093809.9499998</v>
      </c>
      <c r="W43" s="76">
        <f t="shared" si="14"/>
        <v>4149397566.0800004</v>
      </c>
      <c r="X43" s="76">
        <f t="shared" si="14"/>
        <v>6237626666.8900003</v>
      </c>
      <c r="Y43" s="76">
        <f t="shared" si="14"/>
        <v>6512343440.25</v>
      </c>
      <c r="Z43" s="76">
        <f t="shared" si="14"/>
        <v>3557985013.3299999</v>
      </c>
      <c r="AA43" s="76">
        <f t="shared" si="14"/>
        <v>5890010754.5199995</v>
      </c>
      <c r="AB43" s="76">
        <f t="shared" si="14"/>
        <v>3683002385.1200004</v>
      </c>
      <c r="AC43" s="76">
        <f t="shared" si="14"/>
        <v>5323509573.3999996</v>
      </c>
      <c r="AD43" s="76">
        <f t="shared" si="14"/>
        <v>2242543490.9400001</v>
      </c>
      <c r="AE43" s="76">
        <f t="shared" si="14"/>
        <v>2603862648.5099998</v>
      </c>
      <c r="AF43" s="76">
        <f t="shared" si="14"/>
        <v>3726835303.1499996</v>
      </c>
      <c r="AG43" s="76">
        <f t="shared" si="14"/>
        <v>1212455676.4200001</v>
      </c>
      <c r="AH43" s="76">
        <f t="shared" si="14"/>
        <v>1109231346.3900001</v>
      </c>
      <c r="AI43" s="76">
        <f t="shared" si="14"/>
        <v>1101361634.1100001</v>
      </c>
      <c r="AJ43" s="76">
        <f t="shared" si="14"/>
        <v>957242462.39999998</v>
      </c>
      <c r="AK43" s="76">
        <f t="shared" si="14"/>
        <v>2138875865.2800002</v>
      </c>
      <c r="AL43" s="76">
        <f t="shared" si="14"/>
        <v>887126538.64999998</v>
      </c>
      <c r="AM43" s="76">
        <f t="shared" si="14"/>
        <v>1076180312.8500001</v>
      </c>
      <c r="AN43" s="76">
        <f t="shared" si="14"/>
        <v>1482013824.46</v>
      </c>
      <c r="AO43" s="76">
        <f t="shared" si="14"/>
        <v>1113613886.3700001</v>
      </c>
      <c r="AP43" s="76">
        <f t="shared" si="14"/>
        <v>1218504026.6399999</v>
      </c>
      <c r="AQ43" s="76">
        <f t="shared" si="14"/>
        <v>1119380773.7</v>
      </c>
      <c r="AR43" s="76">
        <f t="shared" si="14"/>
        <v>1326216524.79</v>
      </c>
      <c r="AS43" s="76">
        <f t="shared" si="14"/>
        <v>1450820925.3099999</v>
      </c>
      <c r="AT43" s="76">
        <f t="shared" si="14"/>
        <v>1395491602.97</v>
      </c>
      <c r="AU43" s="76">
        <f t="shared" si="14"/>
        <v>666935193.74000001</v>
      </c>
      <c r="AV43" s="76">
        <f t="shared" si="14"/>
        <v>859682813.21000004</v>
      </c>
      <c r="AW43" s="76">
        <f t="shared" si="14"/>
        <v>570948275.58999991</v>
      </c>
      <c r="AX43" s="76">
        <f t="shared" si="14"/>
        <v>243333126.58000001</v>
      </c>
      <c r="AY43" s="76">
        <f t="shared" si="14"/>
        <v>199103156.66</v>
      </c>
      <c r="AZ43" s="76">
        <f t="shared" si="14"/>
        <v>346112919.82999998</v>
      </c>
      <c r="BA43" s="76">
        <f t="shared" si="14"/>
        <v>211068420.63</v>
      </c>
      <c r="BB43" s="76">
        <f t="shared" si="14"/>
        <v>403785630.05000001</v>
      </c>
      <c r="BC43" s="76">
        <f t="shared" si="14"/>
        <v>377079305.70999998</v>
      </c>
      <c r="BD43" s="76">
        <f t="shared" si="14"/>
        <v>583574459.69000006</v>
      </c>
      <c r="BE43" s="76">
        <f t="shared" si="14"/>
        <v>410943189.26999998</v>
      </c>
      <c r="BF43" s="76">
        <f t="shared" si="14"/>
        <v>756029349.84000003</v>
      </c>
      <c r="BG43" s="76">
        <f t="shared" si="14"/>
        <v>438964391.97000003</v>
      </c>
      <c r="BH43" s="76">
        <f t="shared" si="14"/>
        <v>181648627.75999999</v>
      </c>
      <c r="BI43" s="76">
        <f t="shared" si="14"/>
        <v>136039161.43000001</v>
      </c>
      <c r="BJ43" s="76">
        <f t="shared" si="14"/>
        <v>165218401.56999999</v>
      </c>
      <c r="BK43" s="76">
        <f t="shared" si="14"/>
        <v>216644559.25999999</v>
      </c>
      <c r="BL43" s="76">
        <f t="shared" si="14"/>
        <v>221238157.5</v>
      </c>
      <c r="BM43" s="76">
        <f t="shared" si="14"/>
        <v>181052845.81999999</v>
      </c>
      <c r="BN43" s="76">
        <f t="shared" si="14"/>
        <v>2000000</v>
      </c>
      <c r="BO43" s="76">
        <f t="shared" si="14"/>
        <v>12549252.51</v>
      </c>
      <c r="BP43" s="76">
        <f t="shared" si="14"/>
        <v>23167485.93</v>
      </c>
      <c r="BQ43" s="76">
        <f t="shared" si="14"/>
        <v>34561500.75</v>
      </c>
      <c r="BR43" s="76">
        <f t="shared" ref="BR43:CJ43" si="15">SUM(BR34:BR42)</f>
        <v>44936952.799999997</v>
      </c>
      <c r="BS43" s="76">
        <f t="shared" si="15"/>
        <v>158871889.68000001</v>
      </c>
      <c r="BT43" s="76">
        <f t="shared" si="15"/>
        <v>138575485.94</v>
      </c>
      <c r="BU43" s="76">
        <f t="shared" si="15"/>
        <v>79539733.840000004</v>
      </c>
      <c r="BV43" s="76">
        <f t="shared" si="15"/>
        <v>74614056.719999999</v>
      </c>
      <c r="BW43" s="76">
        <f t="shared" si="15"/>
        <v>52738666.020000003</v>
      </c>
      <c r="BX43" s="76">
        <f t="shared" si="15"/>
        <v>35689075.340000004</v>
      </c>
      <c r="BY43" s="76">
        <f t="shared" si="15"/>
        <v>20521683.670000002</v>
      </c>
      <c r="BZ43" s="76">
        <f t="shared" si="15"/>
        <v>0</v>
      </c>
      <c r="CA43" s="76">
        <f t="shared" si="15"/>
        <v>65358944.289999999</v>
      </c>
      <c r="CB43" s="76">
        <f t="shared" si="15"/>
        <v>0</v>
      </c>
      <c r="CC43" s="76">
        <f t="shared" si="15"/>
        <v>19363072.760000002</v>
      </c>
      <c r="CD43" s="76">
        <f t="shared" si="15"/>
        <v>75719397.290000007</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1.5488004598503769E-2</v>
      </c>
      <c r="F44" s="110">
        <f t="shared" ref="F44:BQ44" si="16">F32/F43</f>
        <v>-1.8817815954050617E-3</v>
      </c>
      <c r="G44" s="110">
        <f t="shared" si="16"/>
        <v>-3.0329107088866618E-3</v>
      </c>
      <c r="H44" s="110">
        <f t="shared" si="16"/>
        <v>-2.4823296500200462E-3</v>
      </c>
      <c r="I44" s="110">
        <f t="shared" si="16"/>
        <v>5.6528949214094681E-2</v>
      </c>
      <c r="J44" s="110">
        <f t="shared" si="16"/>
        <v>2.5230827247477616E-2</v>
      </c>
      <c r="K44" s="110">
        <f t="shared" si="16"/>
        <v>5.3267250756563632E-3</v>
      </c>
      <c r="L44" s="110">
        <f t="shared" si="16"/>
        <v>0</v>
      </c>
      <c r="M44" s="110">
        <f t="shared" si="16"/>
        <v>1.179272487014912E-2</v>
      </c>
      <c r="N44" s="110">
        <f t="shared" si="16"/>
        <v>3.0860667840425086E-3</v>
      </c>
      <c r="O44" s="110">
        <f t="shared" si="16"/>
        <v>3.3221608063815993E-3</v>
      </c>
      <c r="P44" s="110">
        <f t="shared" si="16"/>
        <v>0</v>
      </c>
      <c r="Q44" s="110">
        <f t="shared" si="16"/>
        <v>2.7579907599822179E-2</v>
      </c>
      <c r="R44" s="110">
        <f t="shared" si="16"/>
        <v>1.5106188919485893E-2</v>
      </c>
      <c r="S44" s="110">
        <f t="shared" si="16"/>
        <v>2.7575164453937654E-2</v>
      </c>
      <c r="T44" s="110">
        <f t="shared" si="16"/>
        <v>1.9699687870736454E-5</v>
      </c>
      <c r="U44" s="110">
        <f t="shared" si="16"/>
        <v>2.6488379256635247E-2</v>
      </c>
      <c r="V44" s="110">
        <f t="shared" si="16"/>
        <v>5.6158621160568188E-3</v>
      </c>
      <c r="W44" s="110">
        <f t="shared" si="16"/>
        <v>1.6234998179524569E-3</v>
      </c>
      <c r="X44" s="110">
        <f t="shared" si="16"/>
        <v>4.7996035560809755E-5</v>
      </c>
      <c r="Y44" s="110">
        <f t="shared" si="16"/>
        <v>7.4431070163190269E-3</v>
      </c>
      <c r="Z44" s="110">
        <f t="shared" si="16"/>
        <v>5.9097159739285067E-3</v>
      </c>
      <c r="AA44" s="110">
        <f t="shared" si="16"/>
        <v>3.1870692588683407E-3</v>
      </c>
      <c r="AB44" s="110">
        <f t="shared" si="16"/>
        <v>9.2659956233265739E-4</v>
      </c>
      <c r="AC44" s="110">
        <f t="shared" si="16"/>
        <v>3.3856177551538399E-2</v>
      </c>
      <c r="AD44" s="110">
        <f t="shared" si="16"/>
        <v>6.5532351677335624E-3</v>
      </c>
      <c r="AE44" s="110">
        <f t="shared" si="16"/>
        <v>4.4371113455662871E-4</v>
      </c>
      <c r="AF44" s="110">
        <f t="shared" si="16"/>
        <v>0</v>
      </c>
      <c r="AG44" s="110">
        <f t="shared" si="16"/>
        <v>0.1001156242807949</v>
      </c>
      <c r="AH44" s="110">
        <f t="shared" si="16"/>
        <v>9.3196422672726549E-3</v>
      </c>
      <c r="AI44" s="110">
        <f t="shared" si="16"/>
        <v>9.3862352018043091E-3</v>
      </c>
      <c r="AJ44" s="110">
        <f t="shared" si="16"/>
        <v>0</v>
      </c>
      <c r="AK44" s="110">
        <f t="shared" si="16"/>
        <v>6.6641969650417391E-3</v>
      </c>
      <c r="AL44" s="110">
        <f t="shared" si="16"/>
        <v>0</v>
      </c>
      <c r="AM44" s="110">
        <f t="shared" si="16"/>
        <v>0</v>
      </c>
      <c r="AN44" s="110">
        <f t="shared" si="16"/>
        <v>0</v>
      </c>
      <c r="AO44" s="110">
        <f t="shared" si="16"/>
        <v>0</v>
      </c>
      <c r="AP44" s="110">
        <f t="shared" si="16"/>
        <v>0</v>
      </c>
      <c r="AQ44" s="110">
        <f t="shared" si="16"/>
        <v>0</v>
      </c>
      <c r="AR44" s="110">
        <f t="shared" si="16"/>
        <v>0</v>
      </c>
      <c r="AS44" s="110">
        <f t="shared" si="16"/>
        <v>6.2681440392084991E-3</v>
      </c>
      <c r="AT44" s="110">
        <f t="shared" si="16"/>
        <v>0</v>
      </c>
      <c r="AU44" s="110">
        <f t="shared" si="16"/>
        <v>0</v>
      </c>
      <c r="AV44" s="110">
        <f t="shared" si="16"/>
        <v>0</v>
      </c>
      <c r="AW44" s="110">
        <f t="shared" si="16"/>
        <v>0.1465206357811901</v>
      </c>
      <c r="AX44" s="110">
        <f t="shared" si="16"/>
        <v>0.33910956841576106</v>
      </c>
      <c r="AY44" s="110">
        <f t="shared" si="16"/>
        <v>0.24371891621205258</v>
      </c>
      <c r="AZ44" s="110">
        <f t="shared" si="16"/>
        <v>6.4250847719049556E-2</v>
      </c>
      <c r="BA44" s="110">
        <f t="shared" si="16"/>
        <v>0.56719407583254489</v>
      </c>
      <c r="BB44" s="110">
        <f t="shared" si="16"/>
        <v>0.24319575844730859</v>
      </c>
      <c r="BC44" s="110">
        <f t="shared" si="16"/>
        <v>0.13154576219335487</v>
      </c>
      <c r="BD44" s="110">
        <f t="shared" si="16"/>
        <v>4.2125677688336589E-2</v>
      </c>
      <c r="BE44" s="110">
        <f t="shared" si="16"/>
        <v>0.21712450437231121</v>
      </c>
      <c r="BF44" s="110">
        <f t="shared" si="16"/>
        <v>8.4472472165521312E-2</v>
      </c>
      <c r="BG44" s="110">
        <f t="shared" si="16"/>
        <v>8.3614951338104218E-2</v>
      </c>
      <c r="BH44" s="110">
        <f t="shared" si="16"/>
        <v>0.14434857901210038</v>
      </c>
      <c r="BI44" s="110">
        <f t="shared" si="16"/>
        <v>0.45230879320181516</v>
      </c>
      <c r="BJ44" s="110">
        <f t="shared" si="16"/>
        <v>0.3101022200899573</v>
      </c>
      <c r="BK44" s="110">
        <f t="shared" si="16"/>
        <v>0.13944085061564762</v>
      </c>
      <c r="BL44" s="110">
        <f t="shared" si="16"/>
        <v>7.7293608549219253E-2</v>
      </c>
      <c r="BM44" s="110">
        <f t="shared" si="16"/>
        <v>-2.0388658118832528E-2</v>
      </c>
      <c r="BN44" s="110">
        <f t="shared" si="16"/>
        <v>0.197220795</v>
      </c>
      <c r="BO44" s="110">
        <f t="shared" si="16"/>
        <v>0</v>
      </c>
      <c r="BP44" s="110">
        <f t="shared" si="16"/>
        <v>0</v>
      </c>
      <c r="BQ44" s="110">
        <f t="shared" si="16"/>
        <v>7.4256305551199192E-2</v>
      </c>
      <c r="BR44" s="110">
        <f t="shared" ref="BR44:CK44" si="17">BR32/BR43</f>
        <v>1.1623841125248707E-2</v>
      </c>
      <c r="BS44" s="110">
        <f t="shared" si="17"/>
        <v>-6.2814434448413871E-3</v>
      </c>
      <c r="BT44" s="110">
        <f t="shared" si="17"/>
        <v>8.0430240055775915E-3</v>
      </c>
      <c r="BU44" s="110">
        <f t="shared" si="17"/>
        <v>-2.6200156819634638E-3</v>
      </c>
      <c r="BV44" s="110">
        <f t="shared" si="17"/>
        <v>0</v>
      </c>
      <c r="BW44" s="110">
        <f t="shared" si="17"/>
        <v>2.1342066455450263E-3</v>
      </c>
      <c r="BX44" s="110">
        <f t="shared" si="17"/>
        <v>3.3216391287768936E-3</v>
      </c>
      <c r="BY44" s="110">
        <f t="shared" si="17"/>
        <v>-9.1029679622050815E-4</v>
      </c>
      <c r="BZ44" s="110" t="e">
        <f t="shared" si="17"/>
        <v>#DIV/0!</v>
      </c>
      <c r="CA44" s="110">
        <f t="shared" si="17"/>
        <v>0.20414657370263947</v>
      </c>
      <c r="CB44" s="110" t="e">
        <f t="shared" si="17"/>
        <v>#DIV/0!</v>
      </c>
      <c r="CC44" s="110">
        <f t="shared" si="17"/>
        <v>5.2252367219713497E-4</v>
      </c>
      <c r="CD44" s="110">
        <f t="shared" si="17"/>
        <v>1.6127278647049085E-4</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2.7676539473906539E-2</v>
      </c>
      <c r="F46" s="57">
        <f>F43/资产资本表!F70</f>
        <v>3.620862937271524E-2</v>
      </c>
      <c r="G46" s="57">
        <f>G43/资产资本表!G70</f>
        <v>2.7916300623283326E-2</v>
      </c>
      <c r="H46" s="57">
        <f>H43/资产资本表!H70</f>
        <v>2.118414920660153E-2</v>
      </c>
      <c r="I46" s="57">
        <f>I43/资产资本表!I70</f>
        <v>2.492049090999568E-2</v>
      </c>
      <c r="J46" s="57">
        <f>J43/资产资本表!J70</f>
        <v>3.7486627289190118E-2</v>
      </c>
      <c r="K46" s="57">
        <f>K43/资产资本表!K70</f>
        <v>3.1927073200371345E-2</v>
      </c>
      <c r="L46" s="57">
        <f>L43/资产资本表!L70</f>
        <v>2.6731149656585875E-2</v>
      </c>
      <c r="M46" s="57">
        <f>M43/资产资本表!M70</f>
        <v>4.1115068236990487E-2</v>
      </c>
      <c r="N46" s="57">
        <f>N43/资产资本表!N70</f>
        <v>5.1327505479628409E-2</v>
      </c>
      <c r="O46" s="57">
        <f>O43/资产资本表!O70</f>
        <v>4.7616428385400651E-2</v>
      </c>
      <c r="P46" s="57">
        <f>P43/资产资本表!P70</f>
        <v>4.9802894904572952E-2</v>
      </c>
      <c r="Q46" s="57">
        <f>Q43/资产资本表!Q70</f>
        <v>5.2046911688696747E-2</v>
      </c>
      <c r="R46" s="57">
        <f>R43/资产资本表!R70</f>
        <v>6.1680812585678549E-2</v>
      </c>
      <c r="S46" s="57">
        <f>S43/资产资本表!S70</f>
        <v>4.5046031816636231E-2</v>
      </c>
      <c r="T46" s="57">
        <f>T43/资产资本表!T70</f>
        <v>4.0032473187758898E-2</v>
      </c>
      <c r="U46" s="57">
        <f>U43/资产资本表!U70</f>
        <v>2.9514864780587385E-2</v>
      </c>
      <c r="V46" s="57">
        <f>V43/资产资本表!V70</f>
        <v>2.7738779439871668E-2</v>
      </c>
      <c r="W46" s="57">
        <f>W43/资产资本表!W70</f>
        <v>2.9536510788855323E-2</v>
      </c>
      <c r="X46" s="57">
        <f>X43/资产资本表!X70</f>
        <v>4.5271676825421561E-2</v>
      </c>
      <c r="Y46" s="57">
        <f>Y43/资产资本表!Y70</f>
        <v>4.8992119979206425E-2</v>
      </c>
      <c r="Z46" s="57">
        <f>Z43/资产资本表!Z70</f>
        <v>2.7515239234666339E-2</v>
      </c>
      <c r="AA46" s="57">
        <f>AA43/资产资本表!AA70</f>
        <v>4.784167885024234E-2</v>
      </c>
      <c r="AB46" s="57">
        <f>AB43/资产资本表!AB70</f>
        <v>3.1613318433127154E-2</v>
      </c>
      <c r="AC46" s="57">
        <f>AC43/资产资本表!AC70</f>
        <v>4.5433938258207712E-2</v>
      </c>
      <c r="AD46" s="57">
        <f>AD43/资产资本表!AD70</f>
        <v>2.1438550962874003E-2</v>
      </c>
      <c r="AE46" s="57">
        <f>AE43/资产资本表!AE70</f>
        <v>2.537943495038782E-2</v>
      </c>
      <c r="AF46" s="57">
        <f>AF43/资产资本表!AF70</f>
        <v>3.7635831226294235E-2</v>
      </c>
      <c r="AG46" s="57">
        <f>AG43/资产资本表!AG70</f>
        <v>1.2960128940167863E-2</v>
      </c>
      <c r="AH46" s="57">
        <f>AH43/资产资本表!AH70</f>
        <v>1.2349188475810183E-2</v>
      </c>
      <c r="AI46" s="57">
        <f>AI43/资产资本表!AI70</f>
        <v>1.2706435182768828E-2</v>
      </c>
      <c r="AJ46" s="57">
        <f>AJ43/资产资本表!AJ70</f>
        <v>1.1425824625268673E-2</v>
      </c>
      <c r="AK46" s="57">
        <f>AK43/资产资本表!AK70</f>
        <v>2.5929555992455802E-2</v>
      </c>
      <c r="AL46" s="57">
        <f>AL43/资产资本表!AL70</f>
        <v>5.2270778565971419E-2</v>
      </c>
      <c r="AM46" s="57">
        <f>AM43/资产资本表!AM70</f>
        <v>6.4291123491868107E-2</v>
      </c>
      <c r="AN46" s="57">
        <f>AN43/资产资本表!AN70</f>
        <v>8.653298280635742E-2</v>
      </c>
      <c r="AO46" s="57">
        <f>AO43/资产资本表!AO70</f>
        <v>6.5157373564149357E-2</v>
      </c>
      <c r="AP46" s="57">
        <f>AP43/资产资本表!AP70</f>
        <v>7.1837823805837323E-2</v>
      </c>
      <c r="AQ46" s="57">
        <f>AQ43/资产资本表!AQ70</f>
        <v>6.6925894338557071E-2</v>
      </c>
      <c r="AR46" s="57">
        <f>AR43/资产资本表!AR70</f>
        <v>7.9293990746546375E-2</v>
      </c>
      <c r="AS46" s="57">
        <f>AS43/资产资本表!AS70</f>
        <v>8.7382420311519701E-2</v>
      </c>
      <c r="AT46" s="57">
        <f>AT43/资产资本表!AT70</f>
        <v>8.6711420450044624E-2</v>
      </c>
      <c r="AU46" s="57">
        <f>AU43/资产资本表!AU70</f>
        <v>4.4048907386984137E-2</v>
      </c>
      <c r="AV46" s="57">
        <f>AV43/资产资本表!AV70</f>
        <v>5.5557165494134281E-2</v>
      </c>
      <c r="AW46" s="57">
        <f>AW43/资产资本表!AW70</f>
        <v>3.6712708790735543E-2</v>
      </c>
      <c r="AX46" s="57">
        <f>AX43/资产资本表!AX70</f>
        <v>2.3837760643104004E-2</v>
      </c>
      <c r="AY46" s="57">
        <f>AY43/资产资本表!AY70</f>
        <v>2.3008041975269514E-2</v>
      </c>
      <c r="AZ46" s="57">
        <f>AZ43/资产资本表!AZ70</f>
        <v>4.0698803210210896E-2</v>
      </c>
      <c r="BA46" s="57">
        <f>BA43/资产资本表!BA70</f>
        <v>2.4930948124959735E-2</v>
      </c>
      <c r="BB46" s="57">
        <f>BB43/资产资本表!BB70</f>
        <v>4.5926674653743442E-2</v>
      </c>
      <c r="BC46" s="57">
        <f>BC43/资产资本表!BC70</f>
        <v>4.3812338262881473E-2</v>
      </c>
      <c r="BD46" s="57">
        <f>BD43/资产资本表!BD70</f>
        <v>6.6578064047269542E-2</v>
      </c>
      <c r="BE46" s="57">
        <f>BE43/资产资本表!BE70</f>
        <v>4.8588739853309214E-2</v>
      </c>
      <c r="BF46" s="57">
        <f>BF43/资产资本表!BF70</f>
        <v>9.0998804251850765E-2</v>
      </c>
      <c r="BG46" s="57">
        <f>BG43/资产资本表!BG70</f>
        <v>5.1920617674738552E-2</v>
      </c>
      <c r="BH46" s="57">
        <f>BH43/资产资本表!BH70</f>
        <v>3.8662697084726617E-2</v>
      </c>
      <c r="BI46" s="57">
        <f>BI43/资产资本表!BI70</f>
        <v>3.1779843727677844E-2</v>
      </c>
      <c r="BJ46" s="57">
        <f>BJ43/资产资本表!BJ70</f>
        <v>3.9240776591443878E-2</v>
      </c>
      <c r="BK46" s="57">
        <f>BK43/资产资本表!BK70</f>
        <v>5.210747750774674E-2</v>
      </c>
      <c r="BL46" s="57">
        <f>BL43/资产资本表!BL70</f>
        <v>5.0582432552959106E-2</v>
      </c>
      <c r="BM46" s="57">
        <f>BM43/资产资本表!BM70</f>
        <v>4.2110196813024865E-2</v>
      </c>
      <c r="BN46" s="57">
        <f>BN43/资产资本表!BN70</f>
        <v>2.5919396118268311E-3</v>
      </c>
      <c r="BO46" s="57">
        <f>BO43/资产资本表!BO70</f>
        <v>1.580025298509273E-2</v>
      </c>
      <c r="BP46" s="57">
        <f>BP43/资产资本表!BP70</f>
        <v>2.8116085147416061E-2</v>
      </c>
      <c r="BQ46" s="57">
        <f>BQ43/资产资本表!BQ70</f>
        <v>4.0179697506596036E-2</v>
      </c>
      <c r="BR46" s="57">
        <f>BR43/资产资本表!BR70</f>
        <v>4.6798849797221515E-2</v>
      </c>
      <c r="BS46" s="57">
        <f>BS43/资产资本表!BS70</f>
        <v>0.16292074162828324</v>
      </c>
      <c r="BT46" s="57">
        <f>BT43/资产资本表!BT70</f>
        <v>0.13285969522796343</v>
      </c>
      <c r="BU46" s="57">
        <f>BU43/资产资本表!BU70</f>
        <v>7.1052855879397192E-2</v>
      </c>
      <c r="BV46" s="57">
        <f>BV43/资产资本表!BV70</f>
        <v>7.0457029928765666E-2</v>
      </c>
      <c r="BW46" s="57">
        <f>BW43/资产资本表!BW70</f>
        <v>4.6063090758406006E-2</v>
      </c>
      <c r="BX46" s="57">
        <f>BX43/资产资本表!BX70</f>
        <v>5.549073483198344E-2</v>
      </c>
      <c r="BY46" s="57">
        <f>BY43/资产资本表!BY70</f>
        <v>3.8654756801100885E-2</v>
      </c>
      <c r="BZ46" s="57">
        <f>BZ43/资产资本表!BZ70</f>
        <v>0</v>
      </c>
      <c r="CA46" s="57">
        <f>CA43/资产资本表!CA70</f>
        <v>0.1637553412615245</v>
      </c>
      <c r="CB46" s="57">
        <f>CB43/资产资本表!CB70</f>
        <v>0</v>
      </c>
      <c r="CC46" s="57">
        <f>CC43/资产资本表!CC70</f>
        <v>6.9120280121536856E-2</v>
      </c>
      <c r="CD46" s="57">
        <f>CD43/资产资本表!CD70</f>
        <v>0.60376533624641127</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25569</v>
      </c>
      <c r="CG48" s="1"/>
      <c r="CH48" s="1"/>
      <c r="CI48" s="1"/>
      <c r="CJ48" s="1"/>
      <c r="CK48" s="1"/>
    </row>
    <row r="49" spans="1:89" s="76" customFormat="1" x14ac:dyDescent="0.25">
      <c r="A49" s="147" t="s">
        <v>464</v>
      </c>
      <c r="E49" s="76">
        <f>利润表!E4</f>
        <v>31645284235.709999</v>
      </c>
      <c r="F49" s="76">
        <f>利润表!F4</f>
        <v>24205181216.639999</v>
      </c>
      <c r="G49" s="76">
        <f>利润表!G4</f>
        <v>13963103340.84</v>
      </c>
      <c r="H49" s="76">
        <f>利润表!H4</f>
        <v>7630739661.6099997</v>
      </c>
      <c r="I49" s="76">
        <f>利润表!I4</f>
        <v>29270802965.48</v>
      </c>
      <c r="J49" s="76">
        <f>利润表!J4</f>
        <v>22139965801.990002</v>
      </c>
      <c r="K49" s="76">
        <f>利润表!K4</f>
        <v>13138564310.35</v>
      </c>
      <c r="L49" s="76">
        <f>利润表!L4</f>
        <v>6900062535.5799999</v>
      </c>
      <c r="M49" s="76">
        <f>利润表!M4</f>
        <v>31279699772.91</v>
      </c>
      <c r="N49" s="76">
        <f>利润表!N4</f>
        <v>24390224176.689999</v>
      </c>
      <c r="O49" s="76">
        <f>利润表!O4</f>
        <v>14926173663.58</v>
      </c>
      <c r="P49" s="76">
        <f>利润表!P4</f>
        <v>7600001553.6199999</v>
      </c>
      <c r="Q49" s="76">
        <f>利润表!Q4</f>
        <v>32957169192.110001</v>
      </c>
      <c r="R49" s="76">
        <f>利润表!R4</f>
        <v>25532032094.880001</v>
      </c>
      <c r="S49" s="76">
        <f>利润表!S4</f>
        <v>14621681241.700001</v>
      </c>
      <c r="T49" s="76">
        <f>利润表!T4</f>
        <v>7403217065.1400003</v>
      </c>
      <c r="U49" s="76">
        <f>利润表!U4</f>
        <v>28338981085.049999</v>
      </c>
      <c r="V49" s="76">
        <f>利润表!V4</f>
        <v>20434757606.32</v>
      </c>
      <c r="W49" s="76">
        <f>利润表!W4</f>
        <v>12168841172.08</v>
      </c>
      <c r="X49" s="76">
        <f>利润表!X4</f>
        <v>5971110428.3800001</v>
      </c>
      <c r="Y49" s="76">
        <f>利润表!Y4</f>
        <v>23867007746.380001</v>
      </c>
      <c r="Z49" s="76">
        <f>利润表!Z4</f>
        <v>17863621703.299999</v>
      </c>
      <c r="AA49" s="76">
        <f>利润表!AA4</f>
        <v>10926725049.4</v>
      </c>
      <c r="AB49" s="76">
        <f>利润表!AB4</f>
        <v>5253274351.6700001</v>
      </c>
      <c r="AC49" s="76">
        <f>利润表!AC4</f>
        <v>21703539229.470001</v>
      </c>
      <c r="AD49" s="76">
        <f>利润表!AD4</f>
        <v>15921395685.65</v>
      </c>
      <c r="AE49" s="76">
        <f>利润表!AE4</f>
        <v>9608183225.0499992</v>
      </c>
      <c r="AF49" s="76">
        <f>利润表!AF4</f>
        <v>4295912033.9700003</v>
      </c>
      <c r="AG49" s="76">
        <f>利润表!AG4</f>
        <v>15947612024.690001</v>
      </c>
      <c r="AH49" s="76">
        <f>利润表!AH4</f>
        <v>11586634877.459999</v>
      </c>
      <c r="AI49" s="76">
        <f>利润表!AI4</f>
        <v>6940940134.21</v>
      </c>
      <c r="AJ49" s="76">
        <f>利润表!AJ4</f>
        <v>3575394783.4299998</v>
      </c>
      <c r="AK49" s="76">
        <f>利润表!AK4</f>
        <v>11917120466.15</v>
      </c>
      <c r="AL49" s="76">
        <f>利润表!AL4</f>
        <v>4660474238.6400003</v>
      </c>
      <c r="AM49" s="76">
        <f>利润表!AM4</f>
        <v>3199327190.8000002</v>
      </c>
      <c r="AN49" s="76">
        <f>利润表!AN4</f>
        <v>1549689921.1800001</v>
      </c>
      <c r="AO49" s="76">
        <f>利润表!AO4</f>
        <v>6580129765.1800003</v>
      </c>
      <c r="AP49" s="76">
        <f>利润表!AP4</f>
        <v>5120647626.3500004</v>
      </c>
      <c r="AQ49" s="76">
        <f>利润表!AQ4</f>
        <v>3442075295.3600001</v>
      </c>
      <c r="AR49" s="76">
        <f>利润表!AR4</f>
        <v>1788555071.6700001</v>
      </c>
      <c r="AS49" s="76">
        <f>利润表!AS4</f>
        <v>6648986102.8400002</v>
      </c>
      <c r="AT49" s="76">
        <f>利润表!AT4</f>
        <v>4881953554.7200003</v>
      </c>
      <c r="AU49" s="76">
        <f>利润表!AU4</f>
        <v>3425705083.5500002</v>
      </c>
      <c r="AV49" s="76">
        <f>利润表!AV4</f>
        <v>1705403569.95</v>
      </c>
      <c r="AW49" s="76">
        <f>利润表!AW4</f>
        <v>4217034152.5999999</v>
      </c>
      <c r="AX49" s="76">
        <f>利润表!AX4</f>
        <v>2433306901.4000001</v>
      </c>
      <c r="AY49" s="76">
        <f>利润表!AY4</f>
        <v>1565474217.5799999</v>
      </c>
      <c r="AZ49" s="76">
        <f>利润表!AZ4</f>
        <v>746157118.29999995</v>
      </c>
      <c r="BA49" s="76">
        <f>利润表!BA4</f>
        <v>3056764453</v>
      </c>
      <c r="BB49" s="76">
        <f>利润表!BB4</f>
        <v>2308914489.1100001</v>
      </c>
      <c r="BC49" s="76">
        <f>利润表!BC4</f>
        <v>1517214113.4100001</v>
      </c>
      <c r="BD49" s="76">
        <f>利润表!BD4</f>
        <v>787189588.39999998</v>
      </c>
      <c r="BE49" s="76">
        <f>利润表!BE4</f>
        <v>2377850873.52</v>
      </c>
      <c r="BF49" s="76">
        <f>利润表!BF4</f>
        <v>1675492643</v>
      </c>
      <c r="BG49" s="76">
        <f>利润表!BG4</f>
        <v>1054599281.13</v>
      </c>
      <c r="BH49" s="76">
        <f>利润表!BH4</f>
        <v>329092815.69</v>
      </c>
      <c r="BI49" s="76">
        <f>利润表!BI4</f>
        <v>1376597157.76</v>
      </c>
      <c r="BJ49" s="76">
        <f>利润表!BJ4</f>
        <v>1014596056.9299999</v>
      </c>
      <c r="BK49" s="76">
        <f>利润表!BK4</f>
        <v>672223749.58000004</v>
      </c>
      <c r="BL49" s="76">
        <f>利润表!BL4</f>
        <v>392896529.39999998</v>
      </c>
      <c r="BM49" s="76">
        <f>利润表!BM4</f>
        <v>2536380521.7600002</v>
      </c>
      <c r="BN49" s="76">
        <f>利润表!BN4</f>
        <v>2203933549.6900001</v>
      </c>
      <c r="BO49" s="76">
        <f>利润表!BO4</f>
        <v>1367752390.02</v>
      </c>
      <c r="BP49" s="76">
        <f>利润表!BP4</f>
        <v>611508372.74000001</v>
      </c>
      <c r="BQ49" s="76">
        <f>利润表!BQ4</f>
        <v>1906409322.8</v>
      </c>
      <c r="BR49" s="76">
        <f>利润表!BR4</f>
        <v>646122321.89999998</v>
      </c>
      <c r="BS49" s="76">
        <f>利润表!BS4</f>
        <v>1859074053.9000001</v>
      </c>
      <c r="BT49" s="76">
        <f>利润表!BT4</f>
        <v>549623332.33000004</v>
      </c>
      <c r="BU49" s="76">
        <f>利润表!BU4</f>
        <v>1314714236.1099999</v>
      </c>
      <c r="BV49" s="76">
        <f>利润表!BV4</f>
        <v>566333099.61000001</v>
      </c>
      <c r="BW49" s="76">
        <f>利润表!BW4</f>
        <v>1218895749.3699999</v>
      </c>
      <c r="BX49" s="76">
        <f>利润表!BX4</f>
        <v>679984331.27999997</v>
      </c>
      <c r="BY49" s="76">
        <f>利润表!BY4</f>
        <v>1365735697.6600001</v>
      </c>
      <c r="BZ49" s="76">
        <f>利润表!BZ4</f>
        <v>636022622.80999994</v>
      </c>
      <c r="CA49" s="76">
        <f>利润表!CA4</f>
        <v>613666529.59000003</v>
      </c>
      <c r="CB49" s="76">
        <f>利润表!CB4</f>
        <v>146955056.78</v>
      </c>
      <c r="CC49" s="76">
        <f>利润表!CC4</f>
        <v>213156267.63999999</v>
      </c>
      <c r="CD49" s="76">
        <f>利润表!CD4</f>
        <v>111235147.11</v>
      </c>
      <c r="CE49" s="76">
        <f>利润表!CE4</f>
        <v>127416182.34</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-7350608287.6000013</v>
      </c>
      <c r="F50" s="76">
        <f>资产资本表!F50</f>
        <v>-7622299925.8800011</v>
      </c>
      <c r="G50" s="76">
        <f>资产资本表!G50</f>
        <v>-7206989461.3000002</v>
      </c>
      <c r="H50" s="76">
        <f>资产资本表!H50</f>
        <v>-9817390610.2299995</v>
      </c>
      <c r="I50" s="76">
        <f>资产资本表!I50</f>
        <v>-12975969235.9</v>
      </c>
      <c r="J50" s="76">
        <f>资产资本表!J50</f>
        <v>-11704221438.300003</v>
      </c>
      <c r="K50" s="76">
        <f>资产资本表!K50</f>
        <v>-8599415175.4799995</v>
      </c>
      <c r="L50" s="76">
        <f>资产资本表!L50</f>
        <v>-8543453882.4799986</v>
      </c>
      <c r="M50" s="76">
        <f>资产资本表!M50</f>
        <v>-10572246791.23</v>
      </c>
      <c r="N50" s="76">
        <f>资产资本表!N50</f>
        <v>-4365432050.9300003</v>
      </c>
      <c r="O50" s="76">
        <f>资产资本表!O50</f>
        <v>-4324855160.8999996</v>
      </c>
      <c r="P50" s="76">
        <f>资产资本表!P50</f>
        <v>-4681404389.3700008</v>
      </c>
      <c r="Q50" s="76">
        <f>资产资本表!Q50</f>
        <v>-6072875793.7800007</v>
      </c>
      <c r="R50" s="76">
        <f>资产资本表!R50</f>
        <v>-5067284967.7799988</v>
      </c>
      <c r="S50" s="76">
        <f>资产资本表!S50</f>
        <v>-2113121708.6899996</v>
      </c>
      <c r="T50" s="76">
        <f>资产资本表!T50</f>
        <v>-1716864423.9499998</v>
      </c>
      <c r="U50" s="76">
        <f>资产资本表!U50</f>
        <v>-5583650681.5700016</v>
      </c>
      <c r="V50" s="76">
        <f>资产资本表!V50</f>
        <v>-4420437517.1800003</v>
      </c>
      <c r="W50" s="76">
        <f>资产资本表!W50</f>
        <v>-3809164940.1299992</v>
      </c>
      <c r="X50" s="76">
        <f>资产资本表!X50</f>
        <v>-5592394243.3700008</v>
      </c>
      <c r="Y50" s="76">
        <f>资产资本表!Y50</f>
        <v>-5292099683.9599991</v>
      </c>
      <c r="Z50" s="76">
        <f>资产资本表!Z50</f>
        <v>2647387644.2600002</v>
      </c>
      <c r="AA50" s="76">
        <f>资产资本表!AA50</f>
        <v>2157009767.8299999</v>
      </c>
      <c r="AB50" s="76">
        <f>资产资本表!AB50</f>
        <v>1717791124.4399996</v>
      </c>
      <c r="AC50" s="76">
        <f>资产资本表!AC50</f>
        <v>1223025788.1500015</v>
      </c>
      <c r="AD50" s="76">
        <f>资产资本表!AD50</f>
        <v>-1023011951.4899988</v>
      </c>
      <c r="AE50" s="76">
        <f>资产资本表!AE50</f>
        <v>212802787.93000221</v>
      </c>
      <c r="AF50" s="76">
        <f>资产资本表!AF50</f>
        <v>-576440599.26999855</v>
      </c>
      <c r="AG50" s="76">
        <f>资产资本表!AG50</f>
        <v>-667052618.27999878</v>
      </c>
      <c r="AH50" s="76">
        <f>资产资本表!AH50</f>
        <v>1700451552.1399994</v>
      </c>
      <c r="AI50" s="76">
        <f>资产资本表!AI50</f>
        <v>1228247951.9900007</v>
      </c>
      <c r="AJ50" s="76">
        <f>资产资本表!AJ50</f>
        <v>216620839.01000118</v>
      </c>
      <c r="AK50" s="76">
        <f>资产资本表!AK50</f>
        <v>-26148707.739999771</v>
      </c>
      <c r="AL50" s="76">
        <f>资产资本表!AL50</f>
        <v>964455502.84000015</v>
      </c>
      <c r="AM50" s="76">
        <f>资产资本表!AM50</f>
        <v>1016505332.4200001</v>
      </c>
      <c r="AN50" s="76">
        <f>资产资本表!AN50</f>
        <v>579076544.16999984</v>
      </c>
      <c r="AO50" s="76">
        <f>资产资本表!AO50</f>
        <v>868292438.03999972</v>
      </c>
      <c r="AP50" s="76">
        <f>资产资本表!AP50</f>
        <v>397038540.71000004</v>
      </c>
      <c r="AQ50" s="76">
        <f>资产资本表!AQ50</f>
        <v>329884060.8900001</v>
      </c>
      <c r="AR50" s="76">
        <f>资产资本表!AR50</f>
        <v>295809745.45000029</v>
      </c>
      <c r="AS50" s="76">
        <f>资产资本表!AS50</f>
        <v>228210222.43999982</v>
      </c>
      <c r="AT50" s="76">
        <f>资产资本表!AT50</f>
        <v>45331989.829999924</v>
      </c>
      <c r="AU50" s="76">
        <f>资产资本表!AU50</f>
        <v>-190489085.8599999</v>
      </c>
      <c r="AV50" s="76">
        <f>资产资本表!AV50</f>
        <v>749234.75999951363</v>
      </c>
      <c r="AW50" s="76">
        <f>资产资本表!AW50</f>
        <v>-327257941.13999987</v>
      </c>
      <c r="AX50" s="76">
        <f>资产资本表!AX50</f>
        <v>1295265873.6500001</v>
      </c>
      <c r="AY50" s="76">
        <f>资产资本表!AY50</f>
        <v>-7328946.1000000238</v>
      </c>
      <c r="AZ50" s="76">
        <f>资产资本表!AZ50</f>
        <v>-80855686.899999857</v>
      </c>
      <c r="BA50" s="76">
        <f>资产资本表!BA50</f>
        <v>40187511.339999974</v>
      </c>
      <c r="BB50" s="76">
        <f>资产资本表!BB50</f>
        <v>184208415</v>
      </c>
      <c r="BC50" s="76">
        <f>资产资本表!BC50</f>
        <v>2469521.0400000811</v>
      </c>
      <c r="BD50" s="76">
        <f>资产资本表!BD50</f>
        <v>247118690.49000013</v>
      </c>
      <c r="BE50" s="76">
        <f>资产资本表!BE50</f>
        <v>15625145.550000072</v>
      </c>
      <c r="BF50" s="76">
        <f>资产资本表!BF50</f>
        <v>24519624.209999919</v>
      </c>
      <c r="BG50" s="76">
        <f>资产资本表!BG50</f>
        <v>290317086.43000007</v>
      </c>
      <c r="BH50" s="76">
        <f>资产资本表!BH50</f>
        <v>509191405.16999984</v>
      </c>
      <c r="BI50" s="76">
        <f>资产资本表!BI50</f>
        <v>189686482.13000005</v>
      </c>
      <c r="BJ50" s="76">
        <f>资产资本表!BJ50</f>
        <v>162203880.14999998</v>
      </c>
      <c r="BK50" s="76">
        <f>资产资本表!BK50</f>
        <v>103233129.38999999</v>
      </c>
      <c r="BL50" s="76">
        <f>资产资本表!BL50</f>
        <v>262669822.94999993</v>
      </c>
      <c r="BM50" s="76">
        <f>资产资本表!BM50</f>
        <v>224382985.16999996</v>
      </c>
      <c r="BN50" s="76">
        <f>资产资本表!BN50</f>
        <v>157688846.81</v>
      </c>
      <c r="BO50" s="76">
        <f>资产资本表!BO50</f>
        <v>148295204.33999997</v>
      </c>
      <c r="BP50" s="76">
        <f>资产资本表!BP50</f>
        <v>150729390.89000002</v>
      </c>
      <c r="BQ50" s="76">
        <f>资产资本表!BQ50</f>
        <v>157158405.52000001</v>
      </c>
      <c r="BR50" s="76">
        <f>资产资本表!BR50</f>
        <v>185863355.11999995</v>
      </c>
      <c r="BS50" s="76">
        <f>资产资本表!BS50</f>
        <v>122583154.52000001</v>
      </c>
      <c r="BT50" s="76">
        <f>资产资本表!BT50</f>
        <v>46760230.560000017</v>
      </c>
      <c r="BU50" s="76">
        <f>资产资本表!BU50</f>
        <v>129587275.74999999</v>
      </c>
      <c r="BV50" s="76">
        <f>资产资本表!BV50</f>
        <v>130709801.04999998</v>
      </c>
      <c r="BW50" s="76">
        <f>资产资本表!BW50</f>
        <v>181666380.10000002</v>
      </c>
      <c r="BX50" s="76">
        <f>资产资本表!BX50</f>
        <v>105197312.23000002</v>
      </c>
      <c r="BY50" s="76">
        <f>资产资本表!BY50</f>
        <v>14204638.389999993</v>
      </c>
      <c r="BZ50" s="76">
        <f>资产资本表!BZ50</f>
        <v>0</v>
      </c>
      <c r="CA50" s="76">
        <f>资产资本表!CA50</f>
        <v>-63844851.00999999</v>
      </c>
      <c r="CB50" s="76">
        <f>资产资本表!CB50</f>
        <v>0</v>
      </c>
      <c r="CC50" s="76">
        <f>资产资本表!CC50</f>
        <v>-27033685.119999997</v>
      </c>
      <c r="CD50" s="76">
        <f>资产资本表!CD50</f>
        <v>-20922199.010000002</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-4.3051245553505471</v>
      </c>
      <c r="F51" s="44">
        <f t="shared" ref="F51:BQ51" si="18">F49/F50</f>
        <v>-3.1755744922154174</v>
      </c>
      <c r="G51" s="44">
        <f t="shared" si="18"/>
        <v>-1.937439122926278</v>
      </c>
      <c r="H51" s="44">
        <f t="shared" si="18"/>
        <v>-0.77726760241754589</v>
      </c>
      <c r="I51" s="44">
        <f t="shared" si="18"/>
        <v>-2.2557700649056609</v>
      </c>
      <c r="J51" s="44">
        <f t="shared" si="18"/>
        <v>-1.8916222594303338</v>
      </c>
      <c r="K51" s="44">
        <f t="shared" si="18"/>
        <v>-1.5278439338308416</v>
      </c>
      <c r="L51" s="44">
        <f t="shared" si="18"/>
        <v>-0.80764321204213563</v>
      </c>
      <c r="M51" s="44">
        <f t="shared" si="18"/>
        <v>-2.9586615211118099</v>
      </c>
      <c r="N51" s="44">
        <f t="shared" si="18"/>
        <v>-5.5871272057696943</v>
      </c>
      <c r="O51" s="44">
        <f t="shared" si="18"/>
        <v>-3.4512539977116536</v>
      </c>
      <c r="P51" s="44">
        <f t="shared" si="18"/>
        <v>-1.6234447873969651</v>
      </c>
      <c r="Q51" s="44">
        <f t="shared" si="18"/>
        <v>-5.4269460320373426</v>
      </c>
      <c r="R51" s="44">
        <f t="shared" si="18"/>
        <v>-5.0386019845388139</v>
      </c>
      <c r="S51" s="44">
        <f t="shared" si="18"/>
        <v>-6.9194695135494628</v>
      </c>
      <c r="T51" s="44">
        <f t="shared" si="18"/>
        <v>-4.3120568880490726</v>
      </c>
      <c r="U51" s="44">
        <f t="shared" si="18"/>
        <v>-5.0753499280656458</v>
      </c>
      <c r="V51" s="44">
        <f t="shared" si="18"/>
        <v>-4.6227907366409893</v>
      </c>
      <c r="W51" s="44">
        <f t="shared" si="18"/>
        <v>-3.1946217513134787</v>
      </c>
      <c r="X51" s="44">
        <f t="shared" si="18"/>
        <v>-1.0677198653258364</v>
      </c>
      <c r="Y51" s="44">
        <f t="shared" si="18"/>
        <v>-4.5099316285971156</v>
      </c>
      <c r="Z51" s="44">
        <f t="shared" si="18"/>
        <v>6.7476411102965814</v>
      </c>
      <c r="AA51" s="44">
        <f t="shared" si="18"/>
        <v>5.0656817657309592</v>
      </c>
      <c r="AB51" s="44">
        <f t="shared" si="18"/>
        <v>3.0581566506711164</v>
      </c>
      <c r="AC51" s="44">
        <f t="shared" si="18"/>
        <v>17.745773997373888</v>
      </c>
      <c r="AD51" s="44">
        <f t="shared" si="18"/>
        <v>-15.563254820689796</v>
      </c>
      <c r="AE51" s="44">
        <f t="shared" si="18"/>
        <v>45.150645433322261</v>
      </c>
      <c r="AF51" s="44">
        <f t="shared" si="18"/>
        <v>-7.4524799943139355</v>
      </c>
      <c r="AG51" s="44">
        <f t="shared" si="18"/>
        <v>-23.90757728499899</v>
      </c>
      <c r="AH51" s="44">
        <f t="shared" si="18"/>
        <v>6.8138576855531978</v>
      </c>
      <c r="AI51" s="44">
        <f t="shared" si="18"/>
        <v>5.6510903380415378</v>
      </c>
      <c r="AJ51" s="44">
        <f t="shared" si="18"/>
        <v>16.505313153481634</v>
      </c>
      <c r="AK51" s="44">
        <f t="shared" si="18"/>
        <v>-455.74414554797818</v>
      </c>
      <c r="AL51" s="44">
        <f t="shared" si="18"/>
        <v>4.8322335503467571</v>
      </c>
      <c r="AM51" s="44">
        <f t="shared" si="18"/>
        <v>3.1473786597689002</v>
      </c>
      <c r="AN51" s="44">
        <f t="shared" si="18"/>
        <v>2.6761400315414203</v>
      </c>
      <c r="AO51" s="44">
        <f t="shared" si="18"/>
        <v>7.578241473613839</v>
      </c>
      <c r="AP51" s="44">
        <f t="shared" si="18"/>
        <v>12.897104692136576</v>
      </c>
      <c r="AQ51" s="44">
        <f t="shared" si="18"/>
        <v>10.434197051150527</v>
      </c>
      <c r="AR51" s="44">
        <f t="shared" si="18"/>
        <v>6.0463020545491579</v>
      </c>
      <c r="AS51" s="44">
        <f t="shared" si="18"/>
        <v>29.135356128002229</v>
      </c>
      <c r="AT51" s="44">
        <f t="shared" si="18"/>
        <v>107.69334355336875</v>
      </c>
      <c r="AU51" s="44">
        <f t="shared" si="18"/>
        <v>-17.983734176076233</v>
      </c>
      <c r="AV51" s="44">
        <f t="shared" si="18"/>
        <v>2276.1938727337038</v>
      </c>
      <c r="AW51" s="44">
        <f t="shared" si="18"/>
        <v>-12.885964318879482</v>
      </c>
      <c r="AX51" s="44">
        <f t="shared" si="18"/>
        <v>1.8786157737199176</v>
      </c>
      <c r="AY51" s="44">
        <f t="shared" si="18"/>
        <v>-213.60154600945896</v>
      </c>
      <c r="AZ51" s="44">
        <f t="shared" si="18"/>
        <v>-9.22825773804664</v>
      </c>
      <c r="BA51" s="44">
        <f t="shared" si="18"/>
        <v>76.062546574201519</v>
      </c>
      <c r="BB51" s="44">
        <f t="shared" si="18"/>
        <v>12.534250887018381</v>
      </c>
      <c r="BC51" s="44">
        <f t="shared" si="18"/>
        <v>614.37586027205919</v>
      </c>
      <c r="BD51" s="44">
        <f t="shared" si="18"/>
        <v>3.1854716728998458</v>
      </c>
      <c r="BE51" s="44">
        <f t="shared" si="18"/>
        <v>152.18103830847124</v>
      </c>
      <c r="BF51" s="44">
        <f t="shared" si="18"/>
        <v>68.332721115549489</v>
      </c>
      <c r="BG51" s="44">
        <f t="shared" si="18"/>
        <v>3.6325773797825716</v>
      </c>
      <c r="BH51" s="44">
        <f t="shared" si="18"/>
        <v>0.64630473403243771</v>
      </c>
      <c r="BI51" s="44">
        <f t="shared" si="18"/>
        <v>7.257223299742364</v>
      </c>
      <c r="BJ51" s="44">
        <f t="shared" si="18"/>
        <v>6.2550665002078869</v>
      </c>
      <c r="BK51" s="44">
        <f t="shared" si="18"/>
        <v>6.51170562737118</v>
      </c>
      <c r="BL51" s="44">
        <f t="shared" si="18"/>
        <v>1.4957809960331421</v>
      </c>
      <c r="BM51" s="44">
        <f t="shared" si="18"/>
        <v>11.303800597172529</v>
      </c>
      <c r="BN51" s="44">
        <f t="shared" si="18"/>
        <v>13.976470716064844</v>
      </c>
      <c r="BO51" s="44">
        <f t="shared" si="18"/>
        <v>9.2231734404851107</v>
      </c>
      <c r="BP51" s="44">
        <f t="shared" si="18"/>
        <v>4.0569949173765947</v>
      </c>
      <c r="BQ51" s="44">
        <f t="shared" si="18"/>
        <v>12.130495448157177</v>
      </c>
      <c r="BR51" s="44">
        <f t="shared" ref="BR51:CJ51" si="19">BR49/BR50</f>
        <v>3.47632980951431</v>
      </c>
      <c r="BS51" s="44">
        <f t="shared" si="19"/>
        <v>15.165819978932616</v>
      </c>
      <c r="BT51" s="44">
        <f t="shared" si="19"/>
        <v>11.754076610566649</v>
      </c>
      <c r="BU51" s="44">
        <f t="shared" si="19"/>
        <v>10.145396054519651</v>
      </c>
      <c r="BV51" s="44">
        <f t="shared" si="19"/>
        <v>4.3327515998082085</v>
      </c>
      <c r="BW51" s="44">
        <f t="shared" si="19"/>
        <v>6.7095284702598628</v>
      </c>
      <c r="BX51" s="44">
        <f t="shared" si="19"/>
        <v>6.4638945317662122</v>
      </c>
      <c r="BY51" s="44">
        <f t="shared" si="19"/>
        <v>96.147164057444243</v>
      </c>
      <c r="BZ51" s="44" t="e">
        <f t="shared" si="19"/>
        <v>#DIV/0!</v>
      </c>
      <c r="CA51" s="44">
        <f t="shared" si="19"/>
        <v>-9.6118405773064097</v>
      </c>
      <c r="CB51" s="44" t="e">
        <f t="shared" si="19"/>
        <v>#DIV/0!</v>
      </c>
      <c r="CC51" s="44">
        <f t="shared" si="19"/>
        <v>-7.8848394768903782</v>
      </c>
      <c r="CD51" s="44">
        <f t="shared" si="19"/>
        <v>-5.3166087874813686</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186505630633.41</v>
      </c>
      <c r="F52" s="76">
        <f>资产资本表!F68</f>
        <v>185434656174.17996</v>
      </c>
      <c r="G52" s="76">
        <f>资产资本表!G68</f>
        <v>184230432670.02994</v>
      </c>
      <c r="H52" s="76">
        <f>资产资本表!H68</f>
        <v>183749591512.46002</v>
      </c>
      <c r="I52" s="76">
        <f>资产资本表!I68</f>
        <v>183069107000.66</v>
      </c>
      <c r="J52" s="76">
        <f>资产资本表!J68</f>
        <v>177550722451.17001</v>
      </c>
      <c r="K52" s="76">
        <f>资产资本表!K68</f>
        <v>174186248509.43002</v>
      </c>
      <c r="L52" s="76">
        <f>资产资本表!L68</f>
        <v>170924029935.94998</v>
      </c>
      <c r="M52" s="76">
        <f>资产资本表!M68</f>
        <v>168763183252.89996</v>
      </c>
      <c r="N52" s="76">
        <f>资产资本表!N68</f>
        <v>158664905084.10999</v>
      </c>
      <c r="O52" s="76">
        <f>资产资本表!O68</f>
        <v>156379163091.76999</v>
      </c>
      <c r="P52" s="76">
        <f>资产资本表!P68</f>
        <v>156844398748.31998</v>
      </c>
      <c r="Q52" s="76">
        <f>资产资本表!Q68</f>
        <v>156040157842.95996</v>
      </c>
      <c r="R52" s="76">
        <f>资产资本表!R68</f>
        <v>152786257777.62</v>
      </c>
      <c r="S52" s="76">
        <f>资产资本表!S68</f>
        <v>147236996492.84998</v>
      </c>
      <c r="T52" s="76">
        <f>资产资本表!T68</f>
        <v>147157344503.47998</v>
      </c>
      <c r="U52" s="76">
        <f>资产资本表!U68</f>
        <v>146190599513.61996</v>
      </c>
      <c r="V52" s="76">
        <f>资产资本表!V68</f>
        <v>141518908463.43002</v>
      </c>
      <c r="W52" s="76">
        <f>资产资本表!W68</f>
        <v>137705855740.08002</v>
      </c>
      <c r="X52" s="76">
        <f>资产资本表!X68</f>
        <v>134594887138.06999</v>
      </c>
      <c r="Y52" s="76">
        <f>资产资本表!Y68</f>
        <v>130132959731.95999</v>
      </c>
      <c r="Z52" s="76">
        <f>资产资本表!Z68</f>
        <v>121625887591.75</v>
      </c>
      <c r="AA52" s="76">
        <f>资产资本表!AA68</f>
        <v>113627236889.09001</v>
      </c>
      <c r="AB52" s="76">
        <f>资产资本表!AB68</f>
        <v>109633289069</v>
      </c>
      <c r="AC52" s="76">
        <f>资产资本表!AC68</f>
        <v>109187427413.36</v>
      </c>
      <c r="AD52" s="76">
        <f>资产资本表!AD68</f>
        <v>101873036466.91998</v>
      </c>
      <c r="AE52" s="76">
        <f>资产资本表!AE68</f>
        <v>98278061582.330002</v>
      </c>
      <c r="AF52" s="76">
        <f>资产资本表!AF68</f>
        <v>94374207531.380005</v>
      </c>
      <c r="AG52" s="76">
        <f>资产资本表!AG68</f>
        <v>91531015797.969971</v>
      </c>
      <c r="AH52" s="76">
        <f>资产资本表!AH68</f>
        <v>85475400747.11998</v>
      </c>
      <c r="AI52" s="76">
        <f>资产资本表!AI68</f>
        <v>82796096196.809982</v>
      </c>
      <c r="AJ52" s="76">
        <f>资产资本表!AJ68</f>
        <v>81017352771.019989</v>
      </c>
      <c r="AK52" s="76">
        <f>资产资本表!AK68</f>
        <v>78825788119.240005</v>
      </c>
      <c r="AL52" s="76">
        <f>资产资本表!AL68</f>
        <v>14266199193.43</v>
      </c>
      <c r="AM52" s="76">
        <f>资产资本表!AM68</f>
        <v>13835298857.73</v>
      </c>
      <c r="AN52" s="76">
        <f>资产资本表!AN68</f>
        <v>14158455844.630001</v>
      </c>
      <c r="AO52" s="76">
        <f>资产资本表!AO68</f>
        <v>14232528633.940001</v>
      </c>
      <c r="AP52" s="76">
        <f>资产资本表!AP68</f>
        <v>14339896270.460003</v>
      </c>
      <c r="AQ52" s="76">
        <f>资产资本表!AQ68</f>
        <v>14246512389.990002</v>
      </c>
      <c r="AR52" s="76">
        <f>资产资本表!AR68</f>
        <v>14068170005.4</v>
      </c>
      <c r="AS52" s="76">
        <f>资产资本表!AS68</f>
        <v>14060958636.800001</v>
      </c>
      <c r="AT52" s="76">
        <f>资产资本表!AT68</f>
        <v>13734462861.27</v>
      </c>
      <c r="AU52" s="76">
        <f>资产资本表!AU68</f>
        <v>13752326974.219997</v>
      </c>
      <c r="AV52" s="76">
        <f>资产资本表!AV68</f>
        <v>13757358507.709997</v>
      </c>
      <c r="AW52" s="76">
        <f>资产资本表!AW68</f>
        <v>13895911269.379999</v>
      </c>
      <c r="AX52" s="76">
        <f>资产资本表!AX68</f>
        <v>8245227251.5</v>
      </c>
      <c r="AY52" s="76">
        <f>资产资本表!AY68</f>
        <v>8036368739.6799994</v>
      </c>
      <c r="AZ52" s="76">
        <f>资产资本表!AZ68</f>
        <v>7841977520.6599998</v>
      </c>
      <c r="BA52" s="76">
        <f>资产资本表!BA68</f>
        <v>7817760367.0499992</v>
      </c>
      <c r="BB52" s="76">
        <f>资产资本表!BB68</f>
        <v>7728493927.7800007</v>
      </c>
      <c r="BC52" s="76">
        <f>资产资本表!BC68</f>
        <v>7804356919.1700001</v>
      </c>
      <c r="BD52" s="76">
        <f>资产资本表!BD68</f>
        <v>7516611786.3799992</v>
      </c>
      <c r="BE52" s="76">
        <f>资产资本表!BE68</f>
        <v>7639207265.1999998</v>
      </c>
      <c r="BF52" s="76">
        <f>资产资本表!BF68</f>
        <v>7172010739.0900011</v>
      </c>
      <c r="BG52" s="76">
        <f>资产资本表!BG68</f>
        <v>7399031191.1499996</v>
      </c>
      <c r="BH52" s="76">
        <f>资产资本表!BH68</f>
        <v>3703706707.4199996</v>
      </c>
      <c r="BI52" s="76">
        <f>资产资本表!BI68</f>
        <v>3708119406.4400001</v>
      </c>
      <c r="BJ52" s="76">
        <f>资产资本表!BJ68</f>
        <v>3647675362.2200003</v>
      </c>
      <c r="BK52" s="76">
        <f>资产资本表!BK68</f>
        <v>3625101304.5900006</v>
      </c>
      <c r="BL52" s="76">
        <f>资产资本表!BL68</f>
        <v>3636637592.9299998</v>
      </c>
      <c r="BM52" s="76">
        <f>资产资本表!BM68</f>
        <v>3659790174.4900002</v>
      </c>
      <c r="BN52" s="76">
        <f>资产资本表!BN68</f>
        <v>594735849.03000009</v>
      </c>
      <c r="BO52" s="76">
        <f>资产资本表!BO68</f>
        <v>616595535.88</v>
      </c>
      <c r="BP52" s="76">
        <f>资产资本表!BP68</f>
        <v>633293361.68000007</v>
      </c>
      <c r="BQ52" s="76">
        <f>资产资本表!BQ68</f>
        <v>651649559.75999999</v>
      </c>
      <c r="BR52" s="76">
        <f>资产资本表!BR68</f>
        <v>710252301.73000002</v>
      </c>
      <c r="BS52" s="76">
        <f>资产资本表!BS68</f>
        <v>674531000.54999995</v>
      </c>
      <c r="BT52" s="76">
        <f>资产资本表!BT68</f>
        <v>835410738.16999996</v>
      </c>
      <c r="BU52" s="76">
        <f>资产资本表!BU68</f>
        <v>875145607.76999998</v>
      </c>
      <c r="BV52" s="76">
        <f>资产资本表!BV68</f>
        <v>813737022.56000006</v>
      </c>
      <c r="BW52" s="76">
        <f>资产资本表!BW68</f>
        <v>900017388.55999994</v>
      </c>
      <c r="BX52" s="76">
        <f>资产资本表!BX68</f>
        <v>499767383.01999998</v>
      </c>
      <c r="BY52" s="76">
        <f>资产资本表!BY68</f>
        <v>493670399.80000001</v>
      </c>
      <c r="BZ52" s="76">
        <f>资产资本表!BZ68</f>
        <v>384098609.07999998</v>
      </c>
      <c r="CA52" s="76">
        <f>资产资本表!CA68</f>
        <v>394761478.97000003</v>
      </c>
      <c r="CB52" s="76">
        <f>资产资本表!CB68</f>
        <v>356479113.00999999</v>
      </c>
      <c r="CC52" s="76">
        <f>资产资本表!CC68</f>
        <v>284956525.08999997</v>
      </c>
      <c r="CD52" s="76">
        <f>资产资本表!CD68</f>
        <v>66399659.140000001</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0.16967468557510224</v>
      </c>
      <c r="F53" s="44">
        <f t="shared" ref="F53:BQ53" si="20">F49/F52</f>
        <v>0.13053213307605196</v>
      </c>
      <c r="G53" s="44">
        <f t="shared" si="20"/>
        <v>7.5791513586948633E-2</v>
      </c>
      <c r="H53" s="44">
        <f t="shared" si="20"/>
        <v>4.1527927212249398E-2</v>
      </c>
      <c r="I53" s="44">
        <f t="shared" si="20"/>
        <v>0.15988936333957465</v>
      </c>
      <c r="J53" s="44">
        <f t="shared" si="20"/>
        <v>0.12469656837402582</v>
      </c>
      <c r="K53" s="44">
        <f t="shared" si="20"/>
        <v>7.5428252360798226E-2</v>
      </c>
      <c r="L53" s="44">
        <f t="shared" si="20"/>
        <v>4.03691776876876E-2</v>
      </c>
      <c r="M53" s="44">
        <f t="shared" si="20"/>
        <v>0.18534670400258937</v>
      </c>
      <c r="N53" s="44">
        <f t="shared" si="20"/>
        <v>0.15372160695372727</v>
      </c>
      <c r="O53" s="44">
        <f t="shared" si="20"/>
        <v>9.5448609446903629E-2</v>
      </c>
      <c r="P53" s="44">
        <f t="shared" si="20"/>
        <v>4.8455677182424127E-2</v>
      </c>
      <c r="Q53" s="44">
        <f t="shared" si="20"/>
        <v>0.21120953508184959</v>
      </c>
      <c r="R53" s="44">
        <f t="shared" si="20"/>
        <v>0.16710948004264761</v>
      </c>
      <c r="S53" s="44">
        <f t="shared" si="20"/>
        <v>9.9307114312196992E-2</v>
      </c>
      <c r="T53" s="44">
        <f t="shared" si="20"/>
        <v>5.0308172453906501E-2</v>
      </c>
      <c r="U53" s="44">
        <f t="shared" si="20"/>
        <v>0.19384954422058975</v>
      </c>
      <c r="V53" s="44">
        <f t="shared" si="20"/>
        <v>0.14439595265533409</v>
      </c>
      <c r="W53" s="44">
        <f t="shared" si="20"/>
        <v>8.8368363906388289E-2</v>
      </c>
      <c r="X53" s="44">
        <f t="shared" si="20"/>
        <v>4.436357543251046E-2</v>
      </c>
      <c r="Y53" s="44">
        <f t="shared" si="20"/>
        <v>0.18340478688519665</v>
      </c>
      <c r="Z53" s="44">
        <f t="shared" si="20"/>
        <v>0.14687351563888365</v>
      </c>
      <c r="AA53" s="44">
        <f t="shared" si="20"/>
        <v>9.6162903794496268E-2</v>
      </c>
      <c r="AB53" s="44">
        <f t="shared" si="20"/>
        <v>4.7916781447318819E-2</v>
      </c>
      <c r="AC53" s="44">
        <f t="shared" si="20"/>
        <v>0.19877324471896468</v>
      </c>
      <c r="AD53" s="44">
        <f t="shared" si="20"/>
        <v>0.15628665089235821</v>
      </c>
      <c r="AE53" s="44">
        <f t="shared" si="20"/>
        <v>9.7765290344081351E-2</v>
      </c>
      <c r="AF53" s="44">
        <f t="shared" si="20"/>
        <v>4.5519979943053644E-2</v>
      </c>
      <c r="AG53" s="44">
        <f t="shared" si="20"/>
        <v>0.17423178237079825</v>
      </c>
      <c r="AH53" s="44">
        <f t="shared" si="20"/>
        <v>0.13555519805913752</v>
      </c>
      <c r="AI53" s="44">
        <f t="shared" si="20"/>
        <v>8.3831731845316448E-2</v>
      </c>
      <c r="AJ53" s="44">
        <f t="shared" si="20"/>
        <v>4.4131222030114554E-2</v>
      </c>
      <c r="AK53" s="44">
        <f t="shared" si="20"/>
        <v>0.15118301701117071</v>
      </c>
      <c r="AL53" s="44">
        <f t="shared" si="20"/>
        <v>0.32667945929048042</v>
      </c>
      <c r="AM53" s="44">
        <f t="shared" si="20"/>
        <v>0.2312438078641493</v>
      </c>
      <c r="AN53" s="44">
        <f t="shared" si="20"/>
        <v>0.10945331455532732</v>
      </c>
      <c r="AO53" s="44">
        <f t="shared" si="20"/>
        <v>0.46233033738562157</v>
      </c>
      <c r="AP53" s="44">
        <f t="shared" si="20"/>
        <v>0.35709098097860492</v>
      </c>
      <c r="AQ53" s="44">
        <f t="shared" si="20"/>
        <v>0.24160827584570793</v>
      </c>
      <c r="AR53" s="44">
        <f t="shared" si="20"/>
        <v>0.1271348775983992</v>
      </c>
      <c r="AS53" s="44">
        <f t="shared" si="20"/>
        <v>0.47286861974249994</v>
      </c>
      <c r="AT53" s="44">
        <f t="shared" si="20"/>
        <v>0.35545281996332656</v>
      </c>
      <c r="AU53" s="44">
        <f t="shared" si="20"/>
        <v>0.24910003157805946</v>
      </c>
      <c r="AV53" s="44">
        <f t="shared" si="20"/>
        <v>0.12396300997711483</v>
      </c>
      <c r="AW53" s="44">
        <f t="shared" si="20"/>
        <v>0.30347301957032097</v>
      </c>
      <c r="AX53" s="44">
        <f t="shared" si="20"/>
        <v>0.29511702069307122</v>
      </c>
      <c r="AY53" s="44">
        <f t="shared" si="20"/>
        <v>0.19479870427676962</v>
      </c>
      <c r="AZ53" s="44">
        <f t="shared" si="20"/>
        <v>9.5149101911376252E-2</v>
      </c>
      <c r="BA53" s="44">
        <f t="shared" si="20"/>
        <v>0.39100257739844974</v>
      </c>
      <c r="BB53" s="44">
        <f t="shared" si="20"/>
        <v>0.29875348427338838</v>
      </c>
      <c r="BC53" s="44">
        <f t="shared" si="20"/>
        <v>0.19440603871963316</v>
      </c>
      <c r="BD53" s="44">
        <f t="shared" si="20"/>
        <v>0.10472665221667787</v>
      </c>
      <c r="BE53" s="44">
        <f t="shared" si="20"/>
        <v>0.31126932297702831</v>
      </c>
      <c r="BF53" s="44">
        <f t="shared" si="20"/>
        <v>0.2336154676774215</v>
      </c>
      <c r="BG53" s="44">
        <f t="shared" si="20"/>
        <v>0.14253207668477041</v>
      </c>
      <c r="BH53" s="44">
        <f t="shared" si="20"/>
        <v>8.8854988174602495E-2</v>
      </c>
      <c r="BI53" s="44">
        <f t="shared" si="20"/>
        <v>0.3712386271513326</v>
      </c>
      <c r="BJ53" s="44">
        <f t="shared" si="20"/>
        <v>0.27814867173719915</v>
      </c>
      <c r="BK53" s="44">
        <f t="shared" si="20"/>
        <v>0.18543585215917949</v>
      </c>
      <c r="BL53" s="44">
        <f t="shared" si="20"/>
        <v>0.10803840618153196</v>
      </c>
      <c r="BM53" s="44">
        <f t="shared" si="20"/>
        <v>0.69303987409973589</v>
      </c>
      <c r="BN53" s="44">
        <f t="shared" si="20"/>
        <v>3.7057351650897838</v>
      </c>
      <c r="BO53" s="44">
        <f t="shared" si="20"/>
        <v>2.2182327156617427</v>
      </c>
      <c r="BP53" s="44">
        <f t="shared" si="20"/>
        <v>0.96560047798036464</v>
      </c>
      <c r="BQ53" s="44">
        <f t="shared" si="20"/>
        <v>2.9255130986386657</v>
      </c>
      <c r="BR53" s="44">
        <f t="shared" ref="BR53:CK53" si="21">BR49/BR52</f>
        <v>0.90970817035890605</v>
      </c>
      <c r="BS53" s="44">
        <f t="shared" si="21"/>
        <v>2.7560987595590802</v>
      </c>
      <c r="BT53" s="44">
        <f t="shared" si="21"/>
        <v>0.65790790950804812</v>
      </c>
      <c r="BU53" s="44">
        <f t="shared" si="21"/>
        <v>1.5022805627283962</v>
      </c>
      <c r="BV53" s="44">
        <f t="shared" si="21"/>
        <v>0.69596575295090746</v>
      </c>
      <c r="BW53" s="44">
        <f t="shared" si="21"/>
        <v>1.3543024444452074</v>
      </c>
      <c r="BX53" s="44">
        <f t="shared" si="21"/>
        <v>1.3606016606585707</v>
      </c>
      <c r="BY53" s="44">
        <f t="shared" si="21"/>
        <v>2.7664929844149024</v>
      </c>
      <c r="BZ53" s="44">
        <f t="shared" si="21"/>
        <v>1.6558836917775177</v>
      </c>
      <c r="CA53" s="44">
        <f t="shared" si="21"/>
        <v>1.5545248517944572</v>
      </c>
      <c r="CB53" s="44">
        <f t="shared" si="21"/>
        <v>0.41224030081077317</v>
      </c>
      <c r="CC53" s="44">
        <f t="shared" si="21"/>
        <v>0.74803083583601826</v>
      </c>
      <c r="CD53" s="44">
        <f t="shared" si="21"/>
        <v>1.6752367188431925</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5348010956.9499998</v>
      </c>
      <c r="F54" s="76">
        <f>资产资本表!F17</f>
        <v>7006312922.25</v>
      </c>
      <c r="G54" s="76">
        <f>资产资本表!G17</f>
        <v>5329644283.0499992</v>
      </c>
      <c r="H54" s="76">
        <f>资产资本表!H17</f>
        <v>3957399268.5799999</v>
      </c>
      <c r="I54" s="76">
        <f>资产资本表!I17</f>
        <v>4573239076.5699997</v>
      </c>
      <c r="J54" s="76">
        <f>资产资本表!J17</f>
        <v>6743951421.7600002</v>
      </c>
      <c r="K54" s="76">
        <f>资产资本表!K17</f>
        <v>5667802705.1700001</v>
      </c>
      <c r="L54" s="76">
        <f>资产资本表!L17</f>
        <v>4596732298.46</v>
      </c>
      <c r="M54" s="76">
        <f>资产资本表!M17</f>
        <v>6896067105.3000002</v>
      </c>
      <c r="N54" s="76">
        <f>资产资本表!N17</f>
        <v>8483952859.4800005</v>
      </c>
      <c r="O54" s="76">
        <f>资产资本表!O17</f>
        <v>7728804972.1000004</v>
      </c>
      <c r="P54" s="76">
        <f>资产资本表!P17</f>
        <v>8120039116.8700008</v>
      </c>
      <c r="Q54" s="76">
        <f>资产资本表!Q17</f>
        <v>8371334649.4700003</v>
      </c>
      <c r="R54" s="76">
        <f>资产资本表!R17</f>
        <v>9883748405.7099991</v>
      </c>
      <c r="S54" s="76">
        <f>资产资本表!S17</f>
        <v>6978079177.3599997</v>
      </c>
      <c r="T54" s="76">
        <f>资产资本表!T17</f>
        <v>6186588200.4100008</v>
      </c>
      <c r="U54" s="76">
        <f>资产资本表!U17</f>
        <v>4361597314.0099993</v>
      </c>
      <c r="V54" s="76">
        <f>资产资本表!V17</f>
        <v>3988093809.9499998</v>
      </c>
      <c r="W54" s="76">
        <f>资产资本表!W17</f>
        <v>4149397566.0800004</v>
      </c>
      <c r="X54" s="76">
        <f>资产资本表!X17</f>
        <v>6237626666.8900003</v>
      </c>
      <c r="Y54" s="76">
        <f>资产资本表!Y17</f>
        <v>6512343440.25</v>
      </c>
      <c r="Z54" s="76">
        <f>资产资本表!Z17</f>
        <v>3557985013.3299999</v>
      </c>
      <c r="AA54" s="76">
        <f>资产资本表!AA17</f>
        <v>5890010754.5199995</v>
      </c>
      <c r="AB54" s="76">
        <f>资产资本表!AB17</f>
        <v>3683002385.1200004</v>
      </c>
      <c r="AC54" s="76">
        <f>资产资本表!AC17</f>
        <v>5323509573.3999996</v>
      </c>
      <c r="AD54" s="76">
        <f>资产资本表!AD17</f>
        <v>2242543490.9400001</v>
      </c>
      <c r="AE54" s="76">
        <f>资产资本表!AE17</f>
        <v>2603862648.5099998</v>
      </c>
      <c r="AF54" s="76">
        <f>资产资本表!AF17</f>
        <v>3726835303.1499996</v>
      </c>
      <c r="AG54" s="76">
        <f>资产资本表!AG17</f>
        <v>1212455676.4200001</v>
      </c>
      <c r="AH54" s="76">
        <f>资产资本表!AH17</f>
        <v>1109231346.3900001</v>
      </c>
      <c r="AI54" s="76">
        <f>资产资本表!AI17</f>
        <v>1101361634.1100001</v>
      </c>
      <c r="AJ54" s="76">
        <f>资产资本表!AJ17</f>
        <v>957242462.39999998</v>
      </c>
      <c r="AK54" s="76">
        <f>资产资本表!AK17</f>
        <v>2138875865.2800002</v>
      </c>
      <c r="AL54" s="76">
        <f>资产资本表!AL17</f>
        <v>887126538.64999998</v>
      </c>
      <c r="AM54" s="76">
        <f>资产资本表!AM17</f>
        <v>1076180312.8500001</v>
      </c>
      <c r="AN54" s="76">
        <f>资产资本表!AN17</f>
        <v>1482013824.46</v>
      </c>
      <c r="AO54" s="76">
        <f>资产资本表!AO17</f>
        <v>1113613886.3700001</v>
      </c>
      <c r="AP54" s="76">
        <f>资产资本表!AP17</f>
        <v>1218504026.6399999</v>
      </c>
      <c r="AQ54" s="76">
        <f>资产资本表!AQ17</f>
        <v>1119380773.7</v>
      </c>
      <c r="AR54" s="76">
        <f>资产资本表!AR17</f>
        <v>1326216524.79</v>
      </c>
      <c r="AS54" s="76">
        <f>资产资本表!AS17</f>
        <v>1450820925.3099999</v>
      </c>
      <c r="AT54" s="76">
        <f>资产资本表!AT17</f>
        <v>1395491602.97</v>
      </c>
      <c r="AU54" s="76">
        <f>资产资本表!AU17</f>
        <v>666935193.74000001</v>
      </c>
      <c r="AV54" s="76">
        <f>资产资本表!AV17</f>
        <v>859682813.21000004</v>
      </c>
      <c r="AW54" s="76">
        <f>资产资本表!AW17</f>
        <v>570948275.58999991</v>
      </c>
      <c r="AX54" s="76">
        <f>资产资本表!AX17</f>
        <v>243333126.58000001</v>
      </c>
      <c r="AY54" s="76">
        <f>资产资本表!AY17</f>
        <v>199103156.66</v>
      </c>
      <c r="AZ54" s="76">
        <f>资产资本表!AZ17</f>
        <v>346112919.82999998</v>
      </c>
      <c r="BA54" s="76">
        <f>资产资本表!BA17</f>
        <v>211068420.63</v>
      </c>
      <c r="BB54" s="76">
        <f>资产资本表!BB17</f>
        <v>403785630.05000001</v>
      </c>
      <c r="BC54" s="76">
        <f>资产资本表!BC17</f>
        <v>377079305.70999998</v>
      </c>
      <c r="BD54" s="76">
        <f>资产资本表!BD17</f>
        <v>583574459.69000006</v>
      </c>
      <c r="BE54" s="76">
        <f>资产资本表!BE17</f>
        <v>410943189.26999998</v>
      </c>
      <c r="BF54" s="76">
        <f>资产资本表!BF17</f>
        <v>756029349.84000003</v>
      </c>
      <c r="BG54" s="76">
        <f>资产资本表!BG17</f>
        <v>438964391.97000003</v>
      </c>
      <c r="BH54" s="76">
        <f>资产资本表!BH17</f>
        <v>181648627.75999999</v>
      </c>
      <c r="BI54" s="76">
        <f>资产资本表!BI17</f>
        <v>136039161.43000001</v>
      </c>
      <c r="BJ54" s="76">
        <f>资产资本表!BJ17</f>
        <v>165218401.56999999</v>
      </c>
      <c r="BK54" s="76">
        <f>资产资本表!BK17</f>
        <v>216644559.25999999</v>
      </c>
      <c r="BL54" s="76">
        <f>资产资本表!BL17</f>
        <v>221238157.5</v>
      </c>
      <c r="BM54" s="76">
        <f>资产资本表!BM17</f>
        <v>181052845.81999999</v>
      </c>
      <c r="BN54" s="76">
        <f>资产资本表!BN17</f>
        <v>2000000</v>
      </c>
      <c r="BO54" s="76">
        <f>资产资本表!BO17</f>
        <v>12549252.51</v>
      </c>
      <c r="BP54" s="76">
        <f>资产资本表!BP17</f>
        <v>23167485.93</v>
      </c>
      <c r="BQ54" s="76">
        <f>资产资本表!BQ17</f>
        <v>34561500.75</v>
      </c>
      <c r="BR54" s="76">
        <f>资产资本表!BR17</f>
        <v>44936952.799999997</v>
      </c>
      <c r="BS54" s="76">
        <f>资产资本表!BS17</f>
        <v>158871889.68000001</v>
      </c>
      <c r="BT54" s="76">
        <f>资产资本表!BT17</f>
        <v>138575485.94</v>
      </c>
      <c r="BU54" s="76">
        <f>资产资本表!BU17</f>
        <v>79539733.840000004</v>
      </c>
      <c r="BV54" s="76">
        <f>资产资本表!BV17</f>
        <v>74614056.719999999</v>
      </c>
      <c r="BW54" s="76">
        <f>资产资本表!BW17</f>
        <v>52738666.020000003</v>
      </c>
      <c r="BX54" s="76">
        <f>资产资本表!BX17</f>
        <v>35689075.340000004</v>
      </c>
      <c r="BY54" s="76">
        <f>资产资本表!BY17</f>
        <v>20521683.670000002</v>
      </c>
      <c r="BZ54" s="76">
        <f>资产资本表!BZ17</f>
        <v>0</v>
      </c>
      <c r="CA54" s="76">
        <f>资产资本表!CA17</f>
        <v>65358944.289999999</v>
      </c>
      <c r="CB54" s="76">
        <f>资产资本表!CB17</f>
        <v>0</v>
      </c>
      <c r="CC54" s="76">
        <f>资产资本表!CC17</f>
        <v>19363072.760000002</v>
      </c>
      <c r="CD54" s="76">
        <f>资产资本表!CD17</f>
        <v>76819397.290000007</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5.9172063203396048</v>
      </c>
      <c r="F55" s="44">
        <f t="shared" ref="F55:BQ55" si="22">F49/F54</f>
        <v>3.4547673626982069</v>
      </c>
      <c r="G55" s="44">
        <f t="shared" si="22"/>
        <v>2.6198940490732574</v>
      </c>
      <c r="H55" s="44">
        <f t="shared" si="22"/>
        <v>1.9282208197173072</v>
      </c>
      <c r="I55" s="44">
        <f t="shared" si="22"/>
        <v>6.4004532619872467</v>
      </c>
      <c r="J55" s="44">
        <f t="shared" si="22"/>
        <v>3.2829367261681774</v>
      </c>
      <c r="K55" s="44">
        <f t="shared" si="22"/>
        <v>2.3181054447017706</v>
      </c>
      <c r="L55" s="44">
        <f t="shared" si="22"/>
        <v>1.5010799166816093</v>
      </c>
      <c r="M55" s="44">
        <f t="shared" si="22"/>
        <v>4.5358752018044983</v>
      </c>
      <c r="N55" s="44">
        <f t="shared" si="22"/>
        <v>2.8748655939826766</v>
      </c>
      <c r="O55" s="44">
        <f t="shared" si="22"/>
        <v>1.9312395276451639</v>
      </c>
      <c r="P55" s="44">
        <f t="shared" si="22"/>
        <v>0.93595627363794553</v>
      </c>
      <c r="Q55" s="44">
        <f t="shared" si="22"/>
        <v>3.9369073836029909</v>
      </c>
      <c r="R55" s="44">
        <f t="shared" si="22"/>
        <v>2.5832337132468628</v>
      </c>
      <c r="S55" s="44">
        <f t="shared" si="22"/>
        <v>2.0953733642259684</v>
      </c>
      <c r="T55" s="44">
        <f t="shared" si="22"/>
        <v>1.1966558667424108</v>
      </c>
      <c r="U55" s="44">
        <f t="shared" si="22"/>
        <v>6.4973859448284292</v>
      </c>
      <c r="V55" s="44">
        <f t="shared" si="22"/>
        <v>5.1239410555831926</v>
      </c>
      <c r="W55" s="44">
        <f t="shared" si="22"/>
        <v>2.9326766062515652</v>
      </c>
      <c r="X55" s="44">
        <f t="shared" si="22"/>
        <v>0.95727281340438386</v>
      </c>
      <c r="Y55" s="44">
        <f t="shared" si="22"/>
        <v>3.6648877574343315</v>
      </c>
      <c r="Z55" s="44">
        <f t="shared" si="22"/>
        <v>5.0207130261577539</v>
      </c>
      <c r="AA55" s="44">
        <f t="shared" si="22"/>
        <v>1.8551282000656486</v>
      </c>
      <c r="AB55" s="44">
        <f t="shared" si="22"/>
        <v>1.4263564891769238</v>
      </c>
      <c r="AC55" s="44">
        <f t="shared" si="22"/>
        <v>4.0769231143898299</v>
      </c>
      <c r="AD55" s="44">
        <f t="shared" si="22"/>
        <v>7.0997043089569143</v>
      </c>
      <c r="AE55" s="44">
        <f t="shared" si="22"/>
        <v>3.6899731368503867</v>
      </c>
      <c r="AF55" s="44">
        <f t="shared" si="22"/>
        <v>1.1526970430753956</v>
      </c>
      <c r="AG55" s="44">
        <f t="shared" si="22"/>
        <v>13.153150531472027</v>
      </c>
      <c r="AH55" s="44">
        <f t="shared" si="22"/>
        <v>10.445643206143398</v>
      </c>
      <c r="AI55" s="44">
        <f t="shared" si="22"/>
        <v>6.3021444721187407</v>
      </c>
      <c r="AJ55" s="44">
        <f t="shared" si="22"/>
        <v>3.7350983934266391</v>
      </c>
      <c r="AK55" s="44">
        <f t="shared" si="22"/>
        <v>5.5716746631249352</v>
      </c>
      <c r="AL55" s="44">
        <f t="shared" si="22"/>
        <v>5.2534492381798845</v>
      </c>
      <c r="AM55" s="44">
        <f t="shared" si="22"/>
        <v>2.9728542258196167</v>
      </c>
      <c r="AN55" s="44">
        <f t="shared" si="22"/>
        <v>1.0456649564282297</v>
      </c>
      <c r="AO55" s="44">
        <f t="shared" si="22"/>
        <v>5.9088072138081627</v>
      </c>
      <c r="AP55" s="44">
        <f t="shared" si="22"/>
        <v>4.2024051742119246</v>
      </c>
      <c r="AQ55" s="44">
        <f t="shared" si="22"/>
        <v>3.0749816114694983</v>
      </c>
      <c r="AR55" s="44">
        <f t="shared" si="22"/>
        <v>1.3486146780995729</v>
      </c>
      <c r="AS55" s="44">
        <f t="shared" si="22"/>
        <v>4.5829130162423715</v>
      </c>
      <c r="AT55" s="44">
        <f t="shared" si="22"/>
        <v>3.4983754429835514</v>
      </c>
      <c r="AU55" s="44">
        <f t="shared" si="22"/>
        <v>5.1364886959099163</v>
      </c>
      <c r="AV55" s="44">
        <f t="shared" si="22"/>
        <v>1.9837590606029838</v>
      </c>
      <c r="AW55" s="44">
        <f t="shared" si="22"/>
        <v>7.3860178459112609</v>
      </c>
      <c r="AX55" s="44">
        <f t="shared" si="22"/>
        <v>9.9998998722436916</v>
      </c>
      <c r="AY55" s="44">
        <f t="shared" si="22"/>
        <v>7.8626288193576643</v>
      </c>
      <c r="AZ55" s="44">
        <f t="shared" si="22"/>
        <v>2.1558198944624469</v>
      </c>
      <c r="BA55" s="44">
        <f t="shared" si="22"/>
        <v>14.482339157492753</v>
      </c>
      <c r="BB55" s="44">
        <f t="shared" si="22"/>
        <v>5.7181690413898378</v>
      </c>
      <c r="BC55" s="44">
        <f t="shared" si="22"/>
        <v>4.0235942159521274</v>
      </c>
      <c r="BD55" s="44">
        <f t="shared" si="22"/>
        <v>1.34891028099167</v>
      </c>
      <c r="BE55" s="44">
        <f t="shared" si="22"/>
        <v>5.786325058079238</v>
      </c>
      <c r="BF55" s="44">
        <f t="shared" si="22"/>
        <v>2.2161740722824952</v>
      </c>
      <c r="BG55" s="44">
        <f t="shared" si="22"/>
        <v>2.4024711352944412</v>
      </c>
      <c r="BH55" s="44">
        <f t="shared" si="22"/>
        <v>1.811699982258099</v>
      </c>
      <c r="BI55" s="44">
        <f t="shared" si="22"/>
        <v>10.119124105806391</v>
      </c>
      <c r="BJ55" s="44">
        <f t="shared" si="22"/>
        <v>6.1409385836488335</v>
      </c>
      <c r="BK55" s="44">
        <f t="shared" si="22"/>
        <v>3.1028877525294751</v>
      </c>
      <c r="BL55" s="44">
        <f t="shared" si="22"/>
        <v>1.7758985784357744</v>
      </c>
      <c r="BM55" s="44">
        <f t="shared" si="22"/>
        <v>14.009061886172347</v>
      </c>
      <c r="BN55" s="44">
        <f t="shared" si="22"/>
        <v>1101.9667748449999</v>
      </c>
      <c r="BO55" s="44">
        <f t="shared" si="22"/>
        <v>108.99074577789335</v>
      </c>
      <c r="BP55" s="44">
        <f t="shared" si="22"/>
        <v>26.395111432792397</v>
      </c>
      <c r="BQ55" s="44">
        <f t="shared" si="22"/>
        <v>55.159911503553559</v>
      </c>
      <c r="BR55" s="44">
        <f t="shared" ref="BR55:CK55" si="23">BR49/BR54</f>
        <v>14.378418687526137</v>
      </c>
      <c r="BS55" s="44">
        <f t="shared" si="23"/>
        <v>11.701718017231052</v>
      </c>
      <c r="BT55" s="44">
        <f t="shared" si="23"/>
        <v>3.9662378132880898</v>
      </c>
      <c r="BU55" s="44">
        <f t="shared" si="23"/>
        <v>16.529024836249061</v>
      </c>
      <c r="BV55" s="44">
        <f t="shared" si="23"/>
        <v>7.5901663105552162</v>
      </c>
      <c r="BW55" s="44">
        <f t="shared" si="23"/>
        <v>23.111994317561237</v>
      </c>
      <c r="BX55" s="44">
        <f t="shared" si="23"/>
        <v>19.053010614648215</v>
      </c>
      <c r="BY55" s="44">
        <f t="shared" si="23"/>
        <v>66.550860037693965</v>
      </c>
      <c r="BZ55" s="44" t="e">
        <f t="shared" si="23"/>
        <v>#DIV/0!</v>
      </c>
      <c r="CA55" s="44">
        <f t="shared" si="23"/>
        <v>9.3891744466853595</v>
      </c>
      <c r="CB55" s="44" t="e">
        <f t="shared" si="23"/>
        <v>#DIV/0!</v>
      </c>
      <c r="CC55" s="44">
        <f t="shared" si="23"/>
        <v>11.00839057323255</v>
      </c>
      <c r="CD55" s="44">
        <f t="shared" si="23"/>
        <v>1.4480085894201629</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8729612779.75</v>
      </c>
      <c r="F56" s="76">
        <f>资产资本表!F19</f>
        <v>8679760447.7099991</v>
      </c>
      <c r="G56" s="76">
        <f>资产资本表!G19</f>
        <v>8562046822.4300003</v>
      </c>
      <c r="H56" s="76">
        <f>资产资本表!H19</f>
        <v>8919850139.6499996</v>
      </c>
      <c r="I56" s="76">
        <f>资产资本表!I19</f>
        <v>8846824928.5300007</v>
      </c>
      <c r="J56" s="76">
        <f>资产资本表!J19</f>
        <v>7312406516.4799995</v>
      </c>
      <c r="K56" s="76">
        <f>资产资本表!K19</f>
        <v>6268767675.3199997</v>
      </c>
      <c r="L56" s="76">
        <f>资产资本表!L19</f>
        <v>4984330317.3400002</v>
      </c>
      <c r="M56" s="76">
        <f>资产资本表!M19</f>
        <v>2639024894.1900001</v>
      </c>
      <c r="N56" s="76">
        <f>资产资本表!N19</f>
        <v>2507148433.9499998</v>
      </c>
      <c r="O56" s="76">
        <f>资产资本表!O19</f>
        <v>2530719406</v>
      </c>
      <c r="P56" s="76">
        <f>资产资本表!P19</f>
        <v>2760483019.1300001</v>
      </c>
      <c r="Q56" s="76">
        <f>资产资本表!Q19</f>
        <v>2503484741.3099999</v>
      </c>
      <c r="R56" s="76">
        <f>资产资本表!R19</f>
        <v>2637521922.96</v>
      </c>
      <c r="S56" s="76">
        <f>资产资本表!S19</f>
        <v>2808010267.1799998</v>
      </c>
      <c r="T56" s="76">
        <f>资产资本表!T19</f>
        <v>2912177181.96</v>
      </c>
      <c r="U56" s="76">
        <f>资产资本表!U19</f>
        <v>2807747136.46</v>
      </c>
      <c r="V56" s="76">
        <f>资产资本表!V19</f>
        <v>2686661408.8099999</v>
      </c>
      <c r="W56" s="76">
        <f>资产资本表!W19</f>
        <v>2437586084.9699998</v>
      </c>
      <c r="X56" s="76">
        <f>资产资本表!X19</f>
        <v>2541979629.1199999</v>
      </c>
      <c r="Y56" s="76">
        <f>资产资本表!Y19</f>
        <v>1573141463.02</v>
      </c>
      <c r="Z56" s="76">
        <f>资产资本表!Z19</f>
        <v>1478355523.4100001</v>
      </c>
      <c r="AA56" s="76">
        <f>资产资本表!AA19</f>
        <v>1440376022.6700001</v>
      </c>
      <c r="AB56" s="76">
        <f>资产资本表!AB19</f>
        <v>1467523948.79</v>
      </c>
      <c r="AC56" s="76">
        <f>资产资本表!AC19</f>
        <v>1436367984.1300001</v>
      </c>
      <c r="AD56" s="76">
        <f>资产资本表!AD19</f>
        <v>1510746593.74</v>
      </c>
      <c r="AE56" s="76">
        <f>资产资本表!AE19</f>
        <v>1502618178.24</v>
      </c>
      <c r="AF56" s="76">
        <f>资产资本表!AF19</f>
        <v>1498992613.53</v>
      </c>
      <c r="AG56" s="76">
        <f>资产资本表!AG19</f>
        <v>1476329115.5699999</v>
      </c>
      <c r="AH56" s="76">
        <f>资产资本表!AH19</f>
        <v>1537121964.28</v>
      </c>
      <c r="AI56" s="76">
        <f>资产资本表!AI19</f>
        <v>1551762623.3</v>
      </c>
      <c r="AJ56" s="76">
        <f>资产资本表!AJ19</f>
        <v>1587635239.8</v>
      </c>
      <c r="AK56" s="76">
        <f>资产资本表!AK19</f>
        <v>1549432681.23</v>
      </c>
      <c r="AL56" s="76">
        <f>资产资本表!AL19</f>
        <v>853967856.78999996</v>
      </c>
      <c r="AM56" s="76">
        <f>资产资本表!AM19</f>
        <v>811189653.53999996</v>
      </c>
      <c r="AN56" s="76">
        <f>资产资本表!AN19</f>
        <v>907031149.46000004</v>
      </c>
      <c r="AO56" s="76">
        <f>资产资本表!AO19</f>
        <v>876706465.16999996</v>
      </c>
      <c r="AP56" s="76">
        <f>资产资本表!AP19</f>
        <v>1006433920.66</v>
      </c>
      <c r="AQ56" s="76">
        <f>资产资本表!AQ19</f>
        <v>1029898013.13</v>
      </c>
      <c r="AR56" s="76">
        <f>资产资本表!AR19</f>
        <v>1035113073.83</v>
      </c>
      <c r="AS56" s="76">
        <f>资产资本表!AS19</f>
        <v>863131531.36000001</v>
      </c>
      <c r="AT56" s="76">
        <f>资产资本表!AT19</f>
        <v>918229206.58000004</v>
      </c>
      <c r="AU56" s="76">
        <f>资产资本表!AU19</f>
        <v>912015493.66999996</v>
      </c>
      <c r="AV56" s="76">
        <f>资产资本表!AV19</f>
        <v>856051667.25999999</v>
      </c>
      <c r="AW56" s="76">
        <f>资产资本表!AW19</f>
        <v>1412186711.3399999</v>
      </c>
      <c r="AX56" s="76">
        <f>资产资本表!AX19</f>
        <v>424059053.56999999</v>
      </c>
      <c r="AY56" s="76">
        <f>资产资本表!AY19</f>
        <v>425490282.61000001</v>
      </c>
      <c r="AZ56" s="76">
        <f>资产资本表!AZ19</f>
        <v>397018259.50999999</v>
      </c>
      <c r="BA56" s="76">
        <f>资产资本表!BA19</f>
        <v>397104587.04000002</v>
      </c>
      <c r="BB56" s="76">
        <f>资产资本表!BB19</f>
        <v>475475153.05000001</v>
      </c>
      <c r="BC56" s="76">
        <f>资产资本表!BC19</f>
        <v>422786356.37</v>
      </c>
      <c r="BD56" s="76">
        <f>资产资本表!BD19</f>
        <v>417961342.06999999</v>
      </c>
      <c r="BE56" s="76">
        <f>资产资本表!BE19</f>
        <v>391805117.45999998</v>
      </c>
      <c r="BF56" s="76">
        <f>资产资本表!BF19</f>
        <v>355564289.75999999</v>
      </c>
      <c r="BG56" s="76">
        <f>资产资本表!BG19</f>
        <v>326216795.41000003</v>
      </c>
      <c r="BH56" s="76">
        <f>资产资本表!BH19</f>
        <v>303744932.42000002</v>
      </c>
      <c r="BI56" s="76">
        <f>资产资本表!BI19</f>
        <v>246829285.46000001</v>
      </c>
      <c r="BJ56" s="76">
        <f>资产资本表!BJ19</f>
        <v>235277784.91999999</v>
      </c>
      <c r="BK56" s="76">
        <f>资产资本表!BK19</f>
        <v>212669191.28</v>
      </c>
      <c r="BL56" s="76">
        <f>资产资本表!BL19</f>
        <v>253268542.19</v>
      </c>
      <c r="BM56" s="76">
        <f>资产资本表!BM19</f>
        <v>234275291.65000001</v>
      </c>
      <c r="BN56" s="76">
        <f>资产资本表!BN19</f>
        <v>17198219.629999999</v>
      </c>
      <c r="BO56" s="76">
        <f>资产资本表!BO19</f>
        <v>16803778.039999999</v>
      </c>
      <c r="BP56" s="76">
        <f>资产资本表!BP19</f>
        <v>16803778.039999999</v>
      </c>
      <c r="BQ56" s="76">
        <f>资产资本表!BQ19</f>
        <v>16803778.039999999</v>
      </c>
      <c r="BR56" s="76">
        <f>资产资本表!BR19</f>
        <v>19162288.68</v>
      </c>
      <c r="BS56" s="76">
        <f>资产资本表!BS19</f>
        <v>19162288.68</v>
      </c>
      <c r="BT56" s="76">
        <f>资产资本表!BT19</f>
        <v>22274799.460000001</v>
      </c>
      <c r="BU56" s="76">
        <f>资产资本表!BU19</f>
        <v>35171954.649999999</v>
      </c>
      <c r="BV56" s="76">
        <f>资产资本表!BV19</f>
        <v>39940000</v>
      </c>
      <c r="BW56" s="76">
        <f>资产资本表!BW19</f>
        <v>10500000</v>
      </c>
      <c r="BX56" s="76">
        <f>资产资本表!BX19</f>
        <v>2500000</v>
      </c>
      <c r="BY56" s="76">
        <f>资产资本表!BY19</f>
        <v>2500000</v>
      </c>
      <c r="BZ56" s="76">
        <f>资产资本表!BZ19</f>
        <v>2850000</v>
      </c>
      <c r="CA56" s="76">
        <f>资产资本表!CA19</f>
        <v>2850000</v>
      </c>
      <c r="CB56" s="76">
        <f>资产资本表!CB19</f>
        <v>2850000</v>
      </c>
      <c r="CC56" s="76">
        <f>资产资本表!CC19</f>
        <v>2850000</v>
      </c>
      <c r="CD56" s="76">
        <f>资产资本表!CD19</f>
        <v>3115107.7</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3.6250501636358106</v>
      </c>
      <c r="F57" s="117">
        <f t="shared" ref="F57:BQ57" si="24">F49/F56</f>
        <v>2.7886923103996617</v>
      </c>
      <c r="G57" s="117">
        <f t="shared" si="24"/>
        <v>1.6308137096682125</v>
      </c>
      <c r="H57" s="117">
        <f t="shared" si="24"/>
        <v>0.85547846007975836</v>
      </c>
      <c r="I57" s="117">
        <f t="shared" si="24"/>
        <v>3.3086223816959461</v>
      </c>
      <c r="J57" s="117">
        <f t="shared" si="24"/>
        <v>3.0277263377101744</v>
      </c>
      <c r="K57" s="117">
        <f t="shared" si="24"/>
        <v>2.0958767322126546</v>
      </c>
      <c r="L57" s="117">
        <f t="shared" si="24"/>
        <v>1.3843509752103214</v>
      </c>
      <c r="M57" s="117">
        <f t="shared" si="24"/>
        <v>11.852749036878913</v>
      </c>
      <c r="N57" s="117">
        <f t="shared" si="24"/>
        <v>9.7282729041548297</v>
      </c>
      <c r="O57" s="117">
        <f t="shared" si="24"/>
        <v>5.89799628840401</v>
      </c>
      <c r="P57" s="117">
        <f t="shared" si="24"/>
        <v>2.7531419323909598</v>
      </c>
      <c r="Q57" s="117">
        <f t="shared" si="24"/>
        <v>13.164517701379911</v>
      </c>
      <c r="R57" s="117">
        <f t="shared" si="24"/>
        <v>9.6803108526302903</v>
      </c>
      <c r="S57" s="117">
        <f t="shared" si="24"/>
        <v>5.2071323999766266</v>
      </c>
      <c r="T57" s="117">
        <f t="shared" si="24"/>
        <v>2.5421588737802585</v>
      </c>
      <c r="U57" s="117">
        <f t="shared" si="24"/>
        <v>10.09313862956324</v>
      </c>
      <c r="V57" s="117">
        <f t="shared" si="24"/>
        <v>7.6060040685853094</v>
      </c>
      <c r="W57" s="117">
        <f t="shared" si="24"/>
        <v>4.9921687882583097</v>
      </c>
      <c r="X57" s="117">
        <f t="shared" si="24"/>
        <v>2.3490001099840128</v>
      </c>
      <c r="Y57" s="117">
        <f t="shared" si="24"/>
        <v>15.171558507244411</v>
      </c>
      <c r="Z57" s="117">
        <f t="shared" si="24"/>
        <v>12.08344097236872</v>
      </c>
      <c r="AA57" s="117">
        <f t="shared" si="24"/>
        <v>7.5860225923126094</v>
      </c>
      <c r="AB57" s="117">
        <f t="shared" si="24"/>
        <v>3.579685603087718</v>
      </c>
      <c r="AC57" s="117">
        <f t="shared" si="24"/>
        <v>15.110013220334837</v>
      </c>
      <c r="AD57" s="117">
        <f t="shared" si="24"/>
        <v>10.538759942681741</v>
      </c>
      <c r="AE57" s="117">
        <f t="shared" si="24"/>
        <v>6.3942945481359459</v>
      </c>
      <c r="AF57" s="117">
        <f t="shared" si="24"/>
        <v>2.8658660457662251</v>
      </c>
      <c r="AG57" s="117">
        <f t="shared" si="24"/>
        <v>10.802206538162558</v>
      </c>
      <c r="AH57" s="117">
        <f t="shared" si="24"/>
        <v>7.5378760740610913</v>
      </c>
      <c r="AI57" s="117">
        <f t="shared" si="24"/>
        <v>4.4729393722922008</v>
      </c>
      <c r="AJ57" s="117">
        <f t="shared" si="24"/>
        <v>2.2520253354167203</v>
      </c>
      <c r="AK57" s="117">
        <f t="shared" si="24"/>
        <v>7.6912799184600429</v>
      </c>
      <c r="AL57" s="117">
        <f t="shared" si="24"/>
        <v>5.4574351968683779</v>
      </c>
      <c r="AM57" s="117">
        <f t="shared" si="24"/>
        <v>3.9439940793601855</v>
      </c>
      <c r="AN57" s="117">
        <f t="shared" si="24"/>
        <v>1.708529990510917</v>
      </c>
      <c r="AO57" s="117">
        <f t="shared" si="24"/>
        <v>7.5055107115060045</v>
      </c>
      <c r="AP57" s="117">
        <f t="shared" si="24"/>
        <v>5.087912401632865</v>
      </c>
      <c r="AQ57" s="117">
        <f t="shared" si="24"/>
        <v>3.3421516028553793</v>
      </c>
      <c r="AR57" s="117">
        <f t="shared" si="24"/>
        <v>1.7278837615799838</v>
      </c>
      <c r="AS57" s="117">
        <f t="shared" si="24"/>
        <v>7.7033289380165186</v>
      </c>
      <c r="AT57" s="117">
        <f t="shared" si="24"/>
        <v>5.3167047178809854</v>
      </c>
      <c r="AU57" s="117">
        <f t="shared" si="24"/>
        <v>3.7561917613535014</v>
      </c>
      <c r="AV57" s="117">
        <f t="shared" si="24"/>
        <v>1.9921736446218905</v>
      </c>
      <c r="AW57" s="117">
        <f t="shared" si="24"/>
        <v>2.9861732295997374</v>
      </c>
      <c r="AX57" s="117">
        <f t="shared" si="24"/>
        <v>5.7381321797397513</v>
      </c>
      <c r="AY57" s="117">
        <f t="shared" si="24"/>
        <v>3.6792243714174253</v>
      </c>
      <c r="AZ57" s="117">
        <f t="shared" si="24"/>
        <v>1.8794025222439572</v>
      </c>
      <c r="BA57" s="117">
        <f t="shared" si="24"/>
        <v>7.6976306815919369</v>
      </c>
      <c r="BB57" s="117">
        <f t="shared" si="24"/>
        <v>4.8560150289645092</v>
      </c>
      <c r="BC57" s="117">
        <f t="shared" si="24"/>
        <v>3.5886070838156741</v>
      </c>
      <c r="BD57" s="117">
        <f t="shared" si="24"/>
        <v>1.8834028632919879</v>
      </c>
      <c r="BE57" s="117">
        <f t="shared" si="24"/>
        <v>6.0689632869911625</v>
      </c>
      <c r="BF57" s="117">
        <f t="shared" si="24"/>
        <v>4.7122073033007048</v>
      </c>
      <c r="BG57" s="117">
        <f t="shared" si="24"/>
        <v>3.2328172429152362</v>
      </c>
      <c r="BH57" s="117">
        <f t="shared" si="24"/>
        <v>1.0834512137142438</v>
      </c>
      <c r="BI57" s="117">
        <f t="shared" si="24"/>
        <v>5.5771224844512419</v>
      </c>
      <c r="BJ57" s="117">
        <f t="shared" si="24"/>
        <v>4.3123325785942201</v>
      </c>
      <c r="BK57" s="117">
        <f t="shared" si="24"/>
        <v>3.160889198543813</v>
      </c>
      <c r="BL57" s="117">
        <f t="shared" si="24"/>
        <v>1.5513041059211066</v>
      </c>
      <c r="BM57" s="117">
        <f t="shared" si="24"/>
        <v>10.826496058958167</v>
      </c>
      <c r="BN57" s="117">
        <f t="shared" si="24"/>
        <v>128.1489361750871</v>
      </c>
      <c r="BO57" s="117">
        <f t="shared" si="24"/>
        <v>81.395528241576329</v>
      </c>
      <c r="BP57" s="117">
        <f t="shared" si="24"/>
        <v>36.39112414388925</v>
      </c>
      <c r="BQ57" s="117">
        <f t="shared" si="24"/>
        <v>113.45123211351344</v>
      </c>
      <c r="BR57" s="117">
        <f t="shared" ref="BR57:CK57" si="25">BR49/BR56</f>
        <v>33.718431691010302</v>
      </c>
      <c r="BS57" s="117">
        <f t="shared" si="25"/>
        <v>97.01732840714098</v>
      </c>
      <c r="BT57" s="117">
        <f t="shared" si="25"/>
        <v>24.67467028455124</v>
      </c>
      <c r="BU57" s="117">
        <f t="shared" si="25"/>
        <v>37.379618198444369</v>
      </c>
      <c r="BV57" s="117">
        <f t="shared" si="25"/>
        <v>14.179596885578368</v>
      </c>
      <c r="BW57" s="117">
        <f t="shared" si="25"/>
        <v>116.08530946380951</v>
      </c>
      <c r="BX57" s="117">
        <f t="shared" si="25"/>
        <v>271.99373251200001</v>
      </c>
      <c r="BY57" s="117">
        <f t="shared" si="25"/>
        <v>546.29427906400008</v>
      </c>
      <c r="BZ57" s="117">
        <f t="shared" si="25"/>
        <v>223.16583256491225</v>
      </c>
      <c r="CA57" s="117">
        <f t="shared" si="25"/>
        <v>215.32158932982458</v>
      </c>
      <c r="CB57" s="117">
        <f t="shared" si="25"/>
        <v>51.56317781754386</v>
      </c>
      <c r="CC57" s="117">
        <f t="shared" si="25"/>
        <v>74.791672856140352</v>
      </c>
      <c r="CD57" s="117">
        <f t="shared" si="25"/>
        <v>35.708282930314091</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25569</v>
      </c>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31645284235.709999</v>
      </c>
      <c r="F63" s="76">
        <f t="shared" ref="F63:BQ63" si="26">F49</f>
        <v>24205181216.639999</v>
      </c>
      <c r="G63" s="76">
        <f t="shared" si="26"/>
        <v>13963103340.84</v>
      </c>
      <c r="H63" s="76">
        <f t="shared" si="26"/>
        <v>7630739661.6099997</v>
      </c>
      <c r="I63" s="76">
        <f t="shared" si="26"/>
        <v>29270802965.48</v>
      </c>
      <c r="J63" s="76">
        <f t="shared" si="26"/>
        <v>22139965801.990002</v>
      </c>
      <c r="K63" s="76">
        <f t="shared" si="26"/>
        <v>13138564310.35</v>
      </c>
      <c r="L63" s="76">
        <f t="shared" si="26"/>
        <v>6900062535.5799999</v>
      </c>
      <c r="M63" s="76">
        <f t="shared" si="26"/>
        <v>31279699772.91</v>
      </c>
      <c r="N63" s="76">
        <f t="shared" si="26"/>
        <v>24390224176.689999</v>
      </c>
      <c r="O63" s="76">
        <f t="shared" si="26"/>
        <v>14926173663.58</v>
      </c>
      <c r="P63" s="76">
        <f t="shared" si="26"/>
        <v>7600001553.6199999</v>
      </c>
      <c r="Q63" s="76">
        <f t="shared" si="26"/>
        <v>32957169192.110001</v>
      </c>
      <c r="R63" s="76">
        <f t="shared" si="26"/>
        <v>25532032094.880001</v>
      </c>
      <c r="S63" s="76">
        <f t="shared" si="26"/>
        <v>14621681241.700001</v>
      </c>
      <c r="T63" s="76">
        <f t="shared" si="26"/>
        <v>7403217065.1400003</v>
      </c>
      <c r="U63" s="76">
        <f t="shared" si="26"/>
        <v>28338981085.049999</v>
      </c>
      <c r="V63" s="76">
        <f t="shared" si="26"/>
        <v>20434757606.32</v>
      </c>
      <c r="W63" s="76">
        <f t="shared" si="26"/>
        <v>12168841172.08</v>
      </c>
      <c r="X63" s="76">
        <f t="shared" si="26"/>
        <v>5971110428.3800001</v>
      </c>
      <c r="Y63" s="76">
        <f t="shared" si="26"/>
        <v>23867007746.380001</v>
      </c>
      <c r="Z63" s="76">
        <f t="shared" si="26"/>
        <v>17863621703.299999</v>
      </c>
      <c r="AA63" s="76">
        <f t="shared" si="26"/>
        <v>10926725049.4</v>
      </c>
      <c r="AB63" s="76">
        <f t="shared" si="26"/>
        <v>5253274351.6700001</v>
      </c>
      <c r="AC63" s="76">
        <f t="shared" si="26"/>
        <v>21703539229.470001</v>
      </c>
      <c r="AD63" s="76">
        <f t="shared" si="26"/>
        <v>15921395685.65</v>
      </c>
      <c r="AE63" s="76">
        <f t="shared" si="26"/>
        <v>9608183225.0499992</v>
      </c>
      <c r="AF63" s="76">
        <f t="shared" si="26"/>
        <v>4295912033.9700003</v>
      </c>
      <c r="AG63" s="76">
        <f t="shared" si="26"/>
        <v>15947612024.690001</v>
      </c>
      <c r="AH63" s="76">
        <f t="shared" si="26"/>
        <v>11586634877.459999</v>
      </c>
      <c r="AI63" s="76">
        <f t="shared" si="26"/>
        <v>6940940134.21</v>
      </c>
      <c r="AJ63" s="76">
        <f t="shared" si="26"/>
        <v>3575394783.4299998</v>
      </c>
      <c r="AK63" s="76">
        <f t="shared" si="26"/>
        <v>11917120466.15</v>
      </c>
      <c r="AL63" s="76">
        <f t="shared" si="26"/>
        <v>4660474238.6400003</v>
      </c>
      <c r="AM63" s="76">
        <f t="shared" si="26"/>
        <v>3199327190.8000002</v>
      </c>
      <c r="AN63" s="76">
        <f t="shared" si="26"/>
        <v>1549689921.1800001</v>
      </c>
      <c r="AO63" s="76">
        <f t="shared" si="26"/>
        <v>6580129765.1800003</v>
      </c>
      <c r="AP63" s="76">
        <f t="shared" si="26"/>
        <v>5120647626.3500004</v>
      </c>
      <c r="AQ63" s="76">
        <f t="shared" si="26"/>
        <v>3442075295.3600001</v>
      </c>
      <c r="AR63" s="76">
        <f t="shared" si="26"/>
        <v>1788555071.6700001</v>
      </c>
      <c r="AS63" s="76">
        <f t="shared" si="26"/>
        <v>6648986102.8400002</v>
      </c>
      <c r="AT63" s="76">
        <f t="shared" si="26"/>
        <v>4881953554.7200003</v>
      </c>
      <c r="AU63" s="76">
        <f t="shared" si="26"/>
        <v>3425705083.5500002</v>
      </c>
      <c r="AV63" s="76">
        <f t="shared" si="26"/>
        <v>1705403569.95</v>
      </c>
      <c r="AW63" s="76">
        <f t="shared" si="26"/>
        <v>4217034152.5999999</v>
      </c>
      <c r="AX63" s="76">
        <f t="shared" si="26"/>
        <v>2433306901.4000001</v>
      </c>
      <c r="AY63" s="76">
        <f t="shared" si="26"/>
        <v>1565474217.5799999</v>
      </c>
      <c r="AZ63" s="76">
        <f t="shared" si="26"/>
        <v>746157118.29999995</v>
      </c>
      <c r="BA63" s="76">
        <f t="shared" si="26"/>
        <v>3056764453</v>
      </c>
      <c r="BB63" s="76">
        <f t="shared" si="26"/>
        <v>2308914489.1100001</v>
      </c>
      <c r="BC63" s="76">
        <f t="shared" si="26"/>
        <v>1517214113.4100001</v>
      </c>
      <c r="BD63" s="76">
        <f t="shared" si="26"/>
        <v>787189588.39999998</v>
      </c>
      <c r="BE63" s="76">
        <f t="shared" si="26"/>
        <v>2377850873.52</v>
      </c>
      <c r="BF63" s="76">
        <f t="shared" si="26"/>
        <v>1675492643</v>
      </c>
      <c r="BG63" s="76">
        <f t="shared" si="26"/>
        <v>1054599281.13</v>
      </c>
      <c r="BH63" s="76">
        <f t="shared" si="26"/>
        <v>329092815.69</v>
      </c>
      <c r="BI63" s="76">
        <f t="shared" si="26"/>
        <v>1376597157.76</v>
      </c>
      <c r="BJ63" s="76">
        <f t="shared" si="26"/>
        <v>1014596056.9299999</v>
      </c>
      <c r="BK63" s="76">
        <f t="shared" si="26"/>
        <v>672223749.58000004</v>
      </c>
      <c r="BL63" s="76">
        <f t="shared" si="26"/>
        <v>392896529.39999998</v>
      </c>
      <c r="BM63" s="76">
        <f t="shared" si="26"/>
        <v>2536380521.7600002</v>
      </c>
      <c r="BN63" s="76">
        <f t="shared" si="26"/>
        <v>2203933549.6900001</v>
      </c>
      <c r="BO63" s="76">
        <f t="shared" si="26"/>
        <v>1367752390.02</v>
      </c>
      <c r="BP63" s="76">
        <f t="shared" si="26"/>
        <v>611508372.74000001</v>
      </c>
      <c r="BQ63" s="76">
        <f t="shared" si="26"/>
        <v>1906409322.8</v>
      </c>
      <c r="BR63" s="76">
        <f t="shared" ref="BR63:CJ63" si="27">BR49</f>
        <v>646122321.89999998</v>
      </c>
      <c r="BS63" s="76">
        <f t="shared" si="27"/>
        <v>1859074053.9000001</v>
      </c>
      <c r="BT63" s="76">
        <f t="shared" si="27"/>
        <v>549623332.33000004</v>
      </c>
      <c r="BU63" s="76">
        <f t="shared" si="27"/>
        <v>1314714236.1099999</v>
      </c>
      <c r="BV63" s="76">
        <f t="shared" si="27"/>
        <v>566333099.61000001</v>
      </c>
      <c r="BW63" s="76">
        <f t="shared" si="27"/>
        <v>1218895749.3699999</v>
      </c>
      <c r="BX63" s="76">
        <f t="shared" si="27"/>
        <v>679984331.27999997</v>
      </c>
      <c r="BY63" s="76">
        <f t="shared" si="27"/>
        <v>1365735697.6600001</v>
      </c>
      <c r="BZ63" s="76">
        <f t="shared" si="27"/>
        <v>636022622.80999994</v>
      </c>
      <c r="CA63" s="76">
        <f t="shared" si="27"/>
        <v>613666529.59000003</v>
      </c>
      <c r="CB63" s="76">
        <f t="shared" si="27"/>
        <v>146955056.78</v>
      </c>
      <c r="CC63" s="76">
        <f t="shared" si="27"/>
        <v>213156267.63999999</v>
      </c>
      <c r="CD63" s="76">
        <f t="shared" si="27"/>
        <v>111235147.11</v>
      </c>
      <c r="CE63" s="76">
        <f t="shared" si="27"/>
        <v>127416182.34</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3453271081.5599995</v>
      </c>
      <c r="F64" s="76">
        <f>资产资本表!F22+资产资本表!F23-资产资本表!F37</f>
        <v>4010856069.8500004</v>
      </c>
      <c r="G64" s="76">
        <f>资产资本表!G22+资产资本表!G23-资产资本表!G37</f>
        <v>4046068718.3700004</v>
      </c>
      <c r="H64" s="76">
        <f>资产资本表!H22+资产资本表!H23-资产资本表!H37</f>
        <v>4047824132.7099996</v>
      </c>
      <c r="I64" s="76">
        <f>资产资本表!I22+资产资本表!I23-资产资本表!I37</f>
        <v>2771638348.6099997</v>
      </c>
      <c r="J64" s="76">
        <f>资产资本表!J22+资产资本表!J23-资产资本表!J37</f>
        <v>4575105964.7600002</v>
      </c>
      <c r="K64" s="76">
        <f>资产资本表!K22+资产资本表!K23-资产资本表!K37</f>
        <v>4157873349.3800001</v>
      </c>
      <c r="L64" s="76">
        <f>资产资本表!L22+资产资本表!L23-资产资本表!L37</f>
        <v>4080624672.23</v>
      </c>
      <c r="M64" s="76">
        <f>资产资本表!M22+资产资本表!M23-资产资本表!M37</f>
        <v>2607879647.4899998</v>
      </c>
      <c r="N64" s="76">
        <f>资产资本表!N22+资产资本表!N23-资产资本表!N37</f>
        <v>4360041193.1700001</v>
      </c>
      <c r="O64" s="76">
        <f>资产资本表!O22+资产资本表!O23-资产资本表!O37</f>
        <v>3970682415.5900002</v>
      </c>
      <c r="P64" s="76">
        <f>资产资本表!P22+资产资本表!P23-资产资本表!P37</f>
        <v>3835249892.3600001</v>
      </c>
      <c r="Q64" s="76">
        <f>资产资本表!Q22+资产资本表!Q23-资产资本表!Q37</f>
        <v>3230168840.5599995</v>
      </c>
      <c r="R64" s="76">
        <f>资产资本表!R22+资产资本表!R23-资产资本表!R37</f>
        <v>4878116095.6599998</v>
      </c>
      <c r="S64" s="76">
        <f>资产资本表!S22+资产资本表!S23-资产资本表!S37</f>
        <v>3984223793.7099996</v>
      </c>
      <c r="T64" s="76">
        <f>资产资本表!T22+资产资本表!T23-资产资本表!T37</f>
        <v>3921984986.9299998</v>
      </c>
      <c r="U64" s="76">
        <f>资产资本表!U22+资产资本表!U23-资产资本表!U37</f>
        <v>3512943309.98</v>
      </c>
      <c r="V64" s="76">
        <f>资产资本表!V22+资产资本表!V23-资产资本表!V37</f>
        <v>4258696547.3600006</v>
      </c>
      <c r="W64" s="76">
        <f>资产资本表!W22+资产资本表!W23-资产资本表!W37</f>
        <v>3345445583.9500003</v>
      </c>
      <c r="X64" s="76">
        <f>资产资本表!X22+资产资本表!X23-资产资本表!X37</f>
        <v>3035610014.5600004</v>
      </c>
      <c r="Y64" s="76">
        <f>资产资本表!Y22+资产资本表!Y23-资产资本表!Y37</f>
        <v>3342682538.46</v>
      </c>
      <c r="Z64" s="76">
        <f>资产资本表!Z22+资产资本表!Z23-资产资本表!Z37</f>
        <v>2834696328.1000004</v>
      </c>
      <c r="AA64" s="76">
        <f>资产资本表!AA22+资产资本表!AA23-资产资本表!AA37</f>
        <v>2590480253.1500001</v>
      </c>
      <c r="AB64" s="76">
        <f>资产资本表!AB22+资产资本表!AB23-资产资本表!AB37</f>
        <v>2277103070.2199998</v>
      </c>
      <c r="AC64" s="76">
        <f>资产资本表!AC22+资产资本表!AC23-资产资本表!AC37</f>
        <v>2455724995.5599999</v>
      </c>
      <c r="AD64" s="76">
        <f>资产资本表!AD22+资产资本表!AD23-资产资本表!AD37</f>
        <v>2548663353.25</v>
      </c>
      <c r="AE64" s="76">
        <f>资产资本表!AE22+资产资本表!AE23-资产资本表!AE37</f>
        <v>2063841094.2199998</v>
      </c>
      <c r="AF64" s="76">
        <f>资产资本表!AF22+资产资本表!AF23-资产资本表!AF37</f>
        <v>1609172265.78</v>
      </c>
      <c r="AG64" s="76">
        <f>资产资本表!AG22+资产资本表!AG23-资产资本表!AG37</f>
        <v>2155908133.3600001</v>
      </c>
      <c r="AH64" s="76">
        <f>资产资本表!AH22+资产资本表!AH23-资产资本表!AH37</f>
        <v>2259677002.3299999</v>
      </c>
      <c r="AI64" s="76">
        <f>资产资本表!AI22+资产资本表!AI23-资产资本表!AI37</f>
        <v>1673397180.98</v>
      </c>
      <c r="AJ64" s="76">
        <f>资产资本表!AJ22+资产资本表!AJ23-资产资本表!AJ37</f>
        <v>1766743057.7400002</v>
      </c>
      <c r="AK64" s="76">
        <f>资产资本表!AK22+资产资本表!AK23-资产资本表!AK37</f>
        <v>1919219242.3400002</v>
      </c>
      <c r="AL64" s="76">
        <f>资产资本表!AL22+资产资本表!AL23-资产资本表!AL37</f>
        <v>927840079.19000006</v>
      </c>
      <c r="AM64" s="76">
        <f>资产资本表!AM22+资产资本表!AM23-资产资本表!AM37</f>
        <v>944167157.39999998</v>
      </c>
      <c r="AN64" s="76">
        <f>资产资本表!AN22+资产资本表!AN23-资产资本表!AN37</f>
        <v>909780782.96000004</v>
      </c>
      <c r="AO64" s="76">
        <f>资产资本表!AO22+资产资本表!AO23-资产资本表!AO37</f>
        <v>689161298.52999997</v>
      </c>
      <c r="AP64" s="76">
        <f>资产资本表!AP22+资产资本表!AP23-资产资本表!AP37</f>
        <v>1090898442.45</v>
      </c>
      <c r="AQ64" s="76">
        <f>资产资本表!AQ22+资产资本表!AQ23-资产资本表!AQ37</f>
        <v>981294229.68000007</v>
      </c>
      <c r="AR64" s="76">
        <f>资产资本表!AR22+资产资本表!AR23-资产资本表!AR37</f>
        <v>1144845065.3199999</v>
      </c>
      <c r="AS64" s="76">
        <f>资产资本表!AS22+资产资本表!AS23-资产资本表!AS37</f>
        <v>1076726259.77</v>
      </c>
      <c r="AT64" s="76">
        <f>资产资本表!AT22+资产资本表!AT23-资产资本表!AT37</f>
        <v>896613708.24000001</v>
      </c>
      <c r="AU64" s="76">
        <f>资产资本表!AU22+资产资本表!AU23-资产资本表!AU37</f>
        <v>984703017.08000004</v>
      </c>
      <c r="AV64" s="76">
        <f>资产资本表!AV22+资产资本表!AV23-资产资本表!AV37</f>
        <v>1091915723.8499999</v>
      </c>
      <c r="AW64" s="76">
        <f>资产资本表!AW22+资产资本表!AW23-资产资本表!AW37</f>
        <v>838905076.45000005</v>
      </c>
      <c r="AX64" s="76">
        <f>资产资本表!AX22+资产资本表!AX23-资产资本表!AX37</f>
        <v>507254256.70999998</v>
      </c>
      <c r="AY64" s="76">
        <f>资产资本表!AY22+资产资本表!AY23-资产资本表!AY37</f>
        <v>432111759.25</v>
      </c>
      <c r="AZ64" s="76">
        <f>资产资本表!AZ22+资产资本表!AZ23-资产资本表!AZ37</f>
        <v>415536295.07999998</v>
      </c>
      <c r="BA64" s="76">
        <f>资产资本表!BA22+资产资本表!BA23-资产资本表!BA37</f>
        <v>387799127.53000003</v>
      </c>
      <c r="BB64" s="76">
        <f>资产资本表!BB22+资产资本表!BB23-资产资本表!BB37</f>
        <v>545546886.61000001</v>
      </c>
      <c r="BC64" s="76">
        <f>资产资本表!BC22+资产资本表!BC23-资产资本表!BC37</f>
        <v>523280047.75999999</v>
      </c>
      <c r="BD64" s="76">
        <f>资产资本表!BD22+资产资本表!BD23-资产资本表!BD37</f>
        <v>561440251.60000002</v>
      </c>
      <c r="BE64" s="76">
        <f>资产资本表!BE22+资产资本表!BE23-资产资本表!BE37</f>
        <v>440332288.11000001</v>
      </c>
      <c r="BF64" s="76">
        <f>资产资本表!BF22+资产资本表!BF23-资产资本表!BF37</f>
        <v>510384363.02999997</v>
      </c>
      <c r="BG64" s="76">
        <f>资产资本表!BG22+资产资本表!BG23-资产资本表!BG37</f>
        <v>924332545.14999998</v>
      </c>
      <c r="BH64" s="76">
        <f>资产资本表!BH22+资产资本表!BH23-资产资本表!BH37</f>
        <v>402287412.26999998</v>
      </c>
      <c r="BI64" s="76">
        <f>资产资本表!BI22+资产资本表!BI23-资产资本表!BI37</f>
        <v>418615982.79000002</v>
      </c>
      <c r="BJ64" s="76">
        <f>资产资本表!BJ22+资产资本表!BJ23-资产资本表!BJ37</f>
        <v>343524590.99000001</v>
      </c>
      <c r="BK64" s="76">
        <f>资产资本表!BK22+资产资本表!BK23-资产资本表!BK37</f>
        <v>395751258.90000004</v>
      </c>
      <c r="BL64" s="76">
        <f>资产资本表!BL22+资产资本表!BL23-资产资本表!BL37</f>
        <v>640661783.49000001</v>
      </c>
      <c r="BM64" s="76">
        <f>资产资本表!BM22+资产资本表!BM23-资产资本表!BM37</f>
        <v>581740893.98000002</v>
      </c>
      <c r="BN64" s="76">
        <f>资产资本表!BN22+资产资本表!BN23-资产资本表!BN37</f>
        <v>132135629.06999999</v>
      </c>
      <c r="BO64" s="76">
        <f>资产资本表!BO22+资产资本表!BO23-资产资本表!BO37</f>
        <v>182619523.17000002</v>
      </c>
      <c r="BP64" s="76">
        <f>资产资本表!BP22+资产资本表!BP23-资产资本表!BP37</f>
        <v>132308424.54000001</v>
      </c>
      <c r="BQ64" s="76">
        <f>资产资本表!BQ22+资产资本表!BQ23-资产资本表!BQ37</f>
        <v>135740757.28</v>
      </c>
      <c r="BR64" s="76">
        <f>资产资本表!BR22+资产资本表!BR23-资产资本表!BR37</f>
        <v>181852203.84</v>
      </c>
      <c r="BS64" s="76">
        <f>资产资本表!BS22+资产资本表!BS23-资产资本表!BS37</f>
        <v>193980339.98999998</v>
      </c>
      <c r="BT64" s="76">
        <f>资产资本表!BT22+资产资本表!BT23-资产资本表!BT37</f>
        <v>85429100.789999992</v>
      </c>
      <c r="BU64" s="76">
        <f>资产资本表!BU22+资产资本表!BU23-资产资本表!BU37</f>
        <v>177491096.40000001</v>
      </c>
      <c r="BV64" s="76">
        <f>资产资本表!BV22+资产资本表!BV23-资产资本表!BV37</f>
        <v>142965798.21000001</v>
      </c>
      <c r="BW64" s="76">
        <f>资产资本表!BW22+资产资本表!BW23-资产资本表!BW37</f>
        <v>225060559.80000001</v>
      </c>
      <c r="BX64" s="76">
        <f>资产资本表!BX22+资产资本表!BX23-资产资本表!BX37</f>
        <v>171792222.10000002</v>
      </c>
      <c r="BY64" s="76">
        <f>资产资本表!BY22+资产资本表!BY23-资产资本表!BY37</f>
        <v>40569306.040000007</v>
      </c>
      <c r="BZ64" s="76">
        <f>资产资本表!BZ22+资产资本表!BZ23-资产资本表!BZ37</f>
        <v>0</v>
      </c>
      <c r="CA64" s="76">
        <f>资产资本表!CA22+资产资本表!CA23-资产资本表!CA37</f>
        <v>16163395.91</v>
      </c>
      <c r="CB64" s="76">
        <f>资产资本表!CB22+资产资本表!CB23-资产资本表!CB37</f>
        <v>0</v>
      </c>
      <c r="CC64" s="76">
        <f>资产资本表!CC22+资产资本表!CC23-资产资本表!CC37</f>
        <v>-513418</v>
      </c>
      <c r="CD64" s="76">
        <f>资产资本表!CD22+资产资本表!CD23-资产资本表!CD37</f>
        <v>1088086.03</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10.167307521724306</v>
      </c>
      <c r="F65" s="155">
        <f t="shared" ref="F65:BQ65" si="28">F63/(F64+J64)*2</f>
        <v>5.6383154547082661</v>
      </c>
      <c r="G65" s="155">
        <f t="shared" si="28"/>
        <v>3.4039985230343048</v>
      </c>
      <c r="H65" s="155">
        <f t="shared" si="28"/>
        <v>1.8775389609324915</v>
      </c>
      <c r="I65" s="155">
        <f t="shared" si="28"/>
        <v>10.882314358535659</v>
      </c>
      <c r="J65" s="155">
        <f t="shared" si="28"/>
        <v>4.9557025554616949</v>
      </c>
      <c r="K65" s="155">
        <f t="shared" si="28"/>
        <v>3.2326934058742944</v>
      </c>
      <c r="L65" s="155">
        <f t="shared" si="28"/>
        <v>1.7433481238942259</v>
      </c>
      <c r="M65" s="155">
        <f t="shared" si="28"/>
        <v>10.71580677582139</v>
      </c>
      <c r="N65" s="155">
        <f t="shared" si="28"/>
        <v>5.2803223444096581</v>
      </c>
      <c r="O65" s="155">
        <f t="shared" si="28"/>
        <v>3.7526963287461426</v>
      </c>
      <c r="P65" s="155">
        <f t="shared" si="28"/>
        <v>1.9594615019097137</v>
      </c>
      <c r="Q65" s="155">
        <f t="shared" si="28"/>
        <v>9.7750618575936752</v>
      </c>
      <c r="R65" s="155">
        <f t="shared" si="28"/>
        <v>5.5888268901705027</v>
      </c>
      <c r="S65" s="155">
        <f t="shared" si="28"/>
        <v>3.9897246351288982</v>
      </c>
      <c r="T65" s="155">
        <f t="shared" si="28"/>
        <v>2.1280965803713983</v>
      </c>
      <c r="U65" s="155">
        <f t="shared" si="28"/>
        <v>8.2673651425999406</v>
      </c>
      <c r="V65" s="155">
        <f t="shared" si="28"/>
        <v>5.7616314125262154</v>
      </c>
      <c r="W65" s="155">
        <f t="shared" si="28"/>
        <v>4.1000650971829167</v>
      </c>
      <c r="X65" s="155">
        <f t="shared" si="28"/>
        <v>2.2478572936627024</v>
      </c>
      <c r="Y65" s="155">
        <f t="shared" si="28"/>
        <v>8.2322629468002049</v>
      </c>
      <c r="Z65" s="155">
        <f t="shared" si="28"/>
        <v>6.6366071600923711</v>
      </c>
      <c r="AA65" s="155">
        <f t="shared" si="28"/>
        <v>4.6953032392463934</v>
      </c>
      <c r="AB65" s="155">
        <f t="shared" si="28"/>
        <v>2.7035008574955999</v>
      </c>
      <c r="AC65" s="155">
        <f t="shared" si="28"/>
        <v>9.4125177015339734</v>
      </c>
      <c r="AD65" s="155">
        <f t="shared" si="28"/>
        <v>6.6224079446345687</v>
      </c>
      <c r="AE65" s="155">
        <f t="shared" si="28"/>
        <v>5.1418627968192974</v>
      </c>
      <c r="AF65" s="155">
        <f t="shared" si="28"/>
        <v>2.5450354184184558</v>
      </c>
      <c r="AG65" s="155">
        <f t="shared" si="28"/>
        <v>7.8268041974764619</v>
      </c>
      <c r="AH65" s="155">
        <f t="shared" si="28"/>
        <v>7.2700064540107778</v>
      </c>
      <c r="AI65" s="155">
        <f t="shared" si="28"/>
        <v>5.3033578066743674</v>
      </c>
      <c r="AJ65" s="155">
        <f t="shared" si="28"/>
        <v>2.6716704174732215</v>
      </c>
      <c r="AK65" s="155">
        <f t="shared" si="28"/>
        <v>9.1375627746211912</v>
      </c>
      <c r="AL65" s="155">
        <f t="shared" si="28"/>
        <v>4.6172143531039218</v>
      </c>
      <c r="AM65" s="155">
        <f t="shared" si="28"/>
        <v>3.3231797970790189</v>
      </c>
      <c r="AN65" s="155">
        <f t="shared" si="28"/>
        <v>1.5084886841828651</v>
      </c>
      <c r="AO65" s="155">
        <f t="shared" si="28"/>
        <v>7.4524900911750205</v>
      </c>
      <c r="AP65" s="155">
        <f t="shared" si="28"/>
        <v>5.1528214552774196</v>
      </c>
      <c r="AQ65" s="155">
        <f t="shared" si="28"/>
        <v>3.5016074422612786</v>
      </c>
      <c r="AR65" s="155">
        <f t="shared" si="28"/>
        <v>1.5992367894947617</v>
      </c>
      <c r="AS65" s="155">
        <f t="shared" si="28"/>
        <v>6.9418222359632562</v>
      </c>
      <c r="AT65" s="155">
        <f t="shared" si="28"/>
        <v>6.9550038559272567</v>
      </c>
      <c r="AU65" s="155">
        <f t="shared" si="28"/>
        <v>4.8357839581877649</v>
      </c>
      <c r="AV65" s="155">
        <f t="shared" si="28"/>
        <v>2.2626306489814616</v>
      </c>
      <c r="AW65" s="155">
        <f t="shared" si="28"/>
        <v>6.8753887675903878</v>
      </c>
      <c r="AX65" s="155">
        <f t="shared" si="28"/>
        <v>4.62253848571362</v>
      </c>
      <c r="AY65" s="155">
        <f t="shared" si="28"/>
        <v>3.2771355293056521</v>
      </c>
      <c r="AZ65" s="155">
        <f t="shared" si="28"/>
        <v>1.5274821505912712</v>
      </c>
      <c r="BA65" s="155">
        <f t="shared" si="28"/>
        <v>7.3823173358002805</v>
      </c>
      <c r="BB65" s="155">
        <f t="shared" si="28"/>
        <v>4.3732288250720517</v>
      </c>
      <c r="BC65" s="155">
        <f t="shared" si="28"/>
        <v>2.0961604241920648</v>
      </c>
      <c r="BD65" s="155">
        <f t="shared" si="28"/>
        <v>1.6336349321735071</v>
      </c>
      <c r="BE65" s="155">
        <f t="shared" si="28"/>
        <v>5.5366567558917232</v>
      </c>
      <c r="BF65" s="155">
        <f t="shared" si="28"/>
        <v>3.9242887315144777</v>
      </c>
      <c r="BG65" s="155">
        <f t="shared" si="28"/>
        <v>1.5977762591958224</v>
      </c>
      <c r="BH65" s="155">
        <f t="shared" si="28"/>
        <v>0.63108120132388457</v>
      </c>
      <c r="BI65" s="155">
        <f t="shared" si="28"/>
        <v>2.7522121149500616</v>
      </c>
      <c r="BJ65" s="155">
        <f t="shared" si="28"/>
        <v>4.2660538516423268</v>
      </c>
      <c r="BK65" s="155">
        <f t="shared" si="28"/>
        <v>2.3245425613448121</v>
      </c>
      <c r="BL65" s="155">
        <f t="shared" si="28"/>
        <v>1.0165890620838809</v>
      </c>
      <c r="BM65" s="155">
        <f t="shared" si="28"/>
        <v>7.0702310429981159</v>
      </c>
      <c r="BN65" s="155">
        <f t="shared" si="28"/>
        <v>14.038337277366576</v>
      </c>
      <c r="BO65" s="155">
        <f t="shared" si="28"/>
        <v>7.2636903186494512</v>
      </c>
      <c r="BP65" s="155">
        <f t="shared" si="28"/>
        <v>5.6169314114616338</v>
      </c>
      <c r="BQ65" s="155">
        <f t="shared" si="28"/>
        <v>12.172512472167673</v>
      </c>
      <c r="BR65" s="155">
        <f t="shared" ref="BR65:CK65" si="29">BR63/(BR64+BV64)*2</f>
        <v>3.9783652249701409</v>
      </c>
      <c r="BS65" s="155">
        <f t="shared" si="29"/>
        <v>8.8729957139346762</v>
      </c>
      <c r="BT65" s="155">
        <f t="shared" si="29"/>
        <v>4.2735440915607521</v>
      </c>
      <c r="BU65" s="155">
        <f t="shared" si="29"/>
        <v>12.058257449760946</v>
      </c>
      <c r="BV65" s="155">
        <f t="shared" si="29"/>
        <v>7.9226375357009937</v>
      </c>
      <c r="BW65" s="155">
        <f t="shared" si="29"/>
        <v>10.10592621932922</v>
      </c>
      <c r="BX65" s="155">
        <f t="shared" si="29"/>
        <v>7.9163575971929854</v>
      </c>
      <c r="BY65" s="155">
        <f t="shared" si="29"/>
        <v>68.191507640333413</v>
      </c>
      <c r="BZ65" s="155">
        <f t="shared" si="29"/>
        <v>1169.0667930181953</v>
      </c>
      <c r="CA65" s="155">
        <f t="shared" si="29"/>
        <v>75.932871162344753</v>
      </c>
      <c r="CB65" s="155" t="e">
        <f t="shared" si="29"/>
        <v>#DIV/0!</v>
      </c>
      <c r="CC65" s="155">
        <f t="shared" si="29"/>
        <v>-830.34201231744885</v>
      </c>
      <c r="CD65" s="155">
        <f t="shared" si="29"/>
        <v>204.46020634967621</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35.899376429808086</v>
      </c>
      <c r="F66" s="83">
        <f t="shared" ref="F66:BQ66" si="30">F62/F65</f>
        <v>64.735647186112544</v>
      </c>
      <c r="G66" s="83">
        <f t="shared" si="30"/>
        <v>107.22683853418394</v>
      </c>
      <c r="H66" s="83">
        <f t="shared" si="30"/>
        <v>194.40342256265109</v>
      </c>
      <c r="I66" s="83">
        <f t="shared" si="30"/>
        <v>33.540659456663128</v>
      </c>
      <c r="J66" s="83">
        <f t="shared" si="30"/>
        <v>73.652523716891039</v>
      </c>
      <c r="K66" s="83">
        <f t="shared" si="30"/>
        <v>112.90894439192397</v>
      </c>
      <c r="L66" s="83">
        <f t="shared" si="30"/>
        <v>209.36724857034099</v>
      </c>
      <c r="M66" s="83">
        <f t="shared" si="30"/>
        <v>34.061831053501983</v>
      </c>
      <c r="N66" s="83">
        <f t="shared" si="30"/>
        <v>69.124567818559399</v>
      </c>
      <c r="O66" s="83">
        <f t="shared" si="30"/>
        <v>97.263398907087804</v>
      </c>
      <c r="P66" s="83">
        <f t="shared" si="30"/>
        <v>186.27566790379234</v>
      </c>
      <c r="Q66" s="83">
        <f t="shared" si="30"/>
        <v>37.339917160365879</v>
      </c>
      <c r="R66" s="83">
        <f t="shared" si="30"/>
        <v>65.308875578514233</v>
      </c>
      <c r="S66" s="83">
        <f t="shared" si="30"/>
        <v>91.485010465692895</v>
      </c>
      <c r="T66" s="83">
        <f t="shared" si="30"/>
        <v>171.5147721050798</v>
      </c>
      <c r="U66" s="83">
        <f t="shared" si="30"/>
        <v>44.149495480637974</v>
      </c>
      <c r="V66" s="83">
        <f t="shared" si="30"/>
        <v>63.350112818126973</v>
      </c>
      <c r="W66" s="83">
        <f t="shared" si="30"/>
        <v>89.022976793901435</v>
      </c>
      <c r="X66" s="83">
        <f t="shared" si="30"/>
        <v>162.37685596369062</v>
      </c>
      <c r="Y66" s="83">
        <f t="shared" si="30"/>
        <v>44.337747999396896</v>
      </c>
      <c r="Z66" s="83">
        <f t="shared" si="30"/>
        <v>54.997981829456329</v>
      </c>
      <c r="AA66" s="83">
        <f t="shared" si="30"/>
        <v>77.737258149610653</v>
      </c>
      <c r="AB66" s="83">
        <f t="shared" si="30"/>
        <v>135.01012917677392</v>
      </c>
      <c r="AC66" s="83">
        <f t="shared" si="30"/>
        <v>38.778147523750775</v>
      </c>
      <c r="AD66" s="83">
        <f t="shared" si="30"/>
        <v>55.115903920675954</v>
      </c>
      <c r="AE66" s="83">
        <f t="shared" si="30"/>
        <v>70.985947004611873</v>
      </c>
      <c r="AF66" s="83">
        <f t="shared" si="30"/>
        <v>143.41647167598927</v>
      </c>
      <c r="AG66" s="83">
        <f t="shared" si="30"/>
        <v>46.634614945099074</v>
      </c>
      <c r="AH66" s="83">
        <f t="shared" si="30"/>
        <v>50.206282801665708</v>
      </c>
      <c r="AI66" s="83">
        <f t="shared" si="30"/>
        <v>68.824320987854378</v>
      </c>
      <c r="AJ66" s="83">
        <f t="shared" si="30"/>
        <v>136.61864787394137</v>
      </c>
      <c r="AK66" s="83">
        <f t="shared" si="30"/>
        <v>39.945006015581825</v>
      </c>
      <c r="AL66" s="83">
        <f t="shared" si="30"/>
        <v>79.051993710153141</v>
      </c>
      <c r="AM66" s="83">
        <f t="shared" si="30"/>
        <v>109.83456276450184</v>
      </c>
      <c r="AN66" s="83">
        <f t="shared" si="30"/>
        <v>241.96402918177492</v>
      </c>
      <c r="AO66" s="83">
        <f t="shared" si="30"/>
        <v>48.976918524483558</v>
      </c>
      <c r="AP66" s="83">
        <f t="shared" si="30"/>
        <v>70.834979082415927</v>
      </c>
      <c r="AQ66" s="83">
        <f t="shared" si="30"/>
        <v>104.23784105401866</v>
      </c>
      <c r="AR66" s="83">
        <f t="shared" si="30"/>
        <v>228.23386905407079</v>
      </c>
      <c r="AS66" s="83">
        <f t="shared" si="30"/>
        <v>52.579854048848624</v>
      </c>
      <c r="AT66" s="83">
        <f t="shared" si="30"/>
        <v>52.480200954732233</v>
      </c>
      <c r="AU66" s="83">
        <f t="shared" si="30"/>
        <v>75.47897159094461</v>
      </c>
      <c r="AV66" s="83">
        <f t="shared" si="30"/>
        <v>161.31665155526255</v>
      </c>
      <c r="AW66" s="83">
        <f t="shared" si="30"/>
        <v>53.087907075241837</v>
      </c>
      <c r="AX66" s="83">
        <f t="shared" si="30"/>
        <v>78.960943457380836</v>
      </c>
      <c r="AY66" s="83">
        <f t="shared" si="30"/>
        <v>111.37775558441274</v>
      </c>
      <c r="AZ66" s="83">
        <f t="shared" si="30"/>
        <v>238.95532910725836</v>
      </c>
      <c r="BA66" s="83">
        <f t="shared" si="30"/>
        <v>49.44246953865634</v>
      </c>
      <c r="BB66" s="83">
        <f t="shared" si="30"/>
        <v>83.462360329152546</v>
      </c>
      <c r="BC66" s="83">
        <f t="shared" si="30"/>
        <v>174.12789392810146</v>
      </c>
      <c r="BD66" s="83">
        <f t="shared" si="30"/>
        <v>223.42813122536342</v>
      </c>
      <c r="BE66" s="83">
        <f t="shared" si="30"/>
        <v>65.924260089194163</v>
      </c>
      <c r="BF66" s="83">
        <f t="shared" si="30"/>
        <v>93.010485459141464</v>
      </c>
      <c r="BG66" s="83">
        <f t="shared" si="30"/>
        <v>228.44249806522242</v>
      </c>
      <c r="BH66" s="83">
        <f t="shared" si="30"/>
        <v>578.3724808064344</v>
      </c>
      <c r="BI66" s="83">
        <f t="shared" si="30"/>
        <v>132.62059200208952</v>
      </c>
      <c r="BJ66" s="83">
        <f t="shared" si="30"/>
        <v>85.55916373617363</v>
      </c>
      <c r="BK66" s="83">
        <f t="shared" si="30"/>
        <v>157.02014068042592</v>
      </c>
      <c r="BL66" s="83">
        <f t="shared" si="30"/>
        <v>359.04380010915668</v>
      </c>
      <c r="BM66" s="83">
        <f t="shared" si="30"/>
        <v>51.624904162286406</v>
      </c>
      <c r="BN66" s="83">
        <f t="shared" si="30"/>
        <v>26.000230140393779</v>
      </c>
      <c r="BO66" s="83">
        <f t="shared" si="30"/>
        <v>50.249939629566285</v>
      </c>
      <c r="BP66" s="83">
        <f t="shared" si="30"/>
        <v>64.982100236296091</v>
      </c>
      <c r="BQ66" s="83">
        <f t="shared" si="30"/>
        <v>29.985592607489114</v>
      </c>
      <c r="BR66" s="83">
        <f t="shared" ref="BR66:CJ66" si="31">BR62/BR65</f>
        <v>91.746227246579522</v>
      </c>
      <c r="BS66" s="83">
        <f t="shared" si="31"/>
        <v>41.136050525391603</v>
      </c>
      <c r="BT66" s="83">
        <f t="shared" si="31"/>
        <v>85.409204206127058</v>
      </c>
      <c r="BU66" s="83">
        <f t="shared" si="31"/>
        <v>30.269713639862292</v>
      </c>
      <c r="BV66" s="83">
        <f t="shared" si="31"/>
        <v>46.070516081953365</v>
      </c>
      <c r="BW66" s="83">
        <f t="shared" si="31"/>
        <v>36.117421805621184</v>
      </c>
      <c r="BX66" s="83">
        <f t="shared" si="31"/>
        <v>46.107063193990022</v>
      </c>
      <c r="BY66" s="83">
        <f t="shared" si="31"/>
        <v>5.3525726682146635</v>
      </c>
      <c r="BZ66" s="83">
        <f t="shared" si="31"/>
        <v>0.31221483851891357</v>
      </c>
      <c r="CA66" s="83">
        <f t="shared" si="31"/>
        <v>4.806877369612808</v>
      </c>
      <c r="CB66" s="83" t="e">
        <f t="shared" si="31"/>
        <v>#DIV/0!</v>
      </c>
      <c r="CC66" s="83">
        <f t="shared" si="31"/>
        <v>-0.4395779023408688</v>
      </c>
      <c r="CD66" s="83">
        <f t="shared" si="31"/>
        <v>1.7851884555753703</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18802813425.34</v>
      </c>
      <c r="F67" s="76">
        <f>股权价值增加表!F5</f>
        <v>13690954012.040001</v>
      </c>
      <c r="G67" s="76">
        <f>股权价值增加表!G5</f>
        <v>8330800141.5900002</v>
      </c>
      <c r="H67" s="76">
        <f>股权价值增加表!H5</f>
        <v>4208437604.4899998</v>
      </c>
      <c r="I67" s="76">
        <f>股权价值增加表!I5</f>
        <v>15100628531.34</v>
      </c>
      <c r="J67" s="76">
        <f>股权价值增加表!J5</f>
        <v>10443343469.48</v>
      </c>
      <c r="K67" s="76">
        <f>股权价值增加表!K5</f>
        <v>6485138772.5900002</v>
      </c>
      <c r="L67" s="76">
        <f>股权价值增加表!L5</f>
        <v>3172250522.6900001</v>
      </c>
      <c r="M67" s="76">
        <f>股权价值增加表!M5</f>
        <v>14949958764.77</v>
      </c>
      <c r="N67" s="76">
        <f>股权价值增加表!N5</f>
        <v>11178937332.32</v>
      </c>
      <c r="O67" s="76">
        <f>股权价值增加表!O5</f>
        <v>7241149269.9300003</v>
      </c>
      <c r="P67" s="76">
        <f>股权价值增加表!P5</f>
        <v>3642925936.1799998</v>
      </c>
      <c r="Q67" s="76">
        <f>股权价值增加表!Q5</f>
        <v>16240284880.75</v>
      </c>
      <c r="R67" s="76">
        <f>股权价值增加表!R5</f>
        <v>12182874957.18</v>
      </c>
      <c r="S67" s="76">
        <f>股权价值增加表!S5</f>
        <v>8097015162.4899998</v>
      </c>
      <c r="T67" s="76">
        <f>股权价值增加表!T5</f>
        <v>4161028247.8099999</v>
      </c>
      <c r="U67" s="76">
        <f>股权价值增加表!U5</f>
        <v>16859390927.969999</v>
      </c>
      <c r="V67" s="76">
        <f>股权价值增加表!V5</f>
        <v>12293285761.549999</v>
      </c>
      <c r="W67" s="76">
        <f>股权价值增加表!W5</f>
        <v>7806688265.9200001</v>
      </c>
      <c r="X67" s="76">
        <f>股权价值增加表!X5</f>
        <v>4048177909.9299998</v>
      </c>
      <c r="Y67" s="76">
        <f>股权价值增加表!Y5</f>
        <v>17830993366.959999</v>
      </c>
      <c r="Z67" s="76">
        <f>股权价值增加表!Z5</f>
        <v>13663961377.280001</v>
      </c>
      <c r="AA67" s="76">
        <f>股权价值增加表!AA5</f>
        <v>9097131116.4599991</v>
      </c>
      <c r="AB67" s="76">
        <f>股权价值增加表!AB5</f>
        <v>4561320252.3599997</v>
      </c>
      <c r="AC67" s="76">
        <f>股权价值增加表!AC5</f>
        <v>18002874363.049999</v>
      </c>
      <c r="AD67" s="76">
        <f>股权价值增加表!AD5</f>
        <v>12938008188.41</v>
      </c>
      <c r="AE67" s="76">
        <f>股权价值增加表!AE5</f>
        <v>7966739319.9899998</v>
      </c>
      <c r="AF67" s="76">
        <f>股权价值增加表!AF5</f>
        <v>3577707490.21</v>
      </c>
      <c r="AG67" s="76">
        <f>股权价值增加表!AG5</f>
        <v>12300709001.91</v>
      </c>
      <c r="AH67" s="76">
        <f>股权价值增加表!AH5</f>
        <v>8906901739.5</v>
      </c>
      <c r="AI67" s="76">
        <f>股权价值增加表!AI5</f>
        <v>5643134194.8599997</v>
      </c>
      <c r="AJ67" s="76">
        <f>股权价值增加表!AJ5</f>
        <v>2944113800.1700001</v>
      </c>
      <c r="AK67" s="76">
        <f>股权价值增加表!AK5</f>
        <v>8568720773.4099998</v>
      </c>
      <c r="AL67" s="76">
        <f>股权价值增加表!AL5</f>
        <v>3822773428.0999999</v>
      </c>
      <c r="AM67" s="76">
        <f>股权价值增加表!AM5</f>
        <v>2647537533.5799999</v>
      </c>
      <c r="AN67" s="76">
        <f>股权价值增加表!AN5</f>
        <v>1294470262.1900001</v>
      </c>
      <c r="AO67" s="76">
        <f>股权价值增加表!AO5</f>
        <v>5486677458.1899996</v>
      </c>
      <c r="AP67" s="76">
        <f>股权价值增加表!AP5</f>
        <v>4308634971.3900003</v>
      </c>
      <c r="AQ67" s="76">
        <f>股权价值增加表!AQ5</f>
        <v>2872327200.3299999</v>
      </c>
      <c r="AR67" s="76">
        <f>股权价值增加表!AR5</f>
        <v>1506918222.01</v>
      </c>
      <c r="AS67" s="76">
        <f>股权价值增加表!AS5</f>
        <v>4953622605.0600004</v>
      </c>
      <c r="AT67" s="76">
        <f>股权价值增加表!AT5</f>
        <v>3601428728.6300001</v>
      </c>
      <c r="AU67" s="76">
        <f>股权价值增加表!AU5</f>
        <v>2501947941.9200001</v>
      </c>
      <c r="AV67" s="76">
        <f>股权价值增加表!AV5</f>
        <v>1239653308.54</v>
      </c>
      <c r="AW67" s="76">
        <f>股权价值增加表!AW5</f>
        <v>2991212940.29</v>
      </c>
      <c r="AX67" s="76">
        <f>股权价值增加表!AX5</f>
        <v>1689003184.6900001</v>
      </c>
      <c r="AY67" s="76">
        <f>股权价值增加表!AY5</f>
        <v>1082311276.6800001</v>
      </c>
      <c r="AZ67" s="76">
        <f>股权价值增加表!AZ5</f>
        <v>536888369.50999999</v>
      </c>
      <c r="BA67" s="76">
        <f>股权价值增加表!BA5</f>
        <v>2064789244.8</v>
      </c>
      <c r="BB67" s="76">
        <f>股权价值增加表!BB5</f>
        <v>1490826430.03</v>
      </c>
      <c r="BC67" s="76">
        <f>股权价值增加表!BC5</f>
        <v>968579495.03999996</v>
      </c>
      <c r="BD67" s="76">
        <f>股权价值增加表!BD5</f>
        <v>489318458.95999998</v>
      </c>
      <c r="BE67" s="76">
        <f>股权价值增加表!BE5</f>
        <v>1522572226.01</v>
      </c>
      <c r="BF67" s="76">
        <f>股权价值增加表!BF5</f>
        <v>1065345430.78</v>
      </c>
      <c r="BG67" s="76">
        <f>股权价值增加表!BG5</f>
        <v>640497710.48000002</v>
      </c>
      <c r="BH67" s="76">
        <f>股权价值增加表!BH5</f>
        <v>203124328.44999999</v>
      </c>
      <c r="BI67" s="76">
        <f>股权价值增加表!BI5</f>
        <v>849294022.29999995</v>
      </c>
      <c r="BJ67" s="76">
        <f>股权价值增加表!BJ5</f>
        <v>676222967.48000002</v>
      </c>
      <c r="BK67" s="76">
        <f>股权价值增加表!BK5</f>
        <v>448882387.26999998</v>
      </c>
      <c r="BL67" s="76">
        <f>股权价值增加表!BL5</f>
        <v>279809126.81999999</v>
      </c>
      <c r="BM67" s="76">
        <f>股权价值增加表!BM5</f>
        <v>2278457773.3299999</v>
      </c>
      <c r="BN67" s="76">
        <f>股权价值增加表!BN5</f>
        <v>2078550105.47</v>
      </c>
      <c r="BO67" s="76">
        <f>股权价值增加表!BO5</f>
        <v>1299132380.52</v>
      </c>
      <c r="BP67" s="76">
        <f>股权价值增加表!BP5</f>
        <v>588287981.12</v>
      </c>
      <c r="BQ67" s="76">
        <f>股权价值增加表!BQ5</f>
        <v>1790471263.3099999</v>
      </c>
      <c r="BR67" s="76">
        <f>股权价值增加表!BR5</f>
        <v>587842039.77999997</v>
      </c>
      <c r="BS67" s="76">
        <f>股权价值增加表!BS5</f>
        <v>1686826469.3299999</v>
      </c>
      <c r="BT67" s="76">
        <f>股权价值增加表!BT5</f>
        <v>537892038.76999998</v>
      </c>
      <c r="BU67" s="76">
        <f>股权价值增加表!BU5</f>
        <v>1262408535.9200001</v>
      </c>
      <c r="BV67" s="76">
        <f>股权价值增加表!BV5</f>
        <v>593242180.36000001</v>
      </c>
      <c r="BW67" s="76">
        <f>股权价值增加表!BW5</f>
        <v>974972031.59000003</v>
      </c>
      <c r="BX67" s="76">
        <f>股权价值增加表!BX5</f>
        <v>469798419.18000001</v>
      </c>
      <c r="BY67" s="76">
        <f>股权价值增加表!BY5</f>
        <v>1184676713.98</v>
      </c>
      <c r="BZ67" s="76">
        <f>股权价值增加表!BZ5</f>
        <v>0</v>
      </c>
      <c r="CA67" s="76">
        <f>股权价值增加表!CA5</f>
        <v>448903262.67000002</v>
      </c>
      <c r="CB67" s="76">
        <f>股权价值增加表!CB5</f>
        <v>0</v>
      </c>
      <c r="CC67" s="76">
        <f>股权价值增加表!CC5</f>
        <v>107296083.95</v>
      </c>
      <c r="CD67" s="76">
        <f>股权价值增加表!CD5</f>
        <v>0</v>
      </c>
      <c r="CE67" s="76">
        <f>股权价值增加表!CE5</f>
        <v>68411425.040000007</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1183173407.1300001</v>
      </c>
      <c r="F68" s="76">
        <f>资产资本表!F26</f>
        <v>1244943912.8099999</v>
      </c>
      <c r="G68" s="76">
        <f>资产资本表!G26</f>
        <v>1273559512.6500001</v>
      </c>
      <c r="H68" s="76">
        <f>资产资本表!H26</f>
        <v>1173959574.6400001</v>
      </c>
      <c r="I68" s="76">
        <f>资产资本表!I26</f>
        <v>1068061796.79</v>
      </c>
      <c r="J68" s="76">
        <f>资产资本表!J26</f>
        <v>964863461.77999997</v>
      </c>
      <c r="K68" s="76">
        <f>资产资本表!K26</f>
        <v>845539311.59000003</v>
      </c>
      <c r="L68" s="76">
        <f>资产资本表!L26</f>
        <v>839395110.07000005</v>
      </c>
      <c r="M68" s="76">
        <f>资产资本表!M26</f>
        <v>845372179.04999995</v>
      </c>
      <c r="N68" s="76">
        <f>资产资本表!N26</f>
        <v>879586874.70000005</v>
      </c>
      <c r="O68" s="76">
        <f>资产资本表!O26</f>
        <v>931970579.40999997</v>
      </c>
      <c r="P68" s="76">
        <f>资产资本表!P26</f>
        <v>995242167.38</v>
      </c>
      <c r="Q68" s="76">
        <f>资产资本表!Q26</f>
        <v>1091607309.76</v>
      </c>
      <c r="R68" s="76">
        <f>资产资本表!R26</f>
        <v>993976495.19000006</v>
      </c>
      <c r="S68" s="76">
        <f>资产资本表!S26</f>
        <v>893398440.62</v>
      </c>
      <c r="T68" s="76">
        <f>资产资本表!T26</f>
        <v>1033070153.26</v>
      </c>
      <c r="U68" s="76">
        <f>资产资本表!U26</f>
        <v>971321410.03999996</v>
      </c>
      <c r="V68" s="76">
        <f>资产资本表!V26</f>
        <v>1001361452.15</v>
      </c>
      <c r="W68" s="76">
        <f>资产资本表!W26</f>
        <v>1041506435.52</v>
      </c>
      <c r="X68" s="76">
        <f>资产资本表!X26</f>
        <v>1216910222.3199999</v>
      </c>
      <c r="Y68" s="76">
        <f>资产资本表!Y26</f>
        <v>1248460698.8499999</v>
      </c>
      <c r="Z68" s="76">
        <f>资产资本表!Z26</f>
        <v>972539273.42999995</v>
      </c>
      <c r="AA68" s="76">
        <f>资产资本表!AA26</f>
        <v>1102908492.9100001</v>
      </c>
      <c r="AB68" s="76">
        <f>资产资本表!AB26</f>
        <v>1129487618.99</v>
      </c>
      <c r="AC68" s="76">
        <f>资产资本表!AC26</f>
        <v>1455147275.6900001</v>
      </c>
      <c r="AD68" s="76">
        <f>资产资本表!AD26</f>
        <v>1025897172.5</v>
      </c>
      <c r="AE68" s="76">
        <f>资产资本表!AE26</f>
        <v>875578740</v>
      </c>
      <c r="AF68" s="76">
        <f>资产资本表!AF26</f>
        <v>942678213.64999998</v>
      </c>
      <c r="AG68" s="76">
        <f>资产资本表!AG26</f>
        <v>1001665759.91</v>
      </c>
      <c r="AH68" s="76">
        <f>资产资本表!AH26</f>
        <v>1011180236.92</v>
      </c>
      <c r="AI68" s="76">
        <f>资产资本表!AI26</f>
        <v>839637005.85000002</v>
      </c>
      <c r="AJ68" s="76">
        <f>资产资本表!AJ26</f>
        <v>787361962.60000002</v>
      </c>
      <c r="AK68" s="76">
        <f>资产资本表!AK26</f>
        <v>605032240.13</v>
      </c>
      <c r="AL68" s="76">
        <f>资产资本表!AL26</f>
        <v>322521036.56</v>
      </c>
      <c r="AM68" s="76">
        <f>资产资本表!AM26</f>
        <v>352594765.35000002</v>
      </c>
      <c r="AN68" s="76">
        <f>资产资本表!AN26</f>
        <v>404665097.97000003</v>
      </c>
      <c r="AO68" s="76">
        <f>资产资本表!AO26</f>
        <v>660730821.15999997</v>
      </c>
      <c r="AP68" s="76">
        <f>资产资本表!AP26</f>
        <v>525311810.88999999</v>
      </c>
      <c r="AQ68" s="76">
        <f>资产资本表!AQ26</f>
        <v>482691386.45999998</v>
      </c>
      <c r="AR68" s="76">
        <f>资产资本表!AR26</f>
        <v>284593271.41000003</v>
      </c>
      <c r="AS68" s="76">
        <f>资产资本表!AS26</f>
        <v>227444572.78</v>
      </c>
      <c r="AT68" s="76">
        <f>资产资本表!AT26</f>
        <v>244802099.09</v>
      </c>
      <c r="AU68" s="76">
        <f>资产资本表!AU26</f>
        <v>143802290.30000001</v>
      </c>
      <c r="AV68" s="76">
        <f>资产资本表!AV26</f>
        <v>193714722.81</v>
      </c>
      <c r="AW68" s="76">
        <f>资产资本表!AW26</f>
        <v>234046706.28</v>
      </c>
      <c r="AX68" s="76">
        <f>资产资本表!AX26</f>
        <v>127244911.31999999</v>
      </c>
      <c r="AY68" s="76">
        <f>资产资本表!AY26</f>
        <v>129035231.19</v>
      </c>
      <c r="AZ68" s="76">
        <f>资产资本表!AZ26</f>
        <v>119054635.70999999</v>
      </c>
      <c r="BA68" s="76">
        <f>资产资本表!BA26</f>
        <v>109130091.06</v>
      </c>
      <c r="BB68" s="76">
        <f>资产资本表!BB26</f>
        <v>146741773.41999999</v>
      </c>
      <c r="BC68" s="76">
        <f>资产资本表!BC26</f>
        <v>126198735.44</v>
      </c>
      <c r="BD68" s="76">
        <f>资产资本表!BD26</f>
        <v>118170564.59999999</v>
      </c>
      <c r="BE68" s="76">
        <f>资产资本表!BE26</f>
        <v>110406838.14</v>
      </c>
      <c r="BF68" s="76">
        <f>资产资本表!BF26</f>
        <v>61740561.869999997</v>
      </c>
      <c r="BG68" s="76">
        <f>资产资本表!BG26</f>
        <v>81821348.459999993</v>
      </c>
      <c r="BH68" s="76">
        <f>资产资本表!BH26</f>
        <v>38528874.049999997</v>
      </c>
      <c r="BI68" s="76">
        <f>资产资本表!BI26</f>
        <v>27253611.379999999</v>
      </c>
      <c r="BJ68" s="76">
        <f>资产资本表!BJ26</f>
        <v>24398973.579999998</v>
      </c>
      <c r="BK68" s="76">
        <f>资产资本表!BK26</f>
        <v>26567489.559999999</v>
      </c>
      <c r="BL68" s="76">
        <f>资产资本表!BL26</f>
        <v>22787139.420000002</v>
      </c>
      <c r="BM68" s="76">
        <f>资产资本表!BM26</f>
        <v>21588543.27</v>
      </c>
      <c r="BN68" s="76">
        <f>资产资本表!BN26</f>
        <v>34126082.219999999</v>
      </c>
      <c r="BO68" s="76">
        <f>资产资本表!BO26</f>
        <v>82981423.459999993</v>
      </c>
      <c r="BP68" s="76">
        <f>资产资本表!BP26</f>
        <v>51974046.170000002</v>
      </c>
      <c r="BQ68" s="76">
        <f>资产资本表!BQ26</f>
        <v>30787067</v>
      </c>
      <c r="BR68" s="76">
        <f>资产资本表!BR26</f>
        <v>301640094.26999998</v>
      </c>
      <c r="BS68" s="76">
        <f>资产资本表!BS26</f>
        <v>59437173.280000001</v>
      </c>
      <c r="BT68" s="76">
        <f>资产资本表!BT26</f>
        <v>58044607.799999997</v>
      </c>
      <c r="BU68" s="76">
        <f>资产资本表!BU26</f>
        <v>37886608.409999996</v>
      </c>
      <c r="BV68" s="76">
        <f>资产资本表!BV26</f>
        <v>138359369.99000001</v>
      </c>
      <c r="BW68" s="76">
        <f>资产资本表!BW26</f>
        <v>66386112.700000003</v>
      </c>
      <c r="BX68" s="76">
        <f>资产资本表!BX26</f>
        <v>65347812.509999998</v>
      </c>
      <c r="BY68" s="76">
        <f>资产资本表!BY26</f>
        <v>13673732.16</v>
      </c>
      <c r="BZ68" s="76">
        <f>资产资本表!BZ26</f>
        <v>0</v>
      </c>
      <c r="CA68" s="76">
        <f>资产资本表!CA26</f>
        <v>3101452.24</v>
      </c>
      <c r="CB68" s="76">
        <f>资产资本表!CB26</f>
        <v>0</v>
      </c>
      <c r="CC68" s="76">
        <f>资产资本表!CC26</f>
        <v>3834379.37</v>
      </c>
      <c r="CD68" s="76">
        <f>资产资本表!CD26</f>
        <v>883954.61</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16.704441537338518</v>
      </c>
      <c r="F69" s="155">
        <f t="shared" ref="F69:BQ69" si="32">F67/(F68+J68)*2</f>
        <v>12.391083647804527</v>
      </c>
      <c r="G69" s="155">
        <f t="shared" si="32"/>
        <v>7.8625876682063494</v>
      </c>
      <c r="H69" s="155">
        <f t="shared" si="32"/>
        <v>4.1805228223820636</v>
      </c>
      <c r="I69" s="155">
        <f t="shared" si="32"/>
        <v>15.783798889335396</v>
      </c>
      <c r="J69" s="155">
        <f t="shared" si="32"/>
        <v>11.324071202058349</v>
      </c>
      <c r="K69" s="155">
        <f t="shared" si="32"/>
        <v>7.2968806592030377</v>
      </c>
      <c r="L69" s="155">
        <f t="shared" si="32"/>
        <v>3.4581773320328213</v>
      </c>
      <c r="M69" s="155">
        <f t="shared" si="32"/>
        <v>15.436362492361379</v>
      </c>
      <c r="N69" s="155">
        <f t="shared" si="32"/>
        <v>11.933343181209112</v>
      </c>
      <c r="O69" s="155">
        <f t="shared" si="32"/>
        <v>7.9339017924287898</v>
      </c>
      <c r="P69" s="155">
        <f t="shared" si="32"/>
        <v>3.5920759333853831</v>
      </c>
      <c r="Q69" s="155">
        <f t="shared" si="32"/>
        <v>15.744882239386815</v>
      </c>
      <c r="R69" s="155">
        <f t="shared" si="32"/>
        <v>12.211339912039543</v>
      </c>
      <c r="S69" s="155">
        <f t="shared" si="32"/>
        <v>8.3694193573412043</v>
      </c>
      <c r="T69" s="155">
        <f t="shared" si="32"/>
        <v>3.6987240359706428</v>
      </c>
      <c r="U69" s="155">
        <f t="shared" si="32"/>
        <v>15.190131374110878</v>
      </c>
      <c r="V69" s="155">
        <f t="shared" si="32"/>
        <v>12.455829821874968</v>
      </c>
      <c r="W69" s="155">
        <f t="shared" si="32"/>
        <v>7.2809493745089204</v>
      </c>
      <c r="X69" s="155">
        <f t="shared" si="32"/>
        <v>3.4505469095299643</v>
      </c>
      <c r="Y69" s="155">
        <f t="shared" si="32"/>
        <v>13.190516920260096</v>
      </c>
      <c r="Z69" s="155">
        <f t="shared" si="32"/>
        <v>13.674651906101811</v>
      </c>
      <c r="AA69" s="155">
        <f t="shared" si="32"/>
        <v>9.1960473286246582</v>
      </c>
      <c r="AB69" s="155">
        <f t="shared" si="32"/>
        <v>4.4024664247539924</v>
      </c>
      <c r="AC69" s="155">
        <f t="shared" si="32"/>
        <v>14.655469587781115</v>
      </c>
      <c r="AD69" s="155">
        <f t="shared" si="32"/>
        <v>12.702519922493991</v>
      </c>
      <c r="AE69" s="155">
        <f t="shared" si="32"/>
        <v>9.2894894875652714</v>
      </c>
      <c r="AF69" s="155">
        <f t="shared" si="32"/>
        <v>4.1359819723550766</v>
      </c>
      <c r="AG69" s="155">
        <f t="shared" si="32"/>
        <v>15.311787282493368</v>
      </c>
      <c r="AH69" s="155">
        <f t="shared" si="32"/>
        <v>13.356666768802581</v>
      </c>
      <c r="AI69" s="155">
        <f t="shared" si="32"/>
        <v>9.4665053074036045</v>
      </c>
      <c r="AJ69" s="155">
        <f t="shared" si="32"/>
        <v>4.9396761156784343</v>
      </c>
      <c r="AK69" s="155">
        <f t="shared" si="32"/>
        <v>13.539217623679434</v>
      </c>
      <c r="AL69" s="155">
        <f t="shared" si="32"/>
        <v>9.0177525902602955</v>
      </c>
      <c r="AM69" s="155">
        <f t="shared" si="32"/>
        <v>6.3392348307056032</v>
      </c>
      <c r="AN69" s="155">
        <f t="shared" si="32"/>
        <v>3.7561249008971731</v>
      </c>
      <c r="AO69" s="155">
        <f t="shared" si="32"/>
        <v>12.354941367719647</v>
      </c>
      <c r="AP69" s="155">
        <f t="shared" si="32"/>
        <v>11.189604331395328</v>
      </c>
      <c r="AQ69" s="155">
        <f t="shared" si="32"/>
        <v>9.169532931871375</v>
      </c>
      <c r="AR69" s="155">
        <f t="shared" si="32"/>
        <v>6.3010371568947088</v>
      </c>
      <c r="AS69" s="155">
        <f t="shared" si="32"/>
        <v>21.467892590082783</v>
      </c>
      <c r="AT69" s="155">
        <f t="shared" si="32"/>
        <v>19.360073473839691</v>
      </c>
      <c r="AU69" s="155">
        <f t="shared" si="32"/>
        <v>18.340204296363254</v>
      </c>
      <c r="AV69" s="155">
        <f t="shared" si="32"/>
        <v>7.9269485630302272</v>
      </c>
      <c r="AW69" s="155">
        <f t="shared" si="32"/>
        <v>17.432489395991865</v>
      </c>
      <c r="AX69" s="155">
        <f t="shared" si="32"/>
        <v>12.329089541652593</v>
      </c>
      <c r="AY69" s="155">
        <f t="shared" si="32"/>
        <v>8.4809345007670789</v>
      </c>
      <c r="AZ69" s="155">
        <f t="shared" si="32"/>
        <v>4.5264024969388377</v>
      </c>
      <c r="BA69" s="155">
        <f t="shared" si="32"/>
        <v>18.81040472164899</v>
      </c>
      <c r="BB69" s="155">
        <f t="shared" si="32"/>
        <v>14.301705014539987</v>
      </c>
      <c r="BC69" s="155">
        <f t="shared" si="32"/>
        <v>9.3123651993681378</v>
      </c>
      <c r="BD69" s="155">
        <f t="shared" si="32"/>
        <v>6.2453122126739675</v>
      </c>
      <c r="BE69" s="155">
        <f t="shared" si="32"/>
        <v>22.120692345825777</v>
      </c>
      <c r="BF69" s="155">
        <f t="shared" si="32"/>
        <v>24.735341912736079</v>
      </c>
      <c r="BG69" s="155">
        <f t="shared" si="32"/>
        <v>11.818517887641066</v>
      </c>
      <c r="BH69" s="155">
        <f t="shared" si="32"/>
        <v>6.625490372083056</v>
      </c>
      <c r="BI69" s="155">
        <f t="shared" si="32"/>
        <v>34.777090748186311</v>
      </c>
      <c r="BJ69" s="155">
        <f t="shared" si="32"/>
        <v>23.108836317589638</v>
      </c>
      <c r="BK69" s="155">
        <f t="shared" si="32"/>
        <v>8.1951043583252883</v>
      </c>
      <c r="BL69" s="155">
        <f t="shared" si="32"/>
        <v>7.4854117042634769</v>
      </c>
      <c r="BM69" s="155">
        <f t="shared" si="32"/>
        <v>87.004533659250484</v>
      </c>
      <c r="BN69" s="155">
        <f t="shared" si="32"/>
        <v>12.380937992019007</v>
      </c>
      <c r="BO69" s="155">
        <f t="shared" si="32"/>
        <v>18.243858741168495</v>
      </c>
      <c r="BP69" s="155">
        <f t="shared" si="32"/>
        <v>10.694331550000875</v>
      </c>
      <c r="BQ69" s="155">
        <f t="shared" si="32"/>
        <v>52.144326122649275</v>
      </c>
      <c r="BR69" s="155">
        <f t="shared" ref="BR69:CJ69" si="33">BR67/(BR68+BV68)*2</f>
        <v>2.6720125251454321</v>
      </c>
      <c r="BS69" s="155">
        <f t="shared" si="33"/>
        <v>26.812627824679865</v>
      </c>
      <c r="BT69" s="155">
        <f t="shared" si="33"/>
        <v>8.7183967608164021</v>
      </c>
      <c r="BU69" s="155">
        <f t="shared" si="33"/>
        <v>48.968200053144074</v>
      </c>
      <c r="BV69" s="155">
        <f t="shared" si="33"/>
        <v>8.5753813479040399</v>
      </c>
      <c r="BW69" s="155">
        <f t="shared" si="33"/>
        <v>28.061769970838757</v>
      </c>
      <c r="BX69" s="155">
        <f t="shared" si="33"/>
        <v>14.378397719376085</v>
      </c>
      <c r="BY69" s="155">
        <f t="shared" si="33"/>
        <v>135.32889734567505</v>
      </c>
      <c r="BZ69" s="155">
        <f t="shared" si="33"/>
        <v>0</v>
      </c>
      <c r="CA69" s="155">
        <f t="shared" si="33"/>
        <v>289.47939734838542</v>
      </c>
      <c r="CB69" s="155" t="e">
        <f t="shared" si="33"/>
        <v>#DIV/0!</v>
      </c>
      <c r="CC69" s="155">
        <f t="shared" si="33"/>
        <v>55.965293778429647</v>
      </c>
      <c r="CD69" s="155">
        <f t="shared" si="33"/>
        <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21.850476065550328</v>
      </c>
      <c r="F70" s="83">
        <f t="shared" ref="F70:BQ70" si="34">F62/F69</f>
        <v>29.456664999971277</v>
      </c>
      <c r="G70" s="83">
        <f t="shared" si="34"/>
        <v>46.42237586436547</v>
      </c>
      <c r="H70" s="83">
        <f t="shared" si="34"/>
        <v>87.309653722216225</v>
      </c>
      <c r="I70" s="83">
        <f t="shared" si="34"/>
        <v>23.1249778687068</v>
      </c>
      <c r="J70" s="83">
        <f t="shared" si="34"/>
        <v>32.23222403738108</v>
      </c>
      <c r="K70" s="83">
        <f t="shared" si="34"/>
        <v>50.021374481389032</v>
      </c>
      <c r="L70" s="83">
        <f t="shared" si="34"/>
        <v>105.5469297710774</v>
      </c>
      <c r="M70" s="83">
        <f t="shared" si="34"/>
        <v>23.645467005625111</v>
      </c>
      <c r="N70" s="83">
        <f t="shared" si="34"/>
        <v>30.58656693748226</v>
      </c>
      <c r="O70" s="83">
        <f t="shared" si="34"/>
        <v>46.005106888052779</v>
      </c>
      <c r="P70" s="83">
        <f t="shared" si="34"/>
        <v>101.61255128479498</v>
      </c>
      <c r="Q70" s="83">
        <f t="shared" si="34"/>
        <v>23.18213591251445</v>
      </c>
      <c r="R70" s="83">
        <f t="shared" si="34"/>
        <v>29.890249770226692</v>
      </c>
      <c r="S70" s="83">
        <f t="shared" si="34"/>
        <v>43.611149640845952</v>
      </c>
      <c r="T70" s="83">
        <f t="shared" si="34"/>
        <v>98.682679878336572</v>
      </c>
      <c r="U70" s="83">
        <f t="shared" si="34"/>
        <v>24.028758607189104</v>
      </c>
      <c r="V70" s="83">
        <f t="shared" si="34"/>
        <v>29.303547432784114</v>
      </c>
      <c r="W70" s="83">
        <f t="shared" si="34"/>
        <v>50.1308251473206</v>
      </c>
      <c r="X70" s="83">
        <f t="shared" si="34"/>
        <v>105.78033267477605</v>
      </c>
      <c r="Y70" s="83">
        <f t="shared" si="34"/>
        <v>27.671394700186077</v>
      </c>
      <c r="Z70" s="83">
        <f t="shared" si="34"/>
        <v>26.691721479003949</v>
      </c>
      <c r="AA70" s="83">
        <f t="shared" si="34"/>
        <v>39.690965798301157</v>
      </c>
      <c r="AB70" s="83">
        <f t="shared" si="34"/>
        <v>82.908071245630452</v>
      </c>
      <c r="AC70" s="83">
        <f t="shared" si="34"/>
        <v>24.905377327814591</v>
      </c>
      <c r="AD70" s="83">
        <f t="shared" si="34"/>
        <v>28.734456015585334</v>
      </c>
      <c r="AE70" s="83">
        <f t="shared" si="34"/>
        <v>39.291717859047246</v>
      </c>
      <c r="AF70" s="83">
        <f t="shared" si="34"/>
        <v>88.249901097166713</v>
      </c>
      <c r="AG70" s="83">
        <f t="shared" si="34"/>
        <v>23.837844221968808</v>
      </c>
      <c r="AH70" s="83">
        <f t="shared" si="34"/>
        <v>27.327177230515129</v>
      </c>
      <c r="AI70" s="83">
        <f t="shared" si="34"/>
        <v>38.55699523186653</v>
      </c>
      <c r="AJ70" s="83">
        <f t="shared" si="34"/>
        <v>73.891484269889119</v>
      </c>
      <c r="AK70" s="83">
        <f t="shared" si="34"/>
        <v>26.958721703507649</v>
      </c>
      <c r="AL70" s="83">
        <f t="shared" si="34"/>
        <v>40.475716798243226</v>
      </c>
      <c r="AM70" s="83">
        <f t="shared" si="34"/>
        <v>57.577926949800791</v>
      </c>
      <c r="AN70" s="83">
        <f t="shared" si="34"/>
        <v>97.174617359720273</v>
      </c>
      <c r="AO70" s="83">
        <f t="shared" si="34"/>
        <v>29.542835464493031</v>
      </c>
      <c r="AP70" s="83">
        <f t="shared" si="34"/>
        <v>32.619562693195334</v>
      </c>
      <c r="AQ70" s="83">
        <f t="shared" si="34"/>
        <v>39.805735222492793</v>
      </c>
      <c r="AR70" s="83">
        <f t="shared" si="34"/>
        <v>57.926971530490086</v>
      </c>
      <c r="AS70" s="83">
        <f t="shared" si="34"/>
        <v>17.002134628184876</v>
      </c>
      <c r="AT70" s="83">
        <f t="shared" si="34"/>
        <v>18.853234234529452</v>
      </c>
      <c r="AU70" s="83">
        <f t="shared" si="34"/>
        <v>19.901632179330587</v>
      </c>
      <c r="AV70" s="83">
        <f t="shared" si="34"/>
        <v>46.045460885452222</v>
      </c>
      <c r="AW70" s="83">
        <f t="shared" si="34"/>
        <v>20.93791607777613</v>
      </c>
      <c r="AX70" s="83">
        <f t="shared" si="34"/>
        <v>29.60478133984542</v>
      </c>
      <c r="AY70" s="83">
        <f t="shared" si="34"/>
        <v>43.037710050347243</v>
      </c>
      <c r="AZ70" s="83">
        <f t="shared" si="34"/>
        <v>80.637990158154508</v>
      </c>
      <c r="BA70" s="83">
        <f t="shared" si="34"/>
        <v>19.404154530493418</v>
      </c>
      <c r="BB70" s="83">
        <f t="shared" si="34"/>
        <v>25.521432558489963</v>
      </c>
      <c r="BC70" s="83">
        <f t="shared" si="34"/>
        <v>39.195198232213443</v>
      </c>
      <c r="BD70" s="83">
        <f t="shared" si="34"/>
        <v>58.443835563462258</v>
      </c>
      <c r="BE70" s="83">
        <f t="shared" si="34"/>
        <v>16.500387704586302</v>
      </c>
      <c r="BF70" s="83">
        <f t="shared" si="34"/>
        <v>14.756214055487291</v>
      </c>
      <c r="BG70" s="83">
        <f t="shared" si="34"/>
        <v>30.88373715469772</v>
      </c>
      <c r="BH70" s="83">
        <f t="shared" si="34"/>
        <v>55.090261928075805</v>
      </c>
      <c r="BI70" s="83">
        <f t="shared" si="34"/>
        <v>10.495415003022799</v>
      </c>
      <c r="BJ70" s="83">
        <f t="shared" si="34"/>
        <v>15.794823892632566</v>
      </c>
      <c r="BK70" s="83">
        <f t="shared" si="34"/>
        <v>44.538786089917423</v>
      </c>
      <c r="BL70" s="83">
        <f t="shared" si="34"/>
        <v>48.761512982927364</v>
      </c>
      <c r="BM70" s="83">
        <f t="shared" si="34"/>
        <v>4.1951836835251228</v>
      </c>
      <c r="BN70" s="83">
        <f t="shared" si="34"/>
        <v>29.480803492860243</v>
      </c>
      <c r="BO70" s="83">
        <f t="shared" si="34"/>
        <v>20.006732412170727</v>
      </c>
      <c r="BP70" s="83">
        <f t="shared" si="34"/>
        <v>34.130230420990657</v>
      </c>
      <c r="BQ70" s="83">
        <f t="shared" si="34"/>
        <v>6.9998028000492187</v>
      </c>
      <c r="BR70" s="83">
        <f t="shared" ref="BR70:CJ70" si="35">BR62/BR69</f>
        <v>136.60115608183153</v>
      </c>
      <c r="BS70" s="83">
        <f t="shared" si="35"/>
        <v>13.612988715117034</v>
      </c>
      <c r="BT70" s="83">
        <f t="shared" si="35"/>
        <v>41.865495459032182</v>
      </c>
      <c r="BU70" s="83">
        <f t="shared" si="35"/>
        <v>7.4538169588401004</v>
      </c>
      <c r="BV70" s="83">
        <f t="shared" si="35"/>
        <v>42.56370477205796</v>
      </c>
      <c r="BW70" s="83">
        <f t="shared" si="35"/>
        <v>13.00701988432308</v>
      </c>
      <c r="BX70" s="83">
        <f t="shared" si="35"/>
        <v>25.385304198960373</v>
      </c>
      <c r="BY70" s="83">
        <f t="shared" si="35"/>
        <v>2.6971327422233298</v>
      </c>
      <c r="BZ70" s="83" t="e">
        <f t="shared" si="35"/>
        <v>#DIV/0!</v>
      </c>
      <c r="CA70" s="83">
        <f t="shared" si="35"/>
        <v>1.2608842057271741</v>
      </c>
      <c r="CB70" s="83" t="e">
        <f t="shared" si="35"/>
        <v>#DIV/0!</v>
      </c>
      <c r="CC70" s="83">
        <f t="shared" si="35"/>
        <v>6.5218991156386936</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5284905383.5500002</v>
      </c>
      <c r="F71" s="76">
        <f>资产资本表!F35+资产资本表!F36-资产资本表!F24</f>
        <v>5010169604.0999994</v>
      </c>
      <c r="G71" s="76">
        <f>资产资本表!G35+资产资本表!G36-资产资本表!G24</f>
        <v>5284726674.1599998</v>
      </c>
      <c r="H71" s="76">
        <f>资产资本表!H35+资产资本表!H36-资产资本表!H24</f>
        <v>5982928751.1900005</v>
      </c>
      <c r="I71" s="76">
        <f>资产资本表!I35+资产资本表!I36-资产资本表!I24</f>
        <v>6331162909.8699999</v>
      </c>
      <c r="J71" s="76">
        <f>资产资本表!J35+资产资本表!J36-资产资本表!J24</f>
        <v>4023058270.8000002</v>
      </c>
      <c r="K71" s="76">
        <f>资产资本表!K35+资产资本表!K36-资产资本表!K24</f>
        <v>3583622510.3599997</v>
      </c>
      <c r="L71" s="76">
        <f>资产资本表!L35+资产资本表!L36-资产资本表!L24</f>
        <v>3006374643.3999996</v>
      </c>
      <c r="M71" s="76">
        <f>资产资本表!M35+资产资本表!M36-资产资本表!M24</f>
        <v>3475900716.1400003</v>
      </c>
      <c r="N71" s="76">
        <f>资产资本表!N35+资产资本表!N36-资产资本表!N24</f>
        <v>-1275360737.5</v>
      </c>
      <c r="O71" s="76">
        <f>资产资本表!O35+资产资本表!O36-资产资本表!O24</f>
        <v>-1331997797.3800001</v>
      </c>
      <c r="P71" s="76">
        <f>资产资本表!P35+资产资本表!P36-资产资本表!P24</f>
        <v>487406165.08999991</v>
      </c>
      <c r="Q71" s="76">
        <f>资产资本表!Q35+资产资本表!Q36-资产资本表!Q24</f>
        <v>729334368.18000007</v>
      </c>
      <c r="R71" s="76">
        <f>资产资本表!R35+资产资本表!R36-资产资本表!R24</f>
        <v>195758406.62999988</v>
      </c>
      <c r="S71" s="76">
        <f>资产资本表!S35+资产资本表!S36-资产资本表!S24</f>
        <v>955947567.51999998</v>
      </c>
      <c r="T71" s="76">
        <f>资产资本表!T35+资产资本表!T36-资产资本表!T24</f>
        <v>1513818088.7000003</v>
      </c>
      <c r="U71" s="76">
        <f>资产资本表!U35+资产资本表!U36-资产资本表!U24</f>
        <v>1706994228.3100002</v>
      </c>
      <c r="V71" s="76">
        <f>资产资本表!V35+资产资本表!V36-资产资本表!V24</f>
        <v>742035047.21999955</v>
      </c>
      <c r="W71" s="76">
        <f>资产资本表!W35+资产资本表!W36-资产资本表!W24</f>
        <v>903705100.72000027</v>
      </c>
      <c r="X71" s="76">
        <f>资产资本表!X35+资产资本表!X36-资产资本表!X24</f>
        <v>1494975889.9399998</v>
      </c>
      <c r="Y71" s="76">
        <f>资产资本表!Y35+资产资本表!Y36-资产资本表!Y24</f>
        <v>1634659790.4099996</v>
      </c>
      <c r="Z71" s="76">
        <f>资产资本表!Z35+资产资本表!Z36-资产资本表!Z24</f>
        <v>-1114651450.3599997</v>
      </c>
      <c r="AA71" s="76">
        <f>资产资本表!AA35+资产资本表!AA36-资产资本表!AA24</f>
        <v>-725155617.5999999</v>
      </c>
      <c r="AB71" s="76">
        <f>资产资本表!AB35+资产资本表!AB36-资产资本表!AB24</f>
        <v>-130416815.3499999</v>
      </c>
      <c r="AC71" s="76">
        <f>资产资本表!AC35+资产资本表!AC36-资产资本表!AC24</f>
        <v>7242673.0599999428</v>
      </c>
      <c r="AD71" s="76">
        <f>资产资本表!AD35+资产资本表!AD36-资产资本表!AD24</f>
        <v>-790501866.26999998</v>
      </c>
      <c r="AE71" s="76">
        <f>资产资本表!AE35+资产资本表!AE36-资产资本表!AE24</f>
        <v>-1134860441.4300003</v>
      </c>
      <c r="AF71" s="76">
        <f>资产资本表!AF35+资产资本表!AF36-资产资本表!AF24</f>
        <v>-777662749.99000025</v>
      </c>
      <c r="AG71" s="76">
        <f>资产资本表!AG35+资产资本表!AG36-资产资本表!AG24</f>
        <v>-726824639.53999972</v>
      </c>
      <c r="AH71" s="76">
        <f>资产资本表!AH35+资产资本表!AH36-资产资本表!AH24</f>
        <v>-1886342808.3999999</v>
      </c>
      <c r="AI71" s="76">
        <f>资产资本表!AI35+资产资本表!AI36-资产资本表!AI24</f>
        <v>-1791867778.2800002</v>
      </c>
      <c r="AJ71" s="76">
        <f>资产资本表!AJ35+资产资本表!AJ36-资产资本表!AJ24</f>
        <v>-691524221.15999985</v>
      </c>
      <c r="AK71" s="76">
        <f>资产资本表!AK35+资产资本表!AK36-资产资本表!AK24</f>
        <v>-845297990.80000019</v>
      </c>
      <c r="AL71" s="76">
        <f>资产资本表!AL35+资产资本表!AL36-资产资本表!AL24</f>
        <v>386174301.61000001</v>
      </c>
      <c r="AM71" s="76">
        <f>资产资本表!AM35+资产资本表!AM36-资产资本表!AM24</f>
        <v>203537006.81</v>
      </c>
      <c r="AN71" s="76">
        <f>资产资本表!AN35+资产资本表!AN36-资产资本表!AN24</f>
        <v>435266251.27000004</v>
      </c>
      <c r="AO71" s="76">
        <f>资产资本表!AO35+资产资本表!AO36-资产资本表!AO24</f>
        <v>294362290.49000001</v>
      </c>
      <c r="AP71" s="76">
        <f>资产资本表!AP35+资产资本表!AP36-资产资本表!AP24</f>
        <v>848820525.17000008</v>
      </c>
      <c r="AQ71" s="76">
        <f>资产资本表!AQ35+资产资本表!AQ36-资产资本表!AQ24</f>
        <v>788590213.46000004</v>
      </c>
      <c r="AR71" s="76">
        <f>资产资本表!AR35+资产资本表!AR36-资产资本表!AR24</f>
        <v>737710527.72000003</v>
      </c>
      <c r="AS71" s="76">
        <f>资产资本表!AS35+资产资本表!AS36-资产资本表!AS24</f>
        <v>719787737.02999997</v>
      </c>
      <c r="AT71" s="76">
        <f>资产资本表!AT35+资产资本表!AT36-资产资本表!AT24</f>
        <v>362887807.48000002</v>
      </c>
      <c r="AU71" s="76">
        <f>资产资本表!AU35+资产资本表!AU36-资产资本表!AU24</f>
        <v>210522353.48999995</v>
      </c>
      <c r="AV71" s="76">
        <f>资产资本表!AV35+资产资本表!AV36-资产资本表!AV24</f>
        <v>277554743.94</v>
      </c>
      <c r="AW71" s="76">
        <f>资产资本表!AW35+资产资本表!AW36-资产资本表!AW24</f>
        <v>227985007.60999998</v>
      </c>
      <c r="AX71" s="76">
        <f>资产资本表!AX35+资产资本表!AX36-资产资本表!AX24</f>
        <v>-1220528972.0900002</v>
      </c>
      <c r="AY71" s="76">
        <f>资产资本表!AY35+资产资本表!AY36-资产资本表!AY24</f>
        <v>110631082.18000001</v>
      </c>
      <c r="AZ71" s="76">
        <f>资产资本表!AZ35+资产资本表!AZ36-资产资本表!AZ24</f>
        <v>174021591.61000001</v>
      </c>
      <c r="BA71" s="76">
        <f>资产资本表!BA35+资产资本表!BA36-资产资本表!BA24</f>
        <v>217589619.04000002</v>
      </c>
      <c r="BB71" s="76">
        <f>资产资本表!BB35+资产资本表!BB36-资产资本表!BB24</f>
        <v>258225441.29000002</v>
      </c>
      <c r="BC71" s="76">
        <f>资产资本表!BC35+资产资本表!BC36-资产资本表!BC24</f>
        <v>438252807.21000004</v>
      </c>
      <c r="BD71" s="76">
        <f>资产资本表!BD35+资产资本表!BD36-资产资本表!BD24</f>
        <v>204003622.17000002</v>
      </c>
      <c r="BE71" s="76">
        <f>资产资本表!BE35+资产资本表!BE36-资产资本表!BE24</f>
        <v>294425320.70999998</v>
      </c>
      <c r="BF71" s="76">
        <f>资产资本表!BF35+资产资本表!BF36-资产资本表!BF24</f>
        <v>184979545.44</v>
      </c>
      <c r="BG71" s="76">
        <f>资产资本表!BG35+资产资本表!BG36-资产资本表!BG24</f>
        <v>330389992.51999998</v>
      </c>
      <c r="BH71" s="76">
        <f>资产资本表!BH35+资产资本表!BH36-资产资本表!BH24</f>
        <v>-230103918.51999998</v>
      </c>
      <c r="BI71" s="76">
        <f>资产资本表!BI35+资产资本表!BI36-资产资本表!BI24</f>
        <v>96578152.86999999</v>
      </c>
      <c r="BJ71" s="76">
        <f>资产资本表!BJ35+资产资本表!BJ36-资产资本表!BJ24</f>
        <v>99602855.75</v>
      </c>
      <c r="BK71" s="76">
        <f>资产资本表!BK35+资产资本表!BK36-资产资本表!BK24</f>
        <v>169803070.70999998</v>
      </c>
      <c r="BL71" s="76">
        <f>资产资本表!BL35+资产资本表!BL36-资产资本表!BL24</f>
        <v>181289255.53999999</v>
      </c>
      <c r="BM71" s="76">
        <f>资产资本表!BM35+资产资本表!BM36-资产资本表!BM24</f>
        <v>182064356.99000001</v>
      </c>
      <c r="BN71" s="76">
        <f>资产资本表!BN35+资产资本表!BN36-资产资本表!BN24</f>
        <v>2480733.08</v>
      </c>
      <c r="BO71" s="76">
        <f>资产资本表!BO35+资产资本表!BO36-资产资本表!BO24</f>
        <v>109024175.58999999</v>
      </c>
      <c r="BP71" s="76">
        <f>资产资本表!BP35+资产资本表!BP36-资产资本表!BP24</f>
        <v>10780347.050000001</v>
      </c>
      <c r="BQ71" s="76">
        <f>资产资本表!BQ35+资产资本表!BQ36-资产资本表!BQ24</f>
        <v>-2109305.3099999987</v>
      </c>
      <c r="BR71" s="76">
        <f>资产资本表!BR35+资产资本表!BR36-资产资本表!BR24</f>
        <v>298038170.98000002</v>
      </c>
      <c r="BS71" s="76">
        <f>资产资本表!BS35+资产资本表!BS36-资产资本表!BS24</f>
        <v>88452405.959999993</v>
      </c>
      <c r="BT71" s="76">
        <f>资产资本表!BT35+资产资本表!BT36-资产资本表!BT24</f>
        <v>62302934.840000004</v>
      </c>
      <c r="BU71" s="76">
        <f>资产资本表!BU35+资产资本表!BU36-资产资本表!BU24</f>
        <v>42216906.010000005</v>
      </c>
      <c r="BV71" s="76">
        <f>资产资本表!BV35+资产资本表!BV36-资产资本表!BV24</f>
        <v>152182277</v>
      </c>
      <c r="BW71" s="76">
        <f>资产资本表!BW35+资产资本表!BW36-资产资本表!BW24</f>
        <v>74854333.810000002</v>
      </c>
      <c r="BX71" s="76">
        <f>资产资本表!BX35+资产资本表!BX36-资产资本表!BX24</f>
        <v>32628352.75</v>
      </c>
      <c r="BY71" s="76">
        <f>资产资本表!BY35+资产资本表!BY36-资产资本表!BY24</f>
        <v>-2138967.5700000003</v>
      </c>
      <c r="BZ71" s="76">
        <f>资产资本表!BZ35+资产资本表!BZ36-资产资本表!BZ24</f>
        <v>0</v>
      </c>
      <c r="CA71" s="76">
        <f>资产资本表!CA35+资产资本表!CA36-资产资本表!CA24</f>
        <v>6136859.5899999999</v>
      </c>
      <c r="CB71" s="76">
        <f>资产资本表!CB35+资产资本表!CB36-资产资本表!CB24</f>
        <v>0</v>
      </c>
      <c r="CC71" s="76">
        <f>资产资本表!CC35+资产资本表!CC36-资产资本表!CC24</f>
        <v>252608.65</v>
      </c>
      <c r="CD71" s="76">
        <f>资产资本表!CD35+资产资本表!CD36-资产资本表!CD24</f>
        <v>8936373.5800000001</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3.2373799723596632</v>
      </c>
      <c r="F72" s="155">
        <f t="shared" ref="F72:BQ72" si="36">F67/(F71+J71)*2</f>
        <v>3.0312429181781408</v>
      </c>
      <c r="G72" s="155">
        <f t="shared" si="36"/>
        <v>1.8787713402471093</v>
      </c>
      <c r="H72" s="155">
        <f t="shared" si="36"/>
        <v>0.9363211852484028</v>
      </c>
      <c r="I72" s="155">
        <f t="shared" si="36"/>
        <v>3.0795412586680002</v>
      </c>
      <c r="J72" s="155">
        <f t="shared" si="36"/>
        <v>7.6015233430278517</v>
      </c>
      <c r="K72" s="155">
        <f t="shared" si="36"/>
        <v>5.760408237842614</v>
      </c>
      <c r="L72" s="155">
        <f t="shared" si="36"/>
        <v>1.8159413521199321</v>
      </c>
      <c r="M72" s="155">
        <f t="shared" si="36"/>
        <v>7.1101655270183093</v>
      </c>
      <c r="N72" s="155">
        <f t="shared" si="36"/>
        <v>-20.709361239172996</v>
      </c>
      <c r="O72" s="155">
        <f t="shared" si="36"/>
        <v>-38.511606668214561</v>
      </c>
      <c r="P72" s="155">
        <f t="shared" si="36"/>
        <v>3.6406973674048553</v>
      </c>
      <c r="Q72" s="155">
        <f t="shared" si="36"/>
        <v>13.331768878916623</v>
      </c>
      <c r="R72" s="155">
        <f t="shared" si="36"/>
        <v>25.982000422725616</v>
      </c>
      <c r="S72" s="155">
        <f t="shared" si="36"/>
        <v>8.7080940444143486</v>
      </c>
      <c r="T72" s="155">
        <f t="shared" si="36"/>
        <v>2.7659110443253541</v>
      </c>
      <c r="U72" s="155">
        <f t="shared" si="36"/>
        <v>10.090446726994129</v>
      </c>
      <c r="V72" s="155">
        <f t="shared" si="36"/>
        <v>-65.983599530003218</v>
      </c>
      <c r="W72" s="155">
        <f t="shared" si="36"/>
        <v>87.445655170821695</v>
      </c>
      <c r="X72" s="155">
        <f t="shared" si="36"/>
        <v>5.9333127972437971</v>
      </c>
      <c r="Y72" s="155">
        <f t="shared" si="36"/>
        <v>21.719917916775575</v>
      </c>
      <c r="Z72" s="155">
        <f t="shared" si="36"/>
        <v>-14.344211836399603</v>
      </c>
      <c r="AA72" s="155">
        <f t="shared" si="36"/>
        <v>-9.7817769607905003</v>
      </c>
      <c r="AB72" s="155">
        <f t="shared" si="36"/>
        <v>-10.046080600111654</v>
      </c>
      <c r="AC72" s="155">
        <f t="shared" si="36"/>
        <v>-50.037035950512177</v>
      </c>
      <c r="AD72" s="155">
        <f t="shared" si="36"/>
        <v>-9.666611074477073</v>
      </c>
      <c r="AE72" s="155">
        <f t="shared" si="36"/>
        <v>-5.4441264934257525</v>
      </c>
      <c r="AF72" s="155">
        <f t="shared" si="36"/>
        <v>-4.8703229207233765</v>
      </c>
      <c r="AG72" s="155">
        <f t="shared" si="36"/>
        <v>-15.648536271308236</v>
      </c>
      <c r="AH72" s="155">
        <f t="shared" si="36"/>
        <v>-11.874535026146669</v>
      </c>
      <c r="AI72" s="155">
        <f t="shared" si="36"/>
        <v>-7.1057418218212547</v>
      </c>
      <c r="AJ72" s="155">
        <f t="shared" si="36"/>
        <v>-22.977734518335392</v>
      </c>
      <c r="AK72" s="155">
        <f t="shared" si="36"/>
        <v>-31.106064713499443</v>
      </c>
      <c r="AL72" s="155">
        <f t="shared" si="36"/>
        <v>6.190752131435417</v>
      </c>
      <c r="AM72" s="155">
        <f t="shared" si="36"/>
        <v>5.3370928233568522</v>
      </c>
      <c r="AN72" s="155">
        <f t="shared" si="36"/>
        <v>2.2071541148574361</v>
      </c>
      <c r="AO72" s="155">
        <f t="shared" si="36"/>
        <v>10.820248107880266</v>
      </c>
      <c r="AP72" s="155">
        <f t="shared" si="36"/>
        <v>7.1116701194371377</v>
      </c>
      <c r="AQ72" s="155">
        <f t="shared" si="36"/>
        <v>5.7497569249846974</v>
      </c>
      <c r="AR72" s="155">
        <f t="shared" si="36"/>
        <v>2.9685211620528049</v>
      </c>
      <c r="AS72" s="155">
        <f t="shared" si="36"/>
        <v>10.453186448068992</v>
      </c>
      <c r="AT72" s="155">
        <f t="shared" si="36"/>
        <v>-8.3984511873743788</v>
      </c>
      <c r="AU72" s="155">
        <f t="shared" si="36"/>
        <v>15.581013086161517</v>
      </c>
      <c r="AV72" s="155">
        <f t="shared" si="36"/>
        <v>5.4903377832239908</v>
      </c>
      <c r="AW72" s="155">
        <f t="shared" si="36"/>
        <v>13.42631631778084</v>
      </c>
      <c r="AX72" s="155">
        <f t="shared" si="36"/>
        <v>-3.5103335499265316</v>
      </c>
      <c r="AY72" s="155">
        <f t="shared" si="36"/>
        <v>3.9436802485961917</v>
      </c>
      <c r="AZ72" s="155">
        <f t="shared" si="36"/>
        <v>2.8404897342242035</v>
      </c>
      <c r="BA72" s="155">
        <f t="shared" si="36"/>
        <v>8.0653476471142369</v>
      </c>
      <c r="BB72" s="155">
        <f t="shared" si="36"/>
        <v>6.7274803969577617</v>
      </c>
      <c r="BC72" s="155">
        <f t="shared" si="36"/>
        <v>2.5202330533252413</v>
      </c>
      <c r="BD72" s="155">
        <f t="shared" si="36"/>
        <v>-37.495241617055484</v>
      </c>
      <c r="BE72" s="155">
        <f t="shared" si="36"/>
        <v>7.7880240401418277</v>
      </c>
      <c r="BF72" s="155">
        <f t="shared" si="36"/>
        <v>7.4870787956330966</v>
      </c>
      <c r="BG72" s="155">
        <f t="shared" si="36"/>
        <v>2.5610019712947714</v>
      </c>
      <c r="BH72" s="155">
        <f t="shared" si="36"/>
        <v>-8.3222669603689656</v>
      </c>
      <c r="BI72" s="155">
        <f t="shared" si="36"/>
        <v>6.0959400827010617</v>
      </c>
      <c r="BJ72" s="155">
        <f t="shared" si="36"/>
        <v>13.248416816656308</v>
      </c>
      <c r="BK72" s="155">
        <f t="shared" si="36"/>
        <v>3.2197885481179394</v>
      </c>
      <c r="BL72" s="155">
        <f t="shared" si="36"/>
        <v>2.9136221770322766</v>
      </c>
      <c r="BM72" s="155">
        <f t="shared" si="36"/>
        <v>25.322520841277669</v>
      </c>
      <c r="BN72" s="155">
        <f t="shared" si="36"/>
        <v>13.833073909087648</v>
      </c>
      <c r="BO72" s="155">
        <f t="shared" si="36"/>
        <v>13.157331065011036</v>
      </c>
      <c r="BP72" s="155">
        <f t="shared" si="36"/>
        <v>16.099112297815285</v>
      </c>
      <c r="BQ72" s="155">
        <f t="shared" si="36"/>
        <v>89.283389285861716</v>
      </c>
      <c r="BR72" s="155">
        <f t="shared" ref="BR72:CJ72" si="37">BR67/(BR71+BV71)*2</f>
        <v>2.611352027290033</v>
      </c>
      <c r="BS72" s="155">
        <f t="shared" si="37"/>
        <v>20.658381542681141</v>
      </c>
      <c r="BT72" s="155">
        <f t="shared" si="37"/>
        <v>11.332239400209318</v>
      </c>
      <c r="BU72" s="155">
        <f t="shared" si="37"/>
        <v>62.997678276787127</v>
      </c>
      <c r="BV72" s="155">
        <f t="shared" si="37"/>
        <v>7.7964687091651284</v>
      </c>
      <c r="BW72" s="155">
        <f t="shared" si="37"/>
        <v>24.076001122117063</v>
      </c>
      <c r="BX72" s="155">
        <f t="shared" si="37"/>
        <v>28.796943736609567</v>
      </c>
      <c r="BY72" s="155">
        <f t="shared" si="37"/>
        <v>-1256.0459215046942</v>
      </c>
      <c r="BZ72" s="155">
        <f t="shared" si="37"/>
        <v>0</v>
      </c>
      <c r="CA72" s="155">
        <f t="shared" si="37"/>
        <v>146.29738747860125</v>
      </c>
      <c r="CB72" s="155" t="e">
        <f t="shared" si="37"/>
        <v>#DIV/0!</v>
      </c>
      <c r="CC72" s="155">
        <f t="shared" si="37"/>
        <v>849.50443264710066</v>
      </c>
      <c r="CD72" s="155">
        <f t="shared" si="37"/>
        <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112.74549268739641</v>
      </c>
      <c r="F73" s="83">
        <f t="shared" ref="F73:BQ73" si="38">F62/F72</f>
        <v>120.41265245062408</v>
      </c>
      <c r="G73" s="83">
        <f t="shared" si="38"/>
        <v>194.27590371481429</v>
      </c>
      <c r="H73" s="83">
        <f t="shared" si="38"/>
        <v>389.82349833638204</v>
      </c>
      <c r="I73" s="83">
        <f t="shared" si="38"/>
        <v>118.52414672887809</v>
      </c>
      <c r="J73" s="83">
        <f t="shared" si="38"/>
        <v>48.016691330005514</v>
      </c>
      <c r="K73" s="83">
        <f t="shared" si="38"/>
        <v>63.36356468664097</v>
      </c>
      <c r="L73" s="83">
        <f t="shared" si="38"/>
        <v>200.99768066512641</v>
      </c>
      <c r="M73" s="83">
        <f t="shared" si="38"/>
        <v>51.334951150295502</v>
      </c>
      <c r="N73" s="83">
        <f t="shared" si="38"/>
        <v>-17.624879675650288</v>
      </c>
      <c r="O73" s="83">
        <f t="shared" si="38"/>
        <v>-9.4776622316630501</v>
      </c>
      <c r="P73" s="83">
        <f t="shared" si="38"/>
        <v>100.25551787628467</v>
      </c>
      <c r="Q73" s="83">
        <f t="shared" si="38"/>
        <v>27.378212397398006</v>
      </c>
      <c r="R73" s="83">
        <f t="shared" si="38"/>
        <v>14.048186977964418</v>
      </c>
      <c r="S73" s="83">
        <f t="shared" si="38"/>
        <v>41.915027345636297</v>
      </c>
      <c r="T73" s="83">
        <f t="shared" si="38"/>
        <v>131.96375232271029</v>
      </c>
      <c r="U73" s="83">
        <f t="shared" si="38"/>
        <v>36.172828604658903</v>
      </c>
      <c r="V73" s="83">
        <f t="shared" si="38"/>
        <v>-5.5316776077672429</v>
      </c>
      <c r="W73" s="83">
        <f t="shared" si="38"/>
        <v>4.174020988086677</v>
      </c>
      <c r="X73" s="83">
        <f t="shared" si="38"/>
        <v>61.517066851684191</v>
      </c>
      <c r="Y73" s="83">
        <f t="shared" si="38"/>
        <v>16.804851721750243</v>
      </c>
      <c r="Z73" s="83">
        <f t="shared" si="38"/>
        <v>-25.445803796189264</v>
      </c>
      <c r="AA73" s="83">
        <f t="shared" si="38"/>
        <v>-37.314283638144111</v>
      </c>
      <c r="AB73" s="83">
        <f t="shared" si="38"/>
        <v>-36.332577303425509</v>
      </c>
      <c r="AC73" s="83">
        <f t="shared" si="38"/>
        <v>-7.2945967535126126</v>
      </c>
      <c r="AD73" s="83">
        <f t="shared" si="38"/>
        <v>-37.758837837566055</v>
      </c>
      <c r="AE73" s="83">
        <f t="shared" si="38"/>
        <v>-67.04473168299242</v>
      </c>
      <c r="AF73" s="83">
        <f t="shared" si="38"/>
        <v>-74.94369591940476</v>
      </c>
      <c r="AG73" s="83">
        <f t="shared" si="38"/>
        <v>-23.324865257157089</v>
      </c>
      <c r="AH73" s="83">
        <f t="shared" si="38"/>
        <v>-30.738045674740317</v>
      </c>
      <c r="AI73" s="83">
        <f t="shared" si="38"/>
        <v>-51.366909909266553</v>
      </c>
      <c r="AJ73" s="83">
        <f t="shared" si="38"/>
        <v>-15.88494286539621</v>
      </c>
      <c r="AK73" s="83">
        <f t="shared" si="38"/>
        <v>-11.734046185585054</v>
      </c>
      <c r="AL73" s="83">
        <f t="shared" si="38"/>
        <v>58.958910363508508</v>
      </c>
      <c r="AM73" s="83">
        <f t="shared" si="38"/>
        <v>68.389292088502074</v>
      </c>
      <c r="AN73" s="83">
        <f t="shared" si="38"/>
        <v>165.3713247946784</v>
      </c>
      <c r="AO73" s="83">
        <f t="shared" si="38"/>
        <v>33.733052732328254</v>
      </c>
      <c r="AP73" s="83">
        <f t="shared" si="38"/>
        <v>51.324090385239693</v>
      </c>
      <c r="AQ73" s="83">
        <f t="shared" si="38"/>
        <v>63.48094445766008</v>
      </c>
      <c r="AR73" s="83">
        <f t="shared" si="38"/>
        <v>122.95684621213668</v>
      </c>
      <c r="AS73" s="83">
        <f t="shared" si="38"/>
        <v>34.917582481983388</v>
      </c>
      <c r="AT73" s="83">
        <f t="shared" si="38"/>
        <v>-43.46039428659352</v>
      </c>
      <c r="AU73" s="83">
        <f t="shared" si="38"/>
        <v>23.425947849577224</v>
      </c>
      <c r="AV73" s="83">
        <f t="shared" si="38"/>
        <v>66.480426963032443</v>
      </c>
      <c r="AW73" s="83">
        <f t="shared" si="38"/>
        <v>27.185416413630929</v>
      </c>
      <c r="AX73" s="83">
        <f t="shared" si="38"/>
        <v>-103.97872304973387</v>
      </c>
      <c r="AY73" s="83">
        <f t="shared" si="38"/>
        <v>92.55314249422905</v>
      </c>
      <c r="AZ73" s="83">
        <f t="shared" si="38"/>
        <v>128.49896818926157</v>
      </c>
      <c r="BA73" s="83">
        <f t="shared" si="38"/>
        <v>45.255333802083058</v>
      </c>
      <c r="BB73" s="83">
        <f t="shared" si="38"/>
        <v>54.255081912250077</v>
      </c>
      <c r="BC73" s="83">
        <f t="shared" si="38"/>
        <v>144.82787594520767</v>
      </c>
      <c r="BD73" s="83">
        <f t="shared" si="38"/>
        <v>-9.7345685547995568</v>
      </c>
      <c r="BE73" s="83">
        <f t="shared" si="38"/>
        <v>46.866830163682053</v>
      </c>
      <c r="BF73" s="83">
        <f t="shared" si="38"/>
        <v>48.75065562457943</v>
      </c>
      <c r="BG73" s="83">
        <f t="shared" si="38"/>
        <v>142.52234246249571</v>
      </c>
      <c r="BH73" s="83">
        <f t="shared" si="38"/>
        <v>-43.858242199889467</v>
      </c>
      <c r="BI73" s="83">
        <f t="shared" si="38"/>
        <v>59.875916601573856</v>
      </c>
      <c r="BJ73" s="83">
        <f t="shared" si="38"/>
        <v>27.550461692985916</v>
      </c>
      <c r="BK73" s="83">
        <f t="shared" si="38"/>
        <v>113.36148152131082</v>
      </c>
      <c r="BL73" s="83">
        <f t="shared" si="38"/>
        <v>125.27362088236762</v>
      </c>
      <c r="BM73" s="83">
        <f t="shared" si="38"/>
        <v>14.414046780248739</v>
      </c>
      <c r="BN73" s="83">
        <f t="shared" si="38"/>
        <v>26.386037000800883</v>
      </c>
      <c r="BO73" s="83">
        <f t="shared" si="38"/>
        <v>27.741188406411347</v>
      </c>
      <c r="BP73" s="83">
        <f t="shared" si="38"/>
        <v>22.672057517701269</v>
      </c>
      <c r="BQ73" s="83">
        <f t="shared" si="38"/>
        <v>4.0881064542853194</v>
      </c>
      <c r="BR73" s="83">
        <f t="shared" ref="BR73:CJ73" si="39">BR62/BR72</f>
        <v>139.77433765557217</v>
      </c>
      <c r="BS73" s="83">
        <f t="shared" si="39"/>
        <v>17.66837345151621</v>
      </c>
      <c r="BT73" s="83">
        <f t="shared" si="39"/>
        <v>32.208991277863234</v>
      </c>
      <c r="BU73" s="83">
        <f t="shared" si="39"/>
        <v>5.7938643134804577</v>
      </c>
      <c r="BV73" s="83">
        <f t="shared" si="39"/>
        <v>46.816066813803118</v>
      </c>
      <c r="BW73" s="83">
        <f t="shared" si="39"/>
        <v>15.160324928905995</v>
      </c>
      <c r="BX73" s="83">
        <f t="shared" si="39"/>
        <v>12.674956180713558</v>
      </c>
      <c r="BY73" s="83">
        <f t="shared" si="39"/>
        <v>-0.29059447091133755</v>
      </c>
      <c r="BZ73" s="83" t="e">
        <f t="shared" si="39"/>
        <v>#DIV/0!</v>
      </c>
      <c r="CA73" s="83">
        <f t="shared" si="39"/>
        <v>2.4949180999789768</v>
      </c>
      <c r="CB73" s="83" t="e">
        <f t="shared" si="39"/>
        <v>#DIV/0!</v>
      </c>
      <c r="CC73" s="83">
        <f t="shared" si="39"/>
        <v>0.42966226657892853</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57.749852495358411</v>
      </c>
      <c r="F74" s="256">
        <f t="shared" ref="F74:BQ74" si="40">F66+F70</f>
        <v>94.192312186083825</v>
      </c>
      <c r="G74" s="256">
        <f t="shared" si="40"/>
        <v>153.64921439854942</v>
      </c>
      <c r="H74" s="256">
        <f t="shared" si="40"/>
        <v>281.71307628486733</v>
      </c>
      <c r="I74" s="256">
        <f t="shared" si="40"/>
        <v>56.665637325369929</v>
      </c>
      <c r="J74" s="256">
        <f t="shared" si="40"/>
        <v>105.88474775427213</v>
      </c>
      <c r="K74" s="256">
        <f t="shared" si="40"/>
        <v>162.93031887331301</v>
      </c>
      <c r="L74" s="256">
        <f t="shared" si="40"/>
        <v>314.91417834141839</v>
      </c>
      <c r="M74" s="256">
        <f t="shared" si="40"/>
        <v>57.707298059127098</v>
      </c>
      <c r="N74" s="256">
        <f t="shared" si="40"/>
        <v>99.711134756041659</v>
      </c>
      <c r="O74" s="256">
        <f t="shared" si="40"/>
        <v>143.26850579514058</v>
      </c>
      <c r="P74" s="256">
        <f t="shared" si="40"/>
        <v>287.8882191885873</v>
      </c>
      <c r="Q74" s="256">
        <f t="shared" si="40"/>
        <v>60.522053072880325</v>
      </c>
      <c r="R74" s="256">
        <f t="shared" si="40"/>
        <v>95.199125348740921</v>
      </c>
      <c r="S74" s="256">
        <f t="shared" si="40"/>
        <v>135.09616010653883</v>
      </c>
      <c r="T74" s="256">
        <f t="shared" si="40"/>
        <v>270.19745198341639</v>
      </c>
      <c r="U74" s="256">
        <f t="shared" si="40"/>
        <v>68.178254087827071</v>
      </c>
      <c r="V74" s="256">
        <f t="shared" si="40"/>
        <v>92.653660250911088</v>
      </c>
      <c r="W74" s="256">
        <f t="shared" si="40"/>
        <v>139.15380194122204</v>
      </c>
      <c r="X74" s="256">
        <f t="shared" si="40"/>
        <v>268.15718863846666</v>
      </c>
      <c r="Y74" s="256">
        <f t="shared" si="40"/>
        <v>72.009142699582981</v>
      </c>
      <c r="Z74" s="256">
        <f t="shared" si="40"/>
        <v>81.689703308460281</v>
      </c>
      <c r="AA74" s="256">
        <f t="shared" si="40"/>
        <v>117.42822394791182</v>
      </c>
      <c r="AB74" s="256">
        <f t="shared" si="40"/>
        <v>217.91820042240437</v>
      </c>
      <c r="AC74" s="256">
        <f t="shared" si="40"/>
        <v>63.683524851565366</v>
      </c>
      <c r="AD74" s="256">
        <f t="shared" si="40"/>
        <v>83.850359936261285</v>
      </c>
      <c r="AE74" s="256">
        <f t="shared" si="40"/>
        <v>110.27766486365911</v>
      </c>
      <c r="AF74" s="256">
        <f t="shared" si="40"/>
        <v>231.66637277315598</v>
      </c>
      <c r="AG74" s="256">
        <f t="shared" si="40"/>
        <v>70.472459167067882</v>
      </c>
      <c r="AH74" s="256">
        <f t="shared" si="40"/>
        <v>77.533460032180841</v>
      </c>
      <c r="AI74" s="256">
        <f t="shared" si="40"/>
        <v>107.3813162197209</v>
      </c>
      <c r="AJ74" s="256">
        <f t="shared" si="40"/>
        <v>210.5101321438305</v>
      </c>
      <c r="AK74" s="256">
        <f t="shared" si="40"/>
        <v>66.903727719089474</v>
      </c>
      <c r="AL74" s="256">
        <f t="shared" si="40"/>
        <v>119.52771050839637</v>
      </c>
      <c r="AM74" s="256">
        <f t="shared" si="40"/>
        <v>167.41248971430264</v>
      </c>
      <c r="AN74" s="256">
        <f t="shared" si="40"/>
        <v>339.13864654149518</v>
      </c>
      <c r="AO74" s="256">
        <f t="shared" si="40"/>
        <v>78.519753988976589</v>
      </c>
      <c r="AP74" s="256">
        <f t="shared" si="40"/>
        <v>103.45454177561126</v>
      </c>
      <c r="AQ74" s="256">
        <f t="shared" si="40"/>
        <v>144.04357627651146</v>
      </c>
      <c r="AR74" s="256">
        <f t="shared" si="40"/>
        <v>286.1608405845609</v>
      </c>
      <c r="AS74" s="256">
        <f t="shared" si="40"/>
        <v>69.581988677033507</v>
      </c>
      <c r="AT74" s="256">
        <f t="shared" si="40"/>
        <v>71.333435189261678</v>
      </c>
      <c r="AU74" s="256">
        <f t="shared" si="40"/>
        <v>95.380603770275201</v>
      </c>
      <c r="AV74" s="256">
        <f t="shared" si="40"/>
        <v>207.36211244071478</v>
      </c>
      <c r="AW74" s="256">
        <f t="shared" si="40"/>
        <v>74.025823153017967</v>
      </c>
      <c r="AX74" s="256">
        <f t="shared" si="40"/>
        <v>108.56572479722625</v>
      </c>
      <c r="AY74" s="256">
        <f t="shared" si="40"/>
        <v>154.41546563475998</v>
      </c>
      <c r="AZ74" s="256">
        <f t="shared" si="40"/>
        <v>319.5933192654129</v>
      </c>
      <c r="BA74" s="256">
        <f t="shared" si="40"/>
        <v>68.846624069149755</v>
      </c>
      <c r="BB74" s="256">
        <f t="shared" si="40"/>
        <v>108.98379288764251</v>
      </c>
      <c r="BC74" s="256">
        <f t="shared" si="40"/>
        <v>213.3230921603149</v>
      </c>
      <c r="BD74" s="256">
        <f t="shared" si="40"/>
        <v>281.87196678882566</v>
      </c>
      <c r="BE74" s="256">
        <f t="shared" si="40"/>
        <v>82.424647793780466</v>
      </c>
      <c r="BF74" s="256">
        <f t="shared" si="40"/>
        <v>107.76669951462875</v>
      </c>
      <c r="BG74" s="256">
        <f t="shared" si="40"/>
        <v>259.32623521992014</v>
      </c>
      <c r="BH74" s="256">
        <f t="shared" si="40"/>
        <v>633.46274273451024</v>
      </c>
      <c r="BI74" s="256">
        <f t="shared" si="40"/>
        <v>143.11600700511232</v>
      </c>
      <c r="BJ74" s="256">
        <f t="shared" si="40"/>
        <v>101.35398762880619</v>
      </c>
      <c r="BK74" s="256">
        <f t="shared" si="40"/>
        <v>201.55892677034336</v>
      </c>
      <c r="BL74" s="256">
        <f t="shared" si="40"/>
        <v>407.80531309208402</v>
      </c>
      <c r="BM74" s="256">
        <f t="shared" si="40"/>
        <v>55.820087845811528</v>
      </c>
      <c r="BN74" s="256">
        <f t="shared" si="40"/>
        <v>55.481033633254022</v>
      </c>
      <c r="BO74" s="256">
        <f t="shared" si="40"/>
        <v>70.256672041737005</v>
      </c>
      <c r="BP74" s="256">
        <f t="shared" si="40"/>
        <v>99.112330657286748</v>
      </c>
      <c r="BQ74" s="256">
        <f t="shared" si="40"/>
        <v>36.985395407538334</v>
      </c>
      <c r="BR74" s="256">
        <f t="shared" ref="BR74:CK74" si="41">BR66+BR70</f>
        <v>228.34738332841107</v>
      </c>
      <c r="BS74" s="256">
        <f t="shared" si="41"/>
        <v>54.749039240508637</v>
      </c>
      <c r="BT74" s="256">
        <f t="shared" si="41"/>
        <v>127.27469966515923</v>
      </c>
      <c r="BU74" s="256">
        <f t="shared" si="41"/>
        <v>37.723530598702396</v>
      </c>
      <c r="BV74" s="256">
        <f t="shared" si="41"/>
        <v>88.634220854011318</v>
      </c>
      <c r="BW74" s="256">
        <f t="shared" si="41"/>
        <v>49.124441689944263</v>
      </c>
      <c r="BX74" s="256">
        <f t="shared" si="41"/>
        <v>71.492367392950399</v>
      </c>
      <c r="BY74" s="256">
        <f t="shared" si="41"/>
        <v>8.0497054104379941</v>
      </c>
      <c r="BZ74" s="256" t="e">
        <f t="shared" si="41"/>
        <v>#DIV/0!</v>
      </c>
      <c r="CA74" s="256">
        <f t="shared" si="41"/>
        <v>6.0677615753399818</v>
      </c>
      <c r="CB74" s="256" t="e">
        <f t="shared" si="41"/>
        <v>#DIV/0!</v>
      </c>
      <c r="CC74" s="256">
        <f t="shared" si="41"/>
        <v>6.082321213297825</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-54.995640192037996</v>
      </c>
      <c r="F75" s="256">
        <f t="shared" ref="F75:BQ75" si="42">F74-F73</f>
        <v>-26.220340264540255</v>
      </c>
      <c r="G75" s="256">
        <f t="shared" si="42"/>
        <v>-40.626689316264873</v>
      </c>
      <c r="H75" s="256">
        <f t="shared" si="42"/>
        <v>-108.11042205151472</v>
      </c>
      <c r="I75" s="256">
        <f t="shared" si="42"/>
        <v>-61.858509403508165</v>
      </c>
      <c r="J75" s="256">
        <f t="shared" si="42"/>
        <v>57.868056424266612</v>
      </c>
      <c r="K75" s="256">
        <f t="shared" si="42"/>
        <v>99.566754186672043</v>
      </c>
      <c r="L75" s="256">
        <f t="shared" si="42"/>
        <v>113.91649767629198</v>
      </c>
      <c r="M75" s="256">
        <f t="shared" si="42"/>
        <v>6.3723469088315952</v>
      </c>
      <c r="N75" s="256">
        <f t="shared" si="42"/>
        <v>117.33601443169195</v>
      </c>
      <c r="O75" s="256">
        <f t="shared" si="42"/>
        <v>152.74616802680364</v>
      </c>
      <c r="P75" s="256">
        <f t="shared" si="42"/>
        <v>187.63270131230263</v>
      </c>
      <c r="Q75" s="256">
        <f t="shared" si="42"/>
        <v>33.143840675482323</v>
      </c>
      <c r="R75" s="256">
        <f t="shared" si="42"/>
        <v>81.150938370776501</v>
      </c>
      <c r="S75" s="256">
        <f t="shared" si="42"/>
        <v>93.181132760902528</v>
      </c>
      <c r="T75" s="256">
        <f t="shared" si="42"/>
        <v>138.23369966070609</v>
      </c>
      <c r="U75" s="256">
        <f t="shared" si="42"/>
        <v>32.005425483168167</v>
      </c>
      <c r="V75" s="256">
        <f t="shared" si="42"/>
        <v>98.185337858678338</v>
      </c>
      <c r="W75" s="256">
        <f t="shared" si="42"/>
        <v>134.97978095313536</v>
      </c>
      <c r="X75" s="256">
        <f t="shared" si="42"/>
        <v>206.64012178678246</v>
      </c>
      <c r="Y75" s="256">
        <f t="shared" si="42"/>
        <v>55.204290977832741</v>
      </c>
      <c r="Z75" s="256">
        <f t="shared" si="42"/>
        <v>107.13550710464955</v>
      </c>
      <c r="AA75" s="256">
        <f t="shared" si="42"/>
        <v>154.74250758605592</v>
      </c>
      <c r="AB75" s="256">
        <f t="shared" si="42"/>
        <v>254.25077772582989</v>
      </c>
      <c r="AC75" s="256">
        <f t="shared" si="42"/>
        <v>70.978121605077973</v>
      </c>
      <c r="AD75" s="256">
        <f t="shared" si="42"/>
        <v>121.60919777382733</v>
      </c>
      <c r="AE75" s="256">
        <f t="shared" si="42"/>
        <v>177.32239654665153</v>
      </c>
      <c r="AF75" s="256">
        <f t="shared" si="42"/>
        <v>306.61006869256073</v>
      </c>
      <c r="AG75" s="256">
        <f t="shared" si="42"/>
        <v>93.797324424224968</v>
      </c>
      <c r="AH75" s="256">
        <f t="shared" si="42"/>
        <v>108.27150570692116</v>
      </c>
      <c r="AI75" s="256">
        <f t="shared" si="42"/>
        <v>158.74822612898745</v>
      </c>
      <c r="AJ75" s="256">
        <f t="shared" si="42"/>
        <v>226.3950750092267</v>
      </c>
      <c r="AK75" s="256">
        <f t="shared" si="42"/>
        <v>78.637773904674532</v>
      </c>
      <c r="AL75" s="256">
        <f t="shared" si="42"/>
        <v>60.568800144887859</v>
      </c>
      <c r="AM75" s="256">
        <f t="shared" si="42"/>
        <v>99.023197625800563</v>
      </c>
      <c r="AN75" s="256">
        <f t="shared" si="42"/>
        <v>173.76732174681678</v>
      </c>
      <c r="AO75" s="256">
        <f t="shared" si="42"/>
        <v>44.786701256648335</v>
      </c>
      <c r="AP75" s="256">
        <f t="shared" si="42"/>
        <v>52.130451390371569</v>
      </c>
      <c r="AQ75" s="256">
        <f t="shared" si="42"/>
        <v>80.562631818851372</v>
      </c>
      <c r="AR75" s="256">
        <f t="shared" si="42"/>
        <v>163.20399437242423</v>
      </c>
      <c r="AS75" s="256">
        <f t="shared" si="42"/>
        <v>34.66440619505012</v>
      </c>
      <c r="AT75" s="256">
        <f t="shared" si="42"/>
        <v>114.7938294758552</v>
      </c>
      <c r="AU75" s="256">
        <f t="shared" si="42"/>
        <v>71.954655920697974</v>
      </c>
      <c r="AV75" s="256">
        <f t="shared" si="42"/>
        <v>140.88168547768234</v>
      </c>
      <c r="AW75" s="256">
        <f t="shared" si="42"/>
        <v>46.840406739387035</v>
      </c>
      <c r="AX75" s="256">
        <f t="shared" si="42"/>
        <v>212.54444784696011</v>
      </c>
      <c r="AY75" s="256">
        <f t="shared" si="42"/>
        <v>61.862323140530933</v>
      </c>
      <c r="AZ75" s="256">
        <f t="shared" si="42"/>
        <v>191.09435107615133</v>
      </c>
      <c r="BA75" s="256">
        <f t="shared" si="42"/>
        <v>23.591290267066697</v>
      </c>
      <c r="BB75" s="256">
        <f t="shared" si="42"/>
        <v>54.728710975392431</v>
      </c>
      <c r="BC75" s="256">
        <f t="shared" si="42"/>
        <v>68.495216215107234</v>
      </c>
      <c r="BD75" s="256">
        <f t="shared" si="42"/>
        <v>291.60653534362524</v>
      </c>
      <c r="BE75" s="256">
        <f t="shared" si="42"/>
        <v>35.557817630098413</v>
      </c>
      <c r="BF75" s="256">
        <f t="shared" si="42"/>
        <v>59.016043890049325</v>
      </c>
      <c r="BG75" s="256">
        <f t="shared" si="42"/>
        <v>116.80389275742442</v>
      </c>
      <c r="BH75" s="256">
        <f t="shared" si="42"/>
        <v>677.32098493439969</v>
      </c>
      <c r="BI75" s="256">
        <f t="shared" si="42"/>
        <v>83.24009040353846</v>
      </c>
      <c r="BJ75" s="256">
        <f t="shared" si="42"/>
        <v>73.803525935820275</v>
      </c>
      <c r="BK75" s="256">
        <f t="shared" si="42"/>
        <v>88.19744524903254</v>
      </c>
      <c r="BL75" s="256">
        <f t="shared" si="42"/>
        <v>282.53169220971643</v>
      </c>
      <c r="BM75" s="256">
        <f t="shared" si="42"/>
        <v>41.406041065562789</v>
      </c>
      <c r="BN75" s="256">
        <f t="shared" si="42"/>
        <v>29.094996632453139</v>
      </c>
      <c r="BO75" s="256">
        <f t="shared" si="42"/>
        <v>42.515483635325658</v>
      </c>
      <c r="BP75" s="256">
        <f t="shared" si="42"/>
        <v>76.440273139585486</v>
      </c>
      <c r="BQ75" s="256">
        <f t="shared" si="42"/>
        <v>32.897288953253017</v>
      </c>
      <c r="BR75" s="256">
        <f t="shared" ref="BR75:CJ75" si="43">BR74-BR73</f>
        <v>88.573045672838902</v>
      </c>
      <c r="BS75" s="256">
        <f t="shared" si="43"/>
        <v>37.080665788992427</v>
      </c>
      <c r="BT75" s="256">
        <f t="shared" si="43"/>
        <v>95.065708387295999</v>
      </c>
      <c r="BU75" s="256">
        <f t="shared" si="43"/>
        <v>31.929666285221938</v>
      </c>
      <c r="BV75" s="256">
        <f t="shared" si="43"/>
        <v>41.818154040208199</v>
      </c>
      <c r="BW75" s="256">
        <f t="shared" si="43"/>
        <v>33.964116761038269</v>
      </c>
      <c r="BX75" s="256">
        <f t="shared" si="43"/>
        <v>58.817411212236841</v>
      </c>
      <c r="BY75" s="256">
        <f t="shared" si="43"/>
        <v>8.3402998813493312</v>
      </c>
      <c r="BZ75" s="256" t="e">
        <f t="shared" si="43"/>
        <v>#DIV/0!</v>
      </c>
      <c r="CA75" s="256">
        <f t="shared" si="43"/>
        <v>3.572843475361005</v>
      </c>
      <c r="CB75" s="256" t="e">
        <f t="shared" si="43"/>
        <v>#DIV/0!</v>
      </c>
      <c r="CC75" s="256">
        <f t="shared" si="43"/>
        <v>5.6526589467188968</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648460894.86000061</v>
      </c>
      <c r="F76" s="120">
        <f t="shared" ref="F76:BQ76" si="44">F71-F64-F68</f>
        <v>-245630378.5600009</v>
      </c>
      <c r="G76" s="120">
        <f t="shared" si="44"/>
        <v>-34901556.86000061</v>
      </c>
      <c r="H76" s="120">
        <f t="shared" si="44"/>
        <v>761145043.84000087</v>
      </c>
      <c r="I76" s="120">
        <f t="shared" si="44"/>
        <v>2491462764.4700003</v>
      </c>
      <c r="J76" s="120">
        <f t="shared" si="44"/>
        <v>-1516911155.74</v>
      </c>
      <c r="K76" s="120">
        <f t="shared" si="44"/>
        <v>-1419790150.6100006</v>
      </c>
      <c r="L76" s="120">
        <f t="shared" si="44"/>
        <v>-1913645138.9000006</v>
      </c>
      <c r="M76" s="120">
        <f t="shared" si="44"/>
        <v>22648889.60000062</v>
      </c>
      <c r="N76" s="120">
        <f t="shared" si="44"/>
        <v>-6514988805.3699999</v>
      </c>
      <c r="O76" s="120">
        <f t="shared" si="44"/>
        <v>-6234650792.3800001</v>
      </c>
      <c r="P76" s="120">
        <f t="shared" si="44"/>
        <v>-4343085894.6500006</v>
      </c>
      <c r="Q76" s="120">
        <f t="shared" si="44"/>
        <v>-3592441782.1399994</v>
      </c>
      <c r="R76" s="120">
        <f t="shared" si="44"/>
        <v>-5676334184.2199993</v>
      </c>
      <c r="S76" s="120">
        <f t="shared" si="44"/>
        <v>-3921674666.8099995</v>
      </c>
      <c r="T76" s="120">
        <f t="shared" si="44"/>
        <v>-3441237051.4899998</v>
      </c>
      <c r="U76" s="120">
        <f t="shared" si="44"/>
        <v>-2777270491.71</v>
      </c>
      <c r="V76" s="120">
        <f t="shared" si="44"/>
        <v>-4518022952.2900009</v>
      </c>
      <c r="W76" s="120">
        <f t="shared" si="44"/>
        <v>-3483246918.75</v>
      </c>
      <c r="X76" s="120">
        <f t="shared" si="44"/>
        <v>-2757544346.9400005</v>
      </c>
      <c r="Y76" s="120">
        <f t="shared" si="44"/>
        <v>-2956483446.9000006</v>
      </c>
      <c r="Z76" s="120">
        <f t="shared" si="44"/>
        <v>-4921887051.8900003</v>
      </c>
      <c r="AA76" s="120">
        <f t="shared" si="44"/>
        <v>-4418544363.6599998</v>
      </c>
      <c r="AB76" s="120">
        <f t="shared" si="44"/>
        <v>-3537007504.5599995</v>
      </c>
      <c r="AC76" s="120">
        <f t="shared" si="44"/>
        <v>-3903629598.1900001</v>
      </c>
      <c r="AD76" s="120">
        <f t="shared" si="44"/>
        <v>-4365062392.0200005</v>
      </c>
      <c r="AE76" s="120">
        <f t="shared" si="44"/>
        <v>-4074280275.6500001</v>
      </c>
      <c r="AF76" s="120">
        <f t="shared" si="44"/>
        <v>-3329513229.4200006</v>
      </c>
      <c r="AG76" s="120">
        <f t="shared" si="44"/>
        <v>-3884398532.8099995</v>
      </c>
      <c r="AH76" s="120">
        <f t="shared" si="44"/>
        <v>-5157200047.6499996</v>
      </c>
      <c r="AI76" s="120">
        <f t="shared" si="44"/>
        <v>-4304901965.1100006</v>
      </c>
      <c r="AJ76" s="120">
        <f t="shared" si="44"/>
        <v>-3245629241.5</v>
      </c>
      <c r="AK76" s="120">
        <f t="shared" si="44"/>
        <v>-3369549473.2700005</v>
      </c>
      <c r="AL76" s="120">
        <f t="shared" si="44"/>
        <v>-864186814.1400001</v>
      </c>
      <c r="AM76" s="120">
        <f t="shared" si="44"/>
        <v>-1093224915.9400001</v>
      </c>
      <c r="AN76" s="120">
        <f t="shared" si="44"/>
        <v>-879179629.66000009</v>
      </c>
      <c r="AO76" s="120">
        <f t="shared" si="44"/>
        <v>-1055529829.1999999</v>
      </c>
      <c r="AP76" s="120">
        <f t="shared" si="44"/>
        <v>-767389728.16999996</v>
      </c>
      <c r="AQ76" s="120">
        <f t="shared" si="44"/>
        <v>-675395402.68000007</v>
      </c>
      <c r="AR76" s="120">
        <f t="shared" si="44"/>
        <v>-691727809.00999999</v>
      </c>
      <c r="AS76" s="120">
        <f t="shared" si="44"/>
        <v>-584383095.51999998</v>
      </c>
      <c r="AT76" s="120">
        <f t="shared" si="44"/>
        <v>-778527999.85000002</v>
      </c>
      <c r="AU76" s="120">
        <f t="shared" si="44"/>
        <v>-917982953.8900001</v>
      </c>
      <c r="AV76" s="120">
        <f t="shared" si="44"/>
        <v>-1008075702.7199998</v>
      </c>
      <c r="AW76" s="120">
        <f t="shared" si="44"/>
        <v>-844966775.12</v>
      </c>
      <c r="AX76" s="120">
        <f t="shared" si="44"/>
        <v>-1855028140.1200001</v>
      </c>
      <c r="AY76" s="120">
        <f t="shared" si="44"/>
        <v>-450515908.25999999</v>
      </c>
      <c r="AZ76" s="120">
        <f t="shared" si="44"/>
        <v>-360569339.17999995</v>
      </c>
      <c r="BA76" s="120">
        <f t="shared" si="44"/>
        <v>-279339599.55000001</v>
      </c>
      <c r="BB76" s="120">
        <f t="shared" si="44"/>
        <v>-434063218.74000001</v>
      </c>
      <c r="BC76" s="120">
        <f t="shared" si="44"/>
        <v>-211225975.98999995</v>
      </c>
      <c r="BD76" s="120">
        <f t="shared" si="44"/>
        <v>-475607194.02999997</v>
      </c>
      <c r="BE76" s="120">
        <f t="shared" si="44"/>
        <v>-256313805.54000002</v>
      </c>
      <c r="BF76" s="120">
        <f t="shared" si="44"/>
        <v>-387145379.45999998</v>
      </c>
      <c r="BG76" s="120">
        <f t="shared" si="44"/>
        <v>-675763901.09000003</v>
      </c>
      <c r="BH76" s="120">
        <f t="shared" si="44"/>
        <v>-670920204.83999991</v>
      </c>
      <c r="BI76" s="120">
        <f t="shared" si="44"/>
        <v>-349291441.30000001</v>
      </c>
      <c r="BJ76" s="120">
        <f t="shared" si="44"/>
        <v>-268320708.81999999</v>
      </c>
      <c r="BK76" s="120">
        <f t="shared" si="44"/>
        <v>-252515677.75000006</v>
      </c>
      <c r="BL76" s="120">
        <f t="shared" si="44"/>
        <v>-482159667.37000006</v>
      </c>
      <c r="BM76" s="120">
        <f t="shared" si="44"/>
        <v>-421265080.25999999</v>
      </c>
      <c r="BN76" s="120">
        <f t="shared" si="44"/>
        <v>-163780978.20999998</v>
      </c>
      <c r="BO76" s="120">
        <f t="shared" si="44"/>
        <v>-156576771.04000002</v>
      </c>
      <c r="BP76" s="120">
        <f t="shared" si="44"/>
        <v>-173502123.66000003</v>
      </c>
      <c r="BQ76" s="120">
        <f t="shared" si="44"/>
        <v>-168637129.59</v>
      </c>
      <c r="BR76" s="120">
        <f t="shared" ref="BR76:CJ76" si="45">BR71-BR64-BR68</f>
        <v>-185454127.12999997</v>
      </c>
      <c r="BS76" s="120">
        <f t="shared" si="45"/>
        <v>-164965107.31</v>
      </c>
      <c r="BT76" s="120">
        <f t="shared" si="45"/>
        <v>-81170773.749999985</v>
      </c>
      <c r="BU76" s="120">
        <f t="shared" si="45"/>
        <v>-173160798.79999998</v>
      </c>
      <c r="BV76" s="120">
        <f t="shared" si="45"/>
        <v>-129142891.20000002</v>
      </c>
      <c r="BW76" s="120">
        <f t="shared" si="45"/>
        <v>-216592338.69</v>
      </c>
      <c r="BX76" s="120">
        <f t="shared" si="45"/>
        <v>-204511681.86000001</v>
      </c>
      <c r="BY76" s="120">
        <f t="shared" si="45"/>
        <v>-56382005.770000011</v>
      </c>
      <c r="BZ76" s="120">
        <f t="shared" si="45"/>
        <v>0</v>
      </c>
      <c r="CA76" s="120">
        <f t="shared" si="45"/>
        <v>-13127988.560000001</v>
      </c>
      <c r="CB76" s="120">
        <f t="shared" si="45"/>
        <v>0</v>
      </c>
      <c r="CC76" s="120">
        <f t="shared" si="45"/>
        <v>-3068352.72</v>
      </c>
      <c r="CD76" s="120">
        <f t="shared" si="45"/>
        <v>6964332.9399999995</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25569</v>
      </c>
      <c r="CG80" s="1"/>
      <c r="CH80" s="1"/>
      <c r="CI80" s="1"/>
      <c r="CJ80" s="1"/>
      <c r="CK80" s="1"/>
    </row>
    <row r="81" spans="1:89" s="76" customFormat="1" x14ac:dyDescent="0.25">
      <c r="A81" s="70" t="s">
        <v>580</v>
      </c>
      <c r="E81" s="76">
        <f>股权价值增加表!E4</f>
        <v>31645284235.709999</v>
      </c>
      <c r="F81" s="76">
        <f>股权价值增加表!F4</f>
        <v>24205181216.639999</v>
      </c>
      <c r="G81" s="76">
        <f>股权价值增加表!G4</f>
        <v>13963103340.84</v>
      </c>
      <c r="H81" s="76">
        <f>股权价值增加表!H4</f>
        <v>7630739661.6099997</v>
      </c>
      <c r="I81" s="76">
        <f>股权价值增加表!I4</f>
        <v>29270802965.48</v>
      </c>
      <c r="J81" s="76">
        <f>股权价值增加表!J4</f>
        <v>22139965801.990002</v>
      </c>
      <c r="K81" s="76">
        <f>股权价值增加表!K4</f>
        <v>13138564310.35</v>
      </c>
      <c r="L81" s="76">
        <f>股权价值增加表!L4</f>
        <v>6900062535.5799999</v>
      </c>
      <c r="M81" s="76">
        <f>股权价值增加表!M4</f>
        <v>31279699772.91</v>
      </c>
      <c r="N81" s="76">
        <f>股权价值增加表!N4</f>
        <v>24390224176.689999</v>
      </c>
      <c r="O81" s="76">
        <f>股权价值增加表!O4</f>
        <v>14926173663.58</v>
      </c>
      <c r="P81" s="76">
        <f>股权价值增加表!P4</f>
        <v>7600001553.6199999</v>
      </c>
      <c r="Q81" s="76">
        <f>股权价值增加表!Q4</f>
        <v>32957169192.110001</v>
      </c>
      <c r="R81" s="76">
        <f>股权价值增加表!R4</f>
        <v>25532032094.880001</v>
      </c>
      <c r="S81" s="76">
        <f>股权价值增加表!S4</f>
        <v>14621681241.700001</v>
      </c>
      <c r="T81" s="76">
        <f>股权价值增加表!T4</f>
        <v>7403217065.1400003</v>
      </c>
      <c r="U81" s="76">
        <f>股权价值增加表!U4</f>
        <v>28338981085.049999</v>
      </c>
      <c r="V81" s="76">
        <f>股权价值增加表!V4</f>
        <v>20434757606.32</v>
      </c>
      <c r="W81" s="76">
        <f>股权价值增加表!W4</f>
        <v>12168841172.08</v>
      </c>
      <c r="X81" s="76">
        <f>股权价值增加表!X4</f>
        <v>5971110428.3800001</v>
      </c>
      <c r="Y81" s="76">
        <f>股权价值增加表!Y4</f>
        <v>23867007746.380001</v>
      </c>
      <c r="Z81" s="76">
        <f>股权价值增加表!Z4</f>
        <v>17863621703.299999</v>
      </c>
      <c r="AA81" s="76">
        <f>股权价值增加表!AA4</f>
        <v>10926725049.4</v>
      </c>
      <c r="AB81" s="76">
        <f>股权价值增加表!AB4</f>
        <v>5253274351.6700001</v>
      </c>
      <c r="AC81" s="76">
        <f>股权价值增加表!AC4</f>
        <v>21703539229.470001</v>
      </c>
      <c r="AD81" s="76">
        <f>股权价值增加表!AD4</f>
        <v>15921395685.65</v>
      </c>
      <c r="AE81" s="76">
        <f>股权价值增加表!AE4</f>
        <v>9608183225.0499992</v>
      </c>
      <c r="AF81" s="76">
        <f>股权价值增加表!AF4</f>
        <v>4295912033.9700003</v>
      </c>
      <c r="AG81" s="76">
        <f>股权价值增加表!AG4</f>
        <v>15947612024.690001</v>
      </c>
      <c r="AH81" s="76">
        <f>股权价值增加表!AH4</f>
        <v>11586634877.459999</v>
      </c>
      <c r="AI81" s="76">
        <f>股权价值增加表!AI4</f>
        <v>6940940134.21</v>
      </c>
      <c r="AJ81" s="76">
        <f>股权价值增加表!AJ4</f>
        <v>3575394783.4299998</v>
      </c>
      <c r="AK81" s="76">
        <f>股权价值增加表!AK4</f>
        <v>11917120466.15</v>
      </c>
      <c r="AL81" s="76">
        <f>股权价值增加表!AL4</f>
        <v>4660474238.6400003</v>
      </c>
      <c r="AM81" s="76">
        <f>股权价值增加表!AM4</f>
        <v>3199327190.8000002</v>
      </c>
      <c r="AN81" s="76">
        <f>股权价值增加表!AN4</f>
        <v>1549689921.1800001</v>
      </c>
      <c r="AO81" s="76">
        <f>股权价值增加表!AO4</f>
        <v>6580129765.1800003</v>
      </c>
      <c r="AP81" s="76">
        <f>股权价值增加表!AP4</f>
        <v>5120647626.3500004</v>
      </c>
      <c r="AQ81" s="76">
        <f>股权价值增加表!AQ4</f>
        <v>3442075295.3600001</v>
      </c>
      <c r="AR81" s="76">
        <f>股权价值增加表!AR4</f>
        <v>1788555071.6700001</v>
      </c>
      <c r="AS81" s="76">
        <f>股权价值增加表!AS4</f>
        <v>6648986102.8400002</v>
      </c>
      <c r="AT81" s="76">
        <f>股权价值增加表!AT4</f>
        <v>4881953554.7200003</v>
      </c>
      <c r="AU81" s="76">
        <f>股权价值增加表!AU4</f>
        <v>3425705083.5500002</v>
      </c>
      <c r="AV81" s="76">
        <f>股权价值增加表!AV4</f>
        <v>1705403569.95</v>
      </c>
      <c r="AW81" s="76">
        <f>股权价值增加表!AW4</f>
        <v>4217034152.5999999</v>
      </c>
      <c r="AX81" s="76">
        <f>股权价值增加表!AX4</f>
        <v>2433306901.4000001</v>
      </c>
      <c r="AY81" s="76">
        <f>股权价值增加表!AY4</f>
        <v>1565474217.5799999</v>
      </c>
      <c r="AZ81" s="76">
        <f>股权价值增加表!AZ4</f>
        <v>746157118.29999995</v>
      </c>
      <c r="BA81" s="76">
        <f>股权价值增加表!BA4</f>
        <v>3056764453</v>
      </c>
      <c r="BB81" s="76">
        <f>股权价值增加表!BB4</f>
        <v>2308914489.1100001</v>
      </c>
      <c r="BC81" s="76">
        <f>股权价值增加表!BC4</f>
        <v>1517214113.4100001</v>
      </c>
      <c r="BD81" s="76">
        <f>股权价值增加表!BD4</f>
        <v>787189588.39999998</v>
      </c>
      <c r="BE81" s="76">
        <f>股权价值增加表!BE4</f>
        <v>2377850873.52</v>
      </c>
      <c r="BF81" s="76">
        <f>股权价值增加表!BF4</f>
        <v>1675492643</v>
      </c>
      <c r="BG81" s="76">
        <f>股权价值增加表!BG4</f>
        <v>1054599281.13</v>
      </c>
      <c r="BH81" s="76">
        <f>股权价值增加表!BH4</f>
        <v>329092815.69</v>
      </c>
      <c r="BI81" s="76">
        <f>股权价值增加表!BI4</f>
        <v>1376597157.76</v>
      </c>
      <c r="BJ81" s="76">
        <f>股权价值增加表!BJ4</f>
        <v>1014596056.9299999</v>
      </c>
      <c r="BK81" s="76">
        <f>股权价值增加表!BK4</f>
        <v>672223749.58000004</v>
      </c>
      <c r="BL81" s="76">
        <f>股权价值增加表!BL4</f>
        <v>392896529.39999998</v>
      </c>
      <c r="BM81" s="76">
        <f>股权价值增加表!BM4</f>
        <v>2536380521.7600002</v>
      </c>
      <c r="BN81" s="76">
        <f>股权价值增加表!BN4</f>
        <v>2203933549.6900001</v>
      </c>
      <c r="BO81" s="76">
        <f>股权价值增加表!BO4</f>
        <v>1367752390.02</v>
      </c>
      <c r="BP81" s="76">
        <f>股权价值增加表!BP4</f>
        <v>611508372.74000001</v>
      </c>
      <c r="BQ81" s="76">
        <f>股权价值增加表!BQ4</f>
        <v>1906409322.8</v>
      </c>
      <c r="BR81" s="76">
        <f>股权价值增加表!BR4</f>
        <v>646122321.89999998</v>
      </c>
      <c r="BS81" s="76">
        <f>股权价值增加表!BS4</f>
        <v>1859074053.9000001</v>
      </c>
      <c r="BT81" s="76">
        <f>股权价值增加表!BT4</f>
        <v>549623332.33000004</v>
      </c>
      <c r="BU81" s="76">
        <f>股权价值增加表!BU4</f>
        <v>1314714236.1099999</v>
      </c>
      <c r="BV81" s="76">
        <f>股权价值增加表!BV4</f>
        <v>566333099.61000001</v>
      </c>
      <c r="BW81" s="76">
        <f>股权价值增加表!BW4</f>
        <v>1218895749.3699999</v>
      </c>
      <c r="BX81" s="76">
        <f>股权价值增加表!BX4</f>
        <v>679984331.27999997</v>
      </c>
      <c r="BY81" s="76">
        <f>股权价值增加表!BY4</f>
        <v>1365735697.6600001</v>
      </c>
      <c r="BZ81" s="76">
        <f>股权价值增加表!BZ4</f>
        <v>636022622.80999994</v>
      </c>
      <c r="CA81" s="76">
        <f>股权价值增加表!CA4</f>
        <v>613666529.59000003</v>
      </c>
      <c r="CB81" s="76">
        <f>股权价值增加表!CB4</f>
        <v>146955056.78</v>
      </c>
      <c r="CC81" s="76">
        <f>股权价值增加表!CC4</f>
        <v>213156267.63999999</v>
      </c>
      <c r="CD81" s="76">
        <f>股权价值增加表!CD4</f>
        <v>111235147.11</v>
      </c>
      <c r="CE81" s="76">
        <f>股权价值增加表!CE4</f>
        <v>127416182.34</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195503417643.78003</v>
      </c>
      <c r="F82" s="76">
        <f>投资和筹资活动现金流表!F34</f>
        <v>194397023183.04004</v>
      </c>
      <c r="G82" s="76">
        <f>投资和筹资活动现金流表!G34</f>
        <v>193043376324.26001</v>
      </c>
      <c r="H82" s="76">
        <f>投资和筹资活动现金流表!H34</f>
        <v>192922825909.66</v>
      </c>
      <c r="I82" s="76">
        <f>投资和筹资活动现金流表!I34</f>
        <v>192179227762.42999</v>
      </c>
      <c r="J82" s="76">
        <f>投资和筹资活动现金流表!J34</f>
        <v>185001847648.12</v>
      </c>
      <c r="K82" s="76">
        <f>投资和筹资活动现金流表!K34</f>
        <v>180643873646.20001</v>
      </c>
      <c r="L82" s="76">
        <f>投资和筹资活动现金流表!L34</f>
        <v>176192013374.64999</v>
      </c>
      <c r="M82" s="76">
        <f>投资和筹资活动现金流表!M34</f>
        <v>171691736588.87</v>
      </c>
      <c r="N82" s="76">
        <f>投资和筹资活动现金流表!N34</f>
        <v>161461805589.5</v>
      </c>
      <c r="O82" s="76">
        <f>投资和筹资活动现金流表!O34</f>
        <v>159199592915.88</v>
      </c>
      <c r="P82" s="76">
        <f>投资和筹资活动现金流表!P34</f>
        <v>159889361040.16</v>
      </c>
      <c r="Q82" s="76">
        <f>投资和筹资活动现金流表!Q34</f>
        <v>158831576835.70001</v>
      </c>
      <c r="R82" s="76">
        <f>投资和筹资活动现金流表!R34</f>
        <v>155753956735.34</v>
      </c>
      <c r="S82" s="76">
        <f>投资和筹资活动现金流表!S34</f>
        <v>150363365886.38</v>
      </c>
      <c r="T82" s="76">
        <f>投资和筹资活动现金流表!T34</f>
        <v>150382977295.16</v>
      </c>
      <c r="U82" s="76">
        <f>投资和筹资活动现金流表!U34</f>
        <v>149321416028.38</v>
      </c>
      <c r="V82" s="76">
        <f>投资和筹资活动现金流表!V34</f>
        <v>144537311964.10001</v>
      </c>
      <c r="W82" s="76">
        <f>投资和筹资活动现金流表!W34</f>
        <v>140478070922.54001</v>
      </c>
      <c r="X82" s="76">
        <f>投资和筹资活动现金流表!X34</f>
        <v>137479584893.34</v>
      </c>
      <c r="Y82" s="76">
        <f>投资和筹资活动现金流表!AZ34</f>
        <v>8272279388.54</v>
      </c>
      <c r="Z82" s="76">
        <f>投资和筹资活动现金流表!BA34</f>
        <v>8214864954.0900002</v>
      </c>
      <c r="AA82" s="76">
        <f>投资和筹资活动现金流表!BB34</f>
        <v>8203969080.8299999</v>
      </c>
      <c r="AB82" s="76">
        <f>投资和筹资活动现金流表!BC34</f>
        <v>8227143275.54</v>
      </c>
      <c r="AC82" s="76">
        <f>投资和筹资活动现金流表!BD34</f>
        <v>7934573128.4499998</v>
      </c>
      <c r="AD82" s="76">
        <f>投资和筹资活动现金流表!BE34</f>
        <v>8031012382.6599998</v>
      </c>
      <c r="AE82" s="76">
        <f>投资和筹资活动现金流表!BF34</f>
        <v>7682509323.7200003</v>
      </c>
      <c r="AF82" s="76">
        <f>投资和筹资活动现金流表!BG34</f>
        <v>7725247986.5600004</v>
      </c>
      <c r="AG82" s="76">
        <f>投资和筹资活动现金流表!BH34</f>
        <v>4007451639.8400002</v>
      </c>
      <c r="AH82" s="76">
        <f>投资和筹资活动现金流表!BI34</f>
        <v>3954948691.9000001</v>
      </c>
      <c r="AI82" s="76">
        <f>投资和筹资活动现金流表!BJ34</f>
        <v>3882953147.1399999</v>
      </c>
      <c r="AJ82" s="76">
        <f>投资和筹资活动现金流表!BK34</f>
        <v>3837770495.8699999</v>
      </c>
      <c r="AK82" s="76">
        <f>投资和筹资活动现金流表!BL34</f>
        <v>3889906135.1199999</v>
      </c>
      <c r="AL82" s="76">
        <f>投资和筹资活动现金流表!BM34</f>
        <v>3894065466.1399999</v>
      </c>
      <c r="AM82" s="76">
        <f>投资和筹资活动现金流表!BN34</f>
        <v>611934068.65999997</v>
      </c>
      <c r="AN82" s="76">
        <f>投资和筹资活动现金流表!BO34</f>
        <v>633399313.91999996</v>
      </c>
      <c r="AO82" s="76">
        <f>投资和筹资活动现金流表!BP34</f>
        <v>650097139.72000003</v>
      </c>
      <c r="AP82" s="76">
        <f>投资和筹资活动现金流表!BQ34</f>
        <v>15474871017.49</v>
      </c>
      <c r="AQ82" s="76">
        <f>投资和筹资活动现金流表!BR34</f>
        <v>15406155132.370001</v>
      </c>
      <c r="AR82" s="76">
        <f>投资和筹资活动现金流表!BS34</f>
        <v>15234231711.040001</v>
      </c>
      <c r="AS82" s="76">
        <f>投资和筹资活动现金流表!AS34</f>
        <v>15056242702.940001</v>
      </c>
      <c r="AT82" s="76">
        <f>投资和筹资活动现金流表!AT34</f>
        <v>14725327102.91</v>
      </c>
      <c r="AU82" s="76">
        <f>投资和筹资活动现金流表!AU34</f>
        <v>14738101470.690001</v>
      </c>
      <c r="AV82" s="76">
        <f>投资和筹资活动现金流表!AV34</f>
        <v>14686064980.360001</v>
      </c>
      <c r="AW82" s="76">
        <f>投资和筹资活动现金流表!AW34</f>
        <v>15308097980.719999</v>
      </c>
      <c r="AX82" s="76">
        <f>投资和筹资活动现金流表!AX34</f>
        <v>8669286305.0699997</v>
      </c>
      <c r="AY82" s="76">
        <f>投资和筹资活动现金流表!AY34</f>
        <v>8461859022.29</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0.16186563190097153</v>
      </c>
      <c r="F83" s="155">
        <f t="shared" ref="F83:BQ83" si="46">F81/F82</f>
        <v>0.12451415572268781</v>
      </c>
      <c r="G83" s="155">
        <f t="shared" si="46"/>
        <v>7.2331429374638628E-2</v>
      </c>
      <c r="H83" s="155">
        <f t="shared" si="46"/>
        <v>3.955332722102696E-2</v>
      </c>
      <c r="I83" s="155">
        <f t="shared" si="46"/>
        <v>0.15230992082903086</v>
      </c>
      <c r="J83" s="155">
        <f t="shared" si="46"/>
        <v>0.11967429560001473</v>
      </c>
      <c r="K83" s="155">
        <f t="shared" si="46"/>
        <v>7.2731856581433427E-2</v>
      </c>
      <c r="L83" s="155">
        <f t="shared" si="46"/>
        <v>3.9162175421129285E-2</v>
      </c>
      <c r="M83" s="155">
        <f t="shared" si="46"/>
        <v>0.18218523730010266</v>
      </c>
      <c r="N83" s="155">
        <f t="shared" si="46"/>
        <v>0.15105878500268743</v>
      </c>
      <c r="O83" s="155">
        <f t="shared" si="46"/>
        <v>9.3757612002606627E-2</v>
      </c>
      <c r="P83" s="155">
        <f t="shared" si="46"/>
        <v>4.7532878386518033E-2</v>
      </c>
      <c r="Q83" s="155">
        <f t="shared" si="46"/>
        <v>0.20749758863252898</v>
      </c>
      <c r="R83" s="155">
        <f t="shared" si="46"/>
        <v>0.1639254156365639</v>
      </c>
      <c r="S83" s="155">
        <f t="shared" si="46"/>
        <v>9.7242311353609043E-2</v>
      </c>
      <c r="T83" s="155">
        <f t="shared" si="46"/>
        <v>4.9229089610385503E-2</v>
      </c>
      <c r="U83" s="155">
        <f t="shared" si="46"/>
        <v>0.18978510811646668</v>
      </c>
      <c r="V83" s="155">
        <f t="shared" si="46"/>
        <v>0.14138050119124645</v>
      </c>
      <c r="W83" s="155">
        <f t="shared" si="46"/>
        <v>8.6624489446398598E-2</v>
      </c>
      <c r="X83" s="155">
        <f t="shared" si="46"/>
        <v>4.3432706266988898E-2</v>
      </c>
      <c r="Y83" s="155">
        <f t="shared" si="46"/>
        <v>2.8851791175530357</v>
      </c>
      <c r="Z83" s="155">
        <f t="shared" si="46"/>
        <v>2.1745484317920645</v>
      </c>
      <c r="AA83" s="155">
        <f t="shared" si="46"/>
        <v>1.3318827681752474</v>
      </c>
      <c r="AB83" s="155">
        <f t="shared" si="46"/>
        <v>0.63852958137831795</v>
      </c>
      <c r="AC83" s="155">
        <f t="shared" si="46"/>
        <v>2.735312773367776</v>
      </c>
      <c r="AD83" s="155">
        <f t="shared" si="46"/>
        <v>1.9824892463154911</v>
      </c>
      <c r="AE83" s="155">
        <f t="shared" si="46"/>
        <v>1.25065689089168</v>
      </c>
      <c r="AF83" s="155">
        <f t="shared" si="46"/>
        <v>0.55608726625265792</v>
      </c>
      <c r="AG83" s="155">
        <f t="shared" si="46"/>
        <v>3.9794895754067587</v>
      </c>
      <c r="AH83" s="155">
        <f t="shared" si="46"/>
        <v>2.9296549159260152</v>
      </c>
      <c r="AI83" s="155">
        <f t="shared" si="46"/>
        <v>1.7875415621026407</v>
      </c>
      <c r="AJ83" s="155">
        <f t="shared" si="46"/>
        <v>0.93163329784249616</v>
      </c>
      <c r="AK83" s="155">
        <f t="shared" si="46"/>
        <v>3.0636010361680275</v>
      </c>
      <c r="AL83" s="155">
        <f t="shared" si="46"/>
        <v>1.1968145577325655</v>
      </c>
      <c r="AM83" s="155">
        <f t="shared" si="46"/>
        <v>5.2282220498130103</v>
      </c>
      <c r="AN83" s="155">
        <f t="shared" si="46"/>
        <v>2.4466239339433988</v>
      </c>
      <c r="AO83" s="155">
        <f t="shared" si="46"/>
        <v>10.121763907489417</v>
      </c>
      <c r="AP83" s="155">
        <f t="shared" si="46"/>
        <v>0.330900827577984</v>
      </c>
      <c r="AQ83" s="155">
        <f t="shared" si="46"/>
        <v>0.22342208460096752</v>
      </c>
      <c r="AR83" s="155">
        <f t="shared" si="46"/>
        <v>0.11740369357608386</v>
      </c>
      <c r="AS83" s="155">
        <f t="shared" si="46"/>
        <v>0.44160991782775039</v>
      </c>
      <c r="AT83" s="155">
        <f t="shared" si="46"/>
        <v>0.33153447258602731</v>
      </c>
      <c r="AU83" s="155">
        <f t="shared" si="46"/>
        <v>0.23243869574129195</v>
      </c>
      <c r="AV83" s="155">
        <f t="shared" si="46"/>
        <v>0.11612392919619204</v>
      </c>
      <c r="AW83" s="155">
        <f t="shared" si="46"/>
        <v>0.27547734263990231</v>
      </c>
      <c r="AX83" s="155">
        <f t="shared" si="46"/>
        <v>0.28068134051322607</v>
      </c>
      <c r="AY83" s="155">
        <f t="shared" si="46"/>
        <v>0.1850035805910108</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134490691353.69</v>
      </c>
      <c r="F84" s="76">
        <f>资产资本表!F52</f>
        <v>130003900793.34</v>
      </c>
      <c r="G84" s="76">
        <f>资产资本表!G52</f>
        <v>126012559356.41</v>
      </c>
      <c r="H84" s="76">
        <f>资产资本表!H52</f>
        <v>125943645531.47</v>
      </c>
      <c r="I84" s="76">
        <f>资产资本表!I52</f>
        <v>126883562835.75</v>
      </c>
      <c r="J84" s="76">
        <f>资产资本表!J52</f>
        <v>125894296032.16</v>
      </c>
      <c r="K84" s="76">
        <f>资产资本表!K52</f>
        <v>122738978326.55</v>
      </c>
      <c r="L84" s="76">
        <f>资产资本表!L52</f>
        <v>124044010534.39999</v>
      </c>
      <c r="M84" s="76">
        <f>资产资本表!M52</f>
        <v>124572873454.98</v>
      </c>
      <c r="N84" s="76">
        <f>资产资本表!N52</f>
        <v>120449334915.41</v>
      </c>
      <c r="O84" s="76">
        <f>资产资本表!O52</f>
        <v>120535982071.61</v>
      </c>
      <c r="P84" s="76">
        <f>资产资本表!P52</f>
        <v>121898213544.73</v>
      </c>
      <c r="Q84" s="76">
        <f>资产资本表!Q52</f>
        <v>122797376716.92999</v>
      </c>
      <c r="R84" s="76">
        <f>资产资本表!R52</f>
        <v>116862791401.77</v>
      </c>
      <c r="S84" s="76">
        <f>资产资本表!S52</f>
        <v>114775540769.37</v>
      </c>
      <c r="T84" s="76">
        <f>资产资本表!T52</f>
        <v>111448380105.53</v>
      </c>
      <c r="U84" s="76">
        <f>资产资本表!U52</f>
        <v>112147071012.86</v>
      </c>
      <c r="V84" s="76">
        <f>资产资本表!V52</f>
        <v>105463681435.27</v>
      </c>
      <c r="W84" s="76">
        <f>资产资本表!W52</f>
        <v>71358179588.080002</v>
      </c>
      <c r="X84" s="76">
        <f>资产资本表!X52</f>
        <v>72239781322.720001</v>
      </c>
      <c r="Y84" s="76">
        <f>资产资本表!Y52</f>
        <v>55796883536.519997</v>
      </c>
      <c r="Z84" s="76">
        <f>资产资本表!Z52</f>
        <v>54397249151.32</v>
      </c>
      <c r="AA84" s="76">
        <f>资产资本表!AA52</f>
        <v>51807500811.290001</v>
      </c>
      <c r="AB84" s="76">
        <f>资产资本表!AB52</f>
        <v>42343047278.400002</v>
      </c>
      <c r="AC84" s="76">
        <f>资产资本表!AC52</f>
        <v>45906717101.080002</v>
      </c>
      <c r="AD84" s="76">
        <f>资产资本表!AD52</f>
        <v>43436899618.809998</v>
      </c>
      <c r="AE84" s="76">
        <f>资产资本表!AE52</f>
        <v>44188087052.489998</v>
      </c>
      <c r="AF84" s="76">
        <f>资产资本表!AF52</f>
        <v>44544451559.160004</v>
      </c>
      <c r="AG84" s="76">
        <f>资产资本表!AG52</f>
        <v>43723354579.099998</v>
      </c>
      <c r="AH84" s="76">
        <f>资产资本表!AH52</f>
        <v>41123415267.949997</v>
      </c>
      <c r="AI84" s="76">
        <f>资产资本表!AI52</f>
        <v>41546432254.279999</v>
      </c>
      <c r="AJ84" s="76">
        <f>资产资本表!AJ52</f>
        <v>41803601288.860001</v>
      </c>
      <c r="AK84" s="76">
        <f>资产资本表!AK52</f>
        <v>42442533935</v>
      </c>
      <c r="AL84" s="76">
        <f>资产资本表!AL52</f>
        <v>13112471150.530001</v>
      </c>
      <c r="AM84" s="76">
        <f>资产资本表!AM52</f>
        <v>13349288937.4</v>
      </c>
      <c r="AN84" s="76">
        <f>资产资本表!AN52</f>
        <v>13197064216.08</v>
      </c>
      <c r="AO84" s="76">
        <f>资产资本表!AO52</f>
        <v>13226804587.370001</v>
      </c>
      <c r="AP84" s="76">
        <f>资产资本表!AP52</f>
        <v>12157718927.860001</v>
      </c>
      <c r="AQ84" s="76">
        <f>资产资本表!AQ52</f>
        <v>12374129290.6</v>
      </c>
      <c r="AR84" s="76">
        <f>资产资本表!AR52</f>
        <v>12609612883.42</v>
      </c>
      <c r="AS84" s="76">
        <f>资产资本表!AS52</f>
        <v>12848168138.610001</v>
      </c>
      <c r="AT84" s="76">
        <f>资产资本表!AT52</f>
        <v>12472735363.6</v>
      </c>
      <c r="AU84" s="76">
        <f>资产资本表!AU52</f>
        <v>12621971924.879999</v>
      </c>
      <c r="AV84" s="76">
        <f>资产资本表!AV52</f>
        <v>12987057547.49</v>
      </c>
      <c r="AW84" s="76">
        <f>资产资本表!AW52</f>
        <v>12077036527.969999</v>
      </c>
      <c r="AX84" s="76">
        <f>资产资本表!AX52</f>
        <v>6128283390.04</v>
      </c>
      <c r="AY84" s="76">
        <f>资产资本表!AY52</f>
        <v>6294781345.4099998</v>
      </c>
      <c r="AZ84" s="76">
        <f>资产资本表!AZ52</f>
        <v>6447791861.1499996</v>
      </c>
      <c r="BA84" s="76">
        <f>资产资本表!BA52</f>
        <v>6587945814.2299995</v>
      </c>
      <c r="BB84" s="76">
        <f>资产资本表!BB52</f>
        <v>6736215143.8800001</v>
      </c>
      <c r="BC84" s="76">
        <f>资产资本表!BC52</f>
        <v>6889128356.2600002</v>
      </c>
      <c r="BD84" s="76">
        <f>资产资本表!BD52</f>
        <v>6860706350.6499996</v>
      </c>
      <c r="BE84" s="76">
        <f>资产资本表!BE52</f>
        <v>6820591642.0299997</v>
      </c>
      <c r="BF84" s="76">
        <f>资产资本表!BF52</f>
        <v>5914775555.6000004</v>
      </c>
      <c r="BG84" s="76">
        <f>资产资本表!BG52</f>
        <v>6076675419</v>
      </c>
      <c r="BH84" s="76">
        <f>资产资本表!BH52</f>
        <v>2871496250.3699999</v>
      </c>
      <c r="BI84" s="76">
        <f>资产资本表!BI52</f>
        <v>2953878559.3200002</v>
      </c>
      <c r="BJ84" s="76">
        <f>资产资本表!BJ52</f>
        <v>3015405844.5100002</v>
      </c>
      <c r="BK84" s="76">
        <f>资产资本表!BK52</f>
        <v>3086572050.8000002</v>
      </c>
      <c r="BL84" s="76">
        <f>资产资本表!BL52</f>
        <v>3162442546.1100001</v>
      </c>
      <c r="BM84" s="76">
        <f>资产资本表!BM52</f>
        <v>3242264206.2600002</v>
      </c>
      <c r="BN84" s="76">
        <f>资产资本表!BN52</f>
        <v>548081423.50999999</v>
      </c>
      <c r="BO84" s="76">
        <f>资产资本表!BO52</f>
        <v>560455013.63</v>
      </c>
      <c r="BP84" s="76">
        <f>资产资本表!BP52</f>
        <v>579113745.69000006</v>
      </c>
      <c r="BQ84" s="76">
        <f>资产资本表!BQ52</f>
        <v>597755490.29999995</v>
      </c>
      <c r="BR84" s="76">
        <f>资产资本表!BR52</f>
        <v>628063572.84000003</v>
      </c>
      <c r="BS84" s="76">
        <f>资产资本表!BS52</f>
        <v>610297953.53999996</v>
      </c>
      <c r="BT84" s="76">
        <f>资产资本表!BT52</f>
        <v>753634841.63</v>
      </c>
      <c r="BU84" s="76">
        <f>资产资本表!BU52</f>
        <v>783320284.83000004</v>
      </c>
      <c r="BV84" s="76">
        <f>资产资本表!BV52</f>
        <v>713405947.82000005</v>
      </c>
      <c r="BW84" s="76">
        <f>资产资本表!BW52</f>
        <v>815665418.22000003</v>
      </c>
      <c r="BX84" s="76">
        <f>资产资本表!BX52</f>
        <v>365805087.82999998</v>
      </c>
      <c r="BY84" s="76">
        <f>资产资本表!BY52</f>
        <v>336574372.44</v>
      </c>
      <c r="BZ84" s="76">
        <f>资产资本表!BZ52</f>
        <v>349982951.49000001</v>
      </c>
      <c r="CA84" s="76">
        <f>资产资本表!CA52</f>
        <v>311739863.24000001</v>
      </c>
      <c r="CB84" s="76">
        <f>资产资本表!CB52</f>
        <v>16978250.68</v>
      </c>
      <c r="CC84" s="76">
        <f>资产资本表!CC52</f>
        <v>18651726.149999999</v>
      </c>
      <c r="CD84" s="76">
        <f>资产资本表!CD52</f>
        <v>22132692.41</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0.23529720843272139</v>
      </c>
      <c r="F85" s="155">
        <f t="shared" ref="F85:BQ85" si="48">F81/F84</f>
        <v>0.18618811488678047</v>
      </c>
      <c r="G85" s="155">
        <f t="shared" si="48"/>
        <v>0.11080723550219461</v>
      </c>
      <c r="H85" s="155">
        <f t="shared" si="48"/>
        <v>6.0588524569135792E-2</v>
      </c>
      <c r="I85" s="155">
        <f t="shared" si="48"/>
        <v>0.23069026681864913</v>
      </c>
      <c r="J85" s="155">
        <f t="shared" si="48"/>
        <v>0.17586154813824365</v>
      </c>
      <c r="K85" s="155">
        <f t="shared" si="48"/>
        <v>0.10704475863726463</v>
      </c>
      <c r="L85" s="155">
        <f t="shared" si="48"/>
        <v>5.5625922653205963E-2</v>
      </c>
      <c r="M85" s="155">
        <f t="shared" si="48"/>
        <v>0.25109559493475381</v>
      </c>
      <c r="N85" s="155">
        <f t="shared" si="48"/>
        <v>0.20249363928675018</v>
      </c>
      <c r="O85" s="155">
        <f t="shared" si="48"/>
        <v>0.12383168417470904</v>
      </c>
      <c r="P85" s="155">
        <f t="shared" si="48"/>
        <v>6.2347111845336547E-2</v>
      </c>
      <c r="Q85" s="155">
        <f t="shared" si="48"/>
        <v>0.26838658995201659</v>
      </c>
      <c r="R85" s="155">
        <f t="shared" si="48"/>
        <v>0.21847871156099472</v>
      </c>
      <c r="S85" s="155">
        <f t="shared" si="48"/>
        <v>0.1273937037777135</v>
      </c>
      <c r="T85" s="155">
        <f t="shared" si="48"/>
        <v>6.642731871140635E-2</v>
      </c>
      <c r="U85" s="155">
        <f t="shared" si="48"/>
        <v>0.25269479469330364</v>
      </c>
      <c r="V85" s="155">
        <f t="shared" si="48"/>
        <v>0.19376108749685694</v>
      </c>
      <c r="W85" s="155">
        <f t="shared" si="48"/>
        <v>0.17053183310344339</v>
      </c>
      <c r="X85" s="155">
        <f t="shared" si="48"/>
        <v>8.2656817601717142E-2</v>
      </c>
      <c r="Y85" s="155">
        <f t="shared" si="48"/>
        <v>0.42774804314579046</v>
      </c>
      <c r="Z85" s="155">
        <f t="shared" si="48"/>
        <v>0.32839200477964836</v>
      </c>
      <c r="AA85" s="155">
        <f t="shared" si="48"/>
        <v>0.21091009753975287</v>
      </c>
      <c r="AB85" s="155">
        <f t="shared" si="48"/>
        <v>0.12406462664650486</v>
      </c>
      <c r="AC85" s="155">
        <f t="shared" si="48"/>
        <v>0.47277480508314118</v>
      </c>
      <c r="AD85" s="155">
        <f t="shared" si="48"/>
        <v>0.36654079424111036</v>
      </c>
      <c r="AE85" s="155">
        <f t="shared" si="48"/>
        <v>0.2174383157532179</v>
      </c>
      <c r="AF85" s="155">
        <f t="shared" si="48"/>
        <v>9.6441013046586727E-2</v>
      </c>
      <c r="AG85" s="155">
        <f t="shared" si="48"/>
        <v>0.36473898625136703</v>
      </c>
      <c r="AH85" s="155">
        <f t="shared" si="48"/>
        <v>0.28175273872474726</v>
      </c>
      <c r="AI85" s="155">
        <f t="shared" si="48"/>
        <v>0.16706464929957887</v>
      </c>
      <c r="AJ85" s="155">
        <f t="shared" si="48"/>
        <v>8.552839165038123E-2</v>
      </c>
      <c r="AK85" s="155">
        <f t="shared" si="48"/>
        <v>0.28078249249681608</v>
      </c>
      <c r="AL85" s="155">
        <f t="shared" si="48"/>
        <v>0.35542303087939497</v>
      </c>
      <c r="AM85" s="155">
        <f t="shared" si="48"/>
        <v>0.23966274202340573</v>
      </c>
      <c r="AN85" s="155">
        <f t="shared" si="48"/>
        <v>0.1174268682645172</v>
      </c>
      <c r="AO85" s="155">
        <f t="shared" si="48"/>
        <v>0.49748446207961888</v>
      </c>
      <c r="AP85" s="155">
        <f t="shared" si="48"/>
        <v>0.42118489962913924</v>
      </c>
      <c r="AQ85" s="155">
        <f t="shared" si="48"/>
        <v>0.27816707054893719</v>
      </c>
      <c r="AR85" s="155">
        <f t="shared" si="48"/>
        <v>0.14184060115134203</v>
      </c>
      <c r="AS85" s="155">
        <f t="shared" si="48"/>
        <v>0.51750459918555602</v>
      </c>
      <c r="AT85" s="155">
        <f t="shared" si="48"/>
        <v>0.39141001652029955</v>
      </c>
      <c r="AU85" s="155">
        <f t="shared" si="48"/>
        <v>0.27140807347205137</v>
      </c>
      <c r="AV85" s="155">
        <f t="shared" si="48"/>
        <v>0.13131562432166186</v>
      </c>
      <c r="AW85" s="155">
        <f t="shared" si="48"/>
        <v>0.34917789168174612</v>
      </c>
      <c r="AX85" s="155">
        <f t="shared" si="48"/>
        <v>0.39706174576631609</v>
      </c>
      <c r="AY85" s="155">
        <f t="shared" si="48"/>
        <v>0.24869397865924373</v>
      </c>
      <c r="AZ85" s="155">
        <f t="shared" si="48"/>
        <v>0.1157228915523521</v>
      </c>
      <c r="BA85" s="155">
        <f t="shared" si="48"/>
        <v>0.46399356327390728</v>
      </c>
      <c r="BB85" s="155">
        <f t="shared" si="48"/>
        <v>0.34276139342249184</v>
      </c>
      <c r="BC85" s="155">
        <f t="shared" si="48"/>
        <v>0.2202331027888805</v>
      </c>
      <c r="BD85" s="155">
        <f t="shared" si="48"/>
        <v>0.11473885459700804</v>
      </c>
      <c r="BE85" s="155">
        <f t="shared" si="48"/>
        <v>0.34862824199401632</v>
      </c>
      <c r="BF85" s="155">
        <f t="shared" si="48"/>
        <v>0.28327239592610992</v>
      </c>
      <c r="BG85" s="155">
        <f t="shared" si="48"/>
        <v>0.17354872663308199</v>
      </c>
      <c r="BH85" s="155">
        <f t="shared" si="48"/>
        <v>0.11460673704435292</v>
      </c>
      <c r="BI85" s="155">
        <f t="shared" si="48"/>
        <v>0.46603038348228526</v>
      </c>
      <c r="BJ85" s="155">
        <f t="shared" si="48"/>
        <v>0.33647081329938544</v>
      </c>
      <c r="BK85" s="155">
        <f t="shared" si="48"/>
        <v>0.21778974814657839</v>
      </c>
      <c r="BL85" s="155">
        <f t="shared" si="48"/>
        <v>0.12423831379428125</v>
      </c>
      <c r="BM85" s="155">
        <f t="shared" si="48"/>
        <v>0.78228680958907815</v>
      </c>
      <c r="BN85" s="155">
        <f t="shared" si="48"/>
        <v>4.0211790714884321</v>
      </c>
      <c r="BO85" s="155">
        <f t="shared" si="48"/>
        <v>2.4404320717219239</v>
      </c>
      <c r="BP85" s="155">
        <f t="shared" si="48"/>
        <v>1.0559382803310988</v>
      </c>
      <c r="BQ85" s="155">
        <f t="shared" si="48"/>
        <v>3.189279485903536</v>
      </c>
      <c r="BR85" s="155">
        <f t="shared" ref="BR85:CK85" si="49">BR81/BR84</f>
        <v>1.0287530591502725</v>
      </c>
      <c r="BS85" s="155">
        <f t="shared" si="49"/>
        <v>3.0461744843097418</v>
      </c>
      <c r="BT85" s="155">
        <f t="shared" si="49"/>
        <v>0.7292966062201246</v>
      </c>
      <c r="BU85" s="155">
        <f t="shared" si="49"/>
        <v>1.6783865572884091</v>
      </c>
      <c r="BV85" s="155">
        <f t="shared" si="49"/>
        <v>0.79384409583432836</v>
      </c>
      <c r="BW85" s="155">
        <f t="shared" si="49"/>
        <v>1.4943575173628867</v>
      </c>
      <c r="BX85" s="155">
        <f t="shared" si="49"/>
        <v>1.8588706223681832</v>
      </c>
      <c r="BY85" s="155">
        <f t="shared" si="49"/>
        <v>4.057753083691674</v>
      </c>
      <c r="BZ85" s="155">
        <f t="shared" si="49"/>
        <v>1.8172960142836354</v>
      </c>
      <c r="CA85" s="155">
        <f t="shared" si="49"/>
        <v>1.9685211997336218</v>
      </c>
      <c r="CB85" s="155">
        <f t="shared" si="49"/>
        <v>8.655488692548861</v>
      </c>
      <c r="CC85" s="155">
        <f t="shared" si="49"/>
        <v>11.428232750457791</v>
      </c>
      <c r="CD85" s="155">
        <f t="shared" si="49"/>
        <v>5.0258298922431006</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46023596957.230003</v>
      </c>
      <c r="F86" s="76">
        <f>资产资本表!F53</f>
        <v>49587257283.690002</v>
      </c>
      <c r="G86" s="76">
        <f>资产资本表!G53</f>
        <v>52160282513.199997</v>
      </c>
      <c r="H86" s="76">
        <f>资产资本表!H53</f>
        <v>51530179706.57</v>
      </c>
      <c r="I86" s="76">
        <f>资产资本表!I53</f>
        <v>49891194159.050003</v>
      </c>
      <c r="J86" s="76">
        <f>资产资本表!J53</f>
        <v>44496489181.209999</v>
      </c>
      <c r="K86" s="76">
        <f>资产资本表!K53</f>
        <v>44295269873.160004</v>
      </c>
      <c r="L86" s="76">
        <f>资产资本表!L53</f>
        <v>40859039129.419998</v>
      </c>
      <c r="M86" s="76">
        <f>资产资本表!M53</f>
        <v>38308505229.620003</v>
      </c>
      <c r="N86" s="76">
        <f>资产资本表!N53</f>
        <v>32564005738.279999</v>
      </c>
      <c r="O86" s="76">
        <f>资产资本表!O53</f>
        <v>30347896851.209999</v>
      </c>
      <c r="P86" s="76">
        <f>资产资本表!P53</f>
        <v>28420270298.23</v>
      </c>
      <c r="Q86" s="76">
        <f>资产资本表!Q53</f>
        <v>26846036635.240002</v>
      </c>
      <c r="R86" s="76">
        <f>资产资本表!R53</f>
        <v>30593175732.919998</v>
      </c>
      <c r="S86" s="76">
        <f>资产资本表!S53</f>
        <v>29432476699.439999</v>
      </c>
      <c r="T86" s="76">
        <f>资产资本表!T53</f>
        <v>32527316097.27</v>
      </c>
      <c r="U86" s="76">
        <f>资产资本表!U53</f>
        <v>30838788766.119999</v>
      </c>
      <c r="V86" s="76">
        <f>资产资本表!V53</f>
        <v>32895170244.27</v>
      </c>
      <c r="W86" s="76">
        <f>资产资本表!W53</f>
        <v>62715948518.730003</v>
      </c>
      <c r="X86" s="76">
        <f>资产资本表!X53</f>
        <v>58789226079.839996</v>
      </c>
      <c r="Y86" s="76">
        <f>资产资本表!Y53</f>
        <v>70817400040.509995</v>
      </c>
      <c r="Z86" s="76">
        <f>资产资本表!Z53</f>
        <v>63812626336.190002</v>
      </c>
      <c r="AA86" s="76">
        <f>资产资本表!AA53</f>
        <v>58886495357.230003</v>
      </c>
      <c r="AB86" s="76">
        <f>资产资本表!AB53</f>
        <v>65786417114.019997</v>
      </c>
      <c r="AC86" s="76">
        <f>资产资本表!AC53</f>
        <v>61599707183.190002</v>
      </c>
      <c r="AD86" s="76">
        <f>资产资本表!AD53</f>
        <v>56885552309.239998</v>
      </c>
      <c r="AE86" s="76">
        <f>资产资本表!AE53</f>
        <v>52677469130.230003</v>
      </c>
      <c r="AF86" s="76">
        <f>资产资本表!AF53</f>
        <v>48441721420.5</v>
      </c>
      <c r="AG86" s="76">
        <f>资产资本表!AG53</f>
        <v>46393765217.419998</v>
      </c>
      <c r="AH86" s="76">
        <f>资产资本表!AH53</f>
        <v>42998236538.139999</v>
      </c>
      <c r="AI86" s="76">
        <f>资产资本表!AI53</f>
        <v>39898359576.080002</v>
      </c>
      <c r="AJ86" s="76">
        <f>资产资本表!AJ53</f>
        <v>38046633910.68</v>
      </c>
      <c r="AK86" s="76">
        <f>资产资本表!AK53</f>
        <v>35223061715.260002</v>
      </c>
      <c r="AL86" s="76">
        <f>资产资本表!AL53</f>
        <v>780522793.95000005</v>
      </c>
      <c r="AM86" s="76">
        <f>资产资本表!AM53</f>
        <v>110266844.67</v>
      </c>
      <c r="AN86" s="76">
        <f>资产资本表!AN53</f>
        <v>598285311.46000004</v>
      </c>
      <c r="AO86" s="76">
        <f>资产资本表!AO53</f>
        <v>637515956.35000002</v>
      </c>
      <c r="AP86" s="76">
        <f>资产资本表!AP53</f>
        <v>1884493782.5799999</v>
      </c>
      <c r="AQ86" s="76">
        <f>资产资本表!AQ53</f>
        <v>1550139893.25</v>
      </c>
      <c r="AR86" s="76">
        <f>资产资本表!AR53</f>
        <v>1173659978.6600001</v>
      </c>
      <c r="AS86" s="76">
        <f>资产资本表!AS53</f>
        <v>973591349.27999997</v>
      </c>
      <c r="AT86" s="76">
        <f>资产资本表!AT53</f>
        <v>994390881.71000004</v>
      </c>
      <c r="AU86" s="76">
        <f>资产资本表!AU53</f>
        <v>860052565.5</v>
      </c>
      <c r="AV86" s="76">
        <f>资产资本表!AV53</f>
        <v>524908881.60000002</v>
      </c>
      <c r="AW86" s="76">
        <f>资产资本表!AW53</f>
        <v>1426774902.6700001</v>
      </c>
      <c r="AX86" s="76">
        <f>资产资本表!AX53</f>
        <v>1605560618.3800001</v>
      </c>
      <c r="AY86" s="76">
        <f>资产资本表!AY53</f>
        <v>1458750843.49</v>
      </c>
      <c r="AZ86" s="76">
        <f>资产资本表!AZ53</f>
        <v>1155706961.8199999</v>
      </c>
      <c r="BA86" s="76">
        <f>资产资本表!BA53</f>
        <v>1055711299.78</v>
      </c>
      <c r="BB86" s="76">
        <f>资产资本表!BB53</f>
        <v>587209913.85000002</v>
      </c>
      <c r="BC86" s="76">
        <f>资产资本表!BC53</f>
        <v>506359542.94</v>
      </c>
      <c r="BD86" s="76">
        <f>资产资本表!BD53</f>
        <v>488698733.06999999</v>
      </c>
      <c r="BE86" s="76">
        <f>资产资本表!BE53</f>
        <v>645476222.71000004</v>
      </c>
      <c r="BF86" s="76">
        <f>资产资本表!BF53</f>
        <v>1262283695.9100001</v>
      </c>
      <c r="BG86" s="76">
        <f>资产资本表!BG53</f>
        <v>1134200954.0699999</v>
      </c>
      <c r="BH86" s="76">
        <f>资产资本表!BH53</f>
        <v>822003100.52999997</v>
      </c>
      <c r="BI86" s="76">
        <f>资产资本表!BI53</f>
        <v>740826332.76999998</v>
      </c>
      <c r="BJ86" s="76">
        <f>资产资本表!BJ53</f>
        <v>594213766.77999997</v>
      </c>
      <c r="BK86" s="76">
        <f>资产资本表!BK53</f>
        <v>498302118.88</v>
      </c>
      <c r="BL86" s="76">
        <f>资产资本表!BL53</f>
        <v>433413876.50999999</v>
      </c>
      <c r="BM86" s="76">
        <f>资产资本表!BM53</f>
        <v>371393200.51999998</v>
      </c>
      <c r="BN86" s="76">
        <f>资产资本表!BN53</f>
        <v>0</v>
      </c>
      <c r="BO86" s="76">
        <f>资产资本表!BO53</f>
        <v>8699502.9700000007</v>
      </c>
      <c r="BP86" s="76">
        <f>资产资本表!BP53</f>
        <v>5952002.9500000002</v>
      </c>
      <c r="BQ86" s="76">
        <f>资产资本表!BQ53</f>
        <v>4879862.66</v>
      </c>
      <c r="BR86" s="76">
        <f>资产资本表!BR53</f>
        <v>36139291.210000001</v>
      </c>
      <c r="BS86" s="76">
        <f>资产资本表!BS53</f>
        <v>17556596.489999998</v>
      </c>
      <c r="BT86" s="76">
        <f>资产资本表!BT53</f>
        <v>34965869.119999997</v>
      </c>
      <c r="BU86" s="76">
        <f>资产资本表!BU53</f>
        <v>36029814.649999999</v>
      </c>
      <c r="BV86" s="76">
        <f>资产资本表!BV53</f>
        <v>52918804.310000002</v>
      </c>
      <c r="BW86" s="76">
        <f>资产资本表!BW53</f>
        <v>36114702.409999996</v>
      </c>
      <c r="BX86" s="76">
        <f>资产资本表!BX53</f>
        <v>131177778.64</v>
      </c>
      <c r="BY86" s="76">
        <f>资产资本表!BY53</f>
        <v>153591643.77000001</v>
      </c>
      <c r="BZ86" s="76">
        <f>资产资本表!BZ53</f>
        <v>30499431.960000001</v>
      </c>
      <c r="CA86" s="76">
        <f>资产资本表!CA53</f>
        <v>79293548.060000002</v>
      </c>
      <c r="CB86" s="76">
        <f>资产资本表!CB53</f>
        <v>335660952.62</v>
      </c>
      <c r="CC86" s="76">
        <f>资产资本表!CC53</f>
        <v>262353047.19</v>
      </c>
      <c r="CD86" s="76">
        <f>资产资本表!CD53</f>
        <v>40091530.899999999</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0.68758824446333788</v>
      </c>
      <c r="F87" s="54">
        <f t="shared" ref="F87:BQ87" si="50">F81/F86</f>
        <v>0.48813309189821735</v>
      </c>
      <c r="G87" s="54">
        <f t="shared" si="50"/>
        <v>0.26769608345787643</v>
      </c>
      <c r="H87" s="54">
        <f t="shared" si="50"/>
        <v>0.14808292354231969</v>
      </c>
      <c r="I87" s="54">
        <f t="shared" si="50"/>
        <v>0.58669277131684827</v>
      </c>
      <c r="J87" s="54">
        <f t="shared" si="50"/>
        <v>0.49756657681072236</v>
      </c>
      <c r="K87" s="54">
        <f t="shared" si="50"/>
        <v>0.29661325798380789</v>
      </c>
      <c r="L87" s="54">
        <f t="shared" si="50"/>
        <v>0.16887481161082182</v>
      </c>
      <c r="M87" s="54">
        <f t="shared" si="50"/>
        <v>0.81652102021262485</v>
      </c>
      <c r="N87" s="54">
        <f t="shared" si="50"/>
        <v>0.74899336318500076</v>
      </c>
      <c r="O87" s="54">
        <f t="shared" si="50"/>
        <v>0.49183552114863865</v>
      </c>
      <c r="P87" s="54">
        <f t="shared" si="50"/>
        <v>0.26741482307764414</v>
      </c>
      <c r="Q87" s="54">
        <f t="shared" si="50"/>
        <v>1.2276363040065323</v>
      </c>
      <c r="R87" s="54">
        <f t="shared" si="50"/>
        <v>0.83456625483329872</v>
      </c>
      <c r="S87" s="54">
        <f t="shared" si="50"/>
        <v>0.49678732072106602</v>
      </c>
      <c r="T87" s="54">
        <f t="shared" si="50"/>
        <v>0.22759999758361091</v>
      </c>
      <c r="U87" s="54">
        <f t="shared" si="50"/>
        <v>0.91893949856369428</v>
      </c>
      <c r="V87" s="54">
        <f t="shared" si="50"/>
        <v>0.62120844654632923</v>
      </c>
      <c r="W87" s="54">
        <f t="shared" si="50"/>
        <v>0.19403104727732529</v>
      </c>
      <c r="X87" s="54">
        <f t="shared" si="50"/>
        <v>0.10156810739897822</v>
      </c>
      <c r="Y87" s="54">
        <f t="shared" si="50"/>
        <v>0.33702180160140377</v>
      </c>
      <c r="Z87" s="54">
        <f t="shared" si="50"/>
        <v>0.27993866933461442</v>
      </c>
      <c r="AA87" s="54">
        <f t="shared" si="50"/>
        <v>0.18555570310499775</v>
      </c>
      <c r="AB87" s="54">
        <f t="shared" si="50"/>
        <v>7.9853480127441909E-2</v>
      </c>
      <c r="AC87" s="54">
        <f t="shared" si="50"/>
        <v>0.35233185711299453</v>
      </c>
      <c r="AD87" s="54">
        <f t="shared" si="50"/>
        <v>0.27988469900227841</v>
      </c>
      <c r="AE87" s="54">
        <f t="shared" si="50"/>
        <v>0.18239644735582322</v>
      </c>
      <c r="AF87" s="54">
        <f t="shared" si="50"/>
        <v>8.8682068018995253E-2</v>
      </c>
      <c r="AG87" s="54">
        <f t="shared" si="50"/>
        <v>0.34374472410146112</v>
      </c>
      <c r="AH87" s="54">
        <f t="shared" si="50"/>
        <v>0.26946767612626399</v>
      </c>
      <c r="AI87" s="54">
        <f t="shared" si="50"/>
        <v>0.1739655516657195</v>
      </c>
      <c r="AJ87" s="54">
        <f t="shared" si="50"/>
        <v>9.3974010731770863E-2</v>
      </c>
      <c r="AK87" s="54">
        <f t="shared" si="50"/>
        <v>0.33833289571721242</v>
      </c>
      <c r="AL87" s="54">
        <f t="shared" si="50"/>
        <v>5.970964941401248</v>
      </c>
      <c r="AM87" s="54">
        <f t="shared" si="50"/>
        <v>29.014407734026985</v>
      </c>
      <c r="AN87" s="54">
        <f t="shared" si="50"/>
        <v>2.5902188997391233</v>
      </c>
      <c r="AO87" s="54">
        <f t="shared" si="50"/>
        <v>10.321513837635571</v>
      </c>
      <c r="AP87" s="54">
        <f t="shared" si="50"/>
        <v>2.7172536591442005</v>
      </c>
      <c r="AQ87" s="54">
        <f t="shared" si="50"/>
        <v>2.2204933311814825</v>
      </c>
      <c r="AR87" s="54">
        <f t="shared" si="50"/>
        <v>1.5239124654416885</v>
      </c>
      <c r="AS87" s="54">
        <f t="shared" si="50"/>
        <v>6.8293397509716218</v>
      </c>
      <c r="AT87" s="54">
        <f t="shared" si="50"/>
        <v>4.9094914731365691</v>
      </c>
      <c r="AU87" s="54">
        <f t="shared" si="50"/>
        <v>3.9831345442919908</v>
      </c>
      <c r="AV87" s="54">
        <f t="shared" si="50"/>
        <v>3.2489516366186781</v>
      </c>
      <c r="AW87" s="54">
        <f t="shared" si="50"/>
        <v>2.9556408265301264</v>
      </c>
      <c r="AX87" s="54">
        <f t="shared" si="50"/>
        <v>1.515549692452715</v>
      </c>
      <c r="AY87" s="54">
        <f t="shared" si="50"/>
        <v>1.0731607968326302</v>
      </c>
      <c r="AZ87" s="54">
        <f t="shared" si="50"/>
        <v>0.64562829761357199</v>
      </c>
      <c r="BA87" s="54">
        <f t="shared" si="50"/>
        <v>2.8954548972214282</v>
      </c>
      <c r="BB87" s="54">
        <f t="shared" si="50"/>
        <v>3.9320086985108382</v>
      </c>
      <c r="BC87" s="54">
        <f t="shared" si="50"/>
        <v>2.9963178033553506</v>
      </c>
      <c r="BD87" s="54">
        <f t="shared" si="50"/>
        <v>1.6107870455380224</v>
      </c>
      <c r="BE87" s="54">
        <f t="shared" si="50"/>
        <v>3.6838705902081266</v>
      </c>
      <c r="BF87" s="54">
        <f t="shared" si="50"/>
        <v>1.32735030043473</v>
      </c>
      <c r="BG87" s="54">
        <f t="shared" si="50"/>
        <v>0.92981695822565225</v>
      </c>
      <c r="BH87" s="54">
        <f t="shared" si="50"/>
        <v>0.40035471335547518</v>
      </c>
      <c r="BI87" s="54">
        <f t="shared" si="50"/>
        <v>1.8581914503670647</v>
      </c>
      <c r="BJ87" s="54">
        <f t="shared" si="50"/>
        <v>1.707459694897377</v>
      </c>
      <c r="BK87" s="54">
        <f t="shared" si="50"/>
        <v>1.3490284791301148</v>
      </c>
      <c r="BL87" s="54">
        <f t="shared" si="50"/>
        <v>0.90651580554766764</v>
      </c>
      <c r="BM87" s="54">
        <f t="shared" si="50"/>
        <v>6.8293671456793756</v>
      </c>
      <c r="BN87" s="54" t="e">
        <f t="shared" si="50"/>
        <v>#DIV/0!</v>
      </c>
      <c r="BO87" s="54">
        <f t="shared" si="50"/>
        <v>157.22190046220535</v>
      </c>
      <c r="BP87" s="54">
        <f t="shared" si="50"/>
        <v>102.73993105799788</v>
      </c>
      <c r="BQ87" s="54">
        <f t="shared" si="50"/>
        <v>390.66864287528944</v>
      </c>
      <c r="BR87" s="54">
        <f t="shared" ref="BR87:CK87" si="51">BR81/BR86</f>
        <v>17.878666135024069</v>
      </c>
      <c r="BS87" s="54">
        <f t="shared" si="51"/>
        <v>105.89034468946778</v>
      </c>
      <c r="BT87" s="54">
        <f t="shared" si="51"/>
        <v>15.718852302619386</v>
      </c>
      <c r="BU87" s="54">
        <f t="shared" si="51"/>
        <v>36.489619746350819</v>
      </c>
      <c r="BV87" s="54">
        <f t="shared" si="51"/>
        <v>10.701925468542393</v>
      </c>
      <c r="BW87" s="54">
        <f t="shared" si="51"/>
        <v>33.750679585621981</v>
      </c>
      <c r="BX87" s="54">
        <f t="shared" si="51"/>
        <v>5.1836853644711178</v>
      </c>
      <c r="BY87" s="54">
        <f t="shared" si="51"/>
        <v>8.8919921952600376</v>
      </c>
      <c r="BZ87" s="54">
        <f t="shared" si="51"/>
        <v>20.853589130582613</v>
      </c>
      <c r="CA87" s="54">
        <f t="shared" si="51"/>
        <v>7.7391735469530207</v>
      </c>
      <c r="CB87" s="54">
        <f t="shared" si="51"/>
        <v>0.43780801917215267</v>
      </c>
      <c r="CC87" s="54">
        <f t="shared" si="51"/>
        <v>0.81247871874584721</v>
      </c>
      <c r="CD87" s="54">
        <f t="shared" si="51"/>
        <v>2.7745297975139183</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4315376.83</v>
      </c>
      <c r="F88" s="76">
        <f>资产资本表!F54</f>
        <v>48846607.109999999</v>
      </c>
      <c r="G88" s="76">
        <f>资产资本表!G54</f>
        <v>322890514.76999998</v>
      </c>
      <c r="H88" s="76">
        <f>资产资本表!H54</f>
        <v>511296944.07999998</v>
      </c>
      <c r="I88" s="76">
        <f>资产资本表!I54</f>
        <v>503759930.29000002</v>
      </c>
      <c r="J88" s="76">
        <f>资产资本表!J54</f>
        <v>1673448946.5699999</v>
      </c>
      <c r="K88" s="76">
        <f>资产资本表!K54</f>
        <v>1624118110.5899999</v>
      </c>
      <c r="L88" s="76">
        <f>资产资本表!L54</f>
        <v>843561684.59000003</v>
      </c>
      <c r="M88" s="76">
        <f>资产资本表!M54</f>
        <v>620130001.01999998</v>
      </c>
      <c r="N88" s="76">
        <f>资产资本表!N54</f>
        <v>389904423.31</v>
      </c>
      <c r="O88" s="76">
        <f>资产资本表!O54</f>
        <v>205885093.94999999</v>
      </c>
      <c r="P88" s="76">
        <f>资产资本表!P54</f>
        <v>1218163828.72</v>
      </c>
      <c r="Q88" s="76">
        <f>资产资本表!Q54</f>
        <v>973895789.96000004</v>
      </c>
      <c r="R88" s="76">
        <f>资产资本表!R54</f>
        <v>7686314.9400000004</v>
      </c>
      <c r="S88" s="76">
        <f>资产资本表!S54</f>
        <v>27465622.07</v>
      </c>
      <c r="T88" s="76">
        <f>资产资本表!T54</f>
        <v>6726375.1299999999</v>
      </c>
      <c r="U88" s="76">
        <f>资产资本表!U54</f>
        <v>5258259.75</v>
      </c>
      <c r="V88" s="76">
        <f>资产资本表!V54</f>
        <v>79951127.920000002</v>
      </c>
      <c r="W88" s="76">
        <f>资产资本表!W54</f>
        <v>404927808.38</v>
      </c>
      <c r="X88" s="76">
        <f>资产资本表!X54</f>
        <v>340502079.91000003</v>
      </c>
      <c r="Y88" s="76">
        <f>资产资本表!Y54</f>
        <v>619071138.02999997</v>
      </c>
      <c r="Z88" s="76">
        <f>资产资本表!Z54</f>
        <v>532383750.76999998</v>
      </c>
      <c r="AA88" s="76">
        <f>资产资本表!AA54</f>
        <v>226764579.80000001</v>
      </c>
      <c r="AB88" s="76">
        <f>资产资本表!AB54</f>
        <v>119361966.25</v>
      </c>
      <c r="AC88" s="76">
        <f>资产资本表!AC54</f>
        <v>139585867.28</v>
      </c>
      <c r="AD88" s="76">
        <f>资产资本表!AD54</f>
        <v>157649083.03999999</v>
      </c>
      <c r="AE88" s="76">
        <f>资产资本表!AE54</f>
        <v>144771244.27000001</v>
      </c>
      <c r="AF88" s="76">
        <f>资产资本表!AF54</f>
        <v>147752539.19</v>
      </c>
      <c r="AG88" s="76">
        <f>资产资本表!AG54</f>
        <v>160164154.06</v>
      </c>
      <c r="AH88" s="76">
        <f>资产资本表!AH54</f>
        <v>234166773.55000001</v>
      </c>
      <c r="AI88" s="76">
        <f>资产资本表!AI54</f>
        <v>221174766.65000001</v>
      </c>
      <c r="AJ88" s="76">
        <f>资产资本表!AJ54</f>
        <v>191676328.47999999</v>
      </c>
      <c r="AK88" s="76">
        <f>资产资本表!AK54</f>
        <v>175961146.63</v>
      </c>
      <c r="AL88" s="76">
        <f>资产资本表!AL54</f>
        <v>10783073.550000001</v>
      </c>
      <c r="AM88" s="76">
        <f>资产资本表!AM54</f>
        <v>8533007.7100000009</v>
      </c>
      <c r="AN88" s="76">
        <f>资产资本表!AN54</f>
        <v>2394230.1800000002</v>
      </c>
      <c r="AO88" s="76">
        <f>资产资本表!AO54</f>
        <v>1435326.81</v>
      </c>
      <c r="AP88" s="76">
        <f>资产资本表!AP54</f>
        <v>3284374.04</v>
      </c>
      <c r="AQ88" s="76">
        <f>资产资本表!AQ54</f>
        <v>23284799.920000002</v>
      </c>
      <c r="AR88" s="76">
        <f>资产资本表!AR54</f>
        <v>3752830.8</v>
      </c>
      <c r="AS88" s="76">
        <f>资产资本表!AS54</f>
        <v>4766879.92</v>
      </c>
      <c r="AT88" s="76">
        <f>资产资本表!AT54</f>
        <v>11341.9</v>
      </c>
      <c r="AU88" s="76">
        <f>资产资本表!AU54</f>
        <v>11341.9</v>
      </c>
      <c r="AV88" s="76">
        <f>资产资本表!AV54</f>
        <v>11341.9</v>
      </c>
      <c r="AW88" s="76">
        <f>资产资本表!AW54</f>
        <v>118097082.8</v>
      </c>
      <c r="AX88" s="76">
        <f>资产资本表!AX54</f>
        <v>362569561.26999998</v>
      </c>
      <c r="AY88" s="76">
        <f>资产资本表!AY54</f>
        <v>134346867.75</v>
      </c>
      <c r="AZ88" s="76">
        <f>资产资本表!AZ54</f>
        <v>119419828.02</v>
      </c>
      <c r="BA88" s="76">
        <f>资产资本表!BA54</f>
        <v>19931285.66</v>
      </c>
      <c r="BB88" s="76">
        <f>资产资本表!BB54</f>
        <v>241311581.03999999</v>
      </c>
      <c r="BC88" s="76">
        <f>资产资本表!BC54</f>
        <v>242277585.59</v>
      </c>
      <c r="BD88" s="76">
        <f>资产资本表!BD54</f>
        <v>318236</v>
      </c>
      <c r="BE88" s="76">
        <f>资产资本表!BE54</f>
        <v>2475662.61</v>
      </c>
      <c r="BF88" s="76">
        <f>资产资本表!BF54</f>
        <v>2439416.5099999998</v>
      </c>
      <c r="BG88" s="76">
        <f>资产资本表!BG54</f>
        <v>31018389.940000001</v>
      </c>
      <c r="BH88" s="76">
        <f>资产资本表!BH54</f>
        <v>9431558</v>
      </c>
      <c r="BI88" s="76">
        <f>资产资本表!BI54</f>
        <v>12621974</v>
      </c>
      <c r="BJ88" s="76">
        <f>资产资本表!BJ54</f>
        <v>13438532</v>
      </c>
      <c r="BK88" s="76">
        <f>资产资本表!BK54</f>
        <v>15186096.07</v>
      </c>
      <c r="BL88" s="76">
        <f>资产资本表!BL54</f>
        <v>15286654.07</v>
      </c>
      <c r="BM88" s="76">
        <f>资产资本表!BM54</f>
        <v>20170024.07</v>
      </c>
      <c r="BN88" s="76">
        <f>资产资本表!BN54</f>
        <v>374024</v>
      </c>
      <c r="BO88" s="76">
        <f>资产资本表!BO54</f>
        <v>374024</v>
      </c>
      <c r="BP88" s="76">
        <f>资产资本表!BP54</f>
        <v>374024</v>
      </c>
      <c r="BQ88" s="76">
        <f>资产资本表!BQ54</f>
        <v>374024</v>
      </c>
      <c r="BR88" s="76">
        <f>资产资本表!BR54</f>
        <v>374024</v>
      </c>
      <c r="BS88" s="76">
        <f>资产资本表!BS54</f>
        <v>437330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7523810.9500000002</v>
      </c>
      <c r="F89" s="76">
        <f>资产资本表!F55</f>
        <v>7564145.2999999998</v>
      </c>
      <c r="G89" s="76">
        <f>资产资本表!G55</f>
        <v>7626737.5499999998</v>
      </c>
      <c r="H89" s="76">
        <f>资产资本表!H55</f>
        <v>7387771.5499999998</v>
      </c>
      <c r="I89" s="76">
        <f>资产资本表!I55</f>
        <v>7406571.5499999998</v>
      </c>
      <c r="J89" s="76">
        <f>资产资本表!J55</f>
        <v>10949919.880000001</v>
      </c>
      <c r="K89" s="76">
        <f>资产资本表!K55</f>
        <v>11377401.880000001</v>
      </c>
      <c r="L89" s="76">
        <f>资产资本表!L55</f>
        <v>7363108.6200000001</v>
      </c>
      <c r="M89" s="76">
        <f>资产资本表!M55</f>
        <v>8567905.2699999996</v>
      </c>
      <c r="N89" s="76">
        <f>资产资本表!N55</f>
        <v>45352301.340000004</v>
      </c>
      <c r="O89" s="76">
        <f>资产资本表!O55</f>
        <v>18311217.23</v>
      </c>
      <c r="P89" s="76">
        <f>资产资本表!P55</f>
        <v>0</v>
      </c>
      <c r="Q89" s="76">
        <f>资产资本表!Q55</f>
        <v>0</v>
      </c>
      <c r="R89" s="76">
        <f>资产资本表!R55</f>
        <v>14734.85</v>
      </c>
      <c r="S89" s="76">
        <f>资产资本表!S55</f>
        <v>-13508.08</v>
      </c>
      <c r="T89" s="76">
        <f>资产资本表!T55</f>
        <v>2884.6</v>
      </c>
      <c r="U89" s="76">
        <f>资产资本表!U55</f>
        <v>0</v>
      </c>
      <c r="V89" s="76">
        <f>资产资本表!V55</f>
        <v>-19827.73</v>
      </c>
      <c r="W89" s="76">
        <f>资产资本表!W55</f>
        <v>816.65</v>
      </c>
      <c r="X89" s="76">
        <f>资产资本表!X55</f>
        <v>-46000</v>
      </c>
      <c r="Y89" s="76">
        <f>资产资本表!Y55</f>
        <v>0</v>
      </c>
      <c r="Z89" s="76">
        <f>资产资本表!Z55</f>
        <v>0</v>
      </c>
      <c r="AA89" s="76">
        <f>资产资本表!AA55</f>
        <v>0</v>
      </c>
      <c r="AB89" s="76">
        <f>资产资本表!AB55</f>
        <v>0</v>
      </c>
      <c r="AC89" s="76">
        <f>资产资本表!AC55</f>
        <v>47271.839999999997</v>
      </c>
      <c r="AD89" s="76">
        <f>资产资本表!AD55</f>
        <v>32983.339999999997</v>
      </c>
      <c r="AE89" s="76">
        <f>资产资本表!AE55</f>
        <v>30000</v>
      </c>
      <c r="AF89" s="76">
        <f>资产资本表!AF55</f>
        <v>0</v>
      </c>
      <c r="AG89" s="76">
        <f>资产资本表!AG55</f>
        <v>66015.64</v>
      </c>
      <c r="AH89" s="76">
        <f>资产资本表!AH55</f>
        <v>3659297.48</v>
      </c>
      <c r="AI89" s="76">
        <f>资产资本表!AI55</f>
        <v>0</v>
      </c>
      <c r="AJ89" s="76">
        <f>资产资本表!AJ55</f>
        <v>-55100</v>
      </c>
      <c r="AK89" s="76">
        <f>资产资本表!AK55</f>
        <v>25680</v>
      </c>
      <c r="AL89" s="76">
        <f>资产资本表!AL55</f>
        <v>0</v>
      </c>
      <c r="AM89" s="76">
        <f>资产资本表!AM55</f>
        <v>0</v>
      </c>
      <c r="AN89" s="76">
        <f>资产资本表!AN55</f>
        <v>0</v>
      </c>
      <c r="AO89" s="76">
        <f>资产资本表!AO55</f>
        <v>0</v>
      </c>
      <c r="AP89" s="76">
        <f>资产资本表!AP55</f>
        <v>359043</v>
      </c>
      <c r="AQ89" s="76">
        <f>资产资本表!AQ55</f>
        <v>0</v>
      </c>
      <c r="AR89" s="76">
        <f>资产资本表!AR55</f>
        <v>0</v>
      </c>
      <c r="AS89" s="76">
        <f>资产资本表!AS55</f>
        <v>0</v>
      </c>
      <c r="AT89" s="76">
        <f>资产资本表!AT55</f>
        <v>2885806.5</v>
      </c>
      <c r="AU89" s="76">
        <f>资产资本表!AU55</f>
        <v>918747.01</v>
      </c>
      <c r="AV89" s="76">
        <f>资产资本表!AV55</f>
        <v>69245</v>
      </c>
      <c r="AW89" s="76">
        <f>资产资本表!AW55</f>
        <v>0</v>
      </c>
      <c r="AX89" s="76">
        <f>资产资本表!AX55</f>
        <v>0</v>
      </c>
      <c r="AY89" s="76">
        <f>资产资本表!AY55</f>
        <v>-240000</v>
      </c>
      <c r="AZ89" s="76">
        <f>资产资本表!AZ55</f>
        <v>0</v>
      </c>
      <c r="BA89" s="76">
        <f>资产资本表!BA55</f>
        <v>0</v>
      </c>
      <c r="BB89" s="76">
        <f>资产资本表!BB55</f>
        <v>2641950.2200000002</v>
      </c>
      <c r="BC89" s="76">
        <f>资产资本表!BC55</f>
        <v>2641950.2200000002</v>
      </c>
      <c r="BD89" s="76">
        <f>资产资本表!BD55</f>
        <v>2641950.2200000002</v>
      </c>
      <c r="BE89" s="76">
        <f>资产资本表!BE55</f>
        <v>0</v>
      </c>
      <c r="BF89" s="76">
        <f>资产资本表!BF55</f>
        <v>183876.68</v>
      </c>
      <c r="BG89" s="76">
        <f>资产资本表!BG55</f>
        <v>6011.3</v>
      </c>
      <c r="BH89" s="76">
        <f>资产资本表!BH55</f>
        <v>35115.39</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8945012.8800000008</v>
      </c>
      <c r="BV89" s="76">
        <f>资产资本表!BV55</f>
        <v>0</v>
      </c>
      <c r="BW89" s="76">
        <f>资产资本表!BW55</f>
        <v>0</v>
      </c>
      <c r="BX89" s="76">
        <f>资产资本表!BX55</f>
        <v>-608025</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4494322111.9499998</v>
      </c>
      <c r="F92" s="76">
        <f>资产资本表!F58</f>
        <v>4564609752.6599998</v>
      </c>
      <c r="G92" s="76">
        <f>资产资本表!G58</f>
        <v>4625557887.8999996</v>
      </c>
      <c r="H92" s="76">
        <f>资产资本表!H58</f>
        <v>4653909651.8199997</v>
      </c>
      <c r="I92" s="76">
        <f>资产资本表!I58</f>
        <v>4736826341.54</v>
      </c>
      <c r="J92" s="76">
        <f>资产资本表!J58</f>
        <v>4784309048.96</v>
      </c>
      <c r="K92" s="76">
        <f>资产资本表!K58</f>
        <v>4851949118.5500002</v>
      </c>
      <c r="L92" s="76">
        <f>资产资本表!L58</f>
        <v>4927715266.1700001</v>
      </c>
      <c r="M92" s="76">
        <f>资产资本表!M58</f>
        <v>5006539456.2200003</v>
      </c>
      <c r="N92" s="76">
        <f>资产资本表!N58</f>
        <v>5011283236.6599998</v>
      </c>
      <c r="O92" s="76">
        <f>资产资本表!O58</f>
        <v>5082432205.9899998</v>
      </c>
      <c r="P92" s="76">
        <f>资产资本表!P58</f>
        <v>5118760688.6199999</v>
      </c>
      <c r="Q92" s="76">
        <f>资产资本表!Q58</f>
        <v>5231000185.0299997</v>
      </c>
      <c r="R92" s="76">
        <f>资产资本表!R58</f>
        <v>5186413920.96</v>
      </c>
      <c r="S92" s="76">
        <f>资产资本表!S58</f>
        <v>2832177133.8299999</v>
      </c>
      <c r="T92" s="76">
        <f>资产资本表!T58</f>
        <v>2899195250.6700001</v>
      </c>
      <c r="U92" s="76">
        <f>资产资本表!U58</f>
        <v>2919778218.77</v>
      </c>
      <c r="V92" s="76">
        <f>资产资本表!V58</f>
        <v>2935462019.4699998</v>
      </c>
      <c r="W92" s="76">
        <f>资产资本表!W58</f>
        <v>2956066354.3800001</v>
      </c>
      <c r="X92" s="76">
        <f>资产资本表!X58</f>
        <v>2949640925.8499999</v>
      </c>
      <c r="Y92" s="76">
        <f>资产资本表!Y58</f>
        <v>2715494288.8600001</v>
      </c>
      <c r="Z92" s="76">
        <f>资产资本表!Z58</f>
        <v>2699794883.5900002</v>
      </c>
      <c r="AA92" s="76">
        <f>资产资本表!AA58</f>
        <v>2575255355.6300001</v>
      </c>
      <c r="AB92" s="76">
        <f>资产资本表!AB58</f>
        <v>1300187954.2</v>
      </c>
      <c r="AC92" s="76">
        <f>资产资本表!AC58</f>
        <v>1453038911.76</v>
      </c>
      <c r="AD92" s="76">
        <f>资产资本表!AD58</f>
        <v>1303791158.9100001</v>
      </c>
      <c r="AE92" s="76">
        <f>资产资本表!AE58</f>
        <v>1163970805.3599999</v>
      </c>
      <c r="AF92" s="76">
        <f>资产资本表!AF58</f>
        <v>1131420792.23</v>
      </c>
      <c r="AG92" s="76">
        <f>资产资本表!AG58</f>
        <v>1138947755.4000001</v>
      </c>
      <c r="AH92" s="76">
        <f>资产资本表!AH58</f>
        <v>979979398.14999998</v>
      </c>
      <c r="AI92" s="76">
        <f>资产资本表!AI58</f>
        <v>989211143.62</v>
      </c>
      <c r="AJ92" s="76">
        <f>资产资本表!AJ58</f>
        <v>826894395.38</v>
      </c>
      <c r="AK92" s="76">
        <f>资产资本表!AK58</f>
        <v>831512928.21000004</v>
      </c>
      <c r="AL92" s="76">
        <f>资产资本表!AL58</f>
        <v>300546749.76999998</v>
      </c>
      <c r="AM92" s="76">
        <f>资产资本表!AM58</f>
        <v>301290899.44999999</v>
      </c>
      <c r="AN92" s="76">
        <f>资产资本表!AN58</f>
        <v>303752786.95999998</v>
      </c>
      <c r="AO92" s="76">
        <f>资产资本表!AO58</f>
        <v>305298898.91000003</v>
      </c>
      <c r="AP92" s="76">
        <f>资产资本表!AP58</f>
        <v>240728700.77000001</v>
      </c>
      <c r="AQ92" s="76">
        <f>资产资本表!AQ58</f>
        <v>239987599.44999999</v>
      </c>
      <c r="AR92" s="76">
        <f>资产资本表!AR58</f>
        <v>217058162.49000001</v>
      </c>
      <c r="AS92" s="76">
        <f>资产资本表!AS58</f>
        <v>165817533.09999999</v>
      </c>
      <c r="AT92" s="76">
        <f>资产资本表!AT58</f>
        <v>135329885</v>
      </c>
      <c r="AU92" s="76">
        <f>资产资本表!AU58</f>
        <v>136109598.21000001</v>
      </c>
      <c r="AV92" s="76">
        <f>资产资本表!AV58</f>
        <v>107289423.17</v>
      </c>
      <c r="AW92" s="76">
        <f>资产资本表!AW58</f>
        <v>107748067.56999999</v>
      </c>
      <c r="AX92" s="76">
        <f>资产资本表!AX58</f>
        <v>20374372.329999998</v>
      </c>
      <c r="AY92" s="76">
        <f>资产资本表!AY58</f>
        <v>17043549.289999999</v>
      </c>
      <c r="AZ92" s="76">
        <f>资产资本表!AZ58</f>
        <v>17149519.940000001</v>
      </c>
      <c r="BA92" s="76">
        <f>资产资本表!BA58</f>
        <v>17255490.59</v>
      </c>
      <c r="BB92" s="76">
        <f>资产资本表!BB58</f>
        <v>20774474.629999999</v>
      </c>
      <c r="BC92" s="76">
        <f>资产资本表!BC58</f>
        <v>20714232.629999999</v>
      </c>
      <c r="BD92" s="76">
        <f>资产资本表!BD58</f>
        <v>17586877.539999999</v>
      </c>
      <c r="BE92" s="76">
        <f>资产资本表!BE58</f>
        <v>21109711.579999998</v>
      </c>
      <c r="BF92" s="76">
        <f>资产资本表!BF58</f>
        <v>2417757.0499999998</v>
      </c>
      <c r="BG92" s="76">
        <f>资产资本表!BG58</f>
        <v>1312615.83</v>
      </c>
      <c r="BH92" s="76">
        <f>资产资本表!BH58</f>
        <v>740683.13</v>
      </c>
      <c r="BI92" s="76">
        <f>资产资本表!BI58</f>
        <v>792540.35</v>
      </c>
      <c r="BJ92" s="76">
        <f>资产资本表!BJ58</f>
        <v>4682106.8</v>
      </c>
      <c r="BK92" s="76">
        <f>资产资本表!BK58</f>
        <v>4729792.53</v>
      </c>
      <c r="BL92" s="76">
        <f>资产资本表!BL58</f>
        <v>4525035.12</v>
      </c>
      <c r="BM92" s="76">
        <f>资产资本表!BM58</f>
        <v>4899228.97</v>
      </c>
      <c r="BN92" s="76">
        <f>资产资本表!BN58</f>
        <v>44266146.579999998</v>
      </c>
      <c r="BO92" s="76">
        <f>资产资本表!BO58</f>
        <v>44548000</v>
      </c>
      <c r="BP92" s="76">
        <f>资产资本表!BP58</f>
        <v>44829853.420000002</v>
      </c>
      <c r="BQ92" s="76">
        <f>资产资本表!BQ58</f>
        <v>45111706.840000004</v>
      </c>
      <c r="BR92" s="76">
        <f>资产资本表!BR58</f>
        <v>45675413.68</v>
      </c>
      <c r="BS92" s="76">
        <f>资产资本表!BS58</f>
        <v>46239120.520000003</v>
      </c>
      <c r="BT92" s="76">
        <f>资产资本表!BT58</f>
        <v>46810027.420000002</v>
      </c>
      <c r="BU92" s="76">
        <f>资产资本表!BU58</f>
        <v>46850495.409999996</v>
      </c>
      <c r="BV92" s="76">
        <f>资产资本表!BV58</f>
        <v>47412270.43</v>
      </c>
      <c r="BW92" s="76">
        <f>资产资本表!BW58</f>
        <v>48237267.93</v>
      </c>
      <c r="BX92" s="76">
        <f>资产资本表!BX58</f>
        <v>3392541.55</v>
      </c>
      <c r="BY92" s="76">
        <f>资产资本表!BY58</f>
        <v>3504383.59</v>
      </c>
      <c r="BZ92" s="76">
        <f>资产资本表!BZ58</f>
        <v>3616225.63</v>
      </c>
      <c r="CA92" s="76">
        <f>资产资本表!CA58</f>
        <v>3728067.67</v>
      </c>
      <c r="CB92" s="76">
        <f>资产资本表!CB58</f>
        <v>3839909.71</v>
      </c>
      <c r="CC92" s="76">
        <f>资产资本表!CC58</f>
        <v>3951751.75</v>
      </c>
      <c r="CD92" s="76">
        <f>资产资本表!CD58</f>
        <v>4175435.83</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7.0411696018778951</v>
      </c>
      <c r="F93" s="155">
        <f t="shared" ref="F93:BQ93" si="52">F81/F92</f>
        <v>5.3027931254220739</v>
      </c>
      <c r="G93" s="155">
        <f t="shared" si="52"/>
        <v>3.0186852438634686</v>
      </c>
      <c r="H93" s="155">
        <f t="shared" si="52"/>
        <v>1.6396406962103045</v>
      </c>
      <c r="I93" s="155">
        <f t="shared" si="52"/>
        <v>6.179412301605236</v>
      </c>
      <c r="J93" s="155">
        <f t="shared" si="52"/>
        <v>4.6276203262418276</v>
      </c>
      <c r="K93" s="155">
        <f t="shared" si="52"/>
        <v>2.7078940832496707</v>
      </c>
      <c r="L93" s="155">
        <f t="shared" si="52"/>
        <v>1.4002559325922619</v>
      </c>
      <c r="M93" s="155">
        <f t="shared" si="52"/>
        <v>6.2477685527972575</v>
      </c>
      <c r="N93" s="155">
        <f t="shared" si="52"/>
        <v>4.8670615937777217</v>
      </c>
      <c r="O93" s="155">
        <f t="shared" si="52"/>
        <v>2.9368170707694765</v>
      </c>
      <c r="P93" s="155">
        <f t="shared" si="52"/>
        <v>1.4847346879326242</v>
      </c>
      <c r="Q93" s="155">
        <f t="shared" si="52"/>
        <v>6.3003571069307833</v>
      </c>
      <c r="R93" s="155">
        <f t="shared" si="52"/>
        <v>4.9228681867632442</v>
      </c>
      <c r="S93" s="155">
        <f t="shared" si="52"/>
        <v>5.1627001245952648</v>
      </c>
      <c r="T93" s="155">
        <f t="shared" si="52"/>
        <v>2.5535420780746407</v>
      </c>
      <c r="U93" s="155">
        <f t="shared" si="52"/>
        <v>9.7058676932620642</v>
      </c>
      <c r="V93" s="155">
        <f t="shared" si="52"/>
        <v>6.9613428723596682</v>
      </c>
      <c r="W93" s="155">
        <f t="shared" si="52"/>
        <v>4.116565635967353</v>
      </c>
      <c r="X93" s="155">
        <f t="shared" si="52"/>
        <v>2.0243516341431631</v>
      </c>
      <c r="Y93" s="155">
        <f t="shared" si="52"/>
        <v>8.7891946023571581</v>
      </c>
      <c r="Z93" s="155">
        <f t="shared" si="52"/>
        <v>6.6166588476329702</v>
      </c>
      <c r="AA93" s="155">
        <f t="shared" si="52"/>
        <v>4.2429676053336189</v>
      </c>
      <c r="AB93" s="155">
        <f t="shared" si="52"/>
        <v>4.0403961094242842</v>
      </c>
      <c r="AC93" s="155">
        <f t="shared" si="52"/>
        <v>14.93665383205842</v>
      </c>
      <c r="AD93" s="155">
        <f t="shared" si="52"/>
        <v>12.211615009692702</v>
      </c>
      <c r="AE93" s="155">
        <f t="shared" si="52"/>
        <v>8.2546599801344005</v>
      </c>
      <c r="AF93" s="155">
        <f t="shared" si="52"/>
        <v>3.7969180551321431</v>
      </c>
      <c r="AG93" s="155">
        <f t="shared" si="52"/>
        <v>14.002057556265322</v>
      </c>
      <c r="AH93" s="155">
        <f t="shared" si="52"/>
        <v>11.823345367599757</v>
      </c>
      <c r="AI93" s="155">
        <f t="shared" si="52"/>
        <v>7.016641673495263</v>
      </c>
      <c r="AJ93" s="155">
        <f t="shared" si="52"/>
        <v>4.3238831988780433</v>
      </c>
      <c r="AK93" s="155">
        <f t="shared" si="52"/>
        <v>14.331852292187465</v>
      </c>
      <c r="AL93" s="155">
        <f t="shared" si="52"/>
        <v>15.506653265112769</v>
      </c>
      <c r="AM93" s="155">
        <f t="shared" si="52"/>
        <v>10.618731586783081</v>
      </c>
      <c r="AN93" s="155">
        <f t="shared" si="52"/>
        <v>5.1018130127776331</v>
      </c>
      <c r="AO93" s="155">
        <f t="shared" si="52"/>
        <v>21.553074015899995</v>
      </c>
      <c r="AP93" s="155">
        <f t="shared" si="52"/>
        <v>21.271446279446476</v>
      </c>
      <c r="AQ93" s="155">
        <f t="shared" si="52"/>
        <v>14.342721470811396</v>
      </c>
      <c r="AR93" s="155">
        <f t="shared" si="52"/>
        <v>8.2399807090986492</v>
      </c>
      <c r="AS93" s="155">
        <f t="shared" si="52"/>
        <v>40.098209028536083</v>
      </c>
      <c r="AT93" s="155">
        <f t="shared" si="52"/>
        <v>36.074467621989037</v>
      </c>
      <c r="AU93" s="155">
        <f t="shared" si="52"/>
        <v>25.168725267005549</v>
      </c>
      <c r="AV93" s="155">
        <f t="shared" si="52"/>
        <v>15.895355940611122</v>
      </c>
      <c r="AW93" s="155">
        <f t="shared" si="52"/>
        <v>39.137909827109858</v>
      </c>
      <c r="AX93" s="155">
        <f t="shared" si="52"/>
        <v>119.42978473094392</v>
      </c>
      <c r="AY93" s="155">
        <f t="shared" si="52"/>
        <v>91.851420789360716</v>
      </c>
      <c r="AZ93" s="155">
        <f t="shared" si="52"/>
        <v>43.508921585591622</v>
      </c>
      <c r="BA93" s="155">
        <f t="shared" si="52"/>
        <v>177.14735127678568</v>
      </c>
      <c r="BB93" s="155">
        <f t="shared" si="52"/>
        <v>111.14189553442394</v>
      </c>
      <c r="BC93" s="155">
        <f t="shared" si="52"/>
        <v>73.245006972290639</v>
      </c>
      <c r="BD93" s="155">
        <f t="shared" si="52"/>
        <v>44.760054001035591</v>
      </c>
      <c r="BE93" s="155">
        <f t="shared" si="52"/>
        <v>112.6425088523166</v>
      </c>
      <c r="BF93" s="155">
        <f t="shared" si="52"/>
        <v>692.99462615567609</v>
      </c>
      <c r="BG93" s="155">
        <f t="shared" si="52"/>
        <v>803.4333100569113</v>
      </c>
      <c r="BH93" s="155">
        <f t="shared" si="52"/>
        <v>444.30985715848556</v>
      </c>
      <c r="BI93" s="155">
        <f t="shared" si="52"/>
        <v>1736.9426777576689</v>
      </c>
      <c r="BJ93" s="155">
        <f t="shared" si="52"/>
        <v>216.69647880095346</v>
      </c>
      <c r="BK93" s="155">
        <f t="shared" si="52"/>
        <v>142.12541994521692</v>
      </c>
      <c r="BL93" s="155">
        <f t="shared" si="52"/>
        <v>86.827288403454418</v>
      </c>
      <c r="BM93" s="155">
        <f t="shared" si="52"/>
        <v>517.71014118574669</v>
      </c>
      <c r="BN93" s="155">
        <f t="shared" si="52"/>
        <v>49.788240449322622</v>
      </c>
      <c r="BO93" s="155">
        <f t="shared" si="52"/>
        <v>30.702891039328364</v>
      </c>
      <c r="BP93" s="155">
        <f t="shared" si="52"/>
        <v>13.640650729122996</v>
      </c>
      <c r="BQ93" s="155">
        <f t="shared" si="52"/>
        <v>42.259747110912016</v>
      </c>
      <c r="BR93" s="155">
        <f t="shared" ref="BR93:CK93" si="53">BR81/BR92</f>
        <v>14.145954460898929</v>
      </c>
      <c r="BS93" s="155">
        <f t="shared" si="53"/>
        <v>40.205653416264411</v>
      </c>
      <c r="BT93" s="155">
        <f t="shared" si="53"/>
        <v>11.741572535271974</v>
      </c>
      <c r="BU93" s="155">
        <f t="shared" si="53"/>
        <v>28.061906808126963</v>
      </c>
      <c r="BV93" s="155">
        <f t="shared" si="53"/>
        <v>11.944863523170451</v>
      </c>
      <c r="BW93" s="155">
        <f t="shared" si="53"/>
        <v>25.268755915836959</v>
      </c>
      <c r="BX93" s="155">
        <f t="shared" si="53"/>
        <v>200.43507832055883</v>
      </c>
      <c r="BY93" s="155">
        <f t="shared" si="53"/>
        <v>389.72209022928342</v>
      </c>
      <c r="BZ93" s="155">
        <f t="shared" si="53"/>
        <v>175.88023754203633</v>
      </c>
      <c r="CA93" s="155">
        <f t="shared" si="53"/>
        <v>164.60713267846882</v>
      </c>
      <c r="CB93" s="155">
        <f t="shared" si="53"/>
        <v>38.270445890249853</v>
      </c>
      <c r="CC93" s="155">
        <f t="shared" si="53"/>
        <v>53.939690832046821</v>
      </c>
      <c r="CD93" s="155">
        <f t="shared" si="53"/>
        <v>26.640368009200131</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25644.25</v>
      </c>
      <c r="G94" s="76">
        <f>资产资本表!G59</f>
        <v>19150.75</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414202565.87</v>
      </c>
      <c r="F95" s="76">
        <f>资产资本表!F60</f>
        <v>420995630.05000001</v>
      </c>
      <c r="G95" s="76">
        <f>资产资本表!G60</f>
        <v>415842592.33999997</v>
      </c>
      <c r="H95" s="76">
        <f>资产资本表!H60</f>
        <v>406407780.98000002</v>
      </c>
      <c r="I95" s="76">
        <f>资产资本表!I60</f>
        <v>401632135.72000003</v>
      </c>
      <c r="J95" s="76">
        <f>资产资本表!J60</f>
        <v>402492600.87</v>
      </c>
      <c r="K95" s="76">
        <f>资产资本表!K60</f>
        <v>414732048.43000001</v>
      </c>
      <c r="L95" s="76">
        <f>资产资本表!L60</f>
        <v>5165055.18</v>
      </c>
      <c r="M95" s="76">
        <f>资产资本表!M60</f>
        <v>5165055.18</v>
      </c>
      <c r="N95" s="76">
        <f>资产资本表!N60</f>
        <v>5165055.18</v>
      </c>
      <c r="O95" s="76">
        <f>资产资本表!O60</f>
        <v>5165055.18</v>
      </c>
      <c r="P95" s="76">
        <f>资产资本表!P60</f>
        <v>5165055.18</v>
      </c>
      <c r="Q95" s="76">
        <f>资产资本表!Q60</f>
        <v>5165055.18</v>
      </c>
      <c r="R95" s="76">
        <f>资产资本表!R60</f>
        <v>5165055.18</v>
      </c>
      <c r="S95" s="76">
        <f>资产资本表!S60</f>
        <v>5165055.18</v>
      </c>
      <c r="T95" s="76">
        <f>资产资本表!T60</f>
        <v>5165055.18</v>
      </c>
      <c r="U95" s="76">
        <f>资产资本表!U60</f>
        <v>5165055.18</v>
      </c>
      <c r="V95" s="76">
        <f>资产资本表!V60</f>
        <v>5165055.18</v>
      </c>
      <c r="W95" s="76">
        <f>资产资本表!W60</f>
        <v>5165055.18</v>
      </c>
      <c r="X95" s="76">
        <f>资产资本表!X60</f>
        <v>5165055.18</v>
      </c>
      <c r="Y95" s="76">
        <f>资产资本表!Y60</f>
        <v>5165055.18</v>
      </c>
      <c r="Z95" s="76">
        <f>资产资本表!Z60</f>
        <v>5165055.18</v>
      </c>
      <c r="AA95" s="76">
        <f>资产资本表!AA60</f>
        <v>5165055.18</v>
      </c>
      <c r="AB95" s="76">
        <f>资产资本表!AB60</f>
        <v>5165055.18</v>
      </c>
      <c r="AC95" s="76">
        <f>资产资本表!AC60</f>
        <v>5165055.18</v>
      </c>
      <c r="AD95" s="76">
        <f>资产资本表!AD60</f>
        <v>5165055.18</v>
      </c>
      <c r="AE95" s="76">
        <f>资产资本表!AE60</f>
        <v>5165055.18</v>
      </c>
      <c r="AF95" s="76">
        <f>资产资本表!AF60</f>
        <v>5165055.18</v>
      </c>
      <c r="AG95" s="76">
        <f>资产资本表!AG60</f>
        <v>5165055.18</v>
      </c>
      <c r="AH95" s="76">
        <f>资产资本表!AH60</f>
        <v>5165055.18</v>
      </c>
      <c r="AI95" s="76">
        <f>资产资本表!AI60</f>
        <v>5165055.18</v>
      </c>
      <c r="AJ95" s="76">
        <f>资产资本表!AJ60</f>
        <v>5165055.18</v>
      </c>
      <c r="AK95" s="76">
        <f>资产资本表!AK60</f>
        <v>5165055.18</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210438363.08000001</v>
      </c>
      <c r="F96" s="76">
        <f>资产资本表!F61</f>
        <v>205127952.12</v>
      </c>
      <c r="G96" s="76">
        <f>资产资本表!G61</f>
        <v>211932218.94</v>
      </c>
      <c r="H96" s="76">
        <f>资产资本表!H61</f>
        <v>218713216.78999999</v>
      </c>
      <c r="I96" s="76">
        <f>资产资本表!I61</f>
        <v>213829308.66</v>
      </c>
      <c r="J96" s="76">
        <f>资产资本表!J61</f>
        <v>118265018.04000001</v>
      </c>
      <c r="K96" s="76">
        <f>资产资本表!K61</f>
        <v>121999576.67</v>
      </c>
      <c r="L96" s="76">
        <f>资产资本表!L61</f>
        <v>125598194.43000001</v>
      </c>
      <c r="M96" s="76">
        <f>资产资本表!M61</f>
        <v>129825187.47</v>
      </c>
      <c r="N96" s="76">
        <f>资产资本表!N61</f>
        <v>123979839.31999999</v>
      </c>
      <c r="O96" s="76">
        <f>资产资本表!O61</f>
        <v>107611021.98999999</v>
      </c>
      <c r="P96" s="76">
        <f>资产资本表!P61</f>
        <v>110906975.34</v>
      </c>
      <c r="Q96" s="76">
        <f>资产资本表!Q61</f>
        <v>113765103.12</v>
      </c>
      <c r="R96" s="76">
        <f>资产资本表!R61</f>
        <v>98283812.790000007</v>
      </c>
      <c r="S96" s="76">
        <f>资产资本表!S61</f>
        <v>116099705.5</v>
      </c>
      <c r="T96" s="76">
        <f>资产资本表!T61</f>
        <v>222384650.63</v>
      </c>
      <c r="U96" s="76">
        <f>资产资本表!U61</f>
        <v>226364116.47</v>
      </c>
      <c r="V96" s="76">
        <f>资产资本表!V61</f>
        <v>108631976.42</v>
      </c>
      <c r="W96" s="76">
        <f>资产资本表!W61</f>
        <v>232870583.41</v>
      </c>
      <c r="X96" s="76">
        <f>资产资本表!X61</f>
        <v>235366552.22999999</v>
      </c>
      <c r="Y96" s="76">
        <f>资产资本表!Y61</f>
        <v>145196613.02000001</v>
      </c>
      <c r="Z96" s="76">
        <f>资产资本表!Z61</f>
        <v>173421113.22</v>
      </c>
      <c r="AA96" s="76">
        <f>资产资本表!AA61</f>
        <v>121052638.93000001</v>
      </c>
      <c r="AB96" s="76">
        <f>资产资本表!AB61</f>
        <v>71968434.159999996</v>
      </c>
      <c r="AC96" s="76">
        <f>资产资本表!AC61</f>
        <v>76024756.239999995</v>
      </c>
      <c r="AD96" s="76">
        <f>资产资本表!AD61</f>
        <v>80081078.319999993</v>
      </c>
      <c r="AE96" s="76">
        <f>资产资本表!AE61</f>
        <v>84136163.700000003</v>
      </c>
      <c r="AF96" s="76">
        <f>资产资本表!AF61</f>
        <v>88184321.439999998</v>
      </c>
      <c r="AG96" s="76">
        <f>资产资本表!AG61</f>
        <v>92249342.700000003</v>
      </c>
      <c r="AH96" s="76">
        <f>资产资本表!AH61</f>
        <v>96325300</v>
      </c>
      <c r="AI96" s="76">
        <f>资产资本表!AI61</f>
        <v>100416066.52</v>
      </c>
      <c r="AJ96" s="76">
        <f>资产资本表!AJ61</f>
        <v>104506833.04000001</v>
      </c>
      <c r="AK96" s="76">
        <f>资产资本表!AK61</f>
        <v>108597599.56</v>
      </c>
      <c r="AL96" s="76">
        <f>资产资本表!AL61</f>
        <v>112310440.90000001</v>
      </c>
      <c r="AM96" s="76">
        <f>资产资本表!AM61</f>
        <v>116354183.77</v>
      </c>
      <c r="AN96" s="76">
        <f>资产资本表!AN61</f>
        <v>121530807.5</v>
      </c>
      <c r="AO96" s="76">
        <f>资产资本表!AO61</f>
        <v>126045372.05</v>
      </c>
      <c r="AP96" s="76">
        <f>资产资本表!AP61</f>
        <v>130819936.53</v>
      </c>
      <c r="AQ96" s="76">
        <f>资产资本表!AQ61</f>
        <v>136479301.09</v>
      </c>
      <c r="AR96" s="76">
        <f>资产资本表!AR61</f>
        <v>141594644.34999999</v>
      </c>
      <c r="AS96" s="76">
        <f>资产资本表!AS61</f>
        <v>146123230.21000001</v>
      </c>
      <c r="AT96" s="76">
        <f>资产资本表!AT61</f>
        <v>152685014.78999999</v>
      </c>
      <c r="AU96" s="76">
        <f>资产资本表!AU61</f>
        <v>156838228.94999999</v>
      </c>
      <c r="AV96" s="76">
        <f>资产资本表!AV61</f>
        <v>161398523.81</v>
      </c>
      <c r="AW96" s="76">
        <f>资产资本表!AW61</f>
        <v>166254688.37</v>
      </c>
      <c r="AX96" s="76">
        <f>资产资本表!AX61</f>
        <v>128439309.48</v>
      </c>
      <c r="AY96" s="76">
        <f>资产资本表!AY61</f>
        <v>131686133.73999999</v>
      </c>
      <c r="AZ96" s="76">
        <f>资产资本表!AZ61</f>
        <v>135192958.09999999</v>
      </c>
      <c r="BA96" s="76">
        <f>资产资本表!BA61</f>
        <v>136916476.78999999</v>
      </c>
      <c r="BB96" s="76">
        <f>资产资本表!BB61</f>
        <v>140340864.16</v>
      </c>
      <c r="BC96" s="76">
        <f>资产资本表!BC61</f>
        <v>143235251.53</v>
      </c>
      <c r="BD96" s="76">
        <f>资产资本表!BD61</f>
        <v>146659638.90000001</v>
      </c>
      <c r="BE96" s="76">
        <f>资产资本表!BE61</f>
        <v>149554026.27000001</v>
      </c>
      <c r="BF96" s="76">
        <f>资产资本表!BF61</f>
        <v>144844732.21000001</v>
      </c>
      <c r="BG96" s="76">
        <f>资产资本表!BG61</f>
        <v>155817801.00999999</v>
      </c>
      <c r="BH96" s="76">
        <f>资产资本表!BH61</f>
        <v>0</v>
      </c>
      <c r="BI96" s="76">
        <f>资产资本表!BI61</f>
        <v>0</v>
      </c>
      <c r="BJ96" s="76">
        <f>资产资本表!BJ61</f>
        <v>19935112.129999999</v>
      </c>
      <c r="BK96" s="76">
        <f>资产资本表!BK61</f>
        <v>20311246.309999999</v>
      </c>
      <c r="BL96" s="76">
        <f>资产资本表!BL61</f>
        <v>20969481.120000001</v>
      </c>
      <c r="BM96" s="76">
        <f>资产资本表!BM61</f>
        <v>21063514.670000002</v>
      </c>
      <c r="BN96" s="76">
        <f>资产资本表!BN61</f>
        <v>2014254.94</v>
      </c>
      <c r="BO96" s="76">
        <f>资产资本表!BO61</f>
        <v>2518995.2799999998</v>
      </c>
      <c r="BP96" s="76">
        <f>资产资本表!BP61</f>
        <v>3023735.62</v>
      </c>
      <c r="BQ96" s="76">
        <f>资产资本表!BQ61</f>
        <v>3528475.96</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237410041.49000001</v>
      </c>
      <c r="F97" s="76">
        <f>资产资本表!F62</f>
        <v>209758336.25</v>
      </c>
      <c r="G97" s="76">
        <f>资产资本表!G62</f>
        <v>209744932.65000001</v>
      </c>
      <c r="H97" s="76">
        <f>资产资本表!H62</f>
        <v>205591592.00999999</v>
      </c>
      <c r="I97" s="76">
        <f>资产资本表!I62</f>
        <v>205332101.78999999</v>
      </c>
      <c r="J97" s="76">
        <f>资产资本表!J62</f>
        <v>206318483.18000001</v>
      </c>
      <c r="K97" s="76">
        <f>资产资本表!K62</f>
        <v>163670833.30000001</v>
      </c>
      <c r="L97" s="76">
        <f>资产资本表!L62</f>
        <v>153021619.05000001</v>
      </c>
      <c r="M97" s="76">
        <f>资产资本表!M62</f>
        <v>153021619.05000001</v>
      </c>
      <c r="N97" s="76">
        <f>资产资本表!N62</f>
        <v>118652253.20999999</v>
      </c>
      <c r="O97" s="76">
        <f>资产资本表!O62</f>
        <v>118652253.20999999</v>
      </c>
      <c r="P97" s="76">
        <f>资产资本表!P62</f>
        <v>115691036.09999999</v>
      </c>
      <c r="Q97" s="76">
        <f>资产资本表!Q62</f>
        <v>115691036.09999999</v>
      </c>
      <c r="R97" s="76">
        <f>资产资本表!R62</f>
        <v>114509051.84</v>
      </c>
      <c r="S97" s="76">
        <f>资产资本表!S62</f>
        <v>114509051.84</v>
      </c>
      <c r="T97" s="76">
        <f>资产资本表!T62</f>
        <v>114598120.77</v>
      </c>
      <c r="U97" s="76">
        <f>资产资本表!U62</f>
        <v>114598120.77</v>
      </c>
      <c r="V97" s="76">
        <f>资产资本表!V62</f>
        <v>123614955.25</v>
      </c>
      <c r="W97" s="76">
        <f>资产资本表!W62</f>
        <v>125445537.89</v>
      </c>
      <c r="X97" s="76">
        <f>资产资本表!X62</f>
        <v>127999644.95999999</v>
      </c>
      <c r="Y97" s="76">
        <f>资产资本表!Y62</f>
        <v>126497582.45999999</v>
      </c>
      <c r="Z97" s="76">
        <f>资产资本表!Z62</f>
        <v>119667304.70999999</v>
      </c>
      <c r="AA97" s="76">
        <f>资产资本表!AA62</f>
        <v>127508862.55</v>
      </c>
      <c r="AB97" s="76">
        <f>资产资本表!AB62</f>
        <v>129647038.31</v>
      </c>
      <c r="AC97" s="76">
        <f>资产资本表!AC62</f>
        <v>129647038.31</v>
      </c>
      <c r="AD97" s="76">
        <f>资产资本表!AD62</f>
        <v>132736730.67</v>
      </c>
      <c r="AE97" s="76">
        <f>资产资本表!AE62</f>
        <v>131537631.63</v>
      </c>
      <c r="AF97" s="76">
        <f>资产资本表!AF62</f>
        <v>132617344.20999999</v>
      </c>
      <c r="AG97" s="76">
        <f>资产资本表!AG62</f>
        <v>134409179</v>
      </c>
      <c r="AH97" s="76">
        <f>资产资本表!AH62</f>
        <v>177977775.47</v>
      </c>
      <c r="AI97" s="76">
        <f>资产资本表!AI62</f>
        <v>178861993.28</v>
      </c>
      <c r="AJ97" s="76">
        <f>资产资本表!AJ62</f>
        <v>182454718.19999999</v>
      </c>
      <c r="AK97" s="76">
        <f>资产资本表!AK62</f>
        <v>182454718.19999999</v>
      </c>
      <c r="AL97" s="76">
        <f>资产资本表!AL62</f>
        <v>23530704.66</v>
      </c>
      <c r="AM97" s="76">
        <f>资产资本表!AM62</f>
        <v>23530704.66</v>
      </c>
      <c r="AN97" s="76">
        <f>资产资本表!AN62</f>
        <v>12919733.99</v>
      </c>
      <c r="AO97" s="76">
        <f>资产资本表!AO62</f>
        <v>12919733.99</v>
      </c>
      <c r="AP97" s="76">
        <f>资产资本表!AP62</f>
        <v>7963873.4299999997</v>
      </c>
      <c r="AQ97" s="76">
        <f>资产资本表!AQ62</f>
        <v>7963873.4299999997</v>
      </c>
      <c r="AR97" s="76">
        <f>资产资本表!AR62</f>
        <v>7963873.4299999997</v>
      </c>
      <c r="AS97" s="76">
        <f>资产资本表!AS62</f>
        <v>7963873.4299999997</v>
      </c>
      <c r="AT97" s="76">
        <f>资产资本表!AT62</f>
        <v>4728086.58</v>
      </c>
      <c r="AU97" s="76">
        <f>资产资本表!AU62</f>
        <v>4728086.58</v>
      </c>
      <c r="AV97" s="76">
        <f>资产资本表!AV62</f>
        <v>4927063.55</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41610406.159999996</v>
      </c>
      <c r="F98" s="76">
        <f>资产资本表!F63</f>
        <v>47577438</v>
      </c>
      <c r="G98" s="76">
        <f>资产资本表!G63</f>
        <v>47063766.780000001</v>
      </c>
      <c r="H98" s="76">
        <f>资产资本表!H63</f>
        <v>31117271.91</v>
      </c>
      <c r="I98" s="76">
        <f>资产资本表!I63</f>
        <v>31117271.91</v>
      </c>
      <c r="J98" s="76">
        <f>资产资本表!J63</f>
        <v>35846779.700000003</v>
      </c>
      <c r="K98" s="76">
        <f>资产资本表!K63</f>
        <v>35846779.700000003</v>
      </c>
      <c r="L98" s="76">
        <f>资产资本表!L63</f>
        <v>41444655.909999996</v>
      </c>
      <c r="M98" s="76">
        <f>资产资本表!M63</f>
        <v>41444655.909999996</v>
      </c>
      <c r="N98" s="76">
        <f>资产资本表!N63</f>
        <v>42772678.600000001</v>
      </c>
      <c r="O98" s="76">
        <f>资产资本表!O63</f>
        <v>42772678.600000001</v>
      </c>
      <c r="P98" s="76">
        <f>资产资本表!P63</f>
        <v>42772678.600000001</v>
      </c>
      <c r="Q98" s="76">
        <f>资产资本表!Q63</f>
        <v>42772678.600000001</v>
      </c>
      <c r="R98" s="76">
        <f>资产资本表!R63</f>
        <v>81782247.629999995</v>
      </c>
      <c r="S98" s="76">
        <f>资产资本表!S63</f>
        <v>66424036.299999997</v>
      </c>
      <c r="T98" s="76">
        <f>资产资本表!T63</f>
        <v>66424036.299999997</v>
      </c>
      <c r="U98" s="76">
        <f>资产资本表!U63</f>
        <v>66424036.299999997</v>
      </c>
      <c r="V98" s="76">
        <f>资产资本表!V63</f>
        <v>92748522.620000005</v>
      </c>
      <c r="W98" s="76">
        <f>资产资本表!W63</f>
        <v>92748522.620000005</v>
      </c>
      <c r="X98" s="76">
        <f>资产资本表!X63</f>
        <v>92748522.620000005</v>
      </c>
      <c r="Y98" s="76">
        <f>资产资本表!Y63</f>
        <v>92748522.620000005</v>
      </c>
      <c r="Z98" s="76">
        <f>资产资本表!Z63</f>
        <v>114420003.23</v>
      </c>
      <c r="AA98" s="76">
        <f>资产资本表!AA63</f>
        <v>122505771.52</v>
      </c>
      <c r="AB98" s="76">
        <f>资产资本表!AB63</f>
        <v>122505771.52</v>
      </c>
      <c r="AC98" s="76">
        <f>资产资本表!AC63</f>
        <v>122505771.52</v>
      </c>
      <c r="AD98" s="76">
        <f>资产资本表!AD63</f>
        <v>128871550.59</v>
      </c>
      <c r="AE98" s="76">
        <f>资产资本表!AE63</f>
        <v>117105500.53</v>
      </c>
      <c r="AF98" s="76">
        <f>资产资本表!AF63</f>
        <v>117105500.53</v>
      </c>
      <c r="AG98" s="76">
        <f>资产资本表!AG63</f>
        <v>117105500.53</v>
      </c>
      <c r="AH98" s="76">
        <f>资产资本表!AH63</f>
        <v>143524658.80000001</v>
      </c>
      <c r="AI98" s="76">
        <f>资产资本表!AI63</f>
        <v>143524658.80000001</v>
      </c>
      <c r="AJ98" s="76">
        <f>资产资本表!AJ63</f>
        <v>143524658.80000001</v>
      </c>
      <c r="AK98" s="76">
        <f>资产资本表!AK63</f>
        <v>143524658.80000001</v>
      </c>
      <c r="AL98" s="76">
        <f>资产资本表!AL63</f>
        <v>73965719.930000007</v>
      </c>
      <c r="AM98" s="76">
        <f>资产资本表!AM63</f>
        <v>73965719.930000007</v>
      </c>
      <c r="AN98" s="76">
        <f>资产资本表!AN63</f>
        <v>77491241.540000007</v>
      </c>
      <c r="AO98" s="76">
        <f>资产资本表!AO63</f>
        <v>77491241.540000007</v>
      </c>
      <c r="AP98" s="76">
        <f>资产资本表!AP63</f>
        <v>85472367.75</v>
      </c>
      <c r="AQ98" s="76">
        <f>资产资本表!AQ63</f>
        <v>85472367.75</v>
      </c>
      <c r="AR98" s="76">
        <f>资产资本表!AR63</f>
        <v>85472367.75</v>
      </c>
      <c r="AS98" s="76">
        <f>资产资本表!AS63</f>
        <v>85472367.75</v>
      </c>
      <c r="AT98" s="76">
        <f>资产资本表!AT63</f>
        <v>28303518.809999999</v>
      </c>
      <c r="AU98" s="76">
        <f>资产资本表!AU63</f>
        <v>28303518.809999999</v>
      </c>
      <c r="AV98" s="76">
        <f>资产资本表!AV63</f>
        <v>28303518.809999999</v>
      </c>
      <c r="AW98" s="76">
        <f>资产资本表!AW63</f>
        <v>0</v>
      </c>
      <c r="AX98" s="76">
        <f>资产资本表!AX63</f>
        <v>0</v>
      </c>
      <c r="AY98" s="76">
        <f>资产资本表!AY63</f>
        <v>0</v>
      </c>
      <c r="AZ98" s="76">
        <f>资产资本表!AZ63</f>
        <v>33283608.370000001</v>
      </c>
      <c r="BA98" s="76">
        <f>资产资本表!BA63</f>
        <v>0</v>
      </c>
      <c r="BB98" s="76">
        <f>资产资本表!BB63</f>
        <v>0</v>
      </c>
      <c r="BC98" s="76">
        <f>资产资本表!BC63</f>
        <v>0</v>
      </c>
      <c r="BD98" s="76">
        <f>资产资本表!BD63</f>
        <v>0</v>
      </c>
      <c r="BE98" s="76">
        <f>资产资本表!BE63</f>
        <v>0</v>
      </c>
      <c r="BF98" s="76">
        <f>资产资本表!BF63</f>
        <v>154934294.87</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664740458.48000002</v>
      </c>
      <c r="F99" s="93">
        <f>资产资本表!F64</f>
        <v>434147467.41000003</v>
      </c>
      <c r="G99" s="93">
        <f>资产资本表!G64</f>
        <v>311040532.30000001</v>
      </c>
      <c r="H99" s="93">
        <f>资产资本表!H64</f>
        <v>303576589.10000002</v>
      </c>
      <c r="I99" s="93">
        <f>资产资本表!I64</f>
        <v>256680888.22</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130687127094.72</v>
      </c>
      <c r="F100" s="197">
        <f t="shared" ref="F100:BQ100" si="54">(F84+J84)/2</f>
        <v>127949098412.75</v>
      </c>
      <c r="G100" s="197">
        <f t="shared" si="54"/>
        <v>124375768841.48001</v>
      </c>
      <c r="H100" s="197">
        <f t="shared" si="54"/>
        <v>124993828032.935</v>
      </c>
      <c r="I100" s="197">
        <f t="shared" si="54"/>
        <v>125728218145.36499</v>
      </c>
      <c r="J100" s="197">
        <f t="shared" si="54"/>
        <v>123171815473.785</v>
      </c>
      <c r="K100" s="197">
        <f t="shared" si="54"/>
        <v>121637480199.08</v>
      </c>
      <c r="L100" s="197">
        <f t="shared" si="54"/>
        <v>122971112039.565</v>
      </c>
      <c r="M100" s="197">
        <f t="shared" si="54"/>
        <v>123685125085.95499</v>
      </c>
      <c r="N100" s="197">
        <f t="shared" si="54"/>
        <v>118656063158.59</v>
      </c>
      <c r="O100" s="197">
        <f t="shared" si="54"/>
        <v>117655761420.48999</v>
      </c>
      <c r="P100" s="197">
        <f t="shared" si="54"/>
        <v>116673296825.13</v>
      </c>
      <c r="Q100" s="197">
        <f t="shared" si="54"/>
        <v>117472223864.89499</v>
      </c>
      <c r="R100" s="197">
        <f t="shared" si="54"/>
        <v>111163236418.52</v>
      </c>
      <c r="S100" s="197">
        <f t="shared" si="54"/>
        <v>93066860178.725006</v>
      </c>
      <c r="T100" s="197">
        <f t="shared" si="54"/>
        <v>91844080714.125</v>
      </c>
      <c r="U100" s="197">
        <f t="shared" si="54"/>
        <v>83971977274.690002</v>
      </c>
      <c r="V100" s="197">
        <f t="shared" si="54"/>
        <v>79930465293.294998</v>
      </c>
      <c r="W100" s="197">
        <f t="shared" si="54"/>
        <v>61582840199.684998</v>
      </c>
      <c r="X100" s="197">
        <f t="shared" si="54"/>
        <v>57291414300.559998</v>
      </c>
      <c r="Y100" s="197">
        <f t="shared" si="54"/>
        <v>50851800318.800003</v>
      </c>
      <c r="Z100" s="197">
        <f t="shared" si="54"/>
        <v>48917074385.065002</v>
      </c>
      <c r="AA100" s="197">
        <f t="shared" si="54"/>
        <v>47997793931.889999</v>
      </c>
      <c r="AB100" s="197">
        <f t="shared" si="54"/>
        <v>43443749418.779999</v>
      </c>
      <c r="AC100" s="197">
        <f t="shared" si="54"/>
        <v>44815035840.089996</v>
      </c>
      <c r="AD100" s="197">
        <f t="shared" si="54"/>
        <v>42280157443.379997</v>
      </c>
      <c r="AE100" s="197">
        <f t="shared" si="54"/>
        <v>42867259653.384995</v>
      </c>
      <c r="AF100" s="197">
        <f t="shared" si="54"/>
        <v>43174026424.010002</v>
      </c>
      <c r="AG100" s="197">
        <f t="shared" si="54"/>
        <v>43082944257.050003</v>
      </c>
      <c r="AH100" s="197">
        <f t="shared" si="54"/>
        <v>27117943209.239998</v>
      </c>
      <c r="AI100" s="197">
        <f t="shared" si="54"/>
        <v>27447860595.84</v>
      </c>
      <c r="AJ100" s="197">
        <f t="shared" si="54"/>
        <v>27500332752.470001</v>
      </c>
      <c r="AK100" s="197">
        <f t="shared" si="54"/>
        <v>27834669261.185001</v>
      </c>
      <c r="AL100" s="197">
        <f t="shared" si="54"/>
        <v>12635095039.195</v>
      </c>
      <c r="AM100" s="197">
        <f t="shared" si="54"/>
        <v>12861709114</v>
      </c>
      <c r="AN100" s="197">
        <f t="shared" si="54"/>
        <v>12903338549.75</v>
      </c>
      <c r="AO100" s="197">
        <f t="shared" si="54"/>
        <v>13037486362.990002</v>
      </c>
      <c r="AP100" s="197">
        <f t="shared" si="54"/>
        <v>12315227145.73</v>
      </c>
      <c r="AQ100" s="197">
        <f t="shared" si="54"/>
        <v>12498050607.74</v>
      </c>
      <c r="AR100" s="197">
        <f t="shared" si="54"/>
        <v>12798335215.455</v>
      </c>
      <c r="AS100" s="197">
        <f t="shared" si="54"/>
        <v>12462602333.290001</v>
      </c>
      <c r="AT100" s="197">
        <f t="shared" si="54"/>
        <v>9300509376.8199997</v>
      </c>
      <c r="AU100" s="197">
        <f t="shared" si="54"/>
        <v>9458376635.1450005</v>
      </c>
      <c r="AV100" s="197">
        <f t="shared" si="54"/>
        <v>9717424704.3199997</v>
      </c>
      <c r="AW100" s="197">
        <f t="shared" si="54"/>
        <v>9332491171.0999985</v>
      </c>
      <c r="AX100" s="197">
        <f t="shared" si="54"/>
        <v>6432249266.96</v>
      </c>
      <c r="AY100" s="197">
        <f t="shared" si="54"/>
        <v>6591954850.835</v>
      </c>
      <c r="AZ100" s="197">
        <f t="shared" si="54"/>
        <v>6654249105.8999996</v>
      </c>
      <c r="BA100" s="197">
        <f t="shared" si="54"/>
        <v>6704268728.1299992</v>
      </c>
      <c r="BB100" s="197">
        <f t="shared" si="54"/>
        <v>6325495349.7399998</v>
      </c>
      <c r="BC100" s="197">
        <f t="shared" si="54"/>
        <v>6482901887.6300001</v>
      </c>
      <c r="BD100" s="197">
        <f t="shared" si="54"/>
        <v>4866101300.5100002</v>
      </c>
      <c r="BE100" s="197">
        <f t="shared" si="54"/>
        <v>4887235100.6750002</v>
      </c>
      <c r="BF100" s="197">
        <f t="shared" si="54"/>
        <v>4465090700.0550003</v>
      </c>
      <c r="BG100" s="197">
        <f t="shared" si="54"/>
        <v>4581623734.8999996</v>
      </c>
      <c r="BH100" s="197">
        <f t="shared" si="54"/>
        <v>3016969398.2399998</v>
      </c>
      <c r="BI100" s="197">
        <f t="shared" si="54"/>
        <v>3098071382.79</v>
      </c>
      <c r="BJ100" s="197">
        <f t="shared" si="54"/>
        <v>1781743634.0100002</v>
      </c>
      <c r="BK100" s="197">
        <f t="shared" si="54"/>
        <v>1823513532.2150002</v>
      </c>
      <c r="BL100" s="197">
        <f t="shared" si="54"/>
        <v>1870778145.9000001</v>
      </c>
      <c r="BM100" s="197">
        <f t="shared" si="54"/>
        <v>1920009848.2800002</v>
      </c>
      <c r="BN100" s="197">
        <f t="shared" si="54"/>
        <v>588072498.17499995</v>
      </c>
      <c r="BO100" s="197">
        <f t="shared" si="54"/>
        <v>585376483.58500004</v>
      </c>
      <c r="BP100" s="197">
        <f t="shared" si="54"/>
        <v>666374293.66000009</v>
      </c>
      <c r="BQ100" s="197">
        <f t="shared" si="54"/>
        <v>690537887.56500006</v>
      </c>
      <c r="BR100" s="197">
        <f t="shared" ref="BR100:CK100" si="55">(BR84+BV84)/2</f>
        <v>670734760.33000004</v>
      </c>
      <c r="BS100" s="197">
        <f t="shared" si="55"/>
        <v>712981685.88</v>
      </c>
      <c r="BT100" s="197">
        <f t="shared" si="55"/>
        <v>559719964.73000002</v>
      </c>
      <c r="BU100" s="197">
        <f t="shared" si="55"/>
        <v>559947328.63499999</v>
      </c>
      <c r="BV100" s="197">
        <f t="shared" si="55"/>
        <v>531694449.65500003</v>
      </c>
      <c r="BW100" s="197">
        <f t="shared" si="55"/>
        <v>563702640.73000002</v>
      </c>
      <c r="BX100" s="197">
        <f t="shared" si="55"/>
        <v>191391669.255</v>
      </c>
      <c r="BY100" s="197">
        <f t="shared" si="55"/>
        <v>177613049.29499999</v>
      </c>
      <c r="BZ100" s="197">
        <f t="shared" si="55"/>
        <v>186057821.95000002</v>
      </c>
      <c r="CA100" s="197">
        <f t="shared" si="55"/>
        <v>155869931.62</v>
      </c>
      <c r="CB100" s="197">
        <f t="shared" si="55"/>
        <v>8489125.3399999999</v>
      </c>
      <c r="CC100" s="197">
        <f t="shared" si="55"/>
        <v>9325863.0749999993</v>
      </c>
      <c r="CD100" s="197">
        <f t="shared" si="55"/>
        <v>11066346.205</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0.97171875450497014</v>
      </c>
      <c r="F101" s="252">
        <f t="shared" ref="F101:BQ101" si="56">F100/F84</f>
        <v>0.98419430210900827</v>
      </c>
      <c r="G101" s="252">
        <f t="shared" si="56"/>
        <v>0.98701089380860407</v>
      </c>
      <c r="H101" s="252">
        <f t="shared" si="56"/>
        <v>0.99245839284287141</v>
      </c>
      <c r="I101" s="252">
        <f t="shared" si="56"/>
        <v>0.99089444948924865</v>
      </c>
      <c r="J101" s="252">
        <f t="shared" si="56"/>
        <v>0.97837486967892862</v>
      </c>
      <c r="K101" s="252">
        <f t="shared" si="56"/>
        <v>0.99102568603317331</v>
      </c>
      <c r="L101" s="252">
        <f t="shared" si="56"/>
        <v>0.9913506626381009</v>
      </c>
      <c r="M101" s="252">
        <f t="shared" si="56"/>
        <v>0.99287366226367224</v>
      </c>
      <c r="N101" s="252">
        <f t="shared" si="56"/>
        <v>0.98511181686408311</v>
      </c>
      <c r="O101" s="252">
        <f t="shared" si="56"/>
        <v>0.97610488916571914</v>
      </c>
      <c r="P101" s="252">
        <f t="shared" si="56"/>
        <v>0.957137052564903</v>
      </c>
      <c r="Q101" s="252">
        <f t="shared" si="56"/>
        <v>0.95663463671287996</v>
      </c>
      <c r="R101" s="252">
        <f t="shared" si="56"/>
        <v>0.95122865956833824</v>
      </c>
      <c r="S101" s="252">
        <f t="shared" si="56"/>
        <v>0.81085969671651192</v>
      </c>
      <c r="T101" s="252">
        <f t="shared" si="56"/>
        <v>0.82409525043933551</v>
      </c>
      <c r="U101" s="252">
        <f t="shared" si="56"/>
        <v>0.74876656622677973</v>
      </c>
      <c r="V101" s="252">
        <f t="shared" si="56"/>
        <v>0.75789564905671891</v>
      </c>
      <c r="W101" s="252">
        <f t="shared" si="56"/>
        <v>0.86301024711078922</v>
      </c>
      <c r="X101" s="252">
        <f t="shared" si="56"/>
        <v>0.79307291981712269</v>
      </c>
      <c r="Y101" s="252">
        <f t="shared" si="56"/>
        <v>0.9113734871145025</v>
      </c>
      <c r="Z101" s="252">
        <f t="shared" si="56"/>
        <v>0.89925639895851217</v>
      </c>
      <c r="AA101" s="252">
        <f t="shared" si="56"/>
        <v>0.92646418337613035</v>
      </c>
      <c r="AB101" s="252">
        <f t="shared" si="56"/>
        <v>1.0259948730931674</v>
      </c>
      <c r="AC101" s="252">
        <f t="shared" si="56"/>
        <v>0.97621957460852016</v>
      </c>
      <c r="AD101" s="252">
        <f t="shared" si="56"/>
        <v>0.97336959622852359</v>
      </c>
      <c r="AE101" s="252">
        <f t="shared" si="56"/>
        <v>0.97010897082881131</v>
      </c>
      <c r="AF101" s="252">
        <f t="shared" si="56"/>
        <v>0.96923466139593339</v>
      </c>
      <c r="AG101" s="252">
        <f t="shared" si="56"/>
        <v>0.98535312927805141</v>
      </c>
      <c r="AH101" s="252">
        <f t="shared" si="56"/>
        <v>0.65942828513989393</v>
      </c>
      <c r="AI101" s="252">
        <f t="shared" si="56"/>
        <v>0.66065505764366561</v>
      </c>
      <c r="AJ101" s="252">
        <f t="shared" si="56"/>
        <v>0.65784602054843555</v>
      </c>
      <c r="AK101" s="252">
        <f t="shared" si="56"/>
        <v>0.65582015682224137</v>
      </c>
      <c r="AL101" s="252">
        <f t="shared" si="56"/>
        <v>0.96359373409826676</v>
      </c>
      <c r="AM101" s="252">
        <f t="shared" si="56"/>
        <v>0.96347522136299169</v>
      </c>
      <c r="AN101" s="252">
        <f t="shared" si="56"/>
        <v>0.97774310547249521</v>
      </c>
      <c r="AO101" s="252">
        <f t="shared" si="56"/>
        <v>0.98568677543170369</v>
      </c>
      <c r="AP101" s="252">
        <f t="shared" si="56"/>
        <v>1.0129554087246631</v>
      </c>
      <c r="AQ101" s="252">
        <f t="shared" si="56"/>
        <v>1.0100145484364815</v>
      </c>
      <c r="AR101" s="252">
        <f t="shared" si="56"/>
        <v>1.0149665444752189</v>
      </c>
      <c r="AS101" s="252">
        <f t="shared" si="56"/>
        <v>0.96999060090431599</v>
      </c>
      <c r="AT101" s="252">
        <f t="shared" si="56"/>
        <v>0.74566717770364022</v>
      </c>
      <c r="AU101" s="252">
        <f t="shared" si="56"/>
        <v>0.74935807902574814</v>
      </c>
      <c r="AV101" s="252">
        <f t="shared" si="56"/>
        <v>0.74823913490689664</v>
      </c>
      <c r="AW101" s="252">
        <f t="shared" si="56"/>
        <v>0.77274678680372222</v>
      </c>
      <c r="AX101" s="252">
        <f t="shared" si="56"/>
        <v>1.0496004929233562</v>
      </c>
      <c r="AY101" s="252">
        <f t="shared" si="56"/>
        <v>1.0472095040507947</v>
      </c>
      <c r="AZ101" s="252">
        <f t="shared" si="56"/>
        <v>1.0320198370536695</v>
      </c>
      <c r="BA101" s="252">
        <f t="shared" si="56"/>
        <v>1.0176569324004976</v>
      </c>
      <c r="BB101" s="252">
        <f t="shared" si="56"/>
        <v>0.93902810623363953</v>
      </c>
      <c r="BC101" s="252">
        <f t="shared" si="56"/>
        <v>0.94103369140148607</v>
      </c>
      <c r="BD101" s="252">
        <f t="shared" si="56"/>
        <v>0.70927118168364311</v>
      </c>
      <c r="BE101" s="252">
        <f t="shared" si="56"/>
        <v>0.7165412265057437</v>
      </c>
      <c r="BF101" s="252">
        <f t="shared" si="56"/>
        <v>0.75490450281372634</v>
      </c>
      <c r="BG101" s="252">
        <f t="shared" si="56"/>
        <v>0.75396881007904293</v>
      </c>
      <c r="BH101" s="252">
        <f t="shared" si="56"/>
        <v>1.0506610962320619</v>
      </c>
      <c r="BI101" s="252">
        <f t="shared" si="56"/>
        <v>1.0488147432517314</v>
      </c>
      <c r="BJ101" s="252">
        <f t="shared" si="56"/>
        <v>0.59088020846478506</v>
      </c>
      <c r="BK101" s="252">
        <f t="shared" si="56"/>
        <v>0.5907892322624928</v>
      </c>
      <c r="BL101" s="252">
        <f t="shared" si="56"/>
        <v>0.59156114889776346</v>
      </c>
      <c r="BM101" s="252">
        <f t="shared" si="56"/>
        <v>0.59218179831641793</v>
      </c>
      <c r="BN101" s="252">
        <f t="shared" si="56"/>
        <v>1.0729655721751903</v>
      </c>
      <c r="BO101" s="252">
        <f t="shared" si="56"/>
        <v>1.0444664948103268</v>
      </c>
      <c r="BP101" s="252">
        <f t="shared" si="56"/>
        <v>1.1506794625743708</v>
      </c>
      <c r="BQ101" s="252">
        <f t="shared" si="56"/>
        <v>1.1552179758623959</v>
      </c>
      <c r="BR101" s="252">
        <f t="shared" ref="BR101:CK101" si="57">BR100/BR84</f>
        <v>1.0679408730823983</v>
      </c>
      <c r="BS101" s="252">
        <f t="shared" si="57"/>
        <v>1.1682518051132051</v>
      </c>
      <c r="BT101" s="252">
        <f t="shared" si="57"/>
        <v>0.74269385359016715</v>
      </c>
      <c r="BU101" s="252">
        <f t="shared" si="57"/>
        <v>0.71483828451668718</v>
      </c>
      <c r="BV101" s="252">
        <f t="shared" si="57"/>
        <v>0.74529018335175445</v>
      </c>
      <c r="BW101" s="252">
        <f t="shared" si="57"/>
        <v>0.69109542728947593</v>
      </c>
      <c r="BX101" s="252">
        <f t="shared" si="57"/>
        <v>0.52320669018126165</v>
      </c>
      <c r="BY101" s="252">
        <f t="shared" si="57"/>
        <v>0.52770817934649039</v>
      </c>
      <c r="BZ101" s="252">
        <f t="shared" si="57"/>
        <v>0.53161967220942252</v>
      </c>
      <c r="CA101" s="252">
        <f t="shared" si="57"/>
        <v>0.5</v>
      </c>
      <c r="CB101" s="252">
        <f t="shared" si="57"/>
        <v>0.5</v>
      </c>
      <c r="CC101" s="252">
        <f t="shared" si="57"/>
        <v>0.5</v>
      </c>
      <c r="CD101" s="252">
        <f t="shared" si="57"/>
        <v>0.5</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7" workbookViewId="0">
      <selection activeCell="E27" sqref="E27:CL27"/>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2.6640625" bestFit="1" customWidth="1"/>
    <col min="10" max="10" width="22.6640625" hidden="1" customWidth="1"/>
    <col min="11" max="12" width="21.44140625" hidden="1" customWidth="1"/>
    <col min="13" max="13" width="22.6640625" bestFit="1" customWidth="1"/>
    <col min="14" max="14" width="22.6640625" hidden="1" customWidth="1"/>
    <col min="15" max="16" width="21.44140625" hidden="1" customWidth="1"/>
    <col min="17" max="17" width="22.6640625" bestFit="1" customWidth="1"/>
    <col min="18" max="18" width="22.6640625" hidden="1" customWidth="1"/>
    <col min="19" max="20" width="21.44140625" hidden="1" customWidth="1"/>
    <col min="21" max="21" width="22.6640625" bestFit="1" customWidth="1"/>
    <col min="22" max="22" width="22.66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40" width="19.33203125" hidden="1" customWidth="1"/>
    <col min="41" max="41" width="21.44140625" bestFit="1" customWidth="1"/>
    <col min="42" max="42" width="21.44140625" hidden="1" customWidth="1"/>
    <col min="43" max="44" width="19.332031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19"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3" width="19" hidden="1" customWidth="1"/>
    <col min="64" max="64" width="17.77734375" hidden="1" customWidth="1"/>
    <col min="65" max="65" width="19.33203125" bestFit="1" customWidth="1"/>
    <col min="66" max="66" width="19.33203125" hidden="1" customWidth="1"/>
    <col min="67" max="67" width="20.21875" bestFit="1" customWidth="1"/>
    <col min="68" max="68" width="19" hidden="1" customWidth="1"/>
    <col min="69" max="69" width="19.33203125" bestFit="1" customWidth="1"/>
    <col min="70" max="70" width="17.77734375" hidden="1" customWidth="1"/>
    <col min="71" max="71" width="19.33203125" bestFit="1" customWidth="1"/>
    <col min="72" max="72" width="20.21875" bestFit="1" customWidth="1"/>
    <col min="73" max="73" width="19.33203125" hidden="1" customWidth="1"/>
    <col min="74" max="74" width="17.21875" hidden="1" customWidth="1"/>
    <col min="75" max="75" width="19.33203125" bestFit="1" customWidth="1"/>
    <col min="76" max="76" width="17.21875" bestFit="1" customWidth="1"/>
    <col min="77" max="77" width="19.33203125" bestFit="1" customWidth="1"/>
    <col min="78"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35895475102.459999</v>
      </c>
      <c r="F2" s="26">
        <f>现金流量表!F4</f>
        <v>26157928250.099998</v>
      </c>
      <c r="G2" s="26">
        <f>现金流量表!G4</f>
        <v>14873004962.58</v>
      </c>
      <c r="H2" s="26">
        <f>现金流量表!H4</f>
        <v>7574938827.6499996</v>
      </c>
      <c r="I2" s="26">
        <f>现金流量表!I4</f>
        <v>33631604551.290001</v>
      </c>
      <c r="J2" s="26">
        <f>现金流量表!J4</f>
        <v>23368555302.119999</v>
      </c>
      <c r="K2" s="26">
        <f>现金流量表!K4</f>
        <v>13467619112.08</v>
      </c>
      <c r="L2" s="26">
        <f>现金流量表!L4</f>
        <v>6399644380.9099998</v>
      </c>
      <c r="M2" s="26">
        <f>现金流量表!M4</f>
        <v>36467680630.910004</v>
      </c>
      <c r="N2" s="26">
        <f>现金流量表!N4</f>
        <v>26912102324.73</v>
      </c>
      <c r="O2" s="26">
        <f>现金流量表!O4</f>
        <v>16375501490.59</v>
      </c>
      <c r="P2" s="26">
        <f>现金流量表!P4</f>
        <v>8097053555.5</v>
      </c>
      <c r="Q2" s="26">
        <f>现金流量表!Q4</f>
        <v>37913711945.459999</v>
      </c>
      <c r="R2" s="26">
        <f>现金流量表!R4</f>
        <v>27730494446.52</v>
      </c>
      <c r="S2" s="26">
        <f>现金流量表!S4</f>
        <v>16011982488</v>
      </c>
      <c r="T2" s="26">
        <f>现金流量表!T4</f>
        <v>8025385487.5200005</v>
      </c>
      <c r="U2" s="26">
        <f>现金流量表!U4</f>
        <v>32096338794.91</v>
      </c>
      <c r="V2" s="26">
        <f>现金流量表!V4</f>
        <v>22378290959.509998</v>
      </c>
      <c r="W2" s="26">
        <f>现金流量表!W4</f>
        <v>13904850595.719999</v>
      </c>
      <c r="X2" s="26">
        <f>现金流量表!X4</f>
        <v>7030984397.5</v>
      </c>
      <c r="Y2" s="26">
        <f>现金流量表!Y4</f>
        <v>27151303046.950001</v>
      </c>
      <c r="Z2" s="26">
        <f>现金流量表!Z4</f>
        <v>20250021649.740002</v>
      </c>
      <c r="AA2" s="26">
        <f>现金流量表!AA4</f>
        <v>12216458202.290001</v>
      </c>
      <c r="AB2" s="26">
        <f>现金流量表!AB4</f>
        <v>5945405728.6599998</v>
      </c>
      <c r="AC2" s="26">
        <f>现金流量表!AC4</f>
        <v>24924694406.18</v>
      </c>
      <c r="AD2" s="26">
        <f>现金流量表!AD4</f>
        <v>18389725280.759998</v>
      </c>
      <c r="AE2" s="26">
        <f>现金流量表!AE4</f>
        <v>11429534799.200001</v>
      </c>
      <c r="AF2" s="26">
        <f>现金流量表!AF4</f>
        <v>5845213988.9799995</v>
      </c>
      <c r="AG2" s="26">
        <f>现金流量表!AG4</f>
        <v>18025614706.34</v>
      </c>
      <c r="AH2" s="26">
        <f>现金流量表!AH4</f>
        <v>13075482400.42</v>
      </c>
      <c r="AI2" s="26">
        <f>现金流量表!AI4</f>
        <v>8089403935.3699999</v>
      </c>
      <c r="AJ2" s="26">
        <f>现金流量表!AJ4</f>
        <v>4231300432.04</v>
      </c>
      <c r="AK2" s="26">
        <f>现金流量表!AK4</f>
        <v>12958946293.549999</v>
      </c>
      <c r="AL2" s="26">
        <f>现金流量表!AL4</f>
        <v>5006328225.5799999</v>
      </c>
      <c r="AM2" s="26">
        <f>现金流量表!AM4</f>
        <v>3358672274.3499999</v>
      </c>
      <c r="AN2" s="26">
        <f>现金流量表!AN4</f>
        <v>1499048761.21</v>
      </c>
      <c r="AO2" s="26">
        <f>现金流量表!AO4</f>
        <v>7917732625.4300003</v>
      </c>
      <c r="AP2" s="26">
        <f>现金流量表!AP4</f>
        <v>5994610177.4300003</v>
      </c>
      <c r="AQ2" s="26">
        <f>现金流量表!AQ4</f>
        <v>4130095182.6599998</v>
      </c>
      <c r="AR2" s="26">
        <f>现金流量表!AR4</f>
        <v>2047510718.4400001</v>
      </c>
      <c r="AS2" s="26">
        <f>现金流量表!AS4</f>
        <v>7335829469.46</v>
      </c>
      <c r="AT2" s="26">
        <f>现金流量表!AT4</f>
        <v>5553273326.0799999</v>
      </c>
      <c r="AU2" s="26">
        <f>现金流量表!AU4</f>
        <v>3813688656.3200002</v>
      </c>
      <c r="AV2" s="26">
        <f>现金流量表!AV4</f>
        <v>1782634253.24</v>
      </c>
      <c r="AW2" s="26">
        <f>现金流量表!AW4</f>
        <v>4810550059.7200003</v>
      </c>
      <c r="AX2" s="26">
        <f>现金流量表!AX4</f>
        <v>2728299868.1399999</v>
      </c>
      <c r="AY2" s="26">
        <f>现金流量表!AY4</f>
        <v>1770914472.2</v>
      </c>
      <c r="AZ2" s="26">
        <f>现金流量表!AZ4</f>
        <v>859487502.60000002</v>
      </c>
      <c r="BA2" s="26">
        <f>现金流量表!BA4</f>
        <v>3641613367.5500002</v>
      </c>
      <c r="BB2" s="26">
        <f>现金流量表!BB4</f>
        <v>2681169261.6799998</v>
      </c>
      <c r="BC2" s="26">
        <f>现金流量表!BC4</f>
        <v>1776951105.4400001</v>
      </c>
      <c r="BD2" s="26">
        <f>现金流量表!BD4</f>
        <v>891891020.14999998</v>
      </c>
      <c r="BE2" s="26">
        <f>现金流量表!BE4</f>
        <v>2821179953.75</v>
      </c>
      <c r="BF2" s="26">
        <f>现金流量表!BF4</f>
        <v>2153564310.0500002</v>
      </c>
      <c r="BG2" s="26">
        <f>现金流量表!BG4</f>
        <v>997684692.10000002</v>
      </c>
      <c r="BH2" s="26">
        <f>现金流量表!BH4</f>
        <v>389064917.26999998</v>
      </c>
      <c r="BI2" s="26">
        <f>现金流量表!BI4</f>
        <v>1722832052.1300001</v>
      </c>
      <c r="BJ2" s="26">
        <f>现金流量表!BJ4</f>
        <v>1389915152.3399999</v>
      </c>
      <c r="BK2" s="26">
        <f>现金流量表!BK4</f>
        <v>966320441.49000001</v>
      </c>
      <c r="BL2" s="26">
        <f>现金流量表!BL4</f>
        <v>368532637</v>
      </c>
      <c r="BM2" s="26">
        <f>现金流量表!BM4</f>
        <v>446318238.06</v>
      </c>
      <c r="BN2" s="26">
        <f>现金流量表!BN4</f>
        <v>1493090557.3599999</v>
      </c>
      <c r="BO2" s="26">
        <f>现金流量表!BO4</f>
        <v>2036397352.6300001</v>
      </c>
      <c r="BP2" s="26">
        <f>现金流量表!BP4</f>
        <v>672652137.20000005</v>
      </c>
      <c r="BQ2" s="26">
        <f>现金流量表!BQ4</f>
        <v>1889252803.0599999</v>
      </c>
      <c r="BR2" s="26">
        <f>现金流量表!BR4</f>
        <v>659479451.67999995</v>
      </c>
      <c r="BS2" s="26">
        <f>现金流量表!BS4</f>
        <v>1409412682.5999999</v>
      </c>
      <c r="BT2" s="26">
        <f>现金流量表!BT4</f>
        <v>1026462120.0599999</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31645284235.709999</v>
      </c>
      <c r="F3" s="26">
        <f>利润表!F3</f>
        <v>24205181216.639999</v>
      </c>
      <c r="G3" s="26">
        <f>利润表!G3</f>
        <v>13963103340.84</v>
      </c>
      <c r="H3" s="26">
        <f>利润表!H3</f>
        <v>7630739661.6099997</v>
      </c>
      <c r="I3" s="26">
        <f>利润表!I3</f>
        <v>29270802965.48</v>
      </c>
      <c r="J3" s="26">
        <f>利润表!J3</f>
        <v>22139965801.990002</v>
      </c>
      <c r="K3" s="26">
        <f>利润表!K3</f>
        <v>13138564310.35</v>
      </c>
      <c r="L3" s="26">
        <f>利润表!L3</f>
        <v>6900062535.5799999</v>
      </c>
      <c r="M3" s="26">
        <f>利润表!M3</f>
        <v>31279699772.91</v>
      </c>
      <c r="N3" s="26">
        <f>利润表!N3</f>
        <v>24390224176.689999</v>
      </c>
      <c r="O3" s="26">
        <f>利润表!O3</f>
        <v>14926173663.58</v>
      </c>
      <c r="P3" s="26">
        <f>利润表!P3</f>
        <v>7600001553.6199999</v>
      </c>
      <c r="Q3" s="26">
        <f>利润表!Q3</f>
        <v>32957169192.110001</v>
      </c>
      <c r="R3" s="26">
        <f>利润表!R3</f>
        <v>25532032094.880001</v>
      </c>
      <c r="S3" s="26">
        <f>利润表!S3</f>
        <v>14621681241.700001</v>
      </c>
      <c r="T3" s="26">
        <f>利润表!T3</f>
        <v>7403217065.1400003</v>
      </c>
      <c r="U3" s="26">
        <f>利润表!U3</f>
        <v>28338981085.049999</v>
      </c>
      <c r="V3" s="26">
        <f>利润表!V3</f>
        <v>20434757606.32</v>
      </c>
      <c r="W3" s="26">
        <f>利润表!W3</f>
        <v>12168841172.08</v>
      </c>
      <c r="X3" s="26">
        <f>利润表!X3</f>
        <v>5971110428.3800001</v>
      </c>
      <c r="Y3" s="26">
        <f>利润表!Y3</f>
        <v>23867007746.380001</v>
      </c>
      <c r="Z3" s="26">
        <f>利润表!Z3</f>
        <v>17863621703.299999</v>
      </c>
      <c r="AA3" s="26">
        <f>利润表!AA3</f>
        <v>10926725049.4</v>
      </c>
      <c r="AB3" s="26">
        <f>利润表!AB3</f>
        <v>5253274351.6700001</v>
      </c>
      <c r="AC3" s="26">
        <f>利润表!AC3</f>
        <v>21703539229.470001</v>
      </c>
      <c r="AD3" s="26">
        <f>利润表!AD3</f>
        <v>15921395685.65</v>
      </c>
      <c r="AE3" s="26">
        <f>利润表!AE3</f>
        <v>9608183225.0499992</v>
      </c>
      <c r="AF3" s="26">
        <f>利润表!AF3</f>
        <v>4295912033.9700003</v>
      </c>
      <c r="AG3" s="26">
        <f>利润表!AG3</f>
        <v>15947612024.690001</v>
      </c>
      <c r="AH3" s="26">
        <f>利润表!AH3</f>
        <v>11586634877.459999</v>
      </c>
      <c r="AI3" s="26">
        <f>利润表!AI3</f>
        <v>6940940134.21</v>
      </c>
      <c r="AJ3" s="26">
        <f>利润表!AJ3</f>
        <v>3575394783.4299998</v>
      </c>
      <c r="AK3" s="26">
        <f>利润表!AK3</f>
        <v>11917120466.15</v>
      </c>
      <c r="AL3" s="26">
        <f>利润表!AL3</f>
        <v>4660474238.6400003</v>
      </c>
      <c r="AM3" s="26">
        <f>利润表!AM3</f>
        <v>3199327190.8000002</v>
      </c>
      <c r="AN3" s="26">
        <f>利润表!AN3</f>
        <v>1549689921.1800001</v>
      </c>
      <c r="AO3" s="26">
        <f>利润表!AO3</f>
        <v>6580129765.1800003</v>
      </c>
      <c r="AP3" s="26">
        <f>利润表!AP3</f>
        <v>5120647626.3500004</v>
      </c>
      <c r="AQ3" s="26">
        <f>利润表!AQ3</f>
        <v>3442075295.3600001</v>
      </c>
      <c r="AR3" s="26">
        <f>利润表!AR3</f>
        <v>1788555071.6700001</v>
      </c>
      <c r="AS3" s="26">
        <f>利润表!AS3</f>
        <v>6648986102.8400002</v>
      </c>
      <c r="AT3" s="26">
        <f>利润表!AT3</f>
        <v>4881953554.7200003</v>
      </c>
      <c r="AU3" s="26">
        <f>利润表!AU3</f>
        <v>3425705083.5500002</v>
      </c>
      <c r="AV3" s="26">
        <f>利润表!AV3</f>
        <v>1705403569.95</v>
      </c>
      <c r="AW3" s="26">
        <f>利润表!AW3</f>
        <v>4227175509.7600002</v>
      </c>
      <c r="AX3" s="26">
        <f>利润表!AX3</f>
        <v>2437291662.9000001</v>
      </c>
      <c r="AY3" s="26">
        <f>利润表!AY3</f>
        <v>1568102078.4100001</v>
      </c>
      <c r="AZ3" s="26">
        <f>利润表!AZ3</f>
        <v>747253293.57000005</v>
      </c>
      <c r="BA3" s="26">
        <f>利润表!BA3</f>
        <v>3061950571.9899998</v>
      </c>
      <c r="BB3" s="26">
        <f>利润表!BB3</f>
        <v>2310240992.0599999</v>
      </c>
      <c r="BC3" s="26">
        <f>利润表!BC3</f>
        <v>1518532763.51</v>
      </c>
      <c r="BD3" s="26">
        <f>利润表!BD3</f>
        <v>787854555.02999997</v>
      </c>
      <c r="BE3" s="26">
        <f>利润表!BE3</f>
        <v>2381073436.8699999</v>
      </c>
      <c r="BF3" s="26">
        <f>利润表!BF3</f>
        <v>1674068801.29</v>
      </c>
      <c r="BG3" s="26">
        <f>利润表!BG3</f>
        <v>1055307641.3</v>
      </c>
      <c r="BH3" s="26">
        <f>利润表!BH3</f>
        <v>329092815.69</v>
      </c>
      <c r="BI3" s="26">
        <f>利润表!BI3</f>
        <v>1376678975.97</v>
      </c>
      <c r="BJ3" s="26">
        <f>利润表!BJ3</f>
        <v>1016299162.51</v>
      </c>
      <c r="BK3" s="26">
        <f>利润表!BK3</f>
        <v>673201953.30999994</v>
      </c>
      <c r="BL3" s="26">
        <f>利润表!BL3</f>
        <v>392899732.79000002</v>
      </c>
      <c r="BM3" s="26">
        <f>利润表!BM3</f>
        <v>2537817210.3800001</v>
      </c>
      <c r="BN3" s="26">
        <f>利润表!BN3</f>
        <v>2205060488.2399998</v>
      </c>
      <c r="BO3" s="26">
        <f>利润表!BO3</f>
        <v>1368157879.02</v>
      </c>
      <c r="BP3" s="26">
        <f>利润表!BP3</f>
        <v>611913861.74000001</v>
      </c>
      <c r="BQ3" s="26">
        <f>利润表!BQ3</f>
        <v>1906804197.04</v>
      </c>
      <c r="BR3" s="26">
        <f>利润表!BR3</f>
        <v>646311521.90999997</v>
      </c>
      <c r="BS3" s="26">
        <f>利润表!BS3</f>
        <v>1859356500.49</v>
      </c>
      <c r="BT3" s="26">
        <f>利润表!BT3</f>
        <v>550014975.82000005</v>
      </c>
      <c r="BU3" s="26">
        <f>利润表!BU3</f>
        <v>1314833520.3199999</v>
      </c>
      <c r="BV3" s="26">
        <f>利润表!BV3</f>
        <v>566401020.47000003</v>
      </c>
      <c r="BW3" s="26">
        <f>利润表!BW3</f>
        <v>1219304430.73</v>
      </c>
      <c r="BX3" s="26">
        <f>利润表!BX3</f>
        <v>680008277.72000003</v>
      </c>
      <c r="BY3" s="26">
        <f>利润表!BY3</f>
        <v>1366365770.73</v>
      </c>
      <c r="BZ3" s="26">
        <f>利润表!BZ3</f>
        <v>636201096.05999994</v>
      </c>
      <c r="CA3" s="26">
        <f>利润表!CA3</f>
        <v>628449021.04999995</v>
      </c>
      <c r="CB3" s="26">
        <f>利润表!CB3</f>
        <v>147083008.72</v>
      </c>
      <c r="CC3" s="26">
        <f>利润表!CC3</f>
        <v>213722595.63</v>
      </c>
      <c r="CD3" s="26">
        <f>利润表!CD3</f>
        <v>111235147.11</v>
      </c>
      <c r="CE3" s="26">
        <f>利润表!CE3</f>
        <v>127632015.77</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0.96949336973706834</v>
      </c>
      <c r="F5" s="28">
        <f t="shared" ref="F5:BQ5" si="2">(F2/(1+F4))/F3</f>
        <v>0.92365363566022407</v>
      </c>
      <c r="G5" s="28">
        <f t="shared" si="2"/>
        <v>0.91039719059491309</v>
      </c>
      <c r="H5" s="28">
        <f t="shared" si="2"/>
        <v>0.84845073707220942</v>
      </c>
      <c r="I5" s="28">
        <f t="shared" si="2"/>
        <v>0.9820352789381479</v>
      </c>
      <c r="J5" s="28">
        <f t="shared" si="2"/>
        <v>0.90212985731219664</v>
      </c>
      <c r="K5" s="28">
        <f t="shared" si="2"/>
        <v>0.87610680238575511</v>
      </c>
      <c r="L5" s="28">
        <f t="shared" si="2"/>
        <v>0.79271477525609479</v>
      </c>
      <c r="M5" s="28">
        <f t="shared" si="2"/>
        <v>0.99645962175093117</v>
      </c>
      <c r="N5" s="28">
        <f t="shared" si="2"/>
        <v>0.94307443392532064</v>
      </c>
      <c r="O5" s="28">
        <f t="shared" si="2"/>
        <v>0.93769209950391641</v>
      </c>
      <c r="P5" s="28">
        <f t="shared" si="2"/>
        <v>0.91059962891034862</v>
      </c>
      <c r="Q5" s="28">
        <f t="shared" si="2"/>
        <v>0.98324227471649628</v>
      </c>
      <c r="R5" s="28">
        <f t="shared" si="2"/>
        <v>0.92829576653519963</v>
      </c>
      <c r="S5" s="28">
        <f t="shared" si="2"/>
        <v>0.93597000862792501</v>
      </c>
      <c r="T5" s="28">
        <f t="shared" si="2"/>
        <v>0.92653015238280956</v>
      </c>
      <c r="U5" s="28">
        <f t="shared" si="2"/>
        <v>0.9680223900233913</v>
      </c>
      <c r="V5" s="28">
        <f t="shared" si="2"/>
        <v>0.93599076525978209</v>
      </c>
      <c r="W5" s="28">
        <f t="shared" si="2"/>
        <v>0.97663265717668801</v>
      </c>
      <c r="X5" s="28">
        <f t="shared" si="2"/>
        <v>1.006410523806375</v>
      </c>
      <c r="Y5" s="28">
        <f t="shared" si="2"/>
        <v>0.97231467668961846</v>
      </c>
      <c r="Z5" s="28">
        <f t="shared" si="2"/>
        <v>0.96888028078574273</v>
      </c>
      <c r="AA5" s="28">
        <f t="shared" si="2"/>
        <v>0.95558524806917178</v>
      </c>
      <c r="AB5" s="28">
        <f t="shared" si="2"/>
        <v>0.96730972297566231</v>
      </c>
      <c r="AC5" s="28">
        <f t="shared" si="2"/>
        <v>0.98155224301819466</v>
      </c>
      <c r="AD5" s="28">
        <f t="shared" si="2"/>
        <v>0.98720704048238117</v>
      </c>
      <c r="AE5" s="28">
        <f t="shared" si="2"/>
        <v>1.0167201158529704</v>
      </c>
      <c r="AF5" s="28">
        <f t="shared" si="2"/>
        <v>1.1629449934694556</v>
      </c>
      <c r="AG5" s="28">
        <f t="shared" si="2"/>
        <v>0.96606992145061144</v>
      </c>
      <c r="AH5" s="28">
        <f t="shared" si="2"/>
        <v>0.96452732837947663</v>
      </c>
      <c r="AI5" s="28">
        <f t="shared" si="2"/>
        <v>0.99612160944939954</v>
      </c>
      <c r="AJ5" s="28">
        <f t="shared" si="2"/>
        <v>1.0114956011350595</v>
      </c>
      <c r="AK5" s="28">
        <f t="shared" si="2"/>
        <v>0.92942103795800002</v>
      </c>
      <c r="AL5" s="28">
        <f t="shared" si="2"/>
        <v>0.91812824064979559</v>
      </c>
      <c r="AM5" s="28">
        <f t="shared" si="2"/>
        <v>0.8972699234394943</v>
      </c>
      <c r="AN5" s="28">
        <f t="shared" si="2"/>
        <v>0.82677072357085157</v>
      </c>
      <c r="AO5" s="28">
        <f t="shared" si="2"/>
        <v>1.0284436756944022</v>
      </c>
      <c r="AP5" s="28">
        <f t="shared" si="2"/>
        <v>1.0005762583394098</v>
      </c>
      <c r="AQ5" s="28">
        <f t="shared" si="2"/>
        <v>1.0255429006372707</v>
      </c>
      <c r="AR5" s="28">
        <f t="shared" si="2"/>
        <v>0.97844857493027604</v>
      </c>
      <c r="AS5" s="28">
        <f t="shared" si="2"/>
        <v>0.94299185176655476</v>
      </c>
      <c r="AT5" s="28">
        <f t="shared" si="2"/>
        <v>0.9722311785615213</v>
      </c>
      <c r="AU5" s="28">
        <f t="shared" si="2"/>
        <v>0.95150133319177277</v>
      </c>
      <c r="AV5" s="28">
        <f t="shared" si="2"/>
        <v>0.89340672595631909</v>
      </c>
      <c r="AW5" s="28">
        <f t="shared" si="2"/>
        <v>0.97265449190146558</v>
      </c>
      <c r="AX5" s="28">
        <f t="shared" si="2"/>
        <v>0.9567505870039823</v>
      </c>
      <c r="AY5" s="28">
        <f t="shared" si="2"/>
        <v>0.96524463160344254</v>
      </c>
      <c r="AZ5" s="28">
        <f t="shared" si="2"/>
        <v>0.98307322215650828</v>
      </c>
      <c r="BA5" s="28">
        <f t="shared" si="2"/>
        <v>1.0165056504201493</v>
      </c>
      <c r="BB5" s="28">
        <f t="shared" si="2"/>
        <v>0.99193013518134288</v>
      </c>
      <c r="BC5" s="28">
        <f t="shared" si="2"/>
        <v>1.0001507146086646</v>
      </c>
      <c r="BD5" s="28">
        <f t="shared" si="2"/>
        <v>0.96756439669653915</v>
      </c>
      <c r="BE5" s="28">
        <f t="shared" si="2"/>
        <v>1.0126797772792471</v>
      </c>
      <c r="BF5" s="28">
        <f t="shared" si="2"/>
        <v>1.0995087269021593</v>
      </c>
      <c r="BG5" s="28">
        <f t="shared" si="2"/>
        <v>0.80803163522002741</v>
      </c>
      <c r="BH5" s="28">
        <f t="shared" si="2"/>
        <v>1.0104569333352691</v>
      </c>
      <c r="BI5" s="28">
        <f t="shared" si="2"/>
        <v>1.069607405331384</v>
      </c>
      <c r="BJ5" s="28">
        <f t="shared" si="2"/>
        <v>1.1689094240053333</v>
      </c>
      <c r="BK5" s="28">
        <f t="shared" si="2"/>
        <v>1.2268456786192483</v>
      </c>
      <c r="BL5" s="28">
        <f t="shared" si="2"/>
        <v>0.80169349465405582</v>
      </c>
      <c r="BM5" s="28">
        <f t="shared" si="2"/>
        <v>0.15031365457614748</v>
      </c>
      <c r="BN5" s="28">
        <f t="shared" si="2"/>
        <v>0.57873504256563113</v>
      </c>
      <c r="BO5" s="28">
        <f t="shared" si="2"/>
        <v>1.2721562215101463</v>
      </c>
      <c r="BP5" s="28">
        <f t="shared" si="2"/>
        <v>0.93953805025171422</v>
      </c>
      <c r="BQ5" s="28">
        <f t="shared" si="2"/>
        <v>0.8468336644255321</v>
      </c>
      <c r="BR5" s="28">
        <f t="shared" ref="BR5:CL5" si="3">(BR2/(1+BR4))/BR3</f>
        <v>0.87211450190893747</v>
      </c>
      <c r="BS5" s="28">
        <f t="shared" si="3"/>
        <v>0.64787265063315547</v>
      </c>
      <c r="BT5" s="28">
        <f t="shared" si="3"/>
        <v>1.5950802976325644</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10574279451.389999</v>
      </c>
      <c r="F6" s="26">
        <f>现金流量表!F8</f>
        <v>7315149879.5699997</v>
      </c>
      <c r="G6" s="26">
        <f>现金流量表!G8</f>
        <v>4572569604.96</v>
      </c>
      <c r="H6" s="26">
        <f>现金流量表!H8</f>
        <v>2401489249.1799998</v>
      </c>
      <c r="I6" s="26">
        <f>现金流量表!I8</f>
        <v>7502057720.7700005</v>
      </c>
      <c r="J6" s="26">
        <f>现金流量表!J8</f>
        <v>4892154761.29</v>
      </c>
      <c r="K6" s="26">
        <f>现金流量表!K8</f>
        <v>2782454465.98</v>
      </c>
      <c r="L6" s="26">
        <f>现金流量表!L8</f>
        <v>1186027638.76</v>
      </c>
      <c r="M6" s="26">
        <f>现金流量表!M8</f>
        <v>7110463570.6099997</v>
      </c>
      <c r="N6" s="26">
        <f>现金流量表!N8</f>
        <v>5480510079.2700005</v>
      </c>
      <c r="O6" s="26">
        <f>现金流量表!O8</f>
        <v>3600912519.6199999</v>
      </c>
      <c r="P6" s="26">
        <f>现金流量表!P8</f>
        <v>1710967110.49</v>
      </c>
      <c r="Q6" s="26">
        <f>现金流量表!Q8</f>
        <v>9967188517.8600006</v>
      </c>
      <c r="R6" s="26">
        <f>现金流量表!R8</f>
        <v>7642952842.9499998</v>
      </c>
      <c r="S6" s="26">
        <f>现金流量表!S8</f>
        <v>5218404450.1700001</v>
      </c>
      <c r="T6" s="26">
        <f>现金流量表!T8</f>
        <v>2701153785.3499999</v>
      </c>
      <c r="U6" s="26">
        <f>现金流量表!U8</f>
        <v>11845518663.91</v>
      </c>
      <c r="V6" s="26">
        <f>现金流量表!V8</f>
        <v>8438685654.8199997</v>
      </c>
      <c r="W6" s="26">
        <f>现金流量表!W8</f>
        <v>5833490428.1700001</v>
      </c>
      <c r="X6" s="26">
        <f>现金流量表!X8</f>
        <v>3079089562.5700002</v>
      </c>
      <c r="Y6" s="26">
        <f>现金流量表!Y8</f>
        <v>14909787995.469999</v>
      </c>
      <c r="Z6" s="26">
        <f>现金流量表!Z8</f>
        <v>11350679626.74</v>
      </c>
      <c r="AA6" s="26">
        <f>现金流量表!AA8</f>
        <v>7174806182.3299999</v>
      </c>
      <c r="AB6" s="26">
        <f>现金流量表!AB8</f>
        <v>3520755765.4400001</v>
      </c>
      <c r="AC6" s="26">
        <f>现金流量表!AC8</f>
        <v>16435436517.879999</v>
      </c>
      <c r="AD6" s="26">
        <f>现金流量表!AD8</f>
        <v>11575220785.940001</v>
      </c>
      <c r="AE6" s="26">
        <f>现金流量表!AE8</f>
        <v>7114476338.0900002</v>
      </c>
      <c r="AF6" s="26">
        <f>现金流量表!AF8</f>
        <v>3196518237.3400002</v>
      </c>
      <c r="AG6" s="26">
        <f>现金流量表!AG8</f>
        <v>9922554318.0100002</v>
      </c>
      <c r="AH6" s="26">
        <f>现金流量表!AH8</f>
        <v>7241412281.1099997</v>
      </c>
      <c r="AI6" s="26">
        <f>现金流量表!AI8</f>
        <v>4524374485.4099998</v>
      </c>
      <c r="AJ6" s="26">
        <f>现金流量表!AJ8</f>
        <v>1972320001.52</v>
      </c>
      <c r="AK6" s="26">
        <f>现金流量表!AK8</f>
        <v>5100052203.7799997</v>
      </c>
      <c r="AL6" s="26">
        <f>现金流量表!AL8</f>
        <v>2436090294.9000001</v>
      </c>
      <c r="AM6" s="26">
        <f>现金流量表!AM8</f>
        <v>1515242107.6099999</v>
      </c>
      <c r="AN6" s="26">
        <f>现金流量表!AN8</f>
        <v>677115731.11000001</v>
      </c>
      <c r="AO6" s="26">
        <f>现金流量表!AO8</f>
        <v>5028825427.9799995</v>
      </c>
      <c r="AP6" s="26">
        <f>现金流量表!AP8</f>
        <v>3814980352.8400002</v>
      </c>
      <c r="AQ6" s="26">
        <f>现金流量表!AQ8</f>
        <v>2641017825.0799999</v>
      </c>
      <c r="AR6" s="26">
        <f>现金流量表!AR8</f>
        <v>1332512503.1400001</v>
      </c>
      <c r="AS6" s="26">
        <f>现金流量表!AS8</f>
        <v>3611279318.3000002</v>
      </c>
      <c r="AT6" s="26">
        <f>现金流量表!AT8</f>
        <v>2580605219.4699998</v>
      </c>
      <c r="AU6" s="26">
        <f>现金流量表!AU8</f>
        <v>1667440520.8599999</v>
      </c>
      <c r="AV6" s="26">
        <f>现金流量表!AV8</f>
        <v>813047734.16999996</v>
      </c>
      <c r="AW6" s="26">
        <f>现金流量表!AW8</f>
        <v>2197233028.0900002</v>
      </c>
      <c r="AX6" s="26">
        <f>现金流量表!AX8</f>
        <v>1220638138.27</v>
      </c>
      <c r="AY6" s="26">
        <f>现金流量表!AY8</f>
        <v>834997873.44000006</v>
      </c>
      <c r="AZ6" s="26">
        <f>现金流量表!AZ8</f>
        <v>384705802.52999997</v>
      </c>
      <c r="BA6" s="26">
        <f>现金流量表!BA8</f>
        <v>1542300079.0999999</v>
      </c>
      <c r="BB6" s="26">
        <f>现金流量表!BB8</f>
        <v>1022549707.51</v>
      </c>
      <c r="BC6" s="26">
        <f>现金流量表!BC8</f>
        <v>595697130.45000005</v>
      </c>
      <c r="BD6" s="26">
        <f>现金流量表!BD8</f>
        <v>287352511.75</v>
      </c>
      <c r="BE6" s="26">
        <f>现金流量表!BE8</f>
        <v>1137578826.97</v>
      </c>
      <c r="BF6" s="26">
        <f>现金流量表!BF8</f>
        <v>672745334.73000002</v>
      </c>
      <c r="BG6" s="26">
        <f>现金流量表!BG8</f>
        <v>364219656.5</v>
      </c>
      <c r="BH6" s="26">
        <f>现金流量表!BH8</f>
        <v>129012306.22</v>
      </c>
      <c r="BI6" s="26">
        <f>现金流量表!BI8</f>
        <v>543040161.25</v>
      </c>
      <c r="BJ6" s="26">
        <f>现金流量表!BJ8</f>
        <v>387079326.68000001</v>
      </c>
      <c r="BK6" s="26">
        <f>现金流量表!BK8</f>
        <v>215126481.19999999</v>
      </c>
      <c r="BL6" s="26">
        <f>现金流量表!BL8</f>
        <v>87772736.049999997</v>
      </c>
      <c r="BM6" s="26">
        <f>现金流量表!BM8</f>
        <v>129031839.16</v>
      </c>
      <c r="BN6" s="26">
        <f>现金流量表!BN8</f>
        <v>1374898695.05</v>
      </c>
      <c r="BO6" s="26">
        <f>现金流量表!BO8</f>
        <v>1866440927.53</v>
      </c>
      <c r="BP6" s="26">
        <f>现金流量表!BP8</f>
        <v>650051963.75</v>
      </c>
      <c r="BQ6" s="26">
        <f>现金流量表!BQ8</f>
        <v>1490948818.3199999</v>
      </c>
      <c r="BR6" s="26">
        <f>现金流量表!BR8</f>
        <v>465972996.25999999</v>
      </c>
      <c r="BS6" s="26">
        <f>现金流量表!BS8</f>
        <v>1212222157.1700001</v>
      </c>
      <c r="BT6" s="26">
        <f>现金流量表!BT8</f>
        <v>886517940.51999998</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2036606669.1800001</v>
      </c>
      <c r="F7" s="26">
        <f>现金流量表!F9</f>
        <v>1338058118.9200001</v>
      </c>
      <c r="G7" s="26">
        <f>现金流量表!G9</f>
        <v>925734374.88999999</v>
      </c>
      <c r="H7" s="26">
        <f>现金流量表!H9</f>
        <v>538106289.23000002</v>
      </c>
      <c r="I7" s="26">
        <f>现金流量表!I9</f>
        <v>1856940995.4100001</v>
      </c>
      <c r="J7" s="26">
        <f>现金流量表!J9</f>
        <v>1264461213.3800001</v>
      </c>
      <c r="K7" s="26">
        <f>现金流量表!K9</f>
        <v>857860339.19000006</v>
      </c>
      <c r="L7" s="26">
        <f>现金流量表!L9</f>
        <v>473339506.51999998</v>
      </c>
      <c r="M7" s="26">
        <f>现金流量表!M9</f>
        <v>1709985983.6500001</v>
      </c>
      <c r="N7" s="26">
        <f>现金流量表!N9</f>
        <v>1157273962.45</v>
      </c>
      <c r="O7" s="26">
        <f>现金流量表!O9</f>
        <v>801199379.54999995</v>
      </c>
      <c r="P7" s="26">
        <f>现金流量表!P9</f>
        <v>447336243.81</v>
      </c>
      <c r="Q7" s="26">
        <f>现金流量表!Q9</f>
        <v>1548493103.6300001</v>
      </c>
      <c r="R7" s="26">
        <f>现金流量表!R9</f>
        <v>1081326262.8099999</v>
      </c>
      <c r="S7" s="26">
        <f>现金流量表!S9</f>
        <v>766390143.08000004</v>
      </c>
      <c r="T7" s="26">
        <f>现金流量表!T9</f>
        <v>412984988.94999999</v>
      </c>
      <c r="U7" s="26">
        <f>现金流量表!U9</f>
        <v>1363433940.24</v>
      </c>
      <c r="V7" s="26">
        <f>现金流量表!V9</f>
        <v>974427330.69000006</v>
      </c>
      <c r="W7" s="26">
        <f>现金流量表!W9</f>
        <v>656410397.34000003</v>
      </c>
      <c r="X7" s="26">
        <f>现金流量表!X9</f>
        <v>337634595.44</v>
      </c>
      <c r="Y7" s="26">
        <f>现金流量表!Y9</f>
        <v>1114492958.72</v>
      </c>
      <c r="Z7" s="26">
        <f>现金流量表!Z9</f>
        <v>800260522.62</v>
      </c>
      <c r="AA7" s="26">
        <f>现金流量表!AA9</f>
        <v>507331600.81</v>
      </c>
      <c r="AB7" s="26">
        <f>现金流量表!AB9</f>
        <v>251427502.02000001</v>
      </c>
      <c r="AC7" s="26">
        <f>现金流量表!AC9</f>
        <v>920802364.52999997</v>
      </c>
      <c r="AD7" s="26">
        <f>现金流量表!AD9</f>
        <v>667491666.55999994</v>
      </c>
      <c r="AE7" s="26">
        <f>现金流量表!AE9</f>
        <v>438943038.10000002</v>
      </c>
      <c r="AF7" s="26">
        <f>现金流量表!AF9</f>
        <v>214091288.75</v>
      </c>
      <c r="AG7" s="26">
        <f>现金流量表!AG9</f>
        <v>788637464.91999996</v>
      </c>
      <c r="AH7" s="26">
        <f>现金流量表!AH9</f>
        <v>535773578.48000002</v>
      </c>
      <c r="AI7" s="26">
        <f>现金流量表!AI9</f>
        <v>370261067.88999999</v>
      </c>
      <c r="AJ7" s="26">
        <f>现金流量表!AJ9</f>
        <v>189131569.63</v>
      </c>
      <c r="AK7" s="26">
        <f>现金流量表!AK9</f>
        <v>746579699.59000003</v>
      </c>
      <c r="AL7" s="26">
        <f>现金流量表!AL9</f>
        <v>294514114.75</v>
      </c>
      <c r="AM7" s="26">
        <f>现金流量表!AM9</f>
        <v>190526582.49000001</v>
      </c>
      <c r="AN7" s="26">
        <f>现金流量表!AN9</f>
        <v>76272440.840000004</v>
      </c>
      <c r="AO7" s="26">
        <f>现金流量表!AO9</f>
        <v>398510277.18000001</v>
      </c>
      <c r="AP7" s="26">
        <f>现金流量表!AP9</f>
        <v>271898365.67000002</v>
      </c>
      <c r="AQ7" s="26">
        <f>现金流量表!AQ9</f>
        <v>185364626.53999999</v>
      </c>
      <c r="AR7" s="26">
        <f>现金流量表!AR9</f>
        <v>75108142.620000005</v>
      </c>
      <c r="AS7" s="26">
        <f>现金流量表!AS9</f>
        <v>343813770.61000001</v>
      </c>
      <c r="AT7" s="26">
        <f>现金流量表!AT9</f>
        <v>238027161.27000001</v>
      </c>
      <c r="AU7" s="26">
        <f>现金流量表!AU9</f>
        <v>153036221.56</v>
      </c>
      <c r="AV7" s="26">
        <f>现金流量表!AV9</f>
        <v>62970496.240000002</v>
      </c>
      <c r="AW7" s="26">
        <f>现金流量表!AW9</f>
        <v>242235683.71000001</v>
      </c>
      <c r="AX7" s="26">
        <f>现金流量表!AX9</f>
        <v>152858790.86000001</v>
      </c>
      <c r="AY7" s="26">
        <f>现金流量表!AY9</f>
        <v>99956775.349999994</v>
      </c>
      <c r="AZ7" s="26">
        <f>现金流量表!AZ9</f>
        <v>40664397.579999998</v>
      </c>
      <c r="BA7" s="26">
        <f>现金流量表!BA9</f>
        <v>194589248.75999999</v>
      </c>
      <c r="BB7" s="26">
        <f>现金流量表!BB9</f>
        <v>146681966.99000001</v>
      </c>
      <c r="BC7" s="26">
        <f>现金流量表!BC9</f>
        <v>92984006.019999996</v>
      </c>
      <c r="BD7" s="26">
        <f>现金流量表!BD9</f>
        <v>46157383.549999997</v>
      </c>
      <c r="BE7" s="26">
        <f>现金流量表!BE9</f>
        <v>181638872.97999999</v>
      </c>
      <c r="BF7" s="26">
        <f>现金流量表!BF9</f>
        <v>104275903.09</v>
      </c>
      <c r="BG7" s="26">
        <f>现金流量表!BG9</f>
        <v>59305414.890000001</v>
      </c>
      <c r="BH7" s="26">
        <f>现金流量表!BH9</f>
        <v>21814548.25</v>
      </c>
      <c r="BI7" s="26">
        <f>现金流量表!BI9</f>
        <v>110107439.56999999</v>
      </c>
      <c r="BJ7" s="26">
        <f>现金流量表!BJ9</f>
        <v>62541764</v>
      </c>
      <c r="BK7" s="26">
        <f>现金流量表!BK9</f>
        <v>39192408.75</v>
      </c>
      <c r="BL7" s="26">
        <f>现金流量表!BL9</f>
        <v>19904764.350000001</v>
      </c>
      <c r="BM7" s="26">
        <f>现金流量表!BM9</f>
        <v>29019690.199999999</v>
      </c>
      <c r="BN7" s="26">
        <f>现金流量表!BN9</f>
        <v>7539023.6600000001</v>
      </c>
      <c r="BO7" s="26">
        <f>现金流量表!BO9</f>
        <v>35146344.859999999</v>
      </c>
      <c r="BP7" s="26">
        <f>现金流量表!BP9</f>
        <v>11770817.16</v>
      </c>
      <c r="BQ7" s="26">
        <f>现金流量表!BQ9</f>
        <v>31620869.280000001</v>
      </c>
      <c r="BR7" s="26">
        <f>现金流量表!BR9</f>
        <v>16856636.609999999</v>
      </c>
      <c r="BS7" s="26">
        <f>现金流量表!BS9</f>
        <v>22453539.030000001</v>
      </c>
      <c r="BT7" s="26">
        <f>现金流量表!BT9</f>
        <v>11808694.560000001</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18802813425.34</v>
      </c>
      <c r="F8" s="58">
        <f>利润表!F6</f>
        <v>13690954012.040001</v>
      </c>
      <c r="G8" s="58">
        <f>利润表!G6</f>
        <v>8330800141.5900002</v>
      </c>
      <c r="H8" s="58">
        <f>利润表!H6</f>
        <v>4208437604.4899998</v>
      </c>
      <c r="I8" s="58">
        <f>利润表!I6</f>
        <v>15100628531.34</v>
      </c>
      <c r="J8" s="58">
        <f>利润表!J6</f>
        <v>10443343469.48</v>
      </c>
      <c r="K8" s="58">
        <f>利润表!K6</f>
        <v>6485138772.5900002</v>
      </c>
      <c r="L8" s="58">
        <f>利润表!L6</f>
        <v>3172250522.6900001</v>
      </c>
      <c r="M8" s="58">
        <f>利润表!M6</f>
        <v>14949958764.77</v>
      </c>
      <c r="N8" s="58">
        <f>利润表!N6</f>
        <v>11178937332.32</v>
      </c>
      <c r="O8" s="58">
        <f>利润表!O6</f>
        <v>7241149269.9300003</v>
      </c>
      <c r="P8" s="58">
        <f>利润表!P6</f>
        <v>3642925936.1799998</v>
      </c>
      <c r="Q8" s="58">
        <f>利润表!Q6</f>
        <v>16240284880.75</v>
      </c>
      <c r="R8" s="58">
        <f>利润表!R6</f>
        <v>12182874957.18</v>
      </c>
      <c r="S8" s="58">
        <f>利润表!S6</f>
        <v>8097015162.4899998</v>
      </c>
      <c r="T8" s="58">
        <f>利润表!T6</f>
        <v>4161028247.8099999</v>
      </c>
      <c r="U8" s="58">
        <f>利润表!U6</f>
        <v>16859390927.969999</v>
      </c>
      <c r="V8" s="58">
        <f>利润表!V6</f>
        <v>12293285761.549999</v>
      </c>
      <c r="W8" s="58">
        <f>利润表!W6</f>
        <v>7806688265.9200001</v>
      </c>
      <c r="X8" s="58">
        <f>利润表!X6</f>
        <v>4048177909.9299998</v>
      </c>
      <c r="Y8" s="58">
        <f>利润表!Y6</f>
        <v>17830993366.959999</v>
      </c>
      <c r="Z8" s="58">
        <f>利润表!Z6</f>
        <v>13663961377.280001</v>
      </c>
      <c r="AA8" s="58">
        <f>利润表!AA6</f>
        <v>9097131116.4599991</v>
      </c>
      <c r="AB8" s="58">
        <f>利润表!AB6</f>
        <v>4561320252.3599997</v>
      </c>
      <c r="AC8" s="58">
        <f>利润表!AC6</f>
        <v>18002874363.049999</v>
      </c>
      <c r="AD8" s="58">
        <f>利润表!AD6</f>
        <v>12938008188.41</v>
      </c>
      <c r="AE8" s="58">
        <f>利润表!AE6</f>
        <v>7966739319.9899998</v>
      </c>
      <c r="AF8" s="58">
        <f>利润表!AF6</f>
        <v>3577707490.21</v>
      </c>
      <c r="AG8" s="58">
        <f>利润表!AG6</f>
        <v>12300709001.91</v>
      </c>
      <c r="AH8" s="58">
        <f>利润表!AH6</f>
        <v>8906901739.5</v>
      </c>
      <c r="AI8" s="58">
        <f>利润表!AI6</f>
        <v>5643134194.8599997</v>
      </c>
      <c r="AJ8" s="58">
        <f>利润表!AJ6</f>
        <v>2944113800.1700001</v>
      </c>
      <c r="AK8" s="58">
        <f>利润表!AK6</f>
        <v>8568720773.4099998</v>
      </c>
      <c r="AL8" s="58">
        <f>利润表!AL6</f>
        <v>3822773428.0999999</v>
      </c>
      <c r="AM8" s="58">
        <f>利润表!AM6</f>
        <v>2647537533.5799999</v>
      </c>
      <c r="AN8" s="58">
        <f>利润表!AN6</f>
        <v>1294470262.1900001</v>
      </c>
      <c r="AO8" s="58">
        <f>利润表!AO6</f>
        <v>5486677458.1899996</v>
      </c>
      <c r="AP8" s="58">
        <f>利润表!AP6</f>
        <v>4308634971.3900003</v>
      </c>
      <c r="AQ8" s="58">
        <f>利润表!AQ6</f>
        <v>2872327200.3299999</v>
      </c>
      <c r="AR8" s="58">
        <f>利润表!AR6</f>
        <v>1506918222.01</v>
      </c>
      <c r="AS8" s="58">
        <f>利润表!AS6</f>
        <v>4953622605.0600004</v>
      </c>
      <c r="AT8" s="58">
        <f>利润表!AT6</f>
        <v>3601428728.6300001</v>
      </c>
      <c r="AU8" s="58">
        <f>利润表!AU6</f>
        <v>2501947941.9200001</v>
      </c>
      <c r="AV8" s="58">
        <f>利润表!AV6</f>
        <v>1239653308.54</v>
      </c>
      <c r="AW8" s="58">
        <f>利润表!AW6</f>
        <v>2991212940.29</v>
      </c>
      <c r="AX8" s="58">
        <f>利润表!AX6</f>
        <v>1689003184.6900001</v>
      </c>
      <c r="AY8" s="58">
        <f>利润表!AY6</f>
        <v>1082311276.6800001</v>
      </c>
      <c r="AZ8" s="58">
        <f>利润表!AZ6</f>
        <v>536888369.50999999</v>
      </c>
      <c r="BA8" s="58">
        <f>利润表!BA6</f>
        <v>2064789244.8</v>
      </c>
      <c r="BB8" s="58">
        <f>利润表!BB6</f>
        <v>1490826430.03</v>
      </c>
      <c r="BC8" s="58">
        <f>利润表!BC6</f>
        <v>968579495.03999996</v>
      </c>
      <c r="BD8" s="58">
        <f>利润表!BD6</f>
        <v>489318458.95999998</v>
      </c>
      <c r="BE8" s="58">
        <f>利润表!BE6</f>
        <v>1522572226.01</v>
      </c>
      <c r="BF8" s="58">
        <f>利润表!BF6</f>
        <v>1065345430.78</v>
      </c>
      <c r="BG8" s="58">
        <f>利润表!BG6</f>
        <v>640497710.48000002</v>
      </c>
      <c r="BH8" s="58">
        <f>利润表!BH6</f>
        <v>203124328.44999999</v>
      </c>
      <c r="BI8" s="58">
        <f>利润表!BI6</f>
        <v>849294022.29999995</v>
      </c>
      <c r="BJ8" s="58">
        <f>利润表!BJ6</f>
        <v>676222967.48000002</v>
      </c>
      <c r="BK8" s="58">
        <f>利润表!BK6</f>
        <v>448882387.26999998</v>
      </c>
      <c r="BL8" s="58">
        <f>利润表!BL6</f>
        <v>279809126.81999999</v>
      </c>
      <c r="BM8" s="58">
        <f>利润表!BM6</f>
        <v>2278457773.3299999</v>
      </c>
      <c r="BN8" s="58">
        <f>利润表!BN6</f>
        <v>2078550105.47</v>
      </c>
      <c r="BO8" s="58">
        <f>利润表!BO6</f>
        <v>1299132380.52</v>
      </c>
      <c r="BP8" s="58">
        <f>利润表!BP6</f>
        <v>588287981.12</v>
      </c>
      <c r="BQ8" s="58">
        <f>利润表!BQ6</f>
        <v>1790471263.3099999</v>
      </c>
      <c r="BR8" s="58">
        <f>利润表!BR6</f>
        <v>587842039.77999997</v>
      </c>
      <c r="BS8" s="58">
        <f>利润表!BS6</f>
        <v>1686826469.3299999</v>
      </c>
      <c r="BT8" s="58">
        <f>利润表!BT6</f>
        <v>537892038.76999998</v>
      </c>
      <c r="BU8" s="58">
        <f>利润表!BU6</f>
        <v>1262408535.9200001</v>
      </c>
      <c r="BV8" s="58">
        <f>利润表!BV6</f>
        <v>593242180.36000001</v>
      </c>
      <c r="BW8" s="58">
        <f>利润表!BW6</f>
        <v>974972031.59000003</v>
      </c>
      <c r="BX8" s="58">
        <f>利润表!BX6</f>
        <v>469798419.18000001</v>
      </c>
      <c r="BY8" s="58">
        <f>利润表!BY6</f>
        <v>1184676713.98</v>
      </c>
      <c r="BZ8" s="58">
        <f>利润表!BZ6</f>
        <v>0</v>
      </c>
      <c r="CA8" s="58">
        <f>利润表!CA6</f>
        <v>448903262.67000002</v>
      </c>
      <c r="CB8" s="58">
        <f>利润表!CB6</f>
        <v>0</v>
      </c>
      <c r="CC8" s="58">
        <f>利润表!CC6</f>
        <v>107296083.95</v>
      </c>
      <c r="CD8" s="58">
        <f>利润表!CD6</f>
        <v>0</v>
      </c>
      <c r="CE8" s="58">
        <f>利润表!CE6</f>
        <v>68411425.040000007</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563632265.88</v>
      </c>
      <c r="F9" s="58">
        <f>利润表!F7</f>
        <v>419065660.93000001</v>
      </c>
      <c r="G9" s="58">
        <f>利润表!G7</f>
        <v>268221427.03</v>
      </c>
      <c r="H9" s="58">
        <f>利润表!H7</f>
        <v>139645399.47999999</v>
      </c>
      <c r="I9" s="58">
        <f>利润表!I7</f>
        <v>457552305.98000002</v>
      </c>
      <c r="J9" s="58">
        <f>利润表!J7</f>
        <v>310049176.24000001</v>
      </c>
      <c r="K9" s="58">
        <f>利润表!K7</f>
        <v>187390171.59</v>
      </c>
      <c r="L9" s="58">
        <f>利润表!L7</f>
        <v>108006382.68000001</v>
      </c>
      <c r="M9" s="58">
        <f>利润表!M7</f>
        <v>477811121.38999999</v>
      </c>
      <c r="N9" s="58">
        <f>利润表!N7</f>
        <v>382638589.73000002</v>
      </c>
      <c r="O9" s="58">
        <f>利润表!O7</f>
        <v>228206532.72</v>
      </c>
      <c r="P9" s="58">
        <f>利润表!P7</f>
        <v>116267597.44</v>
      </c>
      <c r="Q9" s="58">
        <f>利润表!Q7</f>
        <v>435828042.25</v>
      </c>
      <c r="R9" s="58">
        <f>利润表!R7</f>
        <v>328987671.73000002</v>
      </c>
      <c r="S9" s="58">
        <f>利润表!S7</f>
        <v>170759759.09</v>
      </c>
      <c r="T9" s="58">
        <f>利润表!T7</f>
        <v>89320225.640000001</v>
      </c>
      <c r="U9" s="58">
        <f>利润表!U7</f>
        <v>275451532.95999998</v>
      </c>
      <c r="V9" s="58">
        <f>利润表!V7</f>
        <v>204351367.24000001</v>
      </c>
      <c r="W9" s="58">
        <f>利润表!W7</f>
        <v>98718272.170000002</v>
      </c>
      <c r="X9" s="58">
        <f>利润表!X7</f>
        <v>46405928.890000001</v>
      </c>
      <c r="Y9" s="58">
        <f>利润表!Y7</f>
        <v>195450929.24000001</v>
      </c>
      <c r="Z9" s="58">
        <f>利润表!Z7</f>
        <v>130711364.63</v>
      </c>
      <c r="AA9" s="58">
        <f>利润表!AA7</f>
        <v>71452206.560000002</v>
      </c>
      <c r="AB9" s="58">
        <f>利润表!AB7</f>
        <v>31511762.120000001</v>
      </c>
      <c r="AC9" s="58">
        <f>利润表!AC7</f>
        <v>143245951.97</v>
      </c>
      <c r="AD9" s="58">
        <f>利润表!AD7</f>
        <v>113793938.73999999</v>
      </c>
      <c r="AE9" s="58">
        <f>利润表!AE7</f>
        <v>65402651.609999999</v>
      </c>
      <c r="AF9" s="58">
        <f>利润表!AF7</f>
        <v>27549512.530000001</v>
      </c>
      <c r="AG9" s="58">
        <f>利润表!AG7</f>
        <v>122161669.63</v>
      </c>
      <c r="AH9" s="58">
        <f>利润表!AH7</f>
        <v>88387121.469999999</v>
      </c>
      <c r="AI9" s="58">
        <f>利润表!AI7</f>
        <v>42257616.039999999</v>
      </c>
      <c r="AJ9" s="58">
        <f>利润表!AJ7</f>
        <v>20950309.27</v>
      </c>
      <c r="AK9" s="58">
        <f>利润表!AK7</f>
        <v>105974818.13</v>
      </c>
      <c r="AL9" s="58">
        <f>利润表!AL7</f>
        <v>22852516.710000001</v>
      </c>
      <c r="AM9" s="58">
        <f>利润表!AM7</f>
        <v>14196169.82</v>
      </c>
      <c r="AN9" s="58">
        <f>利润表!AN7</f>
        <v>6460568.0999999996</v>
      </c>
      <c r="AO9" s="58">
        <f>利润表!AO7</f>
        <v>29625736.52</v>
      </c>
      <c r="AP9" s="58">
        <f>利润表!AP7</f>
        <v>22996582.84</v>
      </c>
      <c r="AQ9" s="58">
        <f>利润表!AQ7</f>
        <v>13849189.49</v>
      </c>
      <c r="AR9" s="58">
        <f>利润表!AR7</f>
        <v>5817043.3300000001</v>
      </c>
      <c r="AS9" s="58">
        <f>利润表!AS7</f>
        <v>20969908.780000001</v>
      </c>
      <c r="AT9" s="58">
        <f>利润表!AT7</f>
        <v>14892376.74</v>
      </c>
      <c r="AU9" s="58">
        <f>利润表!AU7</f>
        <v>9519602.4900000002</v>
      </c>
      <c r="AV9" s="58">
        <f>利润表!AV7</f>
        <v>4002052.76</v>
      </c>
      <c r="AW9" s="58">
        <f>利润表!AW7</f>
        <v>11595240.35</v>
      </c>
      <c r="AX9" s="58">
        <f>利润表!AX7</f>
        <v>8999867.1300000008</v>
      </c>
      <c r="AY9" s="58">
        <f>利润表!AY7</f>
        <v>6007357.4500000002</v>
      </c>
      <c r="AZ9" s="58">
        <f>利润表!AZ7</f>
        <v>2104577.39</v>
      </c>
      <c r="BA9" s="58">
        <f>利润表!BA7</f>
        <v>10353101.16</v>
      </c>
      <c r="BB9" s="58">
        <f>利润表!BB7</f>
        <v>7809508.6100000003</v>
      </c>
      <c r="BC9" s="58">
        <f>利润表!BC7</f>
        <v>4567452.24</v>
      </c>
      <c r="BD9" s="58">
        <f>利润表!BD7</f>
        <v>1599302.77</v>
      </c>
      <c r="BE9" s="58">
        <f>利润表!BE7</f>
        <v>7060017.4100000001</v>
      </c>
      <c r="BF9" s="58">
        <f>利润表!BF7</f>
        <v>4845746.53</v>
      </c>
      <c r="BG9" s="58">
        <f>利润表!BG7</f>
        <v>3073461.2</v>
      </c>
      <c r="BH9" s="58">
        <f>利润表!BH7</f>
        <v>1017184.82</v>
      </c>
      <c r="BI9" s="58">
        <f>利润表!BI7</f>
        <v>5804603.5899999999</v>
      </c>
      <c r="BJ9" s="58">
        <f>利润表!BJ7</f>
        <v>3871150.02</v>
      </c>
      <c r="BK9" s="58">
        <f>利润表!BK7</f>
        <v>2056249.88</v>
      </c>
      <c r="BL9" s="58">
        <f>利润表!BL7</f>
        <v>735429.71</v>
      </c>
      <c r="BM9" s="58">
        <f>利润表!BM7</f>
        <v>159710794.02000001</v>
      </c>
      <c r="BN9" s="58">
        <f>利润表!BN7</f>
        <v>158154103.47</v>
      </c>
      <c r="BO9" s="58">
        <f>利润表!BO7</f>
        <v>101327612.17</v>
      </c>
      <c r="BP9" s="58">
        <f>利润表!BP7</f>
        <v>49735643.399999999</v>
      </c>
      <c r="BQ9" s="58">
        <f>利润表!BQ7</f>
        <v>115145718.44</v>
      </c>
      <c r="BR9" s="58">
        <f>利润表!BR7</f>
        <v>25944218.300000001</v>
      </c>
      <c r="BS9" s="58">
        <f>利润表!BS7</f>
        <v>104025004.81</v>
      </c>
      <c r="BT9" s="58">
        <f>利润表!BT7</f>
        <v>26012204.870000001</v>
      </c>
      <c r="BU9" s="58">
        <f>利润表!BU7</f>
        <v>75296582.010000005</v>
      </c>
      <c r="BV9" s="58">
        <f>利润表!BV7</f>
        <v>24452956.84</v>
      </c>
      <c r="BW9" s="58">
        <f>利润表!BW7</f>
        <v>118571168.17</v>
      </c>
      <c r="BX9" s="58">
        <f>利润表!BX7</f>
        <v>75754759.849999994</v>
      </c>
      <c r="BY9" s="58">
        <f>利润表!BY7</f>
        <v>1714519.81</v>
      </c>
      <c r="BZ9" s="58">
        <f>利润表!BZ7</f>
        <v>0</v>
      </c>
      <c r="CA9" s="58">
        <f>利润表!CA7</f>
        <v>1626136.71</v>
      </c>
      <c r="CB9" s="58">
        <f>利润表!CB7</f>
        <v>0</v>
      </c>
      <c r="CC9" s="58">
        <f>利润表!CC7</f>
        <v>1611066.23</v>
      </c>
      <c r="CD9" s="58">
        <f>利润表!CD7</f>
        <v>0</v>
      </c>
      <c r="CE9" s="58">
        <f>利润表!CE7</f>
        <v>1162940.06</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7555575.1600000001</v>
      </c>
      <c r="F10" s="58">
        <f>利润表!F8</f>
        <v>5294391.33</v>
      </c>
      <c r="G10" s="58">
        <f>利润表!G8</f>
        <v>3457929.07</v>
      </c>
      <c r="H10" s="58">
        <f>利润表!H8</f>
        <v>1360352.63</v>
      </c>
      <c r="I10" s="58">
        <f>利润表!I8</f>
        <v>5996781.04</v>
      </c>
      <c r="J10" s="58">
        <f>利润表!J8</f>
        <v>4483665.4400000004</v>
      </c>
      <c r="K10" s="58">
        <f>利润表!K8</f>
        <v>3033969.4</v>
      </c>
      <c r="L10" s="58">
        <f>利润表!L8</f>
        <v>737978.25</v>
      </c>
      <c r="M10" s="58">
        <f>利润表!M8</f>
        <v>6555754.2699999996</v>
      </c>
      <c r="N10" s="58">
        <f>利润表!N8</f>
        <v>5260996.84</v>
      </c>
      <c r="O10" s="58">
        <f>利润表!O8</f>
        <v>3543648.71</v>
      </c>
      <c r="P10" s="58">
        <f>利润表!P8</f>
        <v>1103936.22</v>
      </c>
      <c r="Q10" s="58">
        <f>利润表!Q8</f>
        <v>16938541.219999999</v>
      </c>
      <c r="R10" s="58">
        <f>利润表!R8</f>
        <v>14829495.98</v>
      </c>
      <c r="S10" s="58">
        <f>利润表!S8</f>
        <v>12019350.76</v>
      </c>
      <c r="T10" s="58">
        <f>利润表!T8</f>
        <v>6333692.1900000004</v>
      </c>
      <c r="U10" s="58">
        <f>利润表!U8</f>
        <v>50430538.899999999</v>
      </c>
      <c r="V10" s="58">
        <f>利润表!V8</f>
        <v>39250424.280000001</v>
      </c>
      <c r="W10" s="58">
        <f>利润表!W8</f>
        <v>30832709.100000001</v>
      </c>
      <c r="X10" s="58">
        <f>利润表!X8</f>
        <v>23815566.629999999</v>
      </c>
      <c r="Y10" s="58">
        <f>利润表!Y8</f>
        <v>43366409.82</v>
      </c>
      <c r="Z10" s="58">
        <f>利润表!Z8</f>
        <v>24082564.879999999</v>
      </c>
      <c r="AA10" s="58">
        <f>利润表!AA8</f>
        <v>15032374.119999999</v>
      </c>
      <c r="AB10" s="58">
        <f>利润表!AB8</f>
        <v>6308215.2999999998</v>
      </c>
      <c r="AC10" s="58">
        <f>利润表!AC8</f>
        <v>33250545.010000002</v>
      </c>
      <c r="AD10" s="58">
        <f>利润表!AD8</f>
        <v>27369745.41</v>
      </c>
      <c r="AE10" s="58">
        <f>利润表!AE8</f>
        <v>6807124.5800000001</v>
      </c>
      <c r="AF10" s="58">
        <f>利润表!AF8</f>
        <v>9782521.8699999992</v>
      </c>
      <c r="AG10" s="58">
        <f>利润表!AG8</f>
        <v>14740158.970000001</v>
      </c>
      <c r="AH10" s="58">
        <f>利润表!AH8</f>
        <v>10551877.33</v>
      </c>
      <c r="AI10" s="58">
        <f>利润表!AI8</f>
        <v>7202900.3499999996</v>
      </c>
      <c r="AJ10" s="58">
        <f>利润表!AJ8</f>
        <v>2476554.2000000002</v>
      </c>
      <c r="AK10" s="58">
        <f>利润表!AK8</f>
        <v>4458340.32</v>
      </c>
      <c r="AL10" s="58">
        <f>利润表!AL8</f>
        <v>5592608.0099999998</v>
      </c>
      <c r="AM10" s="58">
        <f>利润表!AM8</f>
        <v>2524391.86</v>
      </c>
      <c r="AN10" s="58">
        <f>利润表!AN8</f>
        <v>2803319.25</v>
      </c>
      <c r="AO10" s="58">
        <f>利润表!AO8</f>
        <v>11690672.310000001</v>
      </c>
      <c r="AP10" s="58">
        <f>利润表!AP8</f>
        <v>17037598.199999999</v>
      </c>
      <c r="AQ10" s="58">
        <f>利润表!AQ8</f>
        <v>13059786.779999999</v>
      </c>
      <c r="AR10" s="58">
        <f>利润表!AR8</f>
        <v>6536243.0599999996</v>
      </c>
      <c r="AS10" s="58">
        <f>利润表!AS8</f>
        <v>9443784.8100000005</v>
      </c>
      <c r="AT10" s="58">
        <f>利润表!AT8</f>
        <v>7240704.79</v>
      </c>
      <c r="AU10" s="58">
        <f>利润表!AU8</f>
        <v>5037153.51</v>
      </c>
      <c r="AV10" s="58">
        <f>利润表!AV8</f>
        <v>2675133.1</v>
      </c>
      <c r="AW10" s="58">
        <f>利润表!AW8</f>
        <v>10928492.16</v>
      </c>
      <c r="AX10" s="58">
        <f>利润表!AX8</f>
        <v>7067642.7300000004</v>
      </c>
      <c r="AY10" s="58">
        <f>利润表!AY8</f>
        <v>4461398.3899999997</v>
      </c>
      <c r="AZ10" s="58">
        <f>利润表!AZ8</f>
        <v>2604944.2999999998</v>
      </c>
      <c r="BA10" s="58">
        <f>利润表!BA8</f>
        <v>10374715.279999999</v>
      </c>
      <c r="BB10" s="58">
        <f>利润表!BB8</f>
        <v>7903097.6299999999</v>
      </c>
      <c r="BC10" s="58">
        <f>利润表!BC8</f>
        <v>4812201.45</v>
      </c>
      <c r="BD10" s="58">
        <f>利润表!BD8</f>
        <v>2718559.54</v>
      </c>
      <c r="BE10" s="58">
        <f>利润表!BE8</f>
        <v>9491683.5600000005</v>
      </c>
      <c r="BF10" s="58">
        <f>利润表!BF8</f>
        <v>6705755.3399999999</v>
      </c>
      <c r="BG10" s="58">
        <f>利润表!BG8</f>
        <v>4776275.22</v>
      </c>
      <c r="BH10" s="58">
        <f>利润表!BH8</f>
        <v>2339110.8199999998</v>
      </c>
      <c r="BI10" s="58">
        <f>利润表!BI8</f>
        <v>8252358.5099999998</v>
      </c>
      <c r="BJ10" s="58">
        <f>利润表!BJ8</f>
        <v>5720975.7199999997</v>
      </c>
      <c r="BK10" s="58">
        <f>利润表!BK8</f>
        <v>4159667.56</v>
      </c>
      <c r="BL10" s="58">
        <f>利润表!BL8</f>
        <v>2159355.7400000002</v>
      </c>
      <c r="BM10" s="58">
        <f>利润表!BM8</f>
        <v>5254365.47</v>
      </c>
      <c r="BN10" s="58">
        <f>利润表!BN8</f>
        <v>2652487.39</v>
      </c>
      <c r="BO10" s="58">
        <f>利润表!BO8</f>
        <v>3625229.47</v>
      </c>
      <c r="BP10" s="58">
        <f>利润表!BP8</f>
        <v>808986.43</v>
      </c>
      <c r="BQ10" s="58">
        <f>利润表!BQ8</f>
        <v>3045031.1</v>
      </c>
      <c r="BR10" s="58">
        <f>利润表!BR8</f>
        <v>1269103.17</v>
      </c>
      <c r="BS10" s="58">
        <f>利润表!BS8</f>
        <v>2715260.55</v>
      </c>
      <c r="BT10" s="58">
        <f>利润表!BT8</f>
        <v>836402.46</v>
      </c>
      <c r="BU10" s="58">
        <f>利润表!BU8</f>
        <v>6424518.5700000003</v>
      </c>
      <c r="BV10" s="58">
        <f>利润表!BV8</f>
        <v>5384556.7999999998</v>
      </c>
      <c r="BW10" s="58">
        <f>利润表!BW8</f>
        <v>6024911.4100000001</v>
      </c>
      <c r="BX10" s="58">
        <f>利润表!BX8</f>
        <v>4316092.0999999996</v>
      </c>
      <c r="BY10" s="58">
        <f>利润表!BY8</f>
        <v>1238907.43</v>
      </c>
      <c r="BZ10" s="58">
        <f>利润表!BZ8</f>
        <v>0</v>
      </c>
      <c r="CA10" s="58">
        <f>利润表!CA8</f>
        <v>1132037.73</v>
      </c>
      <c r="CB10" s="58">
        <f>利润表!CB8</f>
        <v>0</v>
      </c>
      <c r="CC10" s="58">
        <f>利润表!CC8</f>
        <v>370359.06</v>
      </c>
      <c r="CD10" s="58">
        <f>利润表!CD8</f>
        <v>0</v>
      </c>
      <c r="CE10" s="58">
        <f>利润表!CE8</f>
        <v>685814.42</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999062914.15999997</v>
      </c>
      <c r="F11" s="58">
        <f>利润表!F9</f>
        <v>674137933.04999995</v>
      </c>
      <c r="G11" s="58">
        <f>利润表!G9</f>
        <v>395650449.10000002</v>
      </c>
      <c r="H11" s="58">
        <f>利润表!H9</f>
        <v>212660948.59</v>
      </c>
      <c r="I11" s="58">
        <f>利润表!I9</f>
        <v>935503345.89999998</v>
      </c>
      <c r="J11" s="58">
        <f>利润表!J9</f>
        <v>690956986.73000002</v>
      </c>
      <c r="K11" s="58">
        <f>利润表!K9</f>
        <v>411099346.33999997</v>
      </c>
      <c r="L11" s="58">
        <f>利润表!L9</f>
        <v>206145180.44</v>
      </c>
      <c r="M11" s="58">
        <f>利润表!M9</f>
        <v>867126250.90999997</v>
      </c>
      <c r="N11" s="58">
        <f>利润表!N9</f>
        <v>587548571.40999997</v>
      </c>
      <c r="O11" s="58">
        <f>利润表!O9</f>
        <v>360286687.81</v>
      </c>
      <c r="P11" s="58">
        <f>利润表!P9</f>
        <v>174274830.13</v>
      </c>
      <c r="Q11" s="58">
        <f>利润表!Q9</f>
        <v>805069824.28999996</v>
      </c>
      <c r="R11" s="58">
        <f>利润表!R9</f>
        <v>523092708.31</v>
      </c>
      <c r="S11" s="58">
        <f>利润表!S9</f>
        <v>331897299.69999999</v>
      </c>
      <c r="T11" s="58">
        <f>利润表!T9</f>
        <v>157559215.53999999</v>
      </c>
      <c r="U11" s="58">
        <f>利润表!U9</f>
        <v>740755626.61000001</v>
      </c>
      <c r="V11" s="58">
        <f>利润表!V9</f>
        <v>467945851.72000003</v>
      </c>
      <c r="W11" s="58">
        <f>利润表!W9</f>
        <v>284288843.19</v>
      </c>
      <c r="X11" s="58">
        <f>利润表!X9</f>
        <v>128137886.11</v>
      </c>
      <c r="Y11" s="58">
        <f>利润表!Y9</f>
        <v>640802468.13999999</v>
      </c>
      <c r="Z11" s="58">
        <f>利润表!Z9</f>
        <v>403806222.29000002</v>
      </c>
      <c r="AA11" s="58">
        <f>利润表!AA9</f>
        <v>232526542.46000001</v>
      </c>
      <c r="AB11" s="58">
        <f>利润表!AB9</f>
        <v>106282419.84</v>
      </c>
      <c r="AC11" s="58">
        <f>利润表!AC9</f>
        <v>560265677.49000001</v>
      </c>
      <c r="AD11" s="58">
        <f>利润表!AD9</f>
        <v>356419102.73000002</v>
      </c>
      <c r="AE11" s="58">
        <f>利润表!AE9</f>
        <v>216999361.90000001</v>
      </c>
      <c r="AF11" s="58">
        <f>利润表!AF9</f>
        <v>102658594.41</v>
      </c>
      <c r="AG11" s="58">
        <f>利润表!AG9</f>
        <v>464798208.04000002</v>
      </c>
      <c r="AH11" s="58">
        <f>利润表!AH9</f>
        <v>305782238.52999997</v>
      </c>
      <c r="AI11" s="58">
        <f>利润表!AI9</f>
        <v>186564185.31</v>
      </c>
      <c r="AJ11" s="58">
        <f>利润表!AJ9</f>
        <v>85180433.5</v>
      </c>
      <c r="AK11" s="58">
        <f>利润表!AK9</f>
        <v>444250932.95999998</v>
      </c>
      <c r="AL11" s="58">
        <f>利润表!AL9</f>
        <v>128281686.22</v>
      </c>
      <c r="AM11" s="58">
        <f>利润表!AM9</f>
        <v>84555407.530000001</v>
      </c>
      <c r="AN11" s="58">
        <f>利润表!AN9</f>
        <v>47597222.909999996</v>
      </c>
      <c r="AO11" s="58">
        <f>利润表!AO9</f>
        <v>193049342.69999999</v>
      </c>
      <c r="AP11" s="58">
        <f>利润表!AP9</f>
        <v>148783494.94999999</v>
      </c>
      <c r="AQ11" s="58">
        <f>利润表!AQ9</f>
        <v>93540898.670000002</v>
      </c>
      <c r="AR11" s="58">
        <f>利润表!AR9</f>
        <v>50396407.299999997</v>
      </c>
      <c r="AS11" s="58">
        <f>利润表!AS9</f>
        <v>181845598.19999999</v>
      </c>
      <c r="AT11" s="58">
        <f>利润表!AT9</f>
        <v>121185186.06999999</v>
      </c>
      <c r="AU11" s="58">
        <f>利润表!AU9</f>
        <v>80605125.230000004</v>
      </c>
      <c r="AV11" s="58">
        <f>利润表!AV9</f>
        <v>40071653.979999997</v>
      </c>
      <c r="AW11" s="58">
        <f>利润表!AW9</f>
        <v>136723054.75999999</v>
      </c>
      <c r="AX11" s="58">
        <f>利润表!AX9</f>
        <v>60228640.909999996</v>
      </c>
      <c r="AY11" s="58">
        <f>利润表!AY9</f>
        <v>42556360.710000001</v>
      </c>
      <c r="AZ11" s="58">
        <f>利润表!AZ9</f>
        <v>16854309.300000001</v>
      </c>
      <c r="BA11" s="58">
        <f>利润表!BA9</f>
        <v>81930840.450000003</v>
      </c>
      <c r="BB11" s="58">
        <f>利润表!BB9</f>
        <v>57732292.060000002</v>
      </c>
      <c r="BC11" s="58">
        <f>利润表!BC9</f>
        <v>37135849.020000003</v>
      </c>
      <c r="BD11" s="58">
        <f>利润表!BD9</f>
        <v>23690920.059999999</v>
      </c>
      <c r="BE11" s="58">
        <f>利润表!BE9</f>
        <v>65974899.07</v>
      </c>
      <c r="BF11" s="58">
        <f>利润表!BF9</f>
        <v>43554251.159999996</v>
      </c>
      <c r="BG11" s="58">
        <f>利润表!BG9</f>
        <v>34435209.549999997</v>
      </c>
      <c r="BH11" s="58">
        <f>利润表!BH9</f>
        <v>6847007.2300000004</v>
      </c>
      <c r="BI11" s="58">
        <f>利润表!BI9</f>
        <v>38018187.740000002</v>
      </c>
      <c r="BJ11" s="58">
        <f>利润表!BJ9</f>
        <v>13115630.390000001</v>
      </c>
      <c r="BK11" s="58">
        <f>利润表!BK9</f>
        <v>1930144.23</v>
      </c>
      <c r="BL11" s="58">
        <f>利润表!BL9</f>
        <v>8054116.8600000003</v>
      </c>
      <c r="BM11" s="58">
        <f>利润表!BM9</f>
        <v>66697920.439999998</v>
      </c>
      <c r="BN11" s="58">
        <f>利润表!BN9</f>
        <v>54551692.140000001</v>
      </c>
      <c r="BO11" s="58">
        <f>利润表!BO9</f>
        <v>30638188.09</v>
      </c>
      <c r="BP11" s="58">
        <f>利润表!BP9</f>
        <v>9606170.3699999992</v>
      </c>
      <c r="BQ11" s="58">
        <f>利润表!BQ9</f>
        <v>47905028.289999999</v>
      </c>
      <c r="BR11" s="58">
        <f>利润表!BR9</f>
        <v>14389505.550000001</v>
      </c>
      <c r="BS11" s="58">
        <f>利润表!BS9</f>
        <v>29360730.66</v>
      </c>
      <c r="BT11" s="58">
        <f>利润表!BT9</f>
        <v>7711478.6100000003</v>
      </c>
      <c r="BU11" s="58">
        <f>利润表!BU9</f>
        <v>11282548.199999999</v>
      </c>
      <c r="BV11" s="58">
        <f>利润表!BV9</f>
        <v>6499523.8600000003</v>
      </c>
      <c r="BW11" s="58">
        <f>利润表!BW9</f>
        <v>16182357.470000001</v>
      </c>
      <c r="BX11" s="58">
        <f>利润表!BX9</f>
        <v>4203332.2300000004</v>
      </c>
      <c r="BY11" s="58">
        <f>利润表!BY9</f>
        <v>7277503.9400000004</v>
      </c>
      <c r="BZ11" s="58">
        <f>利润表!BZ9</f>
        <v>0</v>
      </c>
      <c r="CA11" s="58">
        <f>利润表!CA9</f>
        <v>9238054.9299999997</v>
      </c>
      <c r="CB11" s="58">
        <f>利润表!CB9</f>
        <v>0</v>
      </c>
      <c r="CC11" s="58">
        <f>利润表!CC9</f>
        <v>6201153.5800000001</v>
      </c>
      <c r="CD11" s="58">
        <f>利润表!CD9</f>
        <v>0</v>
      </c>
      <c r="CE11" s="58">
        <f>利润表!CE9</f>
        <v>3503307.24</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20373064180.540001</v>
      </c>
      <c r="F12" s="58">
        <f t="shared" ref="F12:BQ12" si="4">SUM(F8:F11)</f>
        <v>14789451997.35</v>
      </c>
      <c r="G12" s="58">
        <f t="shared" si="4"/>
        <v>8998129946.7900009</v>
      </c>
      <c r="H12" s="58">
        <f t="shared" si="4"/>
        <v>4562104305.1899996</v>
      </c>
      <c r="I12" s="58">
        <f t="shared" si="4"/>
        <v>16499680964.26</v>
      </c>
      <c r="J12" s="58">
        <f t="shared" si="4"/>
        <v>11448833297.889999</v>
      </c>
      <c r="K12" s="58">
        <f t="shared" si="4"/>
        <v>7086662259.9200001</v>
      </c>
      <c r="L12" s="58">
        <f t="shared" si="4"/>
        <v>3487140064.0599999</v>
      </c>
      <c r="M12" s="58">
        <f t="shared" si="4"/>
        <v>16301451891.34</v>
      </c>
      <c r="N12" s="58">
        <f t="shared" si="4"/>
        <v>12154385490.299999</v>
      </c>
      <c r="O12" s="58">
        <f t="shared" si="4"/>
        <v>7833186139.170001</v>
      </c>
      <c r="P12" s="58">
        <f t="shared" si="4"/>
        <v>3934572299.9699998</v>
      </c>
      <c r="Q12" s="58">
        <f t="shared" si="4"/>
        <v>17498121288.509998</v>
      </c>
      <c r="R12" s="58">
        <f t="shared" si="4"/>
        <v>13049784833.199999</v>
      </c>
      <c r="S12" s="58">
        <f t="shared" si="4"/>
        <v>8611691572.0400009</v>
      </c>
      <c r="T12" s="58">
        <f t="shared" si="4"/>
        <v>4414241381.1800003</v>
      </c>
      <c r="U12" s="58">
        <f t="shared" si="4"/>
        <v>17926028626.439999</v>
      </c>
      <c r="V12" s="58">
        <f t="shared" si="4"/>
        <v>13004833404.789999</v>
      </c>
      <c r="W12" s="58">
        <f t="shared" si="4"/>
        <v>8220528090.3800001</v>
      </c>
      <c r="X12" s="58">
        <f t="shared" si="4"/>
        <v>4246537291.5599999</v>
      </c>
      <c r="Y12" s="58">
        <f t="shared" si="4"/>
        <v>18710613174.16</v>
      </c>
      <c r="Z12" s="58">
        <f t="shared" si="4"/>
        <v>14222561529.08</v>
      </c>
      <c r="AA12" s="58">
        <f t="shared" si="4"/>
        <v>9416142239.5999985</v>
      </c>
      <c r="AB12" s="58">
        <f t="shared" si="4"/>
        <v>4705422649.6199999</v>
      </c>
      <c r="AC12" s="58">
        <f t="shared" si="4"/>
        <v>18739636537.52</v>
      </c>
      <c r="AD12" s="58">
        <f t="shared" si="4"/>
        <v>13435590975.289999</v>
      </c>
      <c r="AE12" s="58">
        <f t="shared" si="4"/>
        <v>8255948458.079999</v>
      </c>
      <c r="AF12" s="58">
        <f t="shared" si="4"/>
        <v>3717698119.02</v>
      </c>
      <c r="AG12" s="58">
        <f t="shared" si="4"/>
        <v>12902409038.549999</v>
      </c>
      <c r="AH12" s="58">
        <f t="shared" si="4"/>
        <v>9311622976.8299999</v>
      </c>
      <c r="AI12" s="58">
        <f t="shared" si="4"/>
        <v>5879158896.5600004</v>
      </c>
      <c r="AJ12" s="58">
        <f t="shared" si="4"/>
        <v>3052721097.1399999</v>
      </c>
      <c r="AK12" s="58">
        <f t="shared" si="4"/>
        <v>9123404864.8199978</v>
      </c>
      <c r="AL12" s="58">
        <f t="shared" si="4"/>
        <v>3979500239.04</v>
      </c>
      <c r="AM12" s="58">
        <f t="shared" si="4"/>
        <v>2748813502.7900004</v>
      </c>
      <c r="AN12" s="58">
        <f t="shared" si="4"/>
        <v>1351331372.45</v>
      </c>
      <c r="AO12" s="58">
        <f t="shared" si="4"/>
        <v>5721043209.7200003</v>
      </c>
      <c r="AP12" s="58">
        <f t="shared" si="4"/>
        <v>4497452647.3800001</v>
      </c>
      <c r="AQ12" s="58">
        <f t="shared" si="4"/>
        <v>2992777075.27</v>
      </c>
      <c r="AR12" s="58">
        <f t="shared" si="4"/>
        <v>1569667915.6999998</v>
      </c>
      <c r="AS12" s="58">
        <f t="shared" si="4"/>
        <v>5165881896.8500004</v>
      </c>
      <c r="AT12" s="58">
        <f t="shared" si="4"/>
        <v>3744746996.23</v>
      </c>
      <c r="AU12" s="58">
        <f t="shared" si="4"/>
        <v>2597109823.1500001</v>
      </c>
      <c r="AV12" s="58">
        <f t="shared" si="4"/>
        <v>1286402148.3799999</v>
      </c>
      <c r="AW12" s="58">
        <f t="shared" si="4"/>
        <v>3150459727.5599995</v>
      </c>
      <c r="AX12" s="58">
        <f t="shared" si="4"/>
        <v>1765299335.4600003</v>
      </c>
      <c r="AY12" s="58">
        <f t="shared" si="4"/>
        <v>1135336393.2300003</v>
      </c>
      <c r="AZ12" s="58">
        <f t="shared" si="4"/>
        <v>558452200.49999988</v>
      </c>
      <c r="BA12" s="58">
        <f t="shared" si="4"/>
        <v>2167447901.6900001</v>
      </c>
      <c r="BB12" s="58">
        <f t="shared" si="4"/>
        <v>1564271328.3299999</v>
      </c>
      <c r="BC12" s="58">
        <f t="shared" si="4"/>
        <v>1015094997.75</v>
      </c>
      <c r="BD12" s="58">
        <f t="shared" si="4"/>
        <v>517327241.32999998</v>
      </c>
      <c r="BE12" s="58">
        <f t="shared" si="4"/>
        <v>1605098826.05</v>
      </c>
      <c r="BF12" s="58">
        <f t="shared" si="4"/>
        <v>1120451183.8099999</v>
      </c>
      <c r="BG12" s="58">
        <f t="shared" si="4"/>
        <v>682782656.45000005</v>
      </c>
      <c r="BH12" s="58">
        <f t="shared" si="4"/>
        <v>213327631.31999996</v>
      </c>
      <c r="BI12" s="58">
        <f t="shared" si="4"/>
        <v>901369172.13999999</v>
      </c>
      <c r="BJ12" s="58">
        <f t="shared" si="4"/>
        <v>698930723.61000001</v>
      </c>
      <c r="BK12" s="58">
        <f t="shared" si="4"/>
        <v>457028448.94</v>
      </c>
      <c r="BL12" s="58">
        <f t="shared" si="4"/>
        <v>290758029.13</v>
      </c>
      <c r="BM12" s="58">
        <f t="shared" si="4"/>
        <v>2510120853.2599998</v>
      </c>
      <c r="BN12" s="58">
        <f t="shared" si="4"/>
        <v>2293908388.4699998</v>
      </c>
      <c r="BO12" s="58">
        <f t="shared" si="4"/>
        <v>1434723410.25</v>
      </c>
      <c r="BP12" s="58">
        <f t="shared" si="4"/>
        <v>648438781.31999993</v>
      </c>
      <c r="BQ12" s="58">
        <f t="shared" si="4"/>
        <v>1956567041.1399999</v>
      </c>
      <c r="BR12" s="58">
        <f t="shared" ref="BR12:CL12" si="5">SUM(BR8:BR11)</f>
        <v>629444866.79999983</v>
      </c>
      <c r="BS12" s="58">
        <f t="shared" si="5"/>
        <v>1822927465.3499999</v>
      </c>
      <c r="BT12" s="58">
        <f t="shared" si="5"/>
        <v>572452124.71000004</v>
      </c>
      <c r="BU12" s="58">
        <f t="shared" si="5"/>
        <v>1355412184.7</v>
      </c>
      <c r="BV12" s="58">
        <f t="shared" si="5"/>
        <v>629579217.86000001</v>
      </c>
      <c r="BW12" s="58">
        <f t="shared" si="5"/>
        <v>1115750468.6400001</v>
      </c>
      <c r="BX12" s="58">
        <f t="shared" si="5"/>
        <v>554072603.36000001</v>
      </c>
      <c r="BY12" s="58">
        <f t="shared" si="5"/>
        <v>1194907645.1600001</v>
      </c>
      <c r="BZ12" s="58">
        <f t="shared" si="5"/>
        <v>0</v>
      </c>
      <c r="CA12" s="58">
        <f t="shared" si="5"/>
        <v>460899492.04000002</v>
      </c>
      <c r="CB12" s="58">
        <f t="shared" si="5"/>
        <v>0</v>
      </c>
      <c r="CC12" s="58">
        <f t="shared" si="5"/>
        <v>115478662.82000001</v>
      </c>
      <c r="CD12" s="58">
        <f t="shared" si="5"/>
        <v>0</v>
      </c>
      <c r="CE12" s="58">
        <f t="shared" si="5"/>
        <v>73763486.760000005</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0.54358304946130009</v>
      </c>
      <c r="F13" s="28">
        <f t="shared" ref="F13:BQ13" si="6">(F6/(1+F4)+F7)/F12</f>
        <v>0.51322543760332573</v>
      </c>
      <c r="G13" s="28">
        <f t="shared" si="6"/>
        <v>0.53721312684008482</v>
      </c>
      <c r="H13" s="28">
        <f t="shared" si="6"/>
        <v>0.56786540371552641</v>
      </c>
      <c r="I13" s="28">
        <f t="shared" si="6"/>
        <v>0.50115854720334729</v>
      </c>
      <c r="J13" s="28">
        <f t="shared" si="6"/>
        <v>0.47566332109902143</v>
      </c>
      <c r="K13" s="28">
        <f t="shared" si="6"/>
        <v>0.45663620343970612</v>
      </c>
      <c r="L13" s="28">
        <f t="shared" si="6"/>
        <v>0.42643493400023708</v>
      </c>
      <c r="M13" s="28">
        <f t="shared" si="6"/>
        <v>0.47770623909313226</v>
      </c>
      <c r="N13" s="28">
        <f t="shared" si="6"/>
        <v>0.48060600151777294</v>
      </c>
      <c r="O13" s="28">
        <f t="shared" si="6"/>
        <v>0.4951883331835682</v>
      </c>
      <c r="P13" s="28">
        <f t="shared" si="6"/>
        <v>0.48536439285291966</v>
      </c>
      <c r="Q13" s="28">
        <f t="shared" si="6"/>
        <v>0.57534506035343369</v>
      </c>
      <c r="R13" s="28">
        <f t="shared" si="6"/>
        <v>0.5834398564754486</v>
      </c>
      <c r="S13" s="28">
        <f t="shared" si="6"/>
        <v>0.60691501119064539</v>
      </c>
      <c r="T13" s="28">
        <f t="shared" si="6"/>
        <v>0.61656425259634262</v>
      </c>
      <c r="U13" s="28">
        <f t="shared" si="6"/>
        <v>0.64084517023000054</v>
      </c>
      <c r="V13" s="28">
        <f t="shared" si="6"/>
        <v>0.62953356783494285</v>
      </c>
      <c r="W13" s="28">
        <f t="shared" si="6"/>
        <v>0.68636705454349156</v>
      </c>
      <c r="X13" s="28">
        <f t="shared" si="6"/>
        <v>0.69923678338363315</v>
      </c>
      <c r="Y13" s="28">
        <f t="shared" si="6"/>
        <v>0.74064389942040976</v>
      </c>
      <c r="Z13" s="28">
        <f t="shared" si="6"/>
        <v>0.73838289112394306</v>
      </c>
      <c r="AA13" s="28">
        <f t="shared" si="6"/>
        <v>0.70513426923789579</v>
      </c>
      <c r="AB13" s="28">
        <f t="shared" si="6"/>
        <v>0.69294954071720871</v>
      </c>
      <c r="AC13" s="28">
        <f t="shared" si="6"/>
        <v>0.79874462739844376</v>
      </c>
      <c r="AD13" s="28">
        <f t="shared" si="6"/>
        <v>0.78603485213839419</v>
      </c>
      <c r="AE13" s="28">
        <f t="shared" si="6"/>
        <v>0.78969631146785879</v>
      </c>
      <c r="AF13" s="28">
        <f t="shared" si="6"/>
        <v>0.79246836724009939</v>
      </c>
      <c r="AG13" s="28">
        <f t="shared" si="6"/>
        <v>0.71842809305172406</v>
      </c>
      <c r="AH13" s="28">
        <f t="shared" si="6"/>
        <v>0.72221726127870045</v>
      </c>
      <c r="AI13" s="28">
        <f t="shared" si="6"/>
        <v>0.72072347118155888</v>
      </c>
      <c r="AJ13" s="28">
        <f t="shared" si="6"/>
        <v>0.61416523193987416</v>
      </c>
      <c r="AK13" s="28">
        <f t="shared" si="6"/>
        <v>0.55961548926399374</v>
      </c>
      <c r="AL13" s="28">
        <f t="shared" si="6"/>
        <v>0.5972213667972589</v>
      </c>
      <c r="AM13" s="28">
        <f t="shared" si="6"/>
        <v>0.54045329209679982</v>
      </c>
      <c r="AN13" s="28">
        <f t="shared" si="6"/>
        <v>0.48471000400410424</v>
      </c>
      <c r="AO13" s="28">
        <f t="shared" si="6"/>
        <v>0.82094322599003078</v>
      </c>
      <c r="AP13" s="28">
        <f t="shared" si="6"/>
        <v>0.78545915007403566</v>
      </c>
      <c r="AQ13" s="28">
        <f t="shared" si="6"/>
        <v>0.81618000856134598</v>
      </c>
      <c r="AR13" s="28">
        <f t="shared" si="6"/>
        <v>0.77341691564864645</v>
      </c>
      <c r="AS13" s="28">
        <f t="shared" si="6"/>
        <v>0.66404485410637659</v>
      </c>
      <c r="AT13" s="28">
        <f t="shared" si="6"/>
        <v>0.65256014637481452</v>
      </c>
      <c r="AU13" s="28">
        <f t="shared" si="6"/>
        <v>0.60767513404100237</v>
      </c>
      <c r="AV13" s="28">
        <f t="shared" si="6"/>
        <v>0.58914942772920154</v>
      </c>
      <c r="AW13" s="28">
        <f t="shared" si="6"/>
        <v>0.67298515586407914</v>
      </c>
      <c r="AX13" s="28">
        <f t="shared" si="6"/>
        <v>0.67758437727397669</v>
      </c>
      <c r="AY13" s="28">
        <f t="shared" si="6"/>
        <v>0.7166423769239082</v>
      </c>
      <c r="AZ13" s="28">
        <f t="shared" si="6"/>
        <v>0.6616014324591587</v>
      </c>
      <c r="BA13" s="28">
        <f t="shared" si="6"/>
        <v>0.69796115670988512</v>
      </c>
      <c r="BB13" s="28">
        <f t="shared" si="6"/>
        <v>0.65248020435338927</v>
      </c>
      <c r="BC13" s="28">
        <f t="shared" si="6"/>
        <v>0.59317290883424778</v>
      </c>
      <c r="BD13" s="28">
        <f t="shared" si="6"/>
        <v>0.56397150127466766</v>
      </c>
      <c r="BE13" s="28">
        <f t="shared" si="6"/>
        <v>0.7189142811353032</v>
      </c>
      <c r="BF13" s="28">
        <f t="shared" si="6"/>
        <v>0.60624855905809005</v>
      </c>
      <c r="BG13" s="28">
        <f t="shared" si="6"/>
        <v>0.54278512070925888</v>
      </c>
      <c r="BH13" s="28">
        <f t="shared" si="6"/>
        <v>0.61914847048123323</v>
      </c>
      <c r="BI13" s="28">
        <f t="shared" si="6"/>
        <v>0.63708006361468261</v>
      </c>
      <c r="BJ13" s="28">
        <f t="shared" si="6"/>
        <v>0.56282945084830882</v>
      </c>
      <c r="BK13" s="28">
        <f t="shared" si="6"/>
        <v>0.48806851437318616</v>
      </c>
      <c r="BL13" s="28">
        <f t="shared" si="6"/>
        <v>0.32647145516633774</v>
      </c>
      <c r="BM13" s="28">
        <f t="shared" si="6"/>
        <v>5.5496655960909663E-2</v>
      </c>
      <c r="BN13" s="28">
        <f t="shared" si="6"/>
        <v>0.51556815406876133</v>
      </c>
      <c r="BO13" s="28">
        <f t="shared" si="6"/>
        <v>1.1363827963080713</v>
      </c>
      <c r="BP13" s="28">
        <f t="shared" si="6"/>
        <v>0.87497972441148697</v>
      </c>
      <c r="BQ13" s="28">
        <f t="shared" si="6"/>
        <v>0.66746299572358403</v>
      </c>
      <c r="BR13" s="28">
        <f t="shared" ref="BR13:CK13" si="7">(BR6/(1+BR4)+BR7)/BR12</f>
        <v>0.65950836471408059</v>
      </c>
      <c r="BS13" s="28">
        <f t="shared" si="7"/>
        <v>0.58068182797787526</v>
      </c>
      <c r="BT13" s="28">
        <f t="shared" si="7"/>
        <v>1.3442457505418757</v>
      </c>
      <c r="BU13" s="28">
        <f t="shared" si="7"/>
        <v>0</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f t="shared" si="7"/>
        <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18141039798.419998</v>
      </c>
      <c r="F14" s="26">
        <f>现金流量表!F13</f>
        <v>13911279575</v>
      </c>
      <c r="G14" s="26">
        <f>现金流量表!G13</f>
        <v>6944176302.0299997</v>
      </c>
      <c r="H14" s="26">
        <f>现金流量表!H13</f>
        <v>3525622483.5999999</v>
      </c>
      <c r="I14" s="26">
        <f>现金流量表!I13</f>
        <v>19066537849.5</v>
      </c>
      <c r="J14" s="26">
        <f>现金流量表!J13</f>
        <v>14085851931.15</v>
      </c>
      <c r="K14" s="26">
        <f>现金流量表!K13</f>
        <v>7726437834.3299999</v>
      </c>
      <c r="L14" s="26">
        <f>现金流量表!L13</f>
        <v>3804692246.5700002</v>
      </c>
      <c r="M14" s="26">
        <f>现金流量表!M13</f>
        <v>22896771649</v>
      </c>
      <c r="N14" s="26">
        <f>现金流量表!N13</f>
        <v>16760647373.82</v>
      </c>
      <c r="O14" s="26">
        <f>现金流量表!O13</f>
        <v>9709133286.8400002</v>
      </c>
      <c r="P14" s="26">
        <f>现金流量表!P13</f>
        <v>4849766135.3800001</v>
      </c>
      <c r="Q14" s="26">
        <f>现金流量表!Q13</f>
        <v>21418981070.5</v>
      </c>
      <c r="R14" s="26">
        <f>现金流量表!R13</f>
        <v>15588152919.42</v>
      </c>
      <c r="S14" s="26">
        <f>现金流量表!S13</f>
        <v>7685378674.5200005</v>
      </c>
      <c r="T14" s="26">
        <f>现金流量表!T13</f>
        <v>3698676621.9000001</v>
      </c>
      <c r="U14" s="26">
        <f>现金流量表!U13</f>
        <v>15197612776.08</v>
      </c>
      <c r="V14" s="26">
        <f>现金流量表!V13</f>
        <v>10531966534.75</v>
      </c>
      <c r="W14" s="26">
        <f>现金流量表!W13</f>
        <v>6015880830.8800001</v>
      </c>
      <c r="X14" s="26">
        <f>现金流量表!X13</f>
        <v>2922741720.9000001</v>
      </c>
      <c r="Y14" s="26">
        <f>现金流量表!Y13</f>
        <v>8606379058.2800007</v>
      </c>
      <c r="Z14" s="26">
        <f>现金流量表!Z13</f>
        <v>6454217080.04</v>
      </c>
      <c r="AA14" s="26">
        <f>现金流量表!AA13</f>
        <v>3399039261.5999999</v>
      </c>
      <c r="AB14" s="26">
        <f>现金流量表!AB13</f>
        <v>1622779034.8299999</v>
      </c>
      <c r="AC14" s="26">
        <f>现金流量表!AC13</f>
        <v>5376582107.46</v>
      </c>
      <c r="AD14" s="26">
        <f>现金流量表!AD13</f>
        <v>4472381448.8500004</v>
      </c>
      <c r="AE14" s="26">
        <f>现金流量表!AE13</f>
        <v>2751385307.29</v>
      </c>
      <c r="AF14" s="26">
        <f>现金流量表!AF13</f>
        <v>1846290172.8699999</v>
      </c>
      <c r="AG14" s="26">
        <f>现金流量表!AG13</f>
        <v>5045281505.9899998</v>
      </c>
      <c r="AH14" s="26">
        <f>现金流量表!AH13</f>
        <v>3547200756.0900002</v>
      </c>
      <c r="AI14" s="26">
        <f>现金流量表!AI13</f>
        <v>2032714865.1500001</v>
      </c>
      <c r="AJ14" s="26">
        <f>现金流量表!AJ13</f>
        <v>1361913431.74</v>
      </c>
      <c r="AK14" s="26">
        <f>现金流量表!AK13</f>
        <v>5044550123.2600002</v>
      </c>
      <c r="AL14" s="26">
        <f>现金流量表!AL13</f>
        <v>1527552644.5699999</v>
      </c>
      <c r="AM14" s="26">
        <f>现金流量表!AM13</f>
        <v>1163638843.49</v>
      </c>
      <c r="AN14" s="26">
        <f>现金流量表!AN13</f>
        <v>580438253.74000001</v>
      </c>
      <c r="AO14" s="26">
        <f>现金流量表!AO13</f>
        <v>1670839774.5899999</v>
      </c>
      <c r="AP14" s="26">
        <f>现金流量表!AP13</f>
        <v>1172360066.72</v>
      </c>
      <c r="AQ14" s="26">
        <f>现金流量表!AQ13</f>
        <v>846346715.88</v>
      </c>
      <c r="AR14" s="26">
        <f>现金流量表!AR13</f>
        <v>428124210.44</v>
      </c>
      <c r="AS14" s="26">
        <f>现金流量表!AS13</f>
        <v>2424268794.79</v>
      </c>
      <c r="AT14" s="26">
        <f>现金流量表!AT13</f>
        <v>2038629927.5599999</v>
      </c>
      <c r="AU14" s="26">
        <f>现金流量表!AU13</f>
        <v>1490812812.45</v>
      </c>
      <c r="AV14" s="26">
        <f>现金流量表!AV13</f>
        <v>630895686.05999994</v>
      </c>
      <c r="AW14" s="26">
        <f>现金流量表!AW13</f>
        <v>1540794617.72</v>
      </c>
      <c r="AX14" s="26">
        <f>现金流量表!AX13</f>
        <v>992384369.40999997</v>
      </c>
      <c r="AY14" s="26">
        <f>现金流量表!AY13</f>
        <v>567976043.11000001</v>
      </c>
      <c r="AZ14" s="26">
        <f>现金流量表!AZ13</f>
        <v>310503282.19999999</v>
      </c>
      <c r="BA14" s="26">
        <f>现金流量表!BA13</f>
        <v>1384501370.98</v>
      </c>
      <c r="BB14" s="26">
        <f>现金流量表!BB13</f>
        <v>1139823194.8499999</v>
      </c>
      <c r="BC14" s="26">
        <f>现金流量表!BC13</f>
        <v>784600897.85000002</v>
      </c>
      <c r="BD14" s="26">
        <f>现金流量表!BD13</f>
        <v>416475190.25999999</v>
      </c>
      <c r="BE14" s="26">
        <f>现金流量表!BE13</f>
        <v>1120756111.4300001</v>
      </c>
      <c r="BF14" s="26">
        <f>现金流量表!BF13</f>
        <v>1070704439.34</v>
      </c>
      <c r="BG14" s="26">
        <f>现金流量表!BG13</f>
        <v>372489773.35000002</v>
      </c>
      <c r="BH14" s="26">
        <f>现金流量表!BH13</f>
        <v>179016091.75</v>
      </c>
      <c r="BI14" s="26">
        <f>现金流量表!BI13</f>
        <v>794532232.12</v>
      </c>
      <c r="BJ14" s="26">
        <f>现金流量表!BJ13</f>
        <v>770693678.51999998</v>
      </c>
      <c r="BK14" s="26">
        <f>现金流量表!BK13</f>
        <v>571970187.01999998</v>
      </c>
      <c r="BL14" s="26">
        <f>现金流量表!BL13</f>
        <v>170186033.81</v>
      </c>
      <c r="BM14" s="26">
        <f>现金流量表!BM13</f>
        <v>229602872.49000001</v>
      </c>
      <c r="BN14" s="26">
        <f>现金流量表!BN13</f>
        <v>-18069168.73</v>
      </c>
      <c r="BO14" s="26">
        <f>现金流量表!BO13</f>
        <v>-39103770.670000002</v>
      </c>
      <c r="BP14" s="26">
        <f>现金流量表!BP13</f>
        <v>-44771062.189999998</v>
      </c>
      <c r="BQ14" s="26">
        <f>现金流量表!BQ13</f>
        <v>195742978.63</v>
      </c>
      <c r="BR14" s="26">
        <f>现金流量表!BR13</f>
        <v>120113206.53</v>
      </c>
      <c r="BS14" s="26">
        <f>现金流量表!BS13</f>
        <v>50368022.869999997</v>
      </c>
      <c r="BT14" s="26">
        <f>现金流量表!BT13</f>
        <v>-69160066.280000001</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9449535560.5695438</v>
      </c>
      <c r="F15" s="26">
        <f>股权价值增加表!F17</f>
        <v>8031188317.2360077</v>
      </c>
      <c r="G15" s="26">
        <f>股权价值增加表!G17</f>
        <v>4476234380.3899679</v>
      </c>
      <c r="H15" s="26">
        <f>股权价值增加表!H17</f>
        <v>2836458248.9664464</v>
      </c>
      <c r="I15" s="26">
        <f>股权价值增加表!I17</f>
        <v>11531351186.453886</v>
      </c>
      <c r="J15" s="26">
        <f>股权价值增加表!J17</f>
        <v>9469406964.9870529</v>
      </c>
      <c r="K15" s="26">
        <f>股权价值增加表!K17</f>
        <v>5103104700.8276415</v>
      </c>
      <c r="L15" s="26">
        <f>股权价值增加表!L17</f>
        <v>3290835790.0333147</v>
      </c>
      <c r="M15" s="26">
        <f>股权价值增加表!M17</f>
        <v>14932034486.502201</v>
      </c>
      <c r="N15" s="26">
        <f>股权价值增加表!N17</f>
        <v>12171451794.755148</v>
      </c>
      <c r="O15" s="26">
        <f>股权价值增加表!O17</f>
        <v>6977278441.0756521</v>
      </c>
      <c r="P15" s="26">
        <f>股权价值增加表!P17</f>
        <v>3540713819.9791498</v>
      </c>
      <c r="Q15" s="26">
        <f>股权价值增加表!Q17</f>
        <v>15190531811.188114</v>
      </c>
      <c r="R15" s="26">
        <f>股权价值增加表!R17</f>
        <v>12014897864.532066</v>
      </c>
      <c r="S15" s="26">
        <f>股权价值增加表!S17</f>
        <v>5525105520.7066593</v>
      </c>
      <c r="T15" s="26">
        <f>股权价值增加表!T17</f>
        <v>2620949939.8801651</v>
      </c>
      <c r="U15" s="26">
        <f>股权价值增加表!U17</f>
        <v>9303682276.1951733</v>
      </c>
      <c r="V15" s="26">
        <f>股权价值增加表!V17</f>
        <v>6707713278.9301577</v>
      </c>
      <c r="W15" s="26">
        <f>股权价值增加表!W17</f>
        <v>3589041470.9867134</v>
      </c>
      <c r="X15" s="26">
        <f>股权价值增加表!X17</f>
        <v>1600983014.7405372</v>
      </c>
      <c r="Y15" s="26">
        <f>股权价值增加表!Y17</f>
        <v>4499526275.272295</v>
      </c>
      <c r="Z15" s="26">
        <f>股权价值增加表!Z17</f>
        <v>3151954131.2275872</v>
      </c>
      <c r="AA15" s="26">
        <f>股权价值增加表!AA17</f>
        <v>930818775.58950186</v>
      </c>
      <c r="AB15" s="26">
        <f>股权价值增加表!AB17</f>
        <v>989821389.03938377</v>
      </c>
      <c r="AC15" s="26">
        <f>股权价值增加表!AC17</f>
        <v>2265431457.3353381</v>
      </c>
      <c r="AD15" s="26">
        <f>股权价值增加表!AD17</f>
        <v>1841660783.3069024</v>
      </c>
      <c r="AE15" s="26">
        <f>股权价值增加表!AE17</f>
        <v>952221343.06440735</v>
      </c>
      <c r="AF15" s="26">
        <f>股权价值增加表!AF17</f>
        <v>300916199.23918641</v>
      </c>
      <c r="AG15" s="26">
        <f>股权价值增加表!AG17</f>
        <v>2407454747.595459</v>
      </c>
      <c r="AH15" s="26">
        <f>股权价值增加表!AH17</f>
        <v>1880988199.0847352</v>
      </c>
      <c r="AI15" s="26">
        <f>股权价值增加表!AI17</f>
        <v>832374657.05152857</v>
      </c>
      <c r="AJ15" s="26">
        <f>股权价值增加表!AJ17</f>
        <v>404600836.06966579</v>
      </c>
      <c r="AK15" s="26">
        <f>股权价值增加表!AK17</f>
        <v>2310006112.1760182</v>
      </c>
      <c r="AL15" s="26">
        <f>股权价值增加表!AL17</f>
        <v>548822133.11075926</v>
      </c>
      <c r="AM15" s="26">
        <f>股权价值增加表!AM17</f>
        <v>348662004.99909031</v>
      </c>
      <c r="AN15" s="26">
        <f>股权价值增加表!AN17</f>
        <v>140910710.88051683</v>
      </c>
      <c r="AO15" s="26">
        <f>股权价值增加表!AO17</f>
        <v>506126828.66985053</v>
      </c>
      <c r="AP15" s="26">
        <f>股权价值增加表!AP17</f>
        <v>472623402.98785782</v>
      </c>
      <c r="AQ15" s="26">
        <f>股权价值增加表!AQ17</f>
        <v>366898108.83763522</v>
      </c>
      <c r="AR15" s="26">
        <f>股权价值增加表!AR17</f>
        <v>186009516.49062073</v>
      </c>
      <c r="AS15" s="26">
        <f>股权价值增加表!AS17</f>
        <v>1301946361.5246069</v>
      </c>
      <c r="AT15" s="26">
        <f>股权价值增加表!AT17</f>
        <v>1030633430.9902276</v>
      </c>
      <c r="AU15" s="26">
        <f>股权价值增加表!AU17</f>
        <v>761430040.08989835</v>
      </c>
      <c r="AV15" s="26">
        <f>股权价值增加表!AV17</f>
        <v>378024040.45645326</v>
      </c>
      <c r="AW15" s="26">
        <f>股权价值增加表!AW17</f>
        <v>962790380.47577786</v>
      </c>
      <c r="AX15" s="26">
        <f>股权价值增加表!AX17</f>
        <v>601878915.8031956</v>
      </c>
      <c r="AY15" s="26">
        <f>股权价值增加表!AY17</f>
        <v>392832494.87957788</v>
      </c>
      <c r="AZ15" s="26">
        <f>股权价值增加表!AZ17</f>
        <v>169201106.09300876</v>
      </c>
      <c r="BA15" s="26">
        <f>股权价值增加表!BA17</f>
        <v>808209635.10432124</v>
      </c>
      <c r="BB15" s="26">
        <f>股权价值增加表!BB17</f>
        <v>685386384.84864545</v>
      </c>
      <c r="BC15" s="26">
        <f>股权价值增加表!BC17</f>
        <v>465366171.00173742</v>
      </c>
      <c r="BD15" s="26">
        <f>股权价值增加表!BD17</f>
        <v>253506334.03813171</v>
      </c>
      <c r="BE15" s="26">
        <f>股权价值增加表!BE17</f>
        <v>700375490.89937329</v>
      </c>
      <c r="BF15" s="26">
        <f>股权价值增加表!BF17</f>
        <v>508280008.34459603</v>
      </c>
      <c r="BG15" s="26">
        <f>股权价值增加表!BG17</f>
        <v>346870365.01161534</v>
      </c>
      <c r="BH15" s="26">
        <f>股权价值增加表!BH17</f>
        <v>112777744.84435798</v>
      </c>
      <c r="BI15" s="26">
        <f>股权价值增加表!BI17</f>
        <v>421557866.96440107</v>
      </c>
      <c r="BJ15" s="26">
        <f>股权价值增加表!BJ17</f>
        <v>278284932.11786765</v>
      </c>
      <c r="BK15" s="26">
        <f>股权价值增加表!BK17</f>
        <v>184429592.2834636</v>
      </c>
      <c r="BL15" s="26">
        <f>股权价值增加表!BL17</f>
        <v>92249743.195517018</v>
      </c>
      <c r="BM15" s="26">
        <f>股权价值增加表!BM17</f>
        <v>-5664243.1453366391</v>
      </c>
      <c r="BN15" s="26">
        <f>股权价值增加表!BN17</f>
        <v>-89958370.469999969</v>
      </c>
      <c r="BO15" s="26">
        <f>股权价值增加表!BO17</f>
        <v>-66945651.919999987</v>
      </c>
      <c r="BP15" s="26">
        <f>股权价值增加表!BP17</f>
        <v>-36931058.579999991</v>
      </c>
      <c r="BQ15" s="26">
        <f>股权价值增加表!BQ17</f>
        <v>-57644251.829999976</v>
      </c>
      <c r="BR15" s="26">
        <f>股权价值增加表!BR17</f>
        <v>-883574.4099999927</v>
      </c>
      <c r="BS15" s="26">
        <f>股权价值增加表!BS17</f>
        <v>14146871.640000165</v>
      </c>
      <c r="BT15" s="26">
        <f>股权价值增加表!BT17</f>
        <v>-31336332.299999945</v>
      </c>
      <c r="BU15" s="26">
        <f>股权价值增加表!BU17</f>
        <v>-41480263.320000201</v>
      </c>
      <c r="BV15" s="26">
        <f>股权价值增加表!BV17</f>
        <v>-63652408.539999999</v>
      </c>
      <c r="BW15" s="26">
        <f>股权价值增加表!BW17</f>
        <v>55287220.185182847</v>
      </c>
      <c r="BX15" s="26">
        <f>股权价值增加表!BX17</f>
        <v>77330083.226681858</v>
      </c>
      <c r="BY15" s="26">
        <f>股权价值增加表!BY17</f>
        <v>112935653.69820741</v>
      </c>
      <c r="BZ15" s="26">
        <f>股权价值增加表!BZ17</f>
        <v>605045102.11999989</v>
      </c>
      <c r="CA15" s="26">
        <f>股权价值增加表!CA17</f>
        <v>97881357.618237168</v>
      </c>
      <c r="CB15" s="26">
        <f>股权价值增加表!CB17</f>
        <v>127522699.11818066</v>
      </c>
      <c r="CC15" s="26">
        <f>股权价值增加表!CC17</f>
        <v>65271215.472856551</v>
      </c>
      <c r="CD15" s="26">
        <f>股权价值增加表!CD17</f>
        <v>89646632.711809173</v>
      </c>
      <c r="CE15" s="26">
        <f>股权价值增加表!CE17</f>
        <v>35855220.602730975</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1.9197811026943845</v>
      </c>
      <c r="F16" s="28">
        <f t="shared" ref="F16:BQ16" si="8">F14/F15</f>
        <v>1.7321570638736645</v>
      </c>
      <c r="G16" s="28">
        <f t="shared" si="8"/>
        <v>1.5513433193873609</v>
      </c>
      <c r="H16" s="28">
        <f t="shared" si="8"/>
        <v>1.2429664652686752</v>
      </c>
      <c r="I16" s="28">
        <f t="shared" si="8"/>
        <v>1.6534521879706388</v>
      </c>
      <c r="J16" s="28">
        <f t="shared" si="8"/>
        <v>1.4875115182220136</v>
      </c>
      <c r="K16" s="28">
        <f t="shared" si="8"/>
        <v>1.5140661004029363</v>
      </c>
      <c r="L16" s="28">
        <f t="shared" si="8"/>
        <v>1.1561477051188518</v>
      </c>
      <c r="M16" s="28">
        <f t="shared" si="8"/>
        <v>1.5333993281155034</v>
      </c>
      <c r="N16" s="28">
        <f t="shared" si="8"/>
        <v>1.377045865723463</v>
      </c>
      <c r="O16" s="28">
        <f t="shared" si="8"/>
        <v>1.3915358787577914</v>
      </c>
      <c r="P16" s="28">
        <f t="shared" si="8"/>
        <v>1.3697142389803645</v>
      </c>
      <c r="Q16" s="28">
        <f t="shared" si="8"/>
        <v>1.4100218041559622</v>
      </c>
      <c r="R16" s="28">
        <f t="shared" si="8"/>
        <v>1.2974020333070138</v>
      </c>
      <c r="S16" s="28">
        <f t="shared" si="8"/>
        <v>1.3909921983783293</v>
      </c>
      <c r="T16" s="28">
        <f t="shared" si="8"/>
        <v>1.4111969731360496</v>
      </c>
      <c r="U16" s="28">
        <f t="shared" si="8"/>
        <v>1.6335051353769148</v>
      </c>
      <c r="V16" s="28">
        <f t="shared" si="8"/>
        <v>1.5701277166739287</v>
      </c>
      <c r="W16" s="28">
        <f t="shared" si="8"/>
        <v>1.6761803616680111</v>
      </c>
      <c r="X16" s="28">
        <f t="shared" si="8"/>
        <v>1.8255919606827766</v>
      </c>
      <c r="Y16" s="28">
        <f t="shared" si="8"/>
        <v>1.9127300368435283</v>
      </c>
      <c r="Z16" s="28">
        <f t="shared" si="8"/>
        <v>2.0476875015710605</v>
      </c>
      <c r="AA16" s="28">
        <f t="shared" si="8"/>
        <v>3.6516659856236098</v>
      </c>
      <c r="AB16" s="28">
        <f t="shared" si="8"/>
        <v>1.6394665267891393</v>
      </c>
      <c r="AC16" s="28">
        <f t="shared" si="8"/>
        <v>2.3733148447510666</v>
      </c>
      <c r="AD16" s="28">
        <f t="shared" si="8"/>
        <v>2.4284501735544115</v>
      </c>
      <c r="AE16" s="28">
        <f t="shared" si="8"/>
        <v>2.8894388130763615</v>
      </c>
      <c r="AF16" s="28">
        <f t="shared" si="8"/>
        <v>6.1355625836628915</v>
      </c>
      <c r="AG16" s="28">
        <f t="shared" si="8"/>
        <v>2.0956911073943032</v>
      </c>
      <c r="AH16" s="28">
        <f t="shared" si="8"/>
        <v>1.8858176557492614</v>
      </c>
      <c r="AI16" s="28">
        <f t="shared" si="8"/>
        <v>2.442067220487425</v>
      </c>
      <c r="AJ16" s="28">
        <f t="shared" si="8"/>
        <v>3.3660667757629157</v>
      </c>
      <c r="AK16" s="28">
        <f t="shared" si="8"/>
        <v>2.1837821539390001</v>
      </c>
      <c r="AL16" s="28">
        <f t="shared" si="8"/>
        <v>2.7833291560450251</v>
      </c>
      <c r="AM16" s="28">
        <f t="shared" si="8"/>
        <v>3.337440922170559</v>
      </c>
      <c r="AN16" s="28">
        <f t="shared" si="8"/>
        <v>4.1191918635069138</v>
      </c>
      <c r="AO16" s="28">
        <f t="shared" si="8"/>
        <v>3.3012274393379339</v>
      </c>
      <c r="AP16" s="28">
        <f t="shared" si="8"/>
        <v>2.4805374835619793</v>
      </c>
      <c r="AQ16" s="28">
        <f t="shared" si="8"/>
        <v>2.3067622740310632</v>
      </c>
      <c r="AR16" s="28">
        <f t="shared" si="8"/>
        <v>2.3016253066900885</v>
      </c>
      <c r="AS16" s="28">
        <f t="shared" si="8"/>
        <v>1.8620343098859538</v>
      </c>
      <c r="AT16" s="28">
        <f t="shared" si="8"/>
        <v>1.9780359012818887</v>
      </c>
      <c r="AU16" s="28">
        <f t="shared" si="8"/>
        <v>1.9579117370704038</v>
      </c>
      <c r="AV16" s="28">
        <f t="shared" si="8"/>
        <v>1.6689300640726747</v>
      </c>
      <c r="AW16" s="28">
        <f t="shared" si="8"/>
        <v>1.6003427630411018</v>
      </c>
      <c r="AX16" s="28">
        <f t="shared" si="8"/>
        <v>1.6488106550229999</v>
      </c>
      <c r="AY16" s="28">
        <f t="shared" si="8"/>
        <v>1.4458479135849291</v>
      </c>
      <c r="AZ16" s="28">
        <f t="shared" si="8"/>
        <v>1.8351137848313968</v>
      </c>
      <c r="BA16" s="28">
        <f t="shared" si="8"/>
        <v>1.7130473466841221</v>
      </c>
      <c r="BB16" s="28">
        <f t="shared" si="8"/>
        <v>1.663037404954737</v>
      </c>
      <c r="BC16" s="28">
        <f t="shared" si="8"/>
        <v>1.6859861045788624</v>
      </c>
      <c r="BD16" s="28">
        <f t="shared" si="8"/>
        <v>1.642859109774176</v>
      </c>
      <c r="BE16" s="28">
        <f t="shared" si="8"/>
        <v>1.6002217753091321</v>
      </c>
      <c r="BF16" s="28">
        <f t="shared" si="8"/>
        <v>2.1065247929525097</v>
      </c>
      <c r="BG16" s="28">
        <f t="shared" si="8"/>
        <v>1.0738587406783131</v>
      </c>
      <c r="BH16" s="28">
        <f t="shared" si="8"/>
        <v>1.5873352672289738</v>
      </c>
      <c r="BI16" s="28">
        <f t="shared" si="8"/>
        <v>1.8847524726352578</v>
      </c>
      <c r="BJ16" s="28">
        <f t="shared" si="8"/>
        <v>2.7694409203354655</v>
      </c>
      <c r="BK16" s="28">
        <f t="shared" si="8"/>
        <v>3.1012929104180653</v>
      </c>
      <c r="BL16" s="28">
        <f t="shared" si="8"/>
        <v>1.8448401904957323</v>
      </c>
      <c r="BM16" s="28">
        <f t="shared" si="8"/>
        <v>-40.535490196785005</v>
      </c>
      <c r="BN16" s="28">
        <f t="shared" si="8"/>
        <v>0.20086144997508432</v>
      </c>
      <c r="BO16" s="28">
        <f t="shared" si="8"/>
        <v>0.5841121797832215</v>
      </c>
      <c r="BP16" s="28">
        <f t="shared" si="8"/>
        <v>1.2122875409329794</v>
      </c>
      <c r="BQ16" s="28">
        <f t="shared" si="8"/>
        <v>-3.395706812316174</v>
      </c>
      <c r="BR16" s="28">
        <f t="shared" ref="BR16:CL16" si="9">BR14/BR15</f>
        <v>-135.9401145739395</v>
      </c>
      <c r="BS16" s="28">
        <f t="shared" si="9"/>
        <v>3.5603647330470451</v>
      </c>
      <c r="BT16" s="28">
        <f t="shared" si="9"/>
        <v>2.2070249197606358</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5613466691.4999981</v>
      </c>
      <c r="F17" s="26">
        <f>股权价值增加表!F42</f>
        <v>5240741246.2599983</v>
      </c>
      <c r="G17" s="26">
        <f>股权价值增加表!G42</f>
        <v>2636906338.8199992</v>
      </c>
      <c r="H17" s="26">
        <f>股权价值增加表!H42</f>
        <v>1843543760.4699998</v>
      </c>
      <c r="I17" s="26">
        <f>股权价值增加表!I42</f>
        <v>7843128046.6099997</v>
      </c>
      <c r="J17" s="26">
        <f>股权价值增加表!J42</f>
        <v>6763459730.5200014</v>
      </c>
      <c r="K17" s="26">
        <f>股权价值增加表!K42</f>
        <v>3207975423.8100004</v>
      </c>
      <c r="L17" s="26">
        <f>股权价值增加表!L42</f>
        <v>2308556528.71</v>
      </c>
      <c r="M17" s="26">
        <f>股权价值增加表!M42</f>
        <v>10002692872.599998</v>
      </c>
      <c r="N17" s="26">
        <f>股权价值增加表!N42</f>
        <v>8448766677.7000017</v>
      </c>
      <c r="O17" s="26">
        <f>股权价值增加表!O42</f>
        <v>4553648894.3199978</v>
      </c>
      <c r="P17" s="26">
        <f>股权价值增加表!P42</f>
        <v>2290774318.96</v>
      </c>
      <c r="Q17" s="26">
        <f>股权价值增加表!Q42</f>
        <v>10091459224.869999</v>
      </c>
      <c r="R17" s="26">
        <f>股权价值增加表!R42</f>
        <v>8400426619.0999994</v>
      </c>
      <c r="S17" s="26">
        <f>股权价值增加表!S42</f>
        <v>3433494552.5200009</v>
      </c>
      <c r="T17" s="26">
        <f>股权价值增加表!T42</f>
        <v>1508056428.7900004</v>
      </c>
      <c r="U17" s="26">
        <f>股权价值增加表!U42</f>
        <v>5922153001.5</v>
      </c>
      <c r="V17" s="26">
        <f>股权价值增加表!V42</f>
        <v>4360790989.2000017</v>
      </c>
      <c r="W17" s="26">
        <f>股权价值增加表!W42</f>
        <v>2064995157.5100002</v>
      </c>
      <c r="X17" s="26">
        <f>股权价值增加表!X42</f>
        <v>844520094.37000024</v>
      </c>
      <c r="Y17" s="26">
        <f>股权价值增加表!Y42</f>
        <v>1999719133.840003</v>
      </c>
      <c r="Z17" s="26">
        <f>股权价值增加表!Z42</f>
        <v>1365091639.1399992</v>
      </c>
      <c r="AA17" s="26">
        <f>股权价值增加表!AA42</f>
        <v>138486403.91000044</v>
      </c>
      <c r="AB17" s="26">
        <f>股权价值增加表!AB42</f>
        <v>-74529403.999999598</v>
      </c>
      <c r="AC17" s="26">
        <f>股权价值增加表!AC42</f>
        <v>859739537.74000263</v>
      </c>
      <c r="AD17" s="26">
        <f>股权价值增加表!AD42</f>
        <v>737144144.68999958</v>
      </c>
      <c r="AE17" s="26">
        <f>股权价值增加表!AE42</f>
        <v>250670585.74999914</v>
      </c>
      <c r="AF17" s="26">
        <f>股权价值增加表!AF42</f>
        <v>33786881.880000353</v>
      </c>
      <c r="AG17" s="26">
        <f>股权价值增加表!AG42</f>
        <v>1196575529.6400006</v>
      </c>
      <c r="AH17" s="26">
        <f>股权价值增加表!AH42</f>
        <v>879699820.20999956</v>
      </c>
      <c r="AI17" s="26">
        <f>股权价值增加表!AI42</f>
        <v>232870610.18000022</v>
      </c>
      <c r="AJ17" s="26">
        <f>股权价值增加表!AJ42</f>
        <v>89220850.149999678</v>
      </c>
      <c r="AK17" s="26">
        <f>股权价值增加表!AK42</f>
        <v>1023609868.7100006</v>
      </c>
      <c r="AL17" s="26">
        <f>股权价值增加表!AL42</f>
        <v>260318474.49000037</v>
      </c>
      <c r="AM17" s="26">
        <f>股权价值增加表!AM42</f>
        <v>144476104.50000024</v>
      </c>
      <c r="AN17" s="26">
        <f>股权价值增加表!AN42</f>
        <v>55889953.810000017</v>
      </c>
      <c r="AO17" s="26">
        <f>股权价值增加表!AO42</f>
        <v>167573514.67000079</v>
      </c>
      <c r="AP17" s="26">
        <f>股权价值增加表!AP42</f>
        <v>183848510.50000012</v>
      </c>
      <c r="AQ17" s="26">
        <f>股权价值增加表!AQ42</f>
        <v>170530603.08000019</v>
      </c>
      <c r="AR17" s="26">
        <f>股权价值增加表!AR42</f>
        <v>99428591.310000107</v>
      </c>
      <c r="AS17" s="26">
        <f>股权价值增加表!AS42</f>
        <v>919554269.8299998</v>
      </c>
      <c r="AT17" s="26">
        <f>股权价值增加表!AT42</f>
        <v>745637987.20000041</v>
      </c>
      <c r="AU17" s="26">
        <f>股权价值增加表!AU42</f>
        <v>566791969.87</v>
      </c>
      <c r="AV17" s="26">
        <f>股权价值增加表!AV42</f>
        <v>287637752.28000009</v>
      </c>
      <c r="AW17" s="26">
        <f>股权价值增加表!AW42</f>
        <v>739920179.29000008</v>
      </c>
      <c r="AX17" s="26">
        <f>股权价值增加表!AX42</f>
        <v>503307356.29000002</v>
      </c>
      <c r="AY17" s="26">
        <f>股权价值增加表!AY42</f>
        <v>316331534.68999982</v>
      </c>
      <c r="AZ17" s="26">
        <f>股权价值增加表!AZ42</f>
        <v>122338472.30999996</v>
      </c>
      <c r="BA17" s="26">
        <f>股权价值增加表!BA42</f>
        <v>654962269.1700002</v>
      </c>
      <c r="BB17" s="26">
        <f>股权价值增加表!BB42</f>
        <v>573534423.28000021</v>
      </c>
      <c r="BC17" s="26">
        <f>股权价值增加表!BC42</f>
        <v>375381609.21000004</v>
      </c>
      <c r="BD17" s="26">
        <f>股权价值增加表!BD42</f>
        <v>208248435.5</v>
      </c>
      <c r="BE17" s="26">
        <f>股权价值增加表!BE42</f>
        <v>573147587.86000001</v>
      </c>
      <c r="BF17" s="26">
        <f>股权价值增加表!BF42</f>
        <v>423249890.06999993</v>
      </c>
      <c r="BG17" s="26">
        <f>股权价值增加表!BG42</f>
        <v>302622982.69999993</v>
      </c>
      <c r="BH17" s="26">
        <f>股权价值增加表!BH42</f>
        <v>112687907.36000001</v>
      </c>
      <c r="BI17" s="26">
        <f>股权价值增加表!BI42</f>
        <v>358637429.07999998</v>
      </c>
      <c r="BJ17" s="26">
        <f>股权价值增加表!BJ42</f>
        <v>231517782.21999988</v>
      </c>
      <c r="BK17" s="26">
        <f>股权价值增加表!BK42</f>
        <v>145487030.24000007</v>
      </c>
      <c r="BL17" s="26">
        <f>股权价值增加表!BL42</f>
        <v>76510057.419999972</v>
      </c>
      <c r="BM17" s="26">
        <f>股权价值增加表!BM42</f>
        <v>-1907746.2099997029</v>
      </c>
      <c r="BN17" s="26">
        <f>股权价值增加表!BN42</f>
        <v>-89311536.409999967</v>
      </c>
      <c r="BO17" s="26">
        <f>股权价值增加表!BO42</f>
        <v>-66766287.609999985</v>
      </c>
      <c r="BP17" s="26">
        <f>股权价值增加表!BP42</f>
        <v>-36816950.089999989</v>
      </c>
      <c r="BQ17" s="26">
        <f>股权价值增加表!BQ42</f>
        <v>-56412568.379999973</v>
      </c>
      <c r="BR17" s="26">
        <f>股权价值增加表!BR42</f>
        <v>-1665814.9699999928</v>
      </c>
      <c r="BS17" s="26">
        <f>股权价值增加表!BS42</f>
        <v>6416326.6100001652</v>
      </c>
      <c r="BT17" s="26">
        <f>股权价值增加表!BT42</f>
        <v>-34818332.969999947</v>
      </c>
      <c r="BU17" s="26">
        <f>股权价值增加表!BU42</f>
        <v>-51582165.800000206</v>
      </c>
      <c r="BV17" s="26">
        <f>股权价值增加表!BV42</f>
        <v>-68450014.060000002</v>
      </c>
      <c r="BW17" s="26">
        <f>股权价值增加表!BW42</f>
        <v>53280820.879999846</v>
      </c>
      <c r="BX17" s="26">
        <f>股权价值增加表!BX42</f>
        <v>76559418.919999972</v>
      </c>
      <c r="BY17" s="26">
        <f>股权价值增加表!BY42</f>
        <v>111034333.27000009</v>
      </c>
      <c r="BZ17" s="26">
        <f>股权价值增加表!BZ42</f>
        <v>605045102.11999989</v>
      </c>
      <c r="CA17" s="26">
        <f>股权价值增加表!CA42</f>
        <v>108077578.99000001</v>
      </c>
      <c r="CB17" s="26">
        <f>股权价值增加表!CB42</f>
        <v>127818086.89</v>
      </c>
      <c r="CC17" s="26">
        <f>股权价值增加表!CC42</f>
        <v>68318977.779999971</v>
      </c>
      <c r="CD17" s="26">
        <f>股权价值增加表!CD42</f>
        <v>89658844.189999998</v>
      </c>
      <c r="CE17" s="26">
        <f>股权价值增加表!CE42</f>
        <v>37572290.329999998</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3.2316999094141687</v>
      </c>
      <c r="F18" s="28">
        <f t="shared" ref="F18:BQ18" si="10">F14/F17</f>
        <v>2.6544488501369234</v>
      </c>
      <c r="G18" s="28">
        <f t="shared" si="10"/>
        <v>2.6334558037952456</v>
      </c>
      <c r="H18" s="28">
        <f t="shared" si="10"/>
        <v>1.9124159454187108</v>
      </c>
      <c r="I18" s="28">
        <f t="shared" si="10"/>
        <v>2.4309864299284318</v>
      </c>
      <c r="J18" s="28">
        <f t="shared" si="10"/>
        <v>2.0826400233578419</v>
      </c>
      <c r="K18" s="28">
        <f t="shared" si="10"/>
        <v>2.4085090481003686</v>
      </c>
      <c r="L18" s="28">
        <f t="shared" si="10"/>
        <v>1.6480827734792471</v>
      </c>
      <c r="M18" s="28">
        <f t="shared" si="10"/>
        <v>2.2890607500026587</v>
      </c>
      <c r="N18" s="28">
        <f t="shared" si="10"/>
        <v>1.983798110801035</v>
      </c>
      <c r="O18" s="28">
        <f t="shared" si="10"/>
        <v>2.1321655472714869</v>
      </c>
      <c r="P18" s="28">
        <f t="shared" si="10"/>
        <v>2.1170859544041725</v>
      </c>
      <c r="Q18" s="28">
        <f t="shared" si="10"/>
        <v>2.1224860144818081</v>
      </c>
      <c r="R18" s="28">
        <f t="shared" si="10"/>
        <v>1.8556382462739822</v>
      </c>
      <c r="S18" s="28">
        <f t="shared" si="10"/>
        <v>2.2383547015909331</v>
      </c>
      <c r="T18" s="28">
        <f t="shared" si="10"/>
        <v>2.4526115543750966</v>
      </c>
      <c r="U18" s="28">
        <f t="shared" si="10"/>
        <v>2.5662310264916584</v>
      </c>
      <c r="V18" s="28">
        <f t="shared" si="10"/>
        <v>2.415150499263464</v>
      </c>
      <c r="W18" s="28">
        <f t="shared" si="10"/>
        <v>2.9132663139675508</v>
      </c>
      <c r="X18" s="28">
        <f t="shared" si="10"/>
        <v>3.4608314714883406</v>
      </c>
      <c r="Y18" s="28">
        <f t="shared" si="10"/>
        <v>4.3037939241764516</v>
      </c>
      <c r="Z18" s="28">
        <f t="shared" si="10"/>
        <v>4.7280467442509018</v>
      </c>
      <c r="AA18" s="28">
        <f t="shared" si="10"/>
        <v>24.544209147122977</v>
      </c>
      <c r="AB18" s="28">
        <f t="shared" si="10"/>
        <v>-21.773675190398794</v>
      </c>
      <c r="AC18" s="28">
        <f t="shared" si="10"/>
        <v>6.2537336849639624</v>
      </c>
      <c r="AD18" s="28">
        <f t="shared" si="10"/>
        <v>6.0671735386717707</v>
      </c>
      <c r="AE18" s="28">
        <f t="shared" si="10"/>
        <v>10.976099565323688</v>
      </c>
      <c r="AF18" s="28">
        <f t="shared" si="10"/>
        <v>54.645177954787364</v>
      </c>
      <c r="AG18" s="28">
        <f t="shared" si="10"/>
        <v>4.2164337987990725</v>
      </c>
      <c r="AH18" s="28">
        <f t="shared" si="10"/>
        <v>4.0322854166813649</v>
      </c>
      <c r="AI18" s="28">
        <f t="shared" si="10"/>
        <v>8.7289455014472974</v>
      </c>
      <c r="AJ18" s="28">
        <f t="shared" si="10"/>
        <v>15.264519778172108</v>
      </c>
      <c r="AK18" s="28">
        <f t="shared" si="10"/>
        <v>4.9281960612761289</v>
      </c>
      <c r="AL18" s="28">
        <f t="shared" si="10"/>
        <v>5.8680147368053124</v>
      </c>
      <c r="AM18" s="28">
        <f t="shared" si="10"/>
        <v>8.0541958652408017</v>
      </c>
      <c r="AN18" s="28">
        <f t="shared" si="10"/>
        <v>10.385377230999715</v>
      </c>
      <c r="AO18" s="28">
        <f t="shared" si="10"/>
        <v>9.9707867193712065</v>
      </c>
      <c r="AP18" s="28">
        <f t="shared" si="10"/>
        <v>6.3767721779829118</v>
      </c>
      <c r="AQ18" s="28">
        <f t="shared" si="10"/>
        <v>4.9630195436707476</v>
      </c>
      <c r="AR18" s="28">
        <f t="shared" si="10"/>
        <v>4.305846083096835</v>
      </c>
      <c r="AS18" s="28">
        <f t="shared" si="10"/>
        <v>2.6363520613505282</v>
      </c>
      <c r="AT18" s="28">
        <f t="shared" si="10"/>
        <v>2.7340746616403062</v>
      </c>
      <c r="AU18" s="28">
        <f t="shared" si="10"/>
        <v>2.6302645268455982</v>
      </c>
      <c r="AV18" s="28">
        <f t="shared" si="10"/>
        <v>2.1933688504346831</v>
      </c>
      <c r="AW18" s="28">
        <f t="shared" si="10"/>
        <v>2.0823795063928237</v>
      </c>
      <c r="AX18" s="28">
        <f t="shared" si="10"/>
        <v>1.97172633582212</v>
      </c>
      <c r="AY18" s="28">
        <f t="shared" si="10"/>
        <v>1.795508764773035</v>
      </c>
      <c r="AZ18" s="28">
        <f t="shared" si="10"/>
        <v>2.5380673498455923</v>
      </c>
      <c r="BA18" s="28">
        <f t="shared" si="10"/>
        <v>2.1138643188324528</v>
      </c>
      <c r="BB18" s="28">
        <f t="shared" si="10"/>
        <v>1.9873666663832257</v>
      </c>
      <c r="BC18" s="28">
        <f t="shared" si="10"/>
        <v>2.0901420810177997</v>
      </c>
      <c r="BD18" s="28">
        <f t="shared" si="10"/>
        <v>1.9998958900221846</v>
      </c>
      <c r="BE18" s="28">
        <f t="shared" si="10"/>
        <v>1.9554406843351519</v>
      </c>
      <c r="BF18" s="28">
        <f t="shared" si="10"/>
        <v>2.5297217186823597</v>
      </c>
      <c r="BG18" s="28">
        <f t="shared" si="10"/>
        <v>1.2308707356812398</v>
      </c>
      <c r="BH18" s="28">
        <f t="shared" si="10"/>
        <v>1.5886007287197526</v>
      </c>
      <c r="BI18" s="28">
        <f t="shared" si="10"/>
        <v>2.2154191606776394</v>
      </c>
      <c r="BJ18" s="28">
        <f t="shared" si="10"/>
        <v>3.3288746597773122</v>
      </c>
      <c r="BK18" s="28">
        <f t="shared" si="10"/>
        <v>3.9314170209980892</v>
      </c>
      <c r="BL18" s="28">
        <f t="shared" si="10"/>
        <v>2.2243616009300347</v>
      </c>
      <c r="BM18" s="28">
        <f t="shared" si="10"/>
        <v>-120.35294384887588</v>
      </c>
      <c r="BN18" s="28">
        <f t="shared" si="10"/>
        <v>0.20231617836077048</v>
      </c>
      <c r="BO18" s="28">
        <f t="shared" si="10"/>
        <v>0.58568136809426552</v>
      </c>
      <c r="BP18" s="28">
        <f t="shared" si="10"/>
        <v>1.2160448402313602</v>
      </c>
      <c r="BQ18" s="28">
        <f t="shared" si="10"/>
        <v>-3.4698469552291655</v>
      </c>
      <c r="BR18" s="28">
        <f t="shared" ref="BR18:CK18" si="11">BR14/BR17</f>
        <v>-72.104770753741349</v>
      </c>
      <c r="BS18" s="28">
        <f t="shared" si="11"/>
        <v>7.8499780219259598</v>
      </c>
      <c r="BT18" s="28">
        <f t="shared" si="11"/>
        <v>1.986311818535065</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118982486.23</v>
      </c>
      <c r="F19" s="26">
        <f>现金流量表!F48</f>
        <v>0</v>
      </c>
      <c r="G19" s="26">
        <f>现金流量表!G48</f>
        <v>18472726.899999999</v>
      </c>
      <c r="H19" s="26">
        <f>现金流量表!H48</f>
        <v>0</v>
      </c>
      <c r="I19" s="26">
        <f>现金流量表!I48</f>
        <v>49459770.420000002</v>
      </c>
      <c r="J19" s="26">
        <f>现金流量表!J48</f>
        <v>0</v>
      </c>
      <c r="K19" s="26">
        <f>现金流量表!K48</f>
        <v>22604406.59</v>
      </c>
      <c r="L19" s="26">
        <f>现金流量表!L48</f>
        <v>0</v>
      </c>
      <c r="M19" s="26">
        <f>现金流量表!M48</f>
        <v>103043941.31999999</v>
      </c>
      <c r="N19" s="26">
        <f>现金流量表!N48</f>
        <v>0</v>
      </c>
      <c r="O19" s="26">
        <f>现金流量表!O48</f>
        <v>32216401.280000001</v>
      </c>
      <c r="P19" s="26">
        <f>现金流量表!P48</f>
        <v>0</v>
      </c>
      <c r="Q19" s="26">
        <f>现金流量表!Q48</f>
        <v>39430262.850000001</v>
      </c>
      <c r="R19" s="26">
        <f>现金流量表!R48</f>
        <v>0</v>
      </c>
      <c r="S19" s="26">
        <f>现金流量表!S48</f>
        <v>7551480.5</v>
      </c>
      <c r="T19" s="26">
        <f>现金流量表!T48</f>
        <v>0</v>
      </c>
      <c r="U19" s="26">
        <f>现金流量表!U48</f>
        <v>19412194.149999999</v>
      </c>
      <c r="V19" s="26">
        <f>现金流量表!V48</f>
        <v>0</v>
      </c>
      <c r="W19" s="26">
        <f>现金流量表!W48</f>
        <v>6455482.5199999996</v>
      </c>
      <c r="X19" s="26">
        <f>现金流量表!X48</f>
        <v>0</v>
      </c>
      <c r="Y19" s="26">
        <f>现金流量表!Y48</f>
        <v>5711269.1100000003</v>
      </c>
      <c r="Z19" s="26">
        <f>现金流量表!Z48</f>
        <v>0</v>
      </c>
      <c r="AA19" s="26">
        <f>现金流量表!AA48</f>
        <v>7986243.21</v>
      </c>
      <c r="AB19" s="26">
        <f>现金流量表!AB48</f>
        <v>0</v>
      </c>
      <c r="AC19" s="26">
        <f>现金流量表!AC48</f>
        <v>12107454.17</v>
      </c>
      <c r="AD19" s="26">
        <f>现金流量表!AD48</f>
        <v>0</v>
      </c>
      <c r="AE19" s="26">
        <f>现金流量表!AE48</f>
        <v>4673224.3899999997</v>
      </c>
      <c r="AF19" s="26">
        <f>现金流量表!AF48</f>
        <v>0</v>
      </c>
      <c r="AG19" s="26">
        <f>现金流量表!AG48</f>
        <v>1547865.64</v>
      </c>
      <c r="AH19" s="26">
        <f>现金流量表!AH48</f>
        <v>0</v>
      </c>
      <c r="AI19" s="26">
        <f>现金流量表!AI48</f>
        <v>-42500</v>
      </c>
      <c r="AJ19" s="26">
        <f>现金流量表!AJ48</f>
        <v>0</v>
      </c>
      <c r="AK19" s="26">
        <f>现金流量表!AK48</f>
        <v>-5488499.1799999997</v>
      </c>
      <c r="AL19" s="26">
        <f>现金流量表!AL48</f>
        <v>0</v>
      </c>
      <c r="AM19" s="26">
        <f>现金流量表!AM48</f>
        <v>2332847.23</v>
      </c>
      <c r="AN19" s="26">
        <f>现金流量表!AN48</f>
        <v>0</v>
      </c>
      <c r="AO19" s="26">
        <f>现金流量表!AO48</f>
        <v>20769937.809999999</v>
      </c>
      <c r="AP19" s="26">
        <f>现金流量表!AP48</f>
        <v>0</v>
      </c>
      <c r="AQ19" s="26">
        <f>现金流量表!AQ48</f>
        <v>-252503.37</v>
      </c>
      <c r="AR19" s="26">
        <f>现金流量表!AR48</f>
        <v>0</v>
      </c>
      <c r="AS19" s="26">
        <f>现金流量表!AS48</f>
        <v>-10718194.720000001</v>
      </c>
      <c r="AT19" s="26">
        <f>现金流量表!AT48</f>
        <v>0</v>
      </c>
      <c r="AU19" s="26">
        <f>现金流量表!AU48</f>
        <v>0</v>
      </c>
      <c r="AV19" s="26">
        <f>现金流量表!AV48</f>
        <v>0</v>
      </c>
      <c r="AW19" s="26">
        <f>现金流量表!AW48</f>
        <v>5285403.6900000004</v>
      </c>
      <c r="AX19" s="26">
        <f>现金流量表!AX48</f>
        <v>500000</v>
      </c>
      <c r="AY19" s="26">
        <f>现金流量表!AY48</f>
        <v>500000</v>
      </c>
      <c r="AZ19" s="26">
        <f>现金流量表!AZ48</f>
        <v>500000</v>
      </c>
      <c r="BA19" s="26">
        <f>现金流量表!BA48</f>
        <v>-7026422.6100000003</v>
      </c>
      <c r="BB19" s="26">
        <f>现金流量表!BB48</f>
        <v>64717.43</v>
      </c>
      <c r="BC19" s="26">
        <f>现金流量表!BC48</f>
        <v>279312.02</v>
      </c>
      <c r="BD19" s="26">
        <f>现金流量表!BD48</f>
        <v>0</v>
      </c>
      <c r="BE19" s="26">
        <f>现金流量表!BE48</f>
        <v>545039.79</v>
      </c>
      <c r="BF19" s="26">
        <f>现金流量表!BF48</f>
        <v>0</v>
      </c>
      <c r="BG19" s="26">
        <f>现金流量表!BG48</f>
        <v>-2568223.7000000002</v>
      </c>
      <c r="BH19" s="26">
        <f>现金流量表!BH48</f>
        <v>0</v>
      </c>
      <c r="BI19" s="26">
        <f>现金流量表!BI48</f>
        <v>-23096081.859999999</v>
      </c>
      <c r="BJ19" s="26">
        <f>现金流量表!BJ48</f>
        <v>-13551374.27</v>
      </c>
      <c r="BK19" s="26">
        <f>现金流量表!BK48</f>
        <v>-13551374.27</v>
      </c>
      <c r="BL19" s="26">
        <f>现金流量表!BL48</f>
        <v>0</v>
      </c>
      <c r="BM19" s="26">
        <f>现金流量表!BM48</f>
        <v>-2130017.7599999998</v>
      </c>
      <c r="BN19" s="26">
        <f>现金流量表!BN48</f>
        <v>0</v>
      </c>
      <c r="BO19" s="26">
        <f>现金流量表!BO48</f>
        <v>1355617.02</v>
      </c>
      <c r="BP19" s="26">
        <f>现金流量表!BP48</f>
        <v>573128.86</v>
      </c>
      <c r="BQ19" s="26">
        <f>现金流量表!BQ48</f>
        <v>-3279254.2</v>
      </c>
      <c r="BR19" s="26">
        <f>现金流量表!BR48</f>
        <v>-3507950.44</v>
      </c>
      <c r="BS19" s="26">
        <f>现金流量表!BS48</f>
        <v>-3777326.71</v>
      </c>
      <c r="BT19" s="26">
        <f>现金流量表!BT48</f>
        <v>625657.79</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6235786475.1300001</v>
      </c>
      <c r="F20" s="26">
        <f>现金流量表!F49</f>
        <v>0</v>
      </c>
      <c r="G20" s="26">
        <f>现金流量表!G49</f>
        <v>2983489446.3699999</v>
      </c>
      <c r="H20" s="26">
        <f>现金流量表!H49</f>
        <v>0</v>
      </c>
      <c r="I20" s="26">
        <f>现金流量表!I49</f>
        <v>5746058714.0799999</v>
      </c>
      <c r="J20" s="26">
        <f>现金流量表!J49</f>
        <v>0</v>
      </c>
      <c r="K20" s="26">
        <f>现金流量表!K49</f>
        <v>2818040060.4899998</v>
      </c>
      <c r="L20" s="26">
        <f>现金流量表!L49</f>
        <v>0</v>
      </c>
      <c r="M20" s="26">
        <f>现金流量表!M49</f>
        <v>5768491723.7299995</v>
      </c>
      <c r="N20" s="26">
        <f>现金流量表!N49</f>
        <v>0</v>
      </c>
      <c r="O20" s="26">
        <f>现金流量表!O49</f>
        <v>2716808983.1999998</v>
      </c>
      <c r="P20" s="26">
        <f>现金流量表!P49</f>
        <v>0</v>
      </c>
      <c r="Q20" s="26">
        <f>现金流量表!Q49</f>
        <v>5213457675.7799997</v>
      </c>
      <c r="R20" s="26">
        <f>现金流量表!R49</f>
        <v>0</v>
      </c>
      <c r="S20" s="26">
        <f>现金流量表!S49</f>
        <v>2608135619.1700001</v>
      </c>
      <c r="T20" s="26">
        <f>现金流量表!T49</f>
        <v>0</v>
      </c>
      <c r="U20" s="26">
        <f>现金流量表!U49</f>
        <v>4392446513.04</v>
      </c>
      <c r="V20" s="26">
        <f>现金流量表!V49</f>
        <v>0</v>
      </c>
      <c r="W20" s="26">
        <f>现金流量表!W49</f>
        <v>1969973201.51</v>
      </c>
      <c r="X20" s="26">
        <f>现金流量表!X49</f>
        <v>0</v>
      </c>
      <c r="Y20" s="26">
        <f>现金流量表!Y49</f>
        <v>3326713875.1799998</v>
      </c>
      <c r="Z20" s="26">
        <f>现金流量表!Z49</f>
        <v>0</v>
      </c>
      <c r="AA20" s="26">
        <f>现金流量表!AA49</f>
        <v>1497524723.46</v>
      </c>
      <c r="AB20" s="26">
        <f>现金流量表!AB49</f>
        <v>0</v>
      </c>
      <c r="AC20" s="26">
        <f>现金流量表!AC49</f>
        <v>3008553395.54</v>
      </c>
      <c r="AD20" s="26">
        <f>现金流量表!AD49</f>
        <v>0</v>
      </c>
      <c r="AE20" s="26">
        <f>现金流量表!AE49</f>
        <v>1488734486.4000001</v>
      </c>
      <c r="AF20" s="26">
        <f>现金流量表!AF49</f>
        <v>0</v>
      </c>
      <c r="AG20" s="26">
        <f>现金流量表!AG49</f>
        <v>2866484786.8899999</v>
      </c>
      <c r="AH20" s="26">
        <f>现金流量表!AH49</f>
        <v>0</v>
      </c>
      <c r="AI20" s="26">
        <f>现金流量表!AI49</f>
        <v>1406347894.5599999</v>
      </c>
      <c r="AJ20" s="26">
        <f>现金流量表!AJ49</f>
        <v>0</v>
      </c>
      <c r="AK20" s="26">
        <f>现金流量表!AK49</f>
        <v>2484039925.1700001</v>
      </c>
      <c r="AL20" s="26">
        <f>现金流量表!AL49</f>
        <v>0</v>
      </c>
      <c r="AM20" s="26">
        <f>现金流量表!AM49</f>
        <v>524584879.39999998</v>
      </c>
      <c r="AN20" s="26">
        <f>现金流量表!AN49</f>
        <v>0</v>
      </c>
      <c r="AO20" s="26">
        <f>现金流量表!AO49</f>
        <v>993876736.08000004</v>
      </c>
      <c r="AP20" s="26">
        <f>现金流量表!AP49</f>
        <v>0</v>
      </c>
      <c r="AQ20" s="26">
        <f>现金流量表!AQ49</f>
        <v>492248870.66000003</v>
      </c>
      <c r="AR20" s="26">
        <f>现金流量表!AR49</f>
        <v>0</v>
      </c>
      <c r="AS20" s="26">
        <f>现金流量表!AS49</f>
        <v>1022563410.29</v>
      </c>
      <c r="AT20" s="26">
        <f>现金流量表!AT49</f>
        <v>0</v>
      </c>
      <c r="AU20" s="26">
        <f>现金流量表!AU49</f>
        <v>569743662.73000002</v>
      </c>
      <c r="AV20" s="26">
        <f>现金流量表!AV49</f>
        <v>0</v>
      </c>
      <c r="AW20" s="26">
        <f>现金流量表!AW49</f>
        <v>762117461.03999996</v>
      </c>
      <c r="AX20" s="26">
        <f>现金流量表!AX49</f>
        <v>485915672.58999997</v>
      </c>
      <c r="AY20" s="26">
        <f>现金流量表!AY49</f>
        <v>313320761.12</v>
      </c>
      <c r="AZ20" s="26">
        <f>现金流量表!AZ49</f>
        <v>156657093.13999999</v>
      </c>
      <c r="BA20" s="26">
        <f>现金流量表!BA49</f>
        <v>625586208.60000002</v>
      </c>
      <c r="BB20" s="26">
        <f>现金流量表!BB49</f>
        <v>442983878.06999999</v>
      </c>
      <c r="BC20" s="26">
        <f>现金流量表!BC49</f>
        <v>297832419.63999999</v>
      </c>
      <c r="BD20" s="26">
        <f>现金流量表!BD49</f>
        <v>149784322.19</v>
      </c>
      <c r="BE20" s="26">
        <f>现金流量表!BE49</f>
        <v>501889832.94</v>
      </c>
      <c r="BF20" s="26">
        <f>现金流量表!BF49</f>
        <v>352146729.62</v>
      </c>
      <c r="BG20" s="26">
        <f>现金流量表!BG49</f>
        <v>212489689.69999999</v>
      </c>
      <c r="BH20" s="26">
        <f>现金流量表!BH49</f>
        <v>81704290.379999995</v>
      </c>
      <c r="BI20" s="26">
        <f>现金流量表!BI49</f>
        <v>323459146.94999999</v>
      </c>
      <c r="BJ20" s="26">
        <f>现金流量表!BJ49</f>
        <v>242318921.84999999</v>
      </c>
      <c r="BK20" s="26">
        <f>现金流量表!BK49</f>
        <v>161327127.46000001</v>
      </c>
      <c r="BL20" s="26">
        <f>现金流量表!BL49</f>
        <v>81116326</v>
      </c>
      <c r="BM20" s="26">
        <f>现金流量表!BM49</f>
        <v>83617648.200000003</v>
      </c>
      <c r="BN20" s="26">
        <f>现金流量表!BN49</f>
        <v>37459556.079999998</v>
      </c>
      <c r="BO20" s="26">
        <f>现金流量表!BO49</f>
        <v>71161670.640000001</v>
      </c>
      <c r="BP20" s="26">
        <f>现金流量表!BP49</f>
        <v>35822433.299999997</v>
      </c>
      <c r="BQ20" s="26">
        <f>现金流量表!BQ49</f>
        <v>87260281.569999993</v>
      </c>
      <c r="BR20" s="26">
        <f>现金流量表!BR49</f>
        <v>32502718.489999998</v>
      </c>
      <c r="BS20" s="26">
        <f>现金流量表!BS49</f>
        <v>70441083.25</v>
      </c>
      <c r="BT20" s="26">
        <f>现金流量表!BT49</f>
        <v>31543644.899999999</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328441642.16000003</v>
      </c>
      <c r="F21" s="26">
        <f>现金流量表!F50</f>
        <v>0</v>
      </c>
      <c r="G21" s="26">
        <f>现金流量表!G50</f>
        <v>164445800.41</v>
      </c>
      <c r="H21" s="26">
        <f>现金流量表!H50</f>
        <v>0</v>
      </c>
      <c r="I21" s="26">
        <f>现金流量表!I50</f>
        <v>317966670.13999999</v>
      </c>
      <c r="J21" s="26">
        <f>现金流量表!J50</f>
        <v>0</v>
      </c>
      <c r="K21" s="26">
        <f>现金流量表!K50</f>
        <v>160992694.63999999</v>
      </c>
      <c r="L21" s="26">
        <f>现金流量表!L50</f>
        <v>0</v>
      </c>
      <c r="M21" s="26">
        <f>现金流量表!M50</f>
        <v>331301637.95999998</v>
      </c>
      <c r="N21" s="26">
        <f>现金流量表!N50</f>
        <v>0</v>
      </c>
      <c r="O21" s="26">
        <f>现金流量表!O50</f>
        <v>164667720.87</v>
      </c>
      <c r="P21" s="26">
        <f>现金流量表!P50</f>
        <v>0</v>
      </c>
      <c r="Q21" s="26">
        <f>现金流量表!Q50</f>
        <v>198680774.97999999</v>
      </c>
      <c r="R21" s="26">
        <f>现金流量表!R50</f>
        <v>0</v>
      </c>
      <c r="S21" s="26">
        <f>现金流量表!S50</f>
        <v>41952282.909999996</v>
      </c>
      <c r="T21" s="26">
        <f>现金流量表!T50</f>
        <v>0</v>
      </c>
      <c r="U21" s="26">
        <f>现金流量表!U50</f>
        <v>86699333.359999999</v>
      </c>
      <c r="V21" s="26">
        <f>现金流量表!V50</f>
        <v>0</v>
      </c>
      <c r="W21" s="26">
        <f>现金流量表!W50</f>
        <v>44527566.859999999</v>
      </c>
      <c r="X21" s="26">
        <f>现金流量表!X50</f>
        <v>0</v>
      </c>
      <c r="Y21" s="26">
        <f>现金流量表!Y50</f>
        <v>68315819.769999996</v>
      </c>
      <c r="Z21" s="26">
        <f>现金流量表!Z50</f>
        <v>0</v>
      </c>
      <c r="AA21" s="26">
        <f>现金流量表!AA50</f>
        <v>27064015.77</v>
      </c>
      <c r="AB21" s="26">
        <f>现金流量表!AB50</f>
        <v>0</v>
      </c>
      <c r="AC21" s="26">
        <f>现金流量表!AC50</f>
        <v>33632372.289999999</v>
      </c>
      <c r="AD21" s="26">
        <f>现金流量表!AD50</f>
        <v>0</v>
      </c>
      <c r="AE21" s="26">
        <f>现金流量表!AE50</f>
        <v>15685204.060000001</v>
      </c>
      <c r="AF21" s="26">
        <f>现金流量表!AF50</f>
        <v>0</v>
      </c>
      <c r="AG21" s="26">
        <f>现金流量表!AG50</f>
        <v>39203742.390000001</v>
      </c>
      <c r="AH21" s="26">
        <f>现金流量表!AH50</f>
        <v>0</v>
      </c>
      <c r="AI21" s="26">
        <f>现金流量表!AI50</f>
        <v>17682144.899999999</v>
      </c>
      <c r="AJ21" s="26">
        <f>现金流量表!AJ50</f>
        <v>0</v>
      </c>
      <c r="AK21" s="26">
        <f>现金流量表!AK50</f>
        <v>32141705.09</v>
      </c>
      <c r="AL21" s="26">
        <f>现金流量表!AL50</f>
        <v>0</v>
      </c>
      <c r="AM21" s="26">
        <f>现金流量表!AM50</f>
        <v>4972603.0599999996</v>
      </c>
      <c r="AN21" s="26">
        <f>现金流量表!AN50</f>
        <v>0</v>
      </c>
      <c r="AO21" s="26">
        <f>现金流量表!AO50</f>
        <v>11115785.01</v>
      </c>
      <c r="AP21" s="26">
        <f>现金流量表!AP50</f>
        <v>0</v>
      </c>
      <c r="AQ21" s="26">
        <f>现金流量表!AQ50</f>
        <v>1442030.83</v>
      </c>
      <c r="AR21" s="26">
        <f>现金流量表!AR50</f>
        <v>0</v>
      </c>
      <c r="AS21" s="26">
        <f>现金流量表!AS50</f>
        <v>5797318.0599999996</v>
      </c>
      <c r="AT21" s="26">
        <f>现金流量表!AT50</f>
        <v>0</v>
      </c>
      <c r="AU21" s="26">
        <f>现金流量表!AU50</f>
        <v>7435659.6600000001</v>
      </c>
      <c r="AV21" s="26">
        <f>现金流量表!AV50</f>
        <v>0</v>
      </c>
      <c r="AW21" s="26">
        <f>现金流量表!AW50</f>
        <v>2792225.98</v>
      </c>
      <c r="AX21" s="26">
        <f>现金流量表!AX50</f>
        <v>9863027.0899999999</v>
      </c>
      <c r="AY21" s="26">
        <f>现金流量表!AY50</f>
        <v>6771024.3499999996</v>
      </c>
      <c r="AZ21" s="26">
        <f>现金流量表!AZ50</f>
        <v>1829489.34</v>
      </c>
      <c r="BA21" s="26">
        <f>现金流量表!BA50</f>
        <v>443132.6</v>
      </c>
      <c r="BB21" s="26">
        <f>现金流量表!BB50</f>
        <v>335236.95</v>
      </c>
      <c r="BC21" s="26">
        <f>现金流量表!BC50</f>
        <v>395478.95</v>
      </c>
      <c r="BD21" s="26">
        <f>现金流量表!BD50</f>
        <v>111745.65</v>
      </c>
      <c r="BE21" s="26">
        <f>现金流量表!BE50</f>
        <v>773631.6</v>
      </c>
      <c r="BF21" s="26">
        <f>现金流量表!BF50</f>
        <v>-2225000.4500000002</v>
      </c>
      <c r="BG21" s="26">
        <f>现金流量表!BG50</f>
        <v>232043.14</v>
      </c>
      <c r="BH21" s="26">
        <f>现金流量表!BH50</f>
        <v>96857.22</v>
      </c>
      <c r="BI21" s="26">
        <f>现金流量表!BI50</f>
        <v>4163838.62</v>
      </c>
      <c r="BJ21" s="26">
        <f>现金流量表!BJ50</f>
        <v>277322.17</v>
      </c>
      <c r="BK21" s="26">
        <f>现金流量表!BK50</f>
        <v>184436.44</v>
      </c>
      <c r="BL21" s="26">
        <f>现金流量表!BL50</f>
        <v>468227.4</v>
      </c>
      <c r="BM21" s="26">
        <f>现金流量表!BM50</f>
        <v>90168.21</v>
      </c>
      <c r="BN21" s="26">
        <f>现金流量表!BN50</f>
        <v>563706.84</v>
      </c>
      <c r="BO21" s="26">
        <f>现金流量表!BO50</f>
        <v>1127413.68</v>
      </c>
      <c r="BP21" s="26">
        <f>现金流量表!BP50</f>
        <v>563706.84</v>
      </c>
      <c r="BQ21" s="26">
        <f>现金流量表!BQ50</f>
        <v>1132681.92</v>
      </c>
      <c r="BR21" s="26">
        <f>现金流量表!BR50</f>
        <v>561775.02</v>
      </c>
      <c r="BS21" s="26">
        <f>现金流量表!BS50</f>
        <v>1132680.6599999999</v>
      </c>
      <c r="BT21" s="26">
        <f>现金流量表!BT50</f>
        <v>524372.61</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25760319.609999999</v>
      </c>
      <c r="F22" s="26">
        <f>现金流量表!F51</f>
        <v>0</v>
      </c>
      <c r="G22" s="26">
        <f>现金流量表!G51</f>
        <v>13569275.51</v>
      </c>
      <c r="H22" s="26">
        <f>现金流量表!H51</f>
        <v>0</v>
      </c>
      <c r="I22" s="26">
        <f>现金流量表!I51</f>
        <v>18647915.649999999</v>
      </c>
      <c r="J22" s="26">
        <f>现金流量表!J51</f>
        <v>0</v>
      </c>
      <c r="K22" s="26">
        <f>现金流量表!K51</f>
        <v>8400413</v>
      </c>
      <c r="L22" s="26">
        <f>现金流量表!L51</f>
        <v>0</v>
      </c>
      <c r="M22" s="26">
        <f>现金流量表!M51</f>
        <v>14550731.189999999</v>
      </c>
      <c r="N22" s="26">
        <f>现金流量表!N51</f>
        <v>0</v>
      </c>
      <c r="O22" s="26">
        <f>现金流量表!O51</f>
        <v>6357473.0199999996</v>
      </c>
      <c r="P22" s="26">
        <f>现金流量表!P51</f>
        <v>0</v>
      </c>
      <c r="Q22" s="26">
        <f>现金流量表!Q51</f>
        <v>134980960</v>
      </c>
      <c r="R22" s="26">
        <f>现金流量表!R51</f>
        <v>0</v>
      </c>
      <c r="S22" s="26">
        <f>现金流量表!S51</f>
        <v>67264105.079999998</v>
      </c>
      <c r="T22" s="26">
        <f>现金流量表!T51</f>
        <v>0</v>
      </c>
      <c r="U22" s="26">
        <f>现金流量表!U51</f>
        <v>201850227.81999999</v>
      </c>
      <c r="V22" s="26">
        <f>现金流量表!V51</f>
        <v>0</v>
      </c>
      <c r="W22" s="26">
        <f>现金流量表!W51</f>
        <v>75205099.209999993</v>
      </c>
      <c r="X22" s="26">
        <f>现金流量表!X51</f>
        <v>0</v>
      </c>
      <c r="Y22" s="26">
        <f>现金流量表!Y51</f>
        <v>97399936.609999999</v>
      </c>
      <c r="Z22" s="26">
        <f>现金流量表!Z51</f>
        <v>0</v>
      </c>
      <c r="AA22" s="26">
        <f>现金流量表!AA51</f>
        <v>46006710.990000002</v>
      </c>
      <c r="AB22" s="26">
        <f>现金流量表!AB51</f>
        <v>0</v>
      </c>
      <c r="AC22" s="26">
        <f>现金流量表!AC51</f>
        <v>16236146.460000001</v>
      </c>
      <c r="AD22" s="26">
        <f>现金流量表!AD51</f>
        <v>0</v>
      </c>
      <c r="AE22" s="26">
        <f>现金流量表!AE51</f>
        <v>8122979</v>
      </c>
      <c r="AF22" s="26">
        <f>现金流量表!AF51</f>
        <v>0</v>
      </c>
      <c r="AG22" s="26">
        <f>现金流量表!AG51</f>
        <v>16348256.859999999</v>
      </c>
      <c r="AH22" s="26">
        <f>现金流量表!AH51</f>
        <v>0</v>
      </c>
      <c r="AI22" s="26">
        <f>现金流量表!AI51</f>
        <v>8976544.5</v>
      </c>
      <c r="AJ22" s="26">
        <f>现金流量表!AJ51</f>
        <v>0</v>
      </c>
      <c r="AK22" s="26">
        <f>现金流量表!AK51</f>
        <v>16146768.619999999</v>
      </c>
      <c r="AL22" s="26">
        <f>现金流量表!AL51</f>
        <v>0</v>
      </c>
      <c r="AM22" s="26">
        <f>现金流量表!AM51</f>
        <v>7871188.2800000003</v>
      </c>
      <c r="AN22" s="26">
        <f>现金流量表!AN51</f>
        <v>0</v>
      </c>
      <c r="AO22" s="26">
        <f>现金流量表!AO51</f>
        <v>18497858.16</v>
      </c>
      <c r="AP22" s="26">
        <f>现金流量表!AP51</f>
        <v>0</v>
      </c>
      <c r="AQ22" s="26">
        <f>现金流量表!AQ51</f>
        <v>9643929.1199999992</v>
      </c>
      <c r="AR22" s="26">
        <f>现金流量表!AR51</f>
        <v>0</v>
      </c>
      <c r="AS22" s="26">
        <f>现金流量表!AS51</f>
        <v>18991458.16</v>
      </c>
      <c r="AT22" s="26">
        <f>现金流量表!AT51</f>
        <v>0</v>
      </c>
      <c r="AU22" s="26">
        <f>现金流量表!AU51</f>
        <v>3403554.36</v>
      </c>
      <c r="AV22" s="26">
        <f>现金流量表!AV51</f>
        <v>0</v>
      </c>
      <c r="AW22" s="26">
        <f>现金流量表!AW51</f>
        <v>14340736.26</v>
      </c>
      <c r="AX22" s="26">
        <f>现金流量表!AX51</f>
        <v>780000</v>
      </c>
      <c r="AY22" s="26">
        <f>现金流量表!AY51</f>
        <v>520000</v>
      </c>
      <c r="AZ22" s="26">
        <f>现金流量表!AZ51</f>
        <v>0</v>
      </c>
      <c r="BA22" s="26">
        <f>现金流量表!BA51</f>
        <v>12637549.48</v>
      </c>
      <c r="BB22" s="26">
        <f>现金流量表!BB51</f>
        <v>9213162.1099999994</v>
      </c>
      <c r="BC22" s="26">
        <f>现金流量表!BC51</f>
        <v>6318774.7400000002</v>
      </c>
      <c r="BD22" s="26">
        <f>现金流量表!BD51</f>
        <v>2894387.37</v>
      </c>
      <c r="BE22" s="26">
        <f>现金流量表!BE51</f>
        <v>9518162.1099999994</v>
      </c>
      <c r="BF22" s="26">
        <f>现金流量表!BF51</f>
        <v>8683162.1099999994</v>
      </c>
      <c r="BG22" s="26">
        <f>现金流量表!BG51</f>
        <v>3254387.37</v>
      </c>
      <c r="BH22" s="26">
        <f>现金流量表!BH51</f>
        <v>0</v>
      </c>
      <c r="BI22" s="26">
        <f>现金流量表!BI51</f>
        <v>21063514.670000002</v>
      </c>
      <c r="BJ22" s="26">
        <f>现金流量表!BJ51</f>
        <v>1128402.54</v>
      </c>
      <c r="BK22" s="26">
        <f>现金流量表!BK51</f>
        <v>752268.36</v>
      </c>
      <c r="BL22" s="26">
        <f>现金流量表!BL51</f>
        <v>0</v>
      </c>
      <c r="BM22" s="26">
        <f>现金流量表!BM51</f>
        <v>376134.19</v>
      </c>
      <c r="BN22" s="26">
        <f>现金流量表!BN51</f>
        <v>1009480.68</v>
      </c>
      <c r="BO22" s="26">
        <f>现金流量表!BO51</f>
        <v>841233.9</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-3325052.04</v>
      </c>
      <c r="F23" s="26">
        <f>现金流量表!F54</f>
        <v>0</v>
      </c>
      <c r="G23" s="26">
        <f>现金流量表!G54</f>
        <v>-3383975.66</v>
      </c>
      <c r="H23" s="26">
        <f>现金流量表!H54</f>
        <v>0</v>
      </c>
      <c r="I23" s="26">
        <f>现金流量表!I54</f>
        <v>2602144.5099999998</v>
      </c>
      <c r="J23" s="26">
        <f>现金流量表!J54</f>
        <v>0</v>
      </c>
      <c r="K23" s="26">
        <f>现金流量表!K54</f>
        <v>807410.74</v>
      </c>
      <c r="L23" s="26">
        <f>现金流量表!L54</f>
        <v>0</v>
      </c>
      <c r="M23" s="26">
        <f>现金流量表!M54</f>
        <v>22307289.07</v>
      </c>
      <c r="N23" s="26">
        <f>现金流量表!N54</f>
        <v>0</v>
      </c>
      <c r="O23" s="26">
        <f>现金流量表!O54</f>
        <v>-144469.32</v>
      </c>
      <c r="P23" s="26">
        <f>现金流量表!P54</f>
        <v>0</v>
      </c>
      <c r="Q23" s="26">
        <f>现金流量表!Q54</f>
        <v>6448470.9800000004</v>
      </c>
      <c r="R23" s="26">
        <f>现金流量表!R54</f>
        <v>0</v>
      </c>
      <c r="S23" s="26">
        <f>现金流量表!S54</f>
        <v>71830.080000000002</v>
      </c>
      <c r="T23" s="26">
        <f>现金流量表!T54</f>
        <v>0</v>
      </c>
      <c r="U23" s="26">
        <f>现金流量表!U54</f>
        <v>4406059.21</v>
      </c>
      <c r="V23" s="26">
        <f>现金流量表!V54</f>
        <v>0</v>
      </c>
      <c r="W23" s="26">
        <f>现金流量表!W54</f>
        <v>243428.64</v>
      </c>
      <c r="X23" s="26">
        <f>现金流量表!X54</f>
        <v>0</v>
      </c>
      <c r="Y23" s="26">
        <f>现金流量表!Y54</f>
        <v>8291660.8099999996</v>
      </c>
      <c r="Z23" s="26">
        <f>现金流量表!Z54</f>
        <v>0</v>
      </c>
      <c r="AA23" s="26">
        <f>现金流量表!AA54</f>
        <v>2695771.71</v>
      </c>
      <c r="AB23" s="26">
        <f>现金流量表!AB54</f>
        <v>0</v>
      </c>
      <c r="AC23" s="26">
        <f>现金流量表!AC54</f>
        <v>816492.02</v>
      </c>
      <c r="AD23" s="26">
        <f>现金流量表!AD54</f>
        <v>0</v>
      </c>
      <c r="AE23" s="26">
        <f>现金流量表!AE54</f>
        <v>-66761.62</v>
      </c>
      <c r="AF23" s="26">
        <f>现金流量表!AF54</f>
        <v>0</v>
      </c>
      <c r="AG23" s="26">
        <f>现金流量表!AG54</f>
        <v>10147039.130000001</v>
      </c>
      <c r="AH23" s="26">
        <f>现金流量表!AH54</f>
        <v>0</v>
      </c>
      <c r="AI23" s="26">
        <f>现金流量表!AI54</f>
        <v>-720109.21</v>
      </c>
      <c r="AJ23" s="26">
        <f>现金流量表!AJ54</f>
        <v>0</v>
      </c>
      <c r="AK23" s="26">
        <f>现金流量表!AK54</f>
        <v>4049531.72</v>
      </c>
      <c r="AL23" s="26">
        <f>现金流量表!AL54</f>
        <v>0</v>
      </c>
      <c r="AM23" s="26">
        <f>现金流量表!AM54</f>
        <v>-6100</v>
      </c>
      <c r="AN23" s="26">
        <f>现金流量表!AN54</f>
        <v>0</v>
      </c>
      <c r="AO23" s="26">
        <f>现金流量表!AO54</f>
        <v>9875144.1999999993</v>
      </c>
      <c r="AP23" s="26">
        <f>现金流量表!AP54</f>
        <v>0</v>
      </c>
      <c r="AQ23" s="26">
        <f>现金流量表!AQ54</f>
        <v>-84075.13</v>
      </c>
      <c r="AR23" s="26">
        <f>现金流量表!AR54</f>
        <v>0</v>
      </c>
      <c r="AS23" s="26">
        <f>现金流量表!AS54</f>
        <v>-9657853.9100000001</v>
      </c>
      <c r="AT23" s="26">
        <f>现金流量表!AT54</f>
        <v>0</v>
      </c>
      <c r="AU23" s="26">
        <f>现金流量表!AU54</f>
        <v>514452.75</v>
      </c>
      <c r="AV23" s="26">
        <f>现金流量表!AV54</f>
        <v>0</v>
      </c>
      <c r="AW23" s="26">
        <f>现金流量表!AW54</f>
        <v>1624763.39</v>
      </c>
      <c r="AX23" s="26">
        <f>现金流量表!AX54</f>
        <v>0</v>
      </c>
      <c r="AY23" s="26">
        <f>现金流量表!AY54</f>
        <v>0</v>
      </c>
      <c r="AZ23" s="26">
        <f>现金流量表!AZ54</f>
        <v>0</v>
      </c>
      <c r="BA23" s="26">
        <f>现金流量表!BA54</f>
        <v>-36000</v>
      </c>
      <c r="BB23" s="26">
        <f>现金流量表!BB54</f>
        <v>40174462.380000003</v>
      </c>
      <c r="BC23" s="26">
        <f>现金流量表!BC54</f>
        <v>163570.4</v>
      </c>
      <c r="BD23" s="26">
        <f>现金流量表!BD54</f>
        <v>3570.4</v>
      </c>
      <c r="BE23" s="26">
        <f>现金流量表!BE54</f>
        <v>1866773.82</v>
      </c>
      <c r="BF23" s="26">
        <f>现金流量表!BF54</f>
        <v>1719127.57</v>
      </c>
      <c r="BG23" s="26">
        <f>现金流量表!BG54</f>
        <v>80048.72</v>
      </c>
      <c r="BH23" s="26">
        <f>现金流量表!BH54</f>
        <v>0</v>
      </c>
      <c r="BI23" s="26">
        <f>现金流量表!BI54</f>
        <v>-309916.63</v>
      </c>
      <c r="BJ23" s="26">
        <f>现金流量表!BJ54</f>
        <v>-323032.02</v>
      </c>
      <c r="BK23" s="26">
        <f>现金流量表!BK54</f>
        <v>-323032.02</v>
      </c>
      <c r="BL23" s="26">
        <f>现金流量表!BL54</f>
        <v>-323032.02</v>
      </c>
      <c r="BM23" s="26">
        <f>现金流量表!BM54</f>
        <v>0</v>
      </c>
      <c r="BN23" s="26">
        <f>现金流量表!BN54</f>
        <v>0</v>
      </c>
      <c r="BO23" s="26">
        <f>现金流量表!BO54</f>
        <v>-88019.4</v>
      </c>
      <c r="BP23" s="26">
        <f>现金流量表!BP54</f>
        <v>0</v>
      </c>
      <c r="BQ23" s="26">
        <f>现金流量表!BQ54</f>
        <v>4545464.91</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89424334.859999999</v>
      </c>
      <c r="F24" s="26">
        <f>现金流量表!F55</f>
        <v>0</v>
      </c>
      <c r="G24" s="26">
        <f>现金流量表!G55</f>
        <v>0</v>
      </c>
      <c r="H24" s="26">
        <f>现金流量表!H55</f>
        <v>0</v>
      </c>
      <c r="I24" s="26">
        <f>现金流量表!I55</f>
        <v>34907974.399999999</v>
      </c>
      <c r="J24" s="26">
        <f>现金流量表!J55</f>
        <v>0</v>
      </c>
      <c r="K24" s="26">
        <f>现金流量表!K55</f>
        <v>0</v>
      </c>
      <c r="L24" s="26">
        <f>现金流量表!L55</f>
        <v>0</v>
      </c>
      <c r="M24" s="26">
        <f>现金流量表!M55</f>
        <v>9099799.2799999993</v>
      </c>
      <c r="N24" s="26">
        <f>现金流量表!N55</f>
        <v>0</v>
      </c>
      <c r="O24" s="26">
        <f>现金流量表!O55</f>
        <v>0</v>
      </c>
      <c r="P24" s="26">
        <f>现金流量表!P55</f>
        <v>0</v>
      </c>
      <c r="Q24" s="26">
        <f>现金流量表!Q55</f>
        <v>727863.99</v>
      </c>
      <c r="R24" s="26">
        <f>现金流量表!R55</f>
        <v>0</v>
      </c>
      <c r="S24" s="26">
        <f>现金流量表!S55</f>
        <v>0</v>
      </c>
      <c r="T24" s="26">
        <f>现金流量表!T55</f>
        <v>0</v>
      </c>
      <c r="U24" s="26">
        <f>现金流量表!U55</f>
        <v>6025499.9100000001</v>
      </c>
      <c r="V24" s="26">
        <f>现金流量表!V55</f>
        <v>0</v>
      </c>
      <c r="W24" s="26">
        <f>现金流量表!W55</f>
        <v>9072.2900000000009</v>
      </c>
      <c r="X24" s="26">
        <f>现金流量表!X55</f>
        <v>0</v>
      </c>
      <c r="Y24" s="26">
        <f>现金流量表!Y55</f>
        <v>18903604.489999998</v>
      </c>
      <c r="Z24" s="26">
        <f>现金流量表!Z55</f>
        <v>0</v>
      </c>
      <c r="AA24" s="26">
        <f>现金流量表!AA55</f>
        <v>0</v>
      </c>
      <c r="AB24" s="26">
        <f>现金流量表!AB55</f>
        <v>0</v>
      </c>
      <c r="AC24" s="26">
        <f>现金流量表!AC55</f>
        <v>2606289.5699999998</v>
      </c>
      <c r="AD24" s="26">
        <f>现金流量表!AD55</f>
        <v>0</v>
      </c>
      <c r="AE24" s="26">
        <f>现金流量表!AE55</f>
        <v>11328.5</v>
      </c>
      <c r="AF24" s="26">
        <f>现金流量表!AF55</f>
        <v>0</v>
      </c>
      <c r="AG24" s="26">
        <f>现金流量表!AG55</f>
        <v>0</v>
      </c>
      <c r="AH24" s="26">
        <f>现金流量表!AH55</f>
        <v>0</v>
      </c>
      <c r="AI24" s="26">
        <f>现金流量表!AI55</f>
        <v>6655</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10957401</v>
      </c>
      <c r="AT24" s="26">
        <f>现金流量表!AT55</f>
        <v>0</v>
      </c>
      <c r="AU24" s="26">
        <f>现金流量表!AU55</f>
        <v>-86000</v>
      </c>
      <c r="AV24" s="26">
        <f>现金流量表!AV55</f>
        <v>0</v>
      </c>
      <c r="AW24" s="26">
        <f>现金流量表!AW55</f>
        <v>7142262.8300000001</v>
      </c>
      <c r="AX24" s="26">
        <f>现金流量表!AX55</f>
        <v>92906.16</v>
      </c>
      <c r="AY24" s="26">
        <f>现金流量表!AY55</f>
        <v>92906.16</v>
      </c>
      <c r="AZ24" s="26">
        <f>现金流量表!AZ55</f>
        <v>0</v>
      </c>
      <c r="BA24" s="26">
        <f>现金流量表!BA55</f>
        <v>22718744.600000001</v>
      </c>
      <c r="BB24" s="26">
        <f>现金流量表!BB55</f>
        <v>3357888.3</v>
      </c>
      <c r="BC24" s="26">
        <f>现金流量表!BC55</f>
        <v>21290.85</v>
      </c>
      <c r="BD24" s="26">
        <f>现金流量表!BD55</f>
        <v>21290.85</v>
      </c>
      <c r="BE24" s="26">
        <f>现金流量表!BE55</f>
        <v>8354618.4199999999</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1301366.8500000001</v>
      </c>
      <c r="BP24" s="26">
        <f>现金流量表!BP55</f>
        <v>452916.94</v>
      </c>
      <c r="BQ24" s="26">
        <f>现金流量表!BQ55</f>
        <v>357535.35</v>
      </c>
      <c r="BR24" s="26">
        <f>现金流量表!BR55</f>
        <v>9030508.7799999993</v>
      </c>
      <c r="BS24" s="26">
        <f>现金流量表!BS55</f>
        <v>514492.74</v>
      </c>
      <c r="BT24" s="26">
        <f>现金流量表!BT55</f>
        <v>7539.1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6795070205.9499989</v>
      </c>
      <c r="F25" s="28">
        <f t="shared" ref="F25:BQ25" si="12">SUM(F19:F24)</f>
        <v>0</v>
      </c>
      <c r="G25" s="28">
        <f t="shared" si="12"/>
        <v>3176593273.5300002</v>
      </c>
      <c r="H25" s="28">
        <f t="shared" si="12"/>
        <v>0</v>
      </c>
      <c r="I25" s="28">
        <f t="shared" si="12"/>
        <v>6169643189.1999998</v>
      </c>
      <c r="J25" s="28">
        <f t="shared" si="12"/>
        <v>0</v>
      </c>
      <c r="K25" s="28">
        <f t="shared" si="12"/>
        <v>3010844985.4599996</v>
      </c>
      <c r="L25" s="28">
        <f t="shared" si="12"/>
        <v>0</v>
      </c>
      <c r="M25" s="28">
        <f t="shared" si="12"/>
        <v>6248795122.5499983</v>
      </c>
      <c r="N25" s="28">
        <f t="shared" si="12"/>
        <v>0</v>
      </c>
      <c r="O25" s="28">
        <f t="shared" si="12"/>
        <v>2919906109.0499997</v>
      </c>
      <c r="P25" s="28">
        <f t="shared" si="12"/>
        <v>0</v>
      </c>
      <c r="Q25" s="28">
        <f t="shared" si="12"/>
        <v>5593726008.579999</v>
      </c>
      <c r="R25" s="28">
        <f t="shared" si="12"/>
        <v>0</v>
      </c>
      <c r="S25" s="28">
        <f t="shared" si="12"/>
        <v>2724975317.7399998</v>
      </c>
      <c r="T25" s="28">
        <f t="shared" si="12"/>
        <v>0</v>
      </c>
      <c r="U25" s="28">
        <f t="shared" si="12"/>
        <v>4710839827.4899988</v>
      </c>
      <c r="V25" s="28">
        <f t="shared" si="12"/>
        <v>0</v>
      </c>
      <c r="W25" s="28">
        <f t="shared" si="12"/>
        <v>2096413851.03</v>
      </c>
      <c r="X25" s="28">
        <f t="shared" si="12"/>
        <v>0</v>
      </c>
      <c r="Y25" s="28">
        <f t="shared" si="12"/>
        <v>3525336165.9699998</v>
      </c>
      <c r="Z25" s="28">
        <f t="shared" si="12"/>
        <v>0</v>
      </c>
      <c r="AA25" s="28">
        <f t="shared" si="12"/>
        <v>1581277465.1400001</v>
      </c>
      <c r="AB25" s="28">
        <f t="shared" si="12"/>
        <v>0</v>
      </c>
      <c r="AC25" s="28">
        <f t="shared" si="12"/>
        <v>3073952150.0500002</v>
      </c>
      <c r="AD25" s="28">
        <f t="shared" si="12"/>
        <v>0</v>
      </c>
      <c r="AE25" s="28">
        <f t="shared" si="12"/>
        <v>1517160460.7300003</v>
      </c>
      <c r="AF25" s="28">
        <f t="shared" si="12"/>
        <v>0</v>
      </c>
      <c r="AG25" s="28">
        <f t="shared" si="12"/>
        <v>2933731690.9099998</v>
      </c>
      <c r="AH25" s="28">
        <f t="shared" si="12"/>
        <v>0</v>
      </c>
      <c r="AI25" s="28">
        <f t="shared" si="12"/>
        <v>1432250629.75</v>
      </c>
      <c r="AJ25" s="28">
        <f t="shared" si="12"/>
        <v>0</v>
      </c>
      <c r="AK25" s="28">
        <f t="shared" si="12"/>
        <v>2530889431.4200001</v>
      </c>
      <c r="AL25" s="28">
        <f t="shared" si="12"/>
        <v>0</v>
      </c>
      <c r="AM25" s="28">
        <f t="shared" si="12"/>
        <v>539755417.97000003</v>
      </c>
      <c r="AN25" s="28">
        <f t="shared" si="12"/>
        <v>0</v>
      </c>
      <c r="AO25" s="28">
        <f t="shared" si="12"/>
        <v>1054135461.26</v>
      </c>
      <c r="AP25" s="28">
        <f t="shared" si="12"/>
        <v>0</v>
      </c>
      <c r="AQ25" s="28">
        <f t="shared" si="12"/>
        <v>502998252.11000001</v>
      </c>
      <c r="AR25" s="28">
        <f t="shared" si="12"/>
        <v>0</v>
      </c>
      <c r="AS25" s="28">
        <f t="shared" si="12"/>
        <v>1037933538.8799999</v>
      </c>
      <c r="AT25" s="28">
        <f t="shared" si="12"/>
        <v>0</v>
      </c>
      <c r="AU25" s="28">
        <f t="shared" si="12"/>
        <v>581011329.5</v>
      </c>
      <c r="AV25" s="28">
        <f t="shared" si="12"/>
        <v>0</v>
      </c>
      <c r="AW25" s="28">
        <f t="shared" si="12"/>
        <v>793302853.19000006</v>
      </c>
      <c r="AX25" s="28">
        <f t="shared" si="12"/>
        <v>497151605.83999997</v>
      </c>
      <c r="AY25" s="28">
        <f t="shared" si="12"/>
        <v>321204691.63000005</v>
      </c>
      <c r="AZ25" s="28">
        <f t="shared" si="12"/>
        <v>158986582.47999999</v>
      </c>
      <c r="BA25" s="28">
        <f t="shared" si="12"/>
        <v>654323212.67000008</v>
      </c>
      <c r="BB25" s="28">
        <f t="shared" si="12"/>
        <v>496129345.24000001</v>
      </c>
      <c r="BC25" s="28">
        <f t="shared" si="12"/>
        <v>305010846.59999996</v>
      </c>
      <c r="BD25" s="28">
        <f t="shared" si="12"/>
        <v>152815316.46000001</v>
      </c>
      <c r="BE25" s="28">
        <f t="shared" si="12"/>
        <v>522948058.68000007</v>
      </c>
      <c r="BF25" s="28">
        <f t="shared" si="12"/>
        <v>360324018.85000002</v>
      </c>
      <c r="BG25" s="28">
        <f t="shared" si="12"/>
        <v>213487945.22999999</v>
      </c>
      <c r="BH25" s="28">
        <f t="shared" si="12"/>
        <v>81801147.599999994</v>
      </c>
      <c r="BI25" s="28">
        <f t="shared" si="12"/>
        <v>325280501.75</v>
      </c>
      <c r="BJ25" s="28">
        <f t="shared" si="12"/>
        <v>229850240.26999995</v>
      </c>
      <c r="BK25" s="28">
        <f t="shared" si="12"/>
        <v>148389425.97</v>
      </c>
      <c r="BL25" s="28">
        <f t="shared" si="12"/>
        <v>81261521.38000001</v>
      </c>
      <c r="BM25" s="28">
        <f t="shared" si="12"/>
        <v>81953932.839999989</v>
      </c>
      <c r="BN25" s="28">
        <f t="shared" si="12"/>
        <v>39032743.600000001</v>
      </c>
      <c r="BO25" s="28">
        <f t="shared" si="12"/>
        <v>75699282.689999998</v>
      </c>
      <c r="BP25" s="28">
        <f t="shared" si="12"/>
        <v>37412185.939999998</v>
      </c>
      <c r="BQ25" s="28">
        <f t="shared" si="12"/>
        <v>90016709.549999982</v>
      </c>
      <c r="BR25" s="28">
        <f t="shared" ref="BR25:CK25" si="13">SUM(BR19:BR24)</f>
        <v>38587051.849999994</v>
      </c>
      <c r="BS25" s="28">
        <f t="shared" si="13"/>
        <v>68310929.939999998</v>
      </c>
      <c r="BT25" s="28">
        <f t="shared" si="13"/>
        <v>32701214.399999999</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11345969592.469999</v>
      </c>
      <c r="F26" s="28">
        <f t="shared" ref="F26:BQ26" si="14">F14-F25</f>
        <v>13911279575</v>
      </c>
      <c r="G26" s="28">
        <f t="shared" si="14"/>
        <v>3767583028.4999995</v>
      </c>
      <c r="H26" s="28">
        <f t="shared" si="14"/>
        <v>3525622483.5999999</v>
      </c>
      <c r="I26" s="28">
        <f t="shared" si="14"/>
        <v>12896894660.299999</v>
      </c>
      <c r="J26" s="28">
        <f t="shared" si="14"/>
        <v>14085851931.15</v>
      </c>
      <c r="K26" s="28">
        <f t="shared" si="14"/>
        <v>4715592848.8700008</v>
      </c>
      <c r="L26" s="28">
        <f t="shared" si="14"/>
        <v>3804692246.5700002</v>
      </c>
      <c r="M26" s="28">
        <f t="shared" si="14"/>
        <v>16647976526.450001</v>
      </c>
      <c r="N26" s="28">
        <f t="shared" si="14"/>
        <v>16760647373.82</v>
      </c>
      <c r="O26" s="28">
        <f t="shared" si="14"/>
        <v>6789227177.7900009</v>
      </c>
      <c r="P26" s="28">
        <f t="shared" si="14"/>
        <v>4849766135.3800001</v>
      </c>
      <c r="Q26" s="28">
        <f t="shared" si="14"/>
        <v>15825255061.920002</v>
      </c>
      <c r="R26" s="28">
        <f t="shared" si="14"/>
        <v>15588152919.42</v>
      </c>
      <c r="S26" s="28">
        <f t="shared" si="14"/>
        <v>4960403356.7800007</v>
      </c>
      <c r="T26" s="28">
        <f t="shared" si="14"/>
        <v>3698676621.9000001</v>
      </c>
      <c r="U26" s="28">
        <f t="shared" si="14"/>
        <v>10486772948.59</v>
      </c>
      <c r="V26" s="28">
        <f t="shared" si="14"/>
        <v>10531966534.75</v>
      </c>
      <c r="W26" s="28">
        <f t="shared" si="14"/>
        <v>3919466979.8500004</v>
      </c>
      <c r="X26" s="28">
        <f t="shared" si="14"/>
        <v>2922741720.9000001</v>
      </c>
      <c r="Y26" s="28">
        <f t="shared" si="14"/>
        <v>5081042892.3100014</v>
      </c>
      <c r="Z26" s="28">
        <f t="shared" si="14"/>
        <v>6454217080.04</v>
      </c>
      <c r="AA26" s="28">
        <f t="shared" si="14"/>
        <v>1817761796.4599998</v>
      </c>
      <c r="AB26" s="28">
        <f t="shared" si="14"/>
        <v>1622779034.8299999</v>
      </c>
      <c r="AC26" s="28">
        <f t="shared" si="14"/>
        <v>2302629957.4099998</v>
      </c>
      <c r="AD26" s="28">
        <f t="shared" si="14"/>
        <v>4472381448.8500004</v>
      </c>
      <c r="AE26" s="28">
        <f t="shared" si="14"/>
        <v>1234224846.5599997</v>
      </c>
      <c r="AF26" s="28">
        <f t="shared" si="14"/>
        <v>1846290172.8699999</v>
      </c>
      <c r="AG26" s="28">
        <f t="shared" si="14"/>
        <v>2111549815.0799999</v>
      </c>
      <c r="AH26" s="28">
        <f t="shared" si="14"/>
        <v>3547200756.0900002</v>
      </c>
      <c r="AI26" s="28">
        <f t="shared" si="14"/>
        <v>600464235.4000001</v>
      </c>
      <c r="AJ26" s="28">
        <f t="shared" si="14"/>
        <v>1361913431.74</v>
      </c>
      <c r="AK26" s="28">
        <f t="shared" si="14"/>
        <v>2513660691.8400002</v>
      </c>
      <c r="AL26" s="28">
        <f t="shared" si="14"/>
        <v>1527552644.5699999</v>
      </c>
      <c r="AM26" s="28">
        <f t="shared" si="14"/>
        <v>623883425.51999998</v>
      </c>
      <c r="AN26" s="28">
        <f t="shared" si="14"/>
        <v>580438253.74000001</v>
      </c>
      <c r="AO26" s="28">
        <f t="shared" si="14"/>
        <v>616704313.32999992</v>
      </c>
      <c r="AP26" s="28">
        <f t="shared" si="14"/>
        <v>1172360066.72</v>
      </c>
      <c r="AQ26" s="28">
        <f t="shared" si="14"/>
        <v>343348463.76999998</v>
      </c>
      <c r="AR26" s="28">
        <f t="shared" si="14"/>
        <v>428124210.44</v>
      </c>
      <c r="AS26" s="28">
        <f t="shared" si="14"/>
        <v>1386335255.9100001</v>
      </c>
      <c r="AT26" s="28">
        <f t="shared" si="14"/>
        <v>2038629927.5599999</v>
      </c>
      <c r="AU26" s="28">
        <f t="shared" si="14"/>
        <v>909801482.95000005</v>
      </c>
      <c r="AV26" s="28">
        <f t="shared" si="14"/>
        <v>630895686.05999994</v>
      </c>
      <c r="AW26" s="28">
        <f t="shared" si="14"/>
        <v>747491764.52999997</v>
      </c>
      <c r="AX26" s="28">
        <f t="shared" si="14"/>
        <v>495232763.56999999</v>
      </c>
      <c r="AY26" s="28">
        <f t="shared" si="14"/>
        <v>246771351.47999996</v>
      </c>
      <c r="AZ26" s="28">
        <f t="shared" si="14"/>
        <v>151516699.72</v>
      </c>
      <c r="BA26" s="28">
        <f t="shared" si="14"/>
        <v>730178158.30999994</v>
      </c>
      <c r="BB26" s="28">
        <f t="shared" si="14"/>
        <v>643693849.6099999</v>
      </c>
      <c r="BC26" s="28">
        <f t="shared" si="14"/>
        <v>479590051.25000006</v>
      </c>
      <c r="BD26" s="28">
        <f t="shared" si="14"/>
        <v>263659873.79999998</v>
      </c>
      <c r="BE26" s="28">
        <f t="shared" si="14"/>
        <v>597808052.75</v>
      </c>
      <c r="BF26" s="28">
        <f t="shared" si="14"/>
        <v>710380420.49000001</v>
      </c>
      <c r="BG26" s="28">
        <f t="shared" si="14"/>
        <v>159001828.12000003</v>
      </c>
      <c r="BH26" s="28">
        <f t="shared" si="14"/>
        <v>97214944.150000006</v>
      </c>
      <c r="BI26" s="28">
        <f t="shared" si="14"/>
        <v>469251730.37</v>
      </c>
      <c r="BJ26" s="28">
        <f t="shared" si="14"/>
        <v>540843438.25</v>
      </c>
      <c r="BK26" s="28">
        <f t="shared" si="14"/>
        <v>423580761.04999995</v>
      </c>
      <c r="BL26" s="28">
        <f t="shared" si="14"/>
        <v>88924512.429999992</v>
      </c>
      <c r="BM26" s="28">
        <f t="shared" si="14"/>
        <v>147648939.65000004</v>
      </c>
      <c r="BN26" s="28">
        <f t="shared" si="14"/>
        <v>-57101912.329999998</v>
      </c>
      <c r="BO26" s="28">
        <f t="shared" si="14"/>
        <v>-114803053.36</v>
      </c>
      <c r="BP26" s="28">
        <f t="shared" si="14"/>
        <v>-82183248.129999995</v>
      </c>
      <c r="BQ26" s="28">
        <f t="shared" si="14"/>
        <v>105726269.08000001</v>
      </c>
      <c r="BR26" s="28">
        <f t="shared" ref="BR26:CK26" si="15">BR14-BR25</f>
        <v>81526154.680000007</v>
      </c>
      <c r="BS26" s="28">
        <f t="shared" si="15"/>
        <v>-17942907.07</v>
      </c>
      <c r="BT26" s="28">
        <f t="shared" si="15"/>
        <v>-101861280.68000001</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752</v>
      </c>
      <c r="E27" s="26">
        <f>E26</f>
        <v>11345969592.469999</v>
      </c>
      <c r="F27" s="193">
        <f t="shared" ref="F27:BQ27" si="16">F26</f>
        <v>13911279575</v>
      </c>
      <c r="G27" s="193">
        <f t="shared" si="16"/>
        <v>3767583028.4999995</v>
      </c>
      <c r="H27" s="193">
        <f t="shared" si="16"/>
        <v>3525622483.5999999</v>
      </c>
      <c r="I27" s="193">
        <f t="shared" si="16"/>
        <v>12896894660.299999</v>
      </c>
      <c r="J27" s="193">
        <f t="shared" si="16"/>
        <v>14085851931.15</v>
      </c>
      <c r="K27" s="193">
        <f t="shared" si="16"/>
        <v>4715592848.8700008</v>
      </c>
      <c r="L27" s="193">
        <f t="shared" si="16"/>
        <v>3804692246.5700002</v>
      </c>
      <c r="M27" s="193">
        <f t="shared" si="16"/>
        <v>16647976526.450001</v>
      </c>
      <c r="N27" s="193">
        <f t="shared" si="16"/>
        <v>16760647373.82</v>
      </c>
      <c r="O27" s="193">
        <f t="shared" si="16"/>
        <v>6789227177.7900009</v>
      </c>
      <c r="P27" s="193">
        <f t="shared" si="16"/>
        <v>4849766135.3800001</v>
      </c>
      <c r="Q27" s="193">
        <f t="shared" si="16"/>
        <v>15825255061.920002</v>
      </c>
      <c r="R27" s="193">
        <f t="shared" si="16"/>
        <v>15588152919.42</v>
      </c>
      <c r="S27" s="193">
        <f t="shared" si="16"/>
        <v>4960403356.7800007</v>
      </c>
      <c r="T27" s="193">
        <f t="shared" si="16"/>
        <v>3698676621.9000001</v>
      </c>
      <c r="U27" s="193">
        <f t="shared" si="16"/>
        <v>10486772948.59</v>
      </c>
      <c r="V27" s="193">
        <f t="shared" si="16"/>
        <v>10531966534.75</v>
      </c>
      <c r="W27" s="193">
        <f t="shared" si="16"/>
        <v>3919466979.8500004</v>
      </c>
      <c r="X27" s="193">
        <f t="shared" si="16"/>
        <v>2922741720.9000001</v>
      </c>
      <c r="Y27" s="193">
        <f t="shared" si="16"/>
        <v>5081042892.3100014</v>
      </c>
      <c r="Z27" s="193">
        <f t="shared" si="16"/>
        <v>6454217080.04</v>
      </c>
      <c r="AA27" s="193">
        <f t="shared" si="16"/>
        <v>1817761796.4599998</v>
      </c>
      <c r="AB27" s="193">
        <f t="shared" si="16"/>
        <v>1622779034.8299999</v>
      </c>
      <c r="AC27" s="193">
        <f t="shared" si="16"/>
        <v>2302629957.4099998</v>
      </c>
      <c r="AD27" s="193">
        <f t="shared" si="16"/>
        <v>4472381448.8500004</v>
      </c>
      <c r="AE27" s="193">
        <f t="shared" si="16"/>
        <v>1234224846.5599997</v>
      </c>
      <c r="AF27" s="193">
        <f t="shared" si="16"/>
        <v>1846290172.8699999</v>
      </c>
      <c r="AG27" s="193">
        <f t="shared" si="16"/>
        <v>2111549815.0799999</v>
      </c>
      <c r="AH27" s="193">
        <f t="shared" si="16"/>
        <v>3547200756.0900002</v>
      </c>
      <c r="AI27" s="193">
        <f t="shared" si="16"/>
        <v>600464235.4000001</v>
      </c>
      <c r="AJ27" s="193">
        <f t="shared" si="16"/>
        <v>1361913431.74</v>
      </c>
      <c r="AK27" s="193">
        <f t="shared" si="16"/>
        <v>2513660691.8400002</v>
      </c>
      <c r="AL27" s="193">
        <f t="shared" si="16"/>
        <v>1527552644.5699999</v>
      </c>
      <c r="AM27" s="193">
        <f t="shared" si="16"/>
        <v>623883425.51999998</v>
      </c>
      <c r="AN27" s="193">
        <f t="shared" si="16"/>
        <v>580438253.74000001</v>
      </c>
      <c r="AO27" s="193">
        <f t="shared" si="16"/>
        <v>616704313.32999992</v>
      </c>
      <c r="AP27" s="193">
        <f t="shared" si="16"/>
        <v>1172360066.72</v>
      </c>
      <c r="AQ27" s="193">
        <f t="shared" si="16"/>
        <v>343348463.76999998</v>
      </c>
      <c r="AR27" s="193">
        <f t="shared" si="16"/>
        <v>428124210.44</v>
      </c>
      <c r="AS27" s="193">
        <f t="shared" si="16"/>
        <v>1386335255.9100001</v>
      </c>
      <c r="AT27" s="193">
        <f t="shared" si="16"/>
        <v>2038629927.5599999</v>
      </c>
      <c r="AU27" s="193">
        <f t="shared" si="16"/>
        <v>909801482.95000005</v>
      </c>
      <c r="AV27" s="193">
        <f t="shared" si="16"/>
        <v>630895686.05999994</v>
      </c>
      <c r="AW27" s="193">
        <f t="shared" si="16"/>
        <v>747491764.52999997</v>
      </c>
      <c r="AX27" s="193">
        <f t="shared" si="16"/>
        <v>495232763.56999999</v>
      </c>
      <c r="AY27" s="193">
        <f t="shared" si="16"/>
        <v>246771351.47999996</v>
      </c>
      <c r="AZ27" s="193">
        <f t="shared" si="16"/>
        <v>151516699.72</v>
      </c>
      <c r="BA27" s="193">
        <f t="shared" si="16"/>
        <v>730178158.30999994</v>
      </c>
      <c r="BB27" s="193">
        <f t="shared" si="16"/>
        <v>643693849.6099999</v>
      </c>
      <c r="BC27" s="193">
        <f t="shared" si="16"/>
        <v>479590051.25000006</v>
      </c>
      <c r="BD27" s="193">
        <f t="shared" si="16"/>
        <v>263659873.79999998</v>
      </c>
      <c r="BE27" s="193">
        <f t="shared" si="16"/>
        <v>597808052.75</v>
      </c>
      <c r="BF27" s="193">
        <f t="shared" si="16"/>
        <v>710380420.49000001</v>
      </c>
      <c r="BG27" s="193">
        <f t="shared" si="16"/>
        <v>159001828.12000003</v>
      </c>
      <c r="BH27" s="193">
        <f t="shared" si="16"/>
        <v>97214944.150000006</v>
      </c>
      <c r="BI27" s="193">
        <f t="shared" si="16"/>
        <v>469251730.37</v>
      </c>
      <c r="BJ27" s="193">
        <f t="shared" si="16"/>
        <v>540843438.25</v>
      </c>
      <c r="BK27" s="193">
        <f t="shared" si="16"/>
        <v>423580761.04999995</v>
      </c>
      <c r="BL27" s="193">
        <f t="shared" si="16"/>
        <v>88924512.429999992</v>
      </c>
      <c r="BM27" s="193">
        <f t="shared" si="16"/>
        <v>147648939.65000004</v>
      </c>
      <c r="BN27" s="193">
        <f t="shared" si="16"/>
        <v>-57101912.329999998</v>
      </c>
      <c r="BO27" s="193">
        <f t="shared" si="16"/>
        <v>-114803053.36</v>
      </c>
      <c r="BP27" s="193">
        <f t="shared" si="16"/>
        <v>-82183248.129999995</v>
      </c>
      <c r="BQ27" s="193">
        <f t="shared" si="16"/>
        <v>105726269.08000001</v>
      </c>
      <c r="BR27" s="193">
        <f t="shared" ref="BR27:CL27" si="17">BR26</f>
        <v>81526154.680000007</v>
      </c>
      <c r="BS27" s="193">
        <f t="shared" si="17"/>
        <v>-17942907.07</v>
      </c>
      <c r="BT27" s="193">
        <f t="shared" si="17"/>
        <v>-101861280.68000001</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510</v>
      </c>
      <c r="E28" s="63">
        <f>(E27-I27)/I27</f>
        <v>-0.12025569787773419</v>
      </c>
      <c r="F28" s="63">
        <f t="shared" ref="F28:BQ28" si="18">(F27-J27)/J27</f>
        <v>-1.2393453871536413E-2</v>
      </c>
      <c r="G28" s="63">
        <f t="shared" si="18"/>
        <v>-0.20103725040578371</v>
      </c>
      <c r="H28" s="63">
        <f t="shared" si="18"/>
        <v>-7.3348840033405277E-2</v>
      </c>
      <c r="I28" s="63">
        <f t="shared" si="18"/>
        <v>-0.22531758500442089</v>
      </c>
      <c r="J28" s="63">
        <f t="shared" si="18"/>
        <v>-0.15958783589994321</v>
      </c>
      <c r="K28" s="63">
        <f t="shared" si="18"/>
        <v>-0.30543009898145729</v>
      </c>
      <c r="L28" s="63">
        <f t="shared" si="18"/>
        <v>-0.21548954313198318</v>
      </c>
      <c r="M28" s="63">
        <f t="shared" si="18"/>
        <v>5.1987880214941821E-2</v>
      </c>
      <c r="N28" s="63">
        <f t="shared" si="18"/>
        <v>7.5217022854534937E-2</v>
      </c>
      <c r="O28" s="63">
        <f t="shared" si="18"/>
        <v>0.36868449790687263</v>
      </c>
      <c r="P28" s="63">
        <f t="shared" si="18"/>
        <v>0.31121658667436802</v>
      </c>
      <c r="Q28" s="63">
        <f t="shared" si="18"/>
        <v>0.50906815085071411</v>
      </c>
      <c r="R28" s="63">
        <f t="shared" si="18"/>
        <v>0.48007998961895865</v>
      </c>
      <c r="S28" s="63">
        <f t="shared" si="18"/>
        <v>0.265581106380398</v>
      </c>
      <c r="T28" s="63">
        <f t="shared" si="18"/>
        <v>0.26548185748040243</v>
      </c>
      <c r="U28" s="63">
        <f t="shared" si="18"/>
        <v>1.0639016774413381</v>
      </c>
      <c r="V28" s="63">
        <f t="shared" si="18"/>
        <v>0.63179614260584005</v>
      </c>
      <c r="W28" s="63">
        <f t="shared" si="18"/>
        <v>1.1562049480206738</v>
      </c>
      <c r="X28" s="63">
        <f t="shared" si="18"/>
        <v>0.80107190083718482</v>
      </c>
      <c r="Y28" s="63">
        <f t="shared" si="18"/>
        <v>1.2066258957323577</v>
      </c>
      <c r="Z28" s="63">
        <f t="shared" si="18"/>
        <v>0.44312759406950769</v>
      </c>
      <c r="AA28" s="63">
        <f t="shared" si="18"/>
        <v>0.47279630735551914</v>
      </c>
      <c r="AB28" s="63">
        <f t="shared" si="18"/>
        <v>-0.12105959362420206</v>
      </c>
      <c r="AC28" s="63">
        <f t="shared" si="18"/>
        <v>9.0492841308013619E-2</v>
      </c>
      <c r="AD28" s="63">
        <f t="shared" si="18"/>
        <v>0.26081994123721552</v>
      </c>
      <c r="AE28" s="63">
        <f t="shared" si="18"/>
        <v>1.0554510556949641</v>
      </c>
      <c r="AF28" s="63">
        <f t="shared" si="18"/>
        <v>0.35565897937518193</v>
      </c>
      <c r="AG28" s="63">
        <f t="shared" si="18"/>
        <v>-0.15997022910266182</v>
      </c>
      <c r="AH28" s="63">
        <f t="shared" si="18"/>
        <v>1.3221463225501622</v>
      </c>
      <c r="AI28" s="63">
        <f t="shared" si="18"/>
        <v>-3.7537766130716244E-2</v>
      </c>
      <c r="AJ28" s="63">
        <f t="shared" si="18"/>
        <v>1.3463536783880752</v>
      </c>
      <c r="AK28" s="63">
        <f t="shared" si="18"/>
        <v>3.0759576956208745</v>
      </c>
      <c r="AL28" s="63">
        <f t="shared" si="18"/>
        <v>0.30297225906350506</v>
      </c>
      <c r="AM28" s="63">
        <f t="shared" si="18"/>
        <v>0.81705611456564697</v>
      </c>
      <c r="AN28" s="63">
        <f t="shared" si="18"/>
        <v>0.35577068426814945</v>
      </c>
      <c r="AO28" s="63">
        <f t="shared" si="18"/>
        <v>-0.55515499537289703</v>
      </c>
      <c r="AP28" s="63">
        <f t="shared" si="18"/>
        <v>-0.42492747169508249</v>
      </c>
      <c r="AQ28" s="63">
        <f t="shared" si="18"/>
        <v>-0.62261166836450477</v>
      </c>
      <c r="AR28" s="63">
        <f t="shared" si="18"/>
        <v>-0.32140253943774122</v>
      </c>
      <c r="AS28" s="63">
        <f t="shared" si="18"/>
        <v>0.85464953822158218</v>
      </c>
      <c r="AT28" s="63">
        <f t="shared" si="18"/>
        <v>3.1165085945931046</v>
      </c>
      <c r="AU28" s="63">
        <f t="shared" si="18"/>
        <v>2.6868197118243549</v>
      </c>
      <c r="AV28" s="63">
        <f t="shared" si="18"/>
        <v>3.1638689809498439</v>
      </c>
      <c r="AW28" s="63">
        <f t="shared" si="18"/>
        <v>2.371148194855956E-2</v>
      </c>
      <c r="AX28" s="63">
        <f t="shared" si="18"/>
        <v>-0.23063928003964812</v>
      </c>
      <c r="AY28" s="63">
        <f t="shared" si="18"/>
        <v>-0.48545356427470321</v>
      </c>
      <c r="AZ28" s="63">
        <f t="shared" si="18"/>
        <v>-0.42533273062652882</v>
      </c>
      <c r="BA28" s="63">
        <f t="shared" si="18"/>
        <v>0.2214257652620755</v>
      </c>
      <c r="BB28" s="63">
        <f t="shared" si="18"/>
        <v>-9.3874449459068185E-2</v>
      </c>
      <c r="BC28" s="63">
        <f t="shared" si="18"/>
        <v>2.0162549507798699</v>
      </c>
      <c r="BD28" s="63">
        <f t="shared" si="18"/>
        <v>1.7121331612676749</v>
      </c>
      <c r="BE28" s="63">
        <f t="shared" si="18"/>
        <v>0.27396025216280973</v>
      </c>
      <c r="BF28" s="63">
        <f t="shared" si="18"/>
        <v>0.31346776210980498</v>
      </c>
      <c r="BG28" s="63">
        <f t="shared" si="18"/>
        <v>-0.62462452797465162</v>
      </c>
      <c r="BH28" s="63">
        <f t="shared" si="18"/>
        <v>9.3229993546786252E-2</v>
      </c>
      <c r="BI28" s="63">
        <f t="shared" si="18"/>
        <v>2.1781584851361302</v>
      </c>
      <c r="BJ28" s="63">
        <f t="shared" si="18"/>
        <v>-10.471546856861634</v>
      </c>
      <c r="BK28" s="63">
        <f t="shared" si="18"/>
        <v>-4.6896297498441379</v>
      </c>
      <c r="BL28" s="63">
        <f t="shared" si="18"/>
        <v>-2.0820272312593007</v>
      </c>
      <c r="BM28" s="63">
        <f t="shared" si="18"/>
        <v>0.39652085460689385</v>
      </c>
      <c r="BN28" s="63">
        <f t="shared" si="18"/>
        <v>-1.7004121874033171</v>
      </c>
      <c r="BO28" s="63">
        <f t="shared" si="18"/>
        <v>5.3982415397974854</v>
      </c>
      <c r="BP28" s="63">
        <f t="shared" si="18"/>
        <v>-0.19318461753705107</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1.5874245114580576E-2</v>
      </c>
      <c r="F31" s="112"/>
      <c r="G31" s="112"/>
      <c r="H31" s="112"/>
      <c r="I31" s="112">
        <f>POWER(E27/Y27,1/6)-1</f>
        <v>0.14326820511699712</v>
      </c>
      <c r="M31" s="112">
        <f>POWER(E27/AC27,1/7)-1</f>
        <v>0.25587192559484073</v>
      </c>
      <c r="Q31" s="115" t="s">
        <v>603</v>
      </c>
      <c r="R31" s="115"/>
      <c r="S31" s="115"/>
      <c r="T31" s="115"/>
      <c r="U31" s="115">
        <f>POWER(E14/U14,1/5)-1</f>
        <v>3.6041996830115552E-2</v>
      </c>
      <c r="V31" s="115"/>
      <c r="W31" s="115"/>
      <c r="X31" s="115"/>
      <c r="Y31" s="115">
        <f>POWER(E14/Y14,1/6)-1</f>
        <v>0.13233157472139734</v>
      </c>
      <c r="Z31" s="115"/>
      <c r="AA31" s="115"/>
      <c r="AB31" s="115"/>
      <c r="AC31" s="115">
        <f>POWER(E14/AC14,1/7)-1</f>
        <v>0.18973665454456157</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4" sqref="B4"/>
    </sheetView>
  </sheetViews>
  <sheetFormatPr defaultRowHeight="14.4" x14ac:dyDescent="0.25"/>
  <cols>
    <col min="1" max="1" width="43.5546875" style="17" bestFit="1" customWidth="1"/>
    <col min="2" max="2" width="27.5546875" style="26" bestFit="1" customWidth="1"/>
    <col min="3" max="3" width="38" bestFit="1" customWidth="1"/>
    <col min="4" max="4" width="23.88671875" bestFit="1" customWidth="1"/>
    <col min="5" max="8" width="20.44140625" bestFit="1" customWidth="1"/>
    <col min="9" max="9" width="24.88671875" bestFit="1" customWidth="1"/>
    <col min="10" max="11" width="20.44140625" bestFit="1" customWidth="1"/>
    <col min="12" max="12" width="40.21875" bestFit="1" customWidth="1"/>
    <col min="13" max="18" width="20.44140625" bestFit="1" customWidth="1"/>
    <col min="19" max="19" width="23.77734375" bestFit="1" customWidth="1"/>
    <col min="20" max="74" width="9.44140625" bestFit="1" customWidth="1"/>
  </cols>
  <sheetData>
    <row r="1" spans="1:10" ht="16.2" customHeight="1" x14ac:dyDescent="0.25">
      <c r="A1" s="68" t="s">
        <v>514</v>
      </c>
      <c r="B1" s="69">
        <f>自由现金流分析表!E1</f>
        <v>43100</v>
      </c>
      <c r="C1" s="191" t="s">
        <v>750</v>
      </c>
      <c r="D1" s="274">
        <v>0.08</v>
      </c>
      <c r="E1" s="262" t="s">
        <v>751</v>
      </c>
      <c r="F1" s="63">
        <f>平均资本成本表!E13</f>
        <v>4.7326295410785188E-2</v>
      </c>
    </row>
    <row r="2" spans="1:10" x14ac:dyDescent="0.25">
      <c r="A2" s="70" t="s">
        <v>515</v>
      </c>
      <c r="B2" s="71">
        <f>(自由现金流分析表!E27+自由现金流分析表!I27+自由现金流分析表!M27)/3</f>
        <v>13630280259.74</v>
      </c>
      <c r="C2" t="s">
        <v>548</v>
      </c>
      <c r="D2" s="63"/>
      <c r="E2" s="63"/>
      <c r="F2" s="56"/>
    </row>
    <row r="3" spans="1:10" s="63" customFormat="1" x14ac:dyDescent="0.25">
      <c r="A3" s="72" t="s">
        <v>516</v>
      </c>
      <c r="B3" s="98">
        <v>0</v>
      </c>
      <c r="D3" s="190"/>
      <c r="E3" s="190"/>
      <c r="F3" s="260"/>
    </row>
    <row r="4" spans="1:10" s="63" customFormat="1" x14ac:dyDescent="0.25">
      <c r="A4" s="72" t="s">
        <v>517</v>
      </c>
      <c r="B4" s="98">
        <f>F1</f>
        <v>4.7326295410785188E-2</v>
      </c>
      <c r="D4" s="190"/>
      <c r="E4" s="190"/>
      <c r="F4" s="261"/>
    </row>
    <row r="5" spans="1:10" x14ac:dyDescent="0.25">
      <c r="A5" s="70" t="s">
        <v>518</v>
      </c>
      <c r="B5" s="71">
        <f>B2*(1+B3)/(B4-B3)</f>
        <v>288006490713.69733</v>
      </c>
      <c r="D5" s="63"/>
      <c r="E5" s="63"/>
    </row>
    <row r="6" spans="1:10" x14ac:dyDescent="0.25">
      <c r="A6" s="70" t="s">
        <v>519</v>
      </c>
      <c r="B6" s="71">
        <f>资产资本表!E17</f>
        <v>5348010956.9499998</v>
      </c>
      <c r="D6" s="190"/>
      <c r="E6" s="190"/>
      <c r="F6" s="190"/>
      <c r="G6" s="190"/>
    </row>
    <row r="7" spans="1:10" x14ac:dyDescent="0.25">
      <c r="A7" s="70" t="s">
        <v>520</v>
      </c>
      <c r="B7" s="71">
        <f>资产资本表!E19</f>
        <v>8729612779.75</v>
      </c>
      <c r="D7" s="190"/>
      <c r="E7" s="190"/>
      <c r="F7" s="190"/>
      <c r="G7" s="190"/>
    </row>
    <row r="8" spans="1:10" x14ac:dyDescent="0.25">
      <c r="A8" s="70" t="s">
        <v>521</v>
      </c>
      <c r="B8" s="197">
        <f>资产资本表!E89</f>
        <v>132005266454.61002</v>
      </c>
      <c r="C8" s="272" t="s">
        <v>748</v>
      </c>
      <c r="D8" s="273">
        <f>B2/B4</f>
        <v>288006490713.69733</v>
      </c>
      <c r="E8" s="63"/>
      <c r="F8" s="190"/>
      <c r="G8" s="190"/>
    </row>
    <row r="9" spans="1:10" x14ac:dyDescent="0.25">
      <c r="A9" s="70" t="s">
        <v>522</v>
      </c>
      <c r="B9" s="197">
        <f>B5+B6+B7-B8</f>
        <v>170078847995.78732</v>
      </c>
      <c r="C9" s="272" t="s">
        <v>749</v>
      </c>
      <c r="D9" s="273">
        <f>(D8+资产资本结构分析表!$E$2+资产资本结构分析表!$E$3)/B55</f>
        <v>44.4895603019731</v>
      </c>
      <c r="E9" s="190"/>
      <c r="F9" s="190"/>
      <c r="G9" s="190"/>
    </row>
    <row r="10" spans="1:10" x14ac:dyDescent="0.25">
      <c r="A10" s="70" t="s">
        <v>523</v>
      </c>
      <c r="B10" s="73">
        <f>资产资本表!E103/资产资本表!E107</f>
        <v>0.49668171212465517</v>
      </c>
      <c r="D10" s="190"/>
      <c r="E10" s="190"/>
      <c r="F10" s="190"/>
      <c r="G10" s="190"/>
    </row>
    <row r="11" spans="1:10" x14ac:dyDescent="0.25">
      <c r="A11" s="70" t="s">
        <v>549</v>
      </c>
      <c r="B11" s="197">
        <f>B9*(1-B10)</f>
        <v>85603794577.050705</v>
      </c>
      <c r="C11" s="269" t="s">
        <v>745</v>
      </c>
      <c r="D11" s="270">
        <f>资产资本结构分析表!E2</f>
        <v>5348010956.9499998</v>
      </c>
      <c r="E11" s="63"/>
      <c r="F11" s="190"/>
      <c r="G11" s="190"/>
    </row>
    <row r="12" spans="1:10" x14ac:dyDescent="0.25">
      <c r="A12" s="70" t="s">
        <v>524</v>
      </c>
      <c r="B12" s="268">
        <f>B55</f>
        <v>6790000000</v>
      </c>
      <c r="C12" s="269" t="s">
        <v>746</v>
      </c>
      <c r="D12" s="271">
        <f>D11/B55</f>
        <v>0.78763047966863031</v>
      </c>
      <c r="E12" s="190"/>
      <c r="F12" s="190"/>
      <c r="G12" s="190"/>
    </row>
    <row r="13" spans="1:10" ht="15" thickBot="1" x14ac:dyDescent="0.3">
      <c r="A13" s="74" t="s">
        <v>525</v>
      </c>
      <c r="B13" s="75">
        <f>B11/B12</f>
        <v>12.607333516502313</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13630280259.74</v>
      </c>
      <c r="D19" s="89">
        <f>C19*(1+$D$17)</f>
        <v>14993308285.714001</v>
      </c>
      <c r="E19" s="89">
        <f>D19*(1+$D$17)</f>
        <v>16492639114.285402</v>
      </c>
      <c r="F19" s="89">
        <f>E19*(1+$D$17)</f>
        <v>18141903025.713943</v>
      </c>
      <c r="G19" s="89">
        <f>F19*(1+$D$17)</f>
        <v>19956093328.285339</v>
      </c>
      <c r="H19" s="89">
        <f>G19*(1+$D$17)</f>
        <v>21951702661.113876</v>
      </c>
      <c r="I19" s="89">
        <f>H19*(1+I17)</f>
        <v>22829770767.558434</v>
      </c>
      <c r="J19" s="76"/>
    </row>
    <row r="20" spans="1:10" s="26" customFormat="1" x14ac:dyDescent="0.25">
      <c r="A20" s="99" t="s">
        <v>528</v>
      </c>
      <c r="B20" s="95">
        <f>B4</f>
        <v>4.7326295410785188E-2</v>
      </c>
      <c r="C20" s="89"/>
      <c r="D20" s="89">
        <f t="shared" ref="D20:I20" si="0">(1+$B$20)^D18</f>
        <v>1.0473262954107851</v>
      </c>
      <c r="E20" s="89">
        <f t="shared" si="0"/>
        <v>1.0968923690588792</v>
      </c>
      <c r="F20" s="89">
        <f t="shared" si="0"/>
        <v>1.1488042213507956</v>
      </c>
      <c r="G20" s="89">
        <f t="shared" si="0"/>
        <v>1.2031728692996004</v>
      </c>
      <c r="H20" s="89">
        <f t="shared" si="0"/>
        <v>1.2601145839423153</v>
      </c>
      <c r="I20" s="89">
        <f t="shared" si="0"/>
        <v>1.319751138993408</v>
      </c>
      <c r="J20" s="76"/>
    </row>
    <row r="21" spans="1:10" s="26" customFormat="1" x14ac:dyDescent="0.25">
      <c r="A21" s="301" t="s">
        <v>529</v>
      </c>
      <c r="B21" s="301"/>
      <c r="C21" s="89"/>
      <c r="D21" s="89">
        <f>D19/D20</f>
        <v>14315794754.139429</v>
      </c>
      <c r="E21" s="89">
        <f>E19/E20</f>
        <v>15035786171.469032</v>
      </c>
      <c r="F21" s="89">
        <f>F19/F20</f>
        <v>15791988476.837416</v>
      </c>
      <c r="G21" s="89">
        <f>G19/G20</f>
        <v>16586222842.526628</v>
      </c>
      <c r="H21" s="89">
        <f>H19/H20</f>
        <v>17420402033.946117</v>
      </c>
      <c r="I21" s="89">
        <f>I19/((B20-I17)*I20)</f>
        <v>2361158160731.8452</v>
      </c>
      <c r="J21" s="76"/>
    </row>
    <row r="22" spans="1:10" s="26" customFormat="1" x14ac:dyDescent="0.25">
      <c r="A22" s="301" t="s">
        <v>547</v>
      </c>
      <c r="B22" s="301"/>
      <c r="C22" s="89"/>
      <c r="D22" s="297">
        <f>SUM(D21:H21)</f>
        <v>79150194278.918625</v>
      </c>
      <c r="E22" s="298"/>
      <c r="F22" s="298"/>
      <c r="G22" s="298"/>
      <c r="H22" s="299"/>
      <c r="I22" s="89">
        <f>I21</f>
        <v>2361158160731.8452</v>
      </c>
      <c r="J22" s="76"/>
    </row>
    <row r="23" spans="1:10" x14ac:dyDescent="0.25">
      <c r="A23" s="92" t="s">
        <v>530</v>
      </c>
      <c r="B23" s="76">
        <f>D22+I22</f>
        <v>2440308355010.7637</v>
      </c>
      <c r="C23" s="77"/>
      <c r="D23" s="77"/>
      <c r="E23" s="77"/>
      <c r="F23" s="77"/>
      <c r="G23" s="77"/>
      <c r="H23" s="77"/>
      <c r="I23" s="79"/>
      <c r="J23" s="77"/>
    </row>
    <row r="24" spans="1:10" x14ac:dyDescent="0.25">
      <c r="A24" s="92" t="s">
        <v>531</v>
      </c>
      <c r="B24" s="76">
        <f>B23</f>
        <v>2440308355010.7637</v>
      </c>
      <c r="C24" s="77"/>
      <c r="D24" s="77"/>
      <c r="E24" s="77"/>
      <c r="F24" s="77"/>
      <c r="G24" s="77"/>
      <c r="H24" s="77"/>
      <c r="I24" s="79"/>
      <c r="J24" s="77"/>
    </row>
    <row r="25" spans="1:10" x14ac:dyDescent="0.25">
      <c r="A25" s="70" t="s">
        <v>532</v>
      </c>
      <c r="B25" s="71">
        <f>资产资本表!E17</f>
        <v>5348010956.9499998</v>
      </c>
      <c r="C25" s="77"/>
      <c r="D25" s="77"/>
      <c r="E25" s="77"/>
      <c r="F25" s="77"/>
      <c r="G25" s="77"/>
      <c r="H25" s="77"/>
      <c r="I25" s="79"/>
      <c r="J25" s="77"/>
    </row>
    <row r="26" spans="1:10" x14ac:dyDescent="0.25">
      <c r="A26" s="70" t="s">
        <v>533</v>
      </c>
      <c r="B26" s="71">
        <f>资产资本表!E19</f>
        <v>8729612779.75</v>
      </c>
      <c r="C26" s="77"/>
      <c r="D26" s="77"/>
      <c r="E26" s="77"/>
      <c r="F26" s="77"/>
      <c r="G26" s="77"/>
      <c r="H26" s="77"/>
      <c r="I26" s="79"/>
      <c r="J26" s="77"/>
    </row>
    <row r="27" spans="1:10" x14ac:dyDescent="0.25">
      <c r="A27" s="70" t="s">
        <v>534</v>
      </c>
      <c r="B27" s="71">
        <f>资产资本表!E89</f>
        <v>132005266454.61002</v>
      </c>
      <c r="C27" s="77"/>
      <c r="D27" s="77"/>
      <c r="E27" s="77"/>
      <c r="F27" s="77"/>
      <c r="G27" s="77"/>
      <c r="H27" s="77"/>
      <c r="I27" s="79"/>
      <c r="J27" s="77"/>
    </row>
    <row r="28" spans="1:10" s="2" customFormat="1" x14ac:dyDescent="0.25">
      <c r="A28" s="82" t="s">
        <v>535</v>
      </c>
      <c r="B28" s="83">
        <f>B24+B25+B26-B27</f>
        <v>2322380712292.854</v>
      </c>
      <c r="C28" s="80"/>
      <c r="D28" s="80"/>
      <c r="E28" s="80"/>
      <c r="F28" s="80"/>
      <c r="G28" s="80"/>
      <c r="H28" s="80"/>
      <c r="I28" s="81"/>
      <c r="J28" s="80"/>
    </row>
    <row r="29" spans="1:10" x14ac:dyDescent="0.25">
      <c r="A29" s="70" t="s">
        <v>536</v>
      </c>
      <c r="B29" s="78">
        <f>资产资本表!E103/资产资本表!E107</f>
        <v>0.49668171212465517</v>
      </c>
      <c r="C29" s="302" t="s">
        <v>543</v>
      </c>
      <c r="D29" s="302"/>
      <c r="E29" s="302"/>
      <c r="F29" s="77"/>
      <c r="G29" s="77"/>
      <c r="H29" s="77"/>
      <c r="I29" s="79"/>
      <c r="J29" s="77"/>
    </row>
    <row r="30" spans="1:10" s="2" customFormat="1" x14ac:dyDescent="0.25">
      <c r="A30" s="82" t="s">
        <v>537</v>
      </c>
      <c r="B30" s="83">
        <f>B28*(1-B29)</f>
        <v>1168896683905.9631</v>
      </c>
      <c r="C30" s="91">
        <v>0.4</v>
      </c>
      <c r="D30" s="91">
        <v>0.3</v>
      </c>
      <c r="E30" s="91">
        <v>0.2</v>
      </c>
      <c r="F30" s="80"/>
      <c r="G30" s="80"/>
      <c r="H30" s="80"/>
      <c r="I30" s="81"/>
      <c r="J30" s="80"/>
    </row>
    <row r="31" spans="1:10" x14ac:dyDescent="0.25">
      <c r="A31" s="70" t="s">
        <v>747</v>
      </c>
      <c r="B31" s="101">
        <f>B55</f>
        <v>6790000000</v>
      </c>
      <c r="C31" s="215">
        <f>$B$32*(1-C30)</f>
        <v>103.2898395204091</v>
      </c>
      <c r="D31" s="215">
        <f>$B$32*(1-D30)</f>
        <v>120.50481277381063</v>
      </c>
      <c r="E31" s="215">
        <f>$B$32*(1-E30)</f>
        <v>137.71978602721217</v>
      </c>
      <c r="F31" s="77"/>
      <c r="G31" s="77"/>
      <c r="H31" s="77"/>
      <c r="I31" s="79"/>
      <c r="J31" s="77"/>
    </row>
    <row r="32" spans="1:10" s="2" customFormat="1" ht="15" thickBot="1" x14ac:dyDescent="0.3">
      <c r="A32" s="84" t="s">
        <v>538</v>
      </c>
      <c r="B32" s="85">
        <f>B30/B31</f>
        <v>172.14973253401519</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13630280259.74</v>
      </c>
      <c r="D39" s="89">
        <f>$C$39*(1+$D$37)^D38</f>
        <v>15674822298.700998</v>
      </c>
      <c r="E39" s="89">
        <f>$C$39*(1+$D$37)^E38</f>
        <v>18026045643.506145</v>
      </c>
      <c r="F39" s="89">
        <f>$C$39*(1+$D$37)^F38</f>
        <v>20729952490.032066</v>
      </c>
      <c r="G39" s="89">
        <f>$C$39*(1+$D$37)^G38</f>
        <v>23839445363.536877</v>
      </c>
      <c r="H39" s="89">
        <f>$C$39*(1+$D$37)^H38</f>
        <v>27415362168.067406</v>
      </c>
      <c r="I39" s="89">
        <f>H39*(1+$I$37)</f>
        <v>29882744763.193474</v>
      </c>
      <c r="J39" s="89">
        <f t="shared" ref="J39:N39" si="1">I39*(1+$I$37)</f>
        <v>32572191791.88089</v>
      </c>
      <c r="K39" s="89">
        <f t="shared" si="1"/>
        <v>35503689053.150169</v>
      </c>
      <c r="L39" s="89">
        <f t="shared" si="1"/>
        <v>38699021067.933685</v>
      </c>
      <c r="M39" s="89">
        <f t="shared" si="1"/>
        <v>42181932964.047722</v>
      </c>
      <c r="N39" s="89">
        <f t="shared" si="1"/>
        <v>45978306930.812019</v>
      </c>
      <c r="O39" s="89">
        <f t="shared" ref="O39" si="2">N39*(1+$I$37)</f>
        <v>50116354554.585106</v>
      </c>
      <c r="P39" s="89">
        <f t="shared" ref="P39" si="3">O39*(1+$I$37)</f>
        <v>54626826464.497772</v>
      </c>
      <c r="Q39" s="89">
        <f t="shared" ref="Q39" si="4">P39*(1+$I$37)</f>
        <v>59543240846.302574</v>
      </c>
      <c r="R39" s="89">
        <f t="shared" ref="R39" si="5">Q39*(1+$I$37)</f>
        <v>64902132522.46981</v>
      </c>
      <c r="S39" s="89">
        <f>R39*(1+S37)</f>
        <v>66200175172.919205</v>
      </c>
    </row>
    <row r="40" spans="1:19" s="23" customFormat="1" x14ac:dyDescent="0.25">
      <c r="A40" s="210" t="s">
        <v>528</v>
      </c>
      <c r="B40" s="209">
        <f>B4</f>
        <v>4.7326295410785188E-2</v>
      </c>
      <c r="C40" s="215"/>
      <c r="D40" s="215">
        <f>(1+$B$40)^D38</f>
        <v>1.0473262954107851</v>
      </c>
      <c r="E40" s="215">
        <f t="shared" ref="E40:R40" si="6">(1+$B$40)^E38</f>
        <v>1.0968923690588792</v>
      </c>
      <c r="F40" s="215">
        <f t="shared" si="6"/>
        <v>1.1488042213507956</v>
      </c>
      <c r="G40" s="215">
        <f t="shared" si="6"/>
        <v>1.2031728692996004</v>
      </c>
      <c r="H40" s="215">
        <f t="shared" si="6"/>
        <v>1.2601145839423153</v>
      </c>
      <c r="I40" s="215">
        <f t="shared" si="6"/>
        <v>1.319751138993408</v>
      </c>
      <c r="J40" s="215">
        <f t="shared" si="6"/>
        <v>1.38221007126613</v>
      </c>
      <c r="K40" s="215">
        <f t="shared" si="6"/>
        <v>1.4476249534186334</v>
      </c>
      <c r="L40" s="215">
        <f t="shared" si="6"/>
        <v>1.5161356796081478</v>
      </c>
      <c r="M40" s="215">
        <f t="shared" si="6"/>
        <v>1.5878887646641144</v>
      </c>
      <c r="N40" s="215">
        <f t="shared" si="6"/>
        <v>1.6630376574200749</v>
      </c>
      <c r="O40" s="215">
        <f t="shared" si="6"/>
        <v>1.7417430688743976</v>
      </c>
      <c r="P40" s="215">
        <f t="shared" si="6"/>
        <v>1.8241733158816349</v>
      </c>
      <c r="Q40" s="215">
        <f t="shared" si="6"/>
        <v>1.9105046811095205</v>
      </c>
      <c r="R40" s="215">
        <f t="shared" si="6"/>
        <v>2.0009217900313976</v>
      </c>
      <c r="S40" s="183">
        <f>(1+$B$40)^S38</f>
        <v>2.0956180057603007</v>
      </c>
    </row>
    <row r="41" spans="1:19" s="193" customFormat="1" x14ac:dyDescent="0.25">
      <c r="A41" s="313" t="s">
        <v>529</v>
      </c>
      <c r="B41" s="314"/>
      <c r="C41" s="89"/>
      <c r="D41" s="89">
        <f t="shared" ref="D41:R41" si="7">D39/D40</f>
        <v>14966512697.509401</v>
      </c>
      <c r="E41" s="89">
        <f t="shared" si="7"/>
        <v>16433741497.328751</v>
      </c>
      <c r="F41" s="89">
        <f t="shared" si="7"/>
        <v>18044808771.382488</v>
      </c>
      <c r="G41" s="89">
        <f t="shared" si="7"/>
        <v>19813815596.934517</v>
      </c>
      <c r="H41" s="89">
        <f t="shared" si="7"/>
        <v>21756245437.853298</v>
      </c>
      <c r="I41" s="89">
        <f t="shared" si="7"/>
        <v>22642711857.013775</v>
      </c>
      <c r="J41" s="89">
        <f t="shared" si="7"/>
        <v>23565297684.485947</v>
      </c>
      <c r="K41" s="89">
        <f t="shared" si="7"/>
        <v>24525474619.172985</v>
      </c>
      <c r="L41" s="89">
        <f t="shared" si="7"/>
        <v>25524774324.904499</v>
      </c>
      <c r="M41" s="89">
        <f t="shared" si="7"/>
        <v>26564790873.730034</v>
      </c>
      <c r="N41" s="89">
        <f t="shared" si="7"/>
        <v>27647183288.765499</v>
      </c>
      <c r="O41" s="89">
        <f t="shared" si="7"/>
        <v>28773678190.64888</v>
      </c>
      <c r="P41" s="89">
        <f t="shared" si="7"/>
        <v>29946072551.826725</v>
      </c>
      <c r="Q41" s="89">
        <f t="shared" si="7"/>
        <v>31166236563.065102</v>
      </c>
      <c r="R41" s="89">
        <f t="shared" si="7"/>
        <v>32436116616.757618</v>
      </c>
      <c r="S41" s="89">
        <f>S39/((B40-S37)*S40)</f>
        <v>1156022423897.0923</v>
      </c>
    </row>
    <row r="42" spans="1:19" s="23" customFormat="1" x14ac:dyDescent="0.25">
      <c r="A42" s="315" t="s">
        <v>547</v>
      </c>
      <c r="B42" s="316"/>
      <c r="C42" s="215"/>
      <c r="D42" s="308">
        <f>SUM(D41:H41)</f>
        <v>91015124001.008453</v>
      </c>
      <c r="E42" s="309"/>
      <c r="F42" s="309"/>
      <c r="G42" s="309"/>
      <c r="H42" s="310"/>
      <c r="I42" s="308">
        <f>SUM(I41:R41)</f>
        <v>272792336570.37106</v>
      </c>
      <c r="J42" s="309"/>
      <c r="K42" s="309"/>
      <c r="L42" s="309"/>
      <c r="M42" s="309"/>
      <c r="N42" s="309"/>
      <c r="O42" s="309"/>
      <c r="P42" s="309"/>
      <c r="Q42" s="309"/>
      <c r="R42" s="310"/>
      <c r="S42" s="215">
        <f>S41</f>
        <v>1156022423897.0923</v>
      </c>
    </row>
    <row r="43" spans="1:19" x14ac:dyDescent="0.25">
      <c r="A43" s="206" t="s">
        <v>545</v>
      </c>
      <c r="B43" s="197">
        <f>D42+I42+S42</f>
        <v>1519829884468.4717</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1519829884468.4717</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5348010956.9499998</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8729612779.75</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132005266454.61002</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1401902241750.5615</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0.49668171212465517</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705603036086.50037</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6790000000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103.91797291406486</v>
      </c>
      <c r="C52" s="208">
        <f>$B$52*(1-C51)</f>
        <v>62.350783748438914</v>
      </c>
      <c r="D52" s="208">
        <f>$B$52*(1-D51)</f>
        <v>72.742581039845405</v>
      </c>
      <c r="E52" s="208">
        <f>$B$52*(1-E51)</f>
        <v>83.134378331251895</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600886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6790000000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100.02692872599998</v>
      </c>
      <c r="F64" s="168">
        <v>0</v>
      </c>
      <c r="G64" s="166">
        <v>16.47</v>
      </c>
      <c r="H64" s="168">
        <f>G64*D64</f>
        <v>55.997999999999998</v>
      </c>
      <c r="I64" s="168">
        <f>C64*D64</f>
        <v>59.125999999999998</v>
      </c>
      <c r="J64" s="168">
        <f>H64/E64</f>
        <v>0.55982924511651477</v>
      </c>
      <c r="K64" s="168">
        <f>I64/E64</f>
        <v>0.59110082407870024</v>
      </c>
      <c r="L64" s="263">
        <v>0</v>
      </c>
    </row>
    <row r="65" spans="1:12" s="26" customFormat="1" x14ac:dyDescent="0.25">
      <c r="A65" s="179">
        <f>股权价值增加表!I1</f>
        <v>42735</v>
      </c>
      <c r="B65" s="167">
        <v>42543</v>
      </c>
      <c r="C65" s="166">
        <v>23.13</v>
      </c>
      <c r="D65" s="166">
        <v>3.64</v>
      </c>
      <c r="E65" s="168">
        <f>股权价值增加表!I42/100000000</f>
        <v>78.431280466099992</v>
      </c>
      <c r="F65" s="168">
        <f>(E65-E64)/E64*100</f>
        <v>-21.589834392552568</v>
      </c>
      <c r="G65" s="166">
        <v>23.11</v>
      </c>
      <c r="H65" s="168">
        <f t="shared" ref="H65:H66" si="8">G65*D65</f>
        <v>84.120400000000004</v>
      </c>
      <c r="I65" s="168">
        <f t="shared" ref="I65:I66" si="9">C65*D65</f>
        <v>84.193200000000004</v>
      </c>
      <c r="J65" s="168">
        <f t="shared" ref="J65:J66" si="10">H65/E65</f>
        <v>1.0725363592190618</v>
      </c>
      <c r="K65" s="168">
        <f t="shared" ref="K65:K66" si="11">I65/E65</f>
        <v>1.0734645603088231</v>
      </c>
      <c r="L65" s="263">
        <f>K65/F65</f>
        <v>-4.9720833462211067E-2</v>
      </c>
    </row>
    <row r="66" spans="1:12" s="26" customFormat="1" x14ac:dyDescent="0.25">
      <c r="A66" s="179">
        <f>股权价值增加表!E1</f>
        <v>43100</v>
      </c>
      <c r="B66" s="167">
        <v>42872</v>
      </c>
      <c r="C66" s="166">
        <v>16.399999999999999</v>
      </c>
      <c r="D66" s="166">
        <v>9.09</v>
      </c>
      <c r="E66" s="168">
        <f>股权价值增加表!E42/100000000</f>
        <v>56.134666914999983</v>
      </c>
      <c r="F66" s="168">
        <f t="shared" ref="F66" si="12">(E66-E65)/E65*100</f>
        <v>-28.428215654004497</v>
      </c>
      <c r="G66" s="166">
        <v>15.76</v>
      </c>
      <c r="H66" s="168">
        <f t="shared" si="8"/>
        <v>143.25839999999999</v>
      </c>
      <c r="I66" s="168">
        <f t="shared" si="9"/>
        <v>149.07599999999999</v>
      </c>
      <c r="J66" s="168">
        <f t="shared" si="10"/>
        <v>2.5520486336353287</v>
      </c>
      <c r="K66" s="168">
        <f t="shared" si="11"/>
        <v>2.6556851263717887</v>
      </c>
      <c r="L66" s="263">
        <f t="shared" ref="L66" si="13">K66/F66</f>
        <v>-9.3417228808650166E-2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-92.286406532782038</v>
      </c>
      <c r="G69" s="171">
        <v>10.119999999999999</v>
      </c>
      <c r="H69" s="172">
        <f>G69*D69</f>
        <v>91.990799999999993</v>
      </c>
      <c r="I69" s="172">
        <f>C69*D69</f>
        <v>105.8985</v>
      </c>
      <c r="J69" s="172">
        <f>H69/E69</f>
        <v>21.244988452655885</v>
      </c>
      <c r="K69" s="172">
        <f>I69/E69</f>
        <v>24.456928406466513</v>
      </c>
      <c r="L69" s="266">
        <f>K69/F69</f>
        <v>-0.26501116822420545</v>
      </c>
    </row>
    <row r="70" spans="1:12" s="26" customFormat="1" ht="15" thickBot="1" x14ac:dyDescent="0.3">
      <c r="A70" s="173" t="s">
        <v>626</v>
      </c>
      <c r="B70" s="174">
        <v>43305</v>
      </c>
      <c r="C70" s="175">
        <v>11.65</v>
      </c>
      <c r="D70" s="175">
        <v>9.09</v>
      </c>
      <c r="E70" s="175">
        <v>3.86</v>
      </c>
      <c r="F70" s="176">
        <f>(E70-E66)/E66*100</f>
        <v>-93.123678802895768</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-0.29460653737331072</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2019-02-14T01:35:10Z</dcterms:modified>
</cp:coreProperties>
</file>