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4.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5.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6.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7.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S40" i="13" l="1"/>
  <c r="D40" i="13" l="1"/>
  <c r="E40" i="13"/>
  <c r="F40" i="13"/>
  <c r="G40" i="13"/>
  <c r="H40" i="13"/>
  <c r="I40" i="13"/>
  <c r="J40" i="13"/>
  <c r="K40" i="13"/>
  <c r="L40" i="13"/>
  <c r="M40" i="13"/>
  <c r="N40" i="13"/>
  <c r="O40" i="13"/>
  <c r="P40" i="13"/>
  <c r="Q40" i="13"/>
  <c r="R40" i="13"/>
  <c r="B46" i="13"/>
  <c r="B51" i="13"/>
  <c r="B54" i="13"/>
  <c r="F38" i="9"/>
  <c r="G38" i="9"/>
  <c r="H38" i="9"/>
  <c r="I38" i="9"/>
  <c r="J38" i="9"/>
  <c r="K38" i="9"/>
  <c r="L38" i="9"/>
  <c r="M38" i="9"/>
  <c r="N38" i="9"/>
  <c r="E38" i="9"/>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R35" i="7"/>
  <c r="AS35" i="7"/>
  <c r="AT35" i="7"/>
  <c r="AU35" i="7"/>
  <c r="AV35" i="7"/>
  <c r="AW35" i="7"/>
  <c r="AX35" i="7"/>
  <c r="AY35" i="7"/>
  <c r="AZ35" i="7"/>
  <c r="BA35" i="7"/>
  <c r="BB35" i="7"/>
  <c r="BC35" i="7"/>
  <c r="BD35" i="7"/>
  <c r="BE35" i="7"/>
  <c r="BF35" i="7"/>
  <c r="BG35" i="7"/>
  <c r="BH35" i="7"/>
  <c r="BI35" i="7"/>
  <c r="BJ35" i="7"/>
  <c r="BK35" i="7"/>
  <c r="BL35" i="7"/>
  <c r="BM35" i="7"/>
  <c r="BN35" i="7"/>
  <c r="BO35" i="7"/>
  <c r="BP35" i="7"/>
  <c r="BQ35" i="7"/>
  <c r="BR35" i="7"/>
  <c r="BS35" i="7"/>
  <c r="BT35" i="7"/>
  <c r="BU35" i="7"/>
  <c r="BV35" i="7"/>
  <c r="AK54" i="6"/>
  <c r="Z56" i="6"/>
  <c r="AA56" i="6"/>
  <c r="AB56" i="6"/>
  <c r="AC56" i="6"/>
  <c r="AD56" i="6"/>
  <c r="AE56" i="6"/>
  <c r="AF56" i="6"/>
  <c r="AG56" i="6"/>
  <c r="AH56" i="6"/>
  <c r="AI56" i="6"/>
  <c r="AJ56" i="6"/>
  <c r="AK56" i="6"/>
  <c r="AL56" i="6"/>
  <c r="AM56" i="6"/>
  <c r="AN56" i="6"/>
  <c r="AO56" i="6"/>
  <c r="AP56" i="6"/>
  <c r="AQ56" i="6"/>
  <c r="AR56" i="6"/>
  <c r="AS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K70" i="13" l="1"/>
  <c r="I70" i="13"/>
  <c r="H70" i="13"/>
  <c r="J70" i="13" s="1"/>
  <c r="K69" i="13"/>
  <c r="J69" i="13"/>
  <c r="I69" i="13"/>
  <c r="H69" i="13"/>
  <c r="I65" i="13"/>
  <c r="I66" i="13"/>
  <c r="I64" i="13"/>
  <c r="H64" i="13"/>
  <c r="H65" i="13"/>
  <c r="H66" i="13"/>
  <c r="AT24" i="11" l="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R23" i="11" s="1"/>
  <c r="AS19" i="11"/>
  <c r="AS23" i="11" s="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AC13" i="7" l="1"/>
  <c r="AD13" i="7"/>
  <c r="AE13" i="7"/>
  <c r="AF13" i="7"/>
  <c r="AG13" i="7"/>
  <c r="AH13" i="7"/>
  <c r="AI13" i="7"/>
  <c r="AJ13" i="7"/>
  <c r="AK13" i="7"/>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E12" i="12" s="1"/>
  <c r="CD8" i="12"/>
  <c r="CD12" i="12" s="1"/>
  <c r="CC8" i="12"/>
  <c r="CB8" i="12"/>
  <c r="CA8" i="12"/>
  <c r="BZ8" i="12"/>
  <c r="BY8" i="12"/>
  <c r="BX8" i="12"/>
  <c r="BW8" i="12"/>
  <c r="BW12" i="12" s="1"/>
  <c r="BV8" i="12"/>
  <c r="BV12" i="12" s="1"/>
  <c r="BU8" i="12"/>
  <c r="BT8" i="12"/>
  <c r="BS8" i="12"/>
  <c r="BR8" i="12"/>
  <c r="BQ8" i="12"/>
  <c r="BP8" i="12"/>
  <c r="BO8" i="12"/>
  <c r="BO12" i="12" s="1"/>
  <c r="BN8" i="12"/>
  <c r="BN12" i="12" s="1"/>
  <c r="BM8" i="12"/>
  <c r="BL8" i="12"/>
  <c r="BK8" i="12"/>
  <c r="BJ8" i="12"/>
  <c r="BI8" i="12"/>
  <c r="BH8" i="12"/>
  <c r="BG8" i="12"/>
  <c r="BG12" i="12" s="1"/>
  <c r="BF8" i="12"/>
  <c r="BF12" i="12" s="1"/>
  <c r="BE8" i="12"/>
  <c r="BD8" i="12"/>
  <c r="BC8" i="12"/>
  <c r="BB8" i="12"/>
  <c r="BA8" i="12"/>
  <c r="AZ8" i="12"/>
  <c r="AY8" i="12"/>
  <c r="AY12" i="12" s="1"/>
  <c r="AX8" i="12"/>
  <c r="AX12" i="12" s="1"/>
  <c r="AW8" i="12"/>
  <c r="AV8" i="12"/>
  <c r="AU8" i="12"/>
  <c r="AT8" i="12"/>
  <c r="AS8" i="12"/>
  <c r="AR8" i="12"/>
  <c r="AQ8" i="12"/>
  <c r="AQ12" i="12" s="1"/>
  <c r="AP8" i="12"/>
  <c r="AP12" i="12" s="1"/>
  <c r="AO8" i="12"/>
  <c r="AN8" i="12"/>
  <c r="AM8" i="12"/>
  <c r="AL8" i="12"/>
  <c r="AK8" i="12"/>
  <c r="AJ8" i="12"/>
  <c r="AI8" i="12"/>
  <c r="AI12" i="12" s="1"/>
  <c r="AH8" i="12"/>
  <c r="AH12" i="12" s="1"/>
  <c r="AG8" i="12"/>
  <c r="AF8" i="12"/>
  <c r="AE8" i="12"/>
  <c r="AD8" i="12"/>
  <c r="AC8" i="12"/>
  <c r="AB8" i="12"/>
  <c r="AA8" i="12"/>
  <c r="AA12" i="12" s="1"/>
  <c r="Z8" i="12"/>
  <c r="Z12" i="12" s="1"/>
  <c r="Y8" i="12"/>
  <c r="X8" i="12"/>
  <c r="W8" i="12"/>
  <c r="V8" i="12"/>
  <c r="U8" i="12"/>
  <c r="T8" i="12"/>
  <c r="S8" i="12"/>
  <c r="S12" i="12" s="1"/>
  <c r="R8" i="12"/>
  <c r="R12" i="12" s="1"/>
  <c r="Q8" i="12"/>
  <c r="P8" i="12"/>
  <c r="O8" i="12"/>
  <c r="N8" i="12"/>
  <c r="M8" i="12"/>
  <c r="L8" i="12"/>
  <c r="K8" i="12"/>
  <c r="K12" i="12" s="1"/>
  <c r="J8" i="12"/>
  <c r="J12" i="12" s="1"/>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M26" i="11"/>
  <c r="AL26" i="11"/>
  <c r="AL28" i="11" s="1"/>
  <c r="AK26" i="11"/>
  <c r="AK28" i="11" s="1"/>
  <c r="AJ26" i="11"/>
  <c r="AI26" i="11"/>
  <c r="AI28" i="11" s="1"/>
  <c r="AH26" i="11"/>
  <c r="AH28" i="11" s="1"/>
  <c r="AG26" i="11"/>
  <c r="AF26" i="11"/>
  <c r="AE26" i="11"/>
  <c r="AD26" i="11"/>
  <c r="AD28" i="11" s="1"/>
  <c r="AC26" i="11"/>
  <c r="AC28" i="11" s="1"/>
  <c r="AB26" i="11"/>
  <c r="AA26" i="11"/>
  <c r="AA28" i="11" s="1"/>
  <c r="Z26" i="11"/>
  <c r="Z28" i="11" s="1"/>
  <c r="Y26" i="11"/>
  <c r="X26" i="11"/>
  <c r="W26" i="11"/>
  <c r="V26" i="11"/>
  <c r="V28" i="11" s="1"/>
  <c r="U26" i="11"/>
  <c r="U28" i="11" s="1"/>
  <c r="T26" i="11"/>
  <c r="S26" i="11"/>
  <c r="R26" i="11"/>
  <c r="R28" i="11" s="1"/>
  <c r="Q26" i="11"/>
  <c r="P26" i="11"/>
  <c r="O26" i="11"/>
  <c r="N26" i="11"/>
  <c r="N28" i="11" s="1"/>
  <c r="M26" i="11"/>
  <c r="M28" i="11" s="1"/>
  <c r="L26" i="11"/>
  <c r="K26" i="11"/>
  <c r="J26" i="11"/>
  <c r="J28" i="11" s="1"/>
  <c r="I26" i="11"/>
  <c r="H26" i="11"/>
  <c r="G26" i="11"/>
  <c r="F26" i="11"/>
  <c r="F28" i="11" s="1"/>
  <c r="E26" i="11"/>
  <c r="E28" i="11" s="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N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O2" i="10"/>
  <c r="N2" i="10"/>
  <c r="N3" i="10" s="1"/>
  <c r="M2" i="10"/>
  <c r="M5" i="10" s="1"/>
  <c r="L2" i="10"/>
  <c r="K2" i="10"/>
  <c r="J2" i="10"/>
  <c r="I2" i="10"/>
  <c r="H2" i="10"/>
  <c r="H19" i="10" s="1"/>
  <c r="G2" i="10"/>
  <c r="F2" i="10"/>
  <c r="F3" i="10" s="1"/>
  <c r="E2" i="10"/>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AB17" i="7"/>
  <c r="AA17" i="7"/>
  <c r="Z17" i="7"/>
  <c r="Y17" i="7"/>
  <c r="X17" i="7"/>
  <c r="W17" i="7"/>
  <c r="V17" i="7"/>
  <c r="U17" i="7"/>
  <c r="T17" i="7"/>
  <c r="S17" i="7"/>
  <c r="R17" i="7"/>
  <c r="Q17" i="7"/>
  <c r="P17" i="7"/>
  <c r="O17" i="7"/>
  <c r="N17" i="7"/>
  <c r="M17" i="7"/>
  <c r="L17" i="7"/>
  <c r="K17" i="7"/>
  <c r="J17" i="7"/>
  <c r="I17" i="7"/>
  <c r="H17" i="7"/>
  <c r="G17" i="7"/>
  <c r="F17" i="7"/>
  <c r="E17" i="7"/>
  <c r="AB12" i="7"/>
  <c r="U12" i="7"/>
  <c r="T12" i="7"/>
  <c r="M12" i="7"/>
  <c r="L12" i="7"/>
  <c r="K12" i="7"/>
  <c r="AB11" i="7"/>
  <c r="AB13" i="7" s="1"/>
  <c r="AA11" i="7"/>
  <c r="Z11"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R24" i="6" s="1"/>
  <c r="Q67" i="6"/>
  <c r="Q24" i="6" s="1"/>
  <c r="P67" i="6"/>
  <c r="O67" i="6"/>
  <c r="O24" i="6" s="1"/>
  <c r="N67" i="6"/>
  <c r="M67" i="6"/>
  <c r="L67" i="6"/>
  <c r="K67" i="6"/>
  <c r="J67" i="6"/>
  <c r="J24" i="6" s="1"/>
  <c r="I67" i="6"/>
  <c r="I24" i="6" s="1"/>
  <c r="H67" i="6"/>
  <c r="G67" i="6"/>
  <c r="G24" i="6" s="1"/>
  <c r="G27" i="6" s="1"/>
  <c r="G32" i="10" s="1"/>
  <c r="F67" i="6"/>
  <c r="E67" i="6"/>
  <c r="D67" i="6"/>
  <c r="C67" i="6"/>
  <c r="B67" i="6"/>
  <c r="B24" i="6" s="1"/>
  <c r="B27"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N35" i="6"/>
  <c r="H35" i="6"/>
  <c r="G35" i="6"/>
  <c r="F35" i="6"/>
  <c r="D35" i="6"/>
  <c r="C35" i="6"/>
  <c r="B35"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P24" i="6"/>
  <c r="N24" i="6"/>
  <c r="M24" i="6"/>
  <c r="L24" i="6"/>
  <c r="K24" i="6"/>
  <c r="K27" i="6" s="1"/>
  <c r="K32" i="10" s="1"/>
  <c r="H24" i="6"/>
  <c r="H27" i="6" s="1"/>
  <c r="F24" i="6"/>
  <c r="F27" i="6" s="1"/>
  <c r="F32" i="10" s="1"/>
  <c r="E24" i="6"/>
  <c r="D24" i="6"/>
  <c r="D27" i="6" s="1"/>
  <c r="C24" i="6"/>
  <c r="C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M23" i="6"/>
  <c r="M35" i="6" s="1"/>
  <c r="L23" i="6"/>
  <c r="L35" i="6" s="1"/>
  <c r="K23" i="6"/>
  <c r="K35" i="6" s="1"/>
  <c r="J23" i="6"/>
  <c r="J35" i="6" s="1"/>
  <c r="I23" i="6"/>
  <c r="I35" i="6" s="1"/>
  <c r="H23" i="6"/>
  <c r="G23" i="6"/>
  <c r="F23" i="6"/>
  <c r="E23" i="6"/>
  <c r="E35" i="6" s="1"/>
  <c r="D23" i="6"/>
  <c r="C23" i="6"/>
  <c r="B23"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M12" i="6"/>
  <c r="M18" i="10" s="1"/>
  <c r="L12" i="6"/>
  <c r="L18" i="10" s="1"/>
  <c r="K12" i="6"/>
  <c r="K18" i="10" s="1"/>
  <c r="J12" i="6"/>
  <c r="J18" i="10" s="1"/>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L6" i="10" l="1"/>
  <c r="E8" i="8"/>
  <c r="B49" i="13"/>
  <c r="K28" i="11"/>
  <c r="K57" i="11"/>
  <c r="C70" i="5"/>
  <c r="E25" i="12"/>
  <c r="M25" i="12"/>
  <c r="U25" i="12"/>
  <c r="AC25" i="12"/>
  <c r="AK25" i="12"/>
  <c r="AS25" i="12"/>
  <c r="BA25" i="12"/>
  <c r="BI25" i="12"/>
  <c r="BI26" i="12" s="1"/>
  <c r="BI27" i="12" s="1"/>
  <c r="BQ25" i="12"/>
  <c r="BY25" i="12"/>
  <c r="CG25" i="12"/>
  <c r="L27" i="6"/>
  <c r="N27" i="6"/>
  <c r="N32" i="10" s="1"/>
  <c r="K19" i="10"/>
  <c r="P27" i="6"/>
  <c r="P32" i="10" s="1"/>
  <c r="L19" i="10"/>
  <c r="P19" i="10"/>
  <c r="O27" i="6"/>
  <c r="O32" i="10" s="1"/>
  <c r="J27" i="6"/>
  <c r="J32" i="10" s="1"/>
  <c r="F25" i="12"/>
  <c r="N25" i="12"/>
  <c r="V25" i="12"/>
  <c r="AD25" i="12"/>
  <c r="AL25" i="12"/>
  <c r="AL26" i="12" s="1"/>
  <c r="AL27" i="12" s="1"/>
  <c r="AT25" i="12"/>
  <c r="BB25" i="12"/>
  <c r="BJ25" i="12"/>
  <c r="BR25" i="12"/>
  <c r="BZ25" i="12"/>
  <c r="CH25" i="12"/>
  <c r="I25" i="12"/>
  <c r="Q25" i="12"/>
  <c r="Q26" i="12" s="1"/>
  <c r="Q27" i="12" s="1"/>
  <c r="Y25" i="12"/>
  <c r="AG25" i="12"/>
  <c r="AO25" i="12"/>
  <c r="AW25" i="12"/>
  <c r="BE25" i="12"/>
  <c r="BM25" i="12"/>
  <c r="BU25" i="12"/>
  <c r="L12" i="12"/>
  <c r="T12" i="12"/>
  <c r="AB12" i="12"/>
  <c r="AJ12" i="12"/>
  <c r="AJ13" i="12" s="1"/>
  <c r="AR12" i="12"/>
  <c r="AZ12" i="12"/>
  <c r="BH12" i="12"/>
  <c r="BP12" i="12"/>
  <c r="BP13" i="12" s="1"/>
  <c r="BX12" i="12"/>
  <c r="CF12" i="12"/>
  <c r="G12" i="12"/>
  <c r="O12" i="12"/>
  <c r="O13" i="12" s="1"/>
  <c r="W12" i="12"/>
  <c r="AE12" i="12"/>
  <c r="AM12" i="12"/>
  <c r="AU12" i="12"/>
  <c r="AU13" i="12" s="1"/>
  <c r="BC12" i="12"/>
  <c r="BK12" i="12"/>
  <c r="BS12" i="12"/>
  <c r="CA12" i="12"/>
  <c r="CI12" i="12"/>
  <c r="K13" i="7"/>
  <c r="L13" i="7"/>
  <c r="T13" i="7"/>
  <c r="AN7" i="10"/>
  <c r="AN7" i="6"/>
  <c r="AO7" i="10"/>
  <c r="AO7" i="6"/>
  <c r="AP7" i="10"/>
  <c r="AP7" i="6"/>
  <c r="AQ7" i="10"/>
  <c r="AQ7" i="6"/>
  <c r="AR7" i="10"/>
  <c r="AR7" i="6"/>
  <c r="AK7" i="10"/>
  <c r="AK7" i="6"/>
  <c r="AS7" i="10"/>
  <c r="AS7" i="6"/>
  <c r="AL7" i="10"/>
  <c r="AL7" i="6"/>
  <c r="AM7" i="10"/>
  <c r="AM7" i="6"/>
  <c r="H7" i="10"/>
  <c r="H7" i="6"/>
  <c r="P7" i="10"/>
  <c r="P7" i="6"/>
  <c r="X7" i="10"/>
  <c r="X7" i="6"/>
  <c r="AF7" i="10"/>
  <c r="AF7" i="6"/>
  <c r="I7" i="10"/>
  <c r="I8" i="10" s="1"/>
  <c r="I7" i="6"/>
  <c r="Q7" i="10"/>
  <c r="Q7" i="6"/>
  <c r="Y7" i="10"/>
  <c r="Y7" i="6"/>
  <c r="AG7" i="10"/>
  <c r="AG7" i="6"/>
  <c r="J7" i="10"/>
  <c r="J9" i="10" s="1"/>
  <c r="J7" i="6"/>
  <c r="R7" i="10"/>
  <c r="R7" i="6"/>
  <c r="Z7" i="10"/>
  <c r="Z7" i="6"/>
  <c r="AH7" i="10"/>
  <c r="AH7" i="6"/>
  <c r="K7" i="10"/>
  <c r="G9" i="10" s="1"/>
  <c r="K7" i="6"/>
  <c r="S7" i="10"/>
  <c r="S7" i="6"/>
  <c r="AA7" i="10"/>
  <c r="AA7" i="6"/>
  <c r="AI7" i="10"/>
  <c r="AI7" i="6"/>
  <c r="L7" i="10"/>
  <c r="L8" i="10" s="1"/>
  <c r="L7" i="6"/>
  <c r="T7" i="10"/>
  <c r="T7" i="6"/>
  <c r="AB7" i="10"/>
  <c r="AB7" i="6"/>
  <c r="AJ7" i="10"/>
  <c r="AJ7" i="6"/>
  <c r="E7" i="10"/>
  <c r="E9" i="10" s="1"/>
  <c r="E7" i="6"/>
  <c r="M7" i="10"/>
  <c r="M7" i="6"/>
  <c r="U7" i="10"/>
  <c r="U7" i="6"/>
  <c r="AC7" i="10"/>
  <c r="AC7" i="6"/>
  <c r="E5" i="10"/>
  <c r="E26" i="10"/>
  <c r="F7" i="10"/>
  <c r="F7" i="6"/>
  <c r="N7" i="10"/>
  <c r="N7" i="6"/>
  <c r="V7" i="10"/>
  <c r="V7" i="6"/>
  <c r="AD7" i="10"/>
  <c r="AD7" i="6"/>
  <c r="G7" i="10"/>
  <c r="G7" i="6"/>
  <c r="O7" i="10"/>
  <c r="O7" i="6"/>
  <c r="W7" i="10"/>
  <c r="W7" i="6"/>
  <c r="AE7" i="10"/>
  <c r="AE7" i="6"/>
  <c r="H28" i="11"/>
  <c r="P28" i="11"/>
  <c r="X28" i="11"/>
  <c r="AF28" i="11"/>
  <c r="AN28" i="11"/>
  <c r="M22" i="9"/>
  <c r="I22" i="9"/>
  <c r="I23" i="9"/>
  <c r="M23" i="9"/>
  <c r="AC31" i="12"/>
  <c r="Y31" i="12"/>
  <c r="U31" i="12"/>
  <c r="K25" i="12"/>
  <c r="K26" i="12" s="1"/>
  <c r="K27" i="12" s="1"/>
  <c r="S25" i="12"/>
  <c r="S26" i="12" s="1"/>
  <c r="S27" i="12" s="1"/>
  <c r="E12" i="12"/>
  <c r="M12" i="12"/>
  <c r="M13" i="12" s="1"/>
  <c r="U12" i="12"/>
  <c r="AC12" i="12"/>
  <c r="AK12" i="12"/>
  <c r="AS12" i="12"/>
  <c r="AS13" i="12" s="1"/>
  <c r="BA12" i="12"/>
  <c r="BI12" i="12"/>
  <c r="BQ12" i="12"/>
  <c r="BY12" i="12"/>
  <c r="BY13" i="12" s="1"/>
  <c r="CG12" i="12"/>
  <c r="CF28" i="11"/>
  <c r="H12" i="12"/>
  <c r="P12" i="12"/>
  <c r="P13" i="12" s="1"/>
  <c r="X12" i="12"/>
  <c r="AF12" i="12"/>
  <c r="AN12" i="12"/>
  <c r="AV12" i="12"/>
  <c r="AV13" i="12" s="1"/>
  <c r="BD12" i="12"/>
  <c r="BL12" i="12"/>
  <c r="BT12" i="12"/>
  <c r="CB12" i="12"/>
  <c r="CB13" i="12" s="1"/>
  <c r="CJ12" i="12"/>
  <c r="E19" i="7"/>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AD27" i="6"/>
  <c r="AD32" i="10" s="1"/>
  <c r="AE27" i="6"/>
  <c r="AE32" i="10" s="1"/>
  <c r="AF27" i="6"/>
  <c r="AF19" i="10"/>
  <c r="N12" i="7"/>
  <c r="F12" i="7"/>
  <c r="V12" i="7"/>
  <c r="I12" i="7"/>
  <c r="I13" i="7" s="1"/>
  <c r="M82" i="11"/>
  <c r="M83" i="11" s="1"/>
  <c r="Q12" i="7"/>
  <c r="Q13" i="7" s="1"/>
  <c r="U82" i="11"/>
  <c r="U83" i="11" s="1"/>
  <c r="Y12" i="7"/>
  <c r="Y13" i="7" s="1"/>
  <c r="AC82" i="11"/>
  <c r="AC83" i="11" s="1"/>
  <c r="J12" i="7"/>
  <c r="J13" i="7" s="1"/>
  <c r="N82" i="11"/>
  <c r="N83" i="11" s="1"/>
  <c r="R12" i="7"/>
  <c r="R13" i="7" s="1"/>
  <c r="V82" i="11"/>
  <c r="V83" i="11" s="1"/>
  <c r="Z12" i="7"/>
  <c r="Z13" i="7" s="1"/>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T9" i="10"/>
  <c r="T8" i="10"/>
  <c r="CF9" i="10"/>
  <c r="CF8" i="10"/>
  <c r="AT28" i="10"/>
  <c r="AT31" i="6"/>
  <c r="M9" i="10"/>
  <c r="M8" i="10"/>
  <c r="U9" i="10"/>
  <c r="U8" i="10"/>
  <c r="AC9" i="10"/>
  <c r="AC8" i="10"/>
  <c r="AK9" i="10"/>
  <c r="AK8" i="10"/>
  <c r="AS9" i="10"/>
  <c r="AS8" i="10"/>
  <c r="BA9" i="10"/>
  <c r="BA8" i="10"/>
  <c r="BQ9" i="10"/>
  <c r="BQ8" i="10"/>
  <c r="BY9" i="10"/>
  <c r="BY8" i="10"/>
  <c r="CG9" i="10"/>
  <c r="CG8" i="10"/>
  <c r="G15" i="6"/>
  <c r="G20" i="11" s="1"/>
  <c r="G21" i="11" s="1"/>
  <c r="O15" i="6"/>
  <c r="O20" i="11" s="1"/>
  <c r="O21" i="11" s="1"/>
  <c r="W15" i="6"/>
  <c r="W20" i="11" s="1"/>
  <c r="W21" i="11" s="1"/>
  <c r="AE15" i="6"/>
  <c r="AE20" i="11" s="1"/>
  <c r="AE21" i="11" s="1"/>
  <c r="AM15" i="6"/>
  <c r="AM20" i="11" s="1"/>
  <c r="AM21" i="11" s="1"/>
  <c r="AU15" i="6"/>
  <c r="BC15" i="6"/>
  <c r="BK15" i="6"/>
  <c r="BS15" i="6"/>
  <c r="CA15" i="6"/>
  <c r="CI15" i="6"/>
  <c r="BP9" i="10"/>
  <c r="BP8" i="10"/>
  <c r="BR28" i="10"/>
  <c r="BR31" i="6"/>
  <c r="F8" i="10"/>
  <c r="N8" i="10"/>
  <c r="N9" i="10"/>
  <c r="V8" i="10"/>
  <c r="V9" i="10"/>
  <c r="AD8" i="10"/>
  <c r="AD9" i="10"/>
  <c r="AL8" i="10"/>
  <c r="AL9" i="10"/>
  <c r="AT8" i="10"/>
  <c r="AT9" i="10"/>
  <c r="BB8" i="10"/>
  <c r="BB9" i="10"/>
  <c r="BJ8" i="10"/>
  <c r="BJ9" i="10"/>
  <c r="BR8" i="10"/>
  <c r="BR9" i="10"/>
  <c r="BZ8" i="10"/>
  <c r="BZ9" i="10"/>
  <c r="CH8" i="10"/>
  <c r="CH9" i="10"/>
  <c r="H15" i="6"/>
  <c r="H20" i="11" s="1"/>
  <c r="H21" i="11" s="1"/>
  <c r="P15" i="6"/>
  <c r="P20" i="11" s="1"/>
  <c r="P21" i="11" s="1"/>
  <c r="X15" i="6"/>
  <c r="X20" i="11" s="1"/>
  <c r="X21" i="11" s="1"/>
  <c r="AF15" i="6"/>
  <c r="AF20" i="11" s="1"/>
  <c r="AF21" i="11" s="1"/>
  <c r="AN15" i="6"/>
  <c r="AN20" i="11" s="1"/>
  <c r="AN21" i="11" s="1"/>
  <c r="AV15" i="6"/>
  <c r="BD15" i="6"/>
  <c r="BL15" i="6"/>
  <c r="BT15" i="6"/>
  <c r="CB15" i="6"/>
  <c r="CJ15" i="6"/>
  <c r="AZ9" i="10"/>
  <c r="AZ8" i="10"/>
  <c r="BZ28" i="10"/>
  <c r="BZ31" i="6"/>
  <c r="L32" i="10"/>
  <c r="G8" i="10"/>
  <c r="O8" i="10"/>
  <c r="O9" i="10"/>
  <c r="W8" i="10"/>
  <c r="W9" i="10"/>
  <c r="AE8" i="10"/>
  <c r="AE9" i="10"/>
  <c r="AM8" i="10"/>
  <c r="AM9" i="10"/>
  <c r="AU8" i="10"/>
  <c r="AU9" i="10"/>
  <c r="BC8" i="10"/>
  <c r="BC9" i="10"/>
  <c r="BK8" i="10"/>
  <c r="BK9" i="10"/>
  <c r="BS8" i="10"/>
  <c r="BS9" i="10"/>
  <c r="CA8" i="10"/>
  <c r="CA9" i="10"/>
  <c r="CI8" i="10"/>
  <c r="CI9" i="10"/>
  <c r="I15" i="6"/>
  <c r="I20" i="11" s="1"/>
  <c r="I21" i="11" s="1"/>
  <c r="Q15" i="6"/>
  <c r="Q20" i="11" s="1"/>
  <c r="Q21" i="11" s="1"/>
  <c r="Y15" i="6"/>
  <c r="Y20" i="11" s="1"/>
  <c r="Y21" i="11" s="1"/>
  <c r="AG15" i="6"/>
  <c r="AG20" i="11" s="1"/>
  <c r="AG21" i="11" s="1"/>
  <c r="AO15" i="6"/>
  <c r="AO20" i="11" s="1"/>
  <c r="AO21" i="11" s="1"/>
  <c r="AW15" i="6"/>
  <c r="BE15" i="6"/>
  <c r="BM15" i="6"/>
  <c r="BU15" i="6"/>
  <c r="CC15" i="6"/>
  <c r="AR9" i="10"/>
  <c r="AR8" i="10"/>
  <c r="CH28" i="10"/>
  <c r="CH31" i="6"/>
  <c r="H8" i="10"/>
  <c r="P8" i="10"/>
  <c r="P9" i="10"/>
  <c r="X8" i="10"/>
  <c r="X9" i="10"/>
  <c r="AF8" i="10"/>
  <c r="AF9" i="10"/>
  <c r="AN8" i="10"/>
  <c r="AN9" i="10"/>
  <c r="AV8" i="10"/>
  <c r="AV9" i="10"/>
  <c r="BD8" i="10"/>
  <c r="BD9" i="10"/>
  <c r="BL8" i="10"/>
  <c r="BL9" i="10"/>
  <c r="BT8" i="10"/>
  <c r="BT9" i="10"/>
  <c r="CB8" i="10"/>
  <c r="CB9" i="10"/>
  <c r="CJ8" i="10"/>
  <c r="CJ9" i="10"/>
  <c r="B15" i="6"/>
  <c r="J15" i="6"/>
  <c r="J20" i="11" s="1"/>
  <c r="J21" i="11" s="1"/>
  <c r="R15" i="6"/>
  <c r="R20" i="11" s="1"/>
  <c r="R21" i="11" s="1"/>
  <c r="Z15" i="6"/>
  <c r="Z20" i="11" s="1"/>
  <c r="Z21" i="11" s="1"/>
  <c r="AH15" i="6"/>
  <c r="AH20" i="11" s="1"/>
  <c r="AH21" i="11" s="1"/>
  <c r="AP15" i="6"/>
  <c r="AP20" i="11" s="1"/>
  <c r="AP21" i="11" s="1"/>
  <c r="AX15" i="6"/>
  <c r="BF15" i="6"/>
  <c r="BN15" i="6"/>
  <c r="BV15" i="6"/>
  <c r="CD15" i="6"/>
  <c r="H32" i="10"/>
  <c r="X32" i="10"/>
  <c r="AF32" i="10"/>
  <c r="AN32" i="10"/>
  <c r="AV32" i="10"/>
  <c r="BD32" i="10"/>
  <c r="BL32" i="10"/>
  <c r="BT32" i="10"/>
  <c r="CB32" i="10"/>
  <c r="CJ32" i="10"/>
  <c r="AB9" i="10"/>
  <c r="AB8" i="10"/>
  <c r="BX9" i="10"/>
  <c r="BX8" i="10"/>
  <c r="BB28" i="10"/>
  <c r="BB31" i="6"/>
  <c r="Q8" i="10"/>
  <c r="Q9" i="10"/>
  <c r="Y8" i="10"/>
  <c r="Y9" i="10"/>
  <c r="AG8" i="10"/>
  <c r="AG9" i="10"/>
  <c r="AO8" i="10"/>
  <c r="AO9" i="10"/>
  <c r="AW8" i="10"/>
  <c r="AW9" i="10"/>
  <c r="BE8" i="10"/>
  <c r="BE9" i="10"/>
  <c r="BM8" i="10"/>
  <c r="BM9" i="10"/>
  <c r="BU8" i="10"/>
  <c r="BU9" i="10"/>
  <c r="CC8" i="10"/>
  <c r="CC9" i="10"/>
  <c r="C15" i="6"/>
  <c r="K15" i="6"/>
  <c r="K20" i="11" s="1"/>
  <c r="K21" i="11" s="1"/>
  <c r="S15" i="6"/>
  <c r="S20" i="11" s="1"/>
  <c r="S21" i="11" s="1"/>
  <c r="AA15" i="6"/>
  <c r="AA20" i="11" s="1"/>
  <c r="AA21" i="11" s="1"/>
  <c r="AI15" i="6"/>
  <c r="AI20" i="11" s="1"/>
  <c r="AI21" i="11" s="1"/>
  <c r="AQ15" i="6"/>
  <c r="AQ20" i="11" s="1"/>
  <c r="AQ21" i="11" s="1"/>
  <c r="AY15" i="6"/>
  <c r="BG15" i="6"/>
  <c r="BO15" i="6"/>
  <c r="BW15" i="6"/>
  <c r="CE15" i="6"/>
  <c r="R9" i="10"/>
  <c r="R8" i="10"/>
  <c r="Z9" i="10"/>
  <c r="Z8" i="10"/>
  <c r="AH9" i="10"/>
  <c r="AH8" i="10"/>
  <c r="AP9" i="10"/>
  <c r="AP8" i="10"/>
  <c r="AX9" i="10"/>
  <c r="AX8" i="10"/>
  <c r="BF9" i="10"/>
  <c r="BF8" i="10"/>
  <c r="BN9" i="10"/>
  <c r="BN8" i="10"/>
  <c r="BV9" i="10"/>
  <c r="BV8" i="10"/>
  <c r="CD9" i="10"/>
  <c r="CD8" i="10"/>
  <c r="D15" i="6"/>
  <c r="L15" i="6"/>
  <c r="L20" i="11" s="1"/>
  <c r="L21" i="11" s="1"/>
  <c r="T15" i="6"/>
  <c r="T20" i="11" s="1"/>
  <c r="T21" i="11" s="1"/>
  <c r="AB15" i="6"/>
  <c r="AB20" i="11" s="1"/>
  <c r="AB21" i="11" s="1"/>
  <c r="AJ15" i="6"/>
  <c r="AJ20" i="11" s="1"/>
  <c r="AJ21" i="11" s="1"/>
  <c r="AR15" i="6"/>
  <c r="AR20" i="11" s="1"/>
  <c r="AR21" i="11" s="1"/>
  <c r="AR24" i="11" s="1"/>
  <c r="AZ15" i="6"/>
  <c r="BH15" i="6"/>
  <c r="BP15" i="6"/>
  <c r="BX15" i="6"/>
  <c r="CF15" i="6"/>
  <c r="AJ9" i="10"/>
  <c r="AJ8" i="10"/>
  <c r="BH9" i="10"/>
  <c r="BH8" i="10"/>
  <c r="BJ28" i="10"/>
  <c r="BJ31" i="6"/>
  <c r="K9" i="10"/>
  <c r="S9" i="10"/>
  <c r="S8" i="10"/>
  <c r="AA9" i="10"/>
  <c r="AA8" i="10"/>
  <c r="AI9" i="10"/>
  <c r="AI8" i="10"/>
  <c r="AQ9" i="10"/>
  <c r="AQ8" i="10"/>
  <c r="AY9" i="10"/>
  <c r="AY8" i="10"/>
  <c r="BG9"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AS24" i="11" s="1"/>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L74"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BJ74" i="11"/>
  <c r="BR74" i="11"/>
  <c r="BZ74" i="11"/>
  <c r="CH74" i="1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Z54" i="11"/>
  <c r="Z55" i="11" s="1"/>
  <c r="Z2" i="9"/>
  <c r="V22" i="7"/>
  <c r="V23" i="7" s="1"/>
  <c r="AH54" i="11"/>
  <c r="AH55" i="11" s="1"/>
  <c r="AH2" i="9"/>
  <c r="AP54" i="11"/>
  <c r="AP55" i="11" s="1"/>
  <c r="AP2" i="9"/>
  <c r="AX54" i="11"/>
  <c r="AX2" i="9"/>
  <c r="AT25" i="9" s="1"/>
  <c r="BF54" i="11"/>
  <c r="BF2" i="9"/>
  <c r="BN54" i="11"/>
  <c r="BN2" i="9"/>
  <c r="BN25" i="9" s="1"/>
  <c r="BV54" i="11"/>
  <c r="BV2" i="9"/>
  <c r="CD54" i="11"/>
  <c r="CD2" i="9"/>
  <c r="J50" i="5"/>
  <c r="J22" i="11" s="1"/>
  <c r="J23" i="11" s="1"/>
  <c r="R50" i="5"/>
  <c r="R22" i="11" s="1"/>
  <c r="R23" i="11" s="1"/>
  <c r="R24" i="11" s="1"/>
  <c r="Z50" i="5"/>
  <c r="Z22" i="11" s="1"/>
  <c r="Z23" i="11" s="1"/>
  <c r="AH50" i="5"/>
  <c r="AH22" i="11" s="1"/>
  <c r="AH23" i="11" s="1"/>
  <c r="AH24" i="11" s="1"/>
  <c r="AP50" i="5"/>
  <c r="AP22" i="11" s="1"/>
  <c r="AP23" i="11" s="1"/>
  <c r="AP24" i="11" s="1"/>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7" i="9"/>
  <c r="BN52" i="11"/>
  <c r="BN7" i="9"/>
  <c r="BV52" i="11"/>
  <c r="BV7" i="9"/>
  <c r="CD52" i="11"/>
  <c r="CD7" i="9"/>
  <c r="AZ89" i="5"/>
  <c r="L54" i="11"/>
  <c r="L55" i="11" s="1"/>
  <c r="L2" i="9"/>
  <c r="L35" i="7"/>
  <c r="H22" i="7" s="1"/>
  <c r="Q54" i="11"/>
  <c r="Q55" i="11" s="1"/>
  <c r="Q2" i="9"/>
  <c r="Q16" i="9" s="1"/>
  <c r="Q35" i="7"/>
  <c r="M22" i="7" s="1"/>
  <c r="M23" i="7" s="1"/>
  <c r="AO54" i="11"/>
  <c r="AO2" i="9"/>
  <c r="BE54" i="11"/>
  <c r="BE2" i="9"/>
  <c r="CC54" i="11"/>
  <c r="CC2" i="9"/>
  <c r="CC16" i="9" s="1"/>
  <c r="K54" i="11"/>
  <c r="K55" i="11" s="1"/>
  <c r="K2" i="9"/>
  <c r="K35" i="7"/>
  <c r="G22" i="7" s="1"/>
  <c r="S54" i="11"/>
  <c r="S55" i="11" s="1"/>
  <c r="S2" i="9"/>
  <c r="S16" i="9" s="1"/>
  <c r="S35" i="7"/>
  <c r="O22" i="7" s="1"/>
  <c r="O23" i="7" s="1"/>
  <c r="AA54" i="11"/>
  <c r="AA55" i="11" s="1"/>
  <c r="AA2" i="9"/>
  <c r="W22" i="7"/>
  <c r="W23" i="7" s="1"/>
  <c r="AI54" i="11"/>
  <c r="AI2" i="9"/>
  <c r="AQ54" i="11"/>
  <c r="AQ55" i="11" s="1"/>
  <c r="AQ2" i="9"/>
  <c r="AQ25" i="9" s="1"/>
  <c r="AY54" i="11"/>
  <c r="AY2" i="9"/>
  <c r="BG54" i="11"/>
  <c r="BG2" i="9"/>
  <c r="BO54" i="11"/>
  <c r="BO2" i="9"/>
  <c r="BW54" i="11"/>
  <c r="BW2" i="9"/>
  <c r="CE54" i="11"/>
  <c r="CE2" i="9"/>
  <c r="K50" i="5"/>
  <c r="K22" i="11" s="1"/>
  <c r="K23" i="11" s="1"/>
  <c r="S50" i="5"/>
  <c r="S22" i="11" s="1"/>
  <c r="S23" i="11" s="1"/>
  <c r="AA50" i="5"/>
  <c r="AA22" i="11" s="1"/>
  <c r="AA23" i="11" s="1"/>
  <c r="AA24" i="11" s="1"/>
  <c r="AI50" i="5"/>
  <c r="AI22" i="11" s="1"/>
  <c r="AI23" i="11" s="1"/>
  <c r="AQ50" i="5"/>
  <c r="AQ22" i="11" s="1"/>
  <c r="AQ23" i="11" s="1"/>
  <c r="AQ24" i="11" s="1"/>
  <c r="AY50" i="5"/>
  <c r="BG50" i="5"/>
  <c r="BO50" i="5"/>
  <c r="BW50" i="5"/>
  <c r="CE50" i="5"/>
  <c r="K52" i="11"/>
  <c r="K53" i="11" s="1"/>
  <c r="K7" i="9"/>
  <c r="S52" i="11"/>
  <c r="S53" i="11" s="1"/>
  <c r="S7" i="9"/>
  <c r="AA52" i="11"/>
  <c r="AA53" i="11" s="1"/>
  <c r="AA7" i="9"/>
  <c r="AI52" i="11"/>
  <c r="AI53" i="11" s="1"/>
  <c r="AI7" i="9"/>
  <c r="AQ52" i="11"/>
  <c r="AQ7" i="9"/>
  <c r="AY52" i="11"/>
  <c r="AY7" i="9"/>
  <c r="BG52" i="11"/>
  <c r="BG7" i="9"/>
  <c r="BO52" i="11"/>
  <c r="BO7" i="9"/>
  <c r="BW52" i="11"/>
  <c r="BW7" i="9"/>
  <c r="BS32" i="9" s="1"/>
  <c r="CE52" i="11"/>
  <c r="CE7" i="9"/>
  <c r="I10" i="9"/>
  <c r="I89" i="5"/>
  <c r="BH89" i="5"/>
  <c r="T54" i="11"/>
  <c r="T55" i="11" s="1"/>
  <c r="T2" i="9"/>
  <c r="T16" i="9" s="1"/>
  <c r="T35" i="7"/>
  <c r="P22" i="7" s="1"/>
  <c r="AZ54" i="11"/>
  <c r="AZ2" i="9"/>
  <c r="CF54" i="11"/>
  <c r="CF2" i="9"/>
  <c r="L50" i="5"/>
  <c r="L22" i="11" s="1"/>
  <c r="L23" i="11" s="1"/>
  <c r="T50" i="5"/>
  <c r="T22" i="11" s="1"/>
  <c r="T23" i="11" s="1"/>
  <c r="T24" i="11" s="1"/>
  <c r="AB50" i="5"/>
  <c r="AB22" i="11" s="1"/>
  <c r="AB23" i="11" s="1"/>
  <c r="AB24" i="11" s="1"/>
  <c r="AJ50" i="5"/>
  <c r="AJ22" i="11" s="1"/>
  <c r="AJ23" i="11" s="1"/>
  <c r="AR50" i="5"/>
  <c r="AZ50" i="5"/>
  <c r="BH50" i="5"/>
  <c r="BP50" i="5"/>
  <c r="BX50" i="5"/>
  <c r="CF50" i="5"/>
  <c r="L52" i="11"/>
  <c r="L53" i="11" s="1"/>
  <c r="L7" i="9"/>
  <c r="T52" i="11"/>
  <c r="T53" i="11" s="1"/>
  <c r="T7" i="9"/>
  <c r="AB52" i="11"/>
  <c r="AB53" i="11" s="1"/>
  <c r="AB7" i="9"/>
  <c r="AJ52" i="11"/>
  <c r="AJ53" i="11" s="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X22" i="7"/>
  <c r="BH54" i="11"/>
  <c r="BH2" i="9"/>
  <c r="M54" i="11"/>
  <c r="M55" i="11" s="1"/>
  <c r="M2" i="9"/>
  <c r="M35" i="7"/>
  <c r="I22" i="7" s="1"/>
  <c r="I23" i="7" s="1"/>
  <c r="U54" i="11"/>
  <c r="U2" i="9"/>
  <c r="U35" i="7"/>
  <c r="Q22" i="7" s="1"/>
  <c r="AC54" i="11"/>
  <c r="AC55" i="11" s="1"/>
  <c r="AC2" i="9"/>
  <c r="AC25" i="9" s="1"/>
  <c r="Y22" i="7"/>
  <c r="Y23" i="7" s="1"/>
  <c r="AK54" i="11"/>
  <c r="AK55" i="11" s="1"/>
  <c r="AK2" i="9"/>
  <c r="AS54" i="11"/>
  <c r="AS2" i="9"/>
  <c r="BA54" i="11"/>
  <c r="BA2" i="9"/>
  <c r="BI54" i="11"/>
  <c r="BI2" i="9"/>
  <c r="BQ54" i="11"/>
  <c r="BQ2" i="9"/>
  <c r="BY54" i="11"/>
  <c r="BY2" i="9"/>
  <c r="BY25" i="9" s="1"/>
  <c r="CG54" i="11"/>
  <c r="CG2" i="9"/>
  <c r="E50" i="5"/>
  <c r="E22" i="11" s="1"/>
  <c r="E23" i="11" s="1"/>
  <c r="M50" i="5"/>
  <c r="M22" i="11" s="1"/>
  <c r="M23" i="11" s="1"/>
  <c r="U50" i="5"/>
  <c r="U22" i="11" s="1"/>
  <c r="U23" i="11" s="1"/>
  <c r="AC50" i="5"/>
  <c r="AC22" i="11" s="1"/>
  <c r="AC23" i="11" s="1"/>
  <c r="AC24" i="11" s="1"/>
  <c r="AK50" i="5"/>
  <c r="AK22" i="11" s="1"/>
  <c r="AK23" i="11" s="1"/>
  <c r="AK24" i="11" s="1"/>
  <c r="AS50" i="5"/>
  <c r="BA50" i="5"/>
  <c r="BI50" i="5"/>
  <c r="BQ50" i="5"/>
  <c r="BY50" i="5"/>
  <c r="CG50" i="5"/>
  <c r="E52" i="11"/>
  <c r="E53" i="11" s="1"/>
  <c r="E7" i="9"/>
  <c r="M52" i="11"/>
  <c r="M53" i="11" s="1"/>
  <c r="M7" i="9"/>
  <c r="U52" i="11"/>
  <c r="U53" i="11" s="1"/>
  <c r="U7" i="9"/>
  <c r="AC52" i="11"/>
  <c r="AC53" i="11" s="1"/>
  <c r="AC7" i="9"/>
  <c r="AK52" i="11"/>
  <c r="AK7" i="9"/>
  <c r="AS52" i="11"/>
  <c r="AS7" i="9"/>
  <c r="BA52" i="11"/>
  <c r="BA7" i="9"/>
  <c r="BI52" i="11"/>
  <c r="BI7" i="9"/>
  <c r="BQ52" i="11"/>
  <c r="BQ7" i="9"/>
  <c r="BY52" i="11"/>
  <c r="BY7" i="9"/>
  <c r="CG52" i="11"/>
  <c r="CG7" i="9"/>
  <c r="L89" i="5"/>
  <c r="BX89" i="5"/>
  <c r="D70" i="5"/>
  <c r="AR54" i="11"/>
  <c r="AR2" i="9"/>
  <c r="AR16" i="9" s="1"/>
  <c r="BX54" i="11"/>
  <c r="BX2" i="9"/>
  <c r="E54" i="11"/>
  <c r="E55" i="11" s="1"/>
  <c r="B25" i="13"/>
  <c r="B6" i="13"/>
  <c r="E2" i="9"/>
  <c r="E35" i="7"/>
  <c r="F54" i="11"/>
  <c r="F55" i="11" s="1"/>
  <c r="F2" i="9"/>
  <c r="F35" i="7"/>
  <c r="N54" i="11"/>
  <c r="N55" i="11" s="1"/>
  <c r="N2" i="9"/>
  <c r="N35" i="7"/>
  <c r="J22" i="7" s="1"/>
  <c r="V54" i="11"/>
  <c r="V55" i="11" s="1"/>
  <c r="V2" i="9"/>
  <c r="V16" i="9" s="1"/>
  <c r="V35" i="7"/>
  <c r="R22" i="7" s="1"/>
  <c r="R23" i="7" s="1"/>
  <c r="AD54" i="11"/>
  <c r="AD2" i="9"/>
  <c r="AD16" i="9" s="1"/>
  <c r="Z22" i="7"/>
  <c r="AL54" i="11"/>
  <c r="AL2" i="9"/>
  <c r="AT54" i="11"/>
  <c r="AT2" i="9"/>
  <c r="BB54" i="11"/>
  <c r="BB2" i="9"/>
  <c r="BJ54" i="11"/>
  <c r="BJ2" i="9"/>
  <c r="BJ25" i="9" s="1"/>
  <c r="BR54" i="11"/>
  <c r="BR2" i="9"/>
  <c r="BR25" i="9" s="1"/>
  <c r="BZ54" i="11"/>
  <c r="BZ2" i="9"/>
  <c r="BV25" i="9" s="1"/>
  <c r="CH54" i="11"/>
  <c r="CH2" i="9"/>
  <c r="CH16" i="9" s="1"/>
  <c r="F50" i="5"/>
  <c r="F22" i="11" s="1"/>
  <c r="F23" i="11" s="1"/>
  <c r="N50" i="5"/>
  <c r="N22" i="11" s="1"/>
  <c r="N23" i="11" s="1"/>
  <c r="V50" i="5"/>
  <c r="V22" i="11" s="1"/>
  <c r="V23" i="11" s="1"/>
  <c r="AD50" i="5"/>
  <c r="AD22" i="11" s="1"/>
  <c r="AD23" i="11" s="1"/>
  <c r="AD24" i="11" s="1"/>
  <c r="AL50" i="5"/>
  <c r="AL22" i="11" s="1"/>
  <c r="AL23" i="11" s="1"/>
  <c r="AT50" i="5"/>
  <c r="BB50" i="5"/>
  <c r="BJ50" i="5"/>
  <c r="BR50" i="5"/>
  <c r="BZ50" i="5"/>
  <c r="CH50" i="5"/>
  <c r="F52" i="11"/>
  <c r="F53" i="11" s="1"/>
  <c r="F7" i="9"/>
  <c r="N52" i="11"/>
  <c r="N53" i="11" s="1"/>
  <c r="N7" i="9"/>
  <c r="V52" i="11"/>
  <c r="V53" i="11" s="1"/>
  <c r="V7" i="9"/>
  <c r="AD52" i="11"/>
  <c r="AD53" i="11" s="1"/>
  <c r="AD7" i="9"/>
  <c r="AD32" i="9" s="1"/>
  <c r="AL52" i="11"/>
  <c r="AL53" i="11" s="1"/>
  <c r="AL7" i="9"/>
  <c r="AT52" i="11"/>
  <c r="AT7" i="9"/>
  <c r="BB52" i="11"/>
  <c r="BB7" i="9"/>
  <c r="BJ52" i="11"/>
  <c r="BJ7" i="9"/>
  <c r="BJ32" i="9" s="1"/>
  <c r="BR52" i="11"/>
  <c r="BR7" i="9"/>
  <c r="BZ52" i="11"/>
  <c r="BZ7" i="9"/>
  <c r="CH52" i="11"/>
  <c r="CH7" i="9"/>
  <c r="T89" i="5"/>
  <c r="CF89" i="5"/>
  <c r="AJ54" i="11"/>
  <c r="AJ55" i="11" s="1"/>
  <c r="AJ2" i="9"/>
  <c r="BP54" i="11"/>
  <c r="BP2" i="9"/>
  <c r="BP25" i="9" s="1"/>
  <c r="G54" i="11"/>
  <c r="G55" i="11" s="1"/>
  <c r="G2" i="9"/>
  <c r="G35" i="7"/>
  <c r="O54" i="11"/>
  <c r="O55" i="11" s="1"/>
  <c r="O2" i="9"/>
  <c r="K25" i="9" s="1"/>
  <c r="O35" i="7"/>
  <c r="K22" i="7" s="1"/>
  <c r="W54" i="11"/>
  <c r="W55" i="11" s="1"/>
  <c r="W2" i="9"/>
  <c r="W16" i="9" s="1"/>
  <c r="W35" i="7"/>
  <c r="S22" i="7" s="1"/>
  <c r="AE54" i="11"/>
  <c r="AE2" i="9"/>
  <c r="AE16" i="9" s="1"/>
  <c r="AA22" i="7"/>
  <c r="AA23" i="7" s="1"/>
  <c r="AM54" i="11"/>
  <c r="AM2" i="9"/>
  <c r="AU54" i="11"/>
  <c r="AU2" i="9"/>
  <c r="BC54" i="11"/>
  <c r="BC2" i="9"/>
  <c r="BK54" i="11"/>
  <c r="BK2" i="9"/>
  <c r="BK16" i="9" s="1"/>
  <c r="BS54" i="11"/>
  <c r="BS2" i="9"/>
  <c r="BS25" i="9" s="1"/>
  <c r="CA54" i="11"/>
  <c r="CA2" i="9"/>
  <c r="BW25" i="9" s="1"/>
  <c r="CI54" i="11"/>
  <c r="CI2" i="9"/>
  <c r="CI25" i="9" s="1"/>
  <c r="G50" i="5"/>
  <c r="G22" i="11" s="1"/>
  <c r="G23" i="11" s="1"/>
  <c r="O50" i="5"/>
  <c r="O22" i="11" s="1"/>
  <c r="O23" i="11" s="1"/>
  <c r="O24" i="11" s="1"/>
  <c r="W50" i="5"/>
  <c r="W22" i="11" s="1"/>
  <c r="W23" i="11" s="1"/>
  <c r="W24" i="11" s="1"/>
  <c r="AE50" i="5"/>
  <c r="AE22" i="11" s="1"/>
  <c r="AE23" i="11" s="1"/>
  <c r="AE24" i="11" s="1"/>
  <c r="AM50" i="5"/>
  <c r="AM22" i="11" s="1"/>
  <c r="AM23" i="11" s="1"/>
  <c r="AU50" i="5"/>
  <c r="BC50" i="5"/>
  <c r="BK50" i="5"/>
  <c r="BS50" i="5"/>
  <c r="CA50" i="5"/>
  <c r="CI50" i="5"/>
  <c r="G52" i="11"/>
  <c r="G53" i="11" s="1"/>
  <c r="G7" i="9"/>
  <c r="O52" i="11"/>
  <c r="O53" i="11" s="1"/>
  <c r="O7" i="9"/>
  <c r="W52" i="11"/>
  <c r="W53" i="11" s="1"/>
  <c r="W7" i="9"/>
  <c r="AE52" i="11"/>
  <c r="AE53" i="11" s="1"/>
  <c r="AE7" i="9"/>
  <c r="AM52" i="11"/>
  <c r="AM53" i="11" s="1"/>
  <c r="AM7" i="9"/>
  <c r="AU52" i="11"/>
  <c r="AU7" i="9"/>
  <c r="BC52" i="11"/>
  <c r="BC7" i="9"/>
  <c r="BK52" i="11"/>
  <c r="BK7" i="9"/>
  <c r="BS52" i="11"/>
  <c r="BS7" i="9"/>
  <c r="CA52" i="11"/>
  <c r="CA7" i="9"/>
  <c r="CI52" i="11"/>
  <c r="CI7" i="9"/>
  <c r="E10" i="9"/>
  <c r="E89" i="5"/>
  <c r="B47" i="13" s="1"/>
  <c r="M10" i="9"/>
  <c r="M89" i="5"/>
  <c r="AB89" i="5"/>
  <c r="H54" i="11"/>
  <c r="H55" i="11" s="1"/>
  <c r="H2" i="9"/>
  <c r="H35" i="7"/>
  <c r="AF54" i="11"/>
  <c r="AF2" i="9"/>
  <c r="AF16" i="9" s="1"/>
  <c r="AB22" i="7"/>
  <c r="AN54" i="11"/>
  <c r="AN55" i="11" s="1"/>
  <c r="AN2" i="9"/>
  <c r="AN16" i="9" s="1"/>
  <c r="AV54" i="11"/>
  <c r="AV2" i="9"/>
  <c r="BD54" i="11"/>
  <c r="BD55" i="11" s="1"/>
  <c r="BD2" i="9"/>
  <c r="BD25" i="9" s="1"/>
  <c r="BL54" i="11"/>
  <c r="BL2" i="9"/>
  <c r="BT54" i="11"/>
  <c r="BT2" i="9"/>
  <c r="CB54" i="11"/>
  <c r="CB2" i="9"/>
  <c r="CJ54" i="11"/>
  <c r="CJ2" i="9"/>
  <c r="CJ25" i="9" s="1"/>
  <c r="H30" i="9"/>
  <c r="P30" i="9"/>
  <c r="X30" i="9"/>
  <c r="AF30" i="9"/>
  <c r="H50" i="5"/>
  <c r="H22" i="11" s="1"/>
  <c r="H23" i="11" s="1"/>
  <c r="P50" i="5"/>
  <c r="P22" i="11" s="1"/>
  <c r="P23" i="11" s="1"/>
  <c r="X50" i="5"/>
  <c r="X22" i="11" s="1"/>
  <c r="X23" i="11" s="1"/>
  <c r="X24" i="11" s="1"/>
  <c r="AF50" i="5"/>
  <c r="AF22" i="11" s="1"/>
  <c r="AF23" i="11" s="1"/>
  <c r="AF24" i="11" s="1"/>
  <c r="AN50" i="5"/>
  <c r="AN22" i="11" s="1"/>
  <c r="AN23" i="11" s="1"/>
  <c r="AN24" i="11" s="1"/>
  <c r="AV50" i="5"/>
  <c r="BD50" i="5"/>
  <c r="BL50" i="5"/>
  <c r="BT50" i="5"/>
  <c r="CB50" i="5"/>
  <c r="CJ50" i="5"/>
  <c r="H52" i="11"/>
  <c r="H53" i="11" s="1"/>
  <c r="H7" i="9"/>
  <c r="P52" i="11"/>
  <c r="P53" i="11" s="1"/>
  <c r="P7" i="9"/>
  <c r="X52" i="11"/>
  <c r="X53" i="11" s="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55" i="11" s="1"/>
  <c r="P2" i="9"/>
  <c r="P16" i="9" s="1"/>
  <c r="P35" i="7"/>
  <c r="L22" i="7" s="1"/>
  <c r="I54" i="11"/>
  <c r="I55" i="11" s="1"/>
  <c r="I2" i="9"/>
  <c r="I35" i="7"/>
  <c r="E22" i="7" s="1"/>
  <c r="Y54" i="11"/>
  <c r="Y55" i="11" s="1"/>
  <c r="Y2" i="9"/>
  <c r="Y35" i="7"/>
  <c r="U22" i="7" s="1"/>
  <c r="AW54" i="11"/>
  <c r="AW2" i="9"/>
  <c r="AW16" i="9" s="1"/>
  <c r="BM54" i="11"/>
  <c r="BM2" i="9"/>
  <c r="BM25" i="9" s="1"/>
  <c r="BU54" i="11"/>
  <c r="BU2" i="9"/>
  <c r="BQ25" i="9" s="1"/>
  <c r="CK54" i="11"/>
  <c r="CK2" i="9"/>
  <c r="I50" i="5"/>
  <c r="I22" i="11" s="1"/>
  <c r="I23" i="11" s="1"/>
  <c r="I24" i="11" s="1"/>
  <c r="Q50" i="5"/>
  <c r="Q22" i="11" s="1"/>
  <c r="Q23" i="11" s="1"/>
  <c r="Q24" i="11" s="1"/>
  <c r="Y50" i="5"/>
  <c r="Y22" i="11" s="1"/>
  <c r="Y23" i="11" s="1"/>
  <c r="AG50" i="5"/>
  <c r="AG22" i="11" s="1"/>
  <c r="AG23" i="11" s="1"/>
  <c r="AG24" i="11" s="1"/>
  <c r="AO50" i="5"/>
  <c r="AO22" i="11" s="1"/>
  <c r="AO23" i="11" s="1"/>
  <c r="AO24" i="11" s="1"/>
  <c r="AW50" i="5"/>
  <c r="BE50" i="5"/>
  <c r="BM50" i="5"/>
  <c r="BU50" i="5"/>
  <c r="CC50" i="5"/>
  <c r="CK50" i="5"/>
  <c r="I52" i="11"/>
  <c r="I53" i="11" s="1"/>
  <c r="I7" i="9"/>
  <c r="Q52" i="11"/>
  <c r="Q53" i="11" s="1"/>
  <c r="Q7" i="9"/>
  <c r="Y52" i="11"/>
  <c r="Y53" i="11" s="1"/>
  <c r="Y7" i="9"/>
  <c r="Y32" i="9" s="1"/>
  <c r="AG52" i="11"/>
  <c r="AG53" i="11" s="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O75" i="11" s="1"/>
  <c r="BW72" i="11"/>
  <c r="BW73" i="11" s="1"/>
  <c r="CE72" i="11"/>
  <c r="CE73" i="11" s="1"/>
  <c r="CE75" i="11" s="1"/>
  <c r="L72" i="11"/>
  <c r="L73" i="11" s="1"/>
  <c r="T72" i="11"/>
  <c r="T73" i="11" s="1"/>
  <c r="AB72" i="11"/>
  <c r="AB73" i="11" s="1"/>
  <c r="AJ72" i="11"/>
  <c r="AJ73" i="11" s="1"/>
  <c r="AR72" i="11"/>
  <c r="AR73" i="11" s="1"/>
  <c r="AZ72" i="11"/>
  <c r="AZ73" i="11" s="1"/>
  <c r="AZ75" i="11" s="1"/>
  <c r="BH72" i="11"/>
  <c r="BH73" i="11" s="1"/>
  <c r="BP72" i="11"/>
  <c r="BP73" i="11" s="1"/>
  <c r="BX72" i="11"/>
  <c r="BX73"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E26" i="12" s="1"/>
  <c r="AE27" i="12" s="1"/>
  <c r="AM25" i="12"/>
  <c r="AU25" i="12"/>
  <c r="BC25" i="12"/>
  <c r="BK25" i="12"/>
  <c r="BK26" i="12" s="1"/>
  <c r="BK27" i="12" s="1"/>
  <c r="BS25" i="12"/>
  <c r="CA25" i="12"/>
  <c r="CI25" i="12"/>
  <c r="CI26" i="12" s="1"/>
  <c r="CI27" i="12" s="1"/>
  <c r="CI28" i="12" s="1"/>
  <c r="H25" i="12"/>
  <c r="H26" i="12" s="1"/>
  <c r="H27" i="12" s="1"/>
  <c r="P25" i="12"/>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P26" i="12"/>
  <c r="P27" i="12" s="1"/>
  <c r="CB26" i="12"/>
  <c r="CB27" i="12" s="1"/>
  <c r="L25" i="12"/>
  <c r="L26" i="12" s="1"/>
  <c r="L27" i="12" s="1"/>
  <c r="L28" i="12" s="1"/>
  <c r="T25" i="12"/>
  <c r="T26" i="12" s="1"/>
  <c r="T27" i="12" s="1"/>
  <c r="AB25" i="12"/>
  <c r="AJ25" i="12"/>
  <c r="AR25" i="12"/>
  <c r="AR26" i="12" s="1"/>
  <c r="AR27" i="12" s="1"/>
  <c r="AZ25" i="12"/>
  <c r="BH25" i="12"/>
  <c r="BH26" i="12" s="1"/>
  <c r="BH27" i="12" s="1"/>
  <c r="BP25" i="12"/>
  <c r="BP26" i="12" s="1"/>
  <c r="BP27" i="12" s="1"/>
  <c r="BX25" i="12"/>
  <c r="BX26" i="12" s="1"/>
  <c r="BX27" i="12" s="1"/>
  <c r="BX28"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AB26" i="12"/>
  <c r="AB27" i="12" s="1"/>
  <c r="AJ26" i="12"/>
  <c r="AJ27" i="12" s="1"/>
  <c r="AZ26" i="12"/>
  <c r="AZ27" i="12" s="1"/>
  <c r="AB13" i="12"/>
  <c r="AR13" i="12"/>
  <c r="AZ13" i="12"/>
  <c r="BH13" i="12"/>
  <c r="BX13" i="12"/>
  <c r="CF13" i="12"/>
  <c r="E26" i="12"/>
  <c r="E27" i="12" s="1"/>
  <c r="M26" i="12"/>
  <c r="M27" i="12" s="1"/>
  <c r="U26" i="12"/>
  <c r="U27" i="12" s="1"/>
  <c r="AC26" i="12"/>
  <c r="AC27" i="12" s="1"/>
  <c r="AK26" i="12"/>
  <c r="AK27" i="12" s="1"/>
  <c r="AS26" i="12"/>
  <c r="AS27" i="12" s="1"/>
  <c r="BA26" i="12"/>
  <c r="BA27" i="12" s="1"/>
  <c r="BQ26" i="12"/>
  <c r="BQ27" i="12" s="1"/>
  <c r="BY26" i="12"/>
  <c r="BY27" i="12" s="1"/>
  <c r="CG26" i="12"/>
  <c r="CG27" i="12" s="1"/>
  <c r="E13" i="12"/>
  <c r="U13" i="12"/>
  <c r="AC13" i="12"/>
  <c r="AK13" i="12"/>
  <c r="BA13" i="12"/>
  <c r="BI13" i="12"/>
  <c r="BQ13" i="12"/>
  <c r="CG13" i="12"/>
  <c r="F26" i="12"/>
  <c r="F27" i="12" s="1"/>
  <c r="N26" i="12"/>
  <c r="N27" i="12" s="1"/>
  <c r="V26" i="12"/>
  <c r="V27" i="12" s="1"/>
  <c r="AD26" i="12"/>
  <c r="AD27" i="12" s="1"/>
  <c r="AT26" i="12"/>
  <c r="AT27" i="12" s="1"/>
  <c r="BB26" i="12"/>
  <c r="BB27" i="12" s="1"/>
  <c r="BJ26" i="12"/>
  <c r="BJ27" i="12" s="1"/>
  <c r="BR26" i="12"/>
  <c r="BR27" i="12" s="1"/>
  <c r="BZ26" i="12"/>
  <c r="BZ27" i="12" s="1"/>
  <c r="CH26" i="12"/>
  <c r="CH27" i="12" s="1"/>
  <c r="CH28" i="12" s="1"/>
  <c r="CK18" i="12"/>
  <c r="G26" i="12"/>
  <c r="G27" i="12" s="1"/>
  <c r="O26" i="12"/>
  <c r="O27" i="12" s="1"/>
  <c r="AM26" i="12"/>
  <c r="AM27" i="12" s="1"/>
  <c r="AU26" i="12"/>
  <c r="AU27" i="12" s="1"/>
  <c r="BC26" i="12"/>
  <c r="BC27" i="12" s="1"/>
  <c r="BS26" i="12"/>
  <c r="BS27" i="12" s="1"/>
  <c r="CA26" i="12"/>
  <c r="CA27" i="12" s="1"/>
  <c r="G13" i="12"/>
  <c r="AE13" i="12"/>
  <c r="AM13" i="12"/>
  <c r="BC13" i="12"/>
  <c r="BK13" i="12"/>
  <c r="BS13" i="12"/>
  <c r="CA13" i="12"/>
  <c r="H13" i="12"/>
  <c r="X13" i="12"/>
  <c r="AF13" i="12"/>
  <c r="AN13" i="12"/>
  <c r="BD13" i="12"/>
  <c r="BL13" i="12"/>
  <c r="BT13" i="12"/>
  <c r="CJ13" i="12"/>
  <c r="I26" i="12"/>
  <c r="I27" i="12" s="1"/>
  <c r="I28" i="12" s="1"/>
  <c r="Y26" i="12"/>
  <c r="Y27" i="12" s="1"/>
  <c r="Y28" i="12" s="1"/>
  <c r="AG26" i="12"/>
  <c r="AG27" i="12" s="1"/>
  <c r="AO26" i="12"/>
  <c r="AO27" i="12" s="1"/>
  <c r="AW26" i="12"/>
  <c r="AW27" i="12" s="1"/>
  <c r="BE26" i="12"/>
  <c r="BE27" i="12" s="1"/>
  <c r="BM26" i="12"/>
  <c r="BM27" i="12" s="1"/>
  <c r="BU26" i="12"/>
  <c r="BU27" i="12" s="1"/>
  <c r="BU28"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CB55" i="11"/>
  <c r="W57" i="11"/>
  <c r="CI57" i="11"/>
  <c r="CD53" i="11"/>
  <c r="X55" i="11"/>
  <c r="CJ55" i="11"/>
  <c r="AE57" i="11"/>
  <c r="K63" i="11"/>
  <c r="K65" i="11" s="1"/>
  <c r="K66" i="11" s="1"/>
  <c r="AF55" i="11"/>
  <c r="AM57" i="11"/>
  <c r="V63" i="11"/>
  <c r="V65" i="11" s="1"/>
  <c r="V66" i="11" s="1"/>
  <c r="AU57" i="11"/>
  <c r="AF63" i="11"/>
  <c r="AF65" i="11" s="1"/>
  <c r="AF66" i="11" s="1"/>
  <c r="AF74" i="11" s="1"/>
  <c r="AV55" i="11"/>
  <c r="BC57" i="11"/>
  <c r="BF63" i="11"/>
  <c r="BF65" i="11" s="1"/>
  <c r="BF66" i="11" s="1"/>
  <c r="BF74" i="11" s="1"/>
  <c r="BF75" i="11" s="1"/>
  <c r="E57" i="11"/>
  <c r="E63" i="11"/>
  <c r="E65" i="11" s="1"/>
  <c r="E66" i="11" s="1"/>
  <c r="M63" i="11"/>
  <c r="M65" i="11" s="1"/>
  <c r="M66" i="11" s="1"/>
  <c r="M57" i="11"/>
  <c r="U63" i="11"/>
  <c r="U65" i="11" s="1"/>
  <c r="U66" i="11" s="1"/>
  <c r="U74" i="11" s="1"/>
  <c r="U57" i="11"/>
  <c r="U55" i="11"/>
  <c r="AC63" i="11"/>
  <c r="AC65" i="11" s="1"/>
  <c r="AC66" i="11" s="1"/>
  <c r="AC74" i="11" s="1"/>
  <c r="AC75" i="11" s="1"/>
  <c r="AC57" i="11"/>
  <c r="AK63" i="11"/>
  <c r="AK65" i="11" s="1"/>
  <c r="AK66" i="11" s="1"/>
  <c r="AK57" i="11"/>
  <c r="AK53" i="11"/>
  <c r="AS63" i="11"/>
  <c r="AS65" i="11" s="1"/>
  <c r="AS66" i="11" s="1"/>
  <c r="AS74"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Q53" i="11"/>
  <c r="AY53" i="11"/>
  <c r="BG53" i="11"/>
  <c r="BO53" i="11"/>
  <c r="BW53" i="11"/>
  <c r="CE53"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AH63" i="11"/>
  <c r="AH65" i="11" s="1"/>
  <c r="AH66" i="11" s="1"/>
  <c r="AH74" i="11" s="1"/>
  <c r="BH63" i="11"/>
  <c r="BH65" i="11" s="1"/>
  <c r="BH66" i="11" s="1"/>
  <c r="BH74" i="11" s="1"/>
  <c r="BH75" i="11" s="1"/>
  <c r="AR53" i="11"/>
  <c r="AZ53" i="11"/>
  <c r="BH53" i="11"/>
  <c r="BP53" i="11"/>
  <c r="BX53" i="11"/>
  <c r="CF53" i="11"/>
  <c r="R55" i="11"/>
  <c r="AX55" i="11"/>
  <c r="BF55" i="11"/>
  <c r="BN55" i="11"/>
  <c r="BV55" i="11"/>
  <c r="CD55" i="11"/>
  <c r="I57" i="11"/>
  <c r="Q57" i="11"/>
  <c r="Y57" i="11"/>
  <c r="AG57" i="11"/>
  <c r="AO57" i="11"/>
  <c r="AW57" i="11"/>
  <c r="BE57" i="11"/>
  <c r="BM57" i="11"/>
  <c r="BU57" i="11"/>
  <c r="CC57" i="11"/>
  <c r="CK57" i="11"/>
  <c r="N63" i="11"/>
  <c r="N65" i="11" s="1"/>
  <c r="N66" i="11" s="1"/>
  <c r="X63" i="11"/>
  <c r="X65" i="11" s="1"/>
  <c r="X66" i="11" s="1"/>
  <c r="AI63" i="11"/>
  <c r="AI65" i="11" s="1"/>
  <c r="AI66" i="11" s="1"/>
  <c r="AI74"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O74" i="11" s="1"/>
  <c r="Z63" i="11"/>
  <c r="Z65" i="11" s="1"/>
  <c r="Z66" i="11" s="1"/>
  <c r="Z74" i="11" s="1"/>
  <c r="AJ63" i="11"/>
  <c r="AJ65" i="11" s="1"/>
  <c r="AJ66" i="11" s="1"/>
  <c r="AJ74" i="11" s="1"/>
  <c r="BV63" i="11"/>
  <c r="BV65" i="11" s="1"/>
  <c r="BV66" i="11" s="1"/>
  <c r="BV74" i="11" s="1"/>
  <c r="BV75" i="11" s="1"/>
  <c r="AT53" i="11"/>
  <c r="BB53" i="11"/>
  <c r="BJ53" i="11"/>
  <c r="BR53" i="11"/>
  <c r="BZ53" i="11"/>
  <c r="CH53"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AU53" i="11"/>
  <c r="BC53" i="11"/>
  <c r="BK53" i="11"/>
  <c r="BS53" i="11"/>
  <c r="CA53" i="11"/>
  <c r="CI53" i="11"/>
  <c r="T57" i="11"/>
  <c r="AB57" i="11"/>
  <c r="AR57" i="11"/>
  <c r="AZ57" i="11"/>
  <c r="BP57" i="11"/>
  <c r="BX57" i="11"/>
  <c r="CF57" i="11"/>
  <c r="G63" i="11"/>
  <c r="G65" i="11" s="1"/>
  <c r="G66" i="11" s="1"/>
  <c r="R63" i="11"/>
  <c r="R65" i="11" s="1"/>
  <c r="R66" i="11" s="1"/>
  <c r="R74" i="11" s="1"/>
  <c r="AN53" i="11"/>
  <c r="AV53" i="11"/>
  <c r="BD53" i="11"/>
  <c r="BL53" i="11"/>
  <c r="BT53" i="11"/>
  <c r="CB53" i="11"/>
  <c r="CJ53" i="11"/>
  <c r="AD55" i="11"/>
  <c r="AL55" i="11"/>
  <c r="AT55" i="11"/>
  <c r="BB55" i="11"/>
  <c r="BJ55" i="11"/>
  <c r="BR55" i="11"/>
  <c r="BZ55" i="11"/>
  <c r="CH55" i="11"/>
  <c r="AD63" i="11"/>
  <c r="AD65" i="11" s="1"/>
  <c r="AD66" i="11" s="1"/>
  <c r="AX63" i="11"/>
  <c r="AX65" i="11" s="1"/>
  <c r="AX66" i="11" s="1"/>
  <c r="AX74" i="11" s="1"/>
  <c r="AX75" i="11" s="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AM16" i="9"/>
  <c r="AU16" i="9"/>
  <c r="BC16" i="9"/>
  <c r="CA16" i="9"/>
  <c r="E23" i="7" l="1"/>
  <c r="N23" i="7"/>
  <c r="U24" i="11"/>
  <c r="M24" i="11"/>
  <c r="P24" i="11"/>
  <c r="J24" i="11"/>
  <c r="S74" i="11"/>
  <c r="L9" i="10"/>
  <c r="M74" i="11"/>
  <c r="M75" i="11" s="1"/>
  <c r="H9" i="10"/>
  <c r="S24" i="11"/>
  <c r="K8" i="10"/>
  <c r="F9" i="10"/>
  <c r="L24" i="11"/>
  <c r="K24" i="11"/>
  <c r="E74" i="11"/>
  <c r="E75" i="11" s="1"/>
  <c r="K74" i="11"/>
  <c r="J8" i="10"/>
  <c r="I9" i="10"/>
  <c r="E8" i="10"/>
  <c r="R75" i="11"/>
  <c r="O16" i="9"/>
  <c r="M34" i="9"/>
  <c r="N16" i="9"/>
  <c r="H16" i="9"/>
  <c r="L16" i="9"/>
  <c r="F16" i="9"/>
  <c r="E24" i="11"/>
  <c r="I74" i="11"/>
  <c r="I75" i="11" s="1"/>
  <c r="BE28" i="12"/>
  <c r="J74" i="11"/>
  <c r="BG75" i="11"/>
  <c r="N24" i="11"/>
  <c r="Z24" i="11"/>
  <c r="AM24" i="11"/>
  <c r="AL24" i="11"/>
  <c r="AO74" i="11"/>
  <c r="AO75" i="11" s="1"/>
  <c r="N31" i="6"/>
  <c r="N32" i="6" s="1"/>
  <c r="I16" i="9"/>
  <c r="AD74" i="11"/>
  <c r="AD75" i="11" s="1"/>
  <c r="R34" i="9"/>
  <c r="X74" i="11"/>
  <c r="X75" i="11" s="1"/>
  <c r="BX75" i="11"/>
  <c r="U23" i="7"/>
  <c r="Z23" i="7"/>
  <c r="H23" i="7"/>
  <c r="P23" i="7"/>
  <c r="E13" i="7"/>
  <c r="V13" i="7"/>
  <c r="F13" i="7"/>
  <c r="N13" i="7"/>
  <c r="G24" i="11"/>
  <c r="F24" i="11"/>
  <c r="AJ24" i="11"/>
  <c r="AI24" i="11"/>
  <c r="F31" i="6"/>
  <c r="F32" i="6" s="1"/>
  <c r="F28" i="10"/>
  <c r="Y24" i="11"/>
  <c r="H24" i="11"/>
  <c r="W75" i="11"/>
  <c r="AJ75" i="11"/>
  <c r="AS75" i="11"/>
  <c r="AH75" i="11"/>
  <c r="AL31" i="6"/>
  <c r="AL32" i="6" s="1"/>
  <c r="N28" i="10"/>
  <c r="AL28" i="10"/>
  <c r="V28" i="10"/>
  <c r="V20" i="11"/>
  <c r="V21" i="11" s="1"/>
  <c r="V24" i="11" s="1"/>
  <c r="AI75" i="11"/>
  <c r="AM75" i="11"/>
  <c r="H74" i="11"/>
  <c r="AH25" i="9"/>
  <c r="AO25" i="9"/>
  <c r="G25" i="9"/>
  <c r="I24" i="9"/>
  <c r="M24" i="9"/>
  <c r="AW28" i="12"/>
  <c r="AO28" i="12"/>
  <c r="BM28" i="12"/>
  <c r="AZ28" i="12"/>
  <c r="O28" i="12"/>
  <c r="G28" i="12"/>
  <c r="I31" i="12"/>
  <c r="M31" i="12"/>
  <c r="AY75" i="11"/>
  <c r="AQ75" i="11"/>
  <c r="T74" i="11"/>
  <c r="X23" i="7"/>
  <c r="G23" i="7"/>
  <c r="S23" i="7"/>
  <c r="I32" i="9"/>
  <c r="M32" i="9"/>
  <c r="H32" i="9"/>
  <c r="N32" i="9"/>
  <c r="L32" i="9"/>
  <c r="V74" i="11"/>
  <c r="V75" i="11" s="1"/>
  <c r="G74" i="11"/>
  <c r="G75" i="11" s="1"/>
  <c r="P74" i="11"/>
  <c r="P75" i="11" s="1"/>
  <c r="F32" i="9"/>
  <c r="F25" i="9"/>
  <c r="J16" i="9"/>
  <c r="O75" i="11"/>
  <c r="N74" i="11"/>
  <c r="N75" i="11" s="1"/>
  <c r="AK74" i="11"/>
  <c r="AF75" i="11"/>
  <c r="AR75" i="11"/>
  <c r="AF32" i="9"/>
  <c r="E32" i="9"/>
  <c r="J32" i="9"/>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32" i="6" s="1"/>
  <c r="AD28" i="10"/>
  <c r="AG74" i="11"/>
  <c r="AG75" i="11" s="1"/>
  <c r="AE74" i="11"/>
  <c r="AE75" i="11" s="1"/>
  <c r="AB75" i="11"/>
  <c r="V31" i="6"/>
  <c r="AJ22" i="10"/>
  <c r="BM75" i="11"/>
  <c r="CJ75" i="11"/>
  <c r="BS75" i="11"/>
  <c r="CE22" i="10"/>
  <c r="S22" i="10"/>
  <c r="BQ22" i="10"/>
  <c r="CD22" i="10"/>
  <c r="R22" i="10"/>
  <c r="Y22" i="10"/>
  <c r="BL22" i="10"/>
  <c r="BS22" i="10"/>
  <c r="BC22" i="10"/>
  <c r="W22" i="10"/>
  <c r="BY28" i="10"/>
  <c r="BY31" i="6"/>
  <c r="M28" i="10"/>
  <c r="M31" i="6"/>
  <c r="M32" i="6" s="1"/>
  <c r="BP28" i="10"/>
  <c r="BP31" i="6"/>
  <c r="D31" i="6"/>
  <c r="BW28" i="10"/>
  <c r="BW31" i="6"/>
  <c r="K28" i="10"/>
  <c r="K31" i="6"/>
  <c r="K32" i="6" s="1"/>
  <c r="Z28" i="10"/>
  <c r="Z31" i="6"/>
  <c r="Z32" i="6" s="1"/>
  <c r="BE28" i="10"/>
  <c r="BE31" i="6"/>
  <c r="CJ28" i="10"/>
  <c r="CJ31" i="6"/>
  <c r="X28" i="10"/>
  <c r="X31" i="6"/>
  <c r="X32" i="6" s="1"/>
  <c r="BK28" i="10"/>
  <c r="BK31" i="6"/>
  <c r="BE75" i="11"/>
  <c r="CB75" i="11"/>
  <c r="BK75" i="11"/>
  <c r="BZ22" i="10"/>
  <c r="BW22" i="10"/>
  <c r="K22" i="10"/>
  <c r="AK22" i="10"/>
  <c r="BV22" i="10"/>
  <c r="J22" i="10"/>
  <c r="CC22" i="10"/>
  <c r="Q22" i="10"/>
  <c r="BD22" i="10"/>
  <c r="BQ28" i="10"/>
  <c r="BQ31" i="6"/>
  <c r="E28" i="10"/>
  <c r="E31" i="6"/>
  <c r="E32" i="6" s="1"/>
  <c r="BH28" i="10"/>
  <c r="BH31" i="6"/>
  <c r="BO28" i="10"/>
  <c r="BO31" i="6"/>
  <c r="C31" i="6"/>
  <c r="CD28" i="10"/>
  <c r="CD31" i="6"/>
  <c r="R28" i="10"/>
  <c r="R31" i="6"/>
  <c r="R32" i="6" s="1"/>
  <c r="AW28" i="10"/>
  <c r="AW31" i="6"/>
  <c r="CB28" i="10"/>
  <c r="CB31" i="6"/>
  <c r="P28" i="10"/>
  <c r="P31" i="6"/>
  <c r="P32" i="6" s="1"/>
  <c r="BC28" i="10"/>
  <c r="BC31" i="6"/>
  <c r="BP75" i="11"/>
  <c r="AW75" i="11"/>
  <c r="BT75" i="11"/>
  <c r="H75" i="11"/>
  <c r="BC75" i="11"/>
  <c r="CH75" i="11"/>
  <c r="CF22" i="10"/>
  <c r="T22" i="10"/>
  <c r="AL22" i="10"/>
  <c r="F22" i="10"/>
  <c r="BO22" i="10"/>
  <c r="BI22" i="10"/>
  <c r="M22" i="10"/>
  <c r="BN22" i="10"/>
  <c r="BU22" i="10"/>
  <c r="I22" i="10"/>
  <c r="AV22" i="10"/>
  <c r="CI22" i="10"/>
  <c r="BI28" i="10"/>
  <c r="BI31" i="6"/>
  <c r="BJ6" i="11"/>
  <c r="BJ39" i="10"/>
  <c r="BJ34" i="10"/>
  <c r="BJ38" i="6"/>
  <c r="AZ28" i="10"/>
  <c r="AZ31" i="6"/>
  <c r="BG28" i="10"/>
  <c r="BG31" i="6"/>
  <c r="BV28" i="10"/>
  <c r="BV31" i="6"/>
  <c r="J28" i="10"/>
  <c r="J31" i="6"/>
  <c r="J32" i="6" s="1"/>
  <c r="AO28" i="10"/>
  <c r="AO31" i="6"/>
  <c r="AO32" i="6" s="1"/>
  <c r="AL6" i="11"/>
  <c r="BT28" i="10"/>
  <c r="BT31" i="6"/>
  <c r="H28" i="10"/>
  <c r="H31" i="6"/>
  <c r="H32" i="6" s="1"/>
  <c r="BR6" i="11"/>
  <c r="BR39" i="10"/>
  <c r="BR34" i="10"/>
  <c r="BR38" i="6"/>
  <c r="AU28" i="10"/>
  <c r="AU31" i="6"/>
  <c r="BW75" i="11"/>
  <c r="BL75" i="11"/>
  <c r="AU75" i="11"/>
  <c r="BZ75" i="11"/>
  <c r="BX22" i="10"/>
  <c r="L22" i="10"/>
  <c r="BB22" i="10"/>
  <c r="V22" i="10"/>
  <c r="BG22" i="10"/>
  <c r="BF22" i="10"/>
  <c r="BM22" i="10"/>
  <c r="AN22" i="10"/>
  <c r="AU22" i="10"/>
  <c r="O22" i="10"/>
  <c r="BA28" i="10"/>
  <c r="BA31" i="6"/>
  <c r="BJ29" i="10"/>
  <c r="AR28" i="10"/>
  <c r="AR31" i="6"/>
  <c r="AR32" i="6" s="1"/>
  <c r="AY28" i="10"/>
  <c r="AY31" i="6"/>
  <c r="BN28" i="10"/>
  <c r="BN31" i="6"/>
  <c r="B31" i="6"/>
  <c r="CH6" i="11"/>
  <c r="CH39" i="10"/>
  <c r="CH34" i="10"/>
  <c r="CH38" i="6"/>
  <c r="AG28" i="10"/>
  <c r="AG31" i="6"/>
  <c r="AG32" i="6" s="1"/>
  <c r="BL28" i="10"/>
  <c r="BL31" i="6"/>
  <c r="BR29" i="10"/>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CH29" i="10"/>
  <c r="Y28" i="10"/>
  <c r="Y31" i="6"/>
  <c r="Y32" i="6" s="1"/>
  <c r="BD28" i="10"/>
  <c r="BD31" i="6"/>
  <c r="AE28" i="10"/>
  <c r="AE31" i="6"/>
  <c r="AE32" i="6" s="1"/>
  <c r="J75" i="11"/>
  <c r="AV75" i="11"/>
  <c r="Y74" i="11"/>
  <c r="Y75" i="11" s="1"/>
  <c r="BJ75" i="11"/>
  <c r="BH22" i="10"/>
  <c r="AQ22" i="10"/>
  <c r="E22" i="10"/>
  <c r="AP22" i="10"/>
  <c r="AW22" i="10"/>
  <c r="CJ22" i="10"/>
  <c r="X22" i="10"/>
  <c r="CA22" i="10"/>
  <c r="AK28" i="10"/>
  <c r="AK31" i="6"/>
  <c r="AK32" i="6" s="1"/>
  <c r="AB28" i="10"/>
  <c r="AB31" i="6"/>
  <c r="AB32" i="6" s="1"/>
  <c r="AI28" i="10"/>
  <c r="AI31" i="6"/>
  <c r="AI32" i="6" s="1"/>
  <c r="BB6" i="11"/>
  <c r="BB39" i="10"/>
  <c r="BB34" i="10"/>
  <c r="BB38" i="6"/>
  <c r="AX28" i="10"/>
  <c r="AX31" i="6"/>
  <c r="CC28" i="10"/>
  <c r="CC31" i="6"/>
  <c r="Q28" i="10"/>
  <c r="Q31" i="6"/>
  <c r="Q32" i="6" s="1"/>
  <c r="AV28" i="10"/>
  <c r="AV31" i="6"/>
  <c r="N38" i="6"/>
  <c r="N39" i="6" s="1"/>
  <c r="CI28" i="10"/>
  <c r="CI31" i="6"/>
  <c r="W28" i="10"/>
  <c r="W31" i="6"/>
  <c r="W32" i="6" s="1"/>
  <c r="CC75" i="11"/>
  <c r="AN75" i="11"/>
  <c r="CI75" i="11"/>
  <c r="AL75" i="11"/>
  <c r="Q74" i="11"/>
  <c r="Q75" i="11" s="1"/>
  <c r="AZ22" i="10"/>
  <c r="AT22" i="10"/>
  <c r="AD22" i="10"/>
  <c r="N22" i="10"/>
  <c r="AI22" i="10"/>
  <c r="BY22" i="10"/>
  <c r="AS22" i="10"/>
  <c r="AH22" i="10"/>
  <c r="AO22" i="10"/>
  <c r="CB22" i="10"/>
  <c r="P22" i="10"/>
  <c r="AC28" i="10"/>
  <c r="AC31" i="6"/>
  <c r="AC32" i="6" s="1"/>
  <c r="CF28" i="10"/>
  <c r="CF31" i="6"/>
  <c r="T28" i="10"/>
  <c r="T31" i="6"/>
  <c r="T32" i="6" s="1"/>
  <c r="AA28" i="10"/>
  <c r="AA31" i="6"/>
  <c r="AA32" i="6" s="1"/>
  <c r="BB29" i="10"/>
  <c r="AP28" i="10"/>
  <c r="AP31" i="6"/>
  <c r="AP32" i="6" s="1"/>
  <c r="AD34" i="10"/>
  <c r="BU28" i="10"/>
  <c r="BU31" i="6"/>
  <c r="I28" i="10"/>
  <c r="I31" i="6"/>
  <c r="I32" i="6" s="1"/>
  <c r="AN28" i="10"/>
  <c r="AN31" i="6"/>
  <c r="AN32" i="6" s="1"/>
  <c r="CA28" i="10"/>
  <c r="CA31" i="6"/>
  <c r="O28" i="10"/>
  <c r="O31" i="6"/>
  <c r="O32" i="6" s="1"/>
  <c r="BU75" i="11"/>
  <c r="CA75" i="11"/>
  <c r="AR22" i="10"/>
  <c r="CH22" i="10"/>
  <c r="BJ22" i="10"/>
  <c r="AA22" i="10"/>
  <c r="U22" i="10"/>
  <c r="Z22" i="10"/>
  <c r="AG22" i="10"/>
  <c r="BT22" i="10"/>
  <c r="H22" i="10"/>
  <c r="AM22" i="10"/>
  <c r="G22" i="10"/>
  <c r="CG28" i="10"/>
  <c r="CG31" i="6"/>
  <c r="U28" i="10"/>
  <c r="U31" i="6"/>
  <c r="U32" i="6" s="1"/>
  <c r="BX28" i="10"/>
  <c r="BX31" i="6"/>
  <c r="L28" i="10"/>
  <c r="L31" i="6"/>
  <c r="L32" i="6" s="1"/>
  <c r="CE28" i="10"/>
  <c r="CE31" i="6"/>
  <c r="S28" i="10"/>
  <c r="S31" i="6"/>
  <c r="S32" i="6" s="1"/>
  <c r="AH28" i="10"/>
  <c r="AH31" i="6"/>
  <c r="AH32" i="6" s="1"/>
  <c r="BM28" i="10"/>
  <c r="BM31" i="6"/>
  <c r="BZ6" i="11"/>
  <c r="BZ39" i="10"/>
  <c r="BZ34" i="10"/>
  <c r="BZ38" i="6"/>
  <c r="AF28" i="10"/>
  <c r="AF31" i="6"/>
  <c r="AF32" i="6" s="1"/>
  <c r="BS28" i="10"/>
  <c r="BS31" i="6"/>
  <c r="G28" i="10"/>
  <c r="G31" i="6"/>
  <c r="G32" i="6" s="1"/>
  <c r="AT6" i="11"/>
  <c r="AT39" i="10"/>
  <c r="AT34" i="10"/>
  <c r="AT29" i="10" s="1"/>
  <c r="AT38" i="6"/>
  <c r="AD34" i="9"/>
  <c r="E16" i="9"/>
  <c r="AH16" i="9"/>
  <c r="R16" i="9"/>
  <c r="AM32" i="9"/>
  <c r="G32" i="9"/>
  <c r="O32" i="9"/>
  <c r="AJ32" i="9"/>
  <c r="P32" i="9"/>
  <c r="S75" i="11"/>
  <c r="AK75" i="11"/>
  <c r="Z75" i="11"/>
  <c r="K75" i="11"/>
  <c r="T75" i="11"/>
  <c r="L75" i="11"/>
  <c r="U75" i="11"/>
  <c r="A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5" i="8" s="1"/>
  <c r="R108" i="5"/>
  <c r="AB50" i="11"/>
  <c r="AB51" i="11" s="1"/>
  <c r="AB4" i="9"/>
  <c r="AB69" i="5"/>
  <c r="I12" i="9"/>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5" i="8" s="1"/>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5" i="8" s="1"/>
  <c r="K108" i="5"/>
  <c r="BM12" i="9"/>
  <c r="BM4" i="8"/>
  <c r="BM108" i="5"/>
  <c r="BD12" i="9"/>
  <c r="BD4" i="8"/>
  <c r="BD108" i="5"/>
  <c r="CK32" i="9"/>
  <c r="BU50" i="11"/>
  <c r="BU51" i="11" s="1"/>
  <c r="BU4" i="9"/>
  <c r="BU29" i="9" s="1"/>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69" i="5"/>
  <c r="M12" i="9"/>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5" i="8" s="1"/>
  <c r="U108" i="5"/>
  <c r="AY12" i="9"/>
  <c r="AY4" i="8"/>
  <c r="AY108" i="5"/>
  <c r="AO12" i="9"/>
  <c r="AO4" i="8"/>
  <c r="AO108" i="5"/>
  <c r="AF12" i="9"/>
  <c r="AF4" i="8"/>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8" i="13"/>
  <c r="E12" i="9"/>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BK50" i="11"/>
  <c r="BK51" i="11" s="1"/>
  <c r="BK4" i="9"/>
  <c r="BK29" i="9" s="1"/>
  <c r="BK69" i="5"/>
  <c r="T12" i="9"/>
  <c r="T4" i="8"/>
  <c r="T5" i="8" s="1"/>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39" i="13" s="1"/>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N34" i="10" l="1"/>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9" i="10"/>
  <c r="AD39" i="10"/>
  <c r="AD6" i="11"/>
  <c r="AL38" i="6"/>
  <c r="AL39" i="6" s="1"/>
  <c r="AL34" i="10"/>
  <c r="AD38" i="6"/>
  <c r="AD39" i="6" s="1"/>
  <c r="AL39" i="10"/>
  <c r="F29" i="10"/>
  <c r="H29" i="9"/>
  <c r="AH29" i="9"/>
  <c r="AD29" i="10"/>
  <c r="AL29" i="10"/>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AD9" i="11"/>
  <c r="AD40" i="10"/>
  <c r="AD41" i="10" s="1"/>
  <c r="AD41" i="6"/>
  <c r="W6" i="11"/>
  <c r="W39" i="10"/>
  <c r="W34" i="10"/>
  <c r="W38" i="6"/>
  <c r="W39" i="6" s="1"/>
  <c r="AE6" i="11"/>
  <c r="AE39" i="10"/>
  <c r="AE34" i="10"/>
  <c r="AE29" i="10" s="1"/>
  <c r="AE38" i="6"/>
  <c r="AE39" i="6" s="1"/>
  <c r="AR6" i="11"/>
  <c r="AR39" i="10"/>
  <c r="AR34" i="10"/>
  <c r="AR38" i="6"/>
  <c r="AR39" i="6" s="1"/>
  <c r="AU6" i="11"/>
  <c r="AU39" i="10"/>
  <c r="AU34" i="10"/>
  <c r="AU38" i="6"/>
  <c r="BH6" i="11"/>
  <c r="BH39" i="10"/>
  <c r="BH34" i="10"/>
  <c r="BH38" i="6"/>
  <c r="CJ6" i="11"/>
  <c r="CJ34" i="10"/>
  <c r="CJ39" i="10"/>
  <c r="CJ38" i="6"/>
  <c r="BZ9" i="11"/>
  <c r="BZ40" i="10"/>
  <c r="BZ41" i="10" s="1"/>
  <c r="BZ42" i="6"/>
  <c r="BZ41" i="6"/>
  <c r="BZ33" i="10"/>
  <c r="BZ31" i="10"/>
  <c r="AN6" i="11"/>
  <c r="AN34" i="10"/>
  <c r="AN39" i="10"/>
  <c r="AN38" i="6"/>
  <c r="AN39" i="6" s="1"/>
  <c r="AD31" i="10"/>
  <c r="AD33" i="10"/>
  <c r="CF6" i="11"/>
  <c r="CF34" i="10"/>
  <c r="CF39" i="10"/>
  <c r="CF38" i="6"/>
  <c r="N9" i="11"/>
  <c r="N40" i="10"/>
  <c r="N41" i="10" s="1"/>
  <c r="N41" i="6"/>
  <c r="N42" i="6"/>
  <c r="N43" i="6" s="1"/>
  <c r="CC6" i="11"/>
  <c r="CC34" i="10"/>
  <c r="CC39" i="10"/>
  <c r="CC38" i="6"/>
  <c r="AU29" i="10"/>
  <c r="AO6" i="11"/>
  <c r="AO39" i="10"/>
  <c r="AO34" i="10"/>
  <c r="AO29" i="10" s="1"/>
  <c r="AO38" i="6"/>
  <c r="AO39" i="6" s="1"/>
  <c r="AW6" i="11"/>
  <c r="AW39" i="10"/>
  <c r="AW34" i="10"/>
  <c r="AW38" i="6"/>
  <c r="C38" i="6"/>
  <c r="C32" i="6"/>
  <c r="CJ29" i="10"/>
  <c r="D38" i="6"/>
  <c r="D32" i="6"/>
  <c r="M6" i="11"/>
  <c r="M39" i="10"/>
  <c r="M34" i="10"/>
  <c r="M29" i="10" s="1"/>
  <c r="M38" i="6"/>
  <c r="M39" i="6" s="1"/>
  <c r="G6" i="11"/>
  <c r="G39" i="10"/>
  <c r="G34" i="10"/>
  <c r="G29" i="10" s="1"/>
  <c r="G38" i="6"/>
  <c r="G39" i="6" s="1"/>
  <c r="BZ42" i="10"/>
  <c r="CG6" i="11"/>
  <c r="CG39" i="10"/>
  <c r="CG34" i="10"/>
  <c r="CG38" i="6"/>
  <c r="AN29" i="10"/>
  <c r="N33" i="10"/>
  <c r="N31" i="10"/>
  <c r="CC29" i="10"/>
  <c r="BB9" i="11"/>
  <c r="BB40" i="10"/>
  <c r="BB41" i="10" s="1"/>
  <c r="BB42" i="6"/>
  <c r="BB41" i="6"/>
  <c r="AK6" i="11"/>
  <c r="AK39" i="10"/>
  <c r="AK34" i="10"/>
  <c r="AK29" i="10" s="1"/>
  <c r="AK38" i="6"/>
  <c r="AK39" i="6" s="1"/>
  <c r="Y6" i="11"/>
  <c r="Y39" i="10"/>
  <c r="Y34" i="10"/>
  <c r="Y38" i="6"/>
  <c r="Y39" i="6" s="1"/>
  <c r="AG6" i="11"/>
  <c r="AG39" i="10"/>
  <c r="AG34" i="10"/>
  <c r="AG29" i="10" s="1"/>
  <c r="AG38" i="6"/>
  <c r="AG39" i="6" s="1"/>
  <c r="AR29" i="10"/>
  <c r="H6" i="11"/>
  <c r="H34" i="10"/>
  <c r="H29" i="10" s="1"/>
  <c r="H39" i="10"/>
  <c r="H38" i="6"/>
  <c r="H39" i="6" s="1"/>
  <c r="BG6" i="11"/>
  <c r="BG39" i="10"/>
  <c r="BG34" i="10"/>
  <c r="BG38" i="6"/>
  <c r="BI6" i="11"/>
  <c r="BI39" i="10"/>
  <c r="BI34" i="10"/>
  <c r="BI38" i="6"/>
  <c r="BC6" i="11"/>
  <c r="BC39" i="10"/>
  <c r="BC34" i="10"/>
  <c r="BC38" i="6"/>
  <c r="AW29" i="10"/>
  <c r="CD6" i="11"/>
  <c r="CD34" i="10"/>
  <c r="CD39" i="10"/>
  <c r="CD38" i="6"/>
  <c r="BH29" i="10"/>
  <c r="Z6" i="11"/>
  <c r="Z39" i="10"/>
  <c r="Z34" i="10"/>
  <c r="Z29" i="10" s="1"/>
  <c r="Z38" i="6"/>
  <c r="Z39" i="6" s="1"/>
  <c r="F33" i="10"/>
  <c r="F31" i="10"/>
  <c r="L6" i="11"/>
  <c r="L39" i="10"/>
  <c r="L34" i="10"/>
  <c r="L29" i="10" s="1"/>
  <c r="L38" i="6"/>
  <c r="L39" i="6" s="1"/>
  <c r="CG29" i="10"/>
  <c r="CA6" i="11"/>
  <c r="CA39" i="10"/>
  <c r="CA34" i="10"/>
  <c r="CA38" i="6"/>
  <c r="CF29" i="10"/>
  <c r="BB31" i="10"/>
  <c r="BB33" i="10"/>
  <c r="AS6" i="11"/>
  <c r="AS39" i="10"/>
  <c r="AS34" i="10"/>
  <c r="AS38" i="6"/>
  <c r="AS39" i="6" s="1"/>
  <c r="AY6" i="11"/>
  <c r="AY39" i="10"/>
  <c r="AY34" i="10"/>
  <c r="AY38" i="6"/>
  <c r="AL9" i="11"/>
  <c r="AL40" i="10"/>
  <c r="AL41" i="10" s="1"/>
  <c r="AL41" i="6"/>
  <c r="AL42" i="6"/>
  <c r="AL43" i="6" s="1"/>
  <c r="BV6" i="11"/>
  <c r="BV39" i="10"/>
  <c r="BV34" i="10"/>
  <c r="BV38" i="6"/>
  <c r="BI29" i="10"/>
  <c r="BC29" i="10"/>
  <c r="BO6" i="11"/>
  <c r="BO39" i="10"/>
  <c r="BO34" i="10"/>
  <c r="BO38" i="6"/>
  <c r="BQ6" i="11"/>
  <c r="BQ39" i="10"/>
  <c r="BQ34" i="10"/>
  <c r="BQ38" i="6"/>
  <c r="X6" i="11"/>
  <c r="X34" i="10"/>
  <c r="X39" i="10"/>
  <c r="X38" i="6"/>
  <c r="X39" i="6" s="1"/>
  <c r="BZ29" i="10"/>
  <c r="BW6" i="11"/>
  <c r="BW39" i="10"/>
  <c r="BW34" i="10"/>
  <c r="BW38" i="6"/>
  <c r="BP6" i="11"/>
  <c r="BP39" i="10"/>
  <c r="BP34" i="10"/>
  <c r="BP38" i="6"/>
  <c r="AT9" i="11"/>
  <c r="AT40" i="10"/>
  <c r="AT41" i="10" s="1"/>
  <c r="AT41" i="6"/>
  <c r="AT42" i="6"/>
  <c r="AF6" i="11"/>
  <c r="AF34" i="10"/>
  <c r="AF29" i="10" s="1"/>
  <c r="AF39" i="10"/>
  <c r="AF38" i="6"/>
  <c r="AF39" i="6" s="1"/>
  <c r="AH6" i="11"/>
  <c r="AH39" i="10"/>
  <c r="AH34" i="10"/>
  <c r="AH29" i="10" s="1"/>
  <c r="AH38" i="6"/>
  <c r="AH39" i="6" s="1"/>
  <c r="CA29" i="10"/>
  <c r="BU6" i="11"/>
  <c r="BU39" i="10"/>
  <c r="BU34" i="10"/>
  <c r="BU38" i="6"/>
  <c r="T6" i="11"/>
  <c r="T39" i="10"/>
  <c r="T34" i="10"/>
  <c r="T38" i="6"/>
  <c r="T39" i="6" s="1"/>
  <c r="Q6" i="11"/>
  <c r="Q39" i="10"/>
  <c r="Q34" i="10"/>
  <c r="Q29" i="10" s="1"/>
  <c r="Q38" i="6"/>
  <c r="Q39" i="6" s="1"/>
  <c r="AX6" i="11"/>
  <c r="AX39" i="10"/>
  <c r="AX34" i="10"/>
  <c r="AX38" i="6"/>
  <c r="BB42" i="10"/>
  <c r="AB6" i="11"/>
  <c r="AB39" i="10"/>
  <c r="AB34" i="10"/>
  <c r="AB38" i="6"/>
  <c r="AB39" i="6" s="1"/>
  <c r="AS29" i="10"/>
  <c r="BL6" i="11"/>
  <c r="BL34" i="10"/>
  <c r="BL39" i="10"/>
  <c r="BL38" i="6"/>
  <c r="B32" i="6"/>
  <c r="B38" i="6"/>
  <c r="BR9" i="11"/>
  <c r="BR40" i="10"/>
  <c r="BR41" i="10" s="1"/>
  <c r="BR42" i="6"/>
  <c r="BR41" i="6"/>
  <c r="AL31" i="10"/>
  <c r="AL33" i="10"/>
  <c r="BG29" i="10"/>
  <c r="BJ9" i="11"/>
  <c r="BJ40" i="10"/>
  <c r="BJ41" i="10" s="1"/>
  <c r="BJ42" i="6"/>
  <c r="BJ41" i="6"/>
  <c r="CB6" i="11"/>
  <c r="CB34" i="10"/>
  <c r="CB39" i="10"/>
  <c r="CB38" i="6"/>
  <c r="CD29" i="10"/>
  <c r="BQ29" i="10"/>
  <c r="AT31" i="10"/>
  <c r="AT33" i="10"/>
  <c r="CE6" i="11"/>
  <c r="CE39" i="10"/>
  <c r="CE34" i="10"/>
  <c r="CE38" i="6"/>
  <c r="U6" i="11"/>
  <c r="U39" i="10"/>
  <c r="U34" i="10"/>
  <c r="U29" i="10" s="1"/>
  <c r="U38" i="6"/>
  <c r="U39" i="6" s="1"/>
  <c r="BU29" i="10"/>
  <c r="CI6" i="11"/>
  <c r="CI39" i="10"/>
  <c r="CI34" i="10"/>
  <c r="CI38" i="6"/>
  <c r="BD6" i="11"/>
  <c r="BD34" i="10"/>
  <c r="BD39" i="10"/>
  <c r="BD38" i="6"/>
  <c r="AJ6" i="11"/>
  <c r="AJ39" i="10"/>
  <c r="AJ34" i="10"/>
  <c r="AJ29" i="10" s="1"/>
  <c r="AJ38" i="6"/>
  <c r="AJ39" i="6" s="1"/>
  <c r="BL29" i="10"/>
  <c r="AY29" i="10"/>
  <c r="BR33" i="10"/>
  <c r="BR31" i="10"/>
  <c r="BJ33" i="10"/>
  <c r="BJ31" i="10"/>
  <c r="CB29" i="10"/>
  <c r="BO29" i="10"/>
  <c r="BP29" i="10"/>
  <c r="AT42" i="10"/>
  <c r="BM6" i="11"/>
  <c r="BM39" i="10"/>
  <c r="BM34" i="10"/>
  <c r="BM38" i="6"/>
  <c r="O6" i="11"/>
  <c r="O39" i="10"/>
  <c r="O34" i="10"/>
  <c r="O29" i="10" s="1"/>
  <c r="O38" i="6"/>
  <c r="O39" i="6" s="1"/>
  <c r="AP6" i="11"/>
  <c r="AP39" i="10"/>
  <c r="AP34" i="10"/>
  <c r="AP29" i="10" s="1"/>
  <c r="AP38" i="6"/>
  <c r="AP39" i="6" s="1"/>
  <c r="AA39" i="10"/>
  <c r="AA6" i="11"/>
  <c r="AA34" i="10"/>
  <c r="AA38" i="6"/>
  <c r="AA39" i="6" s="1"/>
  <c r="CI29" i="10"/>
  <c r="BD29" i="10"/>
  <c r="AM6" i="11"/>
  <c r="AM39" i="10"/>
  <c r="AM34" i="10"/>
  <c r="AM29" i="10" s="1"/>
  <c r="AM38" i="6"/>
  <c r="AM39" i="6" s="1"/>
  <c r="CH9" i="11"/>
  <c r="CH40" i="10"/>
  <c r="CH41" i="10" s="1"/>
  <c r="CH42" i="6"/>
  <c r="CH41" i="6"/>
  <c r="BN6" i="11"/>
  <c r="BN39" i="10"/>
  <c r="BN34" i="10"/>
  <c r="BN38" i="6"/>
  <c r="BR42" i="10"/>
  <c r="J6" i="11"/>
  <c r="J39" i="10"/>
  <c r="J34" i="10"/>
  <c r="J29" i="10" s="1"/>
  <c r="J38" i="6"/>
  <c r="J39" i="6" s="1"/>
  <c r="BJ42" i="10"/>
  <c r="R6" i="11"/>
  <c r="R39" i="10"/>
  <c r="R34" i="10"/>
  <c r="R29" i="10" s="1"/>
  <c r="R38" i="6"/>
  <c r="R39" i="6" s="1"/>
  <c r="E6" i="11"/>
  <c r="E39" i="10"/>
  <c r="E34" i="10"/>
  <c r="E29" i="10" s="1"/>
  <c r="E38" i="6"/>
  <c r="E39" i="6" s="1"/>
  <c r="BK6" i="11"/>
  <c r="BK39" i="10"/>
  <c r="BK34" i="10"/>
  <c r="BK38" i="6"/>
  <c r="BE6" i="11"/>
  <c r="BE39" i="10"/>
  <c r="BE34" i="10"/>
  <c r="BE38" i="6"/>
  <c r="BY6" i="11"/>
  <c r="BY39" i="10"/>
  <c r="BY34" i="10"/>
  <c r="BY38" i="6"/>
  <c r="BS6" i="11"/>
  <c r="BS39" i="10"/>
  <c r="BS34" i="10"/>
  <c r="BS38" i="6"/>
  <c r="CE29" i="10"/>
  <c r="BX6" i="11"/>
  <c r="BX34" i="10"/>
  <c r="BX39" i="10"/>
  <c r="BX38" i="6"/>
  <c r="I6" i="11"/>
  <c r="I39" i="10"/>
  <c r="I34" i="10"/>
  <c r="I29" i="10" s="1"/>
  <c r="I38" i="6"/>
  <c r="I39" i="6" s="1"/>
  <c r="AC6" i="11"/>
  <c r="AC39" i="10"/>
  <c r="AC34" i="10"/>
  <c r="AC29" i="10" s="1"/>
  <c r="AC38" i="6"/>
  <c r="AC39" i="6" s="1"/>
  <c r="AV6" i="11"/>
  <c r="AV34" i="10"/>
  <c r="AV39" i="10"/>
  <c r="AV38" i="6"/>
  <c r="AX29" i="10"/>
  <c r="AI39" i="10"/>
  <c r="AI6" i="11"/>
  <c r="AI34" i="10"/>
  <c r="AI38" i="6"/>
  <c r="AI39" i="6" s="1"/>
  <c r="BF6" i="11"/>
  <c r="BF39" i="10"/>
  <c r="BF34" i="10"/>
  <c r="BF29" i="10" s="1"/>
  <c r="BF38" i="6"/>
  <c r="AQ39" i="10"/>
  <c r="AQ6" i="11"/>
  <c r="AQ34" i="10"/>
  <c r="AQ29" i="10" s="1"/>
  <c r="AQ38" i="6"/>
  <c r="AQ39" i="6" s="1"/>
  <c r="CH31" i="10"/>
  <c r="CH33" i="10"/>
  <c r="BA6" i="11"/>
  <c r="BA39" i="10"/>
  <c r="BA34" i="10"/>
  <c r="BA29" i="10" s="1"/>
  <c r="BA38" i="6"/>
  <c r="BT6" i="11"/>
  <c r="BT34" i="10"/>
  <c r="BT29" i="10" s="1"/>
  <c r="BT39" i="10"/>
  <c r="BT38" i="6"/>
  <c r="AZ6" i="11"/>
  <c r="AZ39" i="10"/>
  <c r="AZ34" i="10"/>
  <c r="AZ38" i="6"/>
  <c r="P6" i="11"/>
  <c r="P34" i="10"/>
  <c r="P39" i="10"/>
  <c r="P38" i="6"/>
  <c r="P39" i="6" s="1"/>
  <c r="BK29" i="10"/>
  <c r="BE29" i="10"/>
  <c r="K6" i="11"/>
  <c r="K39" i="10"/>
  <c r="K34" i="10"/>
  <c r="K38" i="6"/>
  <c r="K39" i="6" s="1"/>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V13" i="8" s="1"/>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V40" i="10" l="1"/>
  <c r="V41" i="6"/>
  <c r="V33" i="10"/>
  <c r="V31" i="10"/>
  <c r="F42" i="6"/>
  <c r="F43" i="6" s="1"/>
  <c r="F41" i="6"/>
  <c r="F6" i="8" s="1"/>
  <c r="F7" i="8" s="1"/>
  <c r="F40" i="10"/>
  <c r="F41" i="10" s="1"/>
  <c r="F9" i="11"/>
  <c r="I39" i="13"/>
  <c r="H41" i="13"/>
  <c r="D42" i="13" s="1"/>
  <c r="V9" i="11"/>
  <c r="V42" i="6"/>
  <c r="V43" i="6" s="1"/>
  <c r="N42" i="10"/>
  <c r="AD42" i="6"/>
  <c r="AD43" i="6" s="1"/>
  <c r="V41" i="10"/>
  <c r="AL42" i="10"/>
  <c r="P31" i="10"/>
  <c r="P33" i="10"/>
  <c r="BX9" i="11"/>
  <c r="BX40" i="10"/>
  <c r="BX41" i="10" s="1"/>
  <c r="BX42" i="6"/>
  <c r="BX41" i="6"/>
  <c r="BS31" i="10"/>
  <c r="BS33" i="10"/>
  <c r="CH28" i="6"/>
  <c r="CH29" i="6" s="1"/>
  <c r="CH32" i="11" s="1"/>
  <c r="CH44" i="11" s="1"/>
  <c r="CH36" i="6"/>
  <c r="CH37" i="6" s="1"/>
  <c r="CH16" i="6"/>
  <c r="CH17" i="6" s="1"/>
  <c r="AA33" i="10"/>
  <c r="AA31" i="10"/>
  <c r="BM31" i="10"/>
  <c r="BM33" i="10"/>
  <c r="AJ9" i="11"/>
  <c r="AJ40" i="10"/>
  <c r="AJ41" i="10" s="1"/>
  <c r="AJ41" i="6"/>
  <c r="AJ42" i="6"/>
  <c r="AJ43" i="6" s="1"/>
  <c r="BR6" i="8"/>
  <c r="BR28" i="6"/>
  <c r="BR29" i="6" s="1"/>
  <c r="BR32" i="11" s="1"/>
  <c r="BR44" i="11" s="1"/>
  <c r="BR36" i="6"/>
  <c r="BR37" i="6" s="1"/>
  <c r="BR16" i="6"/>
  <c r="BR17" i="6" s="1"/>
  <c r="BL9" i="11"/>
  <c r="BL40" i="10"/>
  <c r="BL41" i="10" s="1"/>
  <c r="BL42" i="6"/>
  <c r="BL41" i="6"/>
  <c r="AB31" i="10"/>
  <c r="AB33" i="10"/>
  <c r="T31" i="10"/>
  <c r="T33" i="10"/>
  <c r="BW33" i="10"/>
  <c r="BW31" i="10"/>
  <c r="X31" i="10"/>
  <c r="X33" i="10"/>
  <c r="BO9" i="11"/>
  <c r="BO40" i="10"/>
  <c r="BO41" i="10" s="1"/>
  <c r="BO42" i="6"/>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BX42" i="10"/>
  <c r="R33" i="10"/>
  <c r="R31" i="10"/>
  <c r="O40" i="10"/>
  <c r="O41" i="10" s="1"/>
  <c r="O9" i="11"/>
  <c r="O41" i="6"/>
  <c r="O42" i="6"/>
  <c r="O43" i="6" s="1"/>
  <c r="AJ31" i="10"/>
  <c r="AJ33" i="10"/>
  <c r="U9" i="11"/>
  <c r="U40" i="10"/>
  <c r="U41" i="10" s="1"/>
  <c r="U41" i="6"/>
  <c r="U42" i="6"/>
  <c r="U43" i="6" s="1"/>
  <c r="BJ17" i="12"/>
  <c r="BJ18" i="12" s="1"/>
  <c r="BJ2" i="11"/>
  <c r="BJ47" i="10"/>
  <c r="BJ48" i="10"/>
  <c r="BJ47" i="6"/>
  <c r="Q9" i="11"/>
  <c r="Q40" i="10"/>
  <c r="Q41" i="10" s="1"/>
  <c r="Q41" i="6"/>
  <c r="Q42" i="6"/>
  <c r="Q43" i="6" s="1"/>
  <c r="BO33" i="10"/>
  <c r="BO31" i="10"/>
  <c r="BC9" i="11"/>
  <c r="BC40" i="10"/>
  <c r="BC41" i="10" s="1"/>
  <c r="BC42" i="6"/>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P29" i="10"/>
  <c r="AE9" i="11"/>
  <c r="AE40" i="10"/>
  <c r="AE41" i="10" s="1"/>
  <c r="AE41" i="6"/>
  <c r="AE42" i="6"/>
  <c r="AE43" i="6" s="1"/>
  <c r="BE9" i="11"/>
  <c r="BE40" i="10"/>
  <c r="BE41" i="10" s="1"/>
  <c r="BE42" i="6"/>
  <c r="BE41" i="6"/>
  <c r="AI33" i="10"/>
  <c r="AI31" i="10"/>
  <c r="BX31" i="10"/>
  <c r="BX33" i="10"/>
  <c r="BE31" i="10"/>
  <c r="BE33" i="10"/>
  <c r="CH17" i="12"/>
  <c r="CH18" i="12" s="1"/>
  <c r="CH2" i="11"/>
  <c r="CH47" i="10"/>
  <c r="CH49" i="10" s="1"/>
  <c r="CH48" i="10"/>
  <c r="CH47" i="6"/>
  <c r="O31" i="10"/>
  <c r="O33" i="10"/>
  <c r="U33" i="10"/>
  <c r="U31" i="10"/>
  <c r="CB9" i="11"/>
  <c r="CB40" i="10"/>
  <c r="CB41" i="10" s="1"/>
  <c r="CB42" i="6"/>
  <c r="CB41" i="6"/>
  <c r="BR17" i="12"/>
  <c r="BR18" i="12" s="1"/>
  <c r="BR2" i="11"/>
  <c r="BR47" i="10"/>
  <c r="BR48" i="10"/>
  <c r="BR47" i="6"/>
  <c r="BL42" i="10"/>
  <c r="AH9" i="11"/>
  <c r="AH40" i="10"/>
  <c r="AH41" i="10" s="1"/>
  <c r="AH41" i="6"/>
  <c r="AH42" i="6"/>
  <c r="AH43" i="6" s="1"/>
  <c r="AF31" i="10"/>
  <c r="AF33" i="10"/>
  <c r="BP9" i="11"/>
  <c r="BP40" i="10"/>
  <c r="BP41" i="10" s="1"/>
  <c r="BP42" i="6"/>
  <c r="BP41" i="6"/>
  <c r="BO42" i="10"/>
  <c r="AS9" i="11"/>
  <c r="AS40" i="10"/>
  <c r="AS41" i="10" s="1"/>
  <c r="AS41" i="6"/>
  <c r="AS42" i="6"/>
  <c r="AS43" i="6" s="1"/>
  <c r="CD9" i="11"/>
  <c r="CD40" i="10"/>
  <c r="CD41" i="10" s="1"/>
  <c r="CD42" i="6"/>
  <c r="CD41" i="6"/>
  <c r="BC31" i="10"/>
  <c r="BC33" i="10"/>
  <c r="Y31" i="10"/>
  <c r="Y33" i="10"/>
  <c r="BB6" i="8"/>
  <c r="BB7" i="8" s="1"/>
  <c r="BB13" i="8" s="1"/>
  <c r="BB28" i="6"/>
  <c r="BB29" i="6" s="1"/>
  <c r="BB32" i="11" s="1"/>
  <c r="BB44" i="11" s="1"/>
  <c r="BB36" i="6"/>
  <c r="BB37" i="6" s="1"/>
  <c r="BB16" i="6"/>
  <c r="BB17" i="6" s="1"/>
  <c r="AD42" i="10"/>
  <c r="M33" i="10"/>
  <c r="M31" i="10"/>
  <c r="CC31" i="10"/>
  <c r="CC33" i="10"/>
  <c r="CJ31" i="10"/>
  <c r="CJ33" i="10"/>
  <c r="AR9" i="11"/>
  <c r="AR40" i="10"/>
  <c r="AR41" i="10" s="1"/>
  <c r="AR42" i="6"/>
  <c r="AR43" i="6" s="1"/>
  <c r="AR41" i="6"/>
  <c r="AE31" i="10"/>
  <c r="AE33" i="10"/>
  <c r="AZ9" i="11"/>
  <c r="AZ40" i="10"/>
  <c r="AZ41" i="10" s="1"/>
  <c r="AZ42" i="6"/>
  <c r="AZ41" i="6"/>
  <c r="BT31" i="10"/>
  <c r="BT33" i="10"/>
  <c r="BF9" i="11"/>
  <c r="BF40" i="10"/>
  <c r="BF41" i="10" s="1"/>
  <c r="BF42" i="6"/>
  <c r="BF41" i="6"/>
  <c r="I31" i="10"/>
  <c r="I33" i="10"/>
  <c r="E9" i="11"/>
  <c r="E40" i="10"/>
  <c r="E41" i="10" s="1"/>
  <c r="E41" i="6"/>
  <c r="E6" i="8" s="1"/>
  <c r="E42" i="6"/>
  <c r="BN9" i="11"/>
  <c r="BN40" i="10"/>
  <c r="BN41" i="10" s="1"/>
  <c r="BN42" i="6"/>
  <c r="BN41" i="6"/>
  <c r="AB29" i="10"/>
  <c r="AP9" i="11"/>
  <c r="AP40" i="10"/>
  <c r="AP41" i="10" s="1"/>
  <c r="AP41" i="6"/>
  <c r="AP42" i="6"/>
  <c r="AP43" i="6" s="1"/>
  <c r="CI40" i="10"/>
  <c r="CI41" i="10" s="1"/>
  <c r="CI9" i="11"/>
  <c r="CI42" i="6"/>
  <c r="CI41" i="6"/>
  <c r="BL31" i="10"/>
  <c r="BL33" i="10"/>
  <c r="Q31" i="10"/>
  <c r="Q33" i="10"/>
  <c r="BU9" i="11"/>
  <c r="BU40" i="10"/>
  <c r="BU41" i="10" s="1"/>
  <c r="BU41" i="6"/>
  <c r="BU42" i="6"/>
  <c r="BP31" i="10"/>
  <c r="BP33" i="10"/>
  <c r="BQ9" i="11"/>
  <c r="BQ40" i="10"/>
  <c r="BQ41" i="10" s="1"/>
  <c r="BQ42" i="6"/>
  <c r="BQ41" i="6"/>
  <c r="AL17" i="12"/>
  <c r="AL18" i="12" s="1"/>
  <c r="AL2" i="11"/>
  <c r="AL47" i="10"/>
  <c r="AL48" i="10"/>
  <c r="AL47" i="6"/>
  <c r="AS31" i="10"/>
  <c r="AS33" i="10"/>
  <c r="L9" i="11"/>
  <c r="L40" i="10"/>
  <c r="L41" i="10" s="1"/>
  <c r="L41" i="6"/>
  <c r="L42" i="6"/>
  <c r="L43" i="6" s="1"/>
  <c r="BC42" i="10"/>
  <c r="BG9" i="11"/>
  <c r="BG40" i="10"/>
  <c r="BG41" i="10" s="1"/>
  <c r="BG42" i="6"/>
  <c r="BG41" i="6"/>
  <c r="H31" i="10"/>
  <c r="H33" i="10"/>
  <c r="AG9" i="11"/>
  <c r="AG40" i="10"/>
  <c r="AG41" i="10" s="1"/>
  <c r="AG41" i="6"/>
  <c r="AG42" i="6"/>
  <c r="AG43" i="6" s="1"/>
  <c r="CF9" i="11"/>
  <c r="CF40" i="10"/>
  <c r="CF41" i="10" s="1"/>
  <c r="CF42" i="6"/>
  <c r="CF41" i="6"/>
  <c r="AN42" i="10"/>
  <c r="BZ17" i="12"/>
  <c r="BZ18" i="12" s="1"/>
  <c r="BZ2" i="11"/>
  <c r="BZ47" i="10"/>
  <c r="BZ48" i="10"/>
  <c r="BZ47" i="6"/>
  <c r="AR31" i="10"/>
  <c r="AR33" i="10"/>
  <c r="AQ33" i="10"/>
  <c r="AQ31" i="10"/>
  <c r="AZ31" i="10"/>
  <c r="AZ33" i="10"/>
  <c r="AC9" i="11"/>
  <c r="AC40" i="10"/>
  <c r="AC41" i="10" s="1"/>
  <c r="AC41" i="6"/>
  <c r="AC42" i="6"/>
  <c r="AC43" i="6" s="1"/>
  <c r="BY9" i="11"/>
  <c r="BY40" i="10"/>
  <c r="BY41" i="10" s="1"/>
  <c r="BY42" i="6"/>
  <c r="BY41" i="6"/>
  <c r="E33" i="10"/>
  <c r="E31" i="10"/>
  <c r="BD9" i="11"/>
  <c r="BD40" i="10"/>
  <c r="BD41" i="10" s="1"/>
  <c r="BD42" i="6"/>
  <c r="BD41" i="6"/>
  <c r="CI31" i="10"/>
  <c r="CI33" i="10"/>
  <c r="CB42" i="10"/>
  <c r="AX9" i="11"/>
  <c r="AX40" i="10"/>
  <c r="AX41" i="10" s="1"/>
  <c r="AX41" i="6"/>
  <c r="AX42" i="6"/>
  <c r="AH31" i="10"/>
  <c r="AH33" i="10"/>
  <c r="AT17" i="12"/>
  <c r="AT18" i="12" s="1"/>
  <c r="AT2" i="11"/>
  <c r="AT47" i="10"/>
  <c r="AT48" i="10"/>
  <c r="AT47" i="6"/>
  <c r="BP42" i="10"/>
  <c r="BQ33" i="10"/>
  <c r="BQ31" i="10"/>
  <c r="AL6" i="8"/>
  <c r="AL7" i="8" s="1"/>
  <c r="AL28" i="6"/>
  <c r="AL29" i="6" s="1"/>
  <c r="AL32" i="11" s="1"/>
  <c r="AL44" i="11" s="1"/>
  <c r="AL36" i="6"/>
  <c r="AL37" i="6" s="1"/>
  <c r="AL16" i="6"/>
  <c r="AL17" i="6" s="1"/>
  <c r="AL18" i="6" s="1"/>
  <c r="AY9" i="11"/>
  <c r="AY40" i="10"/>
  <c r="AY41" i="10" s="1"/>
  <c r="AY42" i="6"/>
  <c r="AY41" i="6"/>
  <c r="L31" i="10"/>
  <c r="L33" i="10"/>
  <c r="Z9" i="11"/>
  <c r="Z40" i="10"/>
  <c r="Z41" i="10" s="1"/>
  <c r="Z41" i="6"/>
  <c r="Z42" i="6"/>
  <c r="Z43" i="6" s="1"/>
  <c r="CD42" i="10"/>
  <c r="BG33" i="10"/>
  <c r="BG31" i="10"/>
  <c r="BB17" i="12"/>
  <c r="BB18" i="12" s="1"/>
  <c r="BB2" i="11"/>
  <c r="BB47" i="10"/>
  <c r="BB48" i="10"/>
  <c r="BB47" i="6"/>
  <c r="G40" i="10"/>
  <c r="G41" i="10" s="1"/>
  <c r="G9" i="11"/>
  <c r="G41" i="6"/>
  <c r="G42" i="6"/>
  <c r="G43" i="6" s="1"/>
  <c r="AZ29" i="10"/>
  <c r="N17" i="12"/>
  <c r="N18" i="12" s="1"/>
  <c r="N2" i="11"/>
  <c r="N47" i="10"/>
  <c r="N48" i="10"/>
  <c r="N47" i="6"/>
  <c r="CF42" i="10"/>
  <c r="AN31" i="10"/>
  <c r="AN33" i="10"/>
  <c r="AU9" i="11"/>
  <c r="AU40" i="10"/>
  <c r="AU41" i="10" s="1"/>
  <c r="AU42" i="6"/>
  <c r="AU41" i="6"/>
  <c r="AR42" i="10"/>
  <c r="AA29" i="10"/>
  <c r="S9" i="11"/>
  <c r="S40" i="10"/>
  <c r="S41" i="10" s="1"/>
  <c r="S42" i="6"/>
  <c r="S43" i="6" s="1"/>
  <c r="S41" i="6"/>
  <c r="BT9" i="11"/>
  <c r="BT40" i="10"/>
  <c r="BT41" i="10" s="1"/>
  <c r="BT42" i="6"/>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41" i="6"/>
  <c r="X42" i="6"/>
  <c r="X43" i="6" s="1"/>
  <c r="BQ42" i="10"/>
  <c r="AY33" i="10"/>
  <c r="AY31" i="10"/>
  <c r="CA40" i="10"/>
  <c r="CA41" i="10" s="1"/>
  <c r="CA9" i="11"/>
  <c r="CA42" i="6"/>
  <c r="CA41" i="6"/>
  <c r="CD33" i="10"/>
  <c r="CD31" i="10"/>
  <c r="BG42" i="10"/>
  <c r="V17" i="12"/>
  <c r="V18" i="12" s="1"/>
  <c r="V2" i="11"/>
  <c r="V47" i="10"/>
  <c r="V48" i="10"/>
  <c r="V47" i="6"/>
  <c r="AG31" i="10"/>
  <c r="AG33" i="10"/>
  <c r="CG9" i="11"/>
  <c r="CG40" i="10"/>
  <c r="CG41" i="10" s="1"/>
  <c r="CG42" i="6"/>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1" i="6"/>
  <c r="AU31" i="10"/>
  <c r="AU33" i="10"/>
  <c r="AV29" i="10"/>
  <c r="AD17" i="12"/>
  <c r="AD18" i="12" s="1"/>
  <c r="AD2" i="11"/>
  <c r="AD47" i="10"/>
  <c r="AD48" i="10"/>
  <c r="AD47" i="6"/>
  <c r="S33" i="10"/>
  <c r="S31" i="10"/>
  <c r="AV42" i="10"/>
  <c r="K33" i="10"/>
  <c r="K31" i="10"/>
  <c r="BA9" i="11"/>
  <c r="BA40" i="10"/>
  <c r="BA41" i="10" s="1"/>
  <c r="BA42" i="6"/>
  <c r="BA41" i="6"/>
  <c r="BF42" i="10"/>
  <c r="AV9" i="11"/>
  <c r="AV40" i="10"/>
  <c r="AV41" i="10" s="1"/>
  <c r="AV41" i="6"/>
  <c r="AV42" i="6"/>
  <c r="BY42" i="10"/>
  <c r="BK9" i="11"/>
  <c r="BK40" i="10"/>
  <c r="BK41" i="10" s="1"/>
  <c r="BK42" i="6"/>
  <c r="BK41" i="6"/>
  <c r="BN42" i="10"/>
  <c r="AM9" i="11"/>
  <c r="AM40" i="10"/>
  <c r="AM41" i="10" s="1"/>
  <c r="AM41" i="6"/>
  <c r="AM42" i="6"/>
  <c r="AM43" i="6" s="1"/>
  <c r="AP42" i="10"/>
  <c r="BM9" i="11"/>
  <c r="BM40" i="10"/>
  <c r="BM41" i="10" s="1"/>
  <c r="BM41" i="6"/>
  <c r="BM42" i="6"/>
  <c r="BD42" i="10"/>
  <c r="CE9" i="11"/>
  <c r="CE40" i="10"/>
  <c r="CE41" i="10" s="1"/>
  <c r="CE42" i="6"/>
  <c r="CE41" i="6"/>
  <c r="B41" i="6"/>
  <c r="B42" i="6"/>
  <c r="B39" i="6"/>
  <c r="AX33" i="10"/>
  <c r="AX31" i="10"/>
  <c r="BU42" i="10"/>
  <c r="BV9" i="11"/>
  <c r="BV40" i="10"/>
  <c r="BV41" i="10" s="1"/>
  <c r="BV42" i="6"/>
  <c r="BV41" i="6"/>
  <c r="AY42" i="10"/>
  <c r="Y29" i="10"/>
  <c r="CA31" i="10"/>
  <c r="CA33" i="10"/>
  <c r="Z33" i="10"/>
  <c r="Z31" i="10"/>
  <c r="BI9" i="11"/>
  <c r="BI40" i="10"/>
  <c r="BI41" i="10" s="1"/>
  <c r="BI42" i="6"/>
  <c r="BI41" i="6"/>
  <c r="V6" i="8"/>
  <c r="V7" i="8" s="1"/>
  <c r="V28" i="6"/>
  <c r="V29" i="6" s="1"/>
  <c r="V32" i="11" s="1"/>
  <c r="V44" i="11" s="1"/>
  <c r="V36" i="6"/>
  <c r="V37" i="6" s="1"/>
  <c r="V16" i="6"/>
  <c r="V17" i="6" s="1"/>
  <c r="V18" i="6" s="1"/>
  <c r="AK9" i="11"/>
  <c r="AK40" i="10"/>
  <c r="AK41" i="10" s="1"/>
  <c r="AK41" i="6"/>
  <c r="AK42" i="6"/>
  <c r="AK43" i="6" s="1"/>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AD18" i="6" s="1"/>
  <c r="BA42" i="10"/>
  <c r="BR7" i="8"/>
  <c r="BR13" i="8" s="1"/>
  <c r="AT7" i="8"/>
  <c r="AT13" i="8" s="1"/>
  <c r="BA31" i="10"/>
  <c r="BA33" i="10"/>
  <c r="AQ9" i="11"/>
  <c r="AQ40" i="10"/>
  <c r="AQ41" i="10" s="1"/>
  <c r="AQ42" i="6"/>
  <c r="AQ43" i="6" s="1"/>
  <c r="AQ41" i="6"/>
  <c r="BS40" i="10"/>
  <c r="BS41" i="10" s="1"/>
  <c r="BS9" i="11"/>
  <c r="BS42" i="6"/>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13" i="8" s="1"/>
  <c r="BJ28" i="6"/>
  <c r="BJ29" i="6" s="1"/>
  <c r="BJ32" i="11" s="1"/>
  <c r="BJ44" i="11" s="1"/>
  <c r="BJ36" i="6"/>
  <c r="BJ37" i="6" s="1"/>
  <c r="BJ16" i="6"/>
  <c r="BJ17" i="6" s="1"/>
  <c r="AB9" i="11"/>
  <c r="AB40" i="10"/>
  <c r="AB41" i="10" s="1"/>
  <c r="AB41" i="6"/>
  <c r="AB42" i="6"/>
  <c r="AB43" i="6" s="1"/>
  <c r="AX42" i="10"/>
  <c r="T9" i="11"/>
  <c r="T40" i="10"/>
  <c r="T41" i="10" s="1"/>
  <c r="T41" i="6"/>
  <c r="T42" i="6"/>
  <c r="T43" i="6" s="1"/>
  <c r="AF9" i="11"/>
  <c r="AF40" i="10"/>
  <c r="AF41" i="10" s="1"/>
  <c r="AF41" i="6"/>
  <c r="AF42" i="6"/>
  <c r="AF43" i="6" s="1"/>
  <c r="BW9" i="11"/>
  <c r="BW40" i="10"/>
  <c r="BW41" i="10" s="1"/>
  <c r="BW42" i="6"/>
  <c r="BW41" i="6"/>
  <c r="X42" i="10"/>
  <c r="CA42" i="10"/>
  <c r="Z42" i="10"/>
  <c r="BI31" i="10"/>
  <c r="BI33" i="10"/>
  <c r="AK33" i="10"/>
  <c r="AK31" i="10"/>
  <c r="CG42" i="10"/>
  <c r="F17" i="12"/>
  <c r="F18" i="12" s="1"/>
  <c r="F2" i="11"/>
  <c r="F47" i="10"/>
  <c r="F48" i="10"/>
  <c r="F47" i="6"/>
  <c r="AW9" i="11"/>
  <c r="AW40" i="10"/>
  <c r="AW41" i="10" s="1"/>
  <c r="AW41" i="6"/>
  <c r="AW42" i="6"/>
  <c r="AO31" i="10"/>
  <c r="AO33" i="10"/>
  <c r="CC9" i="11"/>
  <c r="CC40" i="10"/>
  <c r="CC41" i="10" s="1"/>
  <c r="CC41" i="6"/>
  <c r="CC42" i="6"/>
  <c r="CJ9" i="11"/>
  <c r="CJ40" i="10"/>
  <c r="CJ41" i="10" s="1"/>
  <c r="CJ42" i="6"/>
  <c r="CJ41" i="6"/>
  <c r="BH42" i="10"/>
  <c r="CH42" i="10"/>
  <c r="W40" i="10"/>
  <c r="W41" i="10" s="1"/>
  <c r="W9" i="11"/>
  <c r="W41" i="6"/>
  <c r="W42" i="6"/>
  <c r="W43" i="6" s="1"/>
  <c r="BJ7" i="11"/>
  <c r="BJ10" i="11"/>
  <c r="BJ11" i="11" s="1"/>
  <c r="BJ8" i="11"/>
  <c r="BJ9" i="9"/>
  <c r="BJ10" i="8"/>
  <c r="U7" i="11"/>
  <c r="U10" i="11"/>
  <c r="U8" i="11"/>
  <c r="U9" i="9"/>
  <c r="U10" i="8"/>
  <c r="CB10" i="11"/>
  <c r="CB11" i="11" s="1"/>
  <c r="CB8" i="11"/>
  <c r="CB7" i="11"/>
  <c r="CB9" i="9"/>
  <c r="AF10" i="11"/>
  <c r="AF8" i="11"/>
  <c r="AF7" i="11"/>
  <c r="AF9" i="9"/>
  <c r="AF10" i="8"/>
  <c r="AQ10" i="11"/>
  <c r="AQ8" i="11"/>
  <c r="AQ7" i="11"/>
  <c r="AQ9" i="9"/>
  <c r="AQ10" i="8"/>
  <c r="BE10" i="11"/>
  <c r="BE11" i="11" s="1"/>
  <c r="BE8" i="11"/>
  <c r="BE7" i="11"/>
  <c r="BE9" i="9"/>
  <c r="BE10" i="8"/>
  <c r="S10" i="11"/>
  <c r="S8" i="11"/>
  <c r="S9" i="9"/>
  <c r="S7" i="11"/>
  <c r="S10" i="8"/>
  <c r="M7" i="11"/>
  <c r="M10" i="11"/>
  <c r="M9" i="9"/>
  <c r="M8" i="11"/>
  <c r="M10" i="8"/>
  <c r="CG7" i="11"/>
  <c r="CG10" i="11"/>
  <c r="CG11" i="11" s="1"/>
  <c r="CG8" i="11"/>
  <c r="CG9" i="9"/>
  <c r="BX7" i="11"/>
  <c r="BX10" i="11"/>
  <c r="BX11" i="11" s="1"/>
  <c r="BX8" i="11"/>
  <c r="BX9" i="9"/>
  <c r="N10" i="11"/>
  <c r="N11" i="11" s="1"/>
  <c r="N8" i="11"/>
  <c r="N7" i="11"/>
  <c r="N9" i="9"/>
  <c r="N10" i="8"/>
  <c r="AO10" i="11"/>
  <c r="AO8" i="11"/>
  <c r="AO7" i="11"/>
  <c r="AO9" i="9"/>
  <c r="AO10" i="8"/>
  <c r="F10" i="1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AD13" i="8" s="1"/>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AL13" i="8" s="1"/>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8" i="11"/>
  <c r="J7" i="11"/>
  <c r="J9" i="9"/>
  <c r="J10" i="8"/>
  <c r="Q10" i="11"/>
  <c r="Q8" i="11"/>
  <c r="Q7" i="11"/>
  <c r="Q9" i="9"/>
  <c r="Q10" i="8"/>
  <c r="AX10" i="11"/>
  <c r="AX11" i="11" s="1"/>
  <c r="AX8" i="11"/>
  <c r="AX7" i="11"/>
  <c r="AX9" i="9"/>
  <c r="AX10" i="8"/>
  <c r="H10" i="11"/>
  <c r="H8" i="11"/>
  <c r="H7" i="11"/>
  <c r="H9" i="9"/>
  <c r="H45" i="9" s="1"/>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F42" i="10" l="1"/>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N46" i="9"/>
  <c r="N43" i="9"/>
  <c r="N40" i="9"/>
  <c r="N42" i="9"/>
  <c r="N39" i="9"/>
  <c r="N44" i="9"/>
  <c r="N41" i="9"/>
  <c r="N45" i="9"/>
  <c r="E45" i="9"/>
  <c r="L46" i="9"/>
  <c r="L42" i="9"/>
  <c r="L40" i="9"/>
  <c r="L43" i="9"/>
  <c r="L39" i="9"/>
  <c r="L44" i="9"/>
  <c r="L41" i="9"/>
  <c r="L45" i="9"/>
  <c r="F45" i="9"/>
  <c r="I41" i="13"/>
  <c r="J39" i="13"/>
  <c r="H11" i="11"/>
  <c r="M11" i="11"/>
  <c r="F13" i="8"/>
  <c r="AJ11" i="11"/>
  <c r="AO11" i="11"/>
  <c r="AQ11" i="11"/>
  <c r="Q11" i="11"/>
  <c r="E64" i="13"/>
  <c r="M43" i="6"/>
  <c r="M48" i="10" s="1"/>
  <c r="E65" i="13"/>
  <c r="I43" i="6"/>
  <c r="E66" i="13"/>
  <c r="E43" i="6"/>
  <c r="E48" i="10" s="1"/>
  <c r="N13" i="8"/>
  <c r="V13" i="8"/>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14" i="11" s="1"/>
  <c r="F4" i="11"/>
  <c r="AF6" i="8"/>
  <c r="AF7" i="8" s="1"/>
  <c r="AF13" i="8" s="1"/>
  <c r="AF28" i="6"/>
  <c r="AF29" i="6" s="1"/>
  <c r="AF32" i="11" s="1"/>
  <c r="AF44" i="11" s="1"/>
  <c r="AF36" i="6"/>
  <c r="AF37" i="6" s="1"/>
  <c r="AF16" i="6"/>
  <c r="AF17" i="6" s="1"/>
  <c r="AF18" i="6" s="1"/>
  <c r="AA6" i="8"/>
  <c r="AA7" i="8" s="1"/>
  <c r="AA13" i="8" s="1"/>
  <c r="AA36" i="6"/>
  <c r="AA37" i="6" s="1"/>
  <c r="AA28" i="6"/>
  <c r="AA29" i="6" s="1"/>
  <c r="AA32" i="11" s="1"/>
  <c r="AA44" i="11" s="1"/>
  <c r="AA16" i="6"/>
  <c r="AA17" i="6" s="1"/>
  <c r="AA18" i="6" s="1"/>
  <c r="BS6" i="8"/>
  <c r="BS7" i="8" s="1"/>
  <c r="BS13" i="8" s="1"/>
  <c r="BS28" i="6"/>
  <c r="BS29" i="6" s="1"/>
  <c r="BS32" i="11" s="1"/>
  <c r="BS44" i="11" s="1"/>
  <c r="BS36" i="6"/>
  <c r="BS37" i="6" s="1"/>
  <c r="BS16" i="6"/>
  <c r="BS17" i="6" s="1"/>
  <c r="AK17" i="12"/>
  <c r="AK18" i="12" s="1"/>
  <c r="AK2" i="11"/>
  <c r="AK47" i="10"/>
  <c r="AK48" i="10"/>
  <c r="AK47" i="6"/>
  <c r="CE36" i="6"/>
  <c r="CE37" i="6" s="1"/>
  <c r="CE28" i="6"/>
  <c r="CE29" i="6" s="1"/>
  <c r="CE32" i="11" s="1"/>
  <c r="CE44" i="11" s="1"/>
  <c r="CE16" i="6"/>
  <c r="CE17" i="6" s="1"/>
  <c r="BM6" i="8"/>
  <c r="BM7" i="8" s="1"/>
  <c r="BM13" i="8" s="1"/>
  <c r="BM36" i="6"/>
  <c r="BM37" i="6" s="1"/>
  <c r="BM28" i="6"/>
  <c r="BM29" i="6" s="1"/>
  <c r="BM32" i="11" s="1"/>
  <c r="BM44" i="11" s="1"/>
  <c r="BM16" i="6"/>
  <c r="BM17" i="6" s="1"/>
  <c r="AO17" i="12"/>
  <c r="AO18" i="12" s="1"/>
  <c r="AO2" i="11"/>
  <c r="AO47" i="10"/>
  <c r="AO47" i="6"/>
  <c r="AO48" i="10"/>
  <c r="CG17" i="12"/>
  <c r="CG18" i="12" s="1"/>
  <c r="CG2" i="11"/>
  <c r="CG47" i="10"/>
  <c r="CG49" i="10" s="1"/>
  <c r="CG48" i="10"/>
  <c r="CG47" i="6"/>
  <c r="V13" i="11"/>
  <c r="V12" i="11"/>
  <c r="V14" i="11" s="1"/>
  <c r="V4" i="11"/>
  <c r="CA17" i="12"/>
  <c r="CA18" i="12" s="1"/>
  <c r="CA2" i="11"/>
  <c r="CA47" i="10"/>
  <c r="CA48" i="10"/>
  <c r="CA47" i="6"/>
  <c r="K36" i="6"/>
  <c r="K37" i="6" s="1"/>
  <c r="K6" i="8"/>
  <c r="K7" i="8" s="1"/>
  <c r="K13" i="8" s="1"/>
  <c r="K28" i="6"/>
  <c r="K29" i="6" s="1"/>
  <c r="K32" i="11" s="1"/>
  <c r="K44" i="11" s="1"/>
  <c r="K16" i="6"/>
  <c r="K17" i="6" s="1"/>
  <c r="K18" i="6" s="1"/>
  <c r="S17" i="12"/>
  <c r="S18" i="12" s="1"/>
  <c r="S2" i="11"/>
  <c r="S47" i="10"/>
  <c r="S47" i="6"/>
  <c r="S48" i="10"/>
  <c r="N13" i="11"/>
  <c r="N12" i="11"/>
  <c r="N14" i="11" s="1"/>
  <c r="N4" i="11"/>
  <c r="BB5" i="11"/>
  <c r="BB50" i="10"/>
  <c r="AY36" i="6"/>
  <c r="AY37" i="6" s="1"/>
  <c r="AY28" i="6"/>
  <c r="AY29" i="6" s="1"/>
  <c r="AY32" i="11" s="1"/>
  <c r="AY44" i="11" s="1"/>
  <c r="AY6" i="8"/>
  <c r="AY7" i="8" s="1"/>
  <c r="AY13" i="8" s="1"/>
  <c r="AY16" i="6"/>
  <c r="AY17" i="6" s="1"/>
  <c r="CF36" i="6"/>
  <c r="CF37" i="6" s="1"/>
  <c r="CF28" i="6"/>
  <c r="CF29" i="6" s="1"/>
  <c r="CF32" i="11" s="1"/>
  <c r="CF44" i="11" s="1"/>
  <c r="CF16" i="6"/>
  <c r="CF17" i="6" s="1"/>
  <c r="AG17" i="12"/>
  <c r="AG18" i="12" s="1"/>
  <c r="AG2" i="11"/>
  <c r="AG47" i="10"/>
  <c r="AG47" i="6"/>
  <c r="AG48" i="10"/>
  <c r="BG17" i="12"/>
  <c r="BG18" i="12" s="1"/>
  <c r="BG2" i="11"/>
  <c r="BG47" i="10"/>
  <c r="BG48" i="10"/>
  <c r="BG47" i="6"/>
  <c r="BQ6" i="8"/>
  <c r="BQ7" i="8" s="1"/>
  <c r="BQ13" i="8" s="1"/>
  <c r="BQ36" i="6"/>
  <c r="BQ37" i="6" s="1"/>
  <c r="BQ28" i="6"/>
  <c r="BQ29" i="6" s="1"/>
  <c r="BQ32" i="11" s="1"/>
  <c r="BQ44" i="11" s="1"/>
  <c r="BQ16" i="6"/>
  <c r="BQ17" i="6" s="1"/>
  <c r="BU17" i="12"/>
  <c r="BU18" i="12" s="1"/>
  <c r="BU2" i="11"/>
  <c r="BU47" i="10"/>
  <c r="BU47" i="6"/>
  <c r="BU48" i="10"/>
  <c r="AP17" i="12"/>
  <c r="AP18" i="12" s="1"/>
  <c r="AP2" i="11"/>
  <c r="AP47" i="10"/>
  <c r="AP49" i="10" s="1"/>
  <c r="AP47" i="6"/>
  <c r="AP48" i="10"/>
  <c r="CD36" i="6"/>
  <c r="CD37" i="6" s="1"/>
  <c r="CD28" i="6"/>
  <c r="CD29" i="6" s="1"/>
  <c r="CD32" i="11" s="1"/>
  <c r="CD44" i="11" s="1"/>
  <c r="CD16" i="6"/>
  <c r="CD17"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13" i="8" s="1"/>
  <c r="AK36" i="6"/>
  <c r="AK37" i="6" s="1"/>
  <c r="AK28" i="6"/>
  <c r="AK29" i="6" s="1"/>
  <c r="AK32" i="11" s="1"/>
  <c r="AK44" i="11" s="1"/>
  <c r="AK16" i="6"/>
  <c r="AK17" i="6" s="1"/>
  <c r="AK18" i="6" s="1"/>
  <c r="AV17" i="12"/>
  <c r="AV18" i="12" s="1"/>
  <c r="AV2" i="11"/>
  <c r="AV47" i="10"/>
  <c r="AV48" i="10"/>
  <c r="AV47" i="6"/>
  <c r="BA17" i="12"/>
  <c r="BA18" i="12" s="1"/>
  <c r="BA2" i="11"/>
  <c r="BA47" i="10"/>
  <c r="BA49" i="10" s="1"/>
  <c r="BA48" i="10"/>
  <c r="BA47" i="6"/>
  <c r="AO6" i="8"/>
  <c r="AO7" i="8" s="1"/>
  <c r="AO13" i="8" s="1"/>
  <c r="AO36" i="6"/>
  <c r="AO37" i="6" s="1"/>
  <c r="AO28" i="6"/>
  <c r="AO29" i="6" s="1"/>
  <c r="AO32" i="11" s="1"/>
  <c r="AO44" i="11" s="1"/>
  <c r="AO16" i="6"/>
  <c r="AO17" i="6" s="1"/>
  <c r="AO18" i="6" s="1"/>
  <c r="BT6" i="8"/>
  <c r="BT7" i="8" s="1"/>
  <c r="BT13" i="8" s="1"/>
  <c r="BT28" i="6"/>
  <c r="BT29" i="6" s="1"/>
  <c r="BT32" i="11" s="1"/>
  <c r="BT44" i="11" s="1"/>
  <c r="BT36" i="6"/>
  <c r="BT37" i="6" s="1"/>
  <c r="BT16" i="6"/>
  <c r="BT17" i="6" s="1"/>
  <c r="Z17" i="12"/>
  <c r="Z18" i="12" s="1"/>
  <c r="Z2" i="11"/>
  <c r="Z47" i="10"/>
  <c r="Z49" i="10" s="1"/>
  <c r="Z47" i="6"/>
  <c r="Z48" i="10"/>
  <c r="AC17" i="12"/>
  <c r="AC18" i="12" s="1"/>
  <c r="AC2" i="11"/>
  <c r="AC47" i="10"/>
  <c r="AC48" i="10"/>
  <c r="AC47" i="6"/>
  <c r="AG6" i="8"/>
  <c r="AG7" i="8" s="1"/>
  <c r="AG13" i="8" s="1"/>
  <c r="AG36" i="6"/>
  <c r="AG37" i="6" s="1"/>
  <c r="AG28" i="6"/>
  <c r="AG29" i="6" s="1"/>
  <c r="AG32" i="11" s="1"/>
  <c r="AG44" i="11" s="1"/>
  <c r="AG16" i="6"/>
  <c r="AG17" i="6" s="1"/>
  <c r="AG18" i="6" s="1"/>
  <c r="BU6" i="8"/>
  <c r="BU7" i="8" s="1"/>
  <c r="BU13" i="8" s="1"/>
  <c r="BU36" i="6"/>
  <c r="BU37" i="6" s="1"/>
  <c r="BU28" i="6"/>
  <c r="BU29" i="6" s="1"/>
  <c r="BU32" i="11" s="1"/>
  <c r="BU44" i="11" s="1"/>
  <c r="BU16" i="6"/>
  <c r="BU17" i="6" s="1"/>
  <c r="CI28" i="6"/>
  <c r="CI29" i="6" s="1"/>
  <c r="CI32" i="11" s="1"/>
  <c r="CI44" i="11" s="1"/>
  <c r="CI36" i="6"/>
  <c r="CI37" i="6" s="1"/>
  <c r="CI16" i="6"/>
  <c r="CI17" i="6" s="1"/>
  <c r="AP6" i="8"/>
  <c r="AP7" i="8" s="1"/>
  <c r="AP13" i="8" s="1"/>
  <c r="AP36" i="6"/>
  <c r="AP37" i="6" s="1"/>
  <c r="AP28" i="6"/>
  <c r="AP29" i="6" s="1"/>
  <c r="AP32" i="11" s="1"/>
  <c r="AP44" i="11" s="1"/>
  <c r="AP16" i="6"/>
  <c r="AP17" i="6" s="1"/>
  <c r="AP18" i="6" s="1"/>
  <c r="AZ6" i="8"/>
  <c r="AZ7" i="8" s="1"/>
  <c r="AZ13" i="8" s="1"/>
  <c r="AZ36" i="6"/>
  <c r="AZ37" i="6" s="1"/>
  <c r="AZ28" i="6"/>
  <c r="AZ29" i="6" s="1"/>
  <c r="AZ32" i="11" s="1"/>
  <c r="AZ44" i="11" s="1"/>
  <c r="AZ16" i="6"/>
  <c r="AZ17" i="6" s="1"/>
  <c r="AR6" i="8"/>
  <c r="AR7" i="8" s="1"/>
  <c r="AR13" i="8" s="1"/>
  <c r="AR36" i="6"/>
  <c r="AR37" i="6" s="1"/>
  <c r="AR28" i="6"/>
  <c r="AR29" i="6" s="1"/>
  <c r="AR32" i="11" s="1"/>
  <c r="AR44" i="11" s="1"/>
  <c r="AR16" i="6"/>
  <c r="AR17" i="6" s="1"/>
  <c r="AR18" i="6" s="1"/>
  <c r="CD17" i="12"/>
  <c r="CD18" i="12" s="1"/>
  <c r="CD2" i="11"/>
  <c r="CD47" i="10"/>
  <c r="CD49" i="10" s="1"/>
  <c r="CD47" i="6"/>
  <c r="CD48" i="10"/>
  <c r="AN6" i="8"/>
  <c r="AN7" i="8" s="1"/>
  <c r="AN13" i="8" s="1"/>
  <c r="AN28" i="6"/>
  <c r="AN29" i="6" s="1"/>
  <c r="AN32" i="11" s="1"/>
  <c r="AN44" i="11" s="1"/>
  <c r="AN36" i="6"/>
  <c r="AN37" i="6" s="1"/>
  <c r="AN16" i="6"/>
  <c r="AN17" i="6" s="1"/>
  <c r="AN18" i="6" s="1"/>
  <c r="M17" i="12"/>
  <c r="M18" i="12" s="1"/>
  <c r="M2" i="11"/>
  <c r="M47" i="10"/>
  <c r="M47" i="6"/>
  <c r="H6" i="8"/>
  <c r="H7" i="8" s="1"/>
  <c r="H13" i="8" s="1"/>
  <c r="H28" i="6"/>
  <c r="H29" i="6" s="1"/>
  <c r="H32" i="11" s="1"/>
  <c r="H44" i="11" s="1"/>
  <c r="H36" i="6"/>
  <c r="H37" i="6" s="1"/>
  <c r="H16" i="6"/>
  <c r="H17" i="6" s="1"/>
  <c r="H18" i="6" s="1"/>
  <c r="BO36" i="6"/>
  <c r="BO37" i="6" s="1"/>
  <c r="BO6" i="8"/>
  <c r="BO7" i="8" s="1"/>
  <c r="BO13" i="8" s="1"/>
  <c r="BO28" i="6"/>
  <c r="BO29" i="6" s="1"/>
  <c r="BO32" i="11" s="1"/>
  <c r="BO44" i="11" s="1"/>
  <c r="BO16" i="6"/>
  <c r="BO17" i="6" s="1"/>
  <c r="AJ6" i="8"/>
  <c r="AJ7" i="8" s="1"/>
  <c r="AJ13" i="8" s="1"/>
  <c r="AJ36" i="6"/>
  <c r="AJ37" i="6" s="1"/>
  <c r="AJ28" i="6"/>
  <c r="AJ29" i="6" s="1"/>
  <c r="AJ32" i="11" s="1"/>
  <c r="AJ44" i="11" s="1"/>
  <c r="AJ16" i="6"/>
  <c r="AJ17" i="6" s="1"/>
  <c r="AJ18" i="6" s="1"/>
  <c r="AM42" i="10"/>
  <c r="BX17" i="12"/>
  <c r="BX18" i="12" s="1"/>
  <c r="BX2" i="11"/>
  <c r="BX47" i="10"/>
  <c r="BX48" i="10"/>
  <c r="BX47" i="6"/>
  <c r="W11" i="11"/>
  <c r="CC17" i="12"/>
  <c r="CC18" i="12" s="1"/>
  <c r="CC2" i="11"/>
  <c r="CC47" i="10"/>
  <c r="CC49" i="10" s="1"/>
  <c r="CC47" i="6"/>
  <c r="CC48" i="10"/>
  <c r="AW6" i="8"/>
  <c r="AW7" i="8" s="1"/>
  <c r="AW13" i="8" s="1"/>
  <c r="AW36" i="6"/>
  <c r="AW37" i="6" s="1"/>
  <c r="AW28" i="6"/>
  <c r="AW29" i="6" s="1"/>
  <c r="AW32" i="11" s="1"/>
  <c r="AW44" i="11" s="1"/>
  <c r="AW16" i="6"/>
  <c r="AW17" i="6" s="1"/>
  <c r="BW36" i="6"/>
  <c r="BW37" i="6" s="1"/>
  <c r="BW28" i="6"/>
  <c r="BW29" i="6" s="1"/>
  <c r="BW32" i="11" s="1"/>
  <c r="BW44" i="11" s="1"/>
  <c r="BW16" i="6"/>
  <c r="BW17" i="6" s="1"/>
  <c r="AB17" i="12"/>
  <c r="AB18" i="12" s="1"/>
  <c r="AB2" i="11"/>
  <c r="AB47" i="10"/>
  <c r="AB48" i="10"/>
  <c r="AB47" i="6"/>
  <c r="AA17" i="12"/>
  <c r="AA18" i="12" s="1"/>
  <c r="AA2" i="11"/>
  <c r="AA47" i="10"/>
  <c r="AA48" i="10"/>
  <c r="AA47" i="6"/>
  <c r="R17" i="12"/>
  <c r="R18" i="12" s="1"/>
  <c r="R2" i="11"/>
  <c r="R47" i="10"/>
  <c r="R49" i="10" s="1"/>
  <c r="R47" i="6"/>
  <c r="R48" i="10"/>
  <c r="BS17" i="12"/>
  <c r="BS18" i="12" s="1"/>
  <c r="BS2" i="11"/>
  <c r="BS47" i="10"/>
  <c r="BS48" i="10"/>
  <c r="BS47" i="6"/>
  <c r="D43" i="6"/>
  <c r="D47" i="6"/>
  <c r="BI6" i="8"/>
  <c r="BI7" i="8" s="1"/>
  <c r="BI13" i="8" s="1"/>
  <c r="BI36" i="6"/>
  <c r="BI37" i="6" s="1"/>
  <c r="BI28" i="6"/>
  <c r="BI29" i="6" s="1"/>
  <c r="BI32" i="11" s="1"/>
  <c r="BI44" i="11" s="1"/>
  <c r="BI16" i="6"/>
  <c r="BI17" i="6" s="1"/>
  <c r="CE17" i="12"/>
  <c r="CE18" i="12" s="1"/>
  <c r="CE2" i="11"/>
  <c r="CE47" i="10"/>
  <c r="CE47" i="6"/>
  <c r="CE48" i="10"/>
  <c r="BK6" i="8"/>
  <c r="BK7" i="8" s="1"/>
  <c r="BK13" i="8" s="1"/>
  <c r="BK28" i="6"/>
  <c r="BK29" i="6" s="1"/>
  <c r="BK32" i="11" s="1"/>
  <c r="BK44" i="11" s="1"/>
  <c r="BK36" i="6"/>
  <c r="BK37" i="6" s="1"/>
  <c r="BK16" i="6"/>
  <c r="BK17" i="6" s="1"/>
  <c r="AV6" i="8"/>
  <c r="AV7" i="8" s="1"/>
  <c r="AV13" i="8" s="1"/>
  <c r="AV28" i="6"/>
  <c r="AV29" i="6" s="1"/>
  <c r="AV32" i="11" s="1"/>
  <c r="AV44" i="11" s="1"/>
  <c r="AV36" i="6"/>
  <c r="AV37" i="6" s="1"/>
  <c r="AV16" i="6"/>
  <c r="AV17" i="6" s="1"/>
  <c r="K17" i="12"/>
  <c r="K18" i="12" s="1"/>
  <c r="K2" i="11"/>
  <c r="K47" i="10"/>
  <c r="K47" i="6"/>
  <c r="K48" i="10"/>
  <c r="Z6" i="8"/>
  <c r="Z7" i="8" s="1"/>
  <c r="Z13" i="8" s="1"/>
  <c r="Z36" i="6"/>
  <c r="Z37" i="6" s="1"/>
  <c r="Z28" i="6"/>
  <c r="Z29" i="6" s="1"/>
  <c r="Z32" i="11" s="1"/>
  <c r="Z44" i="11" s="1"/>
  <c r="Z16" i="6"/>
  <c r="Z17" i="6" s="1"/>
  <c r="Z18" i="6" s="1"/>
  <c r="AY17" i="12"/>
  <c r="AY18" i="12" s="1"/>
  <c r="AY2" i="11"/>
  <c r="AY47" i="10"/>
  <c r="AY49" i="10" s="1"/>
  <c r="AY47" i="6"/>
  <c r="AY48" i="10"/>
  <c r="AC6" i="8"/>
  <c r="AC7" i="8" s="1"/>
  <c r="AC13"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13" i="8" s="1"/>
  <c r="BP36" i="6"/>
  <c r="BP37" i="6" s="1"/>
  <c r="BP28" i="6"/>
  <c r="BP29" i="6" s="1"/>
  <c r="BP32" i="11" s="1"/>
  <c r="BP44" i="11" s="1"/>
  <c r="BP16" i="6"/>
  <c r="BP17" i="6" s="1"/>
  <c r="AH17" i="12"/>
  <c r="AH18" i="12" s="1"/>
  <c r="AH2" i="11"/>
  <c r="AH47" i="10"/>
  <c r="AH49" i="10" s="1"/>
  <c r="AH47" i="6"/>
  <c r="AH48" i="10"/>
  <c r="BR13" i="11"/>
  <c r="BR12" i="11"/>
  <c r="BR4" i="11"/>
  <c r="CH13" i="11"/>
  <c r="CH12" i="11"/>
  <c r="CH4" i="11"/>
  <c r="M6" i="8"/>
  <c r="M7" i="8" s="1"/>
  <c r="M13" i="8" s="1"/>
  <c r="M36" i="6"/>
  <c r="M37" i="6" s="1"/>
  <c r="M28" i="6"/>
  <c r="M29" i="6" s="1"/>
  <c r="M32" i="11" s="1"/>
  <c r="M44" i="11" s="1"/>
  <c r="M16" i="6"/>
  <c r="M17" i="6" s="1"/>
  <c r="M18" i="6" s="1"/>
  <c r="Q17" i="12"/>
  <c r="Q18" i="12" s="1"/>
  <c r="Q2" i="11"/>
  <c r="Q47" i="10"/>
  <c r="Q47" i="6"/>
  <c r="Q48" i="10"/>
  <c r="BJ13" i="11"/>
  <c r="BJ12" i="11"/>
  <c r="BJ4" i="11"/>
  <c r="AK42" i="10"/>
  <c r="BO17" i="12"/>
  <c r="BO18" i="12" s="1"/>
  <c r="BO2" i="11"/>
  <c r="BO47" i="10"/>
  <c r="BO49" i="10" s="1"/>
  <c r="BO48" i="10"/>
  <c r="BO47" i="6"/>
  <c r="CH15" i="12"/>
  <c r="CH16" i="12" s="1"/>
  <c r="CH23" i="10"/>
  <c r="CH24" i="10" s="1"/>
  <c r="CH33" i="6"/>
  <c r="CC36" i="6"/>
  <c r="CC37" i="6" s="1"/>
  <c r="CC28" i="6"/>
  <c r="CC29" i="6" s="1"/>
  <c r="CC32" i="11" s="1"/>
  <c r="CC44" i="11" s="1"/>
  <c r="CC16" i="6"/>
  <c r="CC17" i="6" s="1"/>
  <c r="AB6" i="8"/>
  <c r="AB7" i="8" s="1"/>
  <c r="AB13" i="8" s="1"/>
  <c r="AB36" i="6"/>
  <c r="AB37" i="6" s="1"/>
  <c r="AB28" i="6"/>
  <c r="AB29" i="6" s="1"/>
  <c r="AB32" i="11" s="1"/>
  <c r="AB44" i="11" s="1"/>
  <c r="AB16" i="6"/>
  <c r="AB17" i="6" s="1"/>
  <c r="AB18" i="6" s="1"/>
  <c r="R6" i="8"/>
  <c r="R7" i="8" s="1"/>
  <c r="R13"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P17" i="12"/>
  <c r="P18" i="12" s="1"/>
  <c r="P2" i="11"/>
  <c r="P47" i="10"/>
  <c r="P48" i="10"/>
  <c r="P47" i="6"/>
  <c r="BT17" i="12"/>
  <c r="BT18" i="12" s="1"/>
  <c r="BT2" i="11"/>
  <c r="BT47" i="10"/>
  <c r="BT49" i="10" s="1"/>
  <c r="BT48" i="10"/>
  <c r="BT47" i="6"/>
  <c r="G17" i="12"/>
  <c r="G18" i="12" s="1"/>
  <c r="G2" i="11"/>
  <c r="G47" i="10"/>
  <c r="G48" i="10"/>
  <c r="G47" i="6"/>
  <c r="BB13" i="11"/>
  <c r="BB12" i="11"/>
  <c r="BB4" i="11"/>
  <c r="BY36" i="6"/>
  <c r="BY37" i="6" s="1"/>
  <c r="BY28" i="6"/>
  <c r="BY29" i="6" s="1"/>
  <c r="BY32" i="11" s="1"/>
  <c r="BY44" i="11" s="1"/>
  <c r="BY16" i="6"/>
  <c r="BY17" i="6" s="1"/>
  <c r="AL5" i="11"/>
  <c r="AL50" i="10"/>
  <c r="CI17" i="12"/>
  <c r="CI18" i="12" s="1"/>
  <c r="CI2" i="11"/>
  <c r="CI47" i="10"/>
  <c r="CI49" i="10" s="1"/>
  <c r="CI48" i="10"/>
  <c r="CI47" i="6"/>
  <c r="E7" i="8"/>
  <c r="E13" i="8" s="1"/>
  <c r="E36" i="6"/>
  <c r="E37" i="6" s="1"/>
  <c r="E28" i="6"/>
  <c r="E29" i="6" s="1"/>
  <c r="E32" i="11" s="1"/>
  <c r="E44" i="11" s="1"/>
  <c r="E16" i="6"/>
  <c r="E17" i="6" s="1"/>
  <c r="E18" i="6" s="1"/>
  <c r="BF6" i="8"/>
  <c r="BF7" i="8" s="1"/>
  <c r="BF13" i="8" s="1"/>
  <c r="BF36" i="6"/>
  <c r="BF37" i="6" s="1"/>
  <c r="BF28" i="6"/>
  <c r="BF29" i="6" s="1"/>
  <c r="BF32" i="11" s="1"/>
  <c r="BF44" i="11" s="1"/>
  <c r="BF16" i="6"/>
  <c r="BF17" i="6" s="1"/>
  <c r="AZ17" i="12"/>
  <c r="AZ18" i="12" s="1"/>
  <c r="AZ2" i="11"/>
  <c r="AZ47" i="10"/>
  <c r="AZ48" i="10"/>
  <c r="AZ47" i="6"/>
  <c r="AR17" i="12"/>
  <c r="AR18" i="12" s="1"/>
  <c r="AR2" i="11"/>
  <c r="AR47" i="10"/>
  <c r="AR49" i="10" s="1"/>
  <c r="AR48" i="10"/>
  <c r="AR47" i="6"/>
  <c r="AH6" i="8"/>
  <c r="AH7" i="8" s="1"/>
  <c r="AH13" i="8" s="1"/>
  <c r="AH36" i="6"/>
  <c r="AH37" i="6" s="1"/>
  <c r="AH28" i="6"/>
  <c r="AH29" i="6" s="1"/>
  <c r="AH32" i="11" s="1"/>
  <c r="AH44" i="11" s="1"/>
  <c r="AH16" i="6"/>
  <c r="AH17" i="6" s="1"/>
  <c r="AH18" i="6" s="1"/>
  <c r="AQ42" i="10"/>
  <c r="BV42" i="10"/>
  <c r="Q6" i="8"/>
  <c r="Q7" i="8" s="1"/>
  <c r="Q13" i="8" s="1"/>
  <c r="Q36" i="6"/>
  <c r="Q37" i="6" s="1"/>
  <c r="Q28" i="6"/>
  <c r="Q29" i="6" s="1"/>
  <c r="Q32" i="11" s="1"/>
  <c r="Q44" i="11" s="1"/>
  <c r="Q16" i="6"/>
  <c r="Q17" i="6" s="1"/>
  <c r="Q18" i="6" s="1"/>
  <c r="BM42" i="10"/>
  <c r="BS42" i="10"/>
  <c r="BR15" i="12"/>
  <c r="BR16" i="12" s="1"/>
  <c r="BR23" i="10"/>
  <c r="BR24" i="10" s="1"/>
  <c r="BR33" i="6"/>
  <c r="CJ28" i="6"/>
  <c r="CJ29" i="6" s="1"/>
  <c r="CJ32" i="11" s="1"/>
  <c r="CJ44" i="11" s="1"/>
  <c r="CJ36" i="6"/>
  <c r="CJ37" i="6" s="1"/>
  <c r="CJ16" i="6"/>
  <c r="CJ17" i="6" s="1"/>
  <c r="BW17" i="12"/>
  <c r="BW18" i="12" s="1"/>
  <c r="BW2" i="11"/>
  <c r="BW47" i="10"/>
  <c r="BW49" i="10" s="1"/>
  <c r="BW47" i="6"/>
  <c r="BW48" i="10"/>
  <c r="T17" i="12"/>
  <c r="T18" i="12" s="1"/>
  <c r="T2" i="11"/>
  <c r="T47" i="10"/>
  <c r="T48" i="10"/>
  <c r="T47" i="6"/>
  <c r="AD15" i="12"/>
  <c r="AD16" i="12" s="1"/>
  <c r="AD23" i="10"/>
  <c r="AD24" i="10" s="1"/>
  <c r="AD33" i="6"/>
  <c r="AD34" i="6" s="1"/>
  <c r="BI17" i="12"/>
  <c r="BI18" i="12" s="1"/>
  <c r="BI2" i="11"/>
  <c r="BI47" i="10"/>
  <c r="BI48" i="10"/>
  <c r="BI47" i="6"/>
  <c r="AM17" i="12"/>
  <c r="AM18" i="12" s="1"/>
  <c r="AM2" i="11"/>
  <c r="AM47" i="10"/>
  <c r="AM48" i="10"/>
  <c r="AM47" i="6"/>
  <c r="BK17" i="12"/>
  <c r="BK18" i="12" s="1"/>
  <c r="BK2" i="11"/>
  <c r="BK47" i="10"/>
  <c r="BK49" i="10" s="1"/>
  <c r="BK48" i="10"/>
  <c r="BK47" i="6"/>
  <c r="AD5" i="11"/>
  <c r="AD50" i="10"/>
  <c r="BH6" i="8"/>
  <c r="BH7" i="8" s="1"/>
  <c r="BH13" i="8" s="1"/>
  <c r="BH36" i="6"/>
  <c r="BH37" i="6" s="1"/>
  <c r="BH28" i="6"/>
  <c r="BH29" i="6" s="1"/>
  <c r="BH32" i="11" s="1"/>
  <c r="BH44" i="11" s="1"/>
  <c r="BH16" i="6"/>
  <c r="BH17" i="6" s="1"/>
  <c r="P6" i="8"/>
  <c r="P7" i="8" s="1"/>
  <c r="P13" i="8" s="1"/>
  <c r="P28" i="6"/>
  <c r="P29" i="6" s="1"/>
  <c r="P32" i="11" s="1"/>
  <c r="P44" i="11" s="1"/>
  <c r="P36" i="6"/>
  <c r="P37" i="6" s="1"/>
  <c r="P16" i="6"/>
  <c r="P17" i="6" s="1"/>
  <c r="P18" i="6" s="1"/>
  <c r="G6" i="8"/>
  <c r="G7" i="8" s="1"/>
  <c r="G13" i="8" s="1"/>
  <c r="G28" i="6"/>
  <c r="G29" i="6" s="1"/>
  <c r="G32" i="11" s="1"/>
  <c r="G44" i="11" s="1"/>
  <c r="G36" i="6"/>
  <c r="G37" i="6" s="1"/>
  <c r="G16" i="6"/>
  <c r="G17" i="6" s="1"/>
  <c r="G18" i="6" s="1"/>
  <c r="AT5" i="11"/>
  <c r="AT50" i="10"/>
  <c r="BD6" i="8"/>
  <c r="BD7" i="8" s="1"/>
  <c r="BD13" i="8" s="1"/>
  <c r="BD28" i="6"/>
  <c r="BD29" i="6" s="1"/>
  <c r="BD32" i="11" s="1"/>
  <c r="BD44" i="11" s="1"/>
  <c r="BD36" i="6"/>
  <c r="BD37" i="6" s="1"/>
  <c r="BD16" i="6"/>
  <c r="BD17" i="6" s="1"/>
  <c r="BZ49" i="10"/>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R42" i="10"/>
  <c r="BT42" i="10"/>
  <c r="CJ42" i="10"/>
  <c r="U17" i="12"/>
  <c r="U18" i="12" s="1"/>
  <c r="U2" i="11"/>
  <c r="U47" i="10"/>
  <c r="U48" i="10"/>
  <c r="U47" i="6"/>
  <c r="O17" i="12"/>
  <c r="O18" i="12" s="1"/>
  <c r="O2" i="11"/>
  <c r="O47" i="10"/>
  <c r="O48" i="10"/>
  <c r="O47" i="6"/>
  <c r="AI6" i="8"/>
  <c r="AI7" i="8" s="1"/>
  <c r="AI13" i="8" s="1"/>
  <c r="AI36" i="6"/>
  <c r="AI37" i="6" s="1"/>
  <c r="AI28" i="6"/>
  <c r="AI29" i="6" s="1"/>
  <c r="AI32" i="11" s="1"/>
  <c r="AI44" i="11" s="1"/>
  <c r="AI16" i="6"/>
  <c r="AI17" i="6" s="1"/>
  <c r="AI18" i="6" s="1"/>
  <c r="Y17" i="12"/>
  <c r="Y18" i="12" s="1"/>
  <c r="Y2" i="11"/>
  <c r="Y47" i="10"/>
  <c r="Y47" i="6"/>
  <c r="Y48" i="10"/>
  <c r="W17" i="12"/>
  <c r="W18" i="12" s="1"/>
  <c r="W2" i="11"/>
  <c r="W47" i="10"/>
  <c r="W48" i="10"/>
  <c r="W47" i="6"/>
  <c r="F5" i="11"/>
  <c r="F50" i="10"/>
  <c r="T6" i="8"/>
  <c r="T7" i="8" s="1"/>
  <c r="T13" i="8" s="1"/>
  <c r="T36" i="6"/>
  <c r="T37" i="6" s="1"/>
  <c r="T28" i="6"/>
  <c r="T29" i="6" s="1"/>
  <c r="T32" i="11" s="1"/>
  <c r="T44" i="11" s="1"/>
  <c r="T16" i="6"/>
  <c r="T17" i="6" s="1"/>
  <c r="T18" i="6" s="1"/>
  <c r="AQ36" i="6"/>
  <c r="AQ37" i="6" s="1"/>
  <c r="AQ28" i="6"/>
  <c r="AQ29" i="6" s="1"/>
  <c r="AQ32" i="11" s="1"/>
  <c r="AQ44" i="11" s="1"/>
  <c r="AQ6" i="8"/>
  <c r="AQ7" i="8" s="1"/>
  <c r="AQ13" i="8" s="1"/>
  <c r="AQ16" i="6"/>
  <c r="AQ17" i="6" s="1"/>
  <c r="AQ18" i="6" s="1"/>
  <c r="AM6" i="8"/>
  <c r="AM7" i="8" s="1"/>
  <c r="AM13" i="8" s="1"/>
  <c r="AM28" i="6"/>
  <c r="AM29" i="6" s="1"/>
  <c r="AM32" i="11" s="1"/>
  <c r="AM44" i="11" s="1"/>
  <c r="AM36" i="6"/>
  <c r="AM37" i="6" s="1"/>
  <c r="AM16" i="6"/>
  <c r="AM17" i="6" s="1"/>
  <c r="AM18" i="6" s="1"/>
  <c r="V5" i="11"/>
  <c r="V50" i="10"/>
  <c r="AU6" i="8"/>
  <c r="AU7" i="8" s="1"/>
  <c r="AU13" i="8" s="1"/>
  <c r="AU28" i="6"/>
  <c r="AU29" i="6" s="1"/>
  <c r="AU32" i="11" s="1"/>
  <c r="AU44" i="11" s="1"/>
  <c r="AU36" i="6"/>
  <c r="AU37" i="6" s="1"/>
  <c r="AU16" i="6"/>
  <c r="AU17" i="6" s="1"/>
  <c r="N5" i="11"/>
  <c r="N50" i="10"/>
  <c r="AL15" i="12"/>
  <c r="AL16" i="12" s="1"/>
  <c r="AL23" i="10"/>
  <c r="AL24" i="10" s="1"/>
  <c r="AL33" i="6"/>
  <c r="AL34" i="6" s="1"/>
  <c r="AX17" i="12"/>
  <c r="AX18" i="12" s="1"/>
  <c r="AX2" i="11"/>
  <c r="AX47" i="10"/>
  <c r="AX49" i="10" s="1"/>
  <c r="AX47" i="6"/>
  <c r="AX48" i="10"/>
  <c r="BY17" i="12"/>
  <c r="BY18" i="12" s="1"/>
  <c r="BY2" i="11"/>
  <c r="BY47" i="10"/>
  <c r="BY49" i="10" s="1"/>
  <c r="BY48" i="10"/>
  <c r="BY47" i="6"/>
  <c r="BZ13" i="11"/>
  <c r="BZ12" i="11"/>
  <c r="BZ4" i="11"/>
  <c r="L6" i="8"/>
  <c r="L7" i="8" s="1"/>
  <c r="L13" i="8" s="1"/>
  <c r="L36" i="6"/>
  <c r="L37" i="6" s="1"/>
  <c r="L28" i="6"/>
  <c r="L29" i="6" s="1"/>
  <c r="L32" i="11" s="1"/>
  <c r="L44" i="11" s="1"/>
  <c r="L16" i="6"/>
  <c r="L17" i="6" s="1"/>
  <c r="L18" i="6" s="1"/>
  <c r="BK42" i="10"/>
  <c r="AS6" i="8"/>
  <c r="AS7" i="8" s="1"/>
  <c r="AS13" i="8" s="1"/>
  <c r="AS36" i="6"/>
  <c r="AS37" i="6" s="1"/>
  <c r="AS28" i="6"/>
  <c r="AS29" i="6" s="1"/>
  <c r="AS32" i="11" s="1"/>
  <c r="AS44" i="11" s="1"/>
  <c r="AS16" i="6"/>
  <c r="AS17" i="6" s="1"/>
  <c r="AS18" i="6" s="1"/>
  <c r="W42" i="10"/>
  <c r="BZ15" i="12"/>
  <c r="BZ16" i="12" s="1"/>
  <c r="BZ23" i="10"/>
  <c r="BZ24" i="10" s="1"/>
  <c r="BZ33" i="6"/>
  <c r="U6" i="8"/>
  <c r="U7" i="8" s="1"/>
  <c r="U13" i="8" s="1"/>
  <c r="U36" i="6"/>
  <c r="U37" i="6" s="1"/>
  <c r="U28" i="6"/>
  <c r="U29" i="6" s="1"/>
  <c r="U32" i="11" s="1"/>
  <c r="U44" i="11" s="1"/>
  <c r="U16" i="6"/>
  <c r="U17" i="6" s="1"/>
  <c r="U18" i="6" s="1"/>
  <c r="O6" i="8"/>
  <c r="O7" i="8" s="1"/>
  <c r="O13" i="8" s="1"/>
  <c r="O28" i="6"/>
  <c r="O29" i="6" s="1"/>
  <c r="O32" i="11" s="1"/>
  <c r="O44" i="11" s="1"/>
  <c r="O36" i="6"/>
  <c r="O37" i="6" s="1"/>
  <c r="O16" i="6"/>
  <c r="O17" i="6" s="1"/>
  <c r="O18" i="6" s="1"/>
  <c r="AO42" i="10"/>
  <c r="Y6" i="8"/>
  <c r="Y7" i="8" s="1"/>
  <c r="Y13" i="8" s="1"/>
  <c r="Y36" i="6"/>
  <c r="Y37" i="6" s="1"/>
  <c r="Y28" i="6"/>
  <c r="Y29" i="6" s="1"/>
  <c r="Y32" i="11" s="1"/>
  <c r="Y44" i="11" s="1"/>
  <c r="Y16" i="6"/>
  <c r="Y17" i="6" s="1"/>
  <c r="Y18" i="6" s="1"/>
  <c r="BI42" i="10"/>
  <c r="W6" i="8"/>
  <c r="W7" i="8" s="1"/>
  <c r="W13"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A28" i="6"/>
  <c r="CA29" i="6" s="1"/>
  <c r="CA32" i="11" s="1"/>
  <c r="CA44" i="11" s="1"/>
  <c r="CA36" i="6"/>
  <c r="CA37" i="6" s="1"/>
  <c r="CA16" i="6"/>
  <c r="CA17" i="6" s="1"/>
  <c r="X17" i="12"/>
  <c r="X18" i="12" s="1"/>
  <c r="X2" i="11"/>
  <c r="X47" i="10"/>
  <c r="X48" i="10"/>
  <c r="X47" i="6"/>
  <c r="J17" i="12"/>
  <c r="J18" i="12" s="1"/>
  <c r="J2" i="11"/>
  <c r="J47" i="10"/>
  <c r="J49" i="10" s="1"/>
  <c r="J47" i="6"/>
  <c r="J48" i="10"/>
  <c r="S6" i="8"/>
  <c r="S7" i="8" s="1"/>
  <c r="S13" i="8" s="1"/>
  <c r="S36" i="6"/>
  <c r="S37" i="6" s="1"/>
  <c r="S28" i="6"/>
  <c r="S29" i="6" s="1"/>
  <c r="S32" i="11" s="1"/>
  <c r="S44" i="11" s="1"/>
  <c r="S16" i="6"/>
  <c r="S17" i="6" s="1"/>
  <c r="S18" i="6" s="1"/>
  <c r="AT49" i="10"/>
  <c r="AX6" i="8"/>
  <c r="AX7" i="8" s="1"/>
  <c r="AX13" i="8" s="1"/>
  <c r="AX36" i="6"/>
  <c r="AX37" i="6" s="1"/>
  <c r="AX28" i="6"/>
  <c r="AX29" i="6" s="1"/>
  <c r="AX32" i="11" s="1"/>
  <c r="AX44" i="11" s="1"/>
  <c r="AX16" i="6"/>
  <c r="AX17" i="6" s="1"/>
  <c r="BD17" i="12"/>
  <c r="BD18" i="12" s="1"/>
  <c r="BD47" i="10"/>
  <c r="BD2" i="11"/>
  <c r="BD48" i="10"/>
  <c r="BD47" i="6"/>
  <c r="BG36" i="6"/>
  <c r="BG37" i="6" s="1"/>
  <c r="BG6" i="8"/>
  <c r="BG7" i="8" s="1"/>
  <c r="BG13" i="8" s="1"/>
  <c r="BG28" i="6"/>
  <c r="BG29" i="6" s="1"/>
  <c r="BG32" i="11" s="1"/>
  <c r="BG44" i="11" s="1"/>
  <c r="BG16" i="6"/>
  <c r="BG17" i="6" s="1"/>
  <c r="AL13" i="11"/>
  <c r="AL12" i="11"/>
  <c r="AL14" i="11" s="1"/>
  <c r="AL4" i="11"/>
  <c r="O42" i="10"/>
  <c r="BN6" i="8"/>
  <c r="BN7" i="8" s="1"/>
  <c r="BN13" i="8" s="1"/>
  <c r="BN36" i="6"/>
  <c r="BN37" i="6" s="1"/>
  <c r="BN28" i="6"/>
  <c r="BN29" i="6" s="1"/>
  <c r="BN32" i="11" s="1"/>
  <c r="BN44" i="11" s="1"/>
  <c r="BN16" i="6"/>
  <c r="BN17" i="6" s="1"/>
  <c r="BB15" i="12"/>
  <c r="BB16" i="12" s="1"/>
  <c r="BB23" i="10"/>
  <c r="BB24" i="10" s="1"/>
  <c r="BB33" i="6"/>
  <c r="CB17" i="12"/>
  <c r="CB18" i="12" s="1"/>
  <c r="CB2" i="11"/>
  <c r="CB47" i="10"/>
  <c r="CB49" i="10" s="1"/>
  <c r="CB48" i="10"/>
  <c r="CB47" i="6"/>
  <c r="AA42" i="10"/>
  <c r="AE17" i="12"/>
  <c r="AE18" i="12" s="1"/>
  <c r="AE2" i="11"/>
  <c r="AE47" i="10"/>
  <c r="AE48" i="10"/>
  <c r="AE47" i="6"/>
  <c r="CC42" i="10"/>
  <c r="BC6" i="8"/>
  <c r="BC7" i="8" s="1"/>
  <c r="BC13" i="8" s="1"/>
  <c r="BC28" i="6"/>
  <c r="BC29" i="6" s="1"/>
  <c r="BC32" i="11" s="1"/>
  <c r="BC44" i="11" s="1"/>
  <c r="BC36" i="6"/>
  <c r="BC37" i="6" s="1"/>
  <c r="BC16" i="6"/>
  <c r="BC17" i="6" s="1"/>
  <c r="BW42" i="10"/>
  <c r="AB42" i="10"/>
  <c r="I17" i="12"/>
  <c r="I18" i="12" s="1"/>
  <c r="I2" i="11"/>
  <c r="I47" i="10"/>
  <c r="I47" i="6"/>
  <c r="I48" i="10"/>
  <c r="AI17" i="12"/>
  <c r="AI18" i="12" s="1"/>
  <c r="AI2" i="11"/>
  <c r="AI47" i="10"/>
  <c r="AI48" i="10"/>
  <c r="AI47" i="6"/>
  <c r="F15" i="12"/>
  <c r="F16" i="12" s="1"/>
  <c r="F23" i="10"/>
  <c r="F24" i="10" s="1"/>
  <c r="F33" i="6"/>
  <c r="F34" i="6" s="1"/>
  <c r="BL6" i="8"/>
  <c r="BL7" i="8" s="1"/>
  <c r="BL13" i="8" s="1"/>
  <c r="BL28" i="6"/>
  <c r="BL29" i="6" s="1"/>
  <c r="BL32" i="11" s="1"/>
  <c r="BL44" i="11" s="1"/>
  <c r="BL36" i="6"/>
  <c r="BL37" i="6" s="1"/>
  <c r="BL16" i="6"/>
  <c r="BL17" i="6" s="1"/>
  <c r="CH14" i="11"/>
  <c r="AF17" i="12"/>
  <c r="AF18" i="12" s="1"/>
  <c r="AF2" i="11"/>
  <c r="AF47" i="10"/>
  <c r="AF48" i="10"/>
  <c r="AF47" i="6"/>
  <c r="BJ15" i="12"/>
  <c r="BJ16" i="12" s="1"/>
  <c r="BJ23" i="10"/>
  <c r="BJ24" i="10" s="1"/>
  <c r="BJ33"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13" i="8" s="1"/>
  <c r="BA36" i="6"/>
  <c r="BA37" i="6" s="1"/>
  <c r="BA28" i="6"/>
  <c r="BA29" i="6" s="1"/>
  <c r="BA32" i="11" s="1"/>
  <c r="BA44" i="11" s="1"/>
  <c r="BA16" i="6"/>
  <c r="BA17" i="6" s="1"/>
  <c r="AD13" i="11"/>
  <c r="AD12" i="11"/>
  <c r="AD14" i="11" s="1"/>
  <c r="AD4" i="11"/>
  <c r="X6" i="8"/>
  <c r="X7" i="8" s="1"/>
  <c r="X13" i="8" s="1"/>
  <c r="X28" i="6"/>
  <c r="X29" i="6" s="1"/>
  <c r="X32" i="11" s="1"/>
  <c r="X44" i="11" s="1"/>
  <c r="X36" i="6"/>
  <c r="X37" i="6" s="1"/>
  <c r="X16" i="6"/>
  <c r="X17" i="6" s="1"/>
  <c r="X18" i="6" s="1"/>
  <c r="J6" i="8"/>
  <c r="J7" i="8" s="1"/>
  <c r="J13" i="8" s="1"/>
  <c r="J36" i="6"/>
  <c r="J37" i="6" s="1"/>
  <c r="J28" i="6"/>
  <c r="J29" i="6" s="1"/>
  <c r="J32" i="11" s="1"/>
  <c r="J44" i="11" s="1"/>
  <c r="J16" i="6"/>
  <c r="J17" i="6" s="1"/>
  <c r="J18" i="6" s="1"/>
  <c r="AU17" i="12"/>
  <c r="AU18" i="12" s="1"/>
  <c r="AU2" i="11"/>
  <c r="AU47" i="10"/>
  <c r="AU49" i="10" s="1"/>
  <c r="AU48" i="10"/>
  <c r="AU47" i="6"/>
  <c r="AT13" i="11"/>
  <c r="AT12" i="11"/>
  <c r="AT14" i="11" s="1"/>
  <c r="AT4" i="11"/>
  <c r="BN17" i="12"/>
  <c r="BN18" i="12" s="1"/>
  <c r="BN2" i="11"/>
  <c r="BN47" i="10"/>
  <c r="BN49" i="10" s="1"/>
  <c r="BN47" i="6"/>
  <c r="BN48" i="10"/>
  <c r="BE42" i="10"/>
  <c r="BR5" i="11"/>
  <c r="BR50" i="10"/>
  <c r="CH5" i="11"/>
  <c r="CH50" i="10"/>
  <c r="BE6" i="8"/>
  <c r="BE7" i="8" s="1"/>
  <c r="BE13" i="8" s="1"/>
  <c r="BE36" i="6"/>
  <c r="BE37" i="6" s="1"/>
  <c r="BE28" i="6"/>
  <c r="BE29" i="6" s="1"/>
  <c r="BE32" i="11" s="1"/>
  <c r="BE44" i="11" s="1"/>
  <c r="BE16" i="6"/>
  <c r="BE17" i="6" s="1"/>
  <c r="AE6" i="8"/>
  <c r="AE7" i="8" s="1"/>
  <c r="AE13" i="8" s="1"/>
  <c r="AE28" i="6"/>
  <c r="AE29" i="6" s="1"/>
  <c r="AE32" i="11" s="1"/>
  <c r="AE44" i="11" s="1"/>
  <c r="AE36" i="6"/>
  <c r="AE37" i="6" s="1"/>
  <c r="AE16" i="6"/>
  <c r="AE17" i="6" s="1"/>
  <c r="AE18" i="6" s="1"/>
  <c r="AF42" i="10"/>
  <c r="BJ5" i="11"/>
  <c r="BJ50" i="10"/>
  <c r="I6" i="8"/>
  <c r="I7" i="8" s="1"/>
  <c r="I13" i="8" s="1"/>
  <c r="I36" i="6"/>
  <c r="I37" i="6" s="1"/>
  <c r="I28" i="6"/>
  <c r="I29" i="6" s="1"/>
  <c r="I32" i="11" s="1"/>
  <c r="I44" i="11" s="1"/>
  <c r="I16" i="6"/>
  <c r="I17" i="6" s="1"/>
  <c r="I18"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F19" i="13"/>
  <c r="E21" i="13"/>
  <c r="J50" i="9" l="1"/>
  <c r="F50" i="9"/>
  <c r="I50" i="9"/>
  <c r="M50" i="9"/>
  <c r="L50" i="9"/>
  <c r="K50" i="9"/>
  <c r="G50" i="9"/>
  <c r="H51" i="9"/>
  <c r="H48" i="9"/>
  <c r="H47" i="9"/>
  <c r="H49" i="9"/>
  <c r="L51" i="9"/>
  <c r="L47" i="9"/>
  <c r="L48" i="9"/>
  <c r="L49" i="9"/>
  <c r="K51" i="9"/>
  <c r="K48" i="9"/>
  <c r="K47" i="9"/>
  <c r="K49" i="9"/>
  <c r="E51" i="9"/>
  <c r="E48" i="9"/>
  <c r="E47" i="9"/>
  <c r="E49" i="9"/>
  <c r="F51" i="9"/>
  <c r="F47" i="9"/>
  <c r="F48" i="9"/>
  <c r="F49" i="9"/>
  <c r="H50" i="9"/>
  <c r="N51" i="9"/>
  <c r="N47" i="9"/>
  <c r="N48" i="9"/>
  <c r="N49" i="9"/>
  <c r="G51" i="9"/>
  <c r="G47" i="9"/>
  <c r="G48" i="9"/>
  <c r="G49" i="9"/>
  <c r="E50" i="9"/>
  <c r="J51" i="9"/>
  <c r="J48" i="9"/>
  <c r="J47" i="9"/>
  <c r="J49" i="9"/>
  <c r="I51" i="9"/>
  <c r="I48" i="9"/>
  <c r="I47" i="9"/>
  <c r="I49" i="9"/>
  <c r="N50"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AE12" i="11"/>
  <c r="AE14" i="11" s="1"/>
  <c r="AE13" i="11"/>
  <c r="AE4" i="11"/>
  <c r="BD50" i="10"/>
  <c r="BD5" i="11"/>
  <c r="CA15" i="12"/>
  <c r="CA16" i="12" s="1"/>
  <c r="CA23" i="10"/>
  <c r="CA24" i="10" s="1"/>
  <c r="CA33" i="6"/>
  <c r="W12" i="11"/>
  <c r="W14" i="11" s="1"/>
  <c r="W13" i="11"/>
  <c r="W4" i="11"/>
  <c r="AM5" i="11"/>
  <c r="AM50" i="10"/>
  <c r="BI13" i="11"/>
  <c r="BI12" i="11"/>
  <c r="BI14" i="11" s="1"/>
  <c r="BI4" i="11"/>
  <c r="T49" i="10"/>
  <c r="CJ15" i="12"/>
  <c r="CJ16" i="12" s="1"/>
  <c r="CJ23" i="10"/>
  <c r="CJ24" i="10" s="1"/>
  <c r="CJ33" i="6"/>
  <c r="AR13" i="11"/>
  <c r="AR12" i="11"/>
  <c r="AR14" i="11" s="1"/>
  <c r="AR4" i="11"/>
  <c r="P49" i="10"/>
  <c r="BO50" i="10"/>
  <c r="BO5" i="11"/>
  <c r="AY50" i="10"/>
  <c r="AY5" i="11"/>
  <c r="BB49" i="10"/>
  <c r="CE49" i="10"/>
  <c r="AB5" i="11"/>
  <c r="AB50" i="10"/>
  <c r="AW15" i="12"/>
  <c r="AW16" i="12" s="1"/>
  <c r="AW23" i="10"/>
  <c r="AW24" i="10" s="1"/>
  <c r="AW33" i="6"/>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O50" i="10"/>
  <c r="AO5" i="11"/>
  <c r="CE15" i="12"/>
  <c r="CE16" i="12" s="1"/>
  <c r="CE23" i="10"/>
  <c r="CE24" i="10" s="1"/>
  <c r="CE33" i="6"/>
  <c r="BS15" i="12"/>
  <c r="BS16" i="12" s="1"/>
  <c r="BS23" i="10"/>
  <c r="BS24" i="10" s="1"/>
  <c r="BS33" i="6"/>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AB49" i="10"/>
  <c r="BX49" i="10"/>
  <c r="BO15" i="12"/>
  <c r="BO16" i="12" s="1"/>
  <c r="BO23" i="10"/>
  <c r="BO24" i="10" s="1"/>
  <c r="BO33" i="6"/>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BV15" i="12"/>
  <c r="BV16" i="12" s="1"/>
  <c r="BV23" i="10"/>
  <c r="BV24" i="10" s="1"/>
  <c r="BV33" i="6"/>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S49" i="10"/>
  <c r="AA50" i="10"/>
  <c r="AA5" i="11"/>
  <c r="AB13" i="11"/>
  <c r="AB12" i="11"/>
  <c r="AB14" i="11" s="1"/>
  <c r="AB4" i="11"/>
  <c r="BX13" i="11"/>
  <c r="BX12" i="11"/>
  <c r="BX14" i="11" s="1"/>
  <c r="BX4" i="11"/>
  <c r="M5" i="11"/>
  <c r="M50" i="10"/>
  <c r="BT15" i="12"/>
  <c r="BT16" i="12" s="1"/>
  <c r="BT23" i="10"/>
  <c r="BT24" i="10" s="1"/>
  <c r="BT33"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L15" i="12"/>
  <c r="BL16" i="12" s="1"/>
  <c r="BL23" i="10"/>
  <c r="BL24" i="10" s="1"/>
  <c r="BL33" i="6"/>
  <c r="AI50" i="10"/>
  <c r="AI5" i="11"/>
  <c r="I12" i="11"/>
  <c r="I14" i="11" s="1"/>
  <c r="I13" i="11"/>
  <c r="I4" i="11"/>
  <c r="BN15" i="12"/>
  <c r="BN16" i="12" s="1"/>
  <c r="BN23" i="10"/>
  <c r="BN24" i="10" s="1"/>
  <c r="BN33" i="6"/>
  <c r="BG15" i="12"/>
  <c r="BG16" i="12" s="1"/>
  <c r="BG23" i="10"/>
  <c r="BG24" i="10" s="1"/>
  <c r="BG33" i="6"/>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AA15" i="12"/>
  <c r="AA16" i="12" s="1"/>
  <c r="AA23" i="10"/>
  <c r="AA24" i="10" s="1"/>
  <c r="AA33" i="6"/>
  <c r="AA34" i="6" s="1"/>
  <c r="BX15" i="12"/>
  <c r="BX16" i="12" s="1"/>
  <c r="BX23" i="10"/>
  <c r="BX24" i="10" s="1"/>
  <c r="BX33" i="6"/>
  <c r="AE5" i="11"/>
  <c r="AE50" i="10"/>
  <c r="AX15" i="12"/>
  <c r="AX16" i="12" s="1"/>
  <c r="AX23" i="10"/>
  <c r="AX24" i="10" s="1"/>
  <c r="AX33"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I5" i="11"/>
  <c r="BI50" i="10"/>
  <c r="AR5" i="11"/>
  <c r="AR50" i="10"/>
  <c r="AZ13" i="11"/>
  <c r="AZ12" i="11"/>
  <c r="AZ14" i="11" s="1"/>
  <c r="AZ4" i="11"/>
  <c r="BP15" i="12"/>
  <c r="BP16" i="12" s="1"/>
  <c r="BP23" i="10"/>
  <c r="BP24" i="10" s="1"/>
  <c r="BP33" i="6"/>
  <c r="E13" i="11"/>
  <c r="E12" i="11"/>
  <c r="E14" i="11" s="1"/>
  <c r="E4" i="11"/>
  <c r="AA49" i="10"/>
  <c r="BW15" i="12"/>
  <c r="BW16" i="12" s="1"/>
  <c r="BW23" i="10"/>
  <c r="BW24" i="10" s="1"/>
  <c r="BW33" i="6"/>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P50" i="10"/>
  <c r="P5" i="11"/>
  <c r="R15" i="12"/>
  <c r="R16" i="12" s="1"/>
  <c r="R23" i="10"/>
  <c r="R24" i="10" s="1"/>
  <c r="R33" i="6"/>
  <c r="R34" i="6" s="1"/>
  <c r="CC15" i="12"/>
  <c r="CC16" i="12" s="1"/>
  <c r="CC23" i="10"/>
  <c r="CC24" i="10" s="1"/>
  <c r="CC33" i="6"/>
  <c r="M15" i="12"/>
  <c r="M16" i="12" s="1"/>
  <c r="M23" i="10"/>
  <c r="M24" i="10" s="1"/>
  <c r="M33" i="6"/>
  <c r="M34" i="6" s="1"/>
  <c r="CF49" i="10"/>
  <c r="AV15" i="12"/>
  <c r="AV16" i="12" s="1"/>
  <c r="AV23" i="10"/>
  <c r="AV24" i="10" s="1"/>
  <c r="AV33" i="6"/>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CI15" i="12"/>
  <c r="CI16" i="12" s="1"/>
  <c r="CI23" i="10"/>
  <c r="CI24" i="10" s="1"/>
  <c r="CI33"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AS5" i="11"/>
  <c r="AS50" i="10"/>
  <c r="BF12" i="11"/>
  <c r="BF14" i="11" s="1"/>
  <c r="BF4" i="11"/>
  <c r="BF13" i="11"/>
  <c r="BD15" i="12"/>
  <c r="BD16" i="12" s="1"/>
  <c r="BD23" i="10"/>
  <c r="BD24" i="10" s="1"/>
  <c r="BD33" i="6"/>
  <c r="BI49" i="10"/>
  <c r="BF15" i="12"/>
  <c r="BF16" i="12" s="1"/>
  <c r="BF23" i="10"/>
  <c r="BF24" i="10" s="1"/>
  <c r="BF33"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K41" i="13" l="1"/>
  <c r="L39" i="13"/>
  <c r="L66" i="13"/>
  <c r="L65" i="13"/>
  <c r="G21" i="13"/>
  <c r="H19" i="13"/>
  <c r="L41" i="13" l="1"/>
  <c r="M39" i="13"/>
  <c r="H21" i="13"/>
  <c r="I19" i="13"/>
  <c r="I21" i="13" s="1"/>
  <c r="I22" i="13" s="1"/>
  <c r="D22" i="13"/>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s="1"/>
  <c r="B44" i="13" s="1"/>
  <c r="B48" i="13" s="1"/>
  <c r="B50" i="13" s="1"/>
  <c r="B52" i="13" s="1"/>
  <c r="E52" i="13" l="1"/>
  <c r="D52" i="13"/>
  <c r="C52" i="13"/>
</calcChain>
</file>

<file path=xl/sharedStrings.xml><?xml version="1.0" encoding="utf-8"?>
<sst xmlns="http://schemas.openxmlformats.org/spreadsheetml/2006/main" count="767" uniqueCount="657">
  <si>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</si>
  <si>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</si>
  <si>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</si>
  <si>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</si>
  <si>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</si>
  <si>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</si>
  <si>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</si>
  <si>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</si>
  <si>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</si>
  <si>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</si>
  <si>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</si>
  <si>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</si>
  <si>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</si>
  <si>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</si>
  <si>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</si>
  <si>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</si>
  <si>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</si>
  <si>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</si>
  <si>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</si>
  <si>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</si>
  <si>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</si>
  <si>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</si>
  <si>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</si>
  <si>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</si>
  <si>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</si>
  <si>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</si>
  <si>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</si>
  <si>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</si>
  <si>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</si>
  <si>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</si>
  <si>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</si>
  <si>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</si>
  <si>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</si>
  <si>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</si>
  <si>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</si>
  <si>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</si>
  <si>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</si>
  <si>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</si>
  <si>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</si>
  <si>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</si>
  <si>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</si>
  <si>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</si>
  <si>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</si>
  <si>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</si>
  <si>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</si>
  <si>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</si>
  <si>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</si>
  <si>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</si>
  <si>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</si>
  <si>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</si>
  <si>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</si>
  <si>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</si>
  <si>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</si>
  <si>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</si>
  <si>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</si>
  <si>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</si>
  <si>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</si>
  <si>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</si>
  <si>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</si>
  <si>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</si>
  <si>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</si>
  <si>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</si>
  <si>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</si>
  <si>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</si>
  <si>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</si>
  <si>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</si>
  <si>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</si>
  <si>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</si>
  <si>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</si>
  <si>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</si>
  <si>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</si>
  <si>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</si>
  <si>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</si>
  <si>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</si>
  <si>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</si>
  <si>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</si>
  <si>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</si>
  <si>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</si>
  <si>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</si>
  <si>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</si>
  <si>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</si>
  <si>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</si>
  <si>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</si>
  <si>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</si>
  <si>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</si>
  <si>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</si>
  <si>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</si>
  <si>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</si>
  <si>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</si>
  <si>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</si>
  <si>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</si>
  <si>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</si>
  <si>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</si>
  <si>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</si>
  <si>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</si>
  <si>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</si>
  <si>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</si>
  <si>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</si>
  <si>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</si>
  <si>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</si>
  <si>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</si>
  <si>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</si>
  <si>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</si>
  <si>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</si>
  <si>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</si>
  <si>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</si>
  <si>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</si>
  <si>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</si>
  <si>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</si>
  <si>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</si>
  <si>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</si>
  <si>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</si>
  <si>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</si>
  <si>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</si>
  <si>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</si>
  <si>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</si>
  <si>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</si>
  <si>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</si>
  <si>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</si>
  <si>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</si>
  <si>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</si>
  <si>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</si>
  <si>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</si>
  <si>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</si>
  <si>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</si>
  <si>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</si>
  <si>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</si>
  <si>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</si>
  <si>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</si>
  <si>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</si>
  <si>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</si>
  <si>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</si>
  <si>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</si>
  <si>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</si>
  <si>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</si>
  <si>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</si>
  <si>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</si>
  <si>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</si>
  <si>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</si>
  <si>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</si>
  <si>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</si>
  <si>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</si>
  <si>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</si>
  <si>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</si>
  <si>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</si>
  <si>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</si>
  <si>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</si>
  <si>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</si>
  <si>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</si>
  <si>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</si>
  <si>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</si>
  <si>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</si>
  <si>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</si>
  <si>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</si>
  <si>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</si>
  <si>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</si>
  <si>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</si>
  <si>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</si>
  <si>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</si>
  <si>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</si>
  <si>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</si>
  <si>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</si>
  <si>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</si>
  <si>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</si>
  <si>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</si>
  <si>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</si>
  <si>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</si>
  <si>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</si>
  <si>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</si>
  <si>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</si>
  <si>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</si>
  <si>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</si>
  <si>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</si>
  <si>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</si>
  <si>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</si>
  <si>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</si>
  <si>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</si>
  <si>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</si>
  <si>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</si>
  <si>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</si>
  <si>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</si>
  <si>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</si>
  <si>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</si>
  <si>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</si>
  <si>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</si>
  <si>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</si>
  <si>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</si>
  <si>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</si>
  <si>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</si>
  <si>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</si>
  <si>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</si>
  <si>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</si>
  <si>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</si>
  <si>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</si>
  <si>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</si>
  <si>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</si>
  <si>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</si>
  <si>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</si>
  <si>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</si>
  <si>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</si>
  <si>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</si>
  <si>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</si>
  <si>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</si>
  <si>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</si>
  <si>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</si>
  <si>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</si>
  <si>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</si>
  <si>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</si>
  <si>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</si>
  <si>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</si>
  <si>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</si>
  <si>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</si>
  <si>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</si>
  <si>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</si>
  <si>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</si>
  <si>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</si>
  <si>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</si>
  <si>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</si>
  <si>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</si>
  <si>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</si>
  <si>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</si>
  <si>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</si>
  <si>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</si>
  <si>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</si>
  <si>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</si>
  <si>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</si>
  <si>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</si>
  <si>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</si>
  <si>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</si>
  <si>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</si>
  <si>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</si>
  <si>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</si>
  <si>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</si>
  <si>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</si>
  <si>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</si>
  <si>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</si>
  <si>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</si>
  <si>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</si>
  <si>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</si>
  <si>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</si>
  <si>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</si>
  <si>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</si>
  <si>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</si>
  <si>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</si>
  <si>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</si>
  <si>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</si>
  <si>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</si>
  <si>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</si>
  <si>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</si>
  <si>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</si>
  <si>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</si>
  <si>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</si>
  <si>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</si>
  <si>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</si>
  <si>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</si>
  <si>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</si>
  <si>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</si>
  <si>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</si>
  <si>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</si>
  <si>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</si>
  <si>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</si>
  <si>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</si>
  <si>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</si>
  <si>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</si>
  <si>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</si>
  <si>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</si>
  <si>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</si>
  <si>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</si>
  <si>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</si>
  <si>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</si>
  <si>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</si>
  <si>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</si>
  <si>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</si>
  <si>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</si>
  <si>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</si>
  <si>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</si>
  <si>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</si>
  <si>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</si>
  <si>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</si>
  <si>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</si>
  <si>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</si>
  <si>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</si>
  <si>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</si>
  <si>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</si>
  <si>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</si>
  <si>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</si>
  <si>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</si>
  <si>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</si>
  <si>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</si>
  <si>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</si>
  <si>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</si>
  <si>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</si>
  <si>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</si>
  <si>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</si>
  <si>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</si>
  <si>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</si>
  <si>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</si>
  <si>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</si>
  <si>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</si>
  <si>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</si>
  <si>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</si>
  <si>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</si>
  <si>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</si>
  <si>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</si>
  <si>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</si>
  <si>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</si>
  <si>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</si>
  <si>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</si>
  <si>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</si>
  <si>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</si>
  <si>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</si>
  <si>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</si>
  <si>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</si>
  <si>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</si>
  <si>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</si>
  <si>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</si>
  <si>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</si>
  <si>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</si>
  <si>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</si>
  <si>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</si>
  <si>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</si>
  <si>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</si>
  <si>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</si>
  <si>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</si>
  <si>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</si>
  <si>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</si>
  <si>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</si>
  <si>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</si>
  <si>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</si>
  <si>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</si>
  <si>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</si>
  <si>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</si>
  <si>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</si>
  <si>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</si>
  <si>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</si>
  <si>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</si>
  <si>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</si>
  <si>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</si>
  <si>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</si>
  <si>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</si>
  <si>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</si>
  <si>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</si>
  <si>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</si>
  <si>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</si>
  <si>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</si>
  <si>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</si>
  <si>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</si>
  <si>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</si>
  <si>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</si>
  <si>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</si>
  <si>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</si>
  <si>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</si>
  <si>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</si>
  <si>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</si>
  <si>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</si>
  <si>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</si>
  <si>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</si>
  <si>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</si>
  <si>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</si>
  <si>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</si>
  <si>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</si>
  <si>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</si>
  <si>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</si>
  <si>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</si>
  <si>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</si>
  <si>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</si>
  <si>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</si>
  <si>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</si>
  <si>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</si>
  <si>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</si>
  <si>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</si>
  <si>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</si>
  <si>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</si>
  <si>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</si>
  <si>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</si>
  <si>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</si>
  <si>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</si>
  <si>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</si>
  <si>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</si>
  <si>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</si>
  <si>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</si>
  <si>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</si>
  <si>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</si>
  <si>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</si>
  <si>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</si>
  <si>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</si>
  <si>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</si>
  <si>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</si>
  <si>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</si>
  <si>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</si>
  <si>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</si>
  <si>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</si>
  <si>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</si>
  <si>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</si>
  <si>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</si>
  <si>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</si>
  <si>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</si>
  <si>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</si>
  <si>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</si>
  <si>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</si>
  <si>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</si>
  <si>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</si>
  <si>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</si>
  <si>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</si>
  <si>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</si>
  <si>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</si>
  <si>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</si>
  <si>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</si>
  <si>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</si>
  <si>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</si>
  <si>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</si>
  <si>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</si>
  <si>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</si>
  <si>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</si>
  <si>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</si>
  <si>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</si>
  <si>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</si>
  <si>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</si>
  <si>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</si>
  <si>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</si>
  <si>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</si>
  <si>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</si>
  <si>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</si>
  <si>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</si>
  <si>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</si>
  <si>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</si>
  <si>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</si>
  <si>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</si>
  <si>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</si>
  <si>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</si>
  <si>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</si>
  <si>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</si>
  <si>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</si>
  <si>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</si>
  <si>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</si>
  <si>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</si>
  <si>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</si>
  <si>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</si>
  <si>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</si>
  <si>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</si>
  <si>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</si>
  <si>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</si>
  <si>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</si>
  <si>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</si>
  <si>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</si>
  <si>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</si>
  <si>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</si>
  <si>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</si>
  <si>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</si>
  <si>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</si>
  <si>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</si>
  <si>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</si>
  <si>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</si>
  <si>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</si>
  <si>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</si>
  <si>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</si>
  <si>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</si>
  <si>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</si>
  <si>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</si>
  <si>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</si>
  <si>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</si>
  <si>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</si>
  <si>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</si>
  <si>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</si>
  <si>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</si>
  <si>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</si>
  <si>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</si>
  <si>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</si>
  <si>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</si>
  <si>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</si>
  <si>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</si>
  <si>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</si>
  <si>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</si>
  <si>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</si>
  <si>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</si>
  <si>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</si>
  <si>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</si>
  <si>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</si>
  <si>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</si>
  <si>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</si>
  <si>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</si>
  <si>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</si>
  <si>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</si>
  <si>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</si>
  <si>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</si>
  <si>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</si>
  <si>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</si>
  <si>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</si>
  <si>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</si>
  <si>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</si>
  <si>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</si>
  <si>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</si>
  <si>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</si>
  <si>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</si>
  <si>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</si>
  <si>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</si>
  <si>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</si>
  <si>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</si>
  <si>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</si>
  <si>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</si>
  <si>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</si>
  <si>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</si>
  <si>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</si>
  <si>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</si>
  <si>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</si>
  <si>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</si>
  <si>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</si>
  <si>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</si>
  <si>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</si>
  <si>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</si>
  <si>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</si>
  <si>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</si>
  <si>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</si>
  <si>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</si>
  <si>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</si>
  <si>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</si>
  <si>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</si>
  <si>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</si>
  <si>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</si>
  <si>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</si>
  <si>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</si>
  <si>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</si>
  <si>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</si>
  <si>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</si>
  <si>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</si>
  <si>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</si>
  <si>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</si>
  <si>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</si>
  <si>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</si>
  <si>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</si>
  <si>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</si>
  <si>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</si>
  <si>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</si>
  <si>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</si>
  <si>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</si>
  <si>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</si>
  <si>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</si>
  <si>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</si>
  <si>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</si>
  <si>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</si>
  <si>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</si>
  <si>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</si>
  <si>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</si>
  <si>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</si>
  <si>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</si>
  <si>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</si>
  <si>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</si>
  <si>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</si>
  <si>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</si>
  <si>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</si>
  <si>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</si>
  <si>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</si>
  <si>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</si>
  <si>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</si>
  <si>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</si>
  <si>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</si>
  <si>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</si>
  <si>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</si>
  <si>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</si>
  <si>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</si>
  <si>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</si>
  <si>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</si>
  <si>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</si>
  <si>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</si>
  <si>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</si>
  <si>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</si>
  <si>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</si>
  <si>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</si>
  <si>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</si>
  <si>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</si>
  <si>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</si>
  <si>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</si>
  <si>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</si>
  <si>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</si>
  <si>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</si>
  <si>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</si>
  <si>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</si>
  <si>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</si>
  <si>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</si>
  <si>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</si>
  <si>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</si>
  <si>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</si>
  <si>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</si>
  <si>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</si>
  <si>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</si>
  <si>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</si>
  <si>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</si>
  <si>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</si>
  <si>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</si>
  <si>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</si>
  <si>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</si>
  <si>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</si>
  <si>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</si>
  <si>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</si>
  <si>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</si>
  <si>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</si>
  <si>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</si>
  <si>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</si>
  <si>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</si>
  <si>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</si>
  <si>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</si>
  <si>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</si>
  <si>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</si>
  <si>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</si>
  <si>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</si>
  <si>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</si>
  <si>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</si>
  <si>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</si>
  <si>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</si>
  <si>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</si>
  <si>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</si>
  <si>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</si>
  <si>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</si>
  <si>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</si>
  <si>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</si>
  <si>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</si>
  <si>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</si>
  <si>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</si>
  <si>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</si>
  <si>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</si>
  <si>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</si>
  <si>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</si>
  <si>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</si>
  <si>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</si>
  <si>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</si>
  <si>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</si>
  <si>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</si>
  <si>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</si>
  <si>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</si>
  <si>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</si>
  <si>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</si>
  <si>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</si>
  <si>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</si>
  <si>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</si>
  <si>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</si>
  <si>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</si>
  <si>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</si>
  <si>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</si>
  <si>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</si>
  <si>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</si>
  <si>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</si>
  <si>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</si>
  <si>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</si>
  <si>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</si>
  <si>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</si>
  <si>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</si>
  <si>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</si>
  <si>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</si>
  <si>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 xml:space="preserve">从表1，可以看出该公司的资产总额从2012年2.3亿元逐年增加至2017年10亿元，近5年复合增长率29.9%。其中，金融资产稳定从0.4亿增到2017年4.1亿，占比从19%变为41%，主要是因为2015年上市募集资金到账、每年理财利息和2016年增加收纳部分股权投资。长期股权投资为0，主要通过100%收购子公司进行外延式扩张，而非合营企业。近5年来，营运资产以18.52%的复合增长速度，营运负债以13.45%的速度增加，长期经营资产近5年以16%的复合增长速度在增长，占比26%，其营运资产占比33%，经营资产合计59%，其金融资产占比41%，还是以经营资产为主，结合其现有发展状况，需要尽快将金融资产划掉换成能提高产能、扩大生产效率的资产。。
从表1，可知之前存在今年借、明年还的短期借债模式，通过上市募集资金，减少了负债率，有息债务降低为1%。其2016年突然增大的长期债务，实际为建立投资子公司收集的投资款，于2017年并购优泰科完成后，该子公司解散，归还了该笔长期借款
</t>
    <phoneticPr fontId="1" type="noConversion"/>
  </si>
  <si>
    <t xml:space="preserve">从上表可以看出，近6年来，除去2015年行业不景气出现了负增长外，营业收入、毛利收入、经营利润收入均每年都是正增长，2017年开始大幅增长。主要因为2016年四季度开始，下游行业开始回暖，2017年需求大幅提升，报告期母公司单体的收入为42,054.18万元，同比增长26.01%，同时，收购了优泰科子公司，其营收8,260.14万元，也进入合并报表。其营业成本稳定在43%左右，毛利率达到57%，其销售模式为个性化定制服务，且产品定位于中高端，集成式系统服务，毛利率较高可以理解。
近6年来，销售费用率、管理费用逐年下降，总费用率下降了3个点，在28%左右，该公司费用管控能力很强。因此，息税前经营利润上升到28%。其营业外收入主要为政府补贴，2017年政府补贴大量减少，但其营收增大更多，因此产生影响较少
</t>
    <phoneticPr fontId="1" type="noConversion"/>
  </si>
  <si>
    <t xml:space="preserve">从上表可以看出，该公司息税前利润主要由经营利润为主，占比91%以上。近两年由于现金增多，其金融资产收益（购买银行理财利息收入）占比也有所提升。
</t>
    <phoneticPr fontId="1" type="noConversion"/>
  </si>
  <si>
    <t xml:space="preserve">该公司的ROE浮动较大，2015年下降至历史低点10.17%，主要是上市发行股票扩大了股本。2017年有所提升为12.3%左右，上市前ROE很高，近五年平均ROE能有21%。近几年ROE回报下降，主要是因为资产周转率下降，营业收入增长未赶上股东权益增长的速度。也侧面说明了股本资金利用率不高。或者其正处于周期转折低谷，从年报来看2017年正式走出低谷期的第一年，2017年的资产总额周转率从0.32大幅提升到了0.5
</t>
    <phoneticPr fontId="1" type="noConversion"/>
  </si>
  <si>
    <t xml:space="preserve">主要是因为近6年来，营运资产周转率，长期经营资产周转率均有所下降，金融资产周转率下降幅度最大。金融资产周转率下降，主要是货币资金因为吸纳股本迅速增大导致
</t>
    <phoneticPr fontId="1" type="noConversion"/>
  </si>
  <si>
    <t xml:space="preserve">从上表可见，应收数额逐年变大的同时，应收账款周转天数有所上升，应收款的复合增长速度远大于营收增速，说明应收款管控能力不强，回款慢。据年报详细了解，该公司的客户群主要是石油化工行业大国企，其结账周期比较长，导致回款速度较慢，所幸其客户企业信誉和质量都较好，赖账坏账几率较低，但这会给公司的日常营运资金造成较大压力。应付账款逐年增加，应付账款周转天数变长后变短，说明应付款出去的速度变快，对上游的把控能力减弱。给上游的钱出去快、下游回来的钱又慢，自己所需付出的营运成本越来越多，占用上下游资金逐年增少、占用时间变短，说明该公司在上下游中越来越弱势。日常营运资金补充是个需要注意的点，公司也要加强应收款回款监控
</t>
    <phoneticPr fontId="1" type="noConversion"/>
  </si>
  <si>
    <t xml:space="preserve">长期经营资产中，主要是2017年完成对优泰科的并购，纳入其在建工程和固定资产导致自身长期资产的较大幅度增加，其他非流动资产是购买其少数股东权益付出的钱，商誉也是这次并购带来的，数额占比40%的净利润。根据其收购协议，
优泰科2016年至2018年经审计后净利润分别不低于1,500.00万元人民币、 1,650.00万元人民币、 1,900.00万元人民币。如果2016-2018年三年的盈利额总和未达标准，预计会在2018年进行减值，虽然2016、2017年单个年度都没有达标，
但管理层很有信心随着新厂房的全面投入使用，预计2108年仍将保持快速增长，完成三年累计业绩承诺指标有压力也很有希望。我有一个疑问的点，2015年上市募集资金，为了扩大产能，因为当年行情不好，所以暂缓了扩产建设，长期经营资
产增长较少可以理解，但2016年末到2017年这两年，市场明显还暖，订单都接不过来，为什么固定资产和在建工程，尤其是在建工程的数额也没有多大增长呢？感觉是准备手拿现金，准备通过并购来买入标的的在建产能或已有固定资产产能。
2017年固定资产和在建工程的新增便主要是优泰科的资产。
综上可知，日机密封是一家极少量负债、毛利高（57%）、净利率高（24%），有无对外股权投资，但通过并购相关企业的外延式增长和以长期经营资产内部增长相结合进行成长。其行业现在处于低谷快速反转期，产能的速度跟不上市场订单来
的速度，甚至还要酌情接单了。为了扩大产能，一方面是自身垫资提升经营效率，让下游赶紧帮着多生产，一方面便是并购有产能的企业，扩大生产能力。需要注意的是它应收款的回款速度，拖账仅是比赖帐强点
</t>
    <phoneticPr fontId="1" type="noConversion"/>
  </si>
  <si>
    <t xml:space="preserve">根据其应收账款的情况，都可以预料到其营收现金含量和净利润现金含量都不会很好。
经营性现金流一直为正数，高于非付现成本，5年来复合增长率15%。自由现金流量净额均为正，近两年高速增长
</t>
    <phoneticPr fontId="1" type="noConversion"/>
  </si>
  <si>
    <t xml:space="preserve">从该公司的基本指标数据，明显可以归为初期成长股，目前处于拐头进入成长高速期。采用三段式DCF预测，根据公司发展风险来确定贴现率，其公司将来营收发展是有保障的，贴现率为8%。
假设贴现率为8%，后五年为高速成长期，自由现金流以15%的复合增长率高增长，再后五年进入平稳过渡期，以10%的速度复合增长，之后进入缓慢增长期，以2%的速度增长。测算出来，每股价值为22.48元。20180802日收盘价为46.05元。感觉这个例子跟上一个佳发教育很像，都是高毛利高盈利的反转成长股，用DCF测算都属于高估，但股价涨得好啊，还抗跌。估计，DCF不适用于这类股票估值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</si>
</sst>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sz val="9"/>
      <color theme="1"/>
      <name val="宋体"/>
      <family val="2"/>
      <charset val="134"/>
      <scheme val="minor"/>
    </font>
    <font>
      <sz val="9"/>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6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9" fontId="29"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8"/>
                <c:pt idx="0">
                  <c:v>0.56820655050468749</c:v>
                </c:pt>
                <c:pt idx="1">
                  <c:v>0.58505764975123087</c:v>
                </c:pt>
                <c:pt idx="2">
                  <c:v>0.57832199896319458</c:v>
                </c:pt>
                <c:pt idx="3">
                  <c:v>0.5810430002284912</c:v>
                </c:pt>
                <c:pt idx="4">
                  <c:v>0.5786514930807708</c:v>
                </c:pt>
                <c:pt idx="5">
                  <c:v>0.59907425696043937</c:v>
                </c:pt>
                <c:pt idx="6">
                  <c:v>0.60093239605937587</c:v>
                </c:pt>
                <c:pt idx="7">
                  <c:v>0</c:v>
                </c:pt>
              </c:numCache>
            </c:numRef>
          </c:val>
          <c:smooth val="0"/>
        </c:ser>
        <c:dLbls>
          <c:showLegendKey val="0"/>
          <c:showVal val="0"/>
          <c:showCatName val="0"/>
          <c:showSerName val="0"/>
          <c:showPercent val="0"/>
          <c:showBubbleSize val="0"/>
        </c:dLbls>
        <c:marker val="1"/>
        <c:smooth val="0"/>
        <c:axId val="230281728"/>
        <c:axId val="223599360"/>
      </c:lineChart>
      <c:catAx>
        <c:axId val="230281728"/>
        <c:scaling>
          <c:orientation val="minMax"/>
        </c:scaling>
        <c:delete val="0"/>
        <c:axPos val="b"/>
        <c:majorTickMark val="out"/>
        <c:minorTickMark val="none"/>
        <c:tickLblPos val="nextTo"/>
        <c:crossAx val="223599360"/>
        <c:crosses val="autoZero"/>
        <c:auto val="1"/>
        <c:lblAlgn val="ctr"/>
        <c:lblOffset val="100"/>
        <c:noMultiLvlLbl val="0"/>
      </c:catAx>
      <c:valAx>
        <c:axId val="223599360"/>
        <c:scaling>
          <c:orientation val="minMax"/>
        </c:scaling>
        <c:delete val="0"/>
        <c:axPos val="l"/>
        <c:majorGridlines/>
        <c:numFmt formatCode="0.00%" sourceLinked="1"/>
        <c:majorTickMark val="out"/>
        <c:minorTickMark val="none"/>
        <c:tickLblPos val="nextTo"/>
        <c:crossAx val="2302817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8"/>
                <c:pt idx="0">
                  <c:v>0.23034277199774722</c:v>
                </c:pt>
                <c:pt idx="1">
                  <c:v>0.26098110565361454</c:v>
                </c:pt>
                <c:pt idx="2">
                  <c:v>0.23699727395716072</c:v>
                </c:pt>
                <c:pt idx="3">
                  <c:v>0.25161380048347826</c:v>
                </c:pt>
                <c:pt idx="4">
                  <c:v>0.24585212864452355</c:v>
                </c:pt>
                <c:pt idx="5">
                  <c:v>0.24243774647823554</c:v>
                </c:pt>
                <c:pt idx="6">
                  <c:v>0.20433735787899882</c:v>
                </c:pt>
                <c:pt idx="7">
                  <c:v>0</c:v>
                </c:pt>
              </c:numCache>
            </c:numRef>
          </c:val>
          <c:smooth val="0"/>
        </c:ser>
        <c:dLbls>
          <c:showLegendKey val="0"/>
          <c:showVal val="0"/>
          <c:showCatName val="0"/>
          <c:showSerName val="0"/>
          <c:showPercent val="0"/>
          <c:showBubbleSize val="0"/>
        </c:dLbls>
        <c:marker val="1"/>
        <c:smooth val="0"/>
        <c:axId val="230282752"/>
        <c:axId val="229515840"/>
      </c:lineChart>
      <c:catAx>
        <c:axId val="230282752"/>
        <c:scaling>
          <c:orientation val="minMax"/>
        </c:scaling>
        <c:delete val="0"/>
        <c:axPos val="b"/>
        <c:majorTickMark val="out"/>
        <c:minorTickMark val="none"/>
        <c:tickLblPos val="nextTo"/>
        <c:crossAx val="229515840"/>
        <c:crosses val="autoZero"/>
        <c:auto val="1"/>
        <c:lblAlgn val="ctr"/>
        <c:lblOffset val="100"/>
        <c:noMultiLvlLbl val="0"/>
      </c:catAx>
      <c:valAx>
        <c:axId val="229515840"/>
        <c:scaling>
          <c:orientation val="minMax"/>
        </c:scaling>
        <c:delete val="0"/>
        <c:axPos val="l"/>
        <c:majorGridlines/>
        <c:numFmt formatCode="0.00%" sourceLinked="1"/>
        <c:majorTickMark val="out"/>
        <c:minorTickMark val="none"/>
        <c:tickLblPos val="nextTo"/>
        <c:crossAx val="23028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8"/>
                <c:pt idx="0">
                  <c:v>0.30533466562382838</c:v>
                </c:pt>
                <c:pt idx="1">
                  <c:v>0.34371234846149978</c:v>
                </c:pt>
                <c:pt idx="2">
                  <c:v>0.29893692397660054</c:v>
                </c:pt>
                <c:pt idx="3">
                  <c:v>0.29627862880871741</c:v>
                </c:pt>
                <c:pt idx="4">
                  <c:v>0.28879445333066472</c:v>
                </c:pt>
                <c:pt idx="5">
                  <c:v>0.28433344604891919</c:v>
                </c:pt>
                <c:pt idx="6">
                  <c:v>0.23844751361267105</c:v>
                </c:pt>
                <c:pt idx="7">
                  <c:v>0</c:v>
                </c:pt>
              </c:numCache>
            </c:numRef>
          </c:val>
          <c:smooth val="0"/>
        </c:ser>
        <c:ser>
          <c:idx val="2"/>
          <c:order val="1"/>
          <c:tx>
            <c:strRef>
              <c:f>股权价值增加表!$A$34</c:f>
              <c:strCache>
                <c:ptCount val="1"/>
                <c:pt idx="0">
                  <c:v>    息前税后利润率=24/1*100%</c:v>
                </c:pt>
              </c:strCache>
            </c:strRef>
          </c:tx>
          <c:val>
            <c:numRef>
              <c:f>股权价值增加表!$B$34:$Y$34</c:f>
              <c:numCache>
                <c:formatCode>0.00%</c:formatCode>
                <c:ptCount val="8"/>
                <c:pt idx="0">
                  <c:v>0.25509427169314108</c:v>
                </c:pt>
                <c:pt idx="1">
                  <c:v>0.29369177673137303</c:v>
                </c:pt>
                <c:pt idx="2">
                  <c:v>0.25497527305007761</c:v>
                </c:pt>
                <c:pt idx="3">
                  <c:v>0.25227427984381151</c:v>
                </c:pt>
                <c:pt idx="4">
                  <c:v>0.24585212864452355</c:v>
                </c:pt>
                <c:pt idx="5">
                  <c:v>0.24243774647823554</c:v>
                </c:pt>
                <c:pt idx="6">
                  <c:v>0.20433735787899882</c:v>
                </c:pt>
                <c:pt idx="7">
                  <c:v>0</c:v>
                </c:pt>
              </c:numCache>
            </c:numRef>
          </c:val>
          <c:smooth val="0"/>
        </c:ser>
        <c:ser>
          <c:idx val="7"/>
          <c:order val="2"/>
          <c:tx>
            <c:strRef>
              <c:f>股权价值增加表!$A$39</c:f>
              <c:strCache>
                <c:ptCount val="1"/>
                <c:pt idx="0">
                  <c:v>    （息后）税前利润率=28/1*100%</c:v>
                </c:pt>
              </c:strCache>
            </c:strRef>
          </c:tx>
          <c:val>
            <c:numRef>
              <c:f>股权价值增加表!$B$39:$Y$39</c:f>
              <c:numCache>
                <c:formatCode>0.00%</c:formatCode>
                <c:ptCount val="8"/>
                <c:pt idx="0">
                  <c:v>0.28231976115316249</c:v>
                </c:pt>
                <c:pt idx="1">
                  <c:v>0.34232841804972852</c:v>
                </c:pt>
                <c:pt idx="2">
                  <c:v>0.2974702054736274</c:v>
                </c:pt>
                <c:pt idx="3">
                  <c:v>0.29233931228046434</c:v>
                </c:pt>
                <c:pt idx="4">
                  <c:v>0.2833076041984291</c:v>
                </c:pt>
                <c:pt idx="5">
                  <c:v>0.27644467147720819</c:v>
                </c:pt>
                <c:pt idx="6">
                  <c:v>0.23837374708962597</c:v>
                </c:pt>
                <c:pt idx="7">
                  <c:v>0</c:v>
                </c:pt>
              </c:numCache>
            </c:numRef>
          </c:val>
          <c:smooth val="0"/>
        </c:ser>
        <c:ser>
          <c:idx val="11"/>
          <c:order val="3"/>
          <c:tx>
            <c:strRef>
              <c:f>股权价值增加表!$A$43</c:f>
              <c:strCache>
                <c:ptCount val="1"/>
                <c:pt idx="0">
                  <c:v>    净利润率=30/1*100%</c:v>
                </c:pt>
              </c:strCache>
            </c:strRef>
          </c:tx>
          <c:val>
            <c:numRef>
              <c:f>股权价值增加表!$B$43:$Y$43</c:f>
              <c:numCache>
                <c:formatCode>0.00%</c:formatCode>
                <c:ptCount val="8"/>
                <c:pt idx="0">
                  <c:v>0.23586628694389303</c:v>
                </c:pt>
                <c:pt idx="1">
                  <c:v>0.29250925017006385</c:v>
                </c:pt>
                <c:pt idx="2">
                  <c:v>0.25372425010581112</c:v>
                </c:pt>
                <c:pt idx="3">
                  <c:v>0.24892004452742131</c:v>
                </c:pt>
                <c:pt idx="4">
                  <c:v>0.24118114717949191</c:v>
                </c:pt>
                <c:pt idx="5">
                  <c:v>0.23571135970869814</c:v>
                </c:pt>
                <c:pt idx="6">
                  <c:v>0.20427414373098535</c:v>
                </c:pt>
                <c:pt idx="7">
                  <c:v>0</c:v>
                </c:pt>
              </c:numCache>
            </c:numRef>
          </c:val>
          <c:smooth val="0"/>
        </c:ser>
        <c:dLbls>
          <c:showLegendKey val="0"/>
          <c:showVal val="0"/>
          <c:showCatName val="0"/>
          <c:showSerName val="0"/>
          <c:showPercent val="0"/>
          <c:showBubbleSize val="0"/>
        </c:dLbls>
        <c:marker val="1"/>
        <c:smooth val="0"/>
        <c:axId val="230283264"/>
        <c:axId val="229517568"/>
      </c:lineChart>
      <c:catAx>
        <c:axId val="230283264"/>
        <c:scaling>
          <c:orientation val="minMax"/>
        </c:scaling>
        <c:delete val="0"/>
        <c:axPos val="b"/>
        <c:majorTickMark val="out"/>
        <c:minorTickMark val="none"/>
        <c:tickLblPos val="nextTo"/>
        <c:crossAx val="229517568"/>
        <c:crosses val="autoZero"/>
        <c:auto val="1"/>
        <c:lblAlgn val="ctr"/>
        <c:lblOffset val="100"/>
        <c:noMultiLvlLbl val="0"/>
      </c:catAx>
      <c:valAx>
        <c:axId val="229517568"/>
        <c:scaling>
          <c:orientation val="minMax"/>
        </c:scaling>
        <c:delete val="0"/>
        <c:axPos val="l"/>
        <c:majorGridlines/>
        <c:numFmt formatCode="0.00%" sourceLinked="1"/>
        <c:majorTickMark val="out"/>
        <c:minorTickMark val="none"/>
        <c:tickLblPos val="nextTo"/>
        <c:crossAx val="23028326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ser>
        <c:ser>
          <c:idx val="1"/>
          <c:order val="1"/>
          <c:invertIfNegative val="0"/>
          <c:cat>
            <c:strRef>
              <c:f>股权价值增加表!$A$61</c:f>
              <c:strCache>
                <c:ptCount val="1"/>
                <c:pt idx="0">
                  <c:v>利润总额(万元)</c:v>
                </c:pt>
              </c:strCache>
            </c:strRef>
          </c:cat>
          <c:val>
            <c:numRef>
              <c:f>股权价值增加表!$C$61</c:f>
            </c:numRef>
          </c:val>
        </c:ser>
        <c:ser>
          <c:idx val="2"/>
          <c:order val="2"/>
          <c:invertIfNegative val="0"/>
          <c:cat>
            <c:strRef>
              <c:f>股权价值增加表!$A$61</c:f>
              <c:strCache>
                <c:ptCount val="1"/>
                <c:pt idx="0">
                  <c:v>利润总额(万元)</c:v>
                </c:pt>
              </c:strCache>
            </c:strRef>
          </c:cat>
          <c:val>
            <c:numRef>
              <c:f>股权价值增加表!$D$61</c:f>
            </c:numRef>
          </c:val>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143431853.49000001</c:v>
                </c:pt>
              </c:numCache>
            </c:numRef>
          </c:val>
        </c:ser>
        <c:ser>
          <c:idx val="4"/>
          <c:order val="4"/>
          <c:invertIfNegative val="0"/>
          <c:cat>
            <c:strRef>
              <c:f>股权价值增加表!$A$61</c:f>
              <c:strCache>
                <c:ptCount val="1"/>
                <c:pt idx="0">
                  <c:v>利润总额(万元)</c:v>
                </c:pt>
              </c:strCache>
            </c:strRef>
          </c:cat>
          <c:val>
            <c:numRef>
              <c:f>股权价值增加表!$F$61</c:f>
            </c:numRef>
          </c:val>
        </c:ser>
        <c:ser>
          <c:idx val="5"/>
          <c:order val="5"/>
          <c:invertIfNegative val="0"/>
          <c:cat>
            <c:strRef>
              <c:f>股权价值增加表!$A$61</c:f>
              <c:strCache>
                <c:ptCount val="1"/>
                <c:pt idx="0">
                  <c:v>利润总额(万元)</c:v>
                </c:pt>
              </c:strCache>
            </c:strRef>
          </c:cat>
          <c:val>
            <c:numRef>
              <c:f>股权价值增加表!$G$61</c:f>
            </c:numRef>
          </c:val>
        </c:ser>
        <c:ser>
          <c:idx val="6"/>
          <c:order val="6"/>
          <c:invertIfNegative val="0"/>
          <c:cat>
            <c:strRef>
              <c:f>股权价值增加表!$A$61</c:f>
              <c:strCache>
                <c:ptCount val="1"/>
                <c:pt idx="0">
                  <c:v>利润总额(万元)</c:v>
                </c:pt>
              </c:strCache>
            </c:strRef>
          </c:cat>
          <c:val>
            <c:numRef>
              <c:f>股权价值增加表!$H$61</c:f>
            </c:numRef>
          </c:val>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114302894.54000001</c:v>
                </c:pt>
              </c:numCache>
            </c:numRef>
          </c:val>
        </c:ser>
        <c:ser>
          <c:idx val="8"/>
          <c:order val="8"/>
          <c:invertIfNegative val="0"/>
          <c:cat>
            <c:strRef>
              <c:f>股权价值增加表!$A$61</c:f>
              <c:strCache>
                <c:ptCount val="1"/>
                <c:pt idx="0">
                  <c:v>利润总额(万元)</c:v>
                </c:pt>
              </c:strCache>
            </c:strRef>
          </c:cat>
          <c:val>
            <c:numRef>
              <c:f>股权价值增加表!$J$61</c:f>
            </c:numRef>
          </c:val>
        </c:ser>
        <c:ser>
          <c:idx val="9"/>
          <c:order val="9"/>
          <c:invertIfNegative val="0"/>
          <c:cat>
            <c:strRef>
              <c:f>股权价值增加表!$A$61</c:f>
              <c:strCache>
                <c:ptCount val="1"/>
                <c:pt idx="0">
                  <c:v>利润总额(万元)</c:v>
                </c:pt>
              </c:strCache>
            </c:strRef>
          </c:cat>
          <c:val>
            <c:numRef>
              <c:f>股权价值增加表!$K$61</c:f>
            </c:numRef>
          </c:val>
        </c:ser>
        <c:ser>
          <c:idx val="10"/>
          <c:order val="10"/>
          <c:invertIfNegative val="0"/>
          <c:cat>
            <c:strRef>
              <c:f>股权价值增加表!$A$61</c:f>
              <c:strCache>
                <c:ptCount val="1"/>
                <c:pt idx="0">
                  <c:v>利润总额(万元)</c:v>
                </c:pt>
              </c:strCache>
            </c:strRef>
          </c:cat>
          <c:val>
            <c:numRef>
              <c:f>股权价值增加表!$L$61</c:f>
            </c:numRef>
          </c:val>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96244326.909999996</c:v>
                </c:pt>
              </c:numCache>
            </c:numRef>
          </c:val>
        </c:ser>
        <c:ser>
          <c:idx val="12"/>
          <c:order val="12"/>
          <c:invertIfNegative val="0"/>
          <c:cat>
            <c:strRef>
              <c:f>股权价值增加表!$A$61</c:f>
              <c:strCache>
                <c:ptCount val="1"/>
                <c:pt idx="0">
                  <c:v>利润总额(万元)</c:v>
                </c:pt>
              </c:strCache>
            </c:strRef>
          </c:cat>
          <c:val>
            <c:numRef>
              <c:f>股权价值增加表!$N$61</c:f>
            </c:numRef>
          </c:val>
        </c:ser>
        <c:ser>
          <c:idx val="13"/>
          <c:order val="13"/>
          <c:invertIfNegative val="0"/>
          <c:cat>
            <c:strRef>
              <c:f>股权价值增加表!$A$61</c:f>
              <c:strCache>
                <c:ptCount val="1"/>
                <c:pt idx="0">
                  <c:v>利润总额(万元)</c:v>
                </c:pt>
              </c:strCache>
            </c:strRef>
          </c:cat>
          <c:val>
            <c:numRef>
              <c:f>股权价值增加表!$O$61</c:f>
            </c:numRef>
          </c:val>
        </c:ser>
        <c:ser>
          <c:idx val="14"/>
          <c:order val="14"/>
          <c:invertIfNegative val="0"/>
          <c:cat>
            <c:strRef>
              <c:f>股权价值增加表!$A$61</c:f>
              <c:strCache>
                <c:ptCount val="1"/>
                <c:pt idx="0">
                  <c:v>利润总额(万元)</c:v>
                </c:pt>
              </c:strCache>
            </c:strRef>
          </c:cat>
          <c:val>
            <c:numRef>
              <c:f>股权价值增加表!$P$61</c:f>
            </c:numRef>
          </c:val>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104408436.29000001</c:v>
                </c:pt>
              </c:numCache>
            </c:numRef>
          </c:val>
        </c:ser>
        <c:ser>
          <c:idx val="16"/>
          <c:order val="16"/>
          <c:invertIfNegative val="0"/>
          <c:cat>
            <c:strRef>
              <c:f>股权价值增加表!$A$61</c:f>
              <c:strCache>
                <c:ptCount val="1"/>
                <c:pt idx="0">
                  <c:v>利润总额(万元)</c:v>
                </c:pt>
              </c:strCache>
            </c:strRef>
          </c:cat>
          <c:val>
            <c:numRef>
              <c:f>股权价值增加表!$R$61</c:f>
            </c:numRef>
          </c:val>
        </c:ser>
        <c:ser>
          <c:idx val="17"/>
          <c:order val="17"/>
          <c:invertIfNegative val="0"/>
          <c:cat>
            <c:strRef>
              <c:f>股权价值增加表!$A$61</c:f>
              <c:strCache>
                <c:ptCount val="1"/>
                <c:pt idx="0">
                  <c:v>利润总额(万元)</c:v>
                </c:pt>
              </c:strCache>
            </c:strRef>
          </c:cat>
          <c:val>
            <c:numRef>
              <c:f>股权价值增加表!$S$61</c:f>
            </c:numRef>
          </c:val>
        </c:ser>
        <c:ser>
          <c:idx val="18"/>
          <c:order val="18"/>
          <c:invertIfNegative val="0"/>
          <c:cat>
            <c:strRef>
              <c:f>股权价值增加表!$A$61</c:f>
              <c:strCache>
                <c:ptCount val="1"/>
                <c:pt idx="0">
                  <c:v>利润总额(万元)</c:v>
                </c:pt>
              </c:strCache>
            </c:strRef>
          </c:cat>
          <c:val>
            <c:numRef>
              <c:f>股权价值增加表!$T$61</c:f>
            </c:numRef>
          </c:val>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94287964.689999998</c:v>
                </c:pt>
              </c:numCache>
            </c:numRef>
          </c:val>
        </c:ser>
        <c:ser>
          <c:idx val="20"/>
          <c:order val="20"/>
          <c:invertIfNegative val="0"/>
          <c:cat>
            <c:strRef>
              <c:f>股权价值增加表!$A$61</c:f>
              <c:strCache>
                <c:ptCount val="1"/>
                <c:pt idx="0">
                  <c:v>利润总额(万元)</c:v>
                </c:pt>
              </c:strCache>
            </c:strRef>
          </c:cat>
          <c:val>
            <c:numRef>
              <c:f>股权价值增加表!$V$61</c:f>
              <c:numCache>
                <c:formatCode>General</c:formatCode>
                <c:ptCount val="1"/>
                <c:pt idx="0">
                  <c:v>85438131.769999996</c:v>
                </c:pt>
              </c:numCache>
            </c:numRef>
          </c:val>
        </c:ser>
        <c:ser>
          <c:idx val="21"/>
          <c:order val="21"/>
          <c:invertIfNegative val="0"/>
          <c:cat>
            <c:strRef>
              <c:f>股权价值增加表!$A$61</c:f>
              <c:strCache>
                <c:ptCount val="1"/>
                <c:pt idx="0">
                  <c:v>利润总额(万元)</c:v>
                </c:pt>
              </c:strCache>
            </c:strRef>
          </c:cat>
          <c:val>
            <c:numRef>
              <c:f>股权价值增加表!$W$61</c:f>
              <c:numCache>
                <c:formatCode>General</c:formatCode>
                <c:ptCount val="1"/>
                <c:pt idx="0">
                  <c:v>57148962.25</c:v>
                </c:pt>
              </c:numCache>
            </c:numRef>
          </c:val>
        </c:ser>
        <c:ser>
          <c:idx val="22"/>
          <c:order val="22"/>
          <c:invertIfNegative val="0"/>
          <c:cat>
            <c:strRef>
              <c:f>股权价值增加表!$A$61</c:f>
              <c:strCache>
                <c:ptCount val="1"/>
                <c:pt idx="0">
                  <c:v>利润总额(万元)</c:v>
                </c:pt>
              </c:strCache>
            </c:strRef>
          </c:cat>
          <c:val>
            <c:numRef>
              <c:f>股权价值增加表!$X$61</c:f>
            </c:numRef>
          </c:val>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341199281.31</c:v>
                </c:pt>
              </c:numCache>
            </c:numRef>
          </c:val>
        </c:ser>
        <c:dLbls>
          <c:showLegendKey val="0"/>
          <c:showVal val="0"/>
          <c:showCatName val="0"/>
          <c:showSerName val="0"/>
          <c:showPercent val="0"/>
          <c:showBubbleSize val="0"/>
        </c:dLbls>
        <c:gapWidth val="150"/>
        <c:axId val="230284800"/>
        <c:axId val="229519872"/>
      </c:barChart>
      <c:catAx>
        <c:axId val="230284800"/>
        <c:scaling>
          <c:orientation val="minMax"/>
        </c:scaling>
        <c:delete val="0"/>
        <c:axPos val="b"/>
        <c:numFmt formatCode="@" sourceLinked="1"/>
        <c:majorTickMark val="out"/>
        <c:minorTickMark val="none"/>
        <c:tickLblPos val="nextTo"/>
        <c:crossAx val="229519872"/>
        <c:crosses val="autoZero"/>
        <c:auto val="1"/>
        <c:lblAlgn val="ctr"/>
        <c:lblOffset val="100"/>
        <c:noMultiLvlLbl val="0"/>
      </c:catAx>
      <c:valAx>
        <c:axId val="229519872"/>
        <c:scaling>
          <c:orientation val="minMax"/>
        </c:scaling>
        <c:delete val="0"/>
        <c:axPos val="l"/>
        <c:majorGridlines/>
        <c:numFmt formatCode="General" sourceLinked="1"/>
        <c:majorTickMark val="out"/>
        <c:minorTickMark val="none"/>
        <c:tickLblPos val="nextTo"/>
        <c:crossAx val="2302848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8"/>
                <c:pt idx="0">
                  <c:v>37664015.783600032</c:v>
                </c:pt>
                <c:pt idx="1">
                  <c:v>26284983.054399997</c:v>
                </c:pt>
                <c:pt idx="2">
                  <c:v>17519674.895200014</c:v>
                </c:pt>
                <c:pt idx="3">
                  <c:v>61722201.57159999</c:v>
                </c:pt>
                <c:pt idx="4">
                  <c:v>80267804.860000014</c:v>
                </c:pt>
                <c:pt idx="5">
                  <c:v>72849073.570000038</c:v>
                </c:pt>
                <c:pt idx="6">
                  <c:v>48973745.939999998</c:v>
                </c:pt>
                <c:pt idx="7">
                  <c:v>-305136449.58360004</c:v>
                </c:pt>
              </c:numCache>
            </c:numRef>
          </c:val>
        </c:ser>
        <c:dLbls>
          <c:showLegendKey val="0"/>
          <c:showVal val="0"/>
          <c:showCatName val="0"/>
          <c:showSerName val="0"/>
          <c:showPercent val="0"/>
          <c:showBubbleSize val="0"/>
        </c:dLbls>
        <c:gapWidth val="150"/>
        <c:axId val="231273472"/>
        <c:axId val="231161856"/>
      </c:barChart>
      <c:catAx>
        <c:axId val="231273472"/>
        <c:scaling>
          <c:orientation val="minMax"/>
        </c:scaling>
        <c:delete val="0"/>
        <c:axPos val="b"/>
        <c:majorTickMark val="out"/>
        <c:minorTickMark val="none"/>
        <c:tickLblPos val="nextTo"/>
        <c:crossAx val="231161856"/>
        <c:crosses val="autoZero"/>
        <c:auto val="1"/>
        <c:lblAlgn val="ctr"/>
        <c:lblOffset val="100"/>
        <c:noMultiLvlLbl val="0"/>
      </c:catAx>
      <c:valAx>
        <c:axId val="231161856"/>
        <c:scaling>
          <c:orientation val="minMax"/>
        </c:scaling>
        <c:delete val="0"/>
        <c:axPos val="l"/>
        <c:majorGridlines/>
        <c:numFmt formatCode="#,##0.00_ " sourceLinked="1"/>
        <c:majorTickMark val="out"/>
        <c:minorTickMark val="none"/>
        <c:tickLblPos val="nextTo"/>
        <c:crossAx val="2312734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ser>
        <c:ser>
          <c:idx val="1"/>
          <c:order val="1"/>
          <c:invertIfNegative val="0"/>
          <c:cat>
            <c:strRef>
              <c:f>股权价值增加表!$A$70</c:f>
              <c:strCache>
                <c:ptCount val="1"/>
                <c:pt idx="0">
                  <c:v>所有者权益</c:v>
                </c:pt>
              </c:strCache>
            </c:strRef>
          </c:cat>
          <c:val>
            <c:numRef>
              <c:f>股权价值增加表!$C$70</c:f>
            </c:numRef>
          </c:val>
        </c:ser>
        <c:ser>
          <c:idx val="2"/>
          <c:order val="2"/>
          <c:invertIfNegative val="0"/>
          <c:cat>
            <c:strRef>
              <c:f>股权价值增加表!$A$70</c:f>
              <c:strCache>
                <c:ptCount val="1"/>
                <c:pt idx="0">
                  <c:v>所有者权益</c:v>
                </c:pt>
              </c:strCache>
            </c:strRef>
          </c:cat>
          <c:val>
            <c:numRef>
              <c:f>股权价值增加表!$D$70</c:f>
            </c:numRef>
          </c:val>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991209375.58000004</c:v>
                </c:pt>
              </c:numCache>
            </c:numRef>
          </c:val>
        </c:ser>
        <c:ser>
          <c:idx val="4"/>
          <c:order val="4"/>
          <c:invertIfNegative val="0"/>
          <c:cat>
            <c:strRef>
              <c:f>股权价值增加表!$A$70</c:f>
              <c:strCache>
                <c:ptCount val="1"/>
                <c:pt idx="0">
                  <c:v>所有者权益</c:v>
                </c:pt>
              </c:strCache>
            </c:strRef>
          </c:cat>
          <c:val>
            <c:numRef>
              <c:f>股权价值增加表!$F$70</c:f>
            </c:numRef>
          </c:val>
        </c:ser>
        <c:ser>
          <c:idx val="5"/>
          <c:order val="5"/>
          <c:invertIfNegative val="0"/>
          <c:cat>
            <c:strRef>
              <c:f>股权价值增加表!$A$70</c:f>
              <c:strCache>
                <c:ptCount val="1"/>
                <c:pt idx="0">
                  <c:v>所有者权益</c:v>
                </c:pt>
              </c:strCache>
            </c:strRef>
          </c:cat>
          <c:val>
            <c:numRef>
              <c:f>股权价值增加表!$G$70</c:f>
            </c:numRef>
          </c:val>
        </c:ser>
        <c:ser>
          <c:idx val="6"/>
          <c:order val="6"/>
          <c:invertIfNegative val="0"/>
          <c:cat>
            <c:strRef>
              <c:f>股权价值增加表!$A$70</c:f>
              <c:strCache>
                <c:ptCount val="1"/>
                <c:pt idx="0">
                  <c:v>所有者权益</c:v>
                </c:pt>
              </c:strCache>
            </c:strRef>
          </c:cat>
          <c:val>
            <c:numRef>
              <c:f>股权价值增加表!$H$70</c:f>
            </c:numRef>
          </c:val>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892884868.82000005</c:v>
                </c:pt>
              </c:numCache>
            </c:numRef>
          </c:val>
        </c:ser>
        <c:ser>
          <c:idx val="8"/>
          <c:order val="8"/>
          <c:invertIfNegative val="0"/>
          <c:cat>
            <c:strRef>
              <c:f>股权价值增加表!$A$70</c:f>
              <c:strCache>
                <c:ptCount val="1"/>
                <c:pt idx="0">
                  <c:v>所有者权益</c:v>
                </c:pt>
              </c:strCache>
            </c:strRef>
          </c:cat>
          <c:val>
            <c:numRef>
              <c:f>股权价值增加表!$J$70</c:f>
            </c:numRef>
          </c:val>
        </c:ser>
        <c:ser>
          <c:idx val="9"/>
          <c:order val="9"/>
          <c:invertIfNegative val="0"/>
          <c:cat>
            <c:strRef>
              <c:f>股权价值增加表!$A$70</c:f>
              <c:strCache>
                <c:ptCount val="1"/>
                <c:pt idx="0">
                  <c:v>所有者权益</c:v>
                </c:pt>
              </c:strCache>
            </c:strRef>
          </c:cat>
          <c:val>
            <c:numRef>
              <c:f>股权价值增加表!$K$70</c:f>
            </c:numRef>
          </c:val>
        </c:ser>
        <c:ser>
          <c:idx val="10"/>
          <c:order val="10"/>
          <c:invertIfNegative val="0"/>
          <c:cat>
            <c:strRef>
              <c:f>股权价值增加表!$A$70</c:f>
              <c:strCache>
                <c:ptCount val="1"/>
                <c:pt idx="0">
                  <c:v>所有者权益</c:v>
                </c:pt>
              </c:strCache>
            </c:strRef>
          </c:cat>
          <c:val>
            <c:numRef>
              <c:f>股权价值增加表!$L$70</c:f>
            </c:numRef>
          </c:val>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807226588.05999994</c:v>
                </c:pt>
              </c:numCache>
            </c:numRef>
          </c:val>
        </c:ser>
        <c:ser>
          <c:idx val="12"/>
          <c:order val="12"/>
          <c:invertIfNegative val="0"/>
          <c:cat>
            <c:strRef>
              <c:f>股权价值增加表!$A$70</c:f>
              <c:strCache>
                <c:ptCount val="1"/>
                <c:pt idx="0">
                  <c:v>所有者权益</c:v>
                </c:pt>
              </c:strCache>
            </c:strRef>
          </c:cat>
          <c:val>
            <c:numRef>
              <c:f>股权价值增加表!$N$70</c:f>
            </c:numRef>
          </c:val>
        </c:ser>
        <c:ser>
          <c:idx val="13"/>
          <c:order val="13"/>
          <c:invertIfNegative val="0"/>
          <c:cat>
            <c:strRef>
              <c:f>股权价值增加表!$A$70</c:f>
              <c:strCache>
                <c:ptCount val="1"/>
                <c:pt idx="0">
                  <c:v>所有者权益</c:v>
                </c:pt>
              </c:strCache>
            </c:strRef>
          </c:cat>
          <c:val>
            <c:numRef>
              <c:f>股权价值增加表!$O$70</c:f>
            </c:numRef>
          </c:val>
        </c:ser>
        <c:ser>
          <c:idx val="14"/>
          <c:order val="14"/>
          <c:invertIfNegative val="0"/>
          <c:cat>
            <c:strRef>
              <c:f>股权价值增加表!$A$70</c:f>
              <c:strCache>
                <c:ptCount val="1"/>
                <c:pt idx="0">
                  <c:v>所有者权益</c:v>
                </c:pt>
              </c:strCache>
            </c:strRef>
          </c:cat>
          <c:val>
            <c:numRef>
              <c:f>股权价值增加表!$P$70</c:f>
            </c:numRef>
          </c:val>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339227935.73000002</c:v>
                </c:pt>
              </c:numCache>
            </c:numRef>
          </c:val>
        </c:ser>
        <c:ser>
          <c:idx val="16"/>
          <c:order val="16"/>
          <c:invertIfNegative val="0"/>
          <c:cat>
            <c:strRef>
              <c:f>股权价值增加表!$A$70</c:f>
              <c:strCache>
                <c:ptCount val="1"/>
                <c:pt idx="0">
                  <c:v>所有者权益</c:v>
                </c:pt>
              </c:strCache>
            </c:strRef>
          </c:cat>
          <c:val>
            <c:numRef>
              <c:f>股权价值增加表!$R$70</c:f>
            </c:numRef>
          </c:val>
        </c:ser>
        <c:ser>
          <c:idx val="17"/>
          <c:order val="17"/>
          <c:invertIfNegative val="0"/>
          <c:cat>
            <c:strRef>
              <c:f>股权价值增加表!$A$70</c:f>
              <c:strCache>
                <c:ptCount val="1"/>
                <c:pt idx="0">
                  <c:v>所有者权益</c:v>
                </c:pt>
              </c:strCache>
            </c:strRef>
          </c:cat>
          <c:val>
            <c:numRef>
              <c:f>股权价值增加表!$S$70</c:f>
            </c:numRef>
          </c:val>
        </c:ser>
        <c:ser>
          <c:idx val="18"/>
          <c:order val="18"/>
          <c:invertIfNegative val="0"/>
          <c:cat>
            <c:strRef>
              <c:f>股权价值增加表!$A$70</c:f>
              <c:strCache>
                <c:ptCount val="1"/>
                <c:pt idx="0">
                  <c:v>所有者权益</c:v>
                </c:pt>
              </c:strCache>
            </c:strRef>
          </c:cat>
          <c:val>
            <c:numRef>
              <c:f>股权价值增加表!$T$70</c:f>
            </c:numRef>
          </c:val>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0</c:v>
                </c:pt>
              </c:numCache>
            </c:numRef>
          </c:val>
        </c:ser>
        <c:ser>
          <c:idx val="20"/>
          <c:order val="20"/>
          <c:invertIfNegative val="0"/>
          <c:cat>
            <c:strRef>
              <c:f>股权价值增加表!$A$70</c:f>
              <c:strCache>
                <c:ptCount val="1"/>
                <c:pt idx="0">
                  <c:v>所有者权益</c:v>
                </c:pt>
              </c:strCache>
            </c:strRef>
          </c:cat>
          <c:val>
            <c:numRef>
              <c:f>股权价值增加表!$V$70</c:f>
              <c:numCache>
                <c:formatCode>General</c:formatCode>
                <c:ptCount val="1"/>
              </c:numCache>
            </c:numRef>
          </c:val>
        </c:ser>
        <c:ser>
          <c:idx val="21"/>
          <c:order val="21"/>
          <c:invertIfNegative val="0"/>
          <c:cat>
            <c:strRef>
              <c:f>股权价值增加表!$A$70</c:f>
              <c:strCache>
                <c:ptCount val="1"/>
                <c:pt idx="0">
                  <c:v>所有者权益</c:v>
                </c:pt>
              </c:strCache>
            </c:strRef>
          </c:cat>
          <c:val>
            <c:numRef>
              <c:f>股权价值增加表!$W$70</c:f>
              <c:numCache>
                <c:formatCode>General</c:formatCode>
                <c:ptCount val="1"/>
              </c:numCache>
            </c:numRef>
          </c:val>
        </c:ser>
        <c:ser>
          <c:idx val="22"/>
          <c:order val="22"/>
          <c:invertIfNegative val="0"/>
          <c:cat>
            <c:strRef>
              <c:f>股权价值增加表!$A$70</c:f>
              <c:strCache>
                <c:ptCount val="1"/>
                <c:pt idx="0">
                  <c:v>所有者权益</c:v>
                </c:pt>
              </c:strCache>
            </c:strRef>
          </c:cat>
          <c:val>
            <c:numRef>
              <c:f>股权价值增加表!$X$70</c:f>
            </c:numRef>
          </c:val>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2932489543.6700001</c:v>
                </c:pt>
              </c:numCache>
            </c:numRef>
          </c:val>
        </c:ser>
        <c:dLbls>
          <c:showLegendKey val="0"/>
          <c:showVal val="0"/>
          <c:showCatName val="0"/>
          <c:showSerName val="0"/>
          <c:showPercent val="0"/>
          <c:showBubbleSize val="0"/>
        </c:dLbls>
        <c:gapWidth val="150"/>
        <c:axId val="231273984"/>
        <c:axId val="231163584"/>
      </c:barChart>
      <c:catAx>
        <c:axId val="231273984"/>
        <c:scaling>
          <c:orientation val="minMax"/>
        </c:scaling>
        <c:delete val="0"/>
        <c:axPos val="b"/>
        <c:majorTickMark val="out"/>
        <c:minorTickMark val="none"/>
        <c:tickLblPos val="nextTo"/>
        <c:crossAx val="231163584"/>
        <c:crosses val="autoZero"/>
        <c:auto val="1"/>
        <c:lblAlgn val="ctr"/>
        <c:lblOffset val="100"/>
        <c:noMultiLvlLbl val="0"/>
      </c:catAx>
      <c:valAx>
        <c:axId val="231163584"/>
        <c:scaling>
          <c:orientation val="minMax"/>
        </c:scaling>
        <c:delete val="0"/>
        <c:axPos val="l"/>
        <c:majorGridlines/>
        <c:numFmt formatCode="General" sourceLinked="1"/>
        <c:majorTickMark val="out"/>
        <c:minorTickMark val="none"/>
        <c:tickLblPos val="nextTo"/>
        <c:crossAx val="231273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5"/>
                <c:pt idx="0">
                  <c:v>-1.1119759585162512E-2</c:v>
                </c:pt>
                <c:pt idx="1">
                  <c:v>-1.7599215998401373E-2</c:v>
                </c:pt>
                <c:pt idx="2">
                  <c:v>-2.5763164780470128E-2</c:v>
                </c:pt>
                <c:pt idx="3">
                  <c:v>0</c:v>
                </c:pt>
                <c:pt idx="4">
                  <c:v>6.6946894091688899E-3</c:v>
                </c:pt>
              </c:numCache>
            </c:numRef>
          </c:val>
          <c:smooth val="0"/>
        </c:ser>
        <c:dLbls>
          <c:showLegendKey val="0"/>
          <c:showVal val="0"/>
          <c:showCatName val="0"/>
          <c:showSerName val="0"/>
          <c:showPercent val="0"/>
          <c:showBubbleSize val="0"/>
        </c:dLbls>
        <c:marker val="1"/>
        <c:smooth val="0"/>
        <c:axId val="229408768"/>
        <c:axId val="231167040"/>
      </c:lineChart>
      <c:catAx>
        <c:axId val="229408768"/>
        <c:scaling>
          <c:orientation val="minMax"/>
        </c:scaling>
        <c:delete val="0"/>
        <c:axPos val="b"/>
        <c:majorTickMark val="out"/>
        <c:minorTickMark val="none"/>
        <c:tickLblPos val="nextTo"/>
        <c:crossAx val="231167040"/>
        <c:crosses val="autoZero"/>
        <c:auto val="1"/>
        <c:lblAlgn val="ctr"/>
        <c:lblOffset val="100"/>
        <c:noMultiLvlLbl val="0"/>
      </c:catAx>
      <c:valAx>
        <c:axId val="231167040"/>
        <c:scaling>
          <c:orientation val="minMax"/>
        </c:scaling>
        <c:delete val="0"/>
        <c:axPos val="l"/>
        <c:majorGridlines/>
        <c:numFmt formatCode="0.00%" sourceLinked="1"/>
        <c:majorTickMark val="out"/>
        <c:minorTickMark val="none"/>
        <c:tickLblPos val="nextTo"/>
        <c:crossAx val="22940876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c:formatCode>
                <c:ptCount val="8"/>
                <c:pt idx="0">
                  <c:v>8.3244397920902458</c:v>
                </c:pt>
                <c:pt idx="1">
                  <c:v>0.5346800986923218</c:v>
                </c:pt>
                <c:pt idx="2">
                  <c:v>5.2892755541559247</c:v>
                </c:pt>
                <c:pt idx="3">
                  <c:v>4.1295196493377233</c:v>
                </c:pt>
                <c:pt idx="4">
                  <c:v>2.0244550750218226</c:v>
                </c:pt>
                <c:pt idx="5">
                  <c:v>0.94859493630230418</c:v>
                </c:pt>
                <c:pt idx="6">
                  <c:v>0.5911268373793972</c:v>
                </c:pt>
                <c:pt idx="7">
                  <c:v>0.58209126366438357</c:v>
                </c:pt>
              </c:numCache>
            </c:numRef>
          </c:val>
          <c:smooth val="0"/>
        </c:ser>
        <c:dLbls>
          <c:showLegendKey val="0"/>
          <c:showVal val="0"/>
          <c:showCatName val="0"/>
          <c:showSerName val="0"/>
          <c:showPercent val="0"/>
          <c:showBubbleSize val="0"/>
        </c:dLbls>
        <c:marker val="1"/>
        <c:smooth val="0"/>
        <c:axId val="226615808"/>
        <c:axId val="231168768"/>
      </c:lineChart>
      <c:catAx>
        <c:axId val="226615808"/>
        <c:scaling>
          <c:orientation val="minMax"/>
        </c:scaling>
        <c:delete val="0"/>
        <c:axPos val="b"/>
        <c:majorTickMark val="out"/>
        <c:minorTickMark val="none"/>
        <c:tickLblPos val="nextTo"/>
        <c:crossAx val="231168768"/>
        <c:crosses val="autoZero"/>
        <c:auto val="1"/>
        <c:lblAlgn val="ctr"/>
        <c:lblOffset val="100"/>
        <c:noMultiLvlLbl val="0"/>
      </c:catAx>
      <c:valAx>
        <c:axId val="231168768"/>
        <c:scaling>
          <c:orientation val="minMax"/>
        </c:scaling>
        <c:delete val="0"/>
        <c:axPos val="l"/>
        <c:majorGridlines/>
        <c:numFmt formatCode="0.00%" sourceLinked="1"/>
        <c:majorTickMark val="out"/>
        <c:minorTickMark val="none"/>
        <c:tickLblPos val="nextTo"/>
        <c:crossAx val="22661580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8"/>
                <c:pt idx="0">
                  <c:v>8673582.459999999</c:v>
                </c:pt>
                <c:pt idx="1">
                  <c:v>5447326.0199999996</c:v>
                </c:pt>
                <c:pt idx="2">
                  <c:v>4780626.5</c:v>
                </c:pt>
                <c:pt idx="3">
                  <c:v>9331656.75</c:v>
                </c:pt>
                <c:pt idx="4">
                  <c:v>17412678.129999999</c:v>
                </c:pt>
                <c:pt idx="5">
                  <c:v>34214495.100000001</c:v>
                </c:pt>
                <c:pt idx="6">
                  <c:v>17642227.32</c:v>
                </c:pt>
                <c:pt idx="7">
                  <c:v>503534216.37</c:v>
                </c:pt>
              </c:numCache>
            </c:numRef>
          </c:val>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8"/>
                <c:pt idx="0">
                  <c:v>0</c:v>
                </c:pt>
                <c:pt idx="1">
                  <c:v>125400000</c:v>
                </c:pt>
                <c:pt idx="2">
                  <c:v>0</c:v>
                </c:pt>
                <c:pt idx="3">
                  <c:v>0</c:v>
                </c:pt>
                <c:pt idx="4">
                  <c:v>0</c:v>
                </c:pt>
                <c:pt idx="5">
                  <c:v>0</c:v>
                </c:pt>
                <c:pt idx="6">
                  <c:v>0</c:v>
                </c:pt>
                <c:pt idx="7">
                  <c:v>176000000</c:v>
                </c:pt>
              </c:numCache>
            </c:numRef>
          </c:val>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8"/>
                <c:pt idx="0">
                  <c:v>72202714.969999999</c:v>
                </c:pt>
                <c:pt idx="1">
                  <c:v>69961461.189999998</c:v>
                </c:pt>
                <c:pt idx="2">
                  <c:v>25286050.879999999</c:v>
                </c:pt>
                <c:pt idx="3">
                  <c:v>38535259.909999996</c:v>
                </c:pt>
                <c:pt idx="4">
                  <c:v>35251184.609999999</c:v>
                </c:pt>
                <c:pt idx="5">
                  <c:v>32455696.800000001</c:v>
                </c:pt>
                <c:pt idx="6">
                  <c:v>10428794.039999999</c:v>
                </c:pt>
                <c:pt idx="7">
                  <c:v>395550930.70999998</c:v>
                </c:pt>
              </c:numCache>
            </c:numRef>
          </c:val>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8"/>
                <c:pt idx="0">
                  <c:v>-175794460.61000001</c:v>
                </c:pt>
                <c:pt idx="1">
                  <c:v>141932782.49000001</c:v>
                </c:pt>
                <c:pt idx="2">
                  <c:v>362192798.81999999</c:v>
                </c:pt>
                <c:pt idx="3">
                  <c:v>16636670</c:v>
                </c:pt>
                <c:pt idx="4">
                  <c:v>-38845825.009999998</c:v>
                </c:pt>
                <c:pt idx="5">
                  <c:v>-5173471.13</c:v>
                </c:pt>
                <c:pt idx="6">
                  <c:v>21779642.550000001</c:v>
                </c:pt>
                <c:pt idx="7">
                  <c:v>-247406413.22</c:v>
                </c:pt>
              </c:numCache>
            </c:numRef>
          </c:val>
        </c:ser>
        <c:dLbls>
          <c:showLegendKey val="0"/>
          <c:showVal val="0"/>
          <c:showCatName val="0"/>
          <c:showSerName val="0"/>
          <c:showPercent val="0"/>
          <c:showBubbleSize val="0"/>
        </c:dLbls>
        <c:gapWidth val="150"/>
        <c:axId val="229409792"/>
        <c:axId val="229311040"/>
      </c:barChart>
      <c:catAx>
        <c:axId val="229409792"/>
        <c:scaling>
          <c:orientation val="minMax"/>
        </c:scaling>
        <c:delete val="0"/>
        <c:axPos val="b"/>
        <c:majorTickMark val="none"/>
        <c:minorTickMark val="none"/>
        <c:tickLblPos val="nextTo"/>
        <c:crossAx val="229311040"/>
        <c:crosses val="autoZero"/>
        <c:auto val="1"/>
        <c:lblAlgn val="ctr"/>
        <c:lblOffset val="100"/>
        <c:noMultiLvlLbl val="0"/>
      </c:catAx>
      <c:valAx>
        <c:axId val="229311040"/>
        <c:scaling>
          <c:orientation val="minMax"/>
        </c:scaling>
        <c:delete val="0"/>
        <c:axPos val="l"/>
        <c:majorGridlines/>
        <c:numFmt formatCode="#,##0.00_ " sourceLinked="1"/>
        <c:majorTickMark val="none"/>
        <c:minorTickMark val="none"/>
        <c:tickLblPos val="nextTo"/>
        <c:crossAx val="22940979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8"/>
                <c:pt idx="0">
                  <c:v>-21336000</c:v>
                </c:pt>
                <c:pt idx="1">
                  <c:v>-20003000</c:v>
                </c:pt>
                <c:pt idx="2">
                  <c:v>396330700</c:v>
                </c:pt>
                <c:pt idx="3">
                  <c:v>-10000000</c:v>
                </c:pt>
                <c:pt idx="4">
                  <c:v>0</c:v>
                </c:pt>
                <c:pt idx="5">
                  <c:v>0</c:v>
                </c:pt>
                <c:pt idx="6">
                  <c:v>0</c:v>
                </c:pt>
                <c:pt idx="7">
                  <c:v>0</c:v>
                </c:pt>
              </c:numCache>
            </c:numRef>
          </c:val>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8"/>
                <c:pt idx="0">
                  <c:v>-3310528.6899999995</c:v>
                </c:pt>
                <c:pt idx="1">
                  <c:v>-805479.45</c:v>
                </c:pt>
                <c:pt idx="2">
                  <c:v>-30482983.809999999</c:v>
                </c:pt>
                <c:pt idx="3">
                  <c:v>28641750</c:v>
                </c:pt>
                <c:pt idx="4">
                  <c:v>-31000000</c:v>
                </c:pt>
                <c:pt idx="5">
                  <c:v>0</c:v>
                </c:pt>
                <c:pt idx="6">
                  <c:v>31000000</c:v>
                </c:pt>
                <c:pt idx="7">
                  <c:v>-159664267.03</c:v>
                </c:pt>
              </c:numCache>
            </c:numRef>
          </c:val>
        </c:ser>
        <c:dLbls>
          <c:showLegendKey val="0"/>
          <c:showVal val="0"/>
          <c:showCatName val="0"/>
          <c:showSerName val="0"/>
          <c:showPercent val="0"/>
          <c:showBubbleSize val="0"/>
        </c:dLbls>
        <c:gapWidth val="150"/>
        <c:axId val="229410304"/>
        <c:axId val="229313344"/>
      </c:barChart>
      <c:catAx>
        <c:axId val="229410304"/>
        <c:scaling>
          <c:orientation val="minMax"/>
        </c:scaling>
        <c:delete val="0"/>
        <c:axPos val="b"/>
        <c:majorTickMark val="out"/>
        <c:minorTickMark val="none"/>
        <c:tickLblPos val="nextTo"/>
        <c:crossAx val="229313344"/>
        <c:crosses val="autoZero"/>
        <c:auto val="1"/>
        <c:lblAlgn val="ctr"/>
        <c:lblOffset val="100"/>
        <c:noMultiLvlLbl val="0"/>
      </c:catAx>
      <c:valAx>
        <c:axId val="229313344"/>
        <c:scaling>
          <c:orientation val="minMax"/>
        </c:scaling>
        <c:delete val="0"/>
        <c:axPos val="l"/>
        <c:majorGridlines/>
        <c:numFmt formatCode="#,##0.00_ " sourceLinked="1"/>
        <c:majorTickMark val="out"/>
        <c:minorTickMark val="none"/>
        <c:tickLblPos val="nextTo"/>
        <c:crossAx val="2294103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8"/>
                <c:pt idx="0">
                  <c:v>10000000</c:v>
                </c:pt>
                <c:pt idx="1">
                  <c:v>0</c:v>
                </c:pt>
                <c:pt idx="2">
                  <c:v>0</c:v>
                </c:pt>
                <c:pt idx="3">
                  <c:v>30000000</c:v>
                </c:pt>
                <c:pt idx="4">
                  <c:v>0</c:v>
                </c:pt>
                <c:pt idx="5">
                  <c:v>31000000</c:v>
                </c:pt>
                <c:pt idx="6">
                  <c:v>31000000</c:v>
                </c:pt>
                <c:pt idx="7">
                  <c:v>0</c:v>
                </c:pt>
              </c:numCache>
            </c:numRef>
          </c:val>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dLbls>
        <c:gapWidth val="150"/>
        <c:axId val="229410816"/>
        <c:axId val="229315072"/>
      </c:barChart>
      <c:catAx>
        <c:axId val="229410816"/>
        <c:scaling>
          <c:orientation val="minMax"/>
        </c:scaling>
        <c:delete val="0"/>
        <c:axPos val="b"/>
        <c:majorTickMark val="out"/>
        <c:minorTickMark val="none"/>
        <c:tickLblPos val="nextTo"/>
        <c:crossAx val="229315072"/>
        <c:crosses val="autoZero"/>
        <c:auto val="1"/>
        <c:lblAlgn val="ctr"/>
        <c:lblOffset val="100"/>
        <c:noMultiLvlLbl val="0"/>
      </c:catAx>
      <c:valAx>
        <c:axId val="229315072"/>
        <c:scaling>
          <c:orientation val="minMax"/>
        </c:scaling>
        <c:delete val="0"/>
        <c:axPos val="l"/>
        <c:majorGridlines/>
        <c:numFmt formatCode="General" sourceLinked="1"/>
        <c:majorTickMark val="out"/>
        <c:minorTickMark val="none"/>
        <c:tickLblPos val="nextTo"/>
        <c:crossAx val="2294108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8"/>
                <c:pt idx="0">
                  <c:v>-3500000</c:v>
                </c:pt>
                <c:pt idx="1">
                  <c:v>-28000000</c:v>
                </c:pt>
                <c:pt idx="2">
                  <c:v>45000000</c:v>
                </c:pt>
                <c:pt idx="3">
                  <c:v>0</c:v>
                </c:pt>
                <c:pt idx="4">
                  <c:v>0</c:v>
                </c:pt>
                <c:pt idx="5">
                  <c:v>0</c:v>
                </c:pt>
                <c:pt idx="6">
                  <c:v>0</c:v>
                </c:pt>
                <c:pt idx="7">
                  <c:v>0</c:v>
                </c:pt>
              </c:numCache>
            </c:numRef>
          </c:val>
        </c:ser>
        <c:dLbls>
          <c:showLegendKey val="0"/>
          <c:showVal val="0"/>
          <c:showCatName val="0"/>
          <c:showSerName val="0"/>
          <c:showPercent val="0"/>
          <c:showBubbleSize val="0"/>
        </c:dLbls>
        <c:gapWidth val="150"/>
        <c:axId val="229411328"/>
        <c:axId val="229316800"/>
      </c:barChart>
      <c:catAx>
        <c:axId val="229411328"/>
        <c:scaling>
          <c:orientation val="minMax"/>
        </c:scaling>
        <c:delete val="0"/>
        <c:axPos val="b"/>
        <c:majorTickMark val="out"/>
        <c:minorTickMark val="none"/>
        <c:tickLblPos val="nextTo"/>
        <c:crossAx val="229316800"/>
        <c:crosses val="autoZero"/>
        <c:auto val="1"/>
        <c:lblAlgn val="ctr"/>
        <c:lblOffset val="100"/>
        <c:noMultiLvlLbl val="0"/>
      </c:catAx>
      <c:valAx>
        <c:axId val="229316800"/>
        <c:scaling>
          <c:orientation val="minMax"/>
        </c:scaling>
        <c:delete val="0"/>
        <c:axPos val="l"/>
        <c:majorGridlines/>
        <c:numFmt formatCode="#,##0.00_ " sourceLinked="1"/>
        <c:majorTickMark val="out"/>
        <c:minorTickMark val="none"/>
        <c:tickLblPos val="nextTo"/>
        <c:crossAx val="22941132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平均资本成本表!$A$6</c:f>
              <c:strCache>
                <c:ptCount val="1"/>
                <c:pt idx="0">
                  <c:v>企业实际所得税税率%</c:v>
                </c:pt>
              </c:strCache>
            </c:strRef>
          </c:tx>
          <c:val>
            <c:numRef>
              <c:f>平均资本成本表!$B$6:$Y$6</c:f>
              <c:numCache>
                <c:formatCode>0.00%</c:formatCode>
                <c:ptCount val="8"/>
                <c:pt idx="0">
                  <c:v>0.16454205691987595</c:v>
                </c:pt>
                <c:pt idx="1">
                  <c:v>0.14553033067920079</c:v>
                </c:pt>
                <c:pt idx="2">
                  <c:v>0.14705995613296682</c:v>
                </c:pt>
                <c:pt idx="3">
                  <c:v>0.14852353388376127</c:v>
                </c:pt>
                <c:pt idx="4">
                  <c:v>0.14869511581987674</c:v>
                </c:pt>
                <c:pt idx="5">
                  <c:v>0.14734706786297502</c:v>
                </c:pt>
                <c:pt idx="6">
                  <c:v>0.14305100194535902</c:v>
                </c:pt>
                <c:pt idx="7">
                  <c:v>5.9505360164341328</c:v>
                </c:pt>
              </c:numCache>
            </c:numRef>
          </c:val>
          <c:smooth val="0"/>
        </c:ser>
        <c:ser>
          <c:idx val="2"/>
          <c:order val="1"/>
          <c:tx>
            <c:strRef>
              <c:f>平均资本成本表!$A$7</c:f>
              <c:strCache>
                <c:ptCount val="1"/>
                <c:pt idx="0">
                  <c:v>(4)税后债务资金成本=3*（100%-企业实际所得税税率)</c:v>
                </c:pt>
              </c:strCache>
            </c:strRef>
          </c:tx>
          <c:val>
            <c:numRef>
              <c:f>平均资本成本表!$B$7:$Y$7</c:f>
              <c:numCache>
                <c:formatCode>0.00%</c:formatCode>
                <c:ptCount val="8"/>
                <c:pt idx="0">
                  <c:v>0.11715250382179915</c:v>
                </c:pt>
                <c:pt idx="1">
                  <c:v>5.8568831581426659E-3</c:v>
                </c:pt>
                <c:pt idx="2">
                  <c:v>2.6750404681069272E-2</c:v>
                </c:pt>
                <c:pt idx="3">
                  <c:v>7.6086704611998762E-2</c:v>
                </c:pt>
                <c:pt idx="4">
                  <c:v>0</c:v>
                </c:pt>
                <c:pt idx="5">
                  <c:v>0</c:v>
                </c:pt>
                <c:pt idx="6">
                  <c:v>0</c:v>
                </c:pt>
                <c:pt idx="7">
                  <c:v>0</c:v>
                </c:pt>
              </c:numCache>
            </c:numRef>
          </c:val>
          <c:smooth val="0"/>
        </c:ser>
        <c:ser>
          <c:idx val="4"/>
          <c:order val="2"/>
          <c:tx>
            <c:strRef>
              <c:f>平均资本成本表!$A$9</c:f>
              <c:strCache>
                <c:ptCount val="1"/>
                <c:pt idx="0">
                  <c:v>(6)股权资金成本%，假设为8%</c:v>
                </c:pt>
              </c:strCache>
            </c:strRef>
          </c:tx>
          <c:val>
            <c:numRef>
              <c:f>平均资本成本表!$B$9:$Y$9</c:f>
              <c:numCache>
                <c:formatCode>0.00%</c:formatCode>
                <c:ptCount val="8"/>
                <c:pt idx="0">
                  <c:v>0.08</c:v>
                </c:pt>
                <c:pt idx="1">
                  <c:v>0.08</c:v>
                </c:pt>
                <c:pt idx="2">
                  <c:v>0.08</c:v>
                </c:pt>
                <c:pt idx="3">
                  <c:v>0.08</c:v>
                </c:pt>
                <c:pt idx="4">
                  <c:v>0.08</c:v>
                </c:pt>
                <c:pt idx="5">
                  <c:v>0.08</c:v>
                </c:pt>
                <c:pt idx="6">
                  <c:v>0.08</c:v>
                </c:pt>
                <c:pt idx="7">
                  <c:v>0.08</c:v>
                </c:pt>
              </c:numCache>
            </c:numRef>
          </c:val>
          <c:smooth val="0"/>
        </c:ser>
        <c:ser>
          <c:idx val="6"/>
          <c:order val="3"/>
          <c:tx>
            <c:strRef>
              <c:f>平均资本成本表!$A$11</c:f>
              <c:strCache>
                <c:ptCount val="1"/>
                <c:pt idx="0">
                  <c:v>(8)债务资金比例%=2/7</c:v>
                </c:pt>
              </c:strCache>
            </c:strRef>
          </c:tx>
          <c:val>
            <c:numRef>
              <c:f>平均资本成本表!$B$11:$Y$11</c:f>
              <c:numCache>
                <c:formatCode>0.00%</c:formatCode>
                <c:ptCount val="8"/>
                <c:pt idx="0">
                  <c:v>1.0213586403468191E-2</c:v>
                </c:pt>
                <c:pt idx="1">
                  <c:v>0.14439597195876788</c:v>
                </c:pt>
                <c:pt idx="2">
                  <c:v>4.9527839463636291E-4</c:v>
                </c:pt>
                <c:pt idx="3">
                  <c:v>8.2244865881041282E-2</c:v>
                </c:pt>
                <c:pt idx="4">
                  <c:v>0</c:v>
                </c:pt>
                <c:pt idx="5">
                  <c:v>0</c:v>
                </c:pt>
                <c:pt idx="6">
                  <c:v>0</c:v>
                </c:pt>
                <c:pt idx="7">
                  <c:v>0</c:v>
                </c:pt>
              </c:numCache>
            </c:numRef>
          </c:val>
          <c:smooth val="0"/>
        </c:ser>
        <c:ser>
          <c:idx val="7"/>
          <c:order val="4"/>
          <c:tx>
            <c:strRef>
              <c:f>平均资本成本表!$A$12</c:f>
              <c:strCache>
                <c:ptCount val="1"/>
                <c:pt idx="0">
                  <c:v>(9)股权资金比例%=5/7</c:v>
                </c:pt>
              </c:strCache>
            </c:strRef>
          </c:tx>
          <c:val>
            <c:numRef>
              <c:f>平均资本成本表!$B$12:$Y$12</c:f>
              <c:numCache>
                <c:formatCode>0.00%</c:formatCode>
                <c:ptCount val="8"/>
                <c:pt idx="0">
                  <c:v>0.98978641359653163</c:v>
                </c:pt>
                <c:pt idx="1">
                  <c:v>0.85560402804123203</c:v>
                </c:pt>
                <c:pt idx="2">
                  <c:v>0.99950472160536352</c:v>
                </c:pt>
                <c:pt idx="3">
                  <c:v>0.9177551341189587</c:v>
                </c:pt>
                <c:pt idx="4">
                  <c:v>0</c:v>
                </c:pt>
                <c:pt idx="5">
                  <c:v>0</c:v>
                </c:pt>
                <c:pt idx="6">
                  <c:v>0</c:v>
                </c:pt>
                <c:pt idx="7">
                  <c:v>0</c:v>
                </c:pt>
              </c:numCache>
            </c:numRef>
          </c:val>
          <c:smooth val="0"/>
        </c:ser>
        <c:ser>
          <c:idx val="8"/>
          <c:order val="5"/>
          <c:tx>
            <c:strRef>
              <c:f>平均资本成本表!$A$13</c:f>
              <c:strCache>
                <c:ptCount val="1"/>
                <c:pt idx="0">
                  <c:v>(10)加权平均资金成本(WACC)%</c:v>
                </c:pt>
              </c:strCache>
            </c:strRef>
          </c:tx>
          <c:val>
            <c:numRef>
              <c:f>平均资本成本表!$B$13:$Y$13</c:f>
              <c:numCache>
                <c:formatCode>0.00%</c:formatCode>
                <c:ptCount val="8"/>
                <c:pt idx="0">
                  <c:v>8.0379460307889117E-2</c:v>
                </c:pt>
                <c:pt idx="1">
                  <c:v>6.929403257956751E-2</c:v>
                </c:pt>
                <c:pt idx="2">
                  <c:v>7.9973626625915395E-2</c:v>
                </c:pt>
                <c:pt idx="3">
                  <c:v>7.967815154566095E-2</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1945216"/>
        <c:axId val="231735296"/>
      </c:lineChart>
      <c:catAx>
        <c:axId val="231945216"/>
        <c:scaling>
          <c:orientation val="minMax"/>
        </c:scaling>
        <c:delete val="0"/>
        <c:axPos val="b"/>
        <c:majorTickMark val="out"/>
        <c:minorTickMark val="none"/>
        <c:tickLblPos val="nextTo"/>
        <c:crossAx val="231735296"/>
        <c:crosses val="autoZero"/>
        <c:auto val="1"/>
        <c:lblAlgn val="ctr"/>
        <c:lblOffset val="100"/>
        <c:noMultiLvlLbl val="0"/>
      </c:catAx>
      <c:valAx>
        <c:axId val="231735296"/>
        <c:scaling>
          <c:orientation val="minMax"/>
        </c:scaling>
        <c:delete val="0"/>
        <c:axPos val="l"/>
        <c:majorGridlines/>
        <c:numFmt formatCode="0.00%" sourceLinked="1"/>
        <c:majorTickMark val="out"/>
        <c:minorTickMark val="none"/>
        <c:tickLblPos val="nextTo"/>
        <c:crossAx val="23194521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8"/>
                <c:pt idx="0">
                  <c:v>11282258.77</c:v>
                </c:pt>
                <c:pt idx="1">
                  <c:v>517808.22</c:v>
                </c:pt>
                <c:pt idx="2">
                  <c:v>482983.81</c:v>
                </c:pt>
                <c:pt idx="3">
                  <c:v>1358250</c:v>
                </c:pt>
                <c:pt idx="4">
                  <c:v>0</c:v>
                </c:pt>
                <c:pt idx="5">
                  <c:v>0</c:v>
                </c:pt>
                <c:pt idx="6">
                  <c:v>0</c:v>
                </c:pt>
                <c:pt idx="7">
                  <c:v>0</c:v>
                </c:pt>
              </c:numCache>
            </c:numRef>
          </c:val>
        </c:ser>
        <c:ser>
          <c:idx val="1"/>
          <c:order val="1"/>
          <c:tx>
            <c:strRef>
              <c:f>平均资本成本表!$A$4</c:f>
              <c:strCache>
                <c:ptCount val="1"/>
                <c:pt idx="0">
                  <c:v>(2)有息债务</c:v>
                </c:pt>
              </c:strCache>
            </c:strRef>
          </c:tx>
          <c:invertIfNegative val="0"/>
          <c:val>
            <c:numRef>
              <c:f>平均资本成本表!$B$4:$Y$4</c:f>
              <c:numCache>
                <c:formatCode>#,##0.00_ </c:formatCode>
                <c:ptCount val="8"/>
                <c:pt idx="0">
                  <c:v>10228269.92</c:v>
                </c:pt>
                <c:pt idx="1">
                  <c:v>150687671.22999999</c:v>
                </c:pt>
                <c:pt idx="2">
                  <c:v>400000</c:v>
                </c:pt>
                <c:pt idx="3">
                  <c:v>30400000</c:v>
                </c:pt>
                <c:pt idx="4">
                  <c:v>0</c:v>
                </c:pt>
                <c:pt idx="5">
                  <c:v>0</c:v>
                </c:pt>
                <c:pt idx="6">
                  <c:v>0</c:v>
                </c:pt>
                <c:pt idx="7">
                  <c:v>0</c:v>
                </c:pt>
              </c:numCache>
            </c:numRef>
          </c:val>
        </c:ser>
        <c:ser>
          <c:idx val="5"/>
          <c:order val="2"/>
          <c:tx>
            <c:strRef>
              <c:f>平均资本成本表!$A$8</c:f>
              <c:strCache>
                <c:ptCount val="1"/>
                <c:pt idx="0">
                  <c:v>(5)股东权益</c:v>
                </c:pt>
              </c:strCache>
            </c:strRef>
          </c:tx>
          <c:invertIfNegative val="0"/>
          <c:val>
            <c:numRef>
              <c:f>平均资本成本表!$B$8:$Y$8</c:f>
              <c:numCache>
                <c:formatCode>#,##0.00_ </c:formatCode>
                <c:ptCount val="8"/>
                <c:pt idx="0">
                  <c:v>991209375.57999992</c:v>
                </c:pt>
                <c:pt idx="1">
                  <c:v>892884868.82000005</c:v>
                </c:pt>
                <c:pt idx="2">
                  <c:v>807226588.05999994</c:v>
                </c:pt>
                <c:pt idx="3">
                  <c:v>339227935.73000002</c:v>
                </c:pt>
                <c:pt idx="4">
                  <c:v>0</c:v>
                </c:pt>
                <c:pt idx="5">
                  <c:v>3123425916.3600001</c:v>
                </c:pt>
                <c:pt idx="6">
                  <c:v>3008332106.3799996</c:v>
                </c:pt>
                <c:pt idx="7">
                  <c:v>2932489543.6699996</c:v>
                </c:pt>
              </c:numCache>
            </c:numRef>
          </c:val>
        </c:ser>
        <c:ser>
          <c:idx val="7"/>
          <c:order val="3"/>
          <c:tx>
            <c:strRef>
              <c:f>平均资本成本表!$A$10</c:f>
              <c:strCache>
                <c:ptCount val="1"/>
                <c:pt idx="0">
                  <c:v>(7)资本总额</c:v>
                </c:pt>
              </c:strCache>
            </c:strRef>
          </c:tx>
          <c:invertIfNegative val="0"/>
          <c:val>
            <c:numRef>
              <c:f>平均资本成本表!$B$10:$Y$10</c:f>
              <c:numCache>
                <c:formatCode>#,##0.00_ </c:formatCode>
                <c:ptCount val="8"/>
                <c:pt idx="0">
                  <c:v>1001437645.5000001</c:v>
                </c:pt>
                <c:pt idx="1">
                  <c:v>1043572540.0500002</c:v>
                </c:pt>
                <c:pt idx="2">
                  <c:v>807626588.06000006</c:v>
                </c:pt>
                <c:pt idx="3">
                  <c:v>369627935.73000002</c:v>
                </c:pt>
                <c:pt idx="4">
                  <c:v>0</c:v>
                </c:pt>
                <c:pt idx="5">
                  <c:v>0</c:v>
                </c:pt>
                <c:pt idx="6">
                  <c:v>0</c:v>
                </c:pt>
                <c:pt idx="7">
                  <c:v>0</c:v>
                </c:pt>
              </c:numCache>
            </c:numRef>
          </c:val>
        </c:ser>
        <c:dLbls>
          <c:showLegendKey val="0"/>
          <c:showVal val="0"/>
          <c:showCatName val="0"/>
          <c:showSerName val="0"/>
          <c:showPercent val="0"/>
          <c:showBubbleSize val="0"/>
        </c:dLbls>
        <c:gapWidth val="150"/>
        <c:axId val="231723008"/>
        <c:axId val="231737600"/>
      </c:barChart>
      <c:catAx>
        <c:axId val="231723008"/>
        <c:scaling>
          <c:orientation val="minMax"/>
        </c:scaling>
        <c:delete val="0"/>
        <c:axPos val="b"/>
        <c:majorTickMark val="out"/>
        <c:minorTickMark val="none"/>
        <c:tickLblPos val="nextTo"/>
        <c:crossAx val="231737600"/>
        <c:crosses val="autoZero"/>
        <c:auto val="1"/>
        <c:lblAlgn val="ctr"/>
        <c:lblOffset val="100"/>
        <c:noMultiLvlLbl val="0"/>
      </c:catAx>
      <c:valAx>
        <c:axId val="231737600"/>
        <c:scaling>
          <c:orientation val="minMax"/>
        </c:scaling>
        <c:delete val="0"/>
        <c:axPos val="l"/>
        <c:majorGridlines/>
        <c:numFmt formatCode="#,##0.00_ " sourceLinked="1"/>
        <c:majorTickMark val="out"/>
        <c:minorTickMark val="none"/>
        <c:tickLblPos val="nextTo"/>
        <c:crossAx val="231723008"/>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11"/>
                <c:pt idx="0">
                  <c:v>-0.20059816557587973</c:v>
                </c:pt>
                <c:pt idx="1">
                  <c:v>0.19470160846207851</c:v>
                </c:pt>
                <c:pt idx="2">
                  <c:v>4.457209455463591</c:v>
                </c:pt>
                <c:pt idx="3">
                  <c:v>0</c:v>
                </c:pt>
                <c:pt idx="4">
                  <c:v>0</c:v>
                </c:pt>
                <c:pt idx="5">
                  <c:v>0</c:v>
                </c:pt>
                <c:pt idx="6">
                  <c:v>0</c:v>
                </c:pt>
                <c:pt idx="7">
                  <c:v>0</c:v>
                </c:pt>
                <c:pt idx="8">
                  <c:v>0</c:v>
                </c:pt>
                <c:pt idx="9">
                  <c:v>0</c:v>
                </c:pt>
                <c:pt idx="10">
                  <c:v>0</c:v>
                </c:pt>
              </c:numCache>
            </c:numRef>
          </c:val>
          <c:smooth val="0"/>
        </c:ser>
        <c:ser>
          <c:idx val="2"/>
          <c:order val="1"/>
          <c:tx>
            <c:strRef>
              <c:f>资产资本结构分析表!$A$27</c:f>
              <c:strCache>
                <c:ptCount val="1"/>
                <c:pt idx="0">
                  <c:v>长期股权投资变化率</c:v>
                </c:pt>
              </c:strCache>
            </c:strRef>
          </c:tx>
          <c:val>
            <c:numRef>
              <c:f>资产资本结构分析表!$B$27:$Y$27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4"/>
          <c:order val="2"/>
          <c:tx>
            <c:strRef>
              <c:f>资产资本结构分析表!$A$29</c:f>
              <c:strCache>
                <c:ptCount val="1"/>
                <c:pt idx="0">
                  <c:v>营运资本变化率</c:v>
                </c:pt>
              </c:strCache>
            </c:strRef>
          </c:tx>
          <c:val>
            <c:numRef>
              <c:f>资产资本结构分析表!$B$29:$Y$29</c:f>
              <c:numCache>
                <c:formatCode>0.00%</c:formatCode>
                <c:ptCount val="11"/>
                <c:pt idx="0">
                  <c:v>0.21496055778877265</c:v>
                </c:pt>
                <c:pt idx="1">
                  <c:v>0.10497997490054736</c:v>
                </c:pt>
                <c:pt idx="2">
                  <c:v>0.61853678076869112</c:v>
                </c:pt>
                <c:pt idx="3">
                  <c:v>0</c:v>
                </c:pt>
                <c:pt idx="4">
                  <c:v>0</c:v>
                </c:pt>
                <c:pt idx="5">
                  <c:v>0</c:v>
                </c:pt>
                <c:pt idx="6">
                  <c:v>0</c:v>
                </c:pt>
                <c:pt idx="7">
                  <c:v>0</c:v>
                </c:pt>
                <c:pt idx="8">
                  <c:v>0</c:v>
                </c:pt>
                <c:pt idx="9">
                  <c:v>0</c:v>
                </c:pt>
                <c:pt idx="10">
                  <c:v>0</c:v>
                </c:pt>
              </c:numCache>
            </c:numRef>
          </c:val>
          <c:smooth val="0"/>
        </c:ser>
        <c:ser>
          <c:idx val="5"/>
          <c:order val="3"/>
          <c:tx>
            <c:strRef>
              <c:f>资产资本结构分析表!$A$30</c:f>
              <c:strCache>
                <c:ptCount val="1"/>
                <c:pt idx="0">
                  <c:v>营运资产变化率</c:v>
                </c:pt>
              </c:strCache>
            </c:strRef>
          </c:tx>
          <c:val>
            <c:numRef>
              <c:f>资产资本结构分析表!$B$30:$Y$30</c:f>
              <c:numCache>
                <c:formatCode>0.00%</c:formatCode>
                <c:ptCount val="11"/>
                <c:pt idx="0">
                  <c:v>0.42705590113421082</c:v>
                </c:pt>
                <c:pt idx="1">
                  <c:v>5.7300606800630836E-2</c:v>
                </c:pt>
                <c:pt idx="2">
                  <c:v>0.33546848892652392</c:v>
                </c:pt>
                <c:pt idx="3">
                  <c:v>0</c:v>
                </c:pt>
                <c:pt idx="4">
                  <c:v>0</c:v>
                </c:pt>
                <c:pt idx="5">
                  <c:v>0</c:v>
                </c:pt>
                <c:pt idx="6">
                  <c:v>0</c:v>
                </c:pt>
                <c:pt idx="7">
                  <c:v>0</c:v>
                </c:pt>
                <c:pt idx="8">
                  <c:v>0</c:v>
                </c:pt>
                <c:pt idx="9">
                  <c:v>0</c:v>
                </c:pt>
                <c:pt idx="10">
                  <c:v>0</c:v>
                </c:pt>
              </c:numCache>
            </c:numRef>
          </c:val>
          <c:smooth val="0"/>
        </c:ser>
        <c:ser>
          <c:idx val="6"/>
          <c:order val="4"/>
          <c:tx>
            <c:strRef>
              <c:f>资产资本结构分析表!$A$31</c:f>
              <c:strCache>
                <c:ptCount val="1"/>
                <c:pt idx="0">
                  <c:v>营运负责变化率</c:v>
                </c:pt>
              </c:strCache>
            </c:strRef>
          </c:tx>
          <c:val>
            <c:numRef>
              <c:f>资产资本结构分析表!$B$31:$Y$31</c:f>
              <c:numCache>
                <c:formatCode>0.00%</c:formatCode>
                <c:ptCount val="11"/>
                <c:pt idx="0">
                  <c:v>1.0373443527545014</c:v>
                </c:pt>
                <c:pt idx="1">
                  <c:v>-5.9474596545823814E-2</c:v>
                </c:pt>
                <c:pt idx="2">
                  <c:v>-6.502069437678433E-2</c:v>
                </c:pt>
                <c:pt idx="3">
                  <c:v>0</c:v>
                </c:pt>
                <c:pt idx="4">
                  <c:v>0</c:v>
                </c:pt>
                <c:pt idx="5">
                  <c:v>0</c:v>
                </c:pt>
                <c:pt idx="6">
                  <c:v>0</c:v>
                </c:pt>
                <c:pt idx="7">
                  <c:v>0</c:v>
                </c:pt>
                <c:pt idx="8">
                  <c:v>0</c:v>
                </c:pt>
                <c:pt idx="9">
                  <c:v>0</c:v>
                </c:pt>
                <c:pt idx="10">
                  <c:v>0</c:v>
                </c:pt>
              </c:numCache>
            </c:numRef>
          </c:val>
          <c:smooth val="0"/>
        </c:ser>
        <c:ser>
          <c:idx val="7"/>
          <c:order val="5"/>
          <c:tx>
            <c:strRef>
              <c:f>资产资本结构分析表!$A$32</c:f>
              <c:strCache>
                <c:ptCount val="1"/>
                <c:pt idx="0">
                  <c:v>长期经营资产变化率</c:v>
                </c:pt>
              </c:strCache>
            </c:strRef>
          </c:tx>
          <c:val>
            <c:numRef>
              <c:f>资产资本结构分析表!$B$32:$Y$32</c:f>
              <c:numCache>
                <c:formatCode>0.00%</c:formatCode>
                <c:ptCount val="11"/>
                <c:pt idx="0">
                  <c:v>-1.7136148594731629E-2</c:v>
                </c:pt>
                <c:pt idx="1">
                  <c:v>0.94658391932348862</c:v>
                </c:pt>
                <c:pt idx="2">
                  <c:v>1.1247056018882989E-2</c:v>
                </c:pt>
                <c:pt idx="3">
                  <c:v>0</c:v>
                </c:pt>
                <c:pt idx="4">
                  <c:v>0</c:v>
                </c:pt>
                <c:pt idx="5">
                  <c:v>0</c:v>
                </c:pt>
                <c:pt idx="6">
                  <c:v>0</c:v>
                </c:pt>
                <c:pt idx="7">
                  <c:v>0</c:v>
                </c:pt>
                <c:pt idx="8">
                  <c:v>0</c:v>
                </c:pt>
                <c:pt idx="9">
                  <c:v>0</c:v>
                </c:pt>
                <c:pt idx="10">
                  <c:v>0</c:v>
                </c:pt>
              </c:numCache>
            </c:numRef>
          </c:val>
          <c:smooth val="0"/>
        </c:ser>
        <c:ser>
          <c:idx val="9"/>
          <c:order val="6"/>
          <c:tx>
            <c:strRef>
              <c:f>资产资本结构分析表!$A$34</c:f>
              <c:strCache>
                <c:ptCount val="1"/>
                <c:pt idx="0">
                  <c:v>短期债务变化率</c:v>
                </c:pt>
              </c:strCache>
            </c:strRef>
          </c:tx>
          <c:val>
            <c:numRef>
              <c:f>资产资本结构分析表!$B$34:$Y$34</c:f>
              <c:numCache>
                <c:formatCode>0.00%</c:formatCode>
                <c:ptCount val="11"/>
                <c:pt idx="0">
                  <c:v>33.860176737173198</c:v>
                </c:pt>
                <c:pt idx="1">
                  <c:v>0</c:v>
                </c:pt>
                <c:pt idx="2">
                  <c:v>-1</c:v>
                </c:pt>
                <c:pt idx="3">
                  <c:v>0</c:v>
                </c:pt>
                <c:pt idx="4">
                  <c:v>0</c:v>
                </c:pt>
                <c:pt idx="5">
                  <c:v>0</c:v>
                </c:pt>
                <c:pt idx="6">
                  <c:v>0</c:v>
                </c:pt>
                <c:pt idx="7">
                  <c:v>0</c:v>
                </c:pt>
                <c:pt idx="8">
                  <c:v>0</c:v>
                </c:pt>
                <c:pt idx="9">
                  <c:v>0</c:v>
                </c:pt>
                <c:pt idx="10">
                  <c:v>0</c:v>
                </c:pt>
              </c:numCache>
            </c:numRef>
          </c:val>
          <c:smooth val="0"/>
        </c:ser>
        <c:ser>
          <c:idx val="11"/>
          <c:order val="7"/>
          <c:tx>
            <c:strRef>
              <c:f>资产资本结构分析表!$A$36</c:f>
              <c:strCache>
                <c:ptCount val="1"/>
                <c:pt idx="0">
                  <c:v>长期债务变化率</c:v>
                </c:pt>
              </c:strCache>
            </c:strRef>
          </c:tx>
          <c:val>
            <c:numRef>
              <c:f>资产资本结构分析表!$B$36:$Y$36</c:f>
              <c:numCache>
                <c:formatCode>0.00%</c:formatCode>
                <c:ptCount val="11"/>
                <c:pt idx="0">
                  <c:v>-0.99867021276595747</c:v>
                </c:pt>
                <c:pt idx="1">
                  <c:v>375</c:v>
                </c:pt>
                <c:pt idx="2">
                  <c:v>0</c:v>
                </c:pt>
                <c:pt idx="3">
                  <c:v>0</c:v>
                </c:pt>
                <c:pt idx="4">
                  <c:v>0</c:v>
                </c:pt>
                <c:pt idx="5">
                  <c:v>0</c:v>
                </c:pt>
                <c:pt idx="6">
                  <c:v>0</c:v>
                </c:pt>
                <c:pt idx="7">
                  <c:v>0</c:v>
                </c:pt>
                <c:pt idx="8">
                  <c:v>0</c:v>
                </c:pt>
                <c:pt idx="9">
                  <c:v>0</c:v>
                </c:pt>
                <c:pt idx="10">
                  <c:v>0</c:v>
                </c:pt>
              </c:numCache>
            </c:numRef>
          </c:val>
          <c:smooth val="0"/>
        </c:ser>
        <c:dLbls>
          <c:showLegendKey val="0"/>
          <c:showVal val="0"/>
          <c:showCatName val="0"/>
          <c:showSerName val="0"/>
          <c:showPercent val="0"/>
          <c:showBubbleSize val="0"/>
        </c:dLbls>
        <c:marker val="1"/>
        <c:smooth val="0"/>
        <c:axId val="231725056"/>
        <c:axId val="231739904"/>
      </c:lineChart>
      <c:catAx>
        <c:axId val="231725056"/>
        <c:scaling>
          <c:orientation val="minMax"/>
        </c:scaling>
        <c:delete val="0"/>
        <c:axPos val="b"/>
        <c:majorTickMark val="out"/>
        <c:minorTickMark val="none"/>
        <c:tickLblPos val="nextTo"/>
        <c:crossAx val="231739904"/>
        <c:crosses val="autoZero"/>
        <c:auto val="1"/>
        <c:lblAlgn val="ctr"/>
        <c:lblOffset val="100"/>
        <c:noMultiLvlLbl val="0"/>
      </c:catAx>
      <c:valAx>
        <c:axId val="231739904"/>
        <c:scaling>
          <c:orientation val="minMax"/>
        </c:scaling>
        <c:delete val="0"/>
        <c:axPos val="l"/>
        <c:majorGridlines/>
        <c:numFmt formatCode="0.00%" sourceLinked="1"/>
        <c:majorTickMark val="out"/>
        <c:minorTickMark val="none"/>
        <c:tickLblPos val="nextTo"/>
        <c:crossAx val="231725056"/>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11"/>
                <c:pt idx="0">
                  <c:v>0.3942188731110568</c:v>
                </c:pt>
                <c:pt idx="1">
                  <c:v>0.4732313875816801</c:v>
                </c:pt>
                <c:pt idx="2">
                  <c:v>0.51183046041482005</c:v>
                </c:pt>
                <c:pt idx="3">
                  <c:v>0.20492801178677836</c:v>
                </c:pt>
                <c:pt idx="4">
                  <c:v>9.7406722194452997E-2</c:v>
                </c:pt>
                <c:pt idx="5">
                  <c:v>0.19454605918886037</c:v>
                </c:pt>
                <c:pt idx="6">
                  <c:v>0.31830605834191167</c:v>
                </c:pt>
                <c:pt idx="7">
                  <c:v>0</c:v>
                </c:pt>
                <c:pt idx="8">
                  <c:v>0</c:v>
                </c:pt>
                <c:pt idx="9">
                  <c:v>0</c:v>
                </c:pt>
                <c:pt idx="10">
                  <c:v>0</c:v>
                </c:pt>
              </c:numCache>
            </c:numRef>
          </c:val>
          <c:smooth val="0"/>
        </c:ser>
        <c:ser>
          <c:idx val="3"/>
          <c:order val="1"/>
          <c:tx>
            <c:strRef>
              <c:f>资产资本结构分析表!$A$28</c:f>
              <c:strCache>
                <c:ptCount val="1"/>
                <c:pt idx="0">
                  <c:v>长期股权投资占比</c:v>
                </c:pt>
              </c:strCache>
            </c:strRef>
          </c:tx>
          <c:val>
            <c:numRef>
              <c:f>资产资本结构分析表!$B$28:$Y$28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8"/>
          <c:order val="2"/>
          <c:tx>
            <c:strRef>
              <c:f>资产资本结构分析表!$A$33</c:f>
              <c:strCache>
                <c:ptCount val="1"/>
                <c:pt idx="0">
                  <c:v>长期经营资产占比</c:v>
                </c:pt>
              </c:strCache>
            </c:strRef>
          </c:tx>
          <c:val>
            <c:numRef>
              <c:f>资产资本结构分析表!$B$33:$Y$33</c:f>
              <c:numCache>
                <c:formatCode>0.00%</c:formatCode>
                <c:ptCount val="11"/>
                <c:pt idx="0">
                  <c:v>0.25895171338453543</c:v>
                </c:pt>
                <c:pt idx="1">
                  <c:v>0.25282888927621505</c:v>
                </c:pt>
                <c:pt idx="2">
                  <c:v>0.16782845639788457</c:v>
                </c:pt>
                <c:pt idx="3">
                  <c:v>0.3626220017848108</c:v>
                </c:pt>
                <c:pt idx="4">
                  <c:v>0.45469122633877657</c:v>
                </c:pt>
                <c:pt idx="5">
                  <c:v>0.44162337188870604</c:v>
                </c:pt>
                <c:pt idx="6">
                  <c:v>0.38713969686122252</c:v>
                </c:pt>
                <c:pt idx="7">
                  <c:v>0</c:v>
                </c:pt>
                <c:pt idx="8">
                  <c:v>0</c:v>
                </c:pt>
                <c:pt idx="9">
                  <c:v>0</c:v>
                </c:pt>
                <c:pt idx="10">
                  <c:v>0</c:v>
                </c:pt>
              </c:numCache>
            </c:numRef>
          </c:val>
          <c:smooth val="0"/>
        </c:ser>
        <c:ser>
          <c:idx val="10"/>
          <c:order val="3"/>
          <c:tx>
            <c:strRef>
              <c:f>资产资本结构分析表!$A$35</c:f>
              <c:strCache>
                <c:ptCount val="1"/>
                <c:pt idx="0">
                  <c:v>短期债务占比</c:v>
                </c:pt>
              </c:strCache>
            </c:strRef>
          </c:tx>
          <c:val>
            <c:numRef>
              <c:f>资产资本结构分析表!$B$35:$Y$35</c:f>
              <c:numCache>
                <c:formatCode>0.00%</c:formatCode>
                <c:ptCount val="11"/>
                <c:pt idx="0">
                  <c:v>0.9804463509895327</c:v>
                </c:pt>
                <c:pt idx="1">
                  <c:v>1.9090561799240833E-3</c:v>
                </c:pt>
                <c:pt idx="2">
                  <c:v>0</c:v>
                </c:pt>
                <c:pt idx="3">
                  <c:v>0.98684210526315785</c:v>
                </c:pt>
                <c:pt idx="4">
                  <c:v>0</c:v>
                </c:pt>
                <c:pt idx="5">
                  <c:v>0.98726114649681529</c:v>
                </c:pt>
                <c:pt idx="6">
                  <c:v>0.97484276729559749</c:v>
                </c:pt>
                <c:pt idx="7">
                  <c:v>0</c:v>
                </c:pt>
                <c:pt idx="8">
                  <c:v>0</c:v>
                </c:pt>
                <c:pt idx="9">
                  <c:v>0</c:v>
                </c:pt>
                <c:pt idx="10">
                  <c:v>0</c:v>
                </c:pt>
              </c:numCache>
            </c:numRef>
          </c:val>
          <c:smooth val="0"/>
        </c:ser>
        <c:ser>
          <c:idx val="12"/>
          <c:order val="4"/>
          <c:tx>
            <c:strRef>
              <c:f>资产资本结构分析表!$A$37</c:f>
              <c:strCache>
                <c:ptCount val="1"/>
                <c:pt idx="0">
                  <c:v>长期债务占比</c:v>
                </c:pt>
              </c:strCache>
            </c:strRef>
          </c:tx>
          <c:val>
            <c:numRef>
              <c:f>资产资本结构分析表!$B$37:$Y$37</c:f>
              <c:numCache>
                <c:formatCode>0.00%</c:formatCode>
                <c:ptCount val="11"/>
                <c:pt idx="0">
                  <c:v>1.9553649010467255E-2</c:v>
                </c:pt>
                <c:pt idx="1">
                  <c:v>0.99809094382007602</c:v>
                </c:pt>
                <c:pt idx="2">
                  <c:v>1</c:v>
                </c:pt>
                <c:pt idx="3">
                  <c:v>1.3157894736842105E-2</c:v>
                </c:pt>
                <c:pt idx="4">
                  <c:v>1</c:v>
                </c:pt>
                <c:pt idx="5">
                  <c:v>1.2738853503184714E-2</c:v>
                </c:pt>
                <c:pt idx="6">
                  <c:v>2.5157232704402517E-2</c:v>
                </c:pt>
                <c:pt idx="7">
                  <c:v>0</c:v>
                </c:pt>
                <c:pt idx="8">
                  <c:v>0</c:v>
                </c:pt>
                <c:pt idx="9">
                  <c:v>0</c:v>
                </c:pt>
                <c:pt idx="10">
                  <c:v>0</c:v>
                </c:pt>
              </c:numCache>
            </c:numRef>
          </c:val>
          <c:smooth val="0"/>
        </c:ser>
        <c:dLbls>
          <c:showLegendKey val="0"/>
          <c:showVal val="0"/>
          <c:showCatName val="0"/>
          <c:showSerName val="0"/>
          <c:showPercent val="0"/>
          <c:showBubbleSize val="0"/>
        </c:dLbls>
        <c:marker val="1"/>
        <c:smooth val="0"/>
        <c:axId val="231726080"/>
        <c:axId val="231742208"/>
      </c:lineChart>
      <c:catAx>
        <c:axId val="231726080"/>
        <c:scaling>
          <c:orientation val="minMax"/>
        </c:scaling>
        <c:delete val="0"/>
        <c:axPos val="b"/>
        <c:majorTickMark val="out"/>
        <c:minorTickMark val="none"/>
        <c:tickLblPos val="nextTo"/>
        <c:crossAx val="231742208"/>
        <c:crosses val="autoZero"/>
        <c:auto val="1"/>
        <c:lblAlgn val="ctr"/>
        <c:lblOffset val="100"/>
        <c:noMultiLvlLbl val="0"/>
      </c:catAx>
      <c:valAx>
        <c:axId val="231742208"/>
        <c:scaling>
          <c:orientation val="minMax"/>
        </c:scaling>
        <c:delete val="0"/>
        <c:axPos val="l"/>
        <c:majorGridlines/>
        <c:numFmt formatCode="0.00%" sourceLinked="1"/>
        <c:majorTickMark val="out"/>
        <c:minorTickMark val="none"/>
        <c:tickLblPos val="nextTo"/>
        <c:crossAx val="2317260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11"/>
                <c:pt idx="0">
                  <c:v>2.1077635997166584</c:v>
                </c:pt>
                <c:pt idx="1">
                  <c:v>2.7264956032452181</c:v>
                </c:pt>
                <c:pt idx="2">
                  <c:v>2.5977671528180655</c:v>
                </c:pt>
                <c:pt idx="3">
                  <c:v>1.2861956736681135</c:v>
                </c:pt>
                <c:pt idx="4">
                  <c:v>1.2174732664775023</c:v>
                </c:pt>
                <c:pt idx="5">
                  <c:v>1.1665852634803857</c:v>
                </c:pt>
                <c:pt idx="6">
                  <c:v>1.4389163127352655</c:v>
                </c:pt>
                <c:pt idx="7">
                  <c:v>0</c:v>
                </c:pt>
                <c:pt idx="8">
                  <c:v>0</c:v>
                </c:pt>
                <c:pt idx="9">
                  <c:v>0</c:v>
                </c:pt>
                <c:pt idx="10">
                  <c:v>0</c:v>
                </c:pt>
              </c:numCache>
            </c:numRef>
          </c:val>
          <c:smooth val="0"/>
        </c:ser>
        <c:dLbls>
          <c:showLegendKey val="0"/>
          <c:showVal val="0"/>
          <c:showCatName val="0"/>
          <c:showSerName val="0"/>
          <c:showPercent val="0"/>
          <c:showBubbleSize val="0"/>
        </c:dLbls>
        <c:marker val="1"/>
        <c:smooth val="0"/>
        <c:axId val="231726592"/>
        <c:axId val="232809600"/>
      </c:lineChart>
      <c:catAx>
        <c:axId val="231726592"/>
        <c:scaling>
          <c:orientation val="minMax"/>
        </c:scaling>
        <c:delete val="0"/>
        <c:axPos val="b"/>
        <c:majorTickMark val="out"/>
        <c:minorTickMark val="none"/>
        <c:tickLblPos val="nextTo"/>
        <c:crossAx val="232809600"/>
        <c:crosses val="autoZero"/>
        <c:auto val="1"/>
        <c:lblAlgn val="ctr"/>
        <c:lblOffset val="100"/>
        <c:noMultiLvlLbl val="0"/>
      </c:catAx>
      <c:valAx>
        <c:axId val="232809600"/>
        <c:scaling>
          <c:orientation val="minMax"/>
        </c:scaling>
        <c:delete val="0"/>
        <c:axPos val="l"/>
        <c:majorGridlines/>
        <c:numFmt formatCode="0.00%" sourceLinked="1"/>
        <c:majorTickMark val="out"/>
        <c:minorTickMark val="none"/>
        <c:tickLblPos val="nextTo"/>
        <c:crossAx val="2317265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11"/>
                <c:pt idx="0">
                  <c:v>394785620.10000002</c:v>
                </c:pt>
                <c:pt idx="1">
                  <c:v>493851281.17000002</c:v>
                </c:pt>
                <c:pt idx="2">
                  <c:v>413367888.41000003</c:v>
                </c:pt>
                <c:pt idx="3">
                  <c:v>75747117.969999999</c:v>
                </c:pt>
                <c:pt idx="4">
                  <c:v>26369896.879999999</c:v>
                </c:pt>
                <c:pt idx="5">
                  <c:v>45028010.689999998</c:v>
                </c:pt>
                <c:pt idx="6">
                  <c:v>52203020.68</c:v>
                </c:pt>
                <c:pt idx="7">
                  <c:v>0</c:v>
                </c:pt>
                <c:pt idx="8">
                  <c:v>0</c:v>
                </c:pt>
                <c:pt idx="9">
                  <c:v>0</c:v>
                </c:pt>
                <c:pt idx="10">
                  <c:v>0</c:v>
                </c:pt>
              </c:numCache>
            </c:numRef>
          </c:val>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11"/>
                <c:pt idx="0">
                  <c:v>0</c:v>
                </c:pt>
                <c:pt idx="1">
                  <c:v>0</c:v>
                </c:pt>
                <c:pt idx="2">
                  <c:v>0</c:v>
                </c:pt>
                <c:pt idx="3">
                  <c:v>0</c:v>
                </c:pt>
                <c:pt idx="4">
                  <c:v>0</c:v>
                </c:pt>
                <c:pt idx="5">
                  <c:v>0</c:v>
                </c:pt>
                <c:pt idx="6">
                  <c:v>0</c:v>
                </c:pt>
                <c:pt idx="7">
                  <c:v>0</c:v>
                </c:pt>
                <c:pt idx="8">
                  <c:v>0</c:v>
                </c:pt>
                <c:pt idx="9">
                  <c:v>0</c:v>
                </c:pt>
                <c:pt idx="10">
                  <c:v>0</c:v>
                </c:pt>
              </c:numCache>
            </c:numRef>
          </c:val>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11"/>
                <c:pt idx="0">
                  <c:v>259323994.15000004</c:v>
                </c:pt>
                <c:pt idx="1">
                  <c:v>263845286.18000001</c:v>
                </c:pt>
                <c:pt idx="2">
                  <c:v>135542723.62</c:v>
                </c:pt>
                <c:pt idx="3">
                  <c:v>134035221.97</c:v>
                </c:pt>
                <c:pt idx="4">
                  <c:v>123093770.94999999</c:v>
                </c:pt>
                <c:pt idx="5">
                  <c:v>102214467.83999999</c:v>
                </c:pt>
                <c:pt idx="6">
                  <c:v>63491916.259999998</c:v>
                </c:pt>
                <c:pt idx="7">
                  <c:v>0</c:v>
                </c:pt>
                <c:pt idx="8">
                  <c:v>0</c:v>
                </c:pt>
                <c:pt idx="9">
                  <c:v>0</c:v>
                </c:pt>
                <c:pt idx="10">
                  <c:v>0</c:v>
                </c:pt>
              </c:numCache>
            </c:numRef>
          </c:val>
        </c:ser>
        <c:ser>
          <c:idx val="7"/>
          <c:order val="3"/>
          <c:tx>
            <c:strRef>
              <c:f>资产资本结构分析表!$A$9</c:f>
              <c:strCache>
                <c:ptCount val="1"/>
                <c:pt idx="0">
                  <c:v>(6)资产总额合计</c:v>
                </c:pt>
              </c:strCache>
            </c:strRef>
          </c:tx>
          <c:invertIfNegative val="0"/>
          <c:val>
            <c:numRef>
              <c:f>资产资本结构分析表!$B$9:$Y$9</c:f>
              <c:numCache>
                <c:formatCode>#,##0.00_ </c:formatCode>
                <c:ptCount val="11"/>
                <c:pt idx="0">
                  <c:v>1001437645.5000001</c:v>
                </c:pt>
                <c:pt idx="1">
                  <c:v>1043572540.0500002</c:v>
                </c:pt>
                <c:pt idx="2">
                  <c:v>807626588.06000006</c:v>
                </c:pt>
                <c:pt idx="3">
                  <c:v>369627935.73000002</c:v>
                </c:pt>
                <c:pt idx="4">
                  <c:v>270719476.90999997</c:v>
                </c:pt>
                <c:pt idx="5">
                  <c:v>231451672.05000001</c:v>
                </c:pt>
                <c:pt idx="6">
                  <c:v>164002598.48000002</c:v>
                </c:pt>
                <c:pt idx="7">
                  <c:v>0</c:v>
                </c:pt>
                <c:pt idx="8">
                  <c:v>0</c:v>
                </c:pt>
                <c:pt idx="9">
                  <c:v>0</c:v>
                </c:pt>
                <c:pt idx="10">
                  <c:v>0</c:v>
                </c:pt>
              </c:numCache>
            </c:numRef>
          </c:val>
        </c:ser>
        <c:dLbls>
          <c:showLegendKey val="0"/>
          <c:showVal val="0"/>
          <c:showCatName val="0"/>
          <c:showSerName val="0"/>
          <c:showPercent val="0"/>
          <c:showBubbleSize val="0"/>
        </c:dLbls>
        <c:gapWidth val="150"/>
        <c:axId val="233152512"/>
        <c:axId val="232811328"/>
      </c:barChart>
      <c:catAx>
        <c:axId val="233152512"/>
        <c:scaling>
          <c:orientation val="minMax"/>
        </c:scaling>
        <c:delete val="0"/>
        <c:axPos val="b"/>
        <c:majorTickMark val="out"/>
        <c:minorTickMark val="none"/>
        <c:tickLblPos val="nextTo"/>
        <c:crossAx val="232811328"/>
        <c:crosses val="autoZero"/>
        <c:auto val="1"/>
        <c:lblAlgn val="ctr"/>
        <c:lblOffset val="100"/>
        <c:noMultiLvlLbl val="0"/>
      </c:catAx>
      <c:valAx>
        <c:axId val="232811328"/>
        <c:scaling>
          <c:orientation val="minMax"/>
        </c:scaling>
        <c:delete val="0"/>
        <c:axPos val="l"/>
        <c:majorGridlines/>
        <c:numFmt formatCode="#,##0.00_ " sourceLinked="1"/>
        <c:majorTickMark val="out"/>
        <c:minorTickMark val="none"/>
        <c:tickLblPos val="nextTo"/>
        <c:crossAx val="23315251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11"/>
                <c:pt idx="0">
                  <c:v>10028269.92</c:v>
                </c:pt>
                <c:pt idx="1">
                  <c:v>287671.23</c:v>
                </c:pt>
                <c:pt idx="2">
                  <c:v>0</c:v>
                </c:pt>
                <c:pt idx="3">
                  <c:v>30000000</c:v>
                </c:pt>
                <c:pt idx="4">
                  <c:v>0</c:v>
                </c:pt>
                <c:pt idx="5">
                  <c:v>31000000</c:v>
                </c:pt>
                <c:pt idx="6">
                  <c:v>31000000</c:v>
                </c:pt>
                <c:pt idx="7">
                  <c:v>0</c:v>
                </c:pt>
                <c:pt idx="8">
                  <c:v>0</c:v>
                </c:pt>
                <c:pt idx="9">
                  <c:v>0</c:v>
                </c:pt>
                <c:pt idx="10">
                  <c:v>0</c:v>
                </c:pt>
              </c:numCache>
            </c:numRef>
          </c:val>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11"/>
                <c:pt idx="0">
                  <c:v>200000</c:v>
                </c:pt>
                <c:pt idx="1">
                  <c:v>150400000</c:v>
                </c:pt>
                <c:pt idx="2">
                  <c:v>400000</c:v>
                </c:pt>
                <c:pt idx="3">
                  <c:v>400000</c:v>
                </c:pt>
                <c:pt idx="4">
                  <c:v>400000</c:v>
                </c:pt>
                <c:pt idx="5">
                  <c:v>400000</c:v>
                </c:pt>
                <c:pt idx="6">
                  <c:v>800000</c:v>
                </c:pt>
                <c:pt idx="7">
                  <c:v>0</c:v>
                </c:pt>
                <c:pt idx="8">
                  <c:v>0</c:v>
                </c:pt>
                <c:pt idx="9">
                  <c:v>0</c:v>
                </c:pt>
                <c:pt idx="10">
                  <c:v>0</c:v>
                </c:pt>
              </c:numCache>
            </c:numRef>
          </c:val>
        </c:ser>
        <c:dLbls>
          <c:showLegendKey val="0"/>
          <c:showVal val="0"/>
          <c:showCatName val="0"/>
          <c:showSerName val="0"/>
          <c:showPercent val="0"/>
          <c:showBubbleSize val="0"/>
        </c:dLbls>
        <c:gapWidth val="150"/>
        <c:axId val="233154048"/>
        <c:axId val="232813632"/>
      </c:barChart>
      <c:catAx>
        <c:axId val="233154048"/>
        <c:scaling>
          <c:orientation val="minMax"/>
        </c:scaling>
        <c:delete val="0"/>
        <c:axPos val="b"/>
        <c:majorTickMark val="out"/>
        <c:minorTickMark val="none"/>
        <c:tickLblPos val="nextTo"/>
        <c:crossAx val="232813632"/>
        <c:crosses val="autoZero"/>
        <c:auto val="1"/>
        <c:lblAlgn val="ctr"/>
        <c:lblOffset val="100"/>
        <c:noMultiLvlLbl val="0"/>
      </c:catAx>
      <c:valAx>
        <c:axId val="232813632"/>
        <c:scaling>
          <c:orientation val="minMax"/>
        </c:scaling>
        <c:delete val="0"/>
        <c:axPos val="l"/>
        <c:majorGridlines/>
        <c:numFmt formatCode="#,##0.00_ " sourceLinked="1"/>
        <c:majorTickMark val="out"/>
        <c:minorTickMark val="none"/>
        <c:tickLblPos val="nextTo"/>
        <c:crossAx val="23315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11"/>
                <c:pt idx="0">
                  <c:v>384757350.18000013</c:v>
                </c:pt>
                <c:pt idx="1">
                  <c:v>493563609.94000012</c:v>
                </c:pt>
                <c:pt idx="2">
                  <c:v>413367888.40999997</c:v>
                </c:pt>
                <c:pt idx="3">
                  <c:v>45747117.970000029</c:v>
                </c:pt>
                <c:pt idx="4">
                  <c:v>26369896.879999995</c:v>
                </c:pt>
                <c:pt idx="5">
                  <c:v>14028010.689999998</c:v>
                </c:pt>
                <c:pt idx="6">
                  <c:v>21203020.68</c:v>
                </c:pt>
                <c:pt idx="7">
                  <c:v>0</c:v>
                </c:pt>
                <c:pt idx="8">
                  <c:v>0</c:v>
                </c:pt>
                <c:pt idx="9">
                  <c:v>0</c:v>
                </c:pt>
                <c:pt idx="10">
                  <c:v>0</c:v>
                </c:pt>
              </c:numCache>
            </c:numRef>
          </c:val>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11"/>
                <c:pt idx="0">
                  <c:v>-384757350.18000001</c:v>
                </c:pt>
                <c:pt idx="1">
                  <c:v>-493563609.94</c:v>
                </c:pt>
                <c:pt idx="2">
                  <c:v>-413367888.41000003</c:v>
                </c:pt>
                <c:pt idx="3">
                  <c:v>-45747117.969999999</c:v>
                </c:pt>
                <c:pt idx="4">
                  <c:v>-26369896.879999999</c:v>
                </c:pt>
                <c:pt idx="5">
                  <c:v>-14028010.689999998</c:v>
                </c:pt>
                <c:pt idx="6">
                  <c:v>-21203020.68</c:v>
                </c:pt>
                <c:pt idx="7">
                  <c:v>0</c:v>
                </c:pt>
                <c:pt idx="8">
                  <c:v>0</c:v>
                </c:pt>
                <c:pt idx="9">
                  <c:v>0</c:v>
                </c:pt>
                <c:pt idx="10">
                  <c:v>0</c:v>
                </c:pt>
              </c:numCache>
            </c:numRef>
          </c:val>
        </c:ser>
        <c:dLbls>
          <c:showLegendKey val="0"/>
          <c:showVal val="0"/>
          <c:showCatName val="0"/>
          <c:showSerName val="0"/>
          <c:showPercent val="0"/>
          <c:showBubbleSize val="0"/>
        </c:dLbls>
        <c:gapWidth val="150"/>
        <c:axId val="233154560"/>
        <c:axId val="232815360"/>
      </c:barChart>
      <c:catAx>
        <c:axId val="233154560"/>
        <c:scaling>
          <c:orientation val="minMax"/>
        </c:scaling>
        <c:delete val="0"/>
        <c:axPos val="b"/>
        <c:majorTickMark val="out"/>
        <c:minorTickMark val="none"/>
        <c:tickLblPos val="nextTo"/>
        <c:crossAx val="232815360"/>
        <c:crosses val="autoZero"/>
        <c:auto val="1"/>
        <c:lblAlgn val="ctr"/>
        <c:lblOffset val="100"/>
        <c:noMultiLvlLbl val="0"/>
      </c:catAx>
      <c:valAx>
        <c:axId val="232815360"/>
        <c:scaling>
          <c:orientation val="minMax"/>
        </c:scaling>
        <c:delete val="0"/>
        <c:axPos val="l"/>
        <c:majorGridlines/>
        <c:numFmt formatCode="#,##0.00_ " sourceLinked="1"/>
        <c:majorTickMark val="out"/>
        <c:minorTickMark val="none"/>
        <c:tickLblPos val="nextTo"/>
        <c:crossAx val="23315456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8"/>
                <c:pt idx="0">
                  <c:v>0.43179344949531245</c:v>
                </c:pt>
                <c:pt idx="1">
                  <c:v>0.41494235024876908</c:v>
                </c:pt>
                <c:pt idx="2">
                  <c:v>0.42167800103680542</c:v>
                </c:pt>
                <c:pt idx="3">
                  <c:v>0.4189569997715088</c:v>
                </c:pt>
                <c:pt idx="4">
                  <c:v>0.42134850691922926</c:v>
                </c:pt>
                <c:pt idx="5">
                  <c:v>0.40092574303956074</c:v>
                </c:pt>
                <c:pt idx="6">
                  <c:v>0.39906760394062413</c:v>
                </c:pt>
                <c:pt idx="7">
                  <c:v>0</c:v>
                </c:pt>
              </c:numCache>
            </c:numRef>
          </c:val>
          <c:smooth val="0"/>
        </c:ser>
        <c:ser>
          <c:idx val="6"/>
          <c:order val="1"/>
          <c:tx>
            <c:strRef>
              <c:f>股权价值增加分析表!$A$8</c:f>
              <c:strCache>
                <c:ptCount val="1"/>
                <c:pt idx="0">
                  <c:v>毛利率</c:v>
                </c:pt>
              </c:strCache>
            </c:strRef>
          </c:tx>
          <c:val>
            <c:numRef>
              <c:f>股权价值增加分析表!$B$8:$Y$8</c:f>
              <c:numCache>
                <c:formatCode>0.00%</c:formatCode>
                <c:ptCount val="8"/>
                <c:pt idx="0">
                  <c:v>0.56820655050468749</c:v>
                </c:pt>
                <c:pt idx="1">
                  <c:v>0.58505764975123087</c:v>
                </c:pt>
                <c:pt idx="2">
                  <c:v>0.57832199896319458</c:v>
                </c:pt>
                <c:pt idx="3">
                  <c:v>0.5810430002284912</c:v>
                </c:pt>
                <c:pt idx="4">
                  <c:v>0.5786514930807708</c:v>
                </c:pt>
                <c:pt idx="5">
                  <c:v>0.59907425696043937</c:v>
                </c:pt>
                <c:pt idx="6">
                  <c:v>0.60093239605937587</c:v>
                </c:pt>
                <c:pt idx="7">
                  <c:v>0</c:v>
                </c:pt>
              </c:numCache>
            </c:numRef>
          </c:val>
          <c:smooth val="0"/>
        </c:ser>
        <c:ser>
          <c:idx val="9"/>
          <c:order val="2"/>
          <c:tx>
            <c:strRef>
              <c:f>股权价值增加分析表!$A$11</c:f>
              <c:strCache>
                <c:ptCount val="1"/>
                <c:pt idx="0">
                  <c:v>税金及附加率</c:v>
                </c:pt>
              </c:strCache>
            </c:strRef>
          </c:tx>
          <c:val>
            <c:numRef>
              <c:f>股权价值增加分析表!$B$11:$Y$11</c:f>
              <c:numCache>
                <c:formatCode>0.00%</c:formatCode>
                <c:ptCount val="8"/>
                <c:pt idx="0">
                  <c:v>1.6775677546147418E-2</c:v>
                </c:pt>
                <c:pt idx="1">
                  <c:v>1.7835809477176161E-2</c:v>
                </c:pt>
                <c:pt idx="2">
                  <c:v>1.2740350251185683E-2</c:v>
                </c:pt>
                <c:pt idx="3">
                  <c:v>1.2181442776775943E-2</c:v>
                </c:pt>
                <c:pt idx="4">
                  <c:v>1.3595692313788753E-2</c:v>
                </c:pt>
                <c:pt idx="5">
                  <c:v>1.454400067988912E-2</c:v>
                </c:pt>
                <c:pt idx="6">
                  <c:v>1.3816159641263859E-2</c:v>
                </c:pt>
                <c:pt idx="7">
                  <c:v>0</c:v>
                </c:pt>
              </c:numCache>
            </c:numRef>
          </c:val>
          <c:smooth val="0"/>
        </c:ser>
        <c:ser>
          <c:idx val="11"/>
          <c:order val="3"/>
          <c:tx>
            <c:strRef>
              <c:f>股权价值增加分析表!$A$13</c:f>
              <c:strCache>
                <c:ptCount val="1"/>
                <c:pt idx="0">
                  <c:v>销售费用率</c:v>
                </c:pt>
              </c:strCache>
            </c:strRef>
          </c:tx>
          <c:val>
            <c:numRef>
              <c:f>股权价值增加分析表!$B$13:$Y$13</c:f>
              <c:numCache>
                <c:formatCode>0.00%</c:formatCode>
                <c:ptCount val="8"/>
                <c:pt idx="0">
                  <c:v>0.13226747116786514</c:v>
                </c:pt>
                <c:pt idx="1">
                  <c:v>0.14653121622063489</c:v>
                </c:pt>
                <c:pt idx="2">
                  <c:v>0.15467794393121914</c:v>
                </c:pt>
                <c:pt idx="3">
                  <c:v>0.14400448237999935</c:v>
                </c:pt>
                <c:pt idx="4">
                  <c:v>0.14460471687192289</c:v>
                </c:pt>
                <c:pt idx="5">
                  <c:v>0.14756344798283516</c:v>
                </c:pt>
                <c:pt idx="6">
                  <c:v>0.16880676918578369</c:v>
                </c:pt>
                <c:pt idx="7">
                  <c:v>0</c:v>
                </c:pt>
              </c:numCache>
            </c:numRef>
          </c:val>
          <c:smooth val="0"/>
        </c:ser>
        <c:ser>
          <c:idx val="13"/>
          <c:order val="4"/>
          <c:tx>
            <c:strRef>
              <c:f>股权价值增加分析表!$A$15</c:f>
              <c:strCache>
                <c:ptCount val="1"/>
                <c:pt idx="0">
                  <c:v>管理费用率</c:v>
                </c:pt>
              </c:strCache>
            </c:strRef>
          </c:tx>
          <c:val>
            <c:numRef>
              <c:f>股权价值增加分析表!$B$15:$Y$15</c:f>
              <c:numCache>
                <c:formatCode>0.00%</c:formatCode>
                <c:ptCount val="8"/>
                <c:pt idx="0">
                  <c:v>0.13120375731692738</c:v>
                </c:pt>
                <c:pt idx="1">
                  <c:v>0.13522988169164094</c:v>
                </c:pt>
                <c:pt idx="2">
                  <c:v>0.15328144201763572</c:v>
                </c:pt>
                <c:pt idx="3">
                  <c:v>0.13603484708408256</c:v>
                </c:pt>
                <c:pt idx="4">
                  <c:v>0.13884011735315074</c:v>
                </c:pt>
                <c:pt idx="5">
                  <c:v>0.15084317803532943</c:v>
                </c:pt>
                <c:pt idx="6">
                  <c:v>0.17638603780756373</c:v>
                </c:pt>
                <c:pt idx="7">
                  <c:v>0</c:v>
                </c:pt>
              </c:numCache>
            </c:numRef>
          </c:val>
          <c:smooth val="0"/>
        </c:ser>
        <c:ser>
          <c:idx val="15"/>
          <c:order val="5"/>
          <c:tx>
            <c:strRef>
              <c:f>股权价值增加分析表!$A$17</c:f>
              <c:strCache>
                <c:ptCount val="1"/>
                <c:pt idx="0">
                  <c:v>资产减值损失率</c:v>
                </c:pt>
              </c:strCache>
            </c:strRef>
          </c:tx>
          <c:val>
            <c:numRef>
              <c:f>股权价值增加分析表!$B$17:$Y$17</c:f>
              <c:numCache>
                <c:formatCode>0.00%</c:formatCode>
                <c:ptCount val="8"/>
                <c:pt idx="0">
                  <c:v>1.2450187206041774E-2</c:v>
                </c:pt>
                <c:pt idx="1">
                  <c:v>1.0671984427125221E-2</c:v>
                </c:pt>
                <c:pt idx="2">
                  <c:v>7.0158394737828917E-3</c:v>
                </c:pt>
                <c:pt idx="3">
                  <c:v>7.7137052044269844E-3</c:v>
                </c:pt>
                <c:pt idx="4">
                  <c:v>6.9658178704917976E-3</c:v>
                </c:pt>
                <c:pt idx="5">
                  <c:v>5.8833979044427987E-3</c:v>
                </c:pt>
                <c:pt idx="6">
                  <c:v>6.4658140154133298E-3</c:v>
                </c:pt>
                <c:pt idx="7">
                  <c:v>0</c:v>
                </c:pt>
              </c:numCache>
            </c:numRef>
          </c:val>
          <c:smooth val="0"/>
        </c:ser>
        <c:ser>
          <c:idx val="17"/>
          <c:order val="6"/>
          <c:tx>
            <c:strRef>
              <c:f>股权价值增加分析表!$A$19</c:f>
              <c:strCache>
                <c:ptCount val="1"/>
                <c:pt idx="0">
                  <c:v>财务手续费率</c:v>
                </c:pt>
              </c:strCache>
            </c:strRef>
          </c:tx>
          <c:val>
            <c:numRef>
              <c:f>股权价值增加分析表!$B$19:$Y$19</c:f>
              <c:numCache>
                <c:formatCode>0.00%</c:formatCode>
                <c:ptCount val="8"/>
                <c:pt idx="0">
                  <c:v>4.2809519338178755E-4</c:v>
                </c:pt>
                <c:pt idx="1">
                  <c:v>1.099087895387059E-4</c:v>
                </c:pt>
                <c:pt idx="2">
                  <c:v>1.6800836568816021E-4</c:v>
                </c:pt>
                <c:pt idx="3">
                  <c:v>1.3726478011066837E-4</c:v>
                </c:pt>
                <c:pt idx="4">
                  <c:v>0</c:v>
                </c:pt>
                <c:pt idx="5">
                  <c:v>0</c:v>
                </c:pt>
                <c:pt idx="6">
                  <c:v>0</c:v>
                </c:pt>
                <c:pt idx="7">
                  <c:v>0</c:v>
                </c:pt>
              </c:numCache>
            </c:numRef>
          </c:val>
          <c:smooth val="0"/>
        </c:ser>
        <c:ser>
          <c:idx val="19"/>
          <c:order val="7"/>
          <c:tx>
            <c:strRef>
              <c:f>股权价值增加分析表!$A$21</c:f>
              <c:strCache>
                <c:ptCount val="1"/>
                <c:pt idx="0">
                  <c:v>营业外收支净额率</c:v>
                </c:pt>
              </c:strCache>
            </c:strRef>
          </c:tx>
          <c:val>
            <c:numRef>
              <c:f>股权价值增加分析表!$B$21:$Y$21</c:f>
              <c:numCache>
                <c:formatCode>0.00%</c:formatCode>
                <c:ptCount val="8"/>
                <c:pt idx="0">
                  <c:v>6.2703702058573396E-4</c:v>
                </c:pt>
                <c:pt idx="1">
                  <c:v>3.0751659419411524E-2</c:v>
                </c:pt>
                <c:pt idx="2">
                  <c:v>2.7420826955347328E-2</c:v>
                </c:pt>
                <c:pt idx="3">
                  <c:v>1.4531683647354335E-2</c:v>
                </c:pt>
                <c:pt idx="4">
                  <c:v>1.4149304659248135E-2</c:v>
                </c:pt>
                <c:pt idx="5">
                  <c:v>4.0932136909763517E-3</c:v>
                </c:pt>
                <c:pt idx="6">
                  <c:v>2.989898203319805E-3</c:v>
                </c:pt>
                <c:pt idx="7">
                  <c:v>0</c:v>
                </c:pt>
              </c:numCache>
            </c:numRef>
          </c:val>
          <c:smooth val="0"/>
        </c:ser>
        <c:ser>
          <c:idx val="20"/>
          <c:order val="8"/>
          <c:tx>
            <c:strRef>
              <c:f>股权价值增加分析表!$A$22</c:f>
              <c:strCache>
                <c:ptCount val="1"/>
                <c:pt idx="0">
                  <c:v>总费用率</c:v>
                </c:pt>
              </c:strCache>
            </c:strRef>
          </c:tx>
          <c:val>
            <c:numRef>
              <c:f>股权价值增加分析表!$B$22:$Y$22</c:f>
              <c:numCache>
                <c:formatCode>0.00%</c:formatCode>
                <c:ptCount val="8"/>
                <c:pt idx="0">
                  <c:v>0.29375222545094926</c:v>
                </c:pt>
                <c:pt idx="1">
                  <c:v>0.34113046002552749</c:v>
                </c:pt>
                <c:pt idx="2">
                  <c:v>0.35530441099485888</c:v>
                </c:pt>
                <c:pt idx="3">
                  <c:v>0.31460342587274986</c:v>
                </c:pt>
                <c:pt idx="4">
                  <c:v>0.31815564906860228</c:v>
                </c:pt>
                <c:pt idx="5">
                  <c:v>0.32292723829347292</c:v>
                </c:pt>
                <c:pt idx="6">
                  <c:v>0.36846467885334444</c:v>
                </c:pt>
                <c:pt idx="7">
                  <c:v>0</c:v>
                </c:pt>
              </c:numCache>
            </c:numRef>
          </c:val>
          <c:smooth val="0"/>
        </c:ser>
        <c:ser>
          <c:idx val="22"/>
          <c:order val="9"/>
          <c:tx>
            <c:strRef>
              <c:f>股权价值增加分析表!$A$24</c:f>
              <c:strCache>
                <c:ptCount val="1"/>
                <c:pt idx="0">
                  <c:v>息前税后经营利润率</c:v>
                </c:pt>
              </c:strCache>
            </c:strRef>
          </c:tx>
          <c:val>
            <c:numRef>
              <c:f>股权价值增加分析表!$B$24:$Y$24</c:f>
              <c:numCache>
                <c:formatCode>0.00%</c:formatCode>
                <c:ptCount val="8"/>
                <c:pt idx="0">
                  <c:v>0.23034277199774722</c:v>
                </c:pt>
                <c:pt idx="1">
                  <c:v>0.26098110565361454</c:v>
                </c:pt>
                <c:pt idx="2">
                  <c:v>0.23699727395716072</c:v>
                </c:pt>
                <c:pt idx="3">
                  <c:v>0.25161380048347826</c:v>
                </c:pt>
                <c:pt idx="4">
                  <c:v>0.24585212864452355</c:v>
                </c:pt>
                <c:pt idx="5">
                  <c:v>0.24243774647823554</c:v>
                </c:pt>
                <c:pt idx="6">
                  <c:v>0.20433735787899882</c:v>
                </c:pt>
                <c:pt idx="7">
                  <c:v>0</c:v>
                </c:pt>
              </c:numCache>
            </c:numRef>
          </c:val>
          <c:smooth val="0"/>
        </c:ser>
        <c:dLbls>
          <c:showLegendKey val="0"/>
          <c:showVal val="0"/>
          <c:showCatName val="0"/>
          <c:showSerName val="0"/>
          <c:showPercent val="0"/>
          <c:showBubbleSize val="0"/>
        </c:dLbls>
        <c:marker val="1"/>
        <c:smooth val="0"/>
        <c:axId val="232333312"/>
        <c:axId val="232473152"/>
      </c:lineChart>
      <c:catAx>
        <c:axId val="232333312"/>
        <c:scaling>
          <c:orientation val="minMax"/>
        </c:scaling>
        <c:delete val="0"/>
        <c:axPos val="b"/>
        <c:majorTickMark val="out"/>
        <c:minorTickMark val="none"/>
        <c:tickLblPos val="nextTo"/>
        <c:crossAx val="232473152"/>
        <c:crosses val="autoZero"/>
        <c:auto val="1"/>
        <c:lblAlgn val="ctr"/>
        <c:lblOffset val="100"/>
        <c:noMultiLvlLbl val="0"/>
      </c:catAx>
      <c:valAx>
        <c:axId val="232473152"/>
        <c:scaling>
          <c:orientation val="minMax"/>
        </c:scaling>
        <c:delete val="0"/>
        <c:axPos val="l"/>
        <c:majorGridlines/>
        <c:numFmt formatCode="0.00%" sourceLinked="1"/>
        <c:majorTickMark val="out"/>
        <c:minorTickMark val="none"/>
        <c:tickLblPos val="nextTo"/>
        <c:crossAx val="232333312"/>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8"/>
                <c:pt idx="0">
                  <c:v>0.90297116618452311</c:v>
                </c:pt>
                <c:pt idx="1">
                  <c:v>0.88862244819446357</c:v>
                </c:pt>
                <c:pt idx="2">
                  <c:v>0.92949120564570986</c:v>
                </c:pt>
                <c:pt idx="3">
                  <c:v>0.99738189972936508</c:v>
                </c:pt>
                <c:pt idx="4">
                  <c:v>1</c:v>
                </c:pt>
                <c:pt idx="5">
                  <c:v>1</c:v>
                </c:pt>
                <c:pt idx="6">
                  <c:v>1</c:v>
                </c:pt>
                <c:pt idx="7">
                  <c:v>0</c:v>
                </c:pt>
              </c:numCache>
            </c:numRef>
          </c:val>
          <c:smooth val="0"/>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8"/>
                <c:pt idx="0">
                  <c:v>0</c:v>
                </c:pt>
                <c:pt idx="1">
                  <c:v>0</c:v>
                </c:pt>
                <c:pt idx="2">
                  <c:v>0</c:v>
                </c:pt>
                <c:pt idx="3">
                  <c:v>0</c:v>
                </c:pt>
                <c:pt idx="4">
                  <c:v>0</c:v>
                </c:pt>
                <c:pt idx="5">
                  <c:v>0</c:v>
                </c:pt>
                <c:pt idx="6">
                  <c:v>0</c:v>
                </c:pt>
                <c:pt idx="7">
                  <c:v>0</c:v>
                </c:pt>
              </c:numCache>
            </c:numRef>
          </c:val>
          <c:smooth val="0"/>
        </c:ser>
        <c:ser>
          <c:idx val="5"/>
          <c:order val="2"/>
          <c:tx>
            <c:strRef>
              <c:f>股权价值增加分析表!$A$33</c:f>
              <c:strCache>
                <c:ptCount val="1"/>
                <c:pt idx="0">
                  <c:v>息税前金融资产收益占比</c:v>
                </c:pt>
              </c:strCache>
            </c:strRef>
          </c:tx>
          <c:val>
            <c:numRef>
              <c:f>股权价值增加分析表!$B$33:$Y$33</c:f>
              <c:numCache>
                <c:formatCode>0.00%</c:formatCode>
                <c:ptCount val="8"/>
                <c:pt idx="0">
                  <c:v>9.702883381547682E-2</c:v>
                </c:pt>
                <c:pt idx="1">
                  <c:v>0.11137755180553642</c:v>
                </c:pt>
                <c:pt idx="2">
                  <c:v>7.0508794354290083E-2</c:v>
                </c:pt>
                <c:pt idx="3">
                  <c:v>2.6181002706348474E-3</c:v>
                </c:pt>
                <c:pt idx="4">
                  <c:v>0</c:v>
                </c:pt>
                <c:pt idx="5">
                  <c:v>0</c:v>
                </c:pt>
                <c:pt idx="6">
                  <c:v>0</c:v>
                </c:pt>
                <c:pt idx="7">
                  <c:v>1</c:v>
                </c:pt>
              </c:numCache>
            </c:numRef>
          </c:val>
          <c:smooth val="0"/>
        </c:ser>
        <c:dLbls>
          <c:showLegendKey val="0"/>
          <c:showVal val="0"/>
          <c:showCatName val="0"/>
          <c:showSerName val="0"/>
          <c:showPercent val="0"/>
          <c:showBubbleSize val="0"/>
        </c:dLbls>
        <c:marker val="1"/>
        <c:smooth val="0"/>
        <c:axId val="232334336"/>
        <c:axId val="232475456"/>
      </c:lineChart>
      <c:catAx>
        <c:axId val="232334336"/>
        <c:scaling>
          <c:orientation val="minMax"/>
        </c:scaling>
        <c:delete val="0"/>
        <c:axPos val="b"/>
        <c:majorTickMark val="out"/>
        <c:minorTickMark val="none"/>
        <c:tickLblPos val="nextTo"/>
        <c:crossAx val="232475456"/>
        <c:crosses val="autoZero"/>
        <c:auto val="1"/>
        <c:lblAlgn val="ctr"/>
        <c:lblOffset val="100"/>
        <c:noMultiLvlLbl val="0"/>
      </c:catAx>
      <c:valAx>
        <c:axId val="232475456"/>
        <c:scaling>
          <c:orientation val="minMax"/>
        </c:scaling>
        <c:delete val="0"/>
        <c:axPos val="l"/>
        <c:majorGridlines/>
        <c:numFmt formatCode="0.00%" sourceLinked="1"/>
        <c:majorTickMark val="out"/>
        <c:minorTickMark val="none"/>
        <c:tickLblPos val="nextTo"/>
        <c:crossAx val="2323343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12"/>
                <c:pt idx="0">
                  <c:v>0.23586628694389303</c:v>
                </c:pt>
                <c:pt idx="1">
                  <c:v>0.29250925017006385</c:v>
                </c:pt>
                <c:pt idx="2">
                  <c:v>0.25372425010581112</c:v>
                </c:pt>
                <c:pt idx="3">
                  <c:v>0.24892004452742131</c:v>
                </c:pt>
                <c:pt idx="4">
                  <c:v>0.24118114717949191</c:v>
                </c:pt>
                <c:pt idx="5">
                  <c:v>0.23571135970869814</c:v>
                </c:pt>
                <c:pt idx="6">
                  <c:v>0.20427414373098535</c:v>
                </c:pt>
                <c:pt idx="7">
                  <c:v>0</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232334848"/>
        <c:axId val="232477760"/>
      </c:lineChart>
      <c:catAx>
        <c:axId val="232334848"/>
        <c:scaling>
          <c:orientation val="minMax"/>
        </c:scaling>
        <c:delete val="0"/>
        <c:axPos val="b"/>
        <c:majorTickMark val="out"/>
        <c:minorTickMark val="none"/>
        <c:tickLblPos val="nextTo"/>
        <c:crossAx val="232477760"/>
        <c:crosses val="autoZero"/>
        <c:auto val="1"/>
        <c:lblAlgn val="ctr"/>
        <c:lblOffset val="100"/>
        <c:noMultiLvlLbl val="0"/>
      </c:catAx>
      <c:valAx>
        <c:axId val="232477760"/>
        <c:scaling>
          <c:orientation val="minMax"/>
        </c:scaling>
        <c:delete val="0"/>
        <c:axPos val="l"/>
        <c:majorGridlines/>
        <c:numFmt formatCode="0.00%" sourceLinked="1"/>
        <c:majorTickMark val="out"/>
        <c:minorTickMark val="none"/>
        <c:tickLblPos val="nextTo"/>
        <c:crossAx val="2323348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8"/>
                <c:pt idx="0">
                  <c:v>0.19694868868977236</c:v>
                </c:pt>
                <c:pt idx="1">
                  <c:v>0.19023616042015543</c:v>
                </c:pt>
                <c:pt idx="2">
                  <c:v>-7.610399815363568E-2</c:v>
                </c:pt>
                <c:pt idx="3">
                  <c:v>0.10704953978730217</c:v>
                </c:pt>
                <c:pt idx="4">
                  <c:v>-2.1379485844916779</c:v>
                </c:pt>
                <c:pt idx="5">
                  <c:v>-2.1546590883912264</c:v>
                </c:pt>
                <c:pt idx="6">
                  <c:v>-2.33724085745542</c:v>
                </c:pt>
                <c:pt idx="7">
                  <c:v>0.13114344554334914</c:v>
                </c:pt>
              </c:numCache>
            </c:numRef>
          </c:val>
          <c:smooth val="0"/>
        </c:ser>
        <c:dLbls>
          <c:showLegendKey val="0"/>
          <c:showVal val="0"/>
          <c:showCatName val="0"/>
          <c:showSerName val="0"/>
          <c:showPercent val="0"/>
          <c:showBubbleSize val="0"/>
        </c:dLbls>
        <c:marker val="1"/>
        <c:smooth val="0"/>
        <c:axId val="232335872"/>
        <c:axId val="232479488"/>
      </c:lineChart>
      <c:catAx>
        <c:axId val="232335872"/>
        <c:scaling>
          <c:orientation val="minMax"/>
        </c:scaling>
        <c:delete val="0"/>
        <c:axPos val="b"/>
        <c:majorTickMark val="out"/>
        <c:minorTickMark val="none"/>
        <c:tickLblPos val="nextTo"/>
        <c:crossAx val="232479488"/>
        <c:crosses val="autoZero"/>
        <c:auto val="1"/>
        <c:lblAlgn val="ctr"/>
        <c:lblOffset val="100"/>
        <c:noMultiLvlLbl val="0"/>
      </c:catAx>
      <c:valAx>
        <c:axId val="232479488"/>
        <c:scaling>
          <c:orientation val="minMax"/>
        </c:scaling>
        <c:delete val="0"/>
        <c:axPos val="l"/>
        <c:majorGridlines/>
        <c:numFmt formatCode="0.00%" sourceLinked="1"/>
        <c:majorTickMark val="out"/>
        <c:minorTickMark val="none"/>
        <c:tickLblPos val="nextTo"/>
        <c:crossAx val="23233587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8"/>
                <c:pt idx="0">
                  <c:v>0.90297116618452311</c:v>
                </c:pt>
                <c:pt idx="1">
                  <c:v>0.88862244819446357</c:v>
                </c:pt>
                <c:pt idx="2">
                  <c:v>0.92949120564570986</c:v>
                </c:pt>
                <c:pt idx="3">
                  <c:v>0.99738189972936508</c:v>
                </c:pt>
                <c:pt idx="4">
                  <c:v>1</c:v>
                </c:pt>
                <c:pt idx="5">
                  <c:v>1</c:v>
                </c:pt>
                <c:pt idx="6">
                  <c:v>1</c:v>
                </c:pt>
                <c:pt idx="7">
                  <c:v>0</c:v>
                </c:pt>
              </c:numCache>
            </c:numRef>
          </c:val>
          <c:smooth val="0"/>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8"/>
                <c:pt idx="0">
                  <c:v>0</c:v>
                </c:pt>
                <c:pt idx="1">
                  <c:v>0</c:v>
                </c:pt>
                <c:pt idx="2">
                  <c:v>0</c:v>
                </c:pt>
                <c:pt idx="3">
                  <c:v>0</c:v>
                </c:pt>
                <c:pt idx="4">
                  <c:v>0</c:v>
                </c:pt>
                <c:pt idx="5">
                  <c:v>0</c:v>
                </c:pt>
                <c:pt idx="6">
                  <c:v>0</c:v>
                </c:pt>
                <c:pt idx="7">
                  <c:v>0</c:v>
                </c:pt>
              </c:numCache>
            </c:numRef>
          </c:val>
          <c:smooth val="0"/>
        </c:ser>
        <c:ser>
          <c:idx val="4"/>
          <c:order val="2"/>
          <c:tx>
            <c:strRef>
              <c:f>股权价值增加分析表!$A$33</c:f>
              <c:strCache>
                <c:ptCount val="1"/>
                <c:pt idx="0">
                  <c:v>息税前金融资产收益占比</c:v>
                </c:pt>
              </c:strCache>
            </c:strRef>
          </c:tx>
          <c:val>
            <c:numRef>
              <c:f>股权价值增加分析表!$B$33:$Y$33</c:f>
              <c:numCache>
                <c:formatCode>0.00%</c:formatCode>
                <c:ptCount val="8"/>
                <c:pt idx="0">
                  <c:v>9.702883381547682E-2</c:v>
                </c:pt>
                <c:pt idx="1">
                  <c:v>0.11137755180553642</c:v>
                </c:pt>
                <c:pt idx="2">
                  <c:v>7.0508794354290083E-2</c:v>
                </c:pt>
                <c:pt idx="3">
                  <c:v>2.6181002706348474E-3</c:v>
                </c:pt>
                <c:pt idx="4">
                  <c:v>0</c:v>
                </c:pt>
                <c:pt idx="5">
                  <c:v>0</c:v>
                </c:pt>
                <c:pt idx="6">
                  <c:v>0</c:v>
                </c:pt>
                <c:pt idx="7">
                  <c:v>1</c:v>
                </c:pt>
              </c:numCache>
            </c:numRef>
          </c:val>
          <c:smooth val="0"/>
        </c:ser>
        <c:dLbls>
          <c:showLegendKey val="0"/>
          <c:showVal val="0"/>
          <c:showCatName val="0"/>
          <c:showSerName val="0"/>
          <c:showPercent val="0"/>
          <c:showBubbleSize val="0"/>
        </c:dLbls>
        <c:marker val="1"/>
        <c:smooth val="0"/>
        <c:axId val="232336384"/>
        <c:axId val="233660992"/>
      </c:lineChart>
      <c:catAx>
        <c:axId val="232336384"/>
        <c:scaling>
          <c:orientation val="minMax"/>
        </c:scaling>
        <c:delete val="0"/>
        <c:axPos val="b"/>
        <c:majorTickMark val="out"/>
        <c:minorTickMark val="none"/>
        <c:tickLblPos val="nextTo"/>
        <c:crossAx val="233660992"/>
        <c:crosses val="autoZero"/>
        <c:auto val="1"/>
        <c:lblAlgn val="ctr"/>
        <c:lblOffset val="100"/>
        <c:noMultiLvlLbl val="0"/>
      </c:catAx>
      <c:valAx>
        <c:axId val="233660992"/>
        <c:scaling>
          <c:orientation val="minMax"/>
        </c:scaling>
        <c:delete val="0"/>
        <c:axPos val="l"/>
        <c:majorGridlines/>
        <c:numFmt formatCode="0.00%" sourceLinked="1"/>
        <c:majorTickMark val="out"/>
        <c:minorTickMark val="none"/>
        <c:tickLblPos val="nextTo"/>
        <c:crossAx val="232336384"/>
        <c:crosses val="autoZero"/>
        <c:crossBetween val="between"/>
      </c:valAx>
    </c:plotArea>
    <c:legend>
      <c:legendPos val="r"/>
      <c:layout>
        <c:manualLayout>
          <c:xMode val="edge"/>
          <c:yMode val="edge"/>
          <c:x val="0.68025579536370906"/>
          <c:y val="9.4443138362717019E-2"/>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8"/>
                <c:pt idx="0">
                  <c:v>7.5375995790206929E-2</c:v>
                </c:pt>
                <c:pt idx="1">
                  <c:v>4.0264204005643345E-3</c:v>
                </c:pt>
                <c:pt idx="2">
                  <c:v>4.9064481010312466E-3</c:v>
                </c:pt>
                <c:pt idx="3">
                  <c:v>1.3295986092862644E-2</c:v>
                </c:pt>
                <c:pt idx="4">
                  <c:v>1.8999149980049257E-2</c:v>
                </c:pt>
                <c:pt idx="5">
                  <c:v>2.7744799921827434E-2</c:v>
                </c:pt>
                <c:pt idx="6">
                  <c:v>3.0936167849882068E-4</c:v>
                </c:pt>
                <c:pt idx="7">
                  <c:v>-11.948972451906775</c:v>
                </c:pt>
              </c:numCache>
            </c:numRef>
          </c:val>
          <c:smooth val="0"/>
        </c:ser>
        <c:dLbls>
          <c:showLegendKey val="0"/>
          <c:showVal val="0"/>
          <c:showCatName val="0"/>
          <c:showSerName val="0"/>
          <c:showPercent val="0"/>
          <c:showBubbleSize val="0"/>
        </c:dLbls>
        <c:marker val="1"/>
        <c:smooth val="0"/>
        <c:axId val="232336896"/>
        <c:axId val="233663296"/>
      </c:lineChart>
      <c:catAx>
        <c:axId val="232336896"/>
        <c:scaling>
          <c:orientation val="minMax"/>
        </c:scaling>
        <c:delete val="0"/>
        <c:axPos val="b"/>
        <c:majorTickMark val="out"/>
        <c:minorTickMark val="none"/>
        <c:tickLblPos val="nextTo"/>
        <c:crossAx val="233663296"/>
        <c:crosses val="autoZero"/>
        <c:auto val="1"/>
        <c:lblAlgn val="ctr"/>
        <c:lblOffset val="100"/>
        <c:noMultiLvlLbl val="0"/>
      </c:catAx>
      <c:valAx>
        <c:axId val="233663296"/>
        <c:scaling>
          <c:orientation val="minMax"/>
        </c:scaling>
        <c:delete val="0"/>
        <c:axPos val="l"/>
        <c:majorGridlines/>
        <c:numFmt formatCode="0.00%" sourceLinked="1"/>
        <c:majorTickMark val="out"/>
        <c:minorTickMark val="none"/>
        <c:tickLblPos val="nextTo"/>
        <c:crossAx val="23233689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8"/>
                <c:pt idx="0">
                  <c:v>495877419.98000002</c:v>
                </c:pt>
                <c:pt idx="1">
                  <c:v>334060452.80000001</c:v>
                </c:pt>
                <c:pt idx="2">
                  <c:v>323570970.87</c:v>
                </c:pt>
                <c:pt idx="3">
                  <c:v>356983852.38</c:v>
                </c:pt>
                <c:pt idx="4">
                  <c:v>332811274.00999999</c:v>
                </c:pt>
                <c:pt idx="5">
                  <c:v>309060512.23000002</c:v>
                </c:pt>
                <c:pt idx="6">
                  <c:v>239745202.43000001</c:v>
                </c:pt>
                <c:pt idx="7">
                  <c:v>0</c:v>
                </c:pt>
              </c:numCache>
            </c:numRef>
          </c:val>
        </c:ser>
        <c:ser>
          <c:idx val="2"/>
          <c:order val="1"/>
          <c:tx>
            <c:strRef>
              <c:f>股权价值增加分析表!$A$4</c:f>
              <c:strCache>
                <c:ptCount val="1"/>
                <c:pt idx="0">
                  <c:v>营业成本</c:v>
                </c:pt>
              </c:strCache>
            </c:strRef>
          </c:tx>
          <c:invertIfNegative val="0"/>
          <c:val>
            <c:numRef>
              <c:f>股权价值增加分析表!$B$4:$Y$4</c:f>
              <c:numCache>
                <c:formatCode>#,##0.00_ </c:formatCode>
                <c:ptCount val="8"/>
                <c:pt idx="0">
                  <c:v>214116621.69999999</c:v>
                </c:pt>
                <c:pt idx="1">
                  <c:v>138615829.41</c:v>
                </c:pt>
                <c:pt idx="2">
                  <c:v>136442760.19</c:v>
                </c:pt>
                <c:pt idx="3">
                  <c:v>149560883.75999999</c:v>
                </c:pt>
                <c:pt idx="4">
                  <c:v>140229533.38999999</c:v>
                </c:pt>
                <c:pt idx="5">
                  <c:v>123910315.51000001</c:v>
                </c:pt>
                <c:pt idx="6">
                  <c:v>95674543.489999995</c:v>
                </c:pt>
                <c:pt idx="7">
                  <c:v>0</c:v>
                </c:pt>
              </c:numCache>
            </c:numRef>
          </c:val>
        </c:ser>
        <c:ser>
          <c:idx val="5"/>
          <c:order val="2"/>
          <c:tx>
            <c:strRef>
              <c:f>股权价值增加分析表!$A$7</c:f>
              <c:strCache>
                <c:ptCount val="1"/>
                <c:pt idx="0">
                  <c:v>毛利</c:v>
                </c:pt>
              </c:strCache>
            </c:strRef>
          </c:tx>
          <c:invertIfNegative val="0"/>
          <c:val>
            <c:numRef>
              <c:f>股权价值增加分析表!$B$7:$Y$7</c:f>
              <c:numCache>
                <c:formatCode>#,##0.00_ </c:formatCode>
                <c:ptCount val="8"/>
                <c:pt idx="0">
                  <c:v>281760798.28000003</c:v>
                </c:pt>
                <c:pt idx="1">
                  <c:v>195444623.39000002</c:v>
                </c:pt>
                <c:pt idx="2">
                  <c:v>187128210.68000001</c:v>
                </c:pt>
                <c:pt idx="3">
                  <c:v>207422968.62</c:v>
                </c:pt>
                <c:pt idx="4">
                  <c:v>192581740.62</c:v>
                </c:pt>
                <c:pt idx="5">
                  <c:v>185150196.72000003</c:v>
                </c:pt>
                <c:pt idx="6">
                  <c:v>144070658.94</c:v>
                </c:pt>
                <c:pt idx="7">
                  <c:v>0</c:v>
                </c:pt>
              </c:numCache>
            </c:numRef>
          </c:val>
        </c:ser>
        <c:dLbls>
          <c:showLegendKey val="0"/>
          <c:showVal val="0"/>
          <c:showCatName val="0"/>
          <c:showSerName val="0"/>
          <c:showPercent val="0"/>
          <c:showBubbleSize val="0"/>
        </c:dLbls>
        <c:gapWidth val="150"/>
        <c:axId val="233975808"/>
        <c:axId val="233665024"/>
      </c:barChart>
      <c:catAx>
        <c:axId val="233975808"/>
        <c:scaling>
          <c:orientation val="minMax"/>
        </c:scaling>
        <c:delete val="0"/>
        <c:axPos val="b"/>
        <c:majorTickMark val="out"/>
        <c:minorTickMark val="none"/>
        <c:tickLblPos val="nextTo"/>
        <c:crossAx val="233665024"/>
        <c:crosses val="autoZero"/>
        <c:auto val="1"/>
        <c:lblAlgn val="ctr"/>
        <c:lblOffset val="100"/>
        <c:noMultiLvlLbl val="0"/>
      </c:catAx>
      <c:valAx>
        <c:axId val="233665024"/>
        <c:scaling>
          <c:orientation val="minMax"/>
        </c:scaling>
        <c:delete val="0"/>
        <c:axPos val="l"/>
        <c:majorGridlines/>
        <c:numFmt formatCode="#,##0.00_ " sourceLinked="1"/>
        <c:majorTickMark val="out"/>
        <c:minorTickMark val="none"/>
        <c:tickLblPos val="nextTo"/>
        <c:crossAx val="233975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8"/>
                <c:pt idx="0">
                  <c:v>0.4843942640432175</c:v>
                </c:pt>
                <c:pt idx="1">
                  <c:v>3.2417870805271747E-2</c:v>
                </c:pt>
                <c:pt idx="2">
                  <c:v>-9.359773918970668E-2</c:v>
                </c:pt>
                <c:pt idx="3">
                  <c:v>7.2631488947918543E-2</c:v>
                </c:pt>
                <c:pt idx="4">
                  <c:v>0</c:v>
                </c:pt>
                <c:pt idx="5">
                  <c:v>0</c:v>
                </c:pt>
                <c:pt idx="6">
                  <c:v>0</c:v>
                </c:pt>
                <c:pt idx="7">
                  <c:v>0</c:v>
                </c:pt>
              </c:numCache>
            </c:numRef>
          </c:val>
          <c:smooth val="0"/>
        </c:ser>
        <c:ser>
          <c:idx val="4"/>
          <c:order val="1"/>
          <c:tx>
            <c:strRef>
              <c:f>股权价值增加分析表!$A$6</c:f>
              <c:strCache>
                <c:ptCount val="1"/>
                <c:pt idx="0">
                  <c:v>营业成本增长率</c:v>
                </c:pt>
              </c:strCache>
            </c:strRef>
          </c:tx>
          <c:val>
            <c:numRef>
              <c:f>股权价值增加分析表!$B$6:$Y$6</c:f>
              <c:numCache>
                <c:formatCode>0.00%</c:formatCode>
                <c:ptCount val="8"/>
                <c:pt idx="0">
                  <c:v>0.54467655397914627</c:v>
                </c:pt>
                <c:pt idx="1">
                  <c:v>1.5926599674280593E-2</c:v>
                </c:pt>
                <c:pt idx="2">
                  <c:v>-8.771092574613705E-2</c:v>
                </c:pt>
                <c:pt idx="3">
                  <c:v>6.6543403122137468E-2</c:v>
                </c:pt>
                <c:pt idx="4">
                  <c:v>0</c:v>
                </c:pt>
                <c:pt idx="5">
                  <c:v>0</c:v>
                </c:pt>
                <c:pt idx="6">
                  <c:v>0</c:v>
                </c:pt>
                <c:pt idx="7">
                  <c:v>0</c:v>
                </c:pt>
              </c:numCache>
            </c:numRef>
          </c:val>
          <c:smooth val="0"/>
        </c:ser>
        <c:ser>
          <c:idx val="7"/>
          <c:order val="2"/>
          <c:tx>
            <c:strRef>
              <c:f>股权价值增加分析表!$A$9</c:f>
              <c:strCache>
                <c:ptCount val="1"/>
                <c:pt idx="0">
                  <c:v>毛利增长率</c:v>
                </c:pt>
              </c:strCache>
            </c:strRef>
          </c:tx>
          <c:val>
            <c:numRef>
              <c:f>股权价值增加分析表!$B$9:$Y$9</c:f>
              <c:numCache>
                <c:formatCode>0.00%</c:formatCode>
                <c:ptCount val="8"/>
                <c:pt idx="0">
                  <c:v>0.44164005841061377</c:v>
                </c:pt>
                <c:pt idx="1">
                  <c:v>4.4442324755734196E-2</c:v>
                </c:pt>
                <c:pt idx="2">
                  <c:v>-9.7842384934621704E-2</c:v>
                </c:pt>
                <c:pt idx="3">
                  <c:v>7.706456464782159E-2</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3976320"/>
        <c:axId val="233667328"/>
      </c:lineChart>
      <c:catAx>
        <c:axId val="233976320"/>
        <c:scaling>
          <c:orientation val="minMax"/>
        </c:scaling>
        <c:delete val="0"/>
        <c:axPos val="b"/>
        <c:majorTickMark val="out"/>
        <c:minorTickMark val="none"/>
        <c:tickLblPos val="nextTo"/>
        <c:crossAx val="233667328"/>
        <c:crosses val="autoZero"/>
        <c:auto val="1"/>
        <c:lblAlgn val="ctr"/>
        <c:lblOffset val="100"/>
        <c:noMultiLvlLbl val="0"/>
      </c:catAx>
      <c:valAx>
        <c:axId val="233667328"/>
        <c:scaling>
          <c:orientation val="minMax"/>
        </c:scaling>
        <c:delete val="0"/>
        <c:axPos val="l"/>
        <c:majorGridlines/>
        <c:numFmt formatCode="0.00%" sourceLinked="1"/>
        <c:majorTickMark val="out"/>
        <c:minorTickMark val="none"/>
        <c:tickLblPos val="nextTo"/>
        <c:crossAx val="233976320"/>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3977856"/>
        <c:axId val="233956480"/>
      </c:lineChart>
      <c:catAx>
        <c:axId val="233977856"/>
        <c:scaling>
          <c:orientation val="minMax"/>
        </c:scaling>
        <c:delete val="0"/>
        <c:axPos val="b"/>
        <c:majorTickMark val="out"/>
        <c:minorTickMark val="none"/>
        <c:tickLblPos val="nextTo"/>
        <c:crossAx val="233956480"/>
        <c:crosses val="autoZero"/>
        <c:auto val="1"/>
        <c:lblAlgn val="ctr"/>
        <c:lblOffset val="100"/>
        <c:noMultiLvlLbl val="0"/>
      </c:catAx>
      <c:valAx>
        <c:axId val="233956480"/>
        <c:scaling>
          <c:orientation val="minMax"/>
        </c:scaling>
        <c:delete val="0"/>
        <c:axPos val="l"/>
        <c:majorGridlines/>
        <c:numFmt formatCode="0.00%" sourceLinked="1"/>
        <c:majorTickMark val="out"/>
        <c:minorTickMark val="none"/>
        <c:tickLblPos val="nextTo"/>
        <c:crossAx val="2339778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8"/>
                <c:pt idx="0">
                  <c:v>3.1487370829716657E-2</c:v>
                </c:pt>
                <c:pt idx="1">
                  <c:v>2.2126785954142997E-2</c:v>
                </c:pt>
                <c:pt idx="2">
                  <c:v>1.4072594373913562E-2</c:v>
                </c:pt>
                <c:pt idx="3">
                  <c:v>3.1127318476016409E-3</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3979392"/>
        <c:axId val="233958208"/>
      </c:lineChart>
      <c:catAx>
        <c:axId val="233979392"/>
        <c:scaling>
          <c:orientation val="minMax"/>
        </c:scaling>
        <c:delete val="0"/>
        <c:axPos val="b"/>
        <c:majorTickMark val="out"/>
        <c:minorTickMark val="none"/>
        <c:tickLblPos val="nextTo"/>
        <c:crossAx val="233958208"/>
        <c:crosses val="autoZero"/>
        <c:auto val="1"/>
        <c:lblAlgn val="ctr"/>
        <c:lblOffset val="100"/>
        <c:noMultiLvlLbl val="0"/>
      </c:catAx>
      <c:valAx>
        <c:axId val="233958208"/>
        <c:scaling>
          <c:orientation val="minMax"/>
        </c:scaling>
        <c:delete val="0"/>
        <c:axPos val="l"/>
        <c:majorGridlines/>
        <c:numFmt formatCode="0.00%" sourceLinked="1"/>
        <c:majorTickMark val="out"/>
        <c:minorTickMark val="none"/>
        <c:tickLblPos val="nextTo"/>
        <c:crossAx val="2339793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8"/>
                <c:pt idx="0">
                  <c:v>1.4276919089869744</c:v>
                </c:pt>
                <c:pt idx="1">
                  <c:v>1.1685502969868862</c:v>
                </c:pt>
                <c:pt idx="2">
                  <c:v>1.2506802859073518</c:v>
                </c:pt>
                <c:pt idx="3">
                  <c:v>2.2333042747639662</c:v>
                </c:pt>
                <c:pt idx="4">
                  <c:v>0</c:v>
                </c:pt>
                <c:pt idx="5">
                  <c:v>0</c:v>
                </c:pt>
                <c:pt idx="6">
                  <c:v>0</c:v>
                </c:pt>
                <c:pt idx="7">
                  <c:v>0</c:v>
                </c:pt>
              </c:numCache>
            </c:numRef>
          </c:val>
          <c:smooth val="0"/>
        </c:ser>
        <c:ser>
          <c:idx val="2"/>
          <c:order val="1"/>
          <c:tx>
            <c:strRef>
              <c:f>股东权益回报率分析表!$A$53</c:f>
              <c:strCache>
                <c:ptCount val="1"/>
                <c:pt idx="0">
                  <c:v>长期经营资产周转率</c:v>
                </c:pt>
              </c:strCache>
            </c:strRef>
          </c:tx>
          <c:val>
            <c:numRef>
              <c:f>股东权益回报率分析表!$B$53:$Y$53</c:f>
              <c:numCache>
                <c:formatCode>#,##0.00_ </c:formatCode>
                <c:ptCount val="8"/>
                <c:pt idx="0">
                  <c:v>1.9121925898348267</c:v>
                </c:pt>
                <c:pt idx="1">
                  <c:v>1.2661224979099985</c:v>
                </c:pt>
                <c:pt idx="2">
                  <c:v>2.3872249444916385</c:v>
                </c:pt>
                <c:pt idx="3">
                  <c:v>2.663358534668602</c:v>
                </c:pt>
                <c:pt idx="4">
                  <c:v>0</c:v>
                </c:pt>
                <c:pt idx="5">
                  <c:v>0</c:v>
                </c:pt>
                <c:pt idx="6">
                  <c:v>0</c:v>
                </c:pt>
                <c:pt idx="7">
                  <c:v>0</c:v>
                </c:pt>
              </c:numCache>
            </c:numRef>
          </c:val>
          <c:smooth val="0"/>
        </c:ser>
        <c:ser>
          <c:idx val="4"/>
          <c:order val="2"/>
          <c:tx>
            <c:strRef>
              <c:f>股东权益回报率分析表!$A$55</c:f>
              <c:strCache>
                <c:ptCount val="1"/>
                <c:pt idx="0">
                  <c:v>金融资产周转率</c:v>
                </c:pt>
              </c:strCache>
            </c:strRef>
          </c:tx>
          <c:val>
            <c:numRef>
              <c:f>股东权益回报率分析表!$B$55:$Y$55</c:f>
              <c:numCache>
                <c:formatCode>#,##0.00_ </c:formatCode>
                <c:ptCount val="8"/>
                <c:pt idx="0">
                  <c:v>1.2560675838557473</c:v>
                </c:pt>
                <c:pt idx="1">
                  <c:v>0.67643937666531095</c:v>
                </c:pt>
                <c:pt idx="2">
                  <c:v>0.78276755389636188</c:v>
                </c:pt>
                <c:pt idx="3">
                  <c:v>4.7128374246711955</c:v>
                </c:pt>
                <c:pt idx="4">
                  <c:v>0</c:v>
                </c:pt>
                <c:pt idx="5">
                  <c:v>0</c:v>
                </c:pt>
                <c:pt idx="6">
                  <c:v>0</c:v>
                </c:pt>
                <c:pt idx="7">
                  <c:v>0</c:v>
                </c:pt>
              </c:numCache>
            </c:numRef>
          </c:val>
          <c:smooth val="0"/>
        </c:ser>
        <c:ser>
          <c:idx val="6"/>
          <c:order val="3"/>
          <c:tx>
            <c:strRef>
              <c:f>股东权益回报率分析表!$A$57</c:f>
              <c:strCache>
                <c:ptCount val="1"/>
                <c:pt idx="0">
                  <c:v>长期股权投资周转率</c:v>
                </c:pt>
              </c:strCache>
            </c:strRef>
          </c:tx>
          <c:val>
            <c:numRef>
              <c:f>股东权益回报率分析表!$B$57:$Y$57</c:f>
              <c:numCache>
                <c:formatCode>#,##0.00_ </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4749952"/>
        <c:axId val="233959936"/>
      </c:lineChart>
      <c:catAx>
        <c:axId val="234749952"/>
        <c:scaling>
          <c:orientation val="minMax"/>
        </c:scaling>
        <c:delete val="0"/>
        <c:axPos val="b"/>
        <c:majorTickMark val="out"/>
        <c:minorTickMark val="none"/>
        <c:tickLblPos val="nextTo"/>
        <c:crossAx val="233959936"/>
        <c:crosses val="autoZero"/>
        <c:auto val="1"/>
        <c:lblAlgn val="ctr"/>
        <c:lblOffset val="100"/>
        <c:noMultiLvlLbl val="0"/>
      </c:catAx>
      <c:valAx>
        <c:axId val="233959936"/>
        <c:scaling>
          <c:orientation val="minMax"/>
        </c:scaling>
        <c:delete val="0"/>
        <c:axPos val="l"/>
        <c:majorGridlines/>
        <c:numFmt formatCode="#,##0.00_ " sourceLinked="1"/>
        <c:majorTickMark val="out"/>
        <c:minorTickMark val="none"/>
        <c:tickLblPos val="nextTo"/>
        <c:crossAx val="23474995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8"/>
                <c:pt idx="0">
                  <c:v>2.3144311108655748</c:v>
                </c:pt>
                <c:pt idx="1">
                  <c:v>1.2661224979099985</c:v>
                </c:pt>
                <c:pt idx="2">
                  <c:v>2.3872249444916385</c:v>
                </c:pt>
                <c:pt idx="3">
                  <c:v>2.663358534668602</c:v>
                </c:pt>
                <c:pt idx="4">
                  <c:v>0</c:v>
                </c:pt>
                <c:pt idx="5">
                  <c:v>0</c:v>
                </c:pt>
                <c:pt idx="6">
                  <c:v>0</c:v>
                </c:pt>
                <c:pt idx="7">
                  <c:v>0</c:v>
                </c:pt>
              </c:numCache>
            </c:numRef>
          </c:val>
          <c:smooth val="0"/>
        </c:ser>
        <c:ser>
          <c:idx val="2"/>
          <c:order val="1"/>
          <c:tx>
            <c:strRef>
              <c:f>股东权益回报率分析表!$A$85</c:f>
              <c:strCache>
                <c:ptCount val="1"/>
                <c:pt idx="0">
                  <c:v>固定资产周转率</c:v>
                </c:pt>
              </c:strCache>
            </c:strRef>
          </c:tx>
          <c:val>
            <c:numRef>
              <c:f>股东权益回报率分析表!$B$85:$Y$85</c:f>
              <c:numCache>
                <c:formatCode>#,##0.00_ </c:formatCode>
                <c:ptCount val="8"/>
                <c:pt idx="0">
                  <c:v>6.3144172765006887</c:v>
                </c:pt>
                <c:pt idx="1">
                  <c:v>6.8537713593311569</c:v>
                </c:pt>
                <c:pt idx="2">
                  <c:v>6.9664939134438582</c:v>
                </c:pt>
                <c:pt idx="3">
                  <c:v>7.5636410205151732</c:v>
                </c:pt>
                <c:pt idx="4">
                  <c:v>0</c:v>
                </c:pt>
                <c:pt idx="5">
                  <c:v>0</c:v>
                </c:pt>
                <c:pt idx="6">
                  <c:v>0</c:v>
                </c:pt>
                <c:pt idx="7">
                  <c:v>0</c:v>
                </c:pt>
              </c:numCache>
            </c:numRef>
          </c:val>
          <c:smooth val="0"/>
        </c:ser>
        <c:ser>
          <c:idx val="4"/>
          <c:order val="2"/>
          <c:tx>
            <c:strRef>
              <c:f>股东权益回报率分析表!$A$87</c:f>
              <c:strCache>
                <c:ptCount val="1"/>
                <c:pt idx="0">
                  <c:v>在建工程周转率</c:v>
                </c:pt>
              </c:strCache>
            </c:strRef>
          </c:tx>
          <c:val>
            <c:numRef>
              <c:f>股东权益回报率分析表!$B$87:$Y$87</c:f>
              <c:numCache>
                <c:formatCode>#,##0.00_ </c:formatCode>
                <c:ptCount val="8"/>
                <c:pt idx="0">
                  <c:v>14.688657321382522</c:v>
                </c:pt>
                <c:pt idx="1">
                  <c:v>10.986083754907503</c:v>
                </c:pt>
                <c:pt idx="2">
                  <c:v>11.363488036380483</c:v>
                </c:pt>
                <c:pt idx="3">
                  <c:v>13.886760889299941</c:v>
                </c:pt>
                <c:pt idx="4">
                  <c:v>0</c:v>
                </c:pt>
                <c:pt idx="5">
                  <c:v>0</c:v>
                </c:pt>
                <c:pt idx="6">
                  <c:v>0</c:v>
                </c:pt>
                <c:pt idx="7">
                  <c:v>0</c:v>
                </c:pt>
              </c:numCache>
            </c:numRef>
          </c:val>
          <c:smooth val="0"/>
        </c:ser>
        <c:ser>
          <c:idx val="10"/>
          <c:order val="3"/>
          <c:tx>
            <c:strRef>
              <c:f>股东权益回报率分析表!$A$93</c:f>
              <c:strCache>
                <c:ptCount val="1"/>
                <c:pt idx="0">
                  <c:v>无形资产周转率</c:v>
                </c:pt>
              </c:strCache>
            </c:strRef>
          </c:tx>
          <c:val>
            <c:numRef>
              <c:f>股东权益回报率分析表!$B$93:$Y$93</c:f>
              <c:numCache>
                <c:formatCode>#,##0.00_ </c:formatCode>
                <c:ptCount val="8"/>
                <c:pt idx="0">
                  <c:v>5.2064211261486024</c:v>
                </c:pt>
                <c:pt idx="1">
                  <c:v>6.1922071288645713</c:v>
                </c:pt>
                <c:pt idx="2">
                  <c:v>5.8331490849207812</c:v>
                </c:pt>
                <c:pt idx="3">
                  <c:v>6.3293388437822902</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4750976"/>
        <c:axId val="233962240"/>
      </c:lineChart>
      <c:catAx>
        <c:axId val="234750976"/>
        <c:scaling>
          <c:orientation val="minMax"/>
        </c:scaling>
        <c:delete val="0"/>
        <c:axPos val="b"/>
        <c:majorTickMark val="out"/>
        <c:minorTickMark val="none"/>
        <c:tickLblPos val="nextTo"/>
        <c:crossAx val="233962240"/>
        <c:crosses val="autoZero"/>
        <c:auto val="1"/>
        <c:lblAlgn val="ctr"/>
        <c:lblOffset val="100"/>
        <c:noMultiLvlLbl val="0"/>
      </c:catAx>
      <c:valAx>
        <c:axId val="233962240"/>
        <c:scaling>
          <c:orientation val="minMax"/>
        </c:scaling>
        <c:delete val="0"/>
        <c:axPos val="l"/>
        <c:majorGridlines/>
        <c:numFmt formatCode="#,##0.00_ " sourceLinked="1"/>
        <c:majorTickMark val="out"/>
        <c:minorTickMark val="none"/>
        <c:tickLblPos val="nextTo"/>
        <c:crossAx val="2347509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8"/>
                <c:pt idx="0">
                  <c:v>0.11799804230217373</c:v>
                </c:pt>
                <c:pt idx="1">
                  <c:v>0.10943826687211886</c:v>
                </c:pt>
                <c:pt idx="2">
                  <c:v>0.10170354043627934</c:v>
                </c:pt>
                <c:pt idx="3">
                  <c:v>0.2619490527476081</c:v>
                </c:pt>
                <c:pt idx="4">
                  <c:v>0</c:v>
                </c:pt>
                <c:pt idx="5">
                  <c:v>2.3323451722811278E-2</c:v>
                </c:pt>
                <c:pt idx="6">
                  <c:v>1.6279368170867052E-2</c:v>
                </c:pt>
                <c:pt idx="7">
                  <c:v>-2.4053721262965819E-2</c:v>
                </c:pt>
              </c:numCache>
            </c:numRef>
          </c:val>
          <c:smooth val="0"/>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8"/>
                <c:pt idx="0">
                  <c:v>0.30533466562382838</c:v>
                </c:pt>
                <c:pt idx="1">
                  <c:v>0.34371234846149978</c:v>
                </c:pt>
                <c:pt idx="2">
                  <c:v>0.29893692397660054</c:v>
                </c:pt>
                <c:pt idx="3">
                  <c:v>0.29627862880871741</c:v>
                </c:pt>
                <c:pt idx="4">
                  <c:v>0.28879445333066472</c:v>
                </c:pt>
                <c:pt idx="5">
                  <c:v>0.28433344604891919</c:v>
                </c:pt>
                <c:pt idx="6">
                  <c:v>0.23844751361267105</c:v>
                </c:pt>
                <c:pt idx="7">
                  <c:v>0</c:v>
                </c:pt>
              </c:numCache>
            </c:numRef>
          </c:val>
          <c:smooth val="0"/>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8"/>
                <c:pt idx="0">
                  <c:v>0.49516554745894059</c:v>
                </c:pt>
                <c:pt idx="1">
                  <c:v>0.32011234483421186</c:v>
                </c:pt>
                <c:pt idx="2">
                  <c:v>0.40064427750855736</c:v>
                </c:pt>
                <c:pt idx="3">
                  <c:v>0.96579240331218885</c:v>
                </c:pt>
                <c:pt idx="4">
                  <c:v>0</c:v>
                </c:pt>
                <c:pt idx="5">
                  <c:v>0</c:v>
                </c:pt>
                <c:pt idx="6">
                  <c:v>0</c:v>
                </c:pt>
                <c:pt idx="7">
                  <c:v>0</c:v>
                </c:pt>
              </c:numCache>
            </c:numRef>
          </c:val>
          <c:smooth val="0"/>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8"/>
                <c:pt idx="0">
                  <c:v>0.15119120686181556</c:v>
                </c:pt>
                <c:pt idx="1">
                  <c:v>0.1100265658144844</c:v>
                </c:pt>
                <c:pt idx="2">
                  <c:v>0.11976736792723565</c:v>
                </c:pt>
                <c:pt idx="3">
                  <c:v>0.28614364896721112</c:v>
                </c:pt>
                <c:pt idx="4">
                  <c:v>0</c:v>
                </c:pt>
                <c:pt idx="5">
                  <c:v>0</c:v>
                </c:pt>
                <c:pt idx="6">
                  <c:v>0</c:v>
                </c:pt>
                <c:pt idx="7">
                  <c:v>0</c:v>
                </c:pt>
              </c:numCache>
            </c:numRef>
          </c:val>
          <c:smooth val="0"/>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8"/>
                <c:pt idx="0">
                  <c:v>0.92462400420979307</c:v>
                </c:pt>
                <c:pt idx="1">
                  <c:v>0.99597357959943567</c:v>
                </c:pt>
                <c:pt idx="2">
                  <c:v>0.99509355189896875</c:v>
                </c:pt>
                <c:pt idx="3">
                  <c:v>0.98670401390713736</c:v>
                </c:pt>
                <c:pt idx="4">
                  <c:v>0.98100085001995074</c:v>
                </c:pt>
                <c:pt idx="5">
                  <c:v>0.97225520007817257</c:v>
                </c:pt>
                <c:pt idx="6">
                  <c:v>0.99969063832150118</c:v>
                </c:pt>
                <c:pt idx="7">
                  <c:v>12.948972451906775</c:v>
                </c:pt>
              </c:numCache>
            </c:numRef>
          </c:val>
          <c:smooth val="0"/>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8"/>
                <c:pt idx="0">
                  <c:v>0.83545794308012411</c:v>
                </c:pt>
                <c:pt idx="1">
                  <c:v>0.85446966932079915</c:v>
                </c:pt>
                <c:pt idx="2">
                  <c:v>0.85294004386703315</c:v>
                </c:pt>
                <c:pt idx="3">
                  <c:v>0.85147646611623873</c:v>
                </c:pt>
                <c:pt idx="4">
                  <c:v>0.85130488418012329</c:v>
                </c:pt>
                <c:pt idx="5">
                  <c:v>0.85265293213702498</c:v>
                </c:pt>
                <c:pt idx="6">
                  <c:v>0.85694899805464098</c:v>
                </c:pt>
                <c:pt idx="7">
                  <c:v>-4.9505360164341328</c:v>
                </c:pt>
              </c:numCache>
            </c:numRef>
          </c:val>
          <c:smooth val="0"/>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8"/>
                <c:pt idx="0">
                  <c:v>0.16454205691987589</c:v>
                </c:pt>
                <c:pt idx="1">
                  <c:v>0.14553033067920085</c:v>
                </c:pt>
                <c:pt idx="2">
                  <c:v>0.14705995613296685</c:v>
                </c:pt>
                <c:pt idx="3">
                  <c:v>0.14852353388376127</c:v>
                </c:pt>
                <c:pt idx="4">
                  <c:v>0.14869511581987671</c:v>
                </c:pt>
                <c:pt idx="5">
                  <c:v>0.14734706786297502</c:v>
                </c:pt>
                <c:pt idx="6">
                  <c:v>0.14305100194535902</c:v>
                </c:pt>
                <c:pt idx="7">
                  <c:v>5.9505360164341328</c:v>
                </c:pt>
              </c:numCache>
            </c:numRef>
          </c:val>
          <c:smooth val="0"/>
        </c:ser>
        <c:ser>
          <c:idx val="10"/>
          <c:order val="7"/>
          <c:tx>
            <c:strRef>
              <c:f>股东权益回报率分析表!$A$14</c:f>
              <c:strCache>
                <c:ptCount val="1"/>
                <c:pt idx="0">
                  <c:v>股东权益回报率=1*2*3*4*5</c:v>
                </c:pt>
              </c:strCache>
            </c:strRef>
          </c:tx>
          <c:val>
            <c:numRef>
              <c:f>股东权益回报率分析表!$B$14:$Y$14</c:f>
              <c:numCache>
                <c:formatCode>0.00%</c:formatCode>
                <c:ptCount val="8"/>
                <c:pt idx="0">
                  <c:v>0.11799804230217376</c:v>
                </c:pt>
                <c:pt idx="1">
                  <c:v>0.10943826687211886</c:v>
                </c:pt>
                <c:pt idx="2">
                  <c:v>0.10170354043627935</c:v>
                </c:pt>
                <c:pt idx="3">
                  <c:v>0.2619490527476081</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4752000"/>
        <c:axId val="237372544"/>
      </c:lineChart>
      <c:catAx>
        <c:axId val="234752000"/>
        <c:scaling>
          <c:orientation val="minMax"/>
        </c:scaling>
        <c:delete val="0"/>
        <c:axPos val="b"/>
        <c:majorTickMark val="out"/>
        <c:minorTickMark val="none"/>
        <c:tickLblPos val="nextTo"/>
        <c:crossAx val="237372544"/>
        <c:crosses val="autoZero"/>
        <c:auto val="1"/>
        <c:lblAlgn val="ctr"/>
        <c:lblOffset val="100"/>
        <c:noMultiLvlLbl val="0"/>
      </c:catAx>
      <c:valAx>
        <c:axId val="237372544"/>
        <c:scaling>
          <c:orientation val="minMax"/>
        </c:scaling>
        <c:delete val="0"/>
        <c:axPos val="l"/>
        <c:majorGridlines/>
        <c:numFmt formatCode="0.00%" sourceLinked="1"/>
        <c:majorTickMark val="out"/>
        <c:minorTickMark val="none"/>
        <c:tickLblPos val="nextTo"/>
        <c:crossAx val="23475200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8"/>
                <c:pt idx="0">
                  <c:v>1.7663320458549021</c:v>
                </c:pt>
                <c:pt idx="1">
                  <c:v>1.5451438749337914</c:v>
                </c:pt>
                <c:pt idx="2">
                  <c:v>1.7232173675645215</c:v>
                </c:pt>
                <c:pt idx="3">
                  <c:v>4.1712692093446417</c:v>
                </c:pt>
                <c:pt idx="4">
                  <c:v>0</c:v>
                </c:pt>
                <c:pt idx="5">
                  <c:v>0</c:v>
                </c:pt>
                <c:pt idx="6">
                  <c:v>0</c:v>
                </c:pt>
                <c:pt idx="7">
                  <c:v>0</c:v>
                </c:pt>
              </c:numCache>
            </c:numRef>
          </c:val>
          <c:smooth val="0"/>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8"/>
                <c:pt idx="0">
                  <c:v>1.9265380897466855</c:v>
                </c:pt>
                <c:pt idx="1">
                  <c:v>1.533666861376799</c:v>
                </c:pt>
                <c:pt idx="2">
                  <c:v>1.5934725590008925</c:v>
                </c:pt>
                <c:pt idx="3">
                  <c:v>3.7491510624823325</c:v>
                </c:pt>
                <c:pt idx="4">
                  <c:v>0</c:v>
                </c:pt>
                <c:pt idx="5">
                  <c:v>0</c:v>
                </c:pt>
                <c:pt idx="6">
                  <c:v>0</c:v>
                </c:pt>
                <c:pt idx="7">
                  <c:v>0</c:v>
                </c:pt>
              </c:numCache>
            </c:numRef>
          </c:val>
          <c:smooth val="0"/>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8"/>
                <c:pt idx="0">
                  <c:v>4.6156782580480664</c:v>
                </c:pt>
                <c:pt idx="1">
                  <c:v>3.9079614242548759</c:v>
                </c:pt>
                <c:pt idx="2">
                  <c:v>3.1647858666643556</c:v>
                </c:pt>
                <c:pt idx="3">
                  <c:v>6.3005636562535363</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4752512"/>
        <c:axId val="237376000"/>
      </c:lineChart>
      <c:catAx>
        <c:axId val="234752512"/>
        <c:scaling>
          <c:orientation val="minMax"/>
        </c:scaling>
        <c:delete val="0"/>
        <c:axPos val="b"/>
        <c:majorTickMark val="out"/>
        <c:minorTickMark val="none"/>
        <c:tickLblPos val="nextTo"/>
        <c:crossAx val="237376000"/>
        <c:crosses val="autoZero"/>
        <c:auto val="1"/>
        <c:lblAlgn val="ctr"/>
        <c:lblOffset val="100"/>
        <c:noMultiLvlLbl val="0"/>
      </c:catAx>
      <c:valAx>
        <c:axId val="237376000"/>
        <c:scaling>
          <c:orientation val="minMax"/>
        </c:scaling>
        <c:delete val="0"/>
        <c:axPos val="l"/>
        <c:majorGridlines/>
        <c:numFmt formatCode="#,##0.00_ " sourceLinked="1"/>
        <c:majorTickMark val="out"/>
        <c:minorTickMark val="none"/>
        <c:tickLblPos val="nextTo"/>
        <c:crossAx val="2347525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8"/>
                <c:pt idx="0">
                  <c:v>0.39362665062755431</c:v>
                </c:pt>
                <c:pt idx="1">
                  <c:v>0.35691091149193316</c:v>
                </c:pt>
                <c:pt idx="2">
                  <c:v>0.34751307607526566</c:v>
                </c:pt>
                <c:pt idx="3">
                  <c:v>0.65994798279327682</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7563904"/>
        <c:axId val="237378304"/>
      </c:lineChart>
      <c:catAx>
        <c:axId val="237563904"/>
        <c:scaling>
          <c:orientation val="minMax"/>
        </c:scaling>
        <c:delete val="0"/>
        <c:axPos val="b"/>
        <c:majorTickMark val="out"/>
        <c:minorTickMark val="none"/>
        <c:tickLblPos val="nextTo"/>
        <c:crossAx val="237378304"/>
        <c:crosses val="autoZero"/>
        <c:auto val="1"/>
        <c:lblAlgn val="ctr"/>
        <c:lblOffset val="100"/>
        <c:noMultiLvlLbl val="0"/>
      </c:catAx>
      <c:valAx>
        <c:axId val="237378304"/>
        <c:scaling>
          <c:orientation val="minMax"/>
        </c:scaling>
        <c:delete val="0"/>
        <c:axPos val="l"/>
        <c:majorGridlines/>
        <c:numFmt formatCode="0.00%" sourceLinked="1"/>
        <c:majorTickMark val="out"/>
        <c:minorTickMark val="none"/>
        <c:tickLblPos val="nextTo"/>
        <c:crossAx val="237563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8"/>
                <c:pt idx="0">
                  <c:v>0.27570839909490974</c:v>
                </c:pt>
                <c:pt idx="1">
                  <c:v>0.30543050856452653</c:v>
                </c:pt>
                <c:pt idx="2">
                  <c:v>0.27785924187903033</c:v>
                </c:pt>
                <c:pt idx="3">
                  <c:v>0.29550294165044999</c:v>
                </c:pt>
                <c:pt idx="4">
                  <c:v>0.28879445333066472</c:v>
                </c:pt>
                <c:pt idx="5">
                  <c:v>0.28433344604891919</c:v>
                </c:pt>
                <c:pt idx="6">
                  <c:v>0.23844751361267105</c:v>
                </c:pt>
                <c:pt idx="7">
                  <c:v>0</c:v>
                </c:pt>
              </c:numCache>
            </c:numRef>
          </c:val>
          <c:smooth val="0"/>
        </c:ser>
        <c:dLbls>
          <c:showLegendKey val="0"/>
          <c:showVal val="0"/>
          <c:showCatName val="0"/>
          <c:showSerName val="0"/>
          <c:showPercent val="0"/>
          <c:showBubbleSize val="0"/>
        </c:dLbls>
        <c:marker val="1"/>
        <c:smooth val="0"/>
        <c:axId val="237565440"/>
        <c:axId val="237601344"/>
      </c:lineChart>
      <c:catAx>
        <c:axId val="237565440"/>
        <c:scaling>
          <c:orientation val="minMax"/>
        </c:scaling>
        <c:delete val="0"/>
        <c:axPos val="b"/>
        <c:majorTickMark val="out"/>
        <c:minorTickMark val="none"/>
        <c:tickLblPos val="nextTo"/>
        <c:crossAx val="237601344"/>
        <c:crosses val="autoZero"/>
        <c:auto val="1"/>
        <c:lblAlgn val="ctr"/>
        <c:lblOffset val="100"/>
        <c:noMultiLvlLbl val="0"/>
      </c:catAx>
      <c:valAx>
        <c:axId val="237601344"/>
        <c:scaling>
          <c:orientation val="minMax"/>
        </c:scaling>
        <c:delete val="0"/>
        <c:axPos val="l"/>
        <c:majorGridlines/>
        <c:numFmt formatCode="0.00%" sourceLinked="1"/>
        <c:majorTickMark val="out"/>
        <c:minorTickMark val="none"/>
        <c:tickLblPos val="nextTo"/>
        <c:crossAx val="23756544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8"/>
                <c:pt idx="0">
                  <c:v>116960765.83000004</c:v>
                </c:pt>
                <c:pt idx="1">
                  <c:v>97715772.560000002</c:v>
                </c:pt>
                <c:pt idx="2">
                  <c:v>82097801.940000013</c:v>
                </c:pt>
                <c:pt idx="3">
                  <c:v>88860436.429999992</c:v>
                </c:pt>
                <c:pt idx="4">
                  <c:v>80267804.860000014</c:v>
                </c:pt>
                <c:pt idx="5">
                  <c:v>72849073.570000038</c:v>
                </c:pt>
                <c:pt idx="6">
                  <c:v>48973745.939999998</c:v>
                </c:pt>
                <c:pt idx="7">
                  <c:v>-70537286.090000004</c:v>
                </c:pt>
              </c:numCache>
            </c:numRef>
          </c:val>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8"/>
                <c:pt idx="0">
                  <c:v>991209375.57999992</c:v>
                </c:pt>
                <c:pt idx="1">
                  <c:v>892884868.82000005</c:v>
                </c:pt>
                <c:pt idx="2">
                  <c:v>807226588.05999994</c:v>
                </c:pt>
                <c:pt idx="3">
                  <c:v>339227935.73000002</c:v>
                </c:pt>
                <c:pt idx="4">
                  <c:v>0</c:v>
                </c:pt>
                <c:pt idx="5">
                  <c:v>3123425916.3600001</c:v>
                </c:pt>
                <c:pt idx="6">
                  <c:v>3008332106.3799996</c:v>
                </c:pt>
                <c:pt idx="7">
                  <c:v>2932489543.6699996</c:v>
                </c:pt>
              </c:numCache>
            </c:numRef>
          </c:val>
        </c:ser>
        <c:dLbls>
          <c:showLegendKey val="0"/>
          <c:showVal val="0"/>
          <c:showCatName val="0"/>
          <c:showSerName val="0"/>
          <c:showPercent val="0"/>
          <c:showBubbleSize val="0"/>
        </c:dLbls>
        <c:gapWidth val="150"/>
        <c:axId val="237565952"/>
        <c:axId val="237603072"/>
      </c:barChart>
      <c:catAx>
        <c:axId val="237565952"/>
        <c:scaling>
          <c:orientation val="minMax"/>
        </c:scaling>
        <c:delete val="0"/>
        <c:axPos val="b"/>
        <c:majorTickMark val="out"/>
        <c:minorTickMark val="none"/>
        <c:tickLblPos val="nextTo"/>
        <c:crossAx val="237603072"/>
        <c:crosses val="autoZero"/>
        <c:auto val="1"/>
        <c:lblAlgn val="ctr"/>
        <c:lblOffset val="100"/>
        <c:noMultiLvlLbl val="0"/>
      </c:catAx>
      <c:valAx>
        <c:axId val="237603072"/>
        <c:scaling>
          <c:orientation val="minMax"/>
        </c:scaling>
        <c:delete val="0"/>
        <c:axPos val="l"/>
        <c:majorGridlines/>
        <c:numFmt formatCode="#,##0.00_ " sourceLinked="1"/>
        <c:majorTickMark val="out"/>
        <c:minorTickMark val="none"/>
        <c:tickLblPos val="nextTo"/>
        <c:crossAx val="23756595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8"/>
                <c:pt idx="0">
                  <c:v>495877419.98000002</c:v>
                </c:pt>
                <c:pt idx="1">
                  <c:v>334060452.80000001</c:v>
                </c:pt>
                <c:pt idx="2">
                  <c:v>323570970.87</c:v>
                </c:pt>
                <c:pt idx="3">
                  <c:v>356983852.38</c:v>
                </c:pt>
                <c:pt idx="4">
                  <c:v>332811274.00999999</c:v>
                </c:pt>
                <c:pt idx="5">
                  <c:v>309060512.23000002</c:v>
                </c:pt>
                <c:pt idx="6">
                  <c:v>239745202.43000001</c:v>
                </c:pt>
                <c:pt idx="7">
                  <c:v>0</c:v>
                </c:pt>
              </c:numCache>
            </c:numRef>
          </c:val>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8"/>
                <c:pt idx="0">
                  <c:v>136717569.61000001</c:v>
                </c:pt>
                <c:pt idx="1">
                  <c:v>102032253.99000001</c:v>
                </c:pt>
                <c:pt idx="2">
                  <c:v>89907184.660000011</c:v>
                </c:pt>
                <c:pt idx="3">
                  <c:v>105489778.49999999</c:v>
                </c:pt>
                <c:pt idx="4">
                  <c:v>96114049.940000013</c:v>
                </c:pt>
                <c:pt idx="5">
                  <c:v>87876240.480000034</c:v>
                </c:pt>
                <c:pt idx="6">
                  <c:v>57166647.420000002</c:v>
                </c:pt>
                <c:pt idx="7">
                  <c:v>0</c:v>
                </c:pt>
              </c:numCache>
            </c:numRef>
          </c:val>
        </c:ser>
        <c:dLbls>
          <c:showLegendKey val="0"/>
          <c:showVal val="0"/>
          <c:showCatName val="0"/>
          <c:showSerName val="0"/>
          <c:showPercent val="0"/>
          <c:showBubbleSize val="0"/>
        </c:dLbls>
        <c:gapWidth val="150"/>
        <c:axId val="237566464"/>
        <c:axId val="237604800"/>
      </c:barChart>
      <c:catAx>
        <c:axId val="237566464"/>
        <c:scaling>
          <c:orientation val="minMax"/>
        </c:scaling>
        <c:delete val="0"/>
        <c:axPos val="b"/>
        <c:majorTickMark val="out"/>
        <c:minorTickMark val="none"/>
        <c:tickLblPos val="nextTo"/>
        <c:crossAx val="237604800"/>
        <c:crosses val="autoZero"/>
        <c:auto val="1"/>
        <c:lblAlgn val="ctr"/>
        <c:lblOffset val="100"/>
        <c:noMultiLvlLbl val="0"/>
      </c:catAx>
      <c:valAx>
        <c:axId val="237604800"/>
        <c:scaling>
          <c:orientation val="minMax"/>
        </c:scaling>
        <c:delete val="0"/>
        <c:axPos val="l"/>
        <c:majorGridlines/>
        <c:numFmt formatCode="#,##0.00_ " sourceLinked="1"/>
        <c:majorTickMark val="out"/>
        <c:minorTickMark val="none"/>
        <c:tickLblPos val="nextTo"/>
        <c:crossAx val="23756646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8"/>
                <c:pt idx="0">
                  <c:v>0</c:v>
                </c:pt>
                <c:pt idx="1">
                  <c:v>0</c:v>
                </c:pt>
                <c:pt idx="2">
                  <c:v>0</c:v>
                </c:pt>
                <c:pt idx="3">
                  <c:v>0</c:v>
                </c:pt>
                <c:pt idx="4">
                  <c:v>0</c:v>
                </c:pt>
                <c:pt idx="5">
                  <c:v>0</c:v>
                </c:pt>
                <c:pt idx="6">
                  <c:v>0</c:v>
                </c:pt>
                <c:pt idx="7">
                  <c:v>0</c:v>
                </c:pt>
              </c:numCache>
            </c:numRef>
          </c:val>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dLbls>
        <c:gapWidth val="150"/>
        <c:axId val="237567488"/>
        <c:axId val="237606528"/>
      </c:barChart>
      <c:catAx>
        <c:axId val="237567488"/>
        <c:scaling>
          <c:orientation val="minMax"/>
        </c:scaling>
        <c:delete val="0"/>
        <c:axPos val="b"/>
        <c:majorTickMark val="out"/>
        <c:minorTickMark val="none"/>
        <c:tickLblPos val="nextTo"/>
        <c:crossAx val="237606528"/>
        <c:crosses val="autoZero"/>
        <c:auto val="1"/>
        <c:lblAlgn val="ctr"/>
        <c:lblOffset val="100"/>
        <c:noMultiLvlLbl val="0"/>
      </c:catAx>
      <c:valAx>
        <c:axId val="237606528"/>
        <c:scaling>
          <c:orientation val="minMax"/>
        </c:scaling>
        <c:delete val="0"/>
        <c:axPos val="l"/>
        <c:majorGridlines/>
        <c:numFmt formatCode="#,##0.00_ " sourceLinked="1"/>
        <c:majorTickMark val="out"/>
        <c:minorTickMark val="none"/>
        <c:tickLblPos val="nextTo"/>
        <c:crossAx val="23756748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8"/>
                <c:pt idx="0">
                  <c:v>0.56993648650110174</c:v>
                </c:pt>
                <c:pt idx="1">
                  <c:v>0.63869279779282284</c:v>
                </c:pt>
                <c:pt idx="2">
                  <c:v>0.53836638614238019</c:v>
                </c:pt>
                <c:pt idx="3">
                  <c:v>0.57157440233789014</c:v>
                </c:pt>
                <c:pt idx="4">
                  <c:v>0.58139648043641823</c:v>
                </c:pt>
                <c:pt idx="5">
                  <c:v>0.56783077878233201</c:v>
                </c:pt>
                <c:pt idx="6">
                  <c:v>0.55443632347824834</c:v>
                </c:pt>
                <c:pt idx="7">
                  <c:v>0</c:v>
                </c:pt>
              </c:numCache>
            </c:numRef>
          </c:val>
          <c:smooth val="0"/>
        </c:ser>
        <c:ser>
          <c:idx val="8"/>
          <c:order val="1"/>
          <c:tx>
            <c:strRef>
              <c:f>自由现金流分析表!$A$13</c:f>
              <c:strCache>
                <c:ptCount val="1"/>
                <c:pt idx="0">
                  <c:v>成本费用付现率=((4)/(1+(3))+(5))/(10)</c:v>
                </c:pt>
              </c:strCache>
            </c:strRef>
          </c:tx>
          <c:val>
            <c:numRef>
              <c:f>自由现金流分析表!$B$13:$Y$13</c:f>
              <c:numCache>
                <c:formatCode>#,##0.00_ </c:formatCode>
                <c:ptCount val="8"/>
                <c:pt idx="0">
                  <c:v>0.43001618650366774</c:v>
                </c:pt>
                <c:pt idx="1">
                  <c:v>0.44559825426164551</c:v>
                </c:pt>
                <c:pt idx="2">
                  <c:v>0.44062572508329967</c:v>
                </c:pt>
                <c:pt idx="3">
                  <c:v>0.46156622906983591</c:v>
                </c:pt>
                <c:pt idx="4">
                  <c:v>0.45697384218862852</c:v>
                </c:pt>
                <c:pt idx="5">
                  <c:v>0.42297969318691814</c:v>
                </c:pt>
                <c:pt idx="6">
                  <c:v>0.35622575836524789</c:v>
                </c:pt>
                <c:pt idx="7">
                  <c:v>0</c:v>
                </c:pt>
              </c:numCache>
            </c:numRef>
          </c:val>
          <c:smooth val="0"/>
        </c:ser>
        <c:ser>
          <c:idx val="11"/>
          <c:order val="2"/>
          <c:tx>
            <c:strRef>
              <c:f>自由现金流分析表!$A$16</c:f>
              <c:strCache>
                <c:ptCount val="1"/>
                <c:pt idx="0">
                  <c:v>经营利润现金含量=11/12</c:v>
                </c:pt>
              </c:strCache>
            </c:strRef>
          </c:tx>
          <c:val>
            <c:numRef>
              <c:f>自由现金流分析表!$B$16:$Y$16</c:f>
              <c:numCache>
                <c:formatCode>#,##0.00_ </c:formatCode>
                <c:ptCount val="8"/>
                <c:pt idx="0">
                  <c:v>0.63212738667561807</c:v>
                </c:pt>
                <c:pt idx="1">
                  <c:v>0.80246248672520248</c:v>
                </c:pt>
                <c:pt idx="2">
                  <c:v>0.32973732080415191</c:v>
                </c:pt>
                <c:pt idx="3">
                  <c:v>0.42901775216531551</c:v>
                </c:pt>
                <c:pt idx="4">
                  <c:v>0.43082581026023836</c:v>
                </c:pt>
                <c:pt idx="5">
                  <c:v>0.43315883702542035</c:v>
                </c:pt>
                <c:pt idx="6">
                  <c:v>0.21288075009708082</c:v>
                </c:pt>
                <c:pt idx="7">
                  <c:v>0</c:v>
                </c:pt>
              </c:numCache>
            </c:numRef>
          </c:val>
          <c:smooth val="0"/>
        </c:ser>
        <c:ser>
          <c:idx val="13"/>
          <c:order val="3"/>
          <c:tx>
            <c:strRef>
              <c:f>自由现金流分析表!$A$18</c:f>
              <c:strCache>
                <c:ptCount val="1"/>
                <c:pt idx="0">
                  <c:v>净利润现金含量=11/13</c:v>
                </c:pt>
              </c:strCache>
            </c:strRef>
          </c:tx>
          <c:val>
            <c:numRef>
              <c:f>自由现金流分析表!$B$18:$Y$18</c:f>
              <c:numCache>
                <c:formatCode>#,##0.00_ </c:formatCode>
                <c:ptCount val="8"/>
                <c:pt idx="0">
                  <c:v>0.61732423225532818</c:v>
                </c:pt>
                <c:pt idx="1">
                  <c:v>0.71596897161143414</c:v>
                </c:pt>
                <c:pt idx="2">
                  <c:v>0.30799912156576303</c:v>
                </c:pt>
                <c:pt idx="3">
                  <c:v>0.43366048444243499</c:v>
                </c:pt>
                <c:pt idx="4">
                  <c:v>0.43916966050689621</c:v>
                </c:pt>
                <c:pt idx="5">
                  <c:v>0.44551969173380918</c:v>
                </c:pt>
                <c:pt idx="6">
                  <c:v>0.21294662762323302</c:v>
                </c:pt>
                <c:pt idx="7">
                  <c:v>0</c:v>
                </c:pt>
              </c:numCache>
            </c:numRef>
          </c:val>
          <c:smooth val="0"/>
        </c:ser>
        <c:dLbls>
          <c:showLegendKey val="0"/>
          <c:showVal val="0"/>
          <c:showCatName val="0"/>
          <c:showSerName val="0"/>
          <c:showPercent val="0"/>
          <c:showBubbleSize val="0"/>
        </c:dLbls>
        <c:marker val="1"/>
        <c:smooth val="0"/>
        <c:axId val="233976832"/>
        <c:axId val="237607680"/>
      </c:lineChart>
      <c:catAx>
        <c:axId val="233976832"/>
        <c:scaling>
          <c:orientation val="minMax"/>
        </c:scaling>
        <c:delete val="0"/>
        <c:axPos val="b"/>
        <c:majorTickMark val="out"/>
        <c:minorTickMark val="none"/>
        <c:tickLblPos val="nextTo"/>
        <c:crossAx val="237607680"/>
        <c:crosses val="autoZero"/>
        <c:auto val="1"/>
        <c:lblAlgn val="ctr"/>
        <c:lblOffset val="100"/>
        <c:noMultiLvlLbl val="0"/>
      </c:catAx>
      <c:valAx>
        <c:axId val="237607680"/>
        <c:scaling>
          <c:orientation val="minMax"/>
        </c:scaling>
        <c:delete val="0"/>
        <c:axPos val="l"/>
        <c:majorGridlines/>
        <c:numFmt formatCode="#,##0.00_ " sourceLinked="1"/>
        <c:majorTickMark val="out"/>
        <c:minorTickMark val="none"/>
        <c:tickLblPos val="nextTo"/>
        <c:crossAx val="23397683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8"/>
                <c:pt idx="0">
                  <c:v>-7.0728776755021802E-2</c:v>
                </c:pt>
                <c:pt idx="1">
                  <c:v>2.9617834549980664</c:v>
                </c:pt>
                <c:pt idx="2">
                  <c:v>-0.48778480453817002</c:v>
                </c:pt>
                <c:pt idx="3">
                  <c:v>7.4661610779586593E-2</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37807616"/>
        <c:axId val="234424000"/>
      </c:lineChart>
      <c:catAx>
        <c:axId val="237807616"/>
        <c:scaling>
          <c:orientation val="minMax"/>
        </c:scaling>
        <c:delete val="0"/>
        <c:axPos val="b"/>
        <c:majorTickMark val="out"/>
        <c:minorTickMark val="none"/>
        <c:tickLblPos val="nextTo"/>
        <c:crossAx val="234424000"/>
        <c:crosses val="autoZero"/>
        <c:auto val="1"/>
        <c:lblAlgn val="ctr"/>
        <c:lblOffset val="100"/>
        <c:noMultiLvlLbl val="0"/>
      </c:catAx>
      <c:valAx>
        <c:axId val="234424000"/>
        <c:scaling>
          <c:orientation val="minMax"/>
        </c:scaling>
        <c:delete val="0"/>
        <c:axPos val="l"/>
        <c:majorGridlines/>
        <c:numFmt formatCode="0.00%" sourceLinked="1"/>
        <c:majorTickMark val="out"/>
        <c:minorTickMark val="none"/>
        <c:tickLblPos val="nextTo"/>
        <c:crossAx val="23780761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8"/>
                <c:pt idx="0">
                  <c:v>72202714.969999999</c:v>
                </c:pt>
                <c:pt idx="1">
                  <c:v>69961461.189999998</c:v>
                </c:pt>
                <c:pt idx="2">
                  <c:v>25286050.879999999</c:v>
                </c:pt>
                <c:pt idx="3">
                  <c:v>38535259.909999996</c:v>
                </c:pt>
                <c:pt idx="4">
                  <c:v>35251184.609999999</c:v>
                </c:pt>
                <c:pt idx="5">
                  <c:v>32455696.800000001</c:v>
                </c:pt>
                <c:pt idx="6">
                  <c:v>10428794.039999999</c:v>
                </c:pt>
                <c:pt idx="7">
                  <c:v>0</c:v>
                </c:pt>
              </c:numCache>
            </c:numRef>
          </c:val>
          <c:smooth val="0"/>
        </c:ser>
        <c:ser>
          <c:idx val="1"/>
          <c:order val="1"/>
          <c:tx>
            <c:strRef>
              <c:f>自由现金流分析表!$A$15</c:f>
              <c:strCache>
                <c:ptCount val="1"/>
                <c:pt idx="0">
                  <c:v>(12)息前税后经营利润</c:v>
                </c:pt>
              </c:strCache>
            </c:strRef>
          </c:tx>
          <c:val>
            <c:numRef>
              <c:f>自由现金流分析表!$B$15:$Y$15</c:f>
              <c:numCache>
                <c:formatCode>#,##0.00_ </c:formatCode>
                <c:ptCount val="8"/>
                <c:pt idx="0">
                  <c:v>114221779.48928429</c:v>
                </c:pt>
                <c:pt idx="1">
                  <c:v>87183466.326891109</c:v>
                </c:pt>
                <c:pt idx="2">
                  <c:v>76685438.027861863</c:v>
                </c:pt>
                <c:pt idx="3">
                  <c:v>89822063.808564767</c:v>
                </c:pt>
                <c:pt idx="4">
                  <c:v>81822360.152254298</c:v>
                </c:pt>
                <c:pt idx="5">
                  <c:v>74927934.110450357</c:v>
                </c:pt>
                <c:pt idx="6">
                  <c:v>48988901.228711925</c:v>
                </c:pt>
                <c:pt idx="7">
                  <c:v>0</c:v>
                </c:pt>
              </c:numCache>
            </c:numRef>
          </c:val>
          <c:smooth val="0"/>
        </c:ser>
        <c:ser>
          <c:idx val="3"/>
          <c:order val="2"/>
          <c:tx>
            <c:strRef>
              <c:f>自由现金流分析表!$A$17</c:f>
              <c:strCache>
                <c:ptCount val="1"/>
                <c:pt idx="0">
                  <c:v>(13)净利润</c:v>
                </c:pt>
              </c:strCache>
            </c:strRef>
          </c:tx>
          <c:val>
            <c:numRef>
              <c:f>自由现金流分析表!$B$17:$Y$17</c:f>
              <c:numCache>
                <c:formatCode>#,##0.00_ </c:formatCode>
                <c:ptCount val="8"/>
                <c:pt idx="0">
                  <c:v>116960765.83000004</c:v>
                </c:pt>
                <c:pt idx="1">
                  <c:v>97715772.560000002</c:v>
                </c:pt>
                <c:pt idx="2">
                  <c:v>82097801.940000013</c:v>
                </c:pt>
                <c:pt idx="3">
                  <c:v>88860436.429999992</c:v>
                </c:pt>
                <c:pt idx="4">
                  <c:v>80267804.860000014</c:v>
                </c:pt>
                <c:pt idx="5">
                  <c:v>72849073.570000038</c:v>
                </c:pt>
                <c:pt idx="6">
                  <c:v>48973745.939999998</c:v>
                </c:pt>
                <c:pt idx="7">
                  <c:v>-70537286.090000004</c:v>
                </c:pt>
              </c:numCache>
            </c:numRef>
          </c:val>
          <c:smooth val="0"/>
        </c:ser>
        <c:dLbls>
          <c:showLegendKey val="0"/>
          <c:showVal val="0"/>
          <c:showCatName val="0"/>
          <c:showSerName val="0"/>
          <c:showPercent val="0"/>
          <c:showBubbleSize val="0"/>
        </c:dLbls>
        <c:marker val="1"/>
        <c:smooth val="0"/>
        <c:axId val="237808128"/>
        <c:axId val="234425728"/>
      </c:lineChart>
      <c:catAx>
        <c:axId val="237808128"/>
        <c:scaling>
          <c:orientation val="minMax"/>
        </c:scaling>
        <c:delete val="0"/>
        <c:axPos val="b"/>
        <c:majorTickMark val="out"/>
        <c:minorTickMark val="none"/>
        <c:tickLblPos val="nextTo"/>
        <c:crossAx val="234425728"/>
        <c:crosses val="autoZero"/>
        <c:auto val="1"/>
        <c:lblAlgn val="ctr"/>
        <c:lblOffset val="100"/>
        <c:noMultiLvlLbl val="0"/>
      </c:catAx>
      <c:valAx>
        <c:axId val="234425728"/>
        <c:scaling>
          <c:orientation val="minMax"/>
        </c:scaling>
        <c:delete val="0"/>
        <c:axPos val="l"/>
        <c:majorGridlines/>
        <c:numFmt formatCode="#,##0.00_ " sourceLinked="1"/>
        <c:majorTickMark val="out"/>
        <c:minorTickMark val="none"/>
        <c:tickLblPos val="nextTo"/>
        <c:crossAx val="23780812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image" Target="../media/image1.png"/><Relationship Id="rId4" Type="http://schemas.openxmlformats.org/officeDocument/2006/relationships/chart" Target="../charts/chart42.xml"/></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57150</xdr:colOff>
      <xdr:row>0</xdr:row>
      <xdr:rowOff>0</xdr:rowOff>
    </xdr:from>
    <xdr:to>
      <xdr:col>28</xdr:col>
      <xdr:colOff>85725</xdr:colOff>
      <xdr:row>11</xdr:row>
      <xdr:rowOff>42863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828674</xdr:colOff>
      <xdr:row>11</xdr:row>
      <xdr:rowOff>4762</xdr:rowOff>
    </xdr:from>
    <xdr:to>
      <xdr:col>24</xdr:col>
      <xdr:colOff>1228725</xdr:colOff>
      <xdr:row>23</xdr:row>
      <xdr:rowOff>95250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24</xdr:row>
      <xdr:rowOff>61912</xdr:rowOff>
    </xdr:from>
    <xdr:to>
      <xdr:col>24</xdr:col>
      <xdr:colOff>1171575</xdr:colOff>
      <xdr:row>25</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1314450</xdr:colOff>
      <xdr:row>26</xdr:row>
      <xdr:rowOff>119061</xdr:rowOff>
    </xdr:from>
    <xdr:to>
      <xdr:col>24</xdr:col>
      <xdr:colOff>704850</xdr:colOff>
      <xdr:row>36</xdr:row>
      <xdr:rowOff>123824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15</xdr:row>
      <xdr:rowOff>166686</xdr:rowOff>
    </xdr:from>
    <xdr:to>
      <xdr:col>8</xdr:col>
      <xdr:colOff>781050</xdr:colOff>
      <xdr:row>35</xdr:row>
      <xdr:rowOff>171449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142874</xdr:colOff>
      <xdr:row>16</xdr:row>
      <xdr:rowOff>42862</xdr:rowOff>
    </xdr:from>
    <xdr:to>
      <xdr:col>24</xdr:col>
      <xdr:colOff>1171575</xdr:colOff>
      <xdr:row>35</xdr:row>
      <xdr:rowOff>95250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123825</xdr:colOff>
      <xdr:row>17</xdr:row>
      <xdr:rowOff>1009651</xdr:rowOff>
    </xdr:from>
    <xdr:to>
      <xdr:col>22</xdr:col>
      <xdr:colOff>295274</xdr:colOff>
      <xdr:row>34</xdr:row>
      <xdr:rowOff>57151</xdr:rowOff>
    </xdr:to>
    <xdr:graphicFrame macro="">
      <xdr:nvGraphicFramePr>
        <xdr:cNvPr id="3" name="图表 2" title="变化率"/>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847725</xdr:colOff>
      <xdr:row>37</xdr:row>
      <xdr:rowOff>119061</xdr:rowOff>
    </xdr:from>
    <xdr:to>
      <xdr:col>20</xdr:col>
      <xdr:colOff>200025</xdr:colOff>
      <xdr:row>56</xdr:row>
      <xdr:rowOff>95250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866775</xdr:colOff>
      <xdr:row>9</xdr:row>
      <xdr:rowOff>133350</xdr:rowOff>
    </xdr:from>
    <xdr:to>
      <xdr:col>40</xdr:col>
      <xdr:colOff>123825</xdr:colOff>
      <xdr:row>15</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876299</xdr:colOff>
      <xdr:row>16</xdr:row>
      <xdr:rowOff>9525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304800</xdr:colOff>
      <xdr:row>24</xdr:row>
      <xdr:rowOff>909637</xdr:rowOff>
    </xdr:from>
    <xdr:to>
      <xdr:col>27</xdr:col>
      <xdr:colOff>76200</xdr:colOff>
      <xdr:row>34</xdr:row>
      <xdr:rowOff>85725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85725</xdr:colOff>
      <xdr:row>38</xdr:row>
      <xdr:rowOff>157162</xdr:rowOff>
    </xdr:from>
    <xdr:to>
      <xdr:col>26</xdr:col>
      <xdr:colOff>1314451</xdr:colOff>
      <xdr:row>47</xdr:row>
      <xdr:rowOff>19050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32</xdr:col>
      <xdr:colOff>761999</xdr:colOff>
      <xdr:row>24</xdr:row>
      <xdr:rowOff>314325</xdr:rowOff>
    </xdr:from>
    <xdr:to>
      <xdr:col>38</xdr:col>
      <xdr:colOff>762000</xdr:colOff>
      <xdr:row>28</xdr:row>
      <xdr:rowOff>47625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1066800</xdr:colOff>
      <xdr:row>23</xdr:row>
      <xdr:rowOff>161925</xdr:rowOff>
    </xdr:from>
    <xdr:to>
      <xdr:col>40</xdr:col>
      <xdr:colOff>1285875</xdr:colOff>
      <xdr:row>31</xdr:row>
      <xdr:rowOff>95250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1295400</xdr:colOff>
      <xdr:row>77</xdr:row>
      <xdr:rowOff>166688</xdr:rowOff>
    </xdr:from>
    <xdr:to>
      <xdr:col>26</xdr:col>
      <xdr:colOff>381000</xdr:colOff>
      <xdr:row>94</xdr:row>
      <xdr:rowOff>95251</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1371600</xdr:colOff>
      <xdr:row>0</xdr:row>
      <xdr:rowOff>0</xdr:rowOff>
    </xdr:from>
    <xdr:to>
      <xdr:col>34</xdr:col>
      <xdr:colOff>742949</xdr:colOff>
      <xdr:row>13</xdr:row>
      <xdr:rowOff>123825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1343026</xdr:colOff>
      <xdr:row>0</xdr:row>
      <xdr:rowOff>0</xdr:rowOff>
    </xdr:from>
    <xdr:to>
      <xdr:col>24</xdr:col>
      <xdr:colOff>1400176</xdr:colOff>
      <xdr:row>13</xdr:row>
      <xdr:rowOff>142874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933450</xdr:colOff>
      <xdr:row>15</xdr:row>
      <xdr:rowOff>61912</xdr:rowOff>
    </xdr:from>
    <xdr:to>
      <xdr:col>24</xdr:col>
      <xdr:colOff>1123949</xdr:colOff>
      <xdr:row>23</xdr:row>
      <xdr:rowOff>95250</xdr:rowOff>
    </xdr:to>
    <xdr:graphicFrame macro="">
      <xdr:nvGraphicFramePr>
        <xdr:cNvPr id="11"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847725</xdr:colOff>
      <xdr:row>26</xdr:row>
      <xdr:rowOff>4762</xdr:rowOff>
    </xdr:from>
    <xdr:to>
      <xdr:col>21</xdr:col>
      <xdr:colOff>733426</xdr:colOff>
      <xdr:row>32</xdr:row>
      <xdr:rowOff>142875</xdr:rowOff>
    </xdr:to>
    <xdr:graphicFrame macro="">
      <xdr:nvGraphicFramePr>
        <xdr:cNvPr id="12"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381000</xdr:colOff>
      <xdr:row>32</xdr:row>
      <xdr:rowOff>90487</xdr:rowOff>
    </xdr:from>
    <xdr:to>
      <xdr:col>20</xdr:col>
      <xdr:colOff>495300</xdr:colOff>
      <xdr:row>46</xdr:row>
      <xdr:rowOff>90487</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771036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5</xdr:col>
      <xdr:colOff>237530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U85"/>
  <sheetViews>
    <sheetView workbookViewId="0">
      <selection activeCell="Y25" sqref="Y25"/>
    </sheetView>
  </sheetViews>
  <sheetFormatPr defaultRowHeight="13.5"/>
  <cols>
    <col min="1" max="1" width="34" style="202" bestFit="1" customWidth="1"/>
    <col min="2" max="4" width="12.75" style="202" hidden="1" customWidth="1"/>
    <col min="5" max="5" width="12.75" style="202" bestFit="1" customWidth="1"/>
    <col min="6" max="8" width="12.75" style="202" hidden="1" customWidth="1"/>
    <col min="9" max="9" width="12.75" style="202" bestFit="1" customWidth="1"/>
    <col min="10" max="12" width="12.75" style="202" hidden="1" customWidth="1"/>
    <col min="13" max="13" width="12.75" style="202" bestFit="1" customWidth="1"/>
    <col min="14" max="16" width="12.75" style="202" hidden="1" customWidth="1"/>
    <col min="17" max="20" width="12.75" style="202" bestFit="1" customWidth="1"/>
    <col min="21" max="21" width="9.5" style="202" hidden="1" customWidth="1"/>
    <col min="22" max="16384" width="9" style="202"/>
  </cols>
  <sheetData>
    <row r="1" spans="1:21">
      <c r="A1" s="202">
        <v>300470</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20131231</v>
      </c>
      <c r="S1" s="202">
        <v>20121231</v>
      </c>
      <c r="T1" s="202">
        <v>20111231</v>
      </c>
      <c r="U1" s="202">
        <v>19700101</v>
      </c>
    </row>
    <row r="2" spans="1:21">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row>
    <row r="3" spans="1:21">
      <c r="A3" s="202" t="s">
        <v>107</v>
      </c>
    </row>
    <row r="4" spans="1:21">
      <c r="A4" s="202" t="s">
        <v>108</v>
      </c>
      <c r="B4" s="202">
        <v>265526416.63999999</v>
      </c>
      <c r="C4" s="202">
        <v>317823726.92000002</v>
      </c>
      <c r="D4" s="202">
        <v>335144514.43000001</v>
      </c>
      <c r="E4" s="202">
        <v>390275136.37</v>
      </c>
      <c r="F4" s="202">
        <v>505690981.24000001</v>
      </c>
      <c r="G4" s="202">
        <v>508958673.50999999</v>
      </c>
      <c r="H4" s="202">
        <v>497832719.06999999</v>
      </c>
      <c r="I4" s="202">
        <v>493851281.17000002</v>
      </c>
      <c r="J4" s="202">
        <v>461432565.64999998</v>
      </c>
      <c r="K4" s="202">
        <v>423235120.27999997</v>
      </c>
      <c r="L4" s="202">
        <v>411767153.42000002</v>
      </c>
      <c r="M4" s="202">
        <v>413367888.41000003</v>
      </c>
      <c r="N4" s="202">
        <v>389489625.13</v>
      </c>
      <c r="O4" s="202">
        <v>462791285.51999998</v>
      </c>
      <c r="P4" s="202">
        <v>63260732.039999999</v>
      </c>
      <c r="Q4" s="202">
        <v>75747117.969999999</v>
      </c>
      <c r="R4" s="202">
        <v>26369896.879999999</v>
      </c>
      <c r="S4" s="202">
        <v>45028010.689999998</v>
      </c>
      <c r="T4" s="202">
        <v>52203020.68</v>
      </c>
      <c r="U4" s="202">
        <v>0</v>
      </c>
    </row>
    <row r="5" spans="1:21">
      <c r="A5" s="202" t="s">
        <v>109</v>
      </c>
      <c r="B5" s="202">
        <v>4510483.7300000004</v>
      </c>
      <c r="C5" s="202">
        <v>4510483.7300000004</v>
      </c>
      <c r="D5" s="202">
        <v>4510483.7300000004</v>
      </c>
      <c r="E5" s="202">
        <v>4510483.7300000004</v>
      </c>
      <c r="F5" s="202">
        <v>0</v>
      </c>
      <c r="G5" s="202">
        <v>0</v>
      </c>
      <c r="H5" s="202">
        <v>0</v>
      </c>
      <c r="I5" s="202">
        <v>0</v>
      </c>
      <c r="J5" s="202">
        <v>0</v>
      </c>
      <c r="K5" s="202">
        <v>0</v>
      </c>
      <c r="L5" s="202">
        <v>0</v>
      </c>
      <c r="M5" s="202">
        <v>0</v>
      </c>
      <c r="N5" s="202">
        <v>0</v>
      </c>
      <c r="O5" s="202">
        <v>0</v>
      </c>
      <c r="P5" s="202">
        <v>0</v>
      </c>
      <c r="Q5" s="202">
        <v>0</v>
      </c>
      <c r="R5" s="202">
        <v>0</v>
      </c>
      <c r="S5" s="202">
        <v>0</v>
      </c>
      <c r="T5" s="202">
        <v>0</v>
      </c>
      <c r="U5" s="202">
        <v>0</v>
      </c>
    </row>
    <row r="6" spans="1:21">
      <c r="A6" s="202" t="s">
        <v>110</v>
      </c>
      <c r="B6" s="202">
        <v>0</v>
      </c>
      <c r="C6" s="202">
        <v>0</v>
      </c>
      <c r="D6" s="202">
        <v>0</v>
      </c>
      <c r="E6" s="202">
        <v>0</v>
      </c>
      <c r="F6" s="202">
        <v>0</v>
      </c>
      <c r="G6" s="202">
        <v>0</v>
      </c>
      <c r="H6" s="202">
        <v>0</v>
      </c>
      <c r="I6" s="202">
        <v>0</v>
      </c>
      <c r="J6" s="202">
        <v>0</v>
      </c>
      <c r="K6" s="202">
        <v>0</v>
      </c>
      <c r="L6" s="202">
        <v>0</v>
      </c>
      <c r="M6" s="202">
        <v>0</v>
      </c>
      <c r="N6" s="202">
        <v>0</v>
      </c>
      <c r="O6" s="202">
        <v>0</v>
      </c>
      <c r="P6" s="202">
        <v>0</v>
      </c>
      <c r="Q6" s="202">
        <v>0</v>
      </c>
      <c r="R6" s="202">
        <v>0</v>
      </c>
      <c r="S6" s="202">
        <v>0</v>
      </c>
      <c r="T6" s="202">
        <v>0</v>
      </c>
      <c r="U6" s="202">
        <v>0</v>
      </c>
    </row>
    <row r="7" spans="1:21">
      <c r="A7" s="202" t="s">
        <v>111</v>
      </c>
      <c r="B7" s="202">
        <v>96652633.650000006</v>
      </c>
      <c r="C7" s="202">
        <v>79313974.739999995</v>
      </c>
      <c r="D7" s="202">
        <v>76214574.129999995</v>
      </c>
      <c r="E7" s="202">
        <v>101496182.28</v>
      </c>
      <c r="F7" s="202">
        <v>73927196.099999994</v>
      </c>
      <c r="G7" s="202">
        <v>65392466.960000001</v>
      </c>
      <c r="H7" s="202">
        <v>62533779.210000001</v>
      </c>
      <c r="I7" s="202">
        <v>72563057.930000007</v>
      </c>
      <c r="J7" s="202">
        <v>33858475.439999998</v>
      </c>
      <c r="K7" s="202">
        <v>36666505.210000001</v>
      </c>
      <c r="L7" s="202">
        <v>59667839.399999999</v>
      </c>
      <c r="M7" s="202">
        <v>73510784.260000005</v>
      </c>
      <c r="N7" s="202">
        <v>16640846.869999999</v>
      </c>
      <c r="O7" s="202">
        <v>9589723.2799999993</v>
      </c>
      <c r="P7" s="202">
        <v>19115121.440000001</v>
      </c>
      <c r="Q7" s="202">
        <v>51235715.600000001</v>
      </c>
      <c r="R7" s="202">
        <v>43609832.200000003</v>
      </c>
      <c r="S7" s="202">
        <v>31304943.030000001</v>
      </c>
      <c r="T7" s="202">
        <v>16763219</v>
      </c>
      <c r="U7" s="202">
        <v>0</v>
      </c>
    </row>
    <row r="8" spans="1:21">
      <c r="A8" s="202" t="s">
        <v>112</v>
      </c>
      <c r="B8" s="202">
        <v>397831571.16000003</v>
      </c>
      <c r="C8" s="202">
        <v>333615518.94</v>
      </c>
      <c r="D8" s="202">
        <v>303162129.44999999</v>
      </c>
      <c r="E8" s="202">
        <v>259660882.36000001</v>
      </c>
      <c r="F8" s="202">
        <v>297820900.38</v>
      </c>
      <c r="G8" s="202">
        <v>283423934.98000002</v>
      </c>
      <c r="H8" s="202">
        <v>266009064.24000001</v>
      </c>
      <c r="I8" s="202">
        <v>171202407.50999999</v>
      </c>
      <c r="J8" s="202">
        <v>232118799.84</v>
      </c>
      <c r="K8" s="202">
        <v>208560078.21000001</v>
      </c>
      <c r="L8" s="202">
        <v>190719314.99000001</v>
      </c>
      <c r="M8" s="202">
        <v>151315576.09999999</v>
      </c>
      <c r="N8" s="202">
        <v>214590050.40000001</v>
      </c>
      <c r="O8" s="202">
        <v>197737153.43000001</v>
      </c>
      <c r="P8" s="202">
        <v>178898809.78</v>
      </c>
      <c r="Q8" s="202">
        <v>137709818.5</v>
      </c>
      <c r="R8" s="202">
        <v>117762027.45999999</v>
      </c>
      <c r="S8" s="202">
        <v>99416266.540000007</v>
      </c>
      <c r="T8" s="202">
        <v>73403366.920000002</v>
      </c>
      <c r="U8" s="202">
        <v>0</v>
      </c>
    </row>
    <row r="9" spans="1:21">
      <c r="A9" s="202" t="s">
        <v>113</v>
      </c>
      <c r="B9" s="202">
        <v>20076346.66</v>
      </c>
      <c r="C9" s="202">
        <v>14744899.02</v>
      </c>
      <c r="D9" s="202">
        <v>16221103.380000001</v>
      </c>
      <c r="E9" s="202">
        <v>9265693.6999999993</v>
      </c>
      <c r="F9" s="202">
        <v>11333145.630000001</v>
      </c>
      <c r="G9" s="202">
        <v>6044418.6699999999</v>
      </c>
      <c r="H9" s="202">
        <v>5011003.34</v>
      </c>
      <c r="I9" s="202">
        <v>3981930.63</v>
      </c>
      <c r="J9" s="202">
        <v>2498326.6</v>
      </c>
      <c r="K9" s="202">
        <v>16178138.59</v>
      </c>
      <c r="L9" s="202">
        <v>2366329.56</v>
      </c>
      <c r="M9" s="202">
        <v>911918.16</v>
      </c>
      <c r="N9" s="202">
        <v>5858069.2400000002</v>
      </c>
      <c r="O9" s="202">
        <v>5589097.3899999997</v>
      </c>
      <c r="P9" s="202">
        <v>4694821.2</v>
      </c>
      <c r="Q9" s="202">
        <v>3036655.64</v>
      </c>
      <c r="R9" s="202">
        <v>3172562.22</v>
      </c>
      <c r="S9" s="202">
        <v>2516066.2200000002</v>
      </c>
      <c r="T9" s="202">
        <v>11754578.51</v>
      </c>
      <c r="U9" s="202">
        <v>0</v>
      </c>
    </row>
    <row r="10" spans="1:21">
      <c r="A10" s="202" t="s">
        <v>114</v>
      </c>
      <c r="B10" s="202">
        <v>0</v>
      </c>
      <c r="C10" s="202">
        <v>0</v>
      </c>
      <c r="D10" s="202">
        <v>0</v>
      </c>
      <c r="E10" s="202">
        <v>0</v>
      </c>
      <c r="F10" s="202">
        <v>0</v>
      </c>
      <c r="G10" s="202">
        <v>0</v>
      </c>
      <c r="H10" s="202">
        <v>0</v>
      </c>
      <c r="I10" s="202">
        <v>0</v>
      </c>
      <c r="J10" s="202">
        <v>0</v>
      </c>
      <c r="K10" s="202">
        <v>0</v>
      </c>
      <c r="L10" s="202">
        <v>0</v>
      </c>
      <c r="M10" s="202">
        <v>0</v>
      </c>
      <c r="N10" s="202">
        <v>0</v>
      </c>
      <c r="O10" s="202">
        <v>0</v>
      </c>
      <c r="P10" s="202">
        <v>0</v>
      </c>
      <c r="Q10" s="202">
        <v>0</v>
      </c>
      <c r="R10" s="202">
        <v>0</v>
      </c>
      <c r="S10" s="202">
        <v>0</v>
      </c>
      <c r="T10" s="202">
        <v>0</v>
      </c>
      <c r="U10" s="202">
        <v>0</v>
      </c>
    </row>
    <row r="11" spans="1:21">
      <c r="A11" s="202" t="s">
        <v>115</v>
      </c>
      <c r="B11" s="202">
        <v>0</v>
      </c>
      <c r="C11" s="202">
        <v>0</v>
      </c>
      <c r="D11" s="202">
        <v>0</v>
      </c>
      <c r="E11" s="202">
        <v>0</v>
      </c>
      <c r="F11" s="202">
        <v>0</v>
      </c>
      <c r="G11" s="202">
        <v>0</v>
      </c>
      <c r="H11" s="202">
        <v>0</v>
      </c>
      <c r="I11" s="202">
        <v>0</v>
      </c>
      <c r="J11" s="202">
        <v>0</v>
      </c>
      <c r="K11" s="202">
        <v>0</v>
      </c>
      <c r="L11" s="202">
        <v>0</v>
      </c>
      <c r="M11" s="202">
        <v>0</v>
      </c>
      <c r="N11" s="202">
        <v>0</v>
      </c>
      <c r="O11" s="202">
        <v>0</v>
      </c>
      <c r="P11" s="202">
        <v>0</v>
      </c>
      <c r="Q11" s="202">
        <v>0</v>
      </c>
      <c r="R11" s="202">
        <v>0</v>
      </c>
      <c r="S11" s="202">
        <v>0</v>
      </c>
      <c r="T11" s="202">
        <v>0</v>
      </c>
      <c r="U11" s="202">
        <v>0</v>
      </c>
    </row>
    <row r="12" spans="1:21">
      <c r="A12" s="202" t="s">
        <v>116</v>
      </c>
      <c r="B12" s="202">
        <v>8597556.4100000001</v>
      </c>
      <c r="C12" s="202">
        <v>34953681.090000004</v>
      </c>
      <c r="D12" s="202">
        <v>34832079.93</v>
      </c>
      <c r="E12" s="202">
        <v>32009572.800000001</v>
      </c>
      <c r="F12" s="202">
        <v>33217648.510000002</v>
      </c>
      <c r="G12" s="202">
        <v>32082436.739999998</v>
      </c>
      <c r="H12" s="202">
        <v>33112094.850000001</v>
      </c>
      <c r="I12" s="202">
        <v>31095641.120000001</v>
      </c>
      <c r="J12" s="202">
        <v>1445408.34</v>
      </c>
      <c r="K12" s="202">
        <v>1716242.13</v>
      </c>
      <c r="L12" s="202">
        <v>2066356.26</v>
      </c>
      <c r="M12" s="202">
        <v>760429.77</v>
      </c>
      <c r="N12" s="202">
        <v>1996290.68</v>
      </c>
      <c r="O12" s="202">
        <v>2027513.46</v>
      </c>
      <c r="P12" s="202">
        <v>2375966.77</v>
      </c>
      <c r="Q12" s="202">
        <v>1059419.3600000001</v>
      </c>
      <c r="R12" s="202">
        <v>1036462.11</v>
      </c>
      <c r="S12" s="202">
        <v>878127.74</v>
      </c>
      <c r="T12" s="202">
        <v>761772.42</v>
      </c>
      <c r="U12" s="202">
        <v>0</v>
      </c>
    </row>
    <row r="13" spans="1:21">
      <c r="A13" s="202" t="s">
        <v>117</v>
      </c>
      <c r="B13" s="202">
        <v>0</v>
      </c>
      <c r="C13" s="202">
        <v>0</v>
      </c>
      <c r="D13" s="202">
        <v>0</v>
      </c>
      <c r="E13" s="202">
        <v>0</v>
      </c>
      <c r="F13" s="202">
        <v>0</v>
      </c>
      <c r="G13" s="202">
        <v>0</v>
      </c>
      <c r="H13" s="202">
        <v>0</v>
      </c>
      <c r="I13" s="202">
        <v>0</v>
      </c>
      <c r="J13" s="202">
        <v>0</v>
      </c>
      <c r="K13" s="202">
        <v>0</v>
      </c>
      <c r="L13" s="202">
        <v>0</v>
      </c>
      <c r="M13" s="202">
        <v>0</v>
      </c>
      <c r="N13" s="202">
        <v>0</v>
      </c>
      <c r="O13" s="202">
        <v>0</v>
      </c>
      <c r="P13" s="202">
        <v>0</v>
      </c>
      <c r="Q13" s="202">
        <v>0</v>
      </c>
      <c r="R13" s="202">
        <v>0</v>
      </c>
      <c r="S13" s="202">
        <v>0</v>
      </c>
      <c r="T13" s="202">
        <v>0</v>
      </c>
      <c r="U13" s="202">
        <v>0</v>
      </c>
    </row>
    <row r="14" spans="1:21">
      <c r="A14" s="202" t="s">
        <v>118</v>
      </c>
      <c r="B14" s="202">
        <v>246482527.53999999</v>
      </c>
      <c r="C14" s="202">
        <v>176219315.99000001</v>
      </c>
      <c r="D14" s="202">
        <v>152265288.46000001</v>
      </c>
      <c r="E14" s="202">
        <v>132985519.61</v>
      </c>
      <c r="F14" s="202">
        <v>127759736.88</v>
      </c>
      <c r="G14" s="202">
        <v>119370712.45</v>
      </c>
      <c r="H14" s="202">
        <v>110889989.73</v>
      </c>
      <c r="I14" s="202">
        <v>89295703.730000004</v>
      </c>
      <c r="J14" s="202">
        <v>85478291.719999999</v>
      </c>
      <c r="K14" s="202">
        <v>80511522.379999995</v>
      </c>
      <c r="L14" s="202">
        <v>84688756.269999996</v>
      </c>
      <c r="M14" s="202">
        <v>91468232.560000002</v>
      </c>
      <c r="N14" s="202">
        <v>88403246.680000007</v>
      </c>
      <c r="O14" s="202">
        <v>84720609.189999998</v>
      </c>
      <c r="P14" s="202">
        <v>82930264.079999998</v>
      </c>
      <c r="Q14" s="202">
        <v>79783866.409999996</v>
      </c>
      <c r="R14" s="202">
        <v>63389168.479999997</v>
      </c>
      <c r="S14" s="202">
        <v>44546726.210000001</v>
      </c>
      <c r="T14" s="202">
        <v>34165890.25</v>
      </c>
      <c r="U14" s="202">
        <v>0</v>
      </c>
    </row>
    <row r="15" spans="1:21">
      <c r="A15" s="202" t="s">
        <v>119</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row>
    <row r="16" spans="1:21">
      <c r="A16" s="202" t="s">
        <v>120</v>
      </c>
      <c r="B16" s="202">
        <v>0</v>
      </c>
      <c r="C16" s="202">
        <v>0</v>
      </c>
      <c r="D16" s="202">
        <v>26698.87</v>
      </c>
      <c r="E16" s="202">
        <v>0</v>
      </c>
      <c r="F16" s="202">
        <v>106795.5</v>
      </c>
      <c r="G16" s="202">
        <v>199150.68</v>
      </c>
      <c r="H16" s="202">
        <v>0</v>
      </c>
      <c r="I16" s="202">
        <v>0</v>
      </c>
      <c r="J16" s="202">
        <v>0</v>
      </c>
      <c r="K16" s="202">
        <v>0</v>
      </c>
      <c r="L16" s="202">
        <v>0</v>
      </c>
      <c r="M16" s="202">
        <v>0</v>
      </c>
      <c r="N16" s="202">
        <v>0</v>
      </c>
      <c r="O16" s="202">
        <v>0</v>
      </c>
      <c r="P16" s="202">
        <v>0</v>
      </c>
      <c r="Q16" s="202">
        <v>0</v>
      </c>
      <c r="R16" s="202">
        <v>0</v>
      </c>
      <c r="S16" s="202">
        <v>0</v>
      </c>
      <c r="T16" s="202">
        <v>0</v>
      </c>
      <c r="U16" s="202">
        <v>0</v>
      </c>
    </row>
    <row r="17" spans="1:21">
      <c r="A17" s="202" t="s">
        <v>121</v>
      </c>
      <c r="B17" s="202">
        <v>0</v>
      </c>
      <c r="C17" s="202">
        <v>0</v>
      </c>
      <c r="D17" s="202">
        <v>0</v>
      </c>
      <c r="E17" s="202">
        <v>0</v>
      </c>
      <c r="F17" s="202">
        <v>0</v>
      </c>
      <c r="G17" s="202">
        <v>0</v>
      </c>
      <c r="H17" s="202">
        <v>0</v>
      </c>
      <c r="I17" s="202">
        <v>0</v>
      </c>
      <c r="J17" s="202">
        <v>0</v>
      </c>
      <c r="K17" s="202">
        <v>0</v>
      </c>
      <c r="L17" s="202">
        <v>0</v>
      </c>
      <c r="M17" s="202">
        <v>0</v>
      </c>
      <c r="N17" s="202">
        <v>0</v>
      </c>
      <c r="O17" s="202">
        <v>0</v>
      </c>
      <c r="P17" s="202">
        <v>0</v>
      </c>
      <c r="Q17" s="202">
        <v>0</v>
      </c>
      <c r="R17" s="202">
        <v>0</v>
      </c>
      <c r="S17" s="202">
        <v>0</v>
      </c>
      <c r="T17" s="202">
        <v>0</v>
      </c>
      <c r="U17" s="202">
        <v>0</v>
      </c>
    </row>
    <row r="18" spans="1:21">
      <c r="A18" s="202" t="s">
        <v>122</v>
      </c>
      <c r="B18" s="202">
        <v>0</v>
      </c>
      <c r="C18" s="202">
        <v>0</v>
      </c>
      <c r="D18" s="202">
        <v>0</v>
      </c>
      <c r="E18" s="202">
        <v>0</v>
      </c>
      <c r="F18" s="202">
        <v>0</v>
      </c>
      <c r="G18" s="202">
        <v>0</v>
      </c>
      <c r="H18" s="202">
        <v>0</v>
      </c>
      <c r="I18" s="202">
        <v>0</v>
      </c>
      <c r="J18" s="202">
        <v>0</v>
      </c>
      <c r="K18" s="202">
        <v>0</v>
      </c>
      <c r="L18" s="202">
        <v>0</v>
      </c>
      <c r="M18" s="202">
        <v>0</v>
      </c>
      <c r="N18" s="202">
        <v>0</v>
      </c>
      <c r="O18" s="202">
        <v>0</v>
      </c>
      <c r="P18" s="202">
        <v>0</v>
      </c>
      <c r="Q18" s="202">
        <v>0</v>
      </c>
      <c r="R18" s="202">
        <v>0</v>
      </c>
      <c r="S18" s="202">
        <v>0</v>
      </c>
      <c r="T18" s="202">
        <v>0</v>
      </c>
      <c r="U18" s="202">
        <v>0</v>
      </c>
    </row>
    <row r="19" spans="1:21">
      <c r="A19" s="202" t="s">
        <v>123</v>
      </c>
      <c r="B19" s="202">
        <v>0</v>
      </c>
      <c r="C19" s="202">
        <v>14242970.689999999</v>
      </c>
      <c r="D19" s="202">
        <v>13000000</v>
      </c>
      <c r="E19" s="202">
        <v>14323029.02</v>
      </c>
      <c r="F19" s="202">
        <v>16000000</v>
      </c>
      <c r="G19" s="202">
        <v>16000000</v>
      </c>
      <c r="H19" s="202">
        <v>17016260</v>
      </c>
      <c r="I19" s="202">
        <v>17088550.690000001</v>
      </c>
      <c r="J19" s="202">
        <v>17000000</v>
      </c>
      <c r="K19" s="202">
        <v>45000000</v>
      </c>
      <c r="L19" s="202">
        <v>45000000</v>
      </c>
      <c r="M19" s="202">
        <v>46382884.670000002</v>
      </c>
      <c r="N19" s="202">
        <v>45000000</v>
      </c>
      <c r="O19" s="202">
        <v>0</v>
      </c>
      <c r="P19" s="202">
        <v>0</v>
      </c>
      <c r="Q19" s="202">
        <v>0</v>
      </c>
      <c r="R19" s="202">
        <v>0</v>
      </c>
      <c r="S19" s="202">
        <v>0</v>
      </c>
      <c r="T19" s="202">
        <v>0</v>
      </c>
      <c r="U19" s="202">
        <v>0</v>
      </c>
    </row>
    <row r="20" spans="1:21">
      <c r="A20" s="202" t="s">
        <v>124</v>
      </c>
      <c r="B20" s="202">
        <v>1039677535.79</v>
      </c>
      <c r="C20" s="202">
        <v>975424571.12</v>
      </c>
      <c r="D20" s="202">
        <v>935376872.38</v>
      </c>
      <c r="E20" s="202">
        <v>944526499.87</v>
      </c>
      <c r="F20" s="202">
        <v>1065856404.24</v>
      </c>
      <c r="G20" s="202">
        <v>1031471793.99</v>
      </c>
      <c r="H20" s="202">
        <v>992404910.44000006</v>
      </c>
      <c r="I20" s="202">
        <v>879078572.77999997</v>
      </c>
      <c r="J20" s="202">
        <v>833831867.59000003</v>
      </c>
      <c r="K20" s="202">
        <v>811867606.79999995</v>
      </c>
      <c r="L20" s="202">
        <v>796275749.89999998</v>
      </c>
      <c r="M20" s="202">
        <v>777717713.92999995</v>
      </c>
      <c r="N20" s="202">
        <v>761978129</v>
      </c>
      <c r="O20" s="202">
        <v>762455382.26999998</v>
      </c>
      <c r="P20" s="202">
        <v>351275715.31</v>
      </c>
      <c r="Q20" s="202">
        <v>348572593.48000002</v>
      </c>
      <c r="R20" s="202">
        <v>255339949.34999999</v>
      </c>
      <c r="S20" s="202">
        <v>223690140.43000001</v>
      </c>
      <c r="T20" s="202">
        <v>189051847.78</v>
      </c>
      <c r="U20" s="202">
        <v>0</v>
      </c>
    </row>
    <row r="21" spans="1:21">
      <c r="A21" s="202" t="s">
        <v>125</v>
      </c>
    </row>
    <row r="22" spans="1:21">
      <c r="A22" s="202" t="s">
        <v>126</v>
      </c>
      <c r="B22" s="202">
        <v>0</v>
      </c>
      <c r="C22" s="202">
        <v>0</v>
      </c>
      <c r="D22" s="202">
        <v>0</v>
      </c>
      <c r="E22" s="202">
        <v>0</v>
      </c>
      <c r="F22" s="202">
        <v>0</v>
      </c>
      <c r="G22" s="202">
        <v>0</v>
      </c>
      <c r="H22" s="202">
        <v>0</v>
      </c>
      <c r="I22" s="202">
        <v>0</v>
      </c>
      <c r="J22" s="202">
        <v>0</v>
      </c>
      <c r="K22" s="202">
        <v>0</v>
      </c>
      <c r="L22" s="202">
        <v>0</v>
      </c>
      <c r="M22" s="202">
        <v>0</v>
      </c>
      <c r="N22" s="202">
        <v>0</v>
      </c>
      <c r="O22" s="202">
        <v>0</v>
      </c>
      <c r="P22" s="202">
        <v>0</v>
      </c>
      <c r="Q22" s="202">
        <v>0</v>
      </c>
      <c r="R22" s="202">
        <v>0</v>
      </c>
      <c r="S22" s="202">
        <v>0</v>
      </c>
      <c r="T22" s="202">
        <v>0</v>
      </c>
      <c r="U22" s="202">
        <v>0</v>
      </c>
    </row>
    <row r="23" spans="1:21">
      <c r="A23" s="202" t="s">
        <v>127</v>
      </c>
      <c r="B23" s="202">
        <v>2100000</v>
      </c>
      <c r="C23" s="202">
        <v>2100000</v>
      </c>
      <c r="D23" s="202">
        <v>0</v>
      </c>
      <c r="E23" s="202">
        <v>0</v>
      </c>
      <c r="F23" s="202">
        <v>0</v>
      </c>
      <c r="G23" s="202">
        <v>0</v>
      </c>
      <c r="H23" s="202">
        <v>0</v>
      </c>
      <c r="I23" s="202">
        <v>0</v>
      </c>
      <c r="J23" s="202">
        <v>0</v>
      </c>
      <c r="K23" s="202">
        <v>0</v>
      </c>
      <c r="L23" s="202">
        <v>0</v>
      </c>
      <c r="M23" s="202">
        <v>0</v>
      </c>
      <c r="N23" s="202">
        <v>0</v>
      </c>
      <c r="O23" s="202">
        <v>0</v>
      </c>
      <c r="P23" s="202">
        <v>0</v>
      </c>
      <c r="Q23" s="202">
        <v>0</v>
      </c>
      <c r="R23" s="202">
        <v>0</v>
      </c>
      <c r="S23" s="202">
        <v>0</v>
      </c>
      <c r="T23" s="202">
        <v>0</v>
      </c>
      <c r="U23" s="202">
        <v>0</v>
      </c>
    </row>
    <row r="24" spans="1:21">
      <c r="A24" s="202" t="s">
        <v>128</v>
      </c>
      <c r="B24" s="202">
        <v>0</v>
      </c>
      <c r="C24" s="202">
        <v>0</v>
      </c>
      <c r="D24" s="202">
        <v>0</v>
      </c>
      <c r="E24" s="202">
        <v>0</v>
      </c>
      <c r="F24" s="202">
        <v>0</v>
      </c>
      <c r="G24" s="202">
        <v>0</v>
      </c>
      <c r="H24" s="202">
        <v>0</v>
      </c>
      <c r="I24" s="202">
        <v>0</v>
      </c>
      <c r="J24" s="202">
        <v>0</v>
      </c>
      <c r="K24" s="202">
        <v>0</v>
      </c>
      <c r="L24" s="202">
        <v>0</v>
      </c>
      <c r="M24" s="202">
        <v>0</v>
      </c>
      <c r="N24" s="202">
        <v>0</v>
      </c>
      <c r="O24" s="202">
        <v>0</v>
      </c>
      <c r="P24" s="202">
        <v>0</v>
      </c>
      <c r="Q24" s="202">
        <v>0</v>
      </c>
      <c r="R24" s="202">
        <v>0</v>
      </c>
      <c r="S24" s="202">
        <v>0</v>
      </c>
      <c r="T24" s="202">
        <v>0</v>
      </c>
      <c r="U24" s="202">
        <v>0</v>
      </c>
    </row>
    <row r="25" spans="1:21">
      <c r="A25" s="202" t="s">
        <v>129</v>
      </c>
      <c r="B25" s="202">
        <v>0</v>
      </c>
      <c r="C25" s="202">
        <v>0</v>
      </c>
      <c r="D25" s="202">
        <v>0</v>
      </c>
      <c r="E25" s="202">
        <v>0</v>
      </c>
      <c r="F25" s="202">
        <v>0</v>
      </c>
      <c r="G25" s="202">
        <v>0</v>
      </c>
      <c r="H25" s="202">
        <v>0</v>
      </c>
      <c r="I25" s="202">
        <v>0</v>
      </c>
      <c r="J25" s="202">
        <v>0</v>
      </c>
      <c r="K25" s="202">
        <v>0</v>
      </c>
      <c r="L25" s="202">
        <v>0</v>
      </c>
      <c r="M25" s="202">
        <v>0</v>
      </c>
      <c r="N25" s="202">
        <v>0</v>
      </c>
      <c r="O25" s="202">
        <v>0</v>
      </c>
      <c r="P25" s="202">
        <v>0</v>
      </c>
      <c r="Q25" s="202">
        <v>0</v>
      </c>
      <c r="R25" s="202">
        <v>0</v>
      </c>
      <c r="S25" s="202">
        <v>0</v>
      </c>
      <c r="T25" s="202">
        <v>0</v>
      </c>
      <c r="U25" s="202">
        <v>0</v>
      </c>
    </row>
    <row r="26" spans="1:21">
      <c r="A26" s="202" t="s">
        <v>130</v>
      </c>
      <c r="B26" s="202">
        <v>0</v>
      </c>
      <c r="C26" s="202">
        <v>0</v>
      </c>
      <c r="D26" s="202">
        <v>2100000</v>
      </c>
      <c r="E26" s="202">
        <v>0</v>
      </c>
      <c r="F26" s="202">
        <v>0</v>
      </c>
      <c r="G26" s="202">
        <v>0</v>
      </c>
      <c r="H26" s="202">
        <v>0</v>
      </c>
      <c r="I26" s="202">
        <v>0</v>
      </c>
      <c r="J26" s="202">
        <v>0</v>
      </c>
      <c r="K26" s="202">
        <v>0</v>
      </c>
      <c r="L26" s="202">
        <v>0</v>
      </c>
      <c r="M26" s="202">
        <v>0</v>
      </c>
      <c r="N26" s="202">
        <v>0</v>
      </c>
      <c r="O26" s="202">
        <v>0</v>
      </c>
      <c r="P26" s="202">
        <v>0</v>
      </c>
      <c r="Q26" s="202">
        <v>0</v>
      </c>
      <c r="R26" s="202">
        <v>0</v>
      </c>
      <c r="S26" s="202">
        <v>0</v>
      </c>
      <c r="T26" s="202">
        <v>0</v>
      </c>
      <c r="U26" s="202">
        <v>0</v>
      </c>
    </row>
    <row r="27" spans="1:21">
      <c r="A27" s="202" t="s">
        <v>131</v>
      </c>
      <c r="B27" s="202">
        <v>0</v>
      </c>
      <c r="C27" s="202">
        <v>0</v>
      </c>
      <c r="D27" s="202">
        <v>0</v>
      </c>
      <c r="E27" s="202">
        <v>0</v>
      </c>
      <c r="F27" s="202">
        <v>0</v>
      </c>
      <c r="G27" s="202">
        <v>0</v>
      </c>
      <c r="H27" s="202">
        <v>0</v>
      </c>
      <c r="I27" s="202">
        <v>0</v>
      </c>
      <c r="J27" s="202">
        <v>0</v>
      </c>
      <c r="K27" s="202">
        <v>0</v>
      </c>
      <c r="L27" s="202">
        <v>0</v>
      </c>
      <c r="M27" s="202">
        <v>0</v>
      </c>
      <c r="N27" s="202">
        <v>0</v>
      </c>
      <c r="O27" s="202">
        <v>0</v>
      </c>
      <c r="P27" s="202">
        <v>0</v>
      </c>
      <c r="Q27" s="202">
        <v>0</v>
      </c>
      <c r="R27" s="202">
        <v>0</v>
      </c>
      <c r="S27" s="202">
        <v>0</v>
      </c>
      <c r="T27" s="202">
        <v>0</v>
      </c>
      <c r="U27" s="202">
        <v>0</v>
      </c>
    </row>
    <row r="28" spans="1:21">
      <c r="A28" s="202" t="s">
        <v>132</v>
      </c>
      <c r="B28" s="202">
        <v>179588496.93000001</v>
      </c>
      <c r="C28" s="202">
        <v>96473776.549999997</v>
      </c>
      <c r="D28" s="202">
        <v>89146808.230000004</v>
      </c>
      <c r="E28" s="202">
        <v>78530986.829999998</v>
      </c>
      <c r="F28" s="202">
        <v>53583557.289999999</v>
      </c>
      <c r="G28" s="202">
        <v>53466789.990000002</v>
      </c>
      <c r="H28" s="202">
        <v>55371639.969999999</v>
      </c>
      <c r="I28" s="202">
        <v>48741114.240000002</v>
      </c>
      <c r="J28" s="202">
        <v>46319339.630000003</v>
      </c>
      <c r="K28" s="202">
        <v>45862427.969999999</v>
      </c>
      <c r="L28" s="202">
        <v>45589508.130000003</v>
      </c>
      <c r="M28" s="202">
        <v>46446745.649999999</v>
      </c>
      <c r="N28" s="202">
        <v>44245387</v>
      </c>
      <c r="O28" s="202">
        <v>44983895.810000002</v>
      </c>
      <c r="P28" s="202">
        <v>46249125.369999997</v>
      </c>
      <c r="Q28" s="202">
        <v>47197355.270000003</v>
      </c>
      <c r="R28" s="202">
        <v>38456071.32</v>
      </c>
      <c r="S28" s="202">
        <v>39867347.079999998</v>
      </c>
      <c r="T28" s="202">
        <v>38151534.119999997</v>
      </c>
      <c r="U28" s="202">
        <v>0</v>
      </c>
    </row>
    <row r="29" spans="1:21">
      <c r="A29" s="202" t="s">
        <v>133</v>
      </c>
      <c r="B29" s="202">
        <v>47437987.990000002</v>
      </c>
      <c r="C29" s="202">
        <v>24842085.370000001</v>
      </c>
      <c r="D29" s="202">
        <v>28025948.399999999</v>
      </c>
      <c r="E29" s="202">
        <v>33759206.789999999</v>
      </c>
      <c r="F29" s="202">
        <v>51524917.649999999</v>
      </c>
      <c r="G29" s="202">
        <v>41433154.460000001</v>
      </c>
      <c r="H29" s="202">
        <v>31466238.920000002</v>
      </c>
      <c r="I29" s="202">
        <v>30407601.129999999</v>
      </c>
      <c r="J29" s="202">
        <v>29460934.789999999</v>
      </c>
      <c r="K29" s="202">
        <v>29253913.109999999</v>
      </c>
      <c r="L29" s="202">
        <v>29224856.43</v>
      </c>
      <c r="M29" s="202">
        <v>28474617.109999999</v>
      </c>
      <c r="N29" s="202">
        <v>27038874.239999998</v>
      </c>
      <c r="O29" s="202">
        <v>25197245.739999998</v>
      </c>
      <c r="P29" s="202">
        <v>24805524.559999999</v>
      </c>
      <c r="Q29" s="202">
        <v>25706776.059999999</v>
      </c>
      <c r="R29" s="202">
        <v>22306687.870000001</v>
      </c>
      <c r="S29" s="202">
        <v>224282.06</v>
      </c>
      <c r="T29" s="202">
        <v>0</v>
      </c>
      <c r="U29" s="202">
        <v>0</v>
      </c>
    </row>
    <row r="30" spans="1:21">
      <c r="A30" s="202" t="s">
        <v>134</v>
      </c>
      <c r="B30" s="202">
        <v>0</v>
      </c>
      <c r="C30" s="202">
        <v>0</v>
      </c>
      <c r="D30" s="202">
        <v>0</v>
      </c>
      <c r="E30" s="202">
        <v>0</v>
      </c>
      <c r="F30" s="202">
        <v>0</v>
      </c>
      <c r="G30" s="202">
        <v>0</v>
      </c>
      <c r="H30" s="202">
        <v>0</v>
      </c>
      <c r="I30" s="202">
        <v>0</v>
      </c>
      <c r="J30" s="202">
        <v>0</v>
      </c>
      <c r="K30" s="202">
        <v>0</v>
      </c>
      <c r="L30" s="202">
        <v>0</v>
      </c>
      <c r="M30" s="202">
        <v>0</v>
      </c>
      <c r="N30" s="202">
        <v>0</v>
      </c>
      <c r="O30" s="202">
        <v>0</v>
      </c>
      <c r="P30" s="202">
        <v>0</v>
      </c>
      <c r="Q30" s="202">
        <v>0</v>
      </c>
      <c r="R30" s="202">
        <v>0</v>
      </c>
      <c r="S30" s="202">
        <v>0</v>
      </c>
      <c r="T30" s="202">
        <v>0</v>
      </c>
      <c r="U30" s="202">
        <v>0</v>
      </c>
    </row>
    <row r="31" spans="1:21">
      <c r="A31" s="202" t="s">
        <v>135</v>
      </c>
      <c r="B31" s="202">
        <v>0</v>
      </c>
      <c r="C31" s="202">
        <v>0</v>
      </c>
      <c r="D31" s="202">
        <v>0</v>
      </c>
      <c r="E31" s="202">
        <v>0</v>
      </c>
      <c r="F31" s="202">
        <v>0</v>
      </c>
      <c r="G31" s="202">
        <v>0</v>
      </c>
      <c r="H31" s="202">
        <v>0</v>
      </c>
      <c r="I31" s="202">
        <v>0</v>
      </c>
      <c r="J31" s="202">
        <v>0</v>
      </c>
      <c r="K31" s="202">
        <v>0</v>
      </c>
      <c r="L31" s="202">
        <v>0</v>
      </c>
      <c r="M31" s="202">
        <v>0</v>
      </c>
      <c r="N31" s="202">
        <v>0</v>
      </c>
      <c r="O31" s="202">
        <v>0</v>
      </c>
      <c r="P31" s="202">
        <v>0</v>
      </c>
      <c r="Q31" s="202">
        <v>0</v>
      </c>
      <c r="R31" s="202">
        <v>0</v>
      </c>
      <c r="S31" s="202">
        <v>0</v>
      </c>
      <c r="T31" s="202">
        <v>0</v>
      </c>
      <c r="U31" s="202">
        <v>0</v>
      </c>
    </row>
    <row r="32" spans="1:21">
      <c r="A32" s="202" t="s">
        <v>136</v>
      </c>
      <c r="B32" s="202">
        <v>0</v>
      </c>
      <c r="C32" s="202">
        <v>0</v>
      </c>
      <c r="D32" s="202">
        <v>0</v>
      </c>
      <c r="E32" s="202">
        <v>0</v>
      </c>
      <c r="F32" s="202">
        <v>0</v>
      </c>
      <c r="G32" s="202">
        <v>0</v>
      </c>
      <c r="H32" s="202">
        <v>0</v>
      </c>
      <c r="I32" s="202">
        <v>0</v>
      </c>
      <c r="J32" s="202">
        <v>0</v>
      </c>
      <c r="K32" s="202">
        <v>0</v>
      </c>
      <c r="L32" s="202">
        <v>0</v>
      </c>
      <c r="M32" s="202">
        <v>0</v>
      </c>
      <c r="N32" s="202">
        <v>0</v>
      </c>
      <c r="O32" s="202">
        <v>0</v>
      </c>
      <c r="P32" s="202">
        <v>0</v>
      </c>
      <c r="Q32" s="202">
        <v>0</v>
      </c>
      <c r="R32" s="202">
        <v>0</v>
      </c>
      <c r="S32" s="202">
        <v>0</v>
      </c>
      <c r="T32" s="202">
        <v>0</v>
      </c>
      <c r="U32" s="202">
        <v>0</v>
      </c>
    </row>
    <row r="33" spans="1:21">
      <c r="A33" s="202" t="s">
        <v>137</v>
      </c>
      <c r="B33" s="202">
        <v>0</v>
      </c>
      <c r="C33" s="202">
        <v>0</v>
      </c>
      <c r="D33" s="202">
        <v>0</v>
      </c>
      <c r="E33" s="202">
        <v>0</v>
      </c>
      <c r="F33" s="202">
        <v>0</v>
      </c>
      <c r="G33" s="202">
        <v>0</v>
      </c>
      <c r="H33" s="202">
        <v>0</v>
      </c>
      <c r="I33" s="202">
        <v>0</v>
      </c>
      <c r="J33" s="202">
        <v>0</v>
      </c>
      <c r="K33" s="202">
        <v>0</v>
      </c>
      <c r="L33" s="202">
        <v>0</v>
      </c>
      <c r="M33" s="202">
        <v>0</v>
      </c>
      <c r="N33" s="202">
        <v>0</v>
      </c>
      <c r="O33" s="202">
        <v>0</v>
      </c>
      <c r="P33" s="202">
        <v>0</v>
      </c>
      <c r="Q33" s="202">
        <v>0</v>
      </c>
      <c r="R33" s="202">
        <v>0</v>
      </c>
      <c r="S33" s="202">
        <v>0</v>
      </c>
      <c r="T33" s="202">
        <v>0</v>
      </c>
      <c r="U33" s="202">
        <v>0</v>
      </c>
    </row>
    <row r="34" spans="1:21">
      <c r="A34" s="202" t="s">
        <v>138</v>
      </c>
      <c r="B34" s="202">
        <v>0</v>
      </c>
      <c r="C34" s="202">
        <v>0</v>
      </c>
      <c r="D34" s="202">
        <v>0</v>
      </c>
      <c r="E34" s="202">
        <v>0</v>
      </c>
      <c r="F34" s="202">
        <v>0</v>
      </c>
      <c r="G34" s="202">
        <v>0</v>
      </c>
      <c r="H34" s="202">
        <v>0</v>
      </c>
      <c r="I34" s="202">
        <v>0</v>
      </c>
      <c r="J34" s="202">
        <v>0</v>
      </c>
      <c r="K34" s="202">
        <v>0</v>
      </c>
      <c r="L34" s="202">
        <v>0</v>
      </c>
      <c r="M34" s="202">
        <v>0</v>
      </c>
      <c r="N34" s="202">
        <v>0</v>
      </c>
      <c r="O34" s="202">
        <v>0</v>
      </c>
      <c r="P34" s="202">
        <v>0</v>
      </c>
      <c r="Q34" s="202">
        <v>0</v>
      </c>
      <c r="R34" s="202">
        <v>0</v>
      </c>
      <c r="S34" s="202">
        <v>0</v>
      </c>
      <c r="T34" s="202">
        <v>0</v>
      </c>
      <c r="U34" s="202">
        <v>0</v>
      </c>
    </row>
    <row r="35" spans="1:21">
      <c r="A35" s="202" t="s">
        <v>139</v>
      </c>
      <c r="B35" s="202">
        <v>130750721.29000001</v>
      </c>
      <c r="C35" s="202">
        <v>93189812.799999997</v>
      </c>
      <c r="D35" s="202">
        <v>94170869.519999996</v>
      </c>
      <c r="E35" s="202">
        <v>95243432.670000002</v>
      </c>
      <c r="F35" s="202">
        <v>57481271.969999999</v>
      </c>
      <c r="G35" s="202">
        <v>58072062.700000003</v>
      </c>
      <c r="H35" s="202">
        <v>58380584.729999997</v>
      </c>
      <c r="I35" s="202">
        <v>53948526.890000001</v>
      </c>
      <c r="J35" s="202">
        <v>54554465.619999997</v>
      </c>
      <c r="K35" s="202">
        <v>54981860.560000002</v>
      </c>
      <c r="L35" s="202">
        <v>54818591.469999999</v>
      </c>
      <c r="M35" s="202">
        <v>55471061.369999997</v>
      </c>
      <c r="N35" s="202">
        <v>55763338.780000001</v>
      </c>
      <c r="O35" s="202">
        <v>55478452.520000003</v>
      </c>
      <c r="P35" s="202">
        <v>55818073.719999999</v>
      </c>
      <c r="Q35" s="202">
        <v>56401444.32</v>
      </c>
      <c r="R35" s="202">
        <v>58186886.659999996</v>
      </c>
      <c r="S35" s="202">
        <v>59901831.460000001</v>
      </c>
      <c r="T35" s="202">
        <v>24072011.399999999</v>
      </c>
      <c r="U35" s="202">
        <v>0</v>
      </c>
    </row>
    <row r="36" spans="1:21">
      <c r="A36" s="202" t="s">
        <v>140</v>
      </c>
      <c r="B36" s="202">
        <v>0</v>
      </c>
      <c r="C36" s="202">
        <v>0</v>
      </c>
      <c r="D36" s="202">
        <v>0</v>
      </c>
      <c r="E36" s="202">
        <v>0</v>
      </c>
      <c r="F36" s="202">
        <v>0</v>
      </c>
      <c r="G36" s="202">
        <v>0</v>
      </c>
      <c r="H36" s="202">
        <v>0</v>
      </c>
      <c r="I36" s="202">
        <v>0</v>
      </c>
      <c r="J36" s="202">
        <v>0</v>
      </c>
      <c r="K36" s="202">
        <v>0</v>
      </c>
      <c r="L36" s="202">
        <v>0</v>
      </c>
      <c r="M36" s="202">
        <v>0</v>
      </c>
      <c r="N36" s="202">
        <v>0</v>
      </c>
      <c r="O36" s="202">
        <v>0</v>
      </c>
      <c r="P36" s="202">
        <v>0</v>
      </c>
      <c r="Q36" s="202">
        <v>0</v>
      </c>
      <c r="R36" s="202">
        <v>0</v>
      </c>
      <c r="S36" s="202">
        <v>0</v>
      </c>
      <c r="T36" s="202">
        <v>0</v>
      </c>
      <c r="U36" s="202">
        <v>0</v>
      </c>
    </row>
    <row r="37" spans="1:21">
      <c r="A37" s="202" t="s">
        <v>141</v>
      </c>
      <c r="B37" s="202">
        <v>95838200.030000001</v>
      </c>
      <c r="C37" s="202">
        <v>51057902.170000002</v>
      </c>
      <c r="D37" s="202">
        <v>51057902.170000002</v>
      </c>
      <c r="E37" s="202">
        <v>51057902.170000002</v>
      </c>
      <c r="F37" s="202">
        <v>86712210.659999996</v>
      </c>
      <c r="G37" s="202">
        <v>86125931.659999996</v>
      </c>
      <c r="H37" s="202">
        <v>86285972.540000007</v>
      </c>
      <c r="I37" s="202">
        <v>0</v>
      </c>
      <c r="J37" s="202">
        <v>0</v>
      </c>
      <c r="K37" s="202">
        <v>0</v>
      </c>
      <c r="L37" s="202">
        <v>0</v>
      </c>
      <c r="M37" s="202">
        <v>0</v>
      </c>
      <c r="N37" s="202">
        <v>0</v>
      </c>
      <c r="O37" s="202">
        <v>0</v>
      </c>
      <c r="P37" s="202">
        <v>0</v>
      </c>
      <c r="Q37" s="202">
        <v>0</v>
      </c>
      <c r="R37" s="202">
        <v>0</v>
      </c>
      <c r="S37" s="202">
        <v>0</v>
      </c>
      <c r="T37" s="202">
        <v>0</v>
      </c>
      <c r="U37" s="202">
        <v>0</v>
      </c>
    </row>
    <row r="38" spans="1:21">
      <c r="A38" s="202" t="s">
        <v>142</v>
      </c>
      <c r="B38" s="202">
        <v>0</v>
      </c>
      <c r="C38" s="202">
        <v>0</v>
      </c>
      <c r="D38" s="202">
        <v>0</v>
      </c>
      <c r="E38" s="202">
        <v>0</v>
      </c>
      <c r="F38" s="202">
        <v>28388.89</v>
      </c>
      <c r="G38" s="202">
        <v>0</v>
      </c>
      <c r="H38" s="202">
        <v>22198.37</v>
      </c>
      <c r="I38" s="202">
        <v>0</v>
      </c>
      <c r="J38" s="202">
        <v>0</v>
      </c>
      <c r="K38" s="202">
        <v>0</v>
      </c>
      <c r="L38" s="202">
        <v>0</v>
      </c>
      <c r="M38" s="202">
        <v>0</v>
      </c>
      <c r="N38" s="202">
        <v>0</v>
      </c>
      <c r="O38" s="202">
        <v>0</v>
      </c>
      <c r="P38" s="202">
        <v>0</v>
      </c>
      <c r="Q38" s="202">
        <v>0</v>
      </c>
      <c r="R38" s="202">
        <v>0</v>
      </c>
      <c r="S38" s="202">
        <v>0</v>
      </c>
      <c r="T38" s="202">
        <v>0</v>
      </c>
      <c r="U38" s="202">
        <v>0</v>
      </c>
    </row>
    <row r="39" spans="1:21">
      <c r="A39" s="202" t="s">
        <v>143</v>
      </c>
      <c r="B39" s="202">
        <v>9782400.9900000002</v>
      </c>
      <c r="C39" s="202">
        <v>7517069.3300000001</v>
      </c>
      <c r="D39" s="202">
        <v>7301331.0800000001</v>
      </c>
      <c r="E39" s="202">
        <v>6720934</v>
      </c>
      <c r="F39" s="202">
        <v>6923377.8700000001</v>
      </c>
      <c r="G39" s="202">
        <v>6931760.2400000002</v>
      </c>
      <c r="H39" s="202">
        <v>6910502.75</v>
      </c>
      <c r="I39" s="202">
        <v>5348043.92</v>
      </c>
      <c r="J39" s="202">
        <v>6080799.04</v>
      </c>
      <c r="K39" s="202">
        <v>5654806.6399999997</v>
      </c>
      <c r="L39" s="202">
        <v>5473088.9500000002</v>
      </c>
      <c r="M39" s="202">
        <v>5150299.49</v>
      </c>
      <c r="N39" s="202">
        <v>5259937.09</v>
      </c>
      <c r="O39" s="202">
        <v>4963348.3499999996</v>
      </c>
      <c r="P39" s="202">
        <v>5079179.2699999996</v>
      </c>
      <c r="Q39" s="202">
        <v>4729646.32</v>
      </c>
      <c r="R39" s="202">
        <v>4144125.1</v>
      </c>
      <c r="S39" s="202">
        <v>2221007.2400000002</v>
      </c>
      <c r="T39" s="202">
        <v>1268370.74</v>
      </c>
      <c r="U39" s="202">
        <v>0</v>
      </c>
    </row>
    <row r="40" spans="1:21">
      <c r="A40" s="202" t="s">
        <v>144</v>
      </c>
      <c r="B40" s="202">
        <v>0</v>
      </c>
      <c r="C40" s="202">
        <v>0</v>
      </c>
      <c r="D40" s="202">
        <v>0</v>
      </c>
      <c r="E40" s="202">
        <v>0</v>
      </c>
      <c r="F40" s="202">
        <v>0</v>
      </c>
      <c r="G40" s="202">
        <v>0</v>
      </c>
      <c r="H40" s="202">
        <v>0</v>
      </c>
      <c r="I40" s="202">
        <v>125400000</v>
      </c>
      <c r="J40" s="202">
        <v>0</v>
      </c>
      <c r="K40" s="202">
        <v>0</v>
      </c>
      <c r="L40" s="202">
        <v>0</v>
      </c>
      <c r="M40" s="202">
        <v>0</v>
      </c>
      <c r="N40" s="202">
        <v>0</v>
      </c>
      <c r="O40" s="202">
        <v>0</v>
      </c>
      <c r="P40" s="202">
        <v>0</v>
      </c>
      <c r="Q40" s="202">
        <v>0</v>
      </c>
      <c r="R40" s="202">
        <v>0</v>
      </c>
      <c r="S40" s="202">
        <v>0</v>
      </c>
      <c r="T40" s="202">
        <v>0</v>
      </c>
      <c r="U40" s="202">
        <v>0</v>
      </c>
    </row>
    <row r="41" spans="1:21">
      <c r="A41" s="202" t="s">
        <v>145</v>
      </c>
      <c r="B41" s="202">
        <v>465497807.23000002</v>
      </c>
      <c r="C41" s="202">
        <v>275180646.22000003</v>
      </c>
      <c r="D41" s="202">
        <v>271802859.39999998</v>
      </c>
      <c r="E41" s="202">
        <v>265312462.46000001</v>
      </c>
      <c r="F41" s="202">
        <v>256253724.33000001</v>
      </c>
      <c r="G41" s="202">
        <v>246029699.05000001</v>
      </c>
      <c r="H41" s="202">
        <v>238437137.28</v>
      </c>
      <c r="I41" s="202">
        <v>263845286.18000001</v>
      </c>
      <c r="J41" s="202">
        <v>136415539.08000001</v>
      </c>
      <c r="K41" s="202">
        <v>135753008.28</v>
      </c>
      <c r="L41" s="202">
        <v>135106044.97999999</v>
      </c>
      <c r="M41" s="202">
        <v>135542723.62</v>
      </c>
      <c r="N41" s="202">
        <v>132307537.11</v>
      </c>
      <c r="O41" s="202">
        <v>130622942.42</v>
      </c>
      <c r="P41" s="202">
        <v>131951902.92</v>
      </c>
      <c r="Q41" s="202">
        <v>134035221.97</v>
      </c>
      <c r="R41" s="202">
        <v>123093770.95</v>
      </c>
      <c r="S41" s="202">
        <v>102214467.84</v>
      </c>
      <c r="T41" s="202">
        <v>63491916.259999998</v>
      </c>
      <c r="U41" s="202">
        <v>0</v>
      </c>
    </row>
    <row r="42" spans="1:21">
      <c r="A42" s="202" t="s">
        <v>146</v>
      </c>
      <c r="B42" s="202">
        <v>1505175343.02</v>
      </c>
      <c r="C42" s="202">
        <v>1250605217.3399999</v>
      </c>
      <c r="D42" s="202">
        <v>1207179731.78</v>
      </c>
      <c r="E42" s="202">
        <v>1209838962.3299999</v>
      </c>
      <c r="F42" s="202">
        <v>1322110128.5699999</v>
      </c>
      <c r="G42" s="202">
        <v>1277501493.04</v>
      </c>
      <c r="H42" s="202">
        <v>1230842047.72</v>
      </c>
      <c r="I42" s="202">
        <v>1142923858.96</v>
      </c>
      <c r="J42" s="202">
        <v>970247406.66999996</v>
      </c>
      <c r="K42" s="202">
        <v>947620615.08000004</v>
      </c>
      <c r="L42" s="202">
        <v>931381794.88</v>
      </c>
      <c r="M42" s="202">
        <v>913260437.54999995</v>
      </c>
      <c r="N42" s="202">
        <v>894285666.11000001</v>
      </c>
      <c r="O42" s="202">
        <v>893078324.69000006</v>
      </c>
      <c r="P42" s="202">
        <v>483227618.23000002</v>
      </c>
      <c r="Q42" s="202">
        <v>482607815.44999999</v>
      </c>
      <c r="R42" s="202">
        <v>378433720.30000001</v>
      </c>
      <c r="S42" s="202">
        <v>325904608.26999998</v>
      </c>
      <c r="T42" s="202">
        <v>252543764.03999999</v>
      </c>
      <c r="U42" s="202">
        <v>0</v>
      </c>
    </row>
    <row r="43" spans="1:21">
      <c r="A43" s="202" t="s">
        <v>147</v>
      </c>
    </row>
    <row r="44" spans="1:21">
      <c r="A44" s="202" t="s">
        <v>148</v>
      </c>
      <c r="B44" s="202">
        <v>33979789.549999997</v>
      </c>
      <c r="C44" s="202">
        <v>7000000</v>
      </c>
      <c r="D44" s="202">
        <v>10000000</v>
      </c>
      <c r="E44" s="202">
        <v>10000000</v>
      </c>
      <c r="F44" s="202">
        <v>10000000</v>
      </c>
      <c r="G44" s="202">
        <v>5000000</v>
      </c>
      <c r="H44" s="202">
        <v>5000000</v>
      </c>
      <c r="I44" s="202">
        <v>0</v>
      </c>
      <c r="J44" s="202">
        <v>0</v>
      </c>
      <c r="K44" s="202">
        <v>0</v>
      </c>
      <c r="L44" s="202">
        <v>0</v>
      </c>
      <c r="M44" s="202">
        <v>0</v>
      </c>
      <c r="N44" s="202">
        <v>0</v>
      </c>
      <c r="O44" s="202">
        <v>0</v>
      </c>
      <c r="P44" s="202">
        <v>15000000</v>
      </c>
      <c r="Q44" s="202">
        <v>30000000</v>
      </c>
      <c r="R44" s="202">
        <v>0</v>
      </c>
      <c r="S44" s="202">
        <v>31000000</v>
      </c>
      <c r="T44" s="202">
        <v>31000000</v>
      </c>
      <c r="U44" s="202">
        <v>0</v>
      </c>
    </row>
    <row r="45" spans="1:21">
      <c r="A45" s="202" t="s">
        <v>149</v>
      </c>
      <c r="B45" s="202">
        <v>0</v>
      </c>
      <c r="C45" s="202">
        <v>0</v>
      </c>
      <c r="D45" s="202">
        <v>0</v>
      </c>
      <c r="E45" s="202">
        <v>0</v>
      </c>
      <c r="F45" s="202">
        <v>0</v>
      </c>
      <c r="G45" s="202">
        <v>0</v>
      </c>
      <c r="H45" s="202">
        <v>0</v>
      </c>
      <c r="I45" s="202">
        <v>0</v>
      </c>
      <c r="J45" s="202">
        <v>0</v>
      </c>
      <c r="K45" s="202">
        <v>0</v>
      </c>
      <c r="L45" s="202">
        <v>0</v>
      </c>
      <c r="M45" s="202">
        <v>0</v>
      </c>
      <c r="N45" s="202">
        <v>0</v>
      </c>
      <c r="O45" s="202">
        <v>0</v>
      </c>
      <c r="P45" s="202">
        <v>0</v>
      </c>
      <c r="Q45" s="202">
        <v>0</v>
      </c>
      <c r="R45" s="202">
        <v>0</v>
      </c>
      <c r="S45" s="202">
        <v>0</v>
      </c>
      <c r="T45" s="202">
        <v>0</v>
      </c>
      <c r="U45" s="202">
        <v>0</v>
      </c>
    </row>
    <row r="46" spans="1:21">
      <c r="A46" s="202" t="s">
        <v>150</v>
      </c>
      <c r="B46" s="202">
        <v>0</v>
      </c>
      <c r="C46" s="202">
        <v>9817317.9399999995</v>
      </c>
      <c r="D46" s="202">
        <v>0</v>
      </c>
      <c r="E46" s="202">
        <v>5937028.6299999999</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row>
    <row r="47" spans="1:21">
      <c r="A47" s="202" t="s">
        <v>151</v>
      </c>
      <c r="B47" s="202">
        <v>0</v>
      </c>
      <c r="C47" s="202">
        <v>92786513.170000002</v>
      </c>
      <c r="D47" s="202">
        <v>75829242.840000004</v>
      </c>
      <c r="E47" s="202">
        <v>63916597.060000002</v>
      </c>
      <c r="F47" s="202">
        <v>75288838.519999996</v>
      </c>
      <c r="G47" s="202">
        <v>68015314.650000006</v>
      </c>
      <c r="H47" s="202">
        <v>59438539.049999997</v>
      </c>
      <c r="I47" s="202">
        <v>36171965.270000003</v>
      </c>
      <c r="J47" s="202">
        <v>45650175.460000001</v>
      </c>
      <c r="K47" s="202">
        <v>42414349.009999998</v>
      </c>
      <c r="L47" s="202">
        <v>45846859.060000002</v>
      </c>
      <c r="M47" s="202">
        <v>39662107.520000003</v>
      </c>
      <c r="N47" s="202">
        <v>50941218.960000001</v>
      </c>
      <c r="O47" s="202">
        <v>50018674.009999998</v>
      </c>
      <c r="P47" s="202">
        <v>53278944.109999999</v>
      </c>
      <c r="Q47" s="202">
        <v>50512053.689999998</v>
      </c>
      <c r="R47" s="202">
        <v>47674725.530000001</v>
      </c>
      <c r="S47" s="202">
        <v>52570517.960000001</v>
      </c>
      <c r="T47" s="202">
        <v>64328437.520000003</v>
      </c>
      <c r="U47" s="202">
        <v>0</v>
      </c>
    </row>
    <row r="48" spans="1:21">
      <c r="A48" s="202" t="s">
        <v>152</v>
      </c>
      <c r="B48" s="202">
        <v>24800073.489999998</v>
      </c>
      <c r="C48" s="202">
        <v>22921291.050000001</v>
      </c>
      <c r="D48" s="202">
        <v>22727756.57</v>
      </c>
      <c r="E48" s="202">
        <v>27700843.41</v>
      </c>
      <c r="F48" s="202">
        <v>22030147.52</v>
      </c>
      <c r="G48" s="202">
        <v>23125417.75</v>
      </c>
      <c r="H48" s="202">
        <v>20898046.59</v>
      </c>
      <c r="I48" s="202">
        <v>15744674.300000001</v>
      </c>
      <c r="J48" s="202">
        <v>14483581.880000001</v>
      </c>
      <c r="K48" s="202">
        <v>14859765.01</v>
      </c>
      <c r="L48" s="202">
        <v>15036063.609999999</v>
      </c>
      <c r="M48" s="202">
        <v>20446702.300000001</v>
      </c>
      <c r="N48" s="202">
        <v>15986508.75</v>
      </c>
      <c r="O48" s="202">
        <v>14728768.460000001</v>
      </c>
      <c r="P48" s="202">
        <v>14997966.77</v>
      </c>
      <c r="Q48" s="202">
        <v>17782353.559999999</v>
      </c>
      <c r="R48" s="202">
        <v>21846023.210000001</v>
      </c>
      <c r="S48" s="202">
        <v>15450342.199999999</v>
      </c>
      <c r="T48" s="202">
        <v>11487157.720000001</v>
      </c>
      <c r="U48" s="202">
        <v>0</v>
      </c>
    </row>
    <row r="49" spans="1:21">
      <c r="A49" s="202" t="s">
        <v>153</v>
      </c>
      <c r="B49" s="202">
        <v>0</v>
      </c>
      <c r="C49" s="202">
        <v>0</v>
      </c>
      <c r="D49" s="202">
        <v>0</v>
      </c>
      <c r="E49" s="202">
        <v>0</v>
      </c>
      <c r="F49" s="202">
        <v>0</v>
      </c>
      <c r="G49" s="202">
        <v>0</v>
      </c>
      <c r="H49" s="202">
        <v>0</v>
      </c>
      <c r="I49" s="202">
        <v>0</v>
      </c>
      <c r="J49" s="202">
        <v>0</v>
      </c>
      <c r="K49" s="202">
        <v>0</v>
      </c>
      <c r="L49" s="202">
        <v>0</v>
      </c>
      <c r="M49" s="202">
        <v>0</v>
      </c>
      <c r="N49" s="202">
        <v>0</v>
      </c>
      <c r="O49" s="202">
        <v>0</v>
      </c>
      <c r="P49" s="202">
        <v>0</v>
      </c>
      <c r="Q49" s="202">
        <v>0</v>
      </c>
      <c r="R49" s="202">
        <v>0</v>
      </c>
      <c r="S49" s="202">
        <v>0</v>
      </c>
      <c r="T49" s="202">
        <v>0</v>
      </c>
      <c r="U49" s="202">
        <v>0</v>
      </c>
    </row>
    <row r="50" spans="1:21">
      <c r="A50" s="202" t="s">
        <v>154</v>
      </c>
      <c r="B50" s="202">
        <v>36768810.719999999</v>
      </c>
      <c r="C50" s="202">
        <v>31136223.02</v>
      </c>
      <c r="D50" s="202">
        <v>20604722.550000001</v>
      </c>
      <c r="E50" s="202">
        <v>19148345.640000001</v>
      </c>
      <c r="F50" s="202">
        <v>35683747.359999999</v>
      </c>
      <c r="G50" s="202">
        <v>24540911.539999999</v>
      </c>
      <c r="H50" s="202">
        <v>16743966.619999999</v>
      </c>
      <c r="I50" s="202">
        <v>15263917.68</v>
      </c>
      <c r="J50" s="202">
        <v>22859898.359999999</v>
      </c>
      <c r="K50" s="202">
        <v>16691647.07</v>
      </c>
      <c r="L50" s="202">
        <v>13854986.210000001</v>
      </c>
      <c r="M50" s="202">
        <v>13704113.48</v>
      </c>
      <c r="N50" s="202">
        <v>19768415.899999999</v>
      </c>
      <c r="O50" s="202">
        <v>13653896.02</v>
      </c>
      <c r="P50" s="202">
        <v>9260958.0999999996</v>
      </c>
      <c r="Q50" s="202">
        <v>11706191.699999999</v>
      </c>
      <c r="R50" s="202">
        <v>12415798.52</v>
      </c>
      <c r="S50" s="202">
        <v>7644264.7400000002</v>
      </c>
      <c r="T50" s="202">
        <v>2022479.97</v>
      </c>
      <c r="U50" s="202">
        <v>0</v>
      </c>
    </row>
    <row r="51" spans="1:21">
      <c r="A51" s="202" t="s">
        <v>155</v>
      </c>
      <c r="B51" s="202">
        <v>18254007.219999999</v>
      </c>
      <c r="C51" s="202">
        <v>11722611.220000001</v>
      </c>
      <c r="D51" s="202">
        <v>18811098.010000002</v>
      </c>
      <c r="E51" s="202">
        <v>13793676.91</v>
      </c>
      <c r="F51" s="202">
        <v>13653724.4</v>
      </c>
      <c r="G51" s="202">
        <v>8314025.29</v>
      </c>
      <c r="H51" s="202">
        <v>11681805.42</v>
      </c>
      <c r="I51" s="202">
        <v>7864273.5</v>
      </c>
      <c r="J51" s="202">
        <v>10021238.57</v>
      </c>
      <c r="K51" s="202">
        <v>6240381.0099999998</v>
      </c>
      <c r="L51" s="202">
        <v>8791576.6400000006</v>
      </c>
      <c r="M51" s="202">
        <v>5972103.5300000003</v>
      </c>
      <c r="N51" s="202">
        <v>8142586.5999999996</v>
      </c>
      <c r="O51" s="202">
        <v>5873085.29</v>
      </c>
      <c r="P51" s="202">
        <v>10746877.619999999</v>
      </c>
      <c r="Q51" s="202">
        <v>7641368.9699999997</v>
      </c>
      <c r="R51" s="202">
        <v>7281548.1799999997</v>
      </c>
      <c r="S51" s="202">
        <v>8519374.5199999996</v>
      </c>
      <c r="T51" s="202">
        <v>5159140.24</v>
      </c>
      <c r="U51" s="202">
        <v>0</v>
      </c>
    </row>
    <row r="52" spans="1:21">
      <c r="A52" s="202" t="s">
        <v>156</v>
      </c>
      <c r="B52" s="202">
        <v>0</v>
      </c>
      <c r="C52" s="202">
        <v>28269.919999999998</v>
      </c>
      <c r="D52" s="202">
        <v>28269.919999999998</v>
      </c>
      <c r="E52" s="202">
        <v>28269.919999999998</v>
      </c>
      <c r="F52" s="202">
        <v>258903.21</v>
      </c>
      <c r="G52" s="202">
        <v>380421.24</v>
      </c>
      <c r="H52" s="202">
        <v>409188.36</v>
      </c>
      <c r="I52" s="202">
        <v>287671.23</v>
      </c>
      <c r="J52" s="202">
        <v>0</v>
      </c>
      <c r="K52" s="202">
        <v>0</v>
      </c>
      <c r="L52" s="202">
        <v>0</v>
      </c>
      <c r="M52" s="202">
        <v>0</v>
      </c>
      <c r="N52" s="202">
        <v>0</v>
      </c>
      <c r="O52" s="202">
        <v>0</v>
      </c>
      <c r="P52" s="202">
        <v>0</v>
      </c>
      <c r="Q52" s="202">
        <v>0</v>
      </c>
      <c r="R52" s="202">
        <v>0</v>
      </c>
      <c r="S52" s="202">
        <v>0</v>
      </c>
      <c r="T52" s="202">
        <v>0</v>
      </c>
      <c r="U52" s="202">
        <v>0</v>
      </c>
    </row>
    <row r="53" spans="1:21">
      <c r="A53" s="202" t="s">
        <v>157</v>
      </c>
      <c r="B53" s="202">
        <v>0</v>
      </c>
      <c r="C53" s="202">
        <v>0</v>
      </c>
      <c r="D53" s="202">
        <v>0</v>
      </c>
      <c r="E53" s="202">
        <v>0</v>
      </c>
      <c r="F53" s="202">
        <v>0</v>
      </c>
      <c r="G53" s="202">
        <v>21336000</v>
      </c>
      <c r="H53" s="202">
        <v>0</v>
      </c>
      <c r="I53" s="202">
        <v>0</v>
      </c>
      <c r="J53" s="202">
        <v>0</v>
      </c>
      <c r="K53" s="202">
        <v>0</v>
      </c>
      <c r="L53" s="202">
        <v>0</v>
      </c>
      <c r="M53" s="202">
        <v>0</v>
      </c>
      <c r="N53" s="202">
        <v>0</v>
      </c>
      <c r="O53" s="202">
        <v>24003000</v>
      </c>
      <c r="P53" s="202">
        <v>0</v>
      </c>
      <c r="Q53" s="202">
        <v>0</v>
      </c>
      <c r="R53" s="202">
        <v>0</v>
      </c>
      <c r="S53" s="202">
        <v>0</v>
      </c>
      <c r="T53" s="202">
        <v>0</v>
      </c>
      <c r="U53" s="202">
        <v>0</v>
      </c>
    </row>
    <row r="54" spans="1:21">
      <c r="A54" s="202" t="s">
        <v>158</v>
      </c>
      <c r="B54" s="202">
        <v>20690353.800000001</v>
      </c>
      <c r="C54" s="202">
        <v>21434168.23</v>
      </c>
      <c r="D54" s="202">
        <v>21901925.690000001</v>
      </c>
      <c r="E54" s="202">
        <v>62285735.469999999</v>
      </c>
      <c r="F54" s="202">
        <v>25316367.800000001</v>
      </c>
      <c r="G54" s="202">
        <v>20944087.190000001</v>
      </c>
      <c r="H54" s="202">
        <v>15699119.34</v>
      </c>
      <c r="I54" s="202">
        <v>12949487.720000001</v>
      </c>
      <c r="J54" s="202">
        <v>13342319.1</v>
      </c>
      <c r="K54" s="202">
        <v>11290570.58</v>
      </c>
      <c r="L54" s="202">
        <v>11283237.24</v>
      </c>
      <c r="M54" s="202">
        <v>12401227.43</v>
      </c>
      <c r="N54" s="202">
        <v>13971540.41</v>
      </c>
      <c r="O54" s="202">
        <v>17644868.309999999</v>
      </c>
      <c r="P54" s="202">
        <v>13636445.630000001</v>
      </c>
      <c r="Q54" s="202">
        <v>14896864.52</v>
      </c>
      <c r="R54" s="202">
        <v>9175582.2799999993</v>
      </c>
      <c r="S54" s="202">
        <v>5368436.8</v>
      </c>
      <c r="T54" s="202">
        <v>5543950.1100000003</v>
      </c>
      <c r="U54" s="202">
        <v>0</v>
      </c>
    </row>
    <row r="55" spans="1:21">
      <c r="A55" s="202" t="s">
        <v>159</v>
      </c>
      <c r="B55" s="202">
        <v>0</v>
      </c>
      <c r="C55" s="202">
        <v>0</v>
      </c>
      <c r="D55" s="202">
        <v>0</v>
      </c>
      <c r="E55" s="202">
        <v>0</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row>
    <row r="56" spans="1:21">
      <c r="A56" s="202" t="s">
        <v>160</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row>
    <row r="57" spans="1:21">
      <c r="A57" s="202" t="s">
        <v>161</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row>
    <row r="58" spans="1:21">
      <c r="A58" s="202" t="s">
        <v>162</v>
      </c>
      <c r="B58" s="202">
        <v>1000000</v>
      </c>
      <c r="C58" s="202">
        <v>0</v>
      </c>
      <c r="D58" s="202">
        <v>0</v>
      </c>
      <c r="E58" s="202">
        <v>0</v>
      </c>
      <c r="F58" s="202">
        <v>124128.36</v>
      </c>
      <c r="G58" s="202">
        <v>124128.36</v>
      </c>
      <c r="H58" s="202">
        <v>122778.59</v>
      </c>
      <c r="I58" s="202">
        <v>0</v>
      </c>
      <c r="J58" s="202">
        <v>0</v>
      </c>
      <c r="K58" s="202">
        <v>0</v>
      </c>
      <c r="L58" s="202">
        <v>0</v>
      </c>
      <c r="M58" s="202">
        <v>0</v>
      </c>
      <c r="N58" s="202">
        <v>0</v>
      </c>
      <c r="O58" s="202">
        <v>0</v>
      </c>
      <c r="P58" s="202">
        <v>0</v>
      </c>
      <c r="Q58" s="202">
        <v>0</v>
      </c>
      <c r="R58" s="202">
        <v>0</v>
      </c>
      <c r="S58" s="202">
        <v>0</v>
      </c>
      <c r="T58" s="202">
        <v>0</v>
      </c>
      <c r="U58" s="202">
        <v>0</v>
      </c>
    </row>
    <row r="59" spans="1:21">
      <c r="A59" s="202" t="s">
        <v>163</v>
      </c>
      <c r="B59" s="202">
        <v>0</v>
      </c>
      <c r="C59" s="202">
        <v>0</v>
      </c>
      <c r="D59" s="202">
        <v>0</v>
      </c>
      <c r="E59" s="202">
        <v>0</v>
      </c>
      <c r="F59" s="202">
        <v>0</v>
      </c>
      <c r="G59" s="202">
        <v>0</v>
      </c>
      <c r="H59" s="202">
        <v>400875</v>
      </c>
      <c r="I59" s="202">
        <v>0</v>
      </c>
      <c r="J59" s="202">
        <v>0</v>
      </c>
      <c r="K59" s="202">
        <v>0</v>
      </c>
      <c r="L59" s="202">
        <v>0</v>
      </c>
      <c r="M59" s="202">
        <v>0</v>
      </c>
      <c r="N59" s="202">
        <v>0</v>
      </c>
      <c r="O59" s="202">
        <v>0</v>
      </c>
      <c r="P59" s="202">
        <v>0</v>
      </c>
      <c r="Q59" s="202">
        <v>0</v>
      </c>
      <c r="R59" s="202">
        <v>0</v>
      </c>
      <c r="S59" s="202">
        <v>0</v>
      </c>
      <c r="T59" s="202">
        <v>0</v>
      </c>
      <c r="U59" s="202">
        <v>0</v>
      </c>
    </row>
    <row r="60" spans="1:21">
      <c r="A60" s="202" t="s">
        <v>164</v>
      </c>
      <c r="B60" s="202">
        <v>262275190.16</v>
      </c>
      <c r="C60" s="202">
        <v>196846394.55000001</v>
      </c>
      <c r="D60" s="202">
        <v>169903015.58000001</v>
      </c>
      <c r="E60" s="202">
        <v>202810497.03999999</v>
      </c>
      <c r="F60" s="202">
        <v>182355857.16999999</v>
      </c>
      <c r="G60" s="202">
        <v>171780306.02000001</v>
      </c>
      <c r="H60" s="202">
        <v>130394318.97</v>
      </c>
      <c r="I60" s="202">
        <v>88281989.700000003</v>
      </c>
      <c r="J60" s="202">
        <v>106357213.37</v>
      </c>
      <c r="K60" s="202">
        <v>91496712.680000007</v>
      </c>
      <c r="L60" s="202">
        <v>94812722.760000005</v>
      </c>
      <c r="M60" s="202">
        <v>92186254.260000005</v>
      </c>
      <c r="N60" s="202">
        <v>108810270.62</v>
      </c>
      <c r="O60" s="202">
        <v>125922292.09</v>
      </c>
      <c r="P60" s="202">
        <v>116921192.23</v>
      </c>
      <c r="Q60" s="202">
        <v>132538832.44</v>
      </c>
      <c r="R60" s="202">
        <v>98393677.719999999</v>
      </c>
      <c r="S60" s="202">
        <v>120552936.22</v>
      </c>
      <c r="T60" s="202">
        <v>119541165.56</v>
      </c>
      <c r="U60" s="202">
        <v>0</v>
      </c>
    </row>
    <row r="61" spans="1:21">
      <c r="A61" s="202" t="s">
        <v>165</v>
      </c>
    </row>
    <row r="62" spans="1:21">
      <c r="A62" s="202" t="s">
        <v>166</v>
      </c>
      <c r="B62" s="202">
        <v>124291739.13</v>
      </c>
      <c r="C62" s="202">
        <v>0</v>
      </c>
      <c r="D62" s="202">
        <v>0</v>
      </c>
      <c r="E62" s="202">
        <v>0</v>
      </c>
      <c r="F62" s="202">
        <v>0</v>
      </c>
      <c r="G62" s="202">
        <v>0</v>
      </c>
      <c r="H62" s="202">
        <v>0</v>
      </c>
      <c r="I62" s="202">
        <v>0</v>
      </c>
      <c r="J62" s="202">
        <v>0</v>
      </c>
      <c r="K62" s="202">
        <v>0</v>
      </c>
      <c r="L62" s="202">
        <v>0</v>
      </c>
      <c r="M62" s="202">
        <v>0</v>
      </c>
      <c r="N62" s="202">
        <v>0</v>
      </c>
      <c r="O62" s="202">
        <v>0</v>
      </c>
      <c r="P62" s="202">
        <v>0</v>
      </c>
      <c r="Q62" s="202">
        <v>0</v>
      </c>
      <c r="R62" s="202">
        <v>0</v>
      </c>
      <c r="S62" s="202">
        <v>0</v>
      </c>
      <c r="T62" s="202">
        <v>0</v>
      </c>
      <c r="U62" s="202">
        <v>0</v>
      </c>
    </row>
    <row r="63" spans="1:21">
      <c r="A63" s="202" t="s">
        <v>167</v>
      </c>
      <c r="B63" s="202">
        <v>0</v>
      </c>
      <c r="C63" s="202">
        <v>0</v>
      </c>
      <c r="D63" s="202">
        <v>0</v>
      </c>
      <c r="E63" s="202">
        <v>0</v>
      </c>
      <c r="F63" s="202">
        <v>0</v>
      </c>
      <c r="G63" s="202">
        <v>0</v>
      </c>
      <c r="H63" s="202">
        <v>0</v>
      </c>
      <c r="I63" s="202">
        <v>0</v>
      </c>
      <c r="J63" s="202">
        <v>0</v>
      </c>
      <c r="K63" s="202">
        <v>0</v>
      </c>
      <c r="L63" s="202">
        <v>0</v>
      </c>
      <c r="M63" s="202">
        <v>0</v>
      </c>
      <c r="N63" s="202">
        <v>0</v>
      </c>
      <c r="O63" s="202">
        <v>0</v>
      </c>
      <c r="P63" s="202">
        <v>0</v>
      </c>
      <c r="Q63" s="202">
        <v>0</v>
      </c>
      <c r="R63" s="202">
        <v>0</v>
      </c>
      <c r="S63" s="202">
        <v>0</v>
      </c>
      <c r="T63" s="202">
        <v>0</v>
      </c>
      <c r="U63" s="202">
        <v>0</v>
      </c>
    </row>
    <row r="64" spans="1:21">
      <c r="A64" s="202" t="s">
        <v>168</v>
      </c>
      <c r="B64" s="202">
        <v>0</v>
      </c>
      <c r="C64" s="202">
        <v>0</v>
      </c>
      <c r="D64" s="202">
        <v>200000</v>
      </c>
      <c r="E64" s="202">
        <v>200000</v>
      </c>
      <c r="F64" s="202">
        <v>28803420.690000001</v>
      </c>
      <c r="G64" s="202">
        <v>29003420.690000001</v>
      </c>
      <c r="H64" s="202">
        <v>29689051.890000001</v>
      </c>
      <c r="I64" s="202">
        <v>400000</v>
      </c>
      <c r="J64" s="202">
        <v>400000</v>
      </c>
      <c r="K64" s="202">
        <v>400000</v>
      </c>
      <c r="L64" s="202">
        <v>400000</v>
      </c>
      <c r="M64" s="202">
        <v>400000</v>
      </c>
      <c r="N64" s="202">
        <v>400000</v>
      </c>
      <c r="O64" s="202">
        <v>400000</v>
      </c>
      <c r="P64" s="202">
        <v>400000</v>
      </c>
      <c r="Q64" s="202">
        <v>400000</v>
      </c>
      <c r="R64" s="202">
        <v>400000</v>
      </c>
      <c r="S64" s="202">
        <v>400000</v>
      </c>
      <c r="T64" s="202">
        <v>400000</v>
      </c>
      <c r="U64" s="202">
        <v>0</v>
      </c>
    </row>
    <row r="65" spans="1:21">
      <c r="A65" s="202" t="s">
        <v>169</v>
      </c>
      <c r="B65" s="202">
        <v>0</v>
      </c>
      <c r="C65" s="202">
        <v>0</v>
      </c>
      <c r="D65" s="202">
        <v>0</v>
      </c>
      <c r="E65" s="202">
        <v>0</v>
      </c>
      <c r="F65" s="202">
        <v>0</v>
      </c>
      <c r="G65" s="202">
        <v>0</v>
      </c>
      <c r="H65" s="202">
        <v>0</v>
      </c>
      <c r="I65" s="202">
        <v>0</v>
      </c>
      <c r="J65" s="202">
        <v>0</v>
      </c>
      <c r="K65" s="202">
        <v>0</v>
      </c>
      <c r="L65" s="202">
        <v>0</v>
      </c>
      <c r="M65" s="202">
        <v>0</v>
      </c>
      <c r="N65" s="202">
        <v>0</v>
      </c>
      <c r="O65" s="202">
        <v>0</v>
      </c>
      <c r="P65" s="202">
        <v>0</v>
      </c>
      <c r="Q65" s="202">
        <v>0</v>
      </c>
      <c r="R65" s="202">
        <v>0</v>
      </c>
      <c r="S65" s="202">
        <v>0</v>
      </c>
      <c r="T65" s="202">
        <v>0</v>
      </c>
      <c r="U65" s="202">
        <v>0</v>
      </c>
    </row>
    <row r="66" spans="1:21">
      <c r="A66" s="202" t="s">
        <v>170</v>
      </c>
      <c r="B66" s="202">
        <v>0</v>
      </c>
      <c r="C66" s="202">
        <v>0</v>
      </c>
      <c r="D66" s="202">
        <v>0</v>
      </c>
      <c r="E66" s="202">
        <v>0</v>
      </c>
      <c r="F66" s="202">
        <v>0</v>
      </c>
      <c r="G66" s="202">
        <v>0</v>
      </c>
      <c r="H66" s="202">
        <v>0</v>
      </c>
      <c r="I66" s="202">
        <v>0</v>
      </c>
      <c r="J66" s="202">
        <v>0</v>
      </c>
      <c r="K66" s="202">
        <v>0</v>
      </c>
      <c r="L66" s="202">
        <v>0</v>
      </c>
      <c r="M66" s="202">
        <v>0</v>
      </c>
      <c r="N66" s="202">
        <v>0</v>
      </c>
      <c r="O66" s="202">
        <v>0</v>
      </c>
      <c r="P66" s="202">
        <v>0</v>
      </c>
      <c r="Q66" s="202">
        <v>0</v>
      </c>
      <c r="R66" s="202">
        <v>0</v>
      </c>
      <c r="S66" s="202">
        <v>0</v>
      </c>
      <c r="T66" s="202">
        <v>0</v>
      </c>
      <c r="U66" s="202">
        <v>0</v>
      </c>
    </row>
    <row r="67" spans="1:21">
      <c r="A67" s="202" t="s">
        <v>171</v>
      </c>
      <c r="B67" s="202">
        <v>0</v>
      </c>
      <c r="C67" s="202">
        <v>0</v>
      </c>
      <c r="D67" s="202">
        <v>0</v>
      </c>
      <c r="E67" s="202">
        <v>0</v>
      </c>
      <c r="F67" s="202">
        <v>0</v>
      </c>
      <c r="G67" s="202">
        <v>0</v>
      </c>
      <c r="H67" s="202">
        <v>0</v>
      </c>
      <c r="I67" s="202">
        <v>0</v>
      </c>
      <c r="J67" s="202">
        <v>0</v>
      </c>
      <c r="K67" s="202">
        <v>0</v>
      </c>
      <c r="L67" s="202">
        <v>0</v>
      </c>
      <c r="M67" s="202">
        <v>0</v>
      </c>
      <c r="N67" s="202">
        <v>0</v>
      </c>
      <c r="O67" s="202">
        <v>0</v>
      </c>
      <c r="P67" s="202">
        <v>0</v>
      </c>
      <c r="Q67" s="202">
        <v>0</v>
      </c>
      <c r="R67" s="202">
        <v>0</v>
      </c>
      <c r="S67" s="202">
        <v>0</v>
      </c>
      <c r="T67" s="202">
        <v>0</v>
      </c>
      <c r="U67" s="202">
        <v>0</v>
      </c>
    </row>
    <row r="68" spans="1:21">
      <c r="A68" s="202" t="s">
        <v>172</v>
      </c>
      <c r="B68" s="202">
        <v>16989701.91</v>
      </c>
      <c r="C68" s="202">
        <v>6420804.1699999999</v>
      </c>
      <c r="D68" s="202">
        <v>5878632.8499999996</v>
      </c>
      <c r="E68" s="202">
        <v>5988468.3099999996</v>
      </c>
      <c r="F68" s="202">
        <v>250922.71</v>
      </c>
      <c r="G68" s="202">
        <v>301391.93</v>
      </c>
      <c r="H68" s="202">
        <v>0</v>
      </c>
      <c r="I68" s="202">
        <v>0</v>
      </c>
      <c r="J68" s="202">
        <v>0</v>
      </c>
      <c r="K68" s="202">
        <v>0</v>
      </c>
      <c r="L68" s="202">
        <v>0</v>
      </c>
      <c r="M68" s="202">
        <v>0</v>
      </c>
      <c r="N68" s="202">
        <v>0</v>
      </c>
      <c r="O68" s="202">
        <v>0</v>
      </c>
      <c r="P68" s="202">
        <v>0</v>
      </c>
      <c r="Q68" s="202">
        <v>0</v>
      </c>
      <c r="R68" s="202">
        <v>0</v>
      </c>
      <c r="S68" s="202">
        <v>0</v>
      </c>
      <c r="T68" s="202">
        <v>0</v>
      </c>
      <c r="U68" s="202">
        <v>0</v>
      </c>
    </row>
    <row r="69" spans="1:21">
      <c r="A69" s="202" t="s">
        <v>173</v>
      </c>
      <c r="B69" s="202">
        <v>10229238.75</v>
      </c>
      <c r="C69" s="202">
        <v>9059652.1199999992</v>
      </c>
      <c r="D69" s="202">
        <v>9345136.7599999998</v>
      </c>
      <c r="E69" s="202">
        <v>9630621.4000000004</v>
      </c>
      <c r="F69" s="202">
        <v>10062216.199999999</v>
      </c>
      <c r="G69" s="202">
        <v>10493810.93</v>
      </c>
      <c r="H69" s="202">
        <v>10926211.279999999</v>
      </c>
      <c r="I69" s="202">
        <v>11357000.439999999</v>
      </c>
      <c r="J69" s="202">
        <v>11855793.15</v>
      </c>
      <c r="K69" s="202">
        <v>12362964.619999999</v>
      </c>
      <c r="L69" s="202">
        <v>12903213.710000001</v>
      </c>
      <c r="M69" s="202">
        <v>13447595.23</v>
      </c>
      <c r="N69" s="202">
        <v>0</v>
      </c>
      <c r="O69" s="202">
        <v>8191424.4199999999</v>
      </c>
      <c r="P69" s="202">
        <v>10187817.16</v>
      </c>
      <c r="Q69" s="202">
        <v>10441047.279999999</v>
      </c>
      <c r="R69" s="202">
        <v>9320565.6699999999</v>
      </c>
      <c r="S69" s="202">
        <v>4900000</v>
      </c>
      <c r="T69" s="202">
        <v>0</v>
      </c>
      <c r="U69" s="202">
        <v>0</v>
      </c>
    </row>
    <row r="70" spans="1:21">
      <c r="A70" s="202" t="s">
        <v>174</v>
      </c>
      <c r="B70" s="202">
        <v>0</v>
      </c>
      <c r="C70" s="202">
        <v>0</v>
      </c>
      <c r="D70" s="202">
        <v>0</v>
      </c>
      <c r="E70" s="202">
        <v>0</v>
      </c>
      <c r="F70" s="202">
        <v>150000000</v>
      </c>
      <c r="G70" s="202">
        <v>150000000</v>
      </c>
      <c r="H70" s="202">
        <v>150000000</v>
      </c>
      <c r="I70" s="202">
        <v>150000000</v>
      </c>
      <c r="J70" s="202">
        <v>0</v>
      </c>
      <c r="K70" s="202">
        <v>0</v>
      </c>
      <c r="L70" s="202">
        <v>0</v>
      </c>
      <c r="M70" s="202">
        <v>0</v>
      </c>
      <c r="N70" s="202">
        <v>7963609.2300000004</v>
      </c>
      <c r="O70" s="202">
        <v>0</v>
      </c>
      <c r="P70" s="202">
        <v>0</v>
      </c>
      <c r="Q70" s="202">
        <v>0</v>
      </c>
      <c r="R70" s="202">
        <v>0</v>
      </c>
      <c r="S70" s="202">
        <v>0</v>
      </c>
      <c r="T70" s="202">
        <v>400000</v>
      </c>
      <c r="U70" s="202">
        <v>0</v>
      </c>
    </row>
    <row r="71" spans="1:21">
      <c r="A71" s="202" t="s">
        <v>175</v>
      </c>
      <c r="B71" s="202">
        <v>151510679.78999999</v>
      </c>
      <c r="C71" s="202">
        <v>15480456.289999999</v>
      </c>
      <c r="D71" s="202">
        <v>15423769.609999999</v>
      </c>
      <c r="E71" s="202">
        <v>15819089.710000001</v>
      </c>
      <c r="F71" s="202">
        <v>189116559.59999999</v>
      </c>
      <c r="G71" s="202">
        <v>189798623.55000001</v>
      </c>
      <c r="H71" s="202">
        <v>190615263.16999999</v>
      </c>
      <c r="I71" s="202">
        <v>161757000.44</v>
      </c>
      <c r="J71" s="202">
        <v>12255793.15</v>
      </c>
      <c r="K71" s="202">
        <v>12762964.619999999</v>
      </c>
      <c r="L71" s="202">
        <v>13303213.710000001</v>
      </c>
      <c r="M71" s="202">
        <v>13847595.23</v>
      </c>
      <c r="N71" s="202">
        <v>8363609.2300000004</v>
      </c>
      <c r="O71" s="202">
        <v>8591424.4199999999</v>
      </c>
      <c r="P71" s="202">
        <v>10587817.16</v>
      </c>
      <c r="Q71" s="202">
        <v>10841047.279999999</v>
      </c>
      <c r="R71" s="202">
        <v>9720565.6699999999</v>
      </c>
      <c r="S71" s="202">
        <v>5300000</v>
      </c>
      <c r="T71" s="202">
        <v>800000</v>
      </c>
      <c r="U71" s="202">
        <v>0</v>
      </c>
    </row>
    <row r="72" spans="1:21">
      <c r="A72" s="202" t="s">
        <v>176</v>
      </c>
      <c r="B72" s="202">
        <v>413785869.94999999</v>
      </c>
      <c r="C72" s="202">
        <v>212326850.84</v>
      </c>
      <c r="D72" s="202">
        <v>185326785.19</v>
      </c>
      <c r="E72" s="202">
        <v>218629586.75</v>
      </c>
      <c r="F72" s="202">
        <v>371472416.76999998</v>
      </c>
      <c r="G72" s="202">
        <v>361578929.56999999</v>
      </c>
      <c r="H72" s="202">
        <v>321009582.13999999</v>
      </c>
      <c r="I72" s="202">
        <v>250038990.13999999</v>
      </c>
      <c r="J72" s="202">
        <v>118613006.52</v>
      </c>
      <c r="K72" s="202">
        <v>104259677.3</v>
      </c>
      <c r="L72" s="202">
        <v>108115936.47</v>
      </c>
      <c r="M72" s="202">
        <v>106033849.48999999</v>
      </c>
      <c r="N72" s="202">
        <v>117173879.84999999</v>
      </c>
      <c r="O72" s="202">
        <v>134513716.50999999</v>
      </c>
      <c r="P72" s="202">
        <v>127509009.39</v>
      </c>
      <c r="Q72" s="202">
        <v>143379879.72</v>
      </c>
      <c r="R72" s="202">
        <v>108114243.39</v>
      </c>
      <c r="S72" s="202">
        <v>125852936.22</v>
      </c>
      <c r="T72" s="202">
        <v>120341165.56</v>
      </c>
      <c r="U72" s="202">
        <v>0</v>
      </c>
    </row>
    <row r="73" spans="1:21">
      <c r="A73" s="202" t="s">
        <v>177</v>
      </c>
    </row>
    <row r="74" spans="1:21">
      <c r="A74" s="202" t="s">
        <v>178</v>
      </c>
      <c r="B74" s="202">
        <v>192024000</v>
      </c>
      <c r="C74" s="202">
        <v>106680000</v>
      </c>
      <c r="D74" s="202">
        <v>106680000</v>
      </c>
      <c r="E74" s="202">
        <v>106680000</v>
      </c>
      <c r="F74" s="202">
        <v>106680000</v>
      </c>
      <c r="G74" s="202">
        <v>106680000</v>
      </c>
      <c r="H74" s="202">
        <v>106680000</v>
      </c>
      <c r="I74" s="202">
        <v>106680000</v>
      </c>
      <c r="J74" s="202">
        <v>106680000</v>
      </c>
      <c r="K74" s="202">
        <v>53340000</v>
      </c>
      <c r="L74" s="202">
        <v>53340000</v>
      </c>
      <c r="M74" s="202">
        <v>53340000</v>
      </c>
      <c r="N74" s="202">
        <v>53340000</v>
      </c>
      <c r="O74" s="202">
        <v>53340000</v>
      </c>
      <c r="P74" s="202">
        <v>40000000</v>
      </c>
      <c r="Q74" s="202">
        <v>40000000</v>
      </c>
      <c r="R74" s="202">
        <v>40000000</v>
      </c>
      <c r="S74" s="202">
        <v>40000000</v>
      </c>
      <c r="T74" s="202">
        <v>40000000</v>
      </c>
      <c r="U74" s="202">
        <v>0</v>
      </c>
    </row>
    <row r="75" spans="1:21">
      <c r="A75" s="202" t="s">
        <v>179</v>
      </c>
      <c r="B75" s="202">
        <v>310030082.89999998</v>
      </c>
      <c r="C75" s="202">
        <v>395906707.72000003</v>
      </c>
      <c r="D75" s="202">
        <v>395906707.72000003</v>
      </c>
      <c r="E75" s="202">
        <v>395906707.72000003</v>
      </c>
      <c r="F75" s="202">
        <v>396534686.44</v>
      </c>
      <c r="G75" s="202">
        <v>396534686.44</v>
      </c>
      <c r="H75" s="202">
        <v>396534686.44</v>
      </c>
      <c r="I75" s="202">
        <v>396534686.44</v>
      </c>
      <c r="J75" s="202">
        <v>396534686.44</v>
      </c>
      <c r="K75" s="202">
        <v>423204686.44</v>
      </c>
      <c r="L75" s="202">
        <v>423204686.44</v>
      </c>
      <c r="M75" s="202">
        <v>423204686.44</v>
      </c>
      <c r="N75" s="202">
        <v>423204686.44</v>
      </c>
      <c r="O75" s="202">
        <v>423204686.44</v>
      </c>
      <c r="P75" s="202">
        <v>26632439.77</v>
      </c>
      <c r="Q75" s="202">
        <v>26632439.77</v>
      </c>
      <c r="R75" s="202">
        <v>26632439.77</v>
      </c>
      <c r="S75" s="202">
        <v>26632439.77</v>
      </c>
      <c r="T75" s="202">
        <v>26632439.77</v>
      </c>
      <c r="U75" s="202">
        <v>0</v>
      </c>
    </row>
    <row r="76" spans="1:21">
      <c r="A76" s="202" t="s">
        <v>180</v>
      </c>
      <c r="B76" s="202">
        <v>0</v>
      </c>
      <c r="C76" s="202">
        <v>0</v>
      </c>
      <c r="D76" s="202">
        <v>0</v>
      </c>
      <c r="E76" s="202">
        <v>0</v>
      </c>
      <c r="F76" s="202">
        <v>0</v>
      </c>
      <c r="G76" s="202">
        <v>0</v>
      </c>
      <c r="H76" s="202">
        <v>0</v>
      </c>
      <c r="I76" s="202">
        <v>0</v>
      </c>
      <c r="J76" s="202">
        <v>0</v>
      </c>
      <c r="K76" s="202">
        <v>0</v>
      </c>
      <c r="L76" s="202">
        <v>0</v>
      </c>
      <c r="M76" s="202">
        <v>0</v>
      </c>
      <c r="N76" s="202">
        <v>0</v>
      </c>
      <c r="O76" s="202">
        <v>0</v>
      </c>
      <c r="P76" s="202">
        <v>0</v>
      </c>
      <c r="Q76" s="202">
        <v>0</v>
      </c>
      <c r="R76" s="202">
        <v>0</v>
      </c>
      <c r="S76" s="202">
        <v>0</v>
      </c>
      <c r="T76" s="202">
        <v>0</v>
      </c>
      <c r="U76" s="202">
        <v>0</v>
      </c>
    </row>
    <row r="77" spans="1:21">
      <c r="A77" s="202" t="s">
        <v>181</v>
      </c>
      <c r="B77" s="202">
        <v>0</v>
      </c>
      <c r="C77" s="202">
        <v>0</v>
      </c>
      <c r="D77" s="202">
        <v>0</v>
      </c>
      <c r="E77" s="202">
        <v>0</v>
      </c>
      <c r="F77" s="202">
        <v>0</v>
      </c>
      <c r="G77" s="202">
        <v>0</v>
      </c>
      <c r="H77" s="202">
        <v>0</v>
      </c>
      <c r="I77" s="202">
        <v>0</v>
      </c>
      <c r="J77" s="202">
        <v>0</v>
      </c>
      <c r="K77" s="202">
        <v>0</v>
      </c>
      <c r="L77" s="202">
        <v>0</v>
      </c>
      <c r="M77" s="202">
        <v>0</v>
      </c>
      <c r="N77" s="202">
        <v>0</v>
      </c>
      <c r="O77" s="202">
        <v>0</v>
      </c>
      <c r="P77" s="202">
        <v>0</v>
      </c>
      <c r="Q77" s="202">
        <v>0</v>
      </c>
      <c r="R77" s="202">
        <v>0</v>
      </c>
      <c r="S77" s="202">
        <v>0</v>
      </c>
      <c r="T77" s="202">
        <v>0</v>
      </c>
      <c r="U77" s="202">
        <v>0</v>
      </c>
    </row>
    <row r="78" spans="1:21">
      <c r="A78" s="202" t="s">
        <v>182</v>
      </c>
      <c r="B78" s="202">
        <v>0</v>
      </c>
      <c r="C78" s="202">
        <v>0</v>
      </c>
      <c r="D78" s="202">
        <v>0</v>
      </c>
      <c r="E78" s="202">
        <v>0</v>
      </c>
      <c r="F78" s="202">
        <v>0</v>
      </c>
      <c r="G78" s="202">
        <v>0</v>
      </c>
      <c r="H78" s="202">
        <v>0</v>
      </c>
      <c r="I78" s="202">
        <v>0</v>
      </c>
      <c r="J78" s="202">
        <v>0</v>
      </c>
      <c r="K78" s="202">
        <v>0</v>
      </c>
      <c r="L78" s="202">
        <v>0</v>
      </c>
      <c r="M78" s="202">
        <v>0</v>
      </c>
      <c r="N78" s="202">
        <v>0</v>
      </c>
      <c r="O78" s="202">
        <v>0</v>
      </c>
      <c r="P78" s="202">
        <v>0</v>
      </c>
      <c r="Q78" s="202">
        <v>0</v>
      </c>
      <c r="R78" s="202">
        <v>0</v>
      </c>
      <c r="S78" s="202">
        <v>0</v>
      </c>
      <c r="T78" s="202">
        <v>0</v>
      </c>
      <c r="U78" s="202">
        <v>0</v>
      </c>
    </row>
    <row r="79" spans="1:21">
      <c r="A79" s="202" t="s">
        <v>183</v>
      </c>
      <c r="B79" s="202">
        <v>70601806.849999994</v>
      </c>
      <c r="C79" s="202">
        <v>70601806.849999994</v>
      </c>
      <c r="D79" s="202">
        <v>64135987.030000001</v>
      </c>
      <c r="E79" s="202">
        <v>64135987.030000001</v>
      </c>
      <c r="F79" s="202">
        <v>51832792.950000003</v>
      </c>
      <c r="G79" s="202">
        <v>51832792.950000003</v>
      </c>
      <c r="H79" s="202">
        <v>51832792.950000003</v>
      </c>
      <c r="I79" s="202">
        <v>51832792.950000003</v>
      </c>
      <c r="J79" s="202">
        <v>41843026.579999998</v>
      </c>
      <c r="K79" s="202">
        <v>41843026.579999998</v>
      </c>
      <c r="L79" s="202">
        <v>41843026.579999998</v>
      </c>
      <c r="M79" s="202">
        <v>41843026.579999998</v>
      </c>
      <c r="N79" s="202">
        <v>33313955.75</v>
      </c>
      <c r="O79" s="202">
        <v>33313955.75</v>
      </c>
      <c r="P79" s="202">
        <v>33313955.75</v>
      </c>
      <c r="Q79" s="202">
        <v>33313955.75</v>
      </c>
      <c r="R79" s="202">
        <v>24439554.190000001</v>
      </c>
      <c r="S79" s="202">
        <v>16278055.9</v>
      </c>
      <c r="T79" s="202">
        <v>8615803.0999999996</v>
      </c>
      <c r="U79" s="202">
        <v>0</v>
      </c>
    </row>
    <row r="80" spans="1:21">
      <c r="A80" s="202" t="s">
        <v>184</v>
      </c>
      <c r="B80" s="202">
        <v>0</v>
      </c>
      <c r="C80" s="202">
        <v>0</v>
      </c>
      <c r="D80" s="202">
        <v>0</v>
      </c>
      <c r="E80" s="202">
        <v>0</v>
      </c>
      <c r="F80" s="202">
        <v>0</v>
      </c>
      <c r="G80" s="202">
        <v>0</v>
      </c>
      <c r="H80" s="202">
        <v>0</v>
      </c>
      <c r="I80" s="202">
        <v>0</v>
      </c>
      <c r="J80" s="202">
        <v>0</v>
      </c>
      <c r="K80" s="202">
        <v>0</v>
      </c>
      <c r="L80" s="202">
        <v>0</v>
      </c>
      <c r="M80" s="202">
        <v>0</v>
      </c>
      <c r="N80" s="202">
        <v>0</v>
      </c>
      <c r="O80" s="202">
        <v>0</v>
      </c>
      <c r="P80" s="202">
        <v>0</v>
      </c>
      <c r="Q80" s="202">
        <v>0</v>
      </c>
      <c r="R80" s="202">
        <v>0</v>
      </c>
      <c r="S80" s="202">
        <v>0</v>
      </c>
      <c r="T80" s="202">
        <v>0</v>
      </c>
      <c r="U80" s="202">
        <v>0</v>
      </c>
    </row>
    <row r="81" spans="1:21">
      <c r="A81" s="202" t="s">
        <v>185</v>
      </c>
      <c r="B81" s="202">
        <v>510738183.38999999</v>
      </c>
      <c r="C81" s="202">
        <v>460960283.70999998</v>
      </c>
      <c r="D81" s="202">
        <v>450996573.08999997</v>
      </c>
      <c r="E81" s="202">
        <v>420338344.27999997</v>
      </c>
      <c r="F81" s="202">
        <v>390800917.54000002</v>
      </c>
      <c r="G81" s="202">
        <v>356298101.19</v>
      </c>
      <c r="H81" s="202">
        <v>350952787.81999999</v>
      </c>
      <c r="I81" s="202">
        <v>333932751.07999998</v>
      </c>
      <c r="J81" s="202">
        <v>306576687.13</v>
      </c>
      <c r="K81" s="202">
        <v>324973224.75999999</v>
      </c>
      <c r="L81" s="202">
        <v>304878145.38999999</v>
      </c>
      <c r="M81" s="202">
        <v>288838875.04000002</v>
      </c>
      <c r="N81" s="202">
        <v>267253144.06999999</v>
      </c>
      <c r="O81" s="202">
        <v>248705965.99000001</v>
      </c>
      <c r="P81" s="202">
        <v>255772213.31999999</v>
      </c>
      <c r="Q81" s="202">
        <v>239281540.21000001</v>
      </c>
      <c r="R81" s="202">
        <v>179247482.94999999</v>
      </c>
      <c r="S81" s="202">
        <v>117141176.38</v>
      </c>
      <c r="T81" s="202">
        <v>56954355.609999999</v>
      </c>
      <c r="U81" s="202">
        <v>0</v>
      </c>
    </row>
    <row r="82" spans="1:21">
      <c r="A82" s="202" t="s">
        <v>186</v>
      </c>
      <c r="B82" s="202">
        <v>1083394073.1400001</v>
      </c>
      <c r="C82" s="202">
        <v>1034148798.28</v>
      </c>
      <c r="D82" s="202">
        <v>1017719267.84</v>
      </c>
      <c r="E82" s="202">
        <v>987061039.02999997</v>
      </c>
      <c r="F82" s="202">
        <v>945848396.92999995</v>
      </c>
      <c r="G82" s="202">
        <v>911345580.58000004</v>
      </c>
      <c r="H82" s="202">
        <v>906000267.21000004</v>
      </c>
      <c r="I82" s="202">
        <v>888980230.47000003</v>
      </c>
      <c r="J82" s="202">
        <v>851634400.14999998</v>
      </c>
      <c r="K82" s="202">
        <v>843360937.77999997</v>
      </c>
      <c r="L82" s="202">
        <v>823265858.40999997</v>
      </c>
      <c r="M82" s="202">
        <v>807226588.05999994</v>
      </c>
      <c r="N82" s="202">
        <v>777111786.25999999</v>
      </c>
      <c r="O82" s="202">
        <v>758564608.17999995</v>
      </c>
      <c r="P82" s="202">
        <v>355718608.83999997</v>
      </c>
      <c r="Q82" s="202">
        <v>339227935.73000002</v>
      </c>
      <c r="R82" s="202">
        <v>270319476.91000003</v>
      </c>
      <c r="S82" s="202">
        <v>200051672.05000001</v>
      </c>
      <c r="T82" s="202">
        <v>132202598.48</v>
      </c>
      <c r="U82" s="202">
        <v>0</v>
      </c>
    </row>
    <row r="83" spans="1:21">
      <c r="A83" s="202" t="s">
        <v>187</v>
      </c>
      <c r="B83" s="202">
        <v>7995399.9299999997</v>
      </c>
      <c r="C83" s="202">
        <v>4129568.22</v>
      </c>
      <c r="D83" s="202">
        <v>4133678.75</v>
      </c>
      <c r="E83" s="202">
        <v>4148336.55</v>
      </c>
      <c r="F83" s="202">
        <v>4789314.87</v>
      </c>
      <c r="G83" s="202">
        <v>4576982.8899999997</v>
      </c>
      <c r="H83" s="202">
        <v>3832198.37</v>
      </c>
      <c r="I83" s="202">
        <v>3904638.35</v>
      </c>
      <c r="J83" s="202">
        <v>0</v>
      </c>
      <c r="K83" s="202">
        <v>0</v>
      </c>
      <c r="L83" s="202">
        <v>0</v>
      </c>
      <c r="M83" s="202">
        <v>0</v>
      </c>
      <c r="N83" s="202">
        <v>0</v>
      </c>
      <c r="O83" s="202">
        <v>0</v>
      </c>
      <c r="P83" s="202">
        <v>0</v>
      </c>
      <c r="Q83" s="202">
        <v>0</v>
      </c>
      <c r="R83" s="202">
        <v>0</v>
      </c>
      <c r="S83" s="202">
        <v>0</v>
      </c>
      <c r="T83" s="202">
        <v>0</v>
      </c>
      <c r="U83" s="202">
        <v>0</v>
      </c>
    </row>
    <row r="84" spans="1:21">
      <c r="A84" s="202" t="s">
        <v>188</v>
      </c>
      <c r="B84" s="202">
        <v>1091389473.0699999</v>
      </c>
      <c r="C84" s="202">
        <v>1038278366.5</v>
      </c>
      <c r="D84" s="202">
        <v>1021852946.59</v>
      </c>
      <c r="E84" s="202">
        <v>991209375.58000004</v>
      </c>
      <c r="F84" s="202">
        <v>950637711.79999995</v>
      </c>
      <c r="G84" s="202">
        <v>915922563.47000003</v>
      </c>
      <c r="H84" s="202">
        <v>909832465.58000004</v>
      </c>
      <c r="I84" s="202">
        <v>892884868.82000005</v>
      </c>
      <c r="J84" s="202">
        <v>851634400.14999998</v>
      </c>
      <c r="K84" s="202">
        <v>843360937.77999997</v>
      </c>
      <c r="L84" s="202">
        <v>823265858.40999997</v>
      </c>
      <c r="M84" s="202">
        <v>807226588.05999994</v>
      </c>
      <c r="N84" s="202">
        <v>777111786.25999999</v>
      </c>
      <c r="O84" s="202">
        <v>758564608.17999995</v>
      </c>
      <c r="P84" s="202">
        <v>355718608.83999997</v>
      </c>
      <c r="Q84" s="202">
        <v>339227935.73000002</v>
      </c>
      <c r="R84" s="202">
        <v>270319476.91000003</v>
      </c>
      <c r="S84" s="202">
        <v>200051672.05000001</v>
      </c>
      <c r="T84" s="202">
        <v>132202598.48</v>
      </c>
      <c r="U84" s="202">
        <v>0</v>
      </c>
    </row>
    <row r="85" spans="1:21">
      <c r="A85" s="202" t="s">
        <v>189</v>
      </c>
      <c r="B85" s="202">
        <v>1505175343.02</v>
      </c>
      <c r="C85" s="202">
        <v>1250605217.3399999</v>
      </c>
      <c r="D85" s="202">
        <v>1207179731.78</v>
      </c>
      <c r="E85" s="202">
        <v>1209838962.3299999</v>
      </c>
      <c r="F85" s="202">
        <v>1322110128.5699999</v>
      </c>
      <c r="G85" s="202">
        <v>1277501493.04</v>
      </c>
      <c r="H85" s="202">
        <v>1230842047.72</v>
      </c>
      <c r="I85" s="202">
        <v>1142923858.96</v>
      </c>
      <c r="J85" s="202">
        <v>970247406.66999996</v>
      </c>
      <c r="K85" s="202">
        <v>947620615.08000004</v>
      </c>
      <c r="L85" s="202">
        <v>931381794.88</v>
      </c>
      <c r="M85" s="202">
        <v>913260437.54999995</v>
      </c>
      <c r="N85" s="202">
        <v>894285666.11000001</v>
      </c>
      <c r="O85" s="202">
        <v>893078324.69000006</v>
      </c>
      <c r="P85" s="202">
        <v>483227618.23000002</v>
      </c>
      <c r="Q85" s="202">
        <v>482607815.44999999</v>
      </c>
      <c r="R85" s="202">
        <v>378433720.30000001</v>
      </c>
      <c r="S85" s="202">
        <v>325904608.26999998</v>
      </c>
      <c r="T85" s="202">
        <v>252543764.03999999</v>
      </c>
      <c r="U85" s="202">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X31"/>
  <sheetViews>
    <sheetView workbookViewId="0">
      <selection activeCell="A2" sqref="A2"/>
    </sheetView>
  </sheetViews>
  <sheetFormatPr defaultRowHeight="13.5"/>
  <cols>
    <col min="1" max="1" width="37" style="202" bestFit="1" customWidth="1"/>
    <col min="2" max="4" width="12.75" style="202" hidden="1" customWidth="1"/>
    <col min="5" max="5" width="12.75" style="202" bestFit="1" customWidth="1"/>
    <col min="6" max="8" width="12.75" style="202" hidden="1" customWidth="1"/>
    <col min="9" max="9" width="13.875" style="202" bestFit="1" customWidth="1"/>
    <col min="10" max="12" width="12.75" style="202" hidden="1" customWidth="1"/>
    <col min="13" max="13" width="12.75" style="202" bestFit="1" customWidth="1"/>
    <col min="14" max="16" width="12.75" style="202" hidden="1" customWidth="1"/>
    <col min="17" max="17" width="12.75" style="202" bestFit="1" customWidth="1"/>
    <col min="18" max="20" width="12.75" style="202" hidden="1" customWidth="1"/>
    <col min="21" max="23" width="12.75" style="202" bestFit="1" customWidth="1"/>
    <col min="24" max="24" width="9.5" style="202" hidden="1" customWidth="1"/>
    <col min="25" max="16384" width="9" style="202"/>
  </cols>
  <sheetData>
    <row r="1" spans="1:24">
      <c r="A1" s="202">
        <v>300470</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20121231</v>
      </c>
      <c r="W1" s="202">
        <v>20111231</v>
      </c>
      <c r="X1" s="202">
        <v>19700101</v>
      </c>
    </row>
    <row r="2" spans="1:24">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row>
    <row r="3" spans="1:24">
      <c r="A3" s="202" t="s">
        <v>190</v>
      </c>
      <c r="B3" s="202">
        <v>511265311.74000001</v>
      </c>
      <c r="C3" s="202">
        <v>308115362.75</v>
      </c>
      <c r="D3" s="202">
        <v>135491339.12</v>
      </c>
      <c r="E3" s="202">
        <v>495877419.98000002</v>
      </c>
      <c r="F3" s="202">
        <v>353525103.44999999</v>
      </c>
      <c r="G3" s="202">
        <v>216615774.84999999</v>
      </c>
      <c r="H3" s="202">
        <v>96938491.230000004</v>
      </c>
      <c r="I3" s="202">
        <v>334060452.80000001</v>
      </c>
      <c r="J3" s="202">
        <v>249912116.02000001</v>
      </c>
      <c r="K3" s="202">
        <v>165029582.87</v>
      </c>
      <c r="L3" s="202">
        <v>80464922.310000002</v>
      </c>
      <c r="M3" s="202">
        <v>323570970.87</v>
      </c>
      <c r="N3" s="202">
        <v>248729217.63999999</v>
      </c>
      <c r="O3" s="202">
        <v>161936467.97</v>
      </c>
      <c r="P3" s="202">
        <v>83427219.010000005</v>
      </c>
      <c r="Q3" s="202">
        <v>356983852.38</v>
      </c>
      <c r="R3" s="202">
        <v>265845775.84999999</v>
      </c>
      <c r="S3" s="202">
        <v>168265778.53</v>
      </c>
      <c r="T3" s="202">
        <v>82886156.019999996</v>
      </c>
      <c r="U3" s="202">
        <v>332811274.00999999</v>
      </c>
      <c r="V3" s="202">
        <v>309060512.23000002</v>
      </c>
      <c r="W3" s="202">
        <v>239745202.43000001</v>
      </c>
      <c r="X3" s="202">
        <v>0</v>
      </c>
    </row>
    <row r="4" spans="1:24">
      <c r="A4" s="202" t="s">
        <v>191</v>
      </c>
      <c r="B4" s="202">
        <v>511265311.74000001</v>
      </c>
      <c r="C4" s="202">
        <v>308115362.75</v>
      </c>
      <c r="D4" s="202">
        <v>135491339.12</v>
      </c>
      <c r="E4" s="202">
        <v>495877419.98000002</v>
      </c>
      <c r="F4" s="202">
        <v>353525103.44999999</v>
      </c>
      <c r="G4" s="202">
        <v>216615774.84999999</v>
      </c>
      <c r="H4" s="202">
        <v>96938491.230000004</v>
      </c>
      <c r="I4" s="202">
        <v>334060452.80000001</v>
      </c>
      <c r="J4" s="202">
        <v>249912116.02000001</v>
      </c>
      <c r="K4" s="202">
        <v>165029582.87</v>
      </c>
      <c r="L4" s="202">
        <v>80464922.310000002</v>
      </c>
      <c r="M4" s="202">
        <v>323570970.87</v>
      </c>
      <c r="N4" s="202">
        <v>248729217.63999999</v>
      </c>
      <c r="O4" s="202">
        <v>161936467.97</v>
      </c>
      <c r="P4" s="202">
        <v>83427219.010000005</v>
      </c>
      <c r="Q4" s="202">
        <v>356983852.38</v>
      </c>
      <c r="R4" s="202">
        <v>265845775.84999999</v>
      </c>
      <c r="S4" s="202">
        <v>168265778.53</v>
      </c>
      <c r="T4" s="202">
        <v>82886156.019999996</v>
      </c>
      <c r="U4" s="202">
        <v>332811274.00999999</v>
      </c>
      <c r="V4" s="202">
        <v>309060512.23000002</v>
      </c>
      <c r="W4" s="202">
        <v>239745202.43000001</v>
      </c>
      <c r="X4" s="202">
        <v>0</v>
      </c>
    </row>
    <row r="5" spans="1:24">
      <c r="A5" s="202" t="s">
        <v>192</v>
      </c>
      <c r="B5" s="202">
        <v>370326779.97000003</v>
      </c>
      <c r="C5" s="202">
        <v>223331586.06</v>
      </c>
      <c r="D5" s="202">
        <v>100112956.8</v>
      </c>
      <c r="E5" s="202">
        <v>356038572.39999998</v>
      </c>
      <c r="F5" s="202">
        <v>262410539.21000001</v>
      </c>
      <c r="G5" s="202">
        <v>164857813.06999999</v>
      </c>
      <c r="H5" s="202">
        <v>77067376.209999993</v>
      </c>
      <c r="I5" s="202">
        <v>230985338.65000001</v>
      </c>
      <c r="J5" s="202">
        <v>183351826.16999999</v>
      </c>
      <c r="K5" s="202">
        <v>125802436.41</v>
      </c>
      <c r="L5" s="202">
        <v>63239277.630000003</v>
      </c>
      <c r="M5" s="202">
        <v>236675802.90000001</v>
      </c>
      <c r="N5" s="202">
        <v>192696801.03</v>
      </c>
      <c r="O5" s="202">
        <v>127980422.27</v>
      </c>
      <c r="P5" s="202">
        <v>66062645</v>
      </c>
      <c r="Q5" s="202">
        <v>257762992.5</v>
      </c>
      <c r="R5" s="202">
        <v>195205035.99000001</v>
      </c>
      <c r="S5" s="202">
        <v>124867056.70999999</v>
      </c>
      <c r="T5" s="202">
        <v>59753287.149999999</v>
      </c>
      <c r="U5" s="202">
        <v>243232357.43000001</v>
      </c>
      <c r="V5" s="202">
        <v>224887431.18000001</v>
      </c>
      <c r="W5" s="202">
        <v>183313053.93000001</v>
      </c>
      <c r="X5" s="202">
        <v>0</v>
      </c>
    </row>
    <row r="6" spans="1:24">
      <c r="A6" s="202" t="s">
        <v>193</v>
      </c>
      <c r="B6" s="202">
        <v>241657345.5</v>
      </c>
      <c r="C6" s="202">
        <v>143288161.63</v>
      </c>
      <c r="D6" s="202">
        <v>63142877.899999999</v>
      </c>
      <c r="E6" s="202">
        <v>214116621.69999999</v>
      </c>
      <c r="F6" s="202">
        <v>157492142.66999999</v>
      </c>
      <c r="G6" s="202">
        <v>96950290.200000003</v>
      </c>
      <c r="H6" s="202">
        <v>44717243.670000002</v>
      </c>
      <c r="I6" s="202">
        <v>138615829.41</v>
      </c>
      <c r="J6" s="202">
        <v>109230042.2</v>
      </c>
      <c r="K6" s="202">
        <v>77408068.260000005</v>
      </c>
      <c r="L6" s="202">
        <v>39529935.93</v>
      </c>
      <c r="M6" s="202">
        <v>136442760.19</v>
      </c>
      <c r="N6" s="202">
        <v>111084460.58</v>
      </c>
      <c r="O6" s="202">
        <v>75563879.959999993</v>
      </c>
      <c r="P6" s="202">
        <v>39986034.390000001</v>
      </c>
      <c r="Q6" s="202">
        <v>149560883.75999999</v>
      </c>
      <c r="R6" s="202">
        <v>114664823.17</v>
      </c>
      <c r="S6" s="202">
        <v>70547422.670000002</v>
      </c>
      <c r="T6" s="202">
        <v>35435974.409999996</v>
      </c>
      <c r="U6" s="202">
        <v>140229533.38999999</v>
      </c>
      <c r="V6" s="202">
        <v>123910315.51000001</v>
      </c>
      <c r="W6" s="202">
        <v>95674543.489999995</v>
      </c>
      <c r="X6" s="202">
        <v>0</v>
      </c>
    </row>
    <row r="7" spans="1:24">
      <c r="A7" s="202" t="s">
        <v>194</v>
      </c>
      <c r="B7" s="202">
        <v>6396526.9100000001</v>
      </c>
      <c r="C7" s="202">
        <v>3932728.57</v>
      </c>
      <c r="D7" s="202">
        <v>1771860.17</v>
      </c>
      <c r="E7" s="202">
        <v>8318679.7000000002</v>
      </c>
      <c r="F7" s="202">
        <v>6003756.8099999996</v>
      </c>
      <c r="G7" s="202">
        <v>3780206.84</v>
      </c>
      <c r="H7" s="202">
        <v>1692936.83</v>
      </c>
      <c r="I7" s="202">
        <v>5958238.5899999999</v>
      </c>
      <c r="J7" s="202">
        <v>3300173.98</v>
      </c>
      <c r="K7" s="202">
        <v>2205465.37</v>
      </c>
      <c r="L7" s="202">
        <v>1135096.21</v>
      </c>
      <c r="M7" s="202">
        <v>4122407.5</v>
      </c>
      <c r="N7" s="202">
        <v>3113328.9</v>
      </c>
      <c r="O7" s="202">
        <v>1967574.61</v>
      </c>
      <c r="P7" s="202">
        <v>1063270.46</v>
      </c>
      <c r="Q7" s="202">
        <v>4348578.37</v>
      </c>
      <c r="R7" s="202">
        <v>3287164.73</v>
      </c>
      <c r="S7" s="202">
        <v>2058973.5</v>
      </c>
      <c r="T7" s="202">
        <v>1047306.76</v>
      </c>
      <c r="U7" s="202">
        <v>4524799.68</v>
      </c>
      <c r="V7" s="202">
        <v>4494976.3</v>
      </c>
      <c r="W7" s="202">
        <v>3312357.99</v>
      </c>
      <c r="X7" s="202">
        <v>0</v>
      </c>
    </row>
    <row r="8" spans="1:24">
      <c r="A8" s="202" t="s">
        <v>195</v>
      </c>
      <c r="B8" s="202">
        <v>61704225.079999998</v>
      </c>
      <c r="C8" s="202">
        <v>38850543.530000001</v>
      </c>
      <c r="D8" s="202">
        <v>17195122.920000002</v>
      </c>
      <c r="E8" s="202">
        <v>65588452.350000001</v>
      </c>
      <c r="F8" s="202">
        <v>46938412.619999997</v>
      </c>
      <c r="G8" s="202">
        <v>29280870.300000001</v>
      </c>
      <c r="H8" s="202">
        <v>12944066.800000001</v>
      </c>
      <c r="I8" s="202">
        <v>48950284.439999998</v>
      </c>
      <c r="J8" s="202">
        <v>36486393.840000004</v>
      </c>
      <c r="K8" s="202">
        <v>23795431.43</v>
      </c>
      <c r="L8" s="202">
        <v>11018885.210000001</v>
      </c>
      <c r="M8" s="202">
        <v>50049292.490000002</v>
      </c>
      <c r="N8" s="202">
        <v>36714592.649999999</v>
      </c>
      <c r="O8" s="202">
        <v>22688371.300000001</v>
      </c>
      <c r="P8" s="202">
        <v>11355833.810000001</v>
      </c>
      <c r="Q8" s="202">
        <v>51407274.880000003</v>
      </c>
      <c r="R8" s="202">
        <v>37566300.960000001</v>
      </c>
      <c r="S8" s="202">
        <v>24871663.809999999</v>
      </c>
      <c r="T8" s="202">
        <v>10823435.67</v>
      </c>
      <c r="U8" s="202">
        <v>48126080.049999997</v>
      </c>
      <c r="V8" s="202">
        <v>45606034.82</v>
      </c>
      <c r="W8" s="202">
        <v>40470613.049999997</v>
      </c>
      <c r="X8" s="202">
        <v>0</v>
      </c>
    </row>
    <row r="9" spans="1:24">
      <c r="A9" s="202" t="s">
        <v>196</v>
      </c>
      <c r="B9" s="202">
        <v>38720644.140000001</v>
      </c>
      <c r="C9" s="202">
        <v>37649665.700000003</v>
      </c>
      <c r="D9" s="202">
        <v>16527795.57</v>
      </c>
      <c r="E9" s="202">
        <v>65060980.670000002</v>
      </c>
      <c r="F9" s="202">
        <v>43708203.200000003</v>
      </c>
      <c r="G9" s="202">
        <v>27757611.77</v>
      </c>
      <c r="H9" s="202">
        <v>12221721.539999999</v>
      </c>
      <c r="I9" s="202">
        <v>45174955.509999998</v>
      </c>
      <c r="J9" s="202">
        <v>35137165.850000001</v>
      </c>
      <c r="K9" s="202">
        <v>22446016.440000001</v>
      </c>
      <c r="L9" s="202">
        <v>10588074.439999999</v>
      </c>
      <c r="M9" s="202">
        <v>49597425.009999998</v>
      </c>
      <c r="N9" s="202">
        <v>36534423.670000002</v>
      </c>
      <c r="O9" s="202">
        <v>23742826.359999999</v>
      </c>
      <c r="P9" s="202">
        <v>10972137.42</v>
      </c>
      <c r="Q9" s="202">
        <v>48562243.770000003</v>
      </c>
      <c r="R9" s="202">
        <v>35988044.380000003</v>
      </c>
      <c r="S9" s="202">
        <v>24393897.57</v>
      </c>
      <c r="T9" s="202">
        <v>11016134.869999999</v>
      </c>
      <c r="U9" s="202">
        <v>46207556.340000004</v>
      </c>
      <c r="V9" s="202">
        <v>46619669.869999997</v>
      </c>
      <c r="W9" s="202">
        <v>42287706.340000004</v>
      </c>
      <c r="X9" s="202">
        <v>0</v>
      </c>
    </row>
    <row r="10" spans="1:24">
      <c r="A10" s="202" t="s">
        <v>197</v>
      </c>
      <c r="B10" s="202">
        <v>-7545220.04</v>
      </c>
      <c r="C10" s="202">
        <v>-6589338.3799999999</v>
      </c>
      <c r="D10" s="202">
        <v>-2659583.5099999998</v>
      </c>
      <c r="E10" s="202">
        <v>-3219928.73</v>
      </c>
      <c r="F10" s="202">
        <v>1045399.08</v>
      </c>
      <c r="G10" s="202">
        <v>497793.56</v>
      </c>
      <c r="H10" s="202">
        <v>1457327.65</v>
      </c>
      <c r="I10" s="202">
        <v>-11279057.25</v>
      </c>
      <c r="J10" s="202">
        <v>-8552210.8900000006</v>
      </c>
      <c r="K10" s="202">
        <v>-4797106.5199999996</v>
      </c>
      <c r="L10" s="202">
        <v>-1937344.42</v>
      </c>
      <c r="M10" s="202">
        <v>-5806204.2800000003</v>
      </c>
      <c r="N10" s="202">
        <v>-937677.7</v>
      </c>
      <c r="O10" s="202">
        <v>131332.74</v>
      </c>
      <c r="P10" s="202">
        <v>157343.1</v>
      </c>
      <c r="Q10" s="202">
        <v>1130343.52</v>
      </c>
      <c r="R10" s="202">
        <v>743907.24</v>
      </c>
      <c r="S10" s="202">
        <v>353327.97</v>
      </c>
      <c r="T10" s="202">
        <v>160435.44</v>
      </c>
      <c r="U10" s="202">
        <v>1826085.25</v>
      </c>
      <c r="V10" s="202">
        <v>2438108.71</v>
      </c>
      <c r="W10" s="202">
        <v>17685.169999999998</v>
      </c>
      <c r="X10" s="202">
        <v>0</v>
      </c>
    </row>
    <row r="11" spans="1:24">
      <c r="A11" s="202" t="s">
        <v>198</v>
      </c>
      <c r="B11" s="202">
        <v>4774517.37</v>
      </c>
      <c r="C11" s="202">
        <v>6199825.0099999998</v>
      </c>
      <c r="D11" s="202">
        <v>4134883.75</v>
      </c>
      <c r="E11" s="202">
        <v>6173766.71</v>
      </c>
      <c r="F11" s="202">
        <v>7222624.8300000001</v>
      </c>
      <c r="G11" s="202">
        <v>6591040.4000000004</v>
      </c>
      <c r="H11" s="202">
        <v>4034079.72</v>
      </c>
      <c r="I11" s="202">
        <v>3565087.95</v>
      </c>
      <c r="J11" s="202">
        <v>7750261.1900000004</v>
      </c>
      <c r="K11" s="202">
        <v>4744561.43</v>
      </c>
      <c r="L11" s="202">
        <v>2904630.26</v>
      </c>
      <c r="M11" s="202">
        <v>2270121.9900000002</v>
      </c>
      <c r="N11" s="202">
        <v>6187672.9299999997</v>
      </c>
      <c r="O11" s="202">
        <v>3886437.3</v>
      </c>
      <c r="P11" s="202">
        <v>2528025.8199999998</v>
      </c>
      <c r="Q11" s="202">
        <v>2753668.2</v>
      </c>
      <c r="R11" s="202">
        <v>2954795.51</v>
      </c>
      <c r="S11" s="202">
        <v>2641771.19</v>
      </c>
      <c r="T11" s="202">
        <v>1270000</v>
      </c>
      <c r="U11" s="202">
        <v>2318302.7200000002</v>
      </c>
      <c r="V11" s="202">
        <v>1818325.97</v>
      </c>
      <c r="W11" s="202">
        <v>1550147.89</v>
      </c>
      <c r="X11" s="202">
        <v>0</v>
      </c>
    </row>
    <row r="12" spans="1:24">
      <c r="A12" s="202" t="s">
        <v>199</v>
      </c>
      <c r="B12" s="202">
        <v>0</v>
      </c>
      <c r="C12" s="202">
        <v>0</v>
      </c>
      <c r="D12" s="202">
        <v>0</v>
      </c>
      <c r="E12" s="202">
        <v>-477275</v>
      </c>
      <c r="F12" s="202">
        <v>0</v>
      </c>
      <c r="G12" s="202">
        <v>0</v>
      </c>
      <c r="H12" s="202">
        <v>0</v>
      </c>
      <c r="I12" s="202">
        <v>0</v>
      </c>
      <c r="J12" s="202">
        <v>0</v>
      </c>
      <c r="K12" s="202">
        <v>0</v>
      </c>
      <c r="L12" s="202">
        <v>0</v>
      </c>
      <c r="M12" s="202">
        <v>0</v>
      </c>
      <c r="N12" s="202">
        <v>0</v>
      </c>
      <c r="O12" s="202">
        <v>0</v>
      </c>
      <c r="P12" s="202">
        <v>0</v>
      </c>
      <c r="Q12" s="202">
        <v>0</v>
      </c>
      <c r="R12" s="202">
        <v>0</v>
      </c>
      <c r="S12" s="202">
        <v>0</v>
      </c>
      <c r="T12" s="202">
        <v>0</v>
      </c>
      <c r="U12" s="202">
        <v>0</v>
      </c>
      <c r="V12" s="202">
        <v>0</v>
      </c>
      <c r="W12" s="202">
        <v>0</v>
      </c>
      <c r="X12" s="202">
        <v>0</v>
      </c>
    </row>
    <row r="13" spans="1:24">
      <c r="A13" s="202" t="s">
        <v>200</v>
      </c>
      <c r="B13" s="202">
        <v>351172.6</v>
      </c>
      <c r="C13" s="202">
        <v>119095.89</v>
      </c>
      <c r="D13" s="202">
        <v>119095.89</v>
      </c>
      <c r="E13" s="202">
        <v>453801.37</v>
      </c>
      <c r="F13" s="202">
        <v>242075.34</v>
      </c>
      <c r="G13" s="202">
        <v>242075.34</v>
      </c>
      <c r="H13" s="202">
        <v>152580.82</v>
      </c>
      <c r="I13" s="202">
        <v>954867.12</v>
      </c>
      <c r="J13" s="202">
        <v>880043.83</v>
      </c>
      <c r="K13" s="202">
        <v>573673.97</v>
      </c>
      <c r="L13" s="202">
        <v>336757.54</v>
      </c>
      <c r="M13" s="202">
        <v>476575.34</v>
      </c>
      <c r="N13" s="202">
        <v>91287.67</v>
      </c>
      <c r="O13" s="202">
        <v>0</v>
      </c>
      <c r="P13" s="202">
        <v>0</v>
      </c>
      <c r="Q13" s="202">
        <v>0</v>
      </c>
      <c r="R13" s="202">
        <v>0</v>
      </c>
      <c r="S13" s="202">
        <v>0</v>
      </c>
      <c r="T13" s="202">
        <v>0</v>
      </c>
      <c r="U13" s="202">
        <v>0</v>
      </c>
      <c r="V13" s="202">
        <v>0</v>
      </c>
      <c r="W13" s="202">
        <v>0</v>
      </c>
      <c r="X13" s="202">
        <v>0</v>
      </c>
    </row>
    <row r="14" spans="1:24">
      <c r="A14" s="202" t="s">
        <v>201</v>
      </c>
      <c r="B14" s="202">
        <v>0</v>
      </c>
      <c r="C14" s="202">
        <v>0</v>
      </c>
      <c r="D14" s="202">
        <v>0</v>
      </c>
      <c r="E14" s="202">
        <v>0</v>
      </c>
      <c r="F14" s="202">
        <v>0</v>
      </c>
      <c r="G14" s="202">
        <v>0</v>
      </c>
      <c r="H14" s="202">
        <v>0</v>
      </c>
      <c r="I14" s="202">
        <v>0</v>
      </c>
      <c r="J14" s="202">
        <v>0</v>
      </c>
      <c r="K14" s="202">
        <v>0</v>
      </c>
      <c r="L14" s="202">
        <v>0</v>
      </c>
      <c r="M14" s="202">
        <v>0</v>
      </c>
      <c r="N14" s="202">
        <v>0</v>
      </c>
      <c r="O14" s="202">
        <v>0</v>
      </c>
      <c r="P14" s="202">
        <v>0</v>
      </c>
      <c r="Q14" s="202">
        <v>0</v>
      </c>
      <c r="R14" s="202">
        <v>0</v>
      </c>
      <c r="S14" s="202">
        <v>0</v>
      </c>
      <c r="T14" s="202">
        <v>0</v>
      </c>
      <c r="U14" s="202">
        <v>0</v>
      </c>
      <c r="V14" s="202">
        <v>0</v>
      </c>
      <c r="W14" s="202">
        <v>0</v>
      </c>
      <c r="X14" s="202">
        <v>0</v>
      </c>
    </row>
    <row r="15" spans="1:24">
      <c r="A15" s="202" t="s">
        <v>202</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row>
    <row r="16" spans="1:24">
      <c r="A16" s="202" t="s">
        <v>203</v>
      </c>
      <c r="B16" s="202">
        <v>142644392.62</v>
      </c>
      <c r="C16" s="202">
        <v>85715591.969999999</v>
      </c>
      <c r="D16" s="202">
        <v>36022087.960000001</v>
      </c>
      <c r="E16" s="202">
        <v>143120919.99000001</v>
      </c>
      <c r="F16" s="202">
        <v>93944723.819999993</v>
      </c>
      <c r="G16" s="202">
        <v>52946526.630000003</v>
      </c>
      <c r="H16" s="202">
        <v>20023695.84</v>
      </c>
      <c r="I16" s="202">
        <v>104029981.27</v>
      </c>
      <c r="J16" s="202">
        <v>67440333.680000007</v>
      </c>
      <c r="K16" s="202">
        <v>39800820.43</v>
      </c>
      <c r="L16" s="202">
        <v>17562402.219999999</v>
      </c>
      <c r="M16" s="202">
        <v>87371743.310000002</v>
      </c>
      <c r="N16" s="202">
        <v>56123704.280000001</v>
      </c>
      <c r="O16" s="202">
        <v>33956045.700000003</v>
      </c>
      <c r="P16" s="202">
        <v>17364574.010000002</v>
      </c>
      <c r="Q16" s="202">
        <v>99220859.879999995</v>
      </c>
      <c r="R16" s="202">
        <v>70640739.859999999</v>
      </c>
      <c r="S16" s="202">
        <v>43398721.82</v>
      </c>
      <c r="T16" s="202">
        <v>23132868.870000001</v>
      </c>
      <c r="U16" s="202">
        <v>89578916.579999998</v>
      </c>
      <c r="V16" s="202">
        <v>84173081.049999997</v>
      </c>
      <c r="W16" s="202">
        <v>56432148.5</v>
      </c>
      <c r="X16" s="202">
        <v>0</v>
      </c>
    </row>
    <row r="17" spans="1:24">
      <c r="A17" s="202" t="s">
        <v>204</v>
      </c>
      <c r="B17" s="202">
        <v>537340.87</v>
      </c>
      <c r="C17" s="202">
        <v>531806.22</v>
      </c>
      <c r="D17" s="202">
        <v>0</v>
      </c>
      <c r="E17" s="202">
        <v>686763.08</v>
      </c>
      <c r="F17" s="202">
        <v>386813.21</v>
      </c>
      <c r="G17" s="202">
        <v>229087.89</v>
      </c>
      <c r="H17" s="202">
        <v>510994.29</v>
      </c>
      <c r="I17" s="202">
        <v>10365583.02</v>
      </c>
      <c r="J17" s="202">
        <v>2883564.2</v>
      </c>
      <c r="K17" s="202">
        <v>1937605.68</v>
      </c>
      <c r="L17" s="202">
        <v>1170332.3500000001</v>
      </c>
      <c r="M17" s="202">
        <v>9042939.6400000006</v>
      </c>
      <c r="N17" s="202">
        <v>5189238.05</v>
      </c>
      <c r="O17" s="202">
        <v>4701672.8600000003</v>
      </c>
      <c r="P17" s="202">
        <v>2395280.12</v>
      </c>
      <c r="Q17" s="202">
        <v>5305561.3600000003</v>
      </c>
      <c r="R17" s="202">
        <v>3743834.11</v>
      </c>
      <c r="S17" s="202">
        <v>3682270.14</v>
      </c>
      <c r="T17" s="202">
        <v>347000</v>
      </c>
      <c r="U17" s="202">
        <v>4854119.2300000004</v>
      </c>
      <c r="V17" s="202">
        <v>1711254.6</v>
      </c>
      <c r="W17" s="202">
        <v>1330000</v>
      </c>
      <c r="X17" s="202">
        <v>0</v>
      </c>
    </row>
    <row r="18" spans="1:24">
      <c r="A18" s="202" t="s">
        <v>205</v>
      </c>
      <c r="B18" s="202">
        <v>117970.27</v>
      </c>
      <c r="C18" s="202">
        <v>97035.31</v>
      </c>
      <c r="D18" s="202">
        <v>73934.429999999993</v>
      </c>
      <c r="E18" s="202">
        <v>375829.58</v>
      </c>
      <c r="F18" s="202">
        <v>177364.83</v>
      </c>
      <c r="G18" s="202">
        <v>529.53</v>
      </c>
      <c r="H18" s="202">
        <v>0</v>
      </c>
      <c r="I18" s="202">
        <v>92669.75</v>
      </c>
      <c r="J18" s="202">
        <v>84104.82</v>
      </c>
      <c r="K18" s="202">
        <v>9895</v>
      </c>
      <c r="L18" s="202">
        <v>0</v>
      </c>
      <c r="M18" s="202">
        <v>170356.04</v>
      </c>
      <c r="N18" s="202">
        <v>170356.04</v>
      </c>
      <c r="O18" s="202">
        <v>1746.8</v>
      </c>
      <c r="P18" s="202">
        <v>0</v>
      </c>
      <c r="Q18" s="202">
        <v>117984.95</v>
      </c>
      <c r="R18" s="202">
        <v>1326.95</v>
      </c>
      <c r="S18" s="202">
        <v>1326.95</v>
      </c>
      <c r="T18" s="202">
        <v>0</v>
      </c>
      <c r="U18" s="202">
        <v>145071.12</v>
      </c>
      <c r="V18" s="202">
        <v>446203.88</v>
      </c>
      <c r="W18" s="202">
        <v>613186.25</v>
      </c>
      <c r="X18" s="202">
        <v>0</v>
      </c>
    </row>
    <row r="19" spans="1:24">
      <c r="A19" s="202" t="s">
        <v>206</v>
      </c>
      <c r="B19" s="202">
        <v>0</v>
      </c>
      <c r="C19" s="202">
        <v>0</v>
      </c>
      <c r="D19" s="202">
        <v>0</v>
      </c>
      <c r="E19" s="202">
        <v>0</v>
      </c>
      <c r="F19" s="202">
        <v>0</v>
      </c>
      <c r="G19" s="202">
        <v>0</v>
      </c>
      <c r="H19" s="202">
        <v>0</v>
      </c>
      <c r="I19" s="202">
        <v>14430.45</v>
      </c>
      <c r="J19" s="202">
        <v>9895</v>
      </c>
      <c r="K19" s="202">
        <v>9895</v>
      </c>
      <c r="L19" s="202">
        <v>0</v>
      </c>
      <c r="M19" s="202">
        <v>3253.24</v>
      </c>
      <c r="N19" s="202">
        <v>1590</v>
      </c>
      <c r="O19" s="202">
        <v>1590</v>
      </c>
      <c r="P19" s="202">
        <v>0</v>
      </c>
      <c r="Q19" s="202">
        <v>1326.95</v>
      </c>
      <c r="R19" s="202">
        <v>1326.95</v>
      </c>
      <c r="S19" s="202">
        <v>1326.95</v>
      </c>
      <c r="T19" s="202">
        <v>0</v>
      </c>
      <c r="U19" s="202">
        <v>2078.42</v>
      </c>
      <c r="V19" s="202">
        <v>12422.88</v>
      </c>
      <c r="W19" s="202">
        <v>2216.1</v>
      </c>
      <c r="X19" s="202">
        <v>0</v>
      </c>
    </row>
    <row r="20" spans="1:24">
      <c r="A20" s="202" t="s">
        <v>207</v>
      </c>
      <c r="B20" s="202">
        <v>143063763.22</v>
      </c>
      <c r="C20" s="202">
        <v>86150362.879999995</v>
      </c>
      <c r="D20" s="202">
        <v>35948153.530000001</v>
      </c>
      <c r="E20" s="202">
        <v>143431853.49000001</v>
      </c>
      <c r="F20" s="202">
        <v>94154172.200000003</v>
      </c>
      <c r="G20" s="202">
        <v>53175084.990000002</v>
      </c>
      <c r="H20" s="202">
        <v>20534690.129999999</v>
      </c>
      <c r="I20" s="202">
        <v>114302894.54000001</v>
      </c>
      <c r="J20" s="202">
        <v>70239793.060000002</v>
      </c>
      <c r="K20" s="202">
        <v>41728531.109999999</v>
      </c>
      <c r="L20" s="202">
        <v>18732734.57</v>
      </c>
      <c r="M20" s="202">
        <v>96244326.909999996</v>
      </c>
      <c r="N20" s="202">
        <v>61142586.289999999</v>
      </c>
      <c r="O20" s="202">
        <v>38655971.759999998</v>
      </c>
      <c r="P20" s="202">
        <v>19759854.129999999</v>
      </c>
      <c r="Q20" s="202">
        <v>104408436.29000001</v>
      </c>
      <c r="R20" s="202">
        <v>74383247.019999996</v>
      </c>
      <c r="S20" s="202">
        <v>47079665.009999998</v>
      </c>
      <c r="T20" s="202">
        <v>23479868.870000001</v>
      </c>
      <c r="U20" s="202">
        <v>94287964.689999998</v>
      </c>
      <c r="V20" s="202">
        <v>85438131.769999996</v>
      </c>
      <c r="W20" s="202">
        <v>57148962.25</v>
      </c>
      <c r="X20" s="202">
        <v>0</v>
      </c>
    </row>
    <row r="21" spans="1:24">
      <c r="A21" s="202" t="s">
        <v>208</v>
      </c>
      <c r="B21" s="202">
        <v>19409260.210000001</v>
      </c>
      <c r="C21" s="202">
        <v>12411371.960000001</v>
      </c>
      <c r="D21" s="202">
        <v>5304582.5199999996</v>
      </c>
      <c r="E21" s="202">
        <v>23035228.940000001</v>
      </c>
      <c r="F21" s="202">
        <v>15750960.42</v>
      </c>
      <c r="G21" s="202">
        <v>9487021.5399999991</v>
      </c>
      <c r="H21" s="202">
        <v>3587093.37</v>
      </c>
      <c r="I21" s="202">
        <v>16642613.779999999</v>
      </c>
      <c r="J21" s="202">
        <v>9829980.9700000007</v>
      </c>
      <c r="K21" s="202">
        <v>5594181.3899999997</v>
      </c>
      <c r="L21" s="202">
        <v>2693464.22</v>
      </c>
      <c r="M21" s="202">
        <v>14154921.25</v>
      </c>
      <c r="N21" s="202">
        <v>9167982.4299999997</v>
      </c>
      <c r="O21" s="202">
        <v>5228545.9800000004</v>
      </c>
      <c r="P21" s="202">
        <v>3269181.02</v>
      </c>
      <c r="Q21" s="202">
        <v>15499977.470000001</v>
      </c>
      <c r="R21" s="202">
        <v>10872799.689999999</v>
      </c>
      <c r="S21" s="202">
        <v>7048101.3200000003</v>
      </c>
      <c r="T21" s="202">
        <v>3255965.44</v>
      </c>
      <c r="U21" s="202">
        <v>14020159.83</v>
      </c>
      <c r="V21" s="202">
        <v>12589058.199999999</v>
      </c>
      <c r="W21" s="202">
        <v>8175216.3099999996</v>
      </c>
      <c r="X21" s="202">
        <v>0</v>
      </c>
    </row>
    <row r="22" spans="1:24">
      <c r="A22" s="202" t="s">
        <v>209</v>
      </c>
      <c r="B22" s="202">
        <v>123654503.01000001</v>
      </c>
      <c r="C22" s="202">
        <v>73738990.920000002</v>
      </c>
      <c r="D22" s="202">
        <v>30643571.010000002</v>
      </c>
      <c r="E22" s="202">
        <v>120396624.55</v>
      </c>
      <c r="F22" s="202">
        <v>78403211.780000001</v>
      </c>
      <c r="G22" s="202">
        <v>43688063.450000003</v>
      </c>
      <c r="H22" s="202">
        <v>16947596.760000002</v>
      </c>
      <c r="I22" s="202">
        <v>97660280.760000005</v>
      </c>
      <c r="J22" s="202">
        <v>60409812.090000004</v>
      </c>
      <c r="K22" s="202">
        <v>36134349.719999999</v>
      </c>
      <c r="L22" s="202">
        <v>16039270.35</v>
      </c>
      <c r="M22" s="202">
        <v>82089405.659999996</v>
      </c>
      <c r="N22" s="202">
        <v>51974603.859999999</v>
      </c>
      <c r="O22" s="202">
        <v>33427425.780000001</v>
      </c>
      <c r="P22" s="202">
        <v>16490673.109999999</v>
      </c>
      <c r="Q22" s="202">
        <v>88908458.819999993</v>
      </c>
      <c r="R22" s="202">
        <v>63510447.329999998</v>
      </c>
      <c r="S22" s="202">
        <v>40031563.689999998</v>
      </c>
      <c r="T22" s="202">
        <v>20223903.43</v>
      </c>
      <c r="U22" s="202">
        <v>80267804.859999999</v>
      </c>
      <c r="V22" s="202">
        <v>72849073.569999993</v>
      </c>
      <c r="W22" s="202">
        <v>48973745.939999998</v>
      </c>
      <c r="X22" s="202">
        <v>0</v>
      </c>
    </row>
    <row r="23" spans="1:24">
      <c r="A23" s="202" t="s">
        <v>210</v>
      </c>
      <c r="B23" s="202">
        <v>123535658.93000001</v>
      </c>
      <c r="C23" s="202">
        <v>73757759.25</v>
      </c>
      <c r="D23" s="202">
        <v>30658228.809999999</v>
      </c>
      <c r="E23" s="202">
        <v>120044787.28</v>
      </c>
      <c r="F23" s="202">
        <v>78204166.459999993</v>
      </c>
      <c r="G23" s="202">
        <v>43701350.109999999</v>
      </c>
      <c r="H23" s="202">
        <v>17020036.739999998</v>
      </c>
      <c r="I23" s="202">
        <v>97755642.409999996</v>
      </c>
      <c r="J23" s="202">
        <v>60409812.090000004</v>
      </c>
      <c r="K23" s="202">
        <v>36134349.719999999</v>
      </c>
      <c r="L23" s="202">
        <v>16039270.35</v>
      </c>
      <c r="M23" s="202">
        <v>82089405.659999996</v>
      </c>
      <c r="N23" s="202">
        <v>51974603.859999999</v>
      </c>
      <c r="O23" s="202">
        <v>33427425.780000001</v>
      </c>
      <c r="P23" s="202">
        <v>16490673.109999999</v>
      </c>
      <c r="Q23" s="202">
        <v>88908458.819999993</v>
      </c>
      <c r="R23" s="202">
        <v>63510447.329999998</v>
      </c>
      <c r="S23" s="202">
        <v>40031563.689999998</v>
      </c>
      <c r="T23" s="202">
        <v>20223903.43</v>
      </c>
      <c r="U23" s="202">
        <v>80267804.859999999</v>
      </c>
      <c r="V23" s="202">
        <v>72849073.569999993</v>
      </c>
      <c r="W23" s="202">
        <v>48973745.939999998</v>
      </c>
      <c r="X23" s="202">
        <v>0</v>
      </c>
    </row>
    <row r="24" spans="1:24">
      <c r="A24" s="202" t="s">
        <v>211</v>
      </c>
      <c r="B24" s="202">
        <v>118844.08</v>
      </c>
      <c r="C24" s="202">
        <v>-18768.330000000002</v>
      </c>
      <c r="D24" s="202">
        <v>-14657.8</v>
      </c>
      <c r="E24" s="202">
        <v>351837.27</v>
      </c>
      <c r="F24" s="202">
        <v>199045.32</v>
      </c>
      <c r="G24" s="202">
        <v>-13286.66</v>
      </c>
      <c r="H24" s="202">
        <v>-72439.98</v>
      </c>
      <c r="I24" s="202">
        <v>-95361.65</v>
      </c>
      <c r="J24" s="202">
        <v>0</v>
      </c>
      <c r="K24" s="202">
        <v>0</v>
      </c>
      <c r="L24" s="202">
        <v>0</v>
      </c>
      <c r="M24" s="202">
        <v>0</v>
      </c>
      <c r="N24" s="202">
        <v>0</v>
      </c>
      <c r="O24" s="202">
        <v>0</v>
      </c>
      <c r="P24" s="202">
        <v>0</v>
      </c>
      <c r="Q24" s="202">
        <v>0</v>
      </c>
      <c r="R24" s="202">
        <v>0</v>
      </c>
      <c r="S24" s="202">
        <v>0</v>
      </c>
      <c r="T24" s="202">
        <v>0</v>
      </c>
      <c r="U24" s="202">
        <v>0</v>
      </c>
      <c r="V24" s="202">
        <v>0</v>
      </c>
      <c r="W24" s="202">
        <v>0</v>
      </c>
      <c r="X24" s="202">
        <v>0</v>
      </c>
    </row>
    <row r="25" spans="1:24">
      <c r="A25" s="202" t="s">
        <v>212</v>
      </c>
    </row>
    <row r="26" spans="1:24">
      <c r="A26" s="202" t="s">
        <v>213</v>
      </c>
      <c r="B26" s="202">
        <v>0.64329999999999998</v>
      </c>
      <c r="C26" s="202">
        <v>0.69140000000000001</v>
      </c>
      <c r="D26" s="202">
        <v>0.28999999999999998</v>
      </c>
      <c r="E26" s="202">
        <v>1.1299999999999999</v>
      </c>
      <c r="F26" s="202">
        <v>0.73309999999999997</v>
      </c>
      <c r="G26" s="202">
        <v>0.40960000000000002</v>
      </c>
      <c r="H26" s="202">
        <v>0.16</v>
      </c>
      <c r="I26" s="202">
        <v>0.92</v>
      </c>
      <c r="J26" s="202">
        <v>0.56630000000000003</v>
      </c>
      <c r="K26" s="202">
        <v>0.68</v>
      </c>
      <c r="L26" s="202">
        <v>0.3</v>
      </c>
      <c r="M26" s="202">
        <v>1.76</v>
      </c>
      <c r="N26" s="202">
        <v>1.17</v>
      </c>
      <c r="O26" s="202">
        <v>0.84</v>
      </c>
      <c r="P26" s="202">
        <v>0.41</v>
      </c>
      <c r="Q26" s="202">
        <v>2.2200000000000002</v>
      </c>
      <c r="R26" s="202">
        <v>1.59</v>
      </c>
      <c r="S26" s="202">
        <v>1</v>
      </c>
      <c r="T26" s="202">
        <v>0.51</v>
      </c>
      <c r="U26" s="202">
        <v>2.0099999999999998</v>
      </c>
      <c r="V26" s="202">
        <v>1.82</v>
      </c>
      <c r="W26" s="202">
        <v>1.22</v>
      </c>
      <c r="X26" s="202">
        <v>0</v>
      </c>
    </row>
    <row r="27" spans="1:24">
      <c r="A27" s="202" t="s">
        <v>214</v>
      </c>
      <c r="B27" s="202">
        <v>0.64329999999999998</v>
      </c>
      <c r="C27" s="202">
        <v>0.69140000000000001</v>
      </c>
      <c r="D27" s="202">
        <v>0.28999999999999998</v>
      </c>
      <c r="E27" s="202">
        <v>1.1299999999999999</v>
      </c>
      <c r="F27" s="202">
        <v>0.73309999999999997</v>
      </c>
      <c r="G27" s="202">
        <v>0.40960000000000002</v>
      </c>
      <c r="H27" s="202">
        <v>0.16</v>
      </c>
      <c r="I27" s="202">
        <v>0.92</v>
      </c>
      <c r="J27" s="202">
        <v>0.56630000000000003</v>
      </c>
      <c r="K27" s="202">
        <v>0.68</v>
      </c>
      <c r="L27" s="202">
        <v>0.3</v>
      </c>
      <c r="M27" s="202">
        <v>1.76</v>
      </c>
      <c r="N27" s="202">
        <v>1.17</v>
      </c>
      <c r="O27" s="202">
        <v>0.84</v>
      </c>
      <c r="P27" s="202">
        <v>0.41</v>
      </c>
      <c r="Q27" s="202">
        <v>2.2200000000000002</v>
      </c>
      <c r="R27" s="202">
        <v>1.59</v>
      </c>
      <c r="S27" s="202">
        <v>1</v>
      </c>
      <c r="T27" s="202">
        <v>0.51</v>
      </c>
      <c r="U27" s="202">
        <v>2.0099999999999998</v>
      </c>
      <c r="V27" s="202">
        <v>1.82</v>
      </c>
      <c r="W27" s="202">
        <v>1.22</v>
      </c>
      <c r="X27" s="202">
        <v>0</v>
      </c>
    </row>
    <row r="28" spans="1:24">
      <c r="A28" s="202" t="s">
        <v>215</v>
      </c>
      <c r="B28" s="202">
        <v>0</v>
      </c>
      <c r="C28" s="202">
        <v>0</v>
      </c>
      <c r="D28" s="202">
        <v>0</v>
      </c>
      <c r="E28" s="202">
        <v>0</v>
      </c>
      <c r="F28" s="202">
        <v>0</v>
      </c>
      <c r="G28" s="202">
        <v>0</v>
      </c>
      <c r="H28" s="202">
        <v>0</v>
      </c>
      <c r="I28" s="202">
        <v>0</v>
      </c>
      <c r="J28" s="202">
        <v>0</v>
      </c>
      <c r="K28" s="202">
        <v>0</v>
      </c>
      <c r="L28" s="202">
        <v>0</v>
      </c>
      <c r="M28" s="202">
        <v>0</v>
      </c>
      <c r="N28" s="202">
        <v>0</v>
      </c>
      <c r="O28" s="202">
        <v>0</v>
      </c>
      <c r="P28" s="202">
        <v>0</v>
      </c>
      <c r="Q28" s="202">
        <v>0</v>
      </c>
      <c r="R28" s="202">
        <v>0</v>
      </c>
      <c r="S28" s="202">
        <v>0</v>
      </c>
      <c r="T28" s="202">
        <v>0</v>
      </c>
      <c r="U28" s="202">
        <v>0</v>
      </c>
      <c r="V28" s="202">
        <v>0</v>
      </c>
      <c r="W28" s="202">
        <v>0</v>
      </c>
      <c r="X28" s="202">
        <v>0</v>
      </c>
    </row>
    <row r="29" spans="1:24">
      <c r="A29" s="202" t="s">
        <v>216</v>
      </c>
      <c r="B29" s="202">
        <v>123654503.01000001</v>
      </c>
      <c r="C29" s="202">
        <v>73738990.920000002</v>
      </c>
      <c r="D29" s="202">
        <v>30643571.010000002</v>
      </c>
      <c r="E29" s="202">
        <v>120396624.55</v>
      </c>
      <c r="F29" s="202">
        <v>78403211.780000001</v>
      </c>
      <c r="G29" s="202">
        <v>43688063.450000003</v>
      </c>
      <c r="H29" s="202">
        <v>16947596.760000002</v>
      </c>
      <c r="I29" s="202">
        <v>97660280.760000005</v>
      </c>
      <c r="J29" s="202">
        <v>60409812.090000004</v>
      </c>
      <c r="K29" s="202">
        <v>36134349.719999999</v>
      </c>
      <c r="L29" s="202">
        <v>16039270.35</v>
      </c>
      <c r="M29" s="202">
        <v>82089405.659999996</v>
      </c>
      <c r="N29" s="202">
        <v>51974603.859999999</v>
      </c>
      <c r="O29" s="202">
        <v>33427425.780000001</v>
      </c>
      <c r="P29" s="202">
        <v>16490673.109999999</v>
      </c>
      <c r="Q29" s="202">
        <v>88908458.819999993</v>
      </c>
      <c r="R29" s="202">
        <v>63510447.329999998</v>
      </c>
      <c r="S29" s="202">
        <v>40031563.689999998</v>
      </c>
      <c r="T29" s="202">
        <v>20223903.43</v>
      </c>
      <c r="U29" s="202">
        <v>80267804.859999999</v>
      </c>
      <c r="V29" s="202">
        <v>72849073.569999993</v>
      </c>
      <c r="W29" s="202">
        <v>48973745.939999998</v>
      </c>
      <c r="X29" s="202">
        <v>0</v>
      </c>
    </row>
    <row r="30" spans="1:24">
      <c r="A30" s="202" t="s">
        <v>217</v>
      </c>
      <c r="B30" s="202">
        <v>123535658.93000001</v>
      </c>
      <c r="C30" s="202">
        <v>73757759.25</v>
      </c>
      <c r="D30" s="202">
        <v>30658228.809999999</v>
      </c>
      <c r="E30" s="202">
        <v>120044787.28</v>
      </c>
      <c r="F30" s="202">
        <v>78204166.459999993</v>
      </c>
      <c r="G30" s="202">
        <v>43701350.109999999</v>
      </c>
      <c r="H30" s="202">
        <v>17020036.739999998</v>
      </c>
      <c r="I30" s="202">
        <v>97755642.409999996</v>
      </c>
      <c r="J30" s="202">
        <v>60409812.090000004</v>
      </c>
      <c r="K30" s="202">
        <v>36134349.719999999</v>
      </c>
      <c r="L30" s="202">
        <v>16039270.35</v>
      </c>
      <c r="M30" s="202">
        <v>82089405.659999996</v>
      </c>
      <c r="N30" s="202">
        <v>51974603.859999999</v>
      </c>
      <c r="O30" s="202">
        <v>33427425.780000001</v>
      </c>
      <c r="P30" s="202">
        <v>16490673.109999999</v>
      </c>
      <c r="Q30" s="202">
        <v>88908458.819999993</v>
      </c>
      <c r="R30" s="202">
        <v>63510447.329999998</v>
      </c>
      <c r="S30" s="202">
        <v>40031563.689999998</v>
      </c>
      <c r="T30" s="202">
        <v>20223903.43</v>
      </c>
      <c r="U30" s="202">
        <v>80267804.859999999</v>
      </c>
      <c r="V30" s="202">
        <v>72849073.569999993</v>
      </c>
      <c r="W30" s="202">
        <v>48973745.939999998</v>
      </c>
      <c r="X30" s="202">
        <v>0</v>
      </c>
    </row>
    <row r="31" spans="1:24">
      <c r="A31" s="202" t="s">
        <v>218</v>
      </c>
      <c r="B31" s="202">
        <v>118844.08</v>
      </c>
      <c r="C31" s="202">
        <v>-18768.330000000002</v>
      </c>
      <c r="D31" s="202">
        <v>-14657.8</v>
      </c>
      <c r="E31" s="202">
        <v>351837.27</v>
      </c>
      <c r="F31" s="202">
        <v>199045.32</v>
      </c>
      <c r="G31" s="202">
        <v>-13286.66</v>
      </c>
      <c r="H31" s="202">
        <v>-72439.98</v>
      </c>
      <c r="I31" s="202">
        <v>-95361.65</v>
      </c>
      <c r="J31" s="202">
        <v>0</v>
      </c>
      <c r="K31" s="202">
        <v>0</v>
      </c>
      <c r="L31" s="202">
        <v>0</v>
      </c>
      <c r="M31" s="202">
        <v>0</v>
      </c>
      <c r="N31" s="202">
        <v>0</v>
      </c>
      <c r="O31" s="202">
        <v>0</v>
      </c>
      <c r="P31" s="202">
        <v>0</v>
      </c>
      <c r="Q31" s="202">
        <v>0</v>
      </c>
      <c r="R31" s="202">
        <v>0</v>
      </c>
      <c r="S31" s="202">
        <v>0</v>
      </c>
      <c r="T31" s="202">
        <v>0</v>
      </c>
      <c r="U31" s="202">
        <v>0</v>
      </c>
      <c r="V31" s="202">
        <v>0</v>
      </c>
      <c r="W31" s="202">
        <v>0</v>
      </c>
      <c r="X31" s="202">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X77"/>
  <sheetViews>
    <sheetView workbookViewId="0">
      <selection activeCell="A31" sqref="A31"/>
    </sheetView>
  </sheetViews>
  <sheetFormatPr defaultRowHeight="13.5"/>
  <cols>
    <col min="1" max="1" width="54.625" style="202" bestFit="1" customWidth="1"/>
    <col min="2" max="4" width="13.875" style="202" hidden="1" customWidth="1"/>
    <col min="5" max="5" width="13.875" style="202" bestFit="1" customWidth="1"/>
    <col min="6" max="7" width="13.875" style="202" hidden="1" customWidth="1"/>
    <col min="8" max="8" width="12.75" style="202" hidden="1" customWidth="1"/>
    <col min="9" max="9" width="13.875" style="202" bestFit="1" customWidth="1"/>
    <col min="10" max="11" width="13.875" style="202" hidden="1" customWidth="1"/>
    <col min="12" max="12" width="12.75" style="202" hidden="1" customWidth="1"/>
    <col min="13" max="13" width="13.875" style="202" bestFit="1" customWidth="1"/>
    <col min="14" max="16" width="13.875" style="202" hidden="1" customWidth="1"/>
    <col min="17" max="17" width="13.875" style="202" bestFit="1" customWidth="1"/>
    <col min="18" max="19" width="12.75" style="202" hidden="1" customWidth="1"/>
    <col min="20" max="20" width="13.875" style="202" hidden="1" customWidth="1"/>
    <col min="21" max="23" width="13.875" style="202" bestFit="1" customWidth="1"/>
    <col min="24" max="24" width="9.5" style="202" hidden="1" customWidth="1"/>
    <col min="25" max="16384" width="9" style="202"/>
  </cols>
  <sheetData>
    <row r="1" spans="1:24">
      <c r="A1" s="202">
        <v>300470</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20121231</v>
      </c>
      <c r="W1" s="202">
        <v>20111231</v>
      </c>
      <c r="X1" s="202">
        <v>19700101</v>
      </c>
    </row>
    <row r="2" spans="1:24">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row>
    <row r="3" spans="1:24">
      <c r="A3" s="202" t="s">
        <v>219</v>
      </c>
    </row>
    <row r="4" spans="1:24">
      <c r="A4" s="202" t="s">
        <v>220</v>
      </c>
      <c r="B4" s="202">
        <v>259765381.38999999</v>
      </c>
      <c r="C4" s="202">
        <v>157849735.99000001</v>
      </c>
      <c r="D4" s="202">
        <v>69790636.670000002</v>
      </c>
      <c r="E4" s="202">
        <v>330663802.33999997</v>
      </c>
      <c r="F4" s="202">
        <v>213672704.11000001</v>
      </c>
      <c r="G4" s="202">
        <v>127926039.33</v>
      </c>
      <c r="H4" s="202">
        <v>61003874.939999998</v>
      </c>
      <c r="I4" s="202">
        <v>249633546.12</v>
      </c>
      <c r="J4" s="202">
        <v>158399231.25</v>
      </c>
      <c r="K4" s="202">
        <v>111581631.38</v>
      </c>
      <c r="L4" s="202">
        <v>42245632.170000002</v>
      </c>
      <c r="M4" s="202">
        <v>203813689.06999999</v>
      </c>
      <c r="N4" s="202">
        <v>129627500.56999999</v>
      </c>
      <c r="O4" s="202">
        <v>90935866</v>
      </c>
      <c r="P4" s="202">
        <v>46572994.350000001</v>
      </c>
      <c r="Q4" s="202">
        <v>238730113.52000001</v>
      </c>
      <c r="R4" s="202">
        <v>161729627.22999999</v>
      </c>
      <c r="S4" s="202">
        <v>104873361.88</v>
      </c>
      <c r="T4" s="202">
        <v>39743913.130000003</v>
      </c>
      <c r="U4" s="202">
        <v>226389504.93000001</v>
      </c>
      <c r="V4" s="202">
        <v>205328063.47999999</v>
      </c>
      <c r="W4" s="202">
        <v>155520434.87</v>
      </c>
      <c r="X4" s="202">
        <v>0</v>
      </c>
    </row>
    <row r="5" spans="1:24">
      <c r="A5" s="202" t="s">
        <v>221</v>
      </c>
      <c r="B5" s="202">
        <v>3409.33</v>
      </c>
      <c r="C5" s="202">
        <v>3409.33</v>
      </c>
      <c r="D5" s="202">
        <v>0</v>
      </c>
      <c r="E5" s="202">
        <v>0</v>
      </c>
      <c r="F5" s="202">
        <v>0</v>
      </c>
      <c r="G5" s="202">
        <v>0</v>
      </c>
      <c r="H5" s="202">
        <v>0</v>
      </c>
      <c r="I5" s="202">
        <v>0</v>
      </c>
      <c r="J5" s="202">
        <v>0</v>
      </c>
      <c r="K5" s="202">
        <v>0</v>
      </c>
      <c r="L5" s="202">
        <v>0</v>
      </c>
      <c r="M5" s="202">
        <v>0</v>
      </c>
      <c r="N5" s="202">
        <v>0</v>
      </c>
      <c r="O5" s="202">
        <v>0</v>
      </c>
      <c r="P5" s="202">
        <v>0</v>
      </c>
      <c r="Q5" s="202">
        <v>0</v>
      </c>
      <c r="R5" s="202">
        <v>0</v>
      </c>
      <c r="S5" s="202">
        <v>0</v>
      </c>
      <c r="T5" s="202">
        <v>0</v>
      </c>
      <c r="U5" s="202">
        <v>537.4</v>
      </c>
      <c r="V5" s="202">
        <v>0</v>
      </c>
      <c r="W5" s="202">
        <v>0</v>
      </c>
      <c r="X5" s="202">
        <v>0</v>
      </c>
    </row>
    <row r="6" spans="1:24">
      <c r="A6" s="202" t="s">
        <v>222</v>
      </c>
      <c r="B6" s="202">
        <v>10796979.58</v>
      </c>
      <c r="C6" s="202">
        <v>7492167.6600000001</v>
      </c>
      <c r="D6" s="202">
        <v>3296318.15</v>
      </c>
      <c r="E6" s="202">
        <v>16524298.67</v>
      </c>
      <c r="F6" s="202">
        <v>8950495.0600000005</v>
      </c>
      <c r="G6" s="202">
        <v>5270947.66</v>
      </c>
      <c r="H6" s="202">
        <v>1551863.48</v>
      </c>
      <c r="I6" s="202">
        <v>19571771.530000001</v>
      </c>
      <c r="J6" s="202">
        <v>9608489.8499999996</v>
      </c>
      <c r="K6" s="202">
        <v>5402286.7300000004</v>
      </c>
      <c r="L6" s="202">
        <v>1328894.71</v>
      </c>
      <c r="M6" s="202">
        <v>18249914.449999999</v>
      </c>
      <c r="N6" s="202">
        <v>5079440.9800000004</v>
      </c>
      <c r="O6" s="202">
        <v>3042496.14</v>
      </c>
      <c r="P6" s="202">
        <v>2122553.9700000002</v>
      </c>
      <c r="Q6" s="202">
        <v>7155459.29</v>
      </c>
      <c r="R6" s="202">
        <v>1119096.21</v>
      </c>
      <c r="S6" s="202">
        <v>7838776.9800000004</v>
      </c>
      <c r="T6" s="202">
        <v>663710.78</v>
      </c>
      <c r="U6" s="202">
        <v>9450639.0199999996</v>
      </c>
      <c r="V6" s="202">
        <v>6871947.7699999996</v>
      </c>
      <c r="W6" s="202">
        <v>2458679.79</v>
      </c>
      <c r="X6" s="202">
        <v>0</v>
      </c>
    </row>
    <row r="7" spans="1:24">
      <c r="A7" s="202" t="s">
        <v>223</v>
      </c>
      <c r="B7" s="202">
        <v>270565770.30000001</v>
      </c>
      <c r="C7" s="202">
        <v>165345312.97999999</v>
      </c>
      <c r="D7" s="202">
        <v>73086954.819999993</v>
      </c>
      <c r="E7" s="202">
        <v>347188101.00999999</v>
      </c>
      <c r="F7" s="202">
        <v>222623199.16999999</v>
      </c>
      <c r="G7" s="202">
        <v>133196986.98999999</v>
      </c>
      <c r="H7" s="202">
        <v>62555738.420000002</v>
      </c>
      <c r="I7" s="202">
        <v>269205317.64999998</v>
      </c>
      <c r="J7" s="202">
        <v>168007721.09999999</v>
      </c>
      <c r="K7" s="202">
        <v>116983918.11</v>
      </c>
      <c r="L7" s="202">
        <v>43574526.880000003</v>
      </c>
      <c r="M7" s="202">
        <v>222063603.52000001</v>
      </c>
      <c r="N7" s="202">
        <v>134706941.55000001</v>
      </c>
      <c r="O7" s="202">
        <v>93978362.140000001</v>
      </c>
      <c r="P7" s="202">
        <v>48695548.32</v>
      </c>
      <c r="Q7" s="202">
        <v>245885572.81</v>
      </c>
      <c r="R7" s="202">
        <v>162848723.44</v>
      </c>
      <c r="S7" s="202">
        <v>112712138.86</v>
      </c>
      <c r="T7" s="202">
        <v>40407623.909999996</v>
      </c>
      <c r="U7" s="202">
        <v>235840681.34999999</v>
      </c>
      <c r="V7" s="202">
        <v>212200011.25</v>
      </c>
      <c r="W7" s="202">
        <v>157979114.66</v>
      </c>
      <c r="X7" s="202">
        <v>0</v>
      </c>
    </row>
    <row r="8" spans="1:24">
      <c r="A8" s="202" t="s">
        <v>224</v>
      </c>
      <c r="B8" s="202">
        <v>46186572.259999998</v>
      </c>
      <c r="C8" s="202">
        <v>28955987.559999999</v>
      </c>
      <c r="D8" s="202">
        <v>19869828.93</v>
      </c>
      <c r="E8" s="202">
        <v>44519322.18</v>
      </c>
      <c r="F8" s="202">
        <v>38693285.450000003</v>
      </c>
      <c r="G8" s="202">
        <v>13916188.390000001</v>
      </c>
      <c r="H8" s="202">
        <v>10887684.18</v>
      </c>
      <c r="I8" s="202">
        <v>24171510.760000002</v>
      </c>
      <c r="J8" s="202">
        <v>16339912.42</v>
      </c>
      <c r="K8" s="202">
        <v>11747041.1</v>
      </c>
      <c r="L8" s="202">
        <v>6310055.2000000002</v>
      </c>
      <c r="M8" s="202">
        <v>24414302.350000001</v>
      </c>
      <c r="N8" s="202">
        <v>16663563.34</v>
      </c>
      <c r="O8" s="202">
        <v>10359265.210000001</v>
      </c>
      <c r="P8" s="202">
        <v>4245077.54</v>
      </c>
      <c r="Q8" s="202">
        <v>27000002.190000001</v>
      </c>
      <c r="R8" s="202">
        <v>19351191.98</v>
      </c>
      <c r="S8" s="202">
        <v>10688389.050000001</v>
      </c>
      <c r="T8" s="202">
        <v>2793023.05</v>
      </c>
      <c r="U8" s="202">
        <v>31521754.690000001</v>
      </c>
      <c r="V8" s="202">
        <v>26603903.449999999</v>
      </c>
      <c r="W8" s="202">
        <v>11388802.48</v>
      </c>
      <c r="X8" s="202">
        <v>0</v>
      </c>
    </row>
    <row r="9" spans="1:24">
      <c r="A9" s="202" t="s">
        <v>225</v>
      </c>
      <c r="B9" s="202">
        <v>102786687.51000001</v>
      </c>
      <c r="C9" s="202">
        <v>60592875.159999996</v>
      </c>
      <c r="D9" s="202">
        <v>31918389.710000001</v>
      </c>
      <c r="E9" s="202">
        <v>113781448.29000001</v>
      </c>
      <c r="F9" s="202">
        <v>67831184.189999998</v>
      </c>
      <c r="G9" s="202">
        <v>46260785.609999999</v>
      </c>
      <c r="H9" s="202">
        <v>24502787.760000002</v>
      </c>
      <c r="I9" s="202">
        <v>85704584.010000005</v>
      </c>
      <c r="J9" s="202">
        <v>56808244.43</v>
      </c>
      <c r="K9" s="202">
        <v>40063389.299999997</v>
      </c>
      <c r="L9" s="202">
        <v>21269483.210000001</v>
      </c>
      <c r="M9" s="202">
        <v>84976611</v>
      </c>
      <c r="N9" s="202">
        <v>57823270.640000001</v>
      </c>
      <c r="O9" s="202">
        <v>40624701.670000002</v>
      </c>
      <c r="P9" s="202">
        <v>24001699.440000001</v>
      </c>
      <c r="Q9" s="202">
        <v>94105038.849999994</v>
      </c>
      <c r="R9" s="202">
        <v>60124018.25</v>
      </c>
      <c r="S9" s="202">
        <v>41967406.869999997</v>
      </c>
      <c r="T9" s="202">
        <v>16754670.189999999</v>
      </c>
      <c r="U9" s="202">
        <v>82315277.349999994</v>
      </c>
      <c r="V9" s="202">
        <v>70584052.189999998</v>
      </c>
      <c r="W9" s="202">
        <v>55008309.920000002</v>
      </c>
      <c r="X9" s="202">
        <v>0</v>
      </c>
    </row>
    <row r="10" spans="1:24">
      <c r="A10" s="202" t="s">
        <v>226</v>
      </c>
      <c r="B10" s="202">
        <v>62824917.170000002</v>
      </c>
      <c r="C10" s="202">
        <v>43638611.659999996</v>
      </c>
      <c r="D10" s="202">
        <v>16358572.369999999</v>
      </c>
      <c r="E10" s="202">
        <v>75553487.700000003</v>
      </c>
      <c r="F10" s="202">
        <v>50414427.140000001</v>
      </c>
      <c r="G10" s="202">
        <v>35121134.5</v>
      </c>
      <c r="H10" s="202">
        <v>13975148.039999999</v>
      </c>
      <c r="I10" s="202">
        <v>56215179.719999999</v>
      </c>
      <c r="J10" s="202">
        <v>38851611.189999998</v>
      </c>
      <c r="K10" s="202">
        <v>26777629.210000001</v>
      </c>
      <c r="L10" s="202">
        <v>10678556.92</v>
      </c>
      <c r="M10" s="202">
        <v>55532153.840000004</v>
      </c>
      <c r="N10" s="202">
        <v>39728440.549999997</v>
      </c>
      <c r="O10" s="202">
        <v>25837593.550000001</v>
      </c>
      <c r="P10" s="202">
        <v>11758010.390000001</v>
      </c>
      <c r="Q10" s="202">
        <v>57784581.229999997</v>
      </c>
      <c r="R10" s="202">
        <v>42247100.100000001</v>
      </c>
      <c r="S10" s="202">
        <v>31567306.190000001</v>
      </c>
      <c r="T10" s="202">
        <v>13029103.32</v>
      </c>
      <c r="U10" s="202">
        <v>57354729.659999996</v>
      </c>
      <c r="V10" s="202">
        <v>49684814.630000003</v>
      </c>
      <c r="W10" s="202">
        <v>36273641.979999997</v>
      </c>
      <c r="X10" s="202">
        <v>0</v>
      </c>
    </row>
    <row r="11" spans="1:24">
      <c r="A11" s="202" t="s">
        <v>227</v>
      </c>
      <c r="B11" s="202">
        <v>34767927.920000002</v>
      </c>
      <c r="C11" s="202">
        <v>22080686.030000001</v>
      </c>
      <c r="D11" s="202">
        <v>10438855.92</v>
      </c>
      <c r="E11" s="202">
        <v>41131127.869999997</v>
      </c>
      <c r="F11" s="202">
        <v>33138040.699999999</v>
      </c>
      <c r="G11" s="202">
        <v>18645092.289999999</v>
      </c>
      <c r="H11" s="202">
        <v>9873994.5999999996</v>
      </c>
      <c r="I11" s="202">
        <v>33152581.969999999</v>
      </c>
      <c r="J11" s="202">
        <v>20715081.670000002</v>
      </c>
      <c r="K11" s="202">
        <v>14991752.02</v>
      </c>
      <c r="L11" s="202">
        <v>6320090.4800000004</v>
      </c>
      <c r="M11" s="202">
        <v>31854485.449999999</v>
      </c>
      <c r="N11" s="202">
        <v>21482529.559999999</v>
      </c>
      <c r="O11" s="202">
        <v>12585626.810000001</v>
      </c>
      <c r="P11" s="202">
        <v>3510876.33</v>
      </c>
      <c r="Q11" s="202">
        <v>28460690.629999999</v>
      </c>
      <c r="R11" s="202">
        <v>17499895.77</v>
      </c>
      <c r="S11" s="202">
        <v>14530837.609999999</v>
      </c>
      <c r="T11" s="202">
        <v>2917173.7</v>
      </c>
      <c r="U11" s="202">
        <v>29397735.039999999</v>
      </c>
      <c r="V11" s="202">
        <v>32871544.18</v>
      </c>
      <c r="W11" s="202">
        <v>44879566.240000002</v>
      </c>
      <c r="X11" s="202">
        <v>0</v>
      </c>
    </row>
    <row r="12" spans="1:24">
      <c r="A12" s="202" t="s">
        <v>228</v>
      </c>
      <c r="B12" s="202">
        <v>246566104.86000001</v>
      </c>
      <c r="C12" s="202">
        <v>155268160.41</v>
      </c>
      <c r="D12" s="202">
        <v>78585646.930000007</v>
      </c>
      <c r="E12" s="202">
        <v>274985386.04000002</v>
      </c>
      <c r="F12" s="202">
        <v>190076937.47999999</v>
      </c>
      <c r="G12" s="202">
        <v>113943200.79000001</v>
      </c>
      <c r="H12" s="202">
        <v>59239614.579999998</v>
      </c>
      <c r="I12" s="202">
        <v>199243856.46000001</v>
      </c>
      <c r="J12" s="202">
        <v>132714849.70999999</v>
      </c>
      <c r="K12" s="202">
        <v>93579811.629999995</v>
      </c>
      <c r="L12" s="202">
        <v>44578185.810000002</v>
      </c>
      <c r="M12" s="202">
        <v>196777552.63999999</v>
      </c>
      <c r="N12" s="202">
        <v>135697804.09</v>
      </c>
      <c r="O12" s="202">
        <v>89407187.239999995</v>
      </c>
      <c r="P12" s="202">
        <v>43515663.700000003</v>
      </c>
      <c r="Q12" s="202">
        <v>207350312.90000001</v>
      </c>
      <c r="R12" s="202">
        <v>139222206.09999999</v>
      </c>
      <c r="S12" s="202">
        <v>98753939.719999999</v>
      </c>
      <c r="T12" s="202">
        <v>35493970.259999998</v>
      </c>
      <c r="U12" s="202">
        <v>200589496.74000001</v>
      </c>
      <c r="V12" s="202">
        <v>179744314.44999999</v>
      </c>
      <c r="W12" s="202">
        <v>147550320.62</v>
      </c>
      <c r="X12" s="202">
        <v>0</v>
      </c>
    </row>
    <row r="13" spans="1:24">
      <c r="A13" s="202" t="s">
        <v>229</v>
      </c>
      <c r="B13" s="202">
        <v>23999665.440000001</v>
      </c>
      <c r="C13" s="202">
        <v>10077152.57</v>
      </c>
      <c r="D13" s="202">
        <v>-5498692.1100000003</v>
      </c>
      <c r="E13" s="202">
        <v>72202714.969999999</v>
      </c>
      <c r="F13" s="202">
        <v>32546261.690000001</v>
      </c>
      <c r="G13" s="202">
        <v>19253786.199999999</v>
      </c>
      <c r="H13" s="202">
        <v>3316123.84</v>
      </c>
      <c r="I13" s="202">
        <v>69961461.189999998</v>
      </c>
      <c r="J13" s="202">
        <v>35292871.390000001</v>
      </c>
      <c r="K13" s="202">
        <v>23404106.48</v>
      </c>
      <c r="L13" s="202">
        <v>-1003658.93</v>
      </c>
      <c r="M13" s="202">
        <v>25286050.879999999</v>
      </c>
      <c r="N13" s="202">
        <v>-990862.54</v>
      </c>
      <c r="O13" s="202">
        <v>4571174.9000000004</v>
      </c>
      <c r="P13" s="202">
        <v>5179884.62</v>
      </c>
      <c r="Q13" s="202">
        <v>38535259.909999996</v>
      </c>
      <c r="R13" s="202">
        <v>23626517.34</v>
      </c>
      <c r="S13" s="202">
        <v>13958199.140000001</v>
      </c>
      <c r="T13" s="202">
        <v>4913653.6500000004</v>
      </c>
      <c r="U13" s="202">
        <v>35251184.609999999</v>
      </c>
      <c r="V13" s="202">
        <v>32455696.800000001</v>
      </c>
      <c r="W13" s="202">
        <v>10428794.039999999</v>
      </c>
      <c r="X13" s="202">
        <v>0</v>
      </c>
    </row>
    <row r="14" spans="1:24">
      <c r="A14" s="202" t="s">
        <v>230</v>
      </c>
    </row>
    <row r="15" spans="1:24">
      <c r="A15" s="202" t="s">
        <v>231</v>
      </c>
      <c r="B15" s="202">
        <v>26500000</v>
      </c>
      <c r="C15" s="202">
        <v>13500000</v>
      </c>
      <c r="D15" s="202">
        <v>13500000</v>
      </c>
      <c r="E15" s="202">
        <v>33000000</v>
      </c>
      <c r="F15" s="202">
        <v>17000000</v>
      </c>
      <c r="G15" s="202">
        <v>17000000</v>
      </c>
      <c r="H15" s="202">
        <v>0</v>
      </c>
      <c r="I15" s="202">
        <v>45000000</v>
      </c>
      <c r="J15" s="202">
        <v>28000000</v>
      </c>
      <c r="K15" s="202">
        <v>0</v>
      </c>
      <c r="L15" s="202">
        <v>0</v>
      </c>
      <c r="M15" s="202">
        <v>0</v>
      </c>
      <c r="N15" s="202">
        <v>0</v>
      </c>
      <c r="O15" s="202">
        <v>0</v>
      </c>
      <c r="P15" s="202">
        <v>0</v>
      </c>
      <c r="Q15" s="202">
        <v>0</v>
      </c>
      <c r="R15" s="202">
        <v>0</v>
      </c>
      <c r="S15" s="202">
        <v>0</v>
      </c>
      <c r="T15" s="202">
        <v>0</v>
      </c>
      <c r="U15" s="202">
        <v>0</v>
      </c>
      <c r="V15" s="202">
        <v>0</v>
      </c>
      <c r="W15" s="202">
        <v>0</v>
      </c>
      <c r="X15" s="202">
        <v>0</v>
      </c>
    </row>
    <row r="16" spans="1:24">
      <c r="A16" s="202" t="s">
        <v>232</v>
      </c>
      <c r="B16" s="202">
        <v>351172.6</v>
      </c>
      <c r="C16" s="202">
        <v>119095.89</v>
      </c>
      <c r="D16" s="202">
        <v>119095.89</v>
      </c>
      <c r="E16" s="202">
        <v>453801.37</v>
      </c>
      <c r="F16" s="202">
        <v>242075.34</v>
      </c>
      <c r="G16" s="202">
        <v>242075.34</v>
      </c>
      <c r="H16" s="202">
        <v>152580.82</v>
      </c>
      <c r="I16" s="202">
        <v>954867.12</v>
      </c>
      <c r="J16" s="202">
        <v>880043.83</v>
      </c>
      <c r="K16" s="202">
        <v>573673.97</v>
      </c>
      <c r="L16" s="202">
        <v>336757.54</v>
      </c>
      <c r="M16" s="202">
        <v>476575.34</v>
      </c>
      <c r="N16" s="202">
        <v>91287.67</v>
      </c>
      <c r="O16" s="202">
        <v>0</v>
      </c>
      <c r="P16" s="202">
        <v>0</v>
      </c>
      <c r="Q16" s="202">
        <v>0</v>
      </c>
      <c r="R16" s="202">
        <v>0</v>
      </c>
      <c r="S16" s="202">
        <v>0</v>
      </c>
      <c r="T16" s="202">
        <v>0</v>
      </c>
      <c r="U16" s="202">
        <v>0</v>
      </c>
      <c r="V16" s="202">
        <v>0</v>
      </c>
      <c r="W16" s="202">
        <v>0</v>
      </c>
      <c r="X16" s="202">
        <v>0</v>
      </c>
    </row>
    <row r="17" spans="1:24">
      <c r="A17" s="202" t="s">
        <v>233</v>
      </c>
      <c r="B17" s="202">
        <v>128167.55</v>
      </c>
      <c r="C17" s="202">
        <v>125485</v>
      </c>
      <c r="D17" s="202">
        <v>21000</v>
      </c>
      <c r="E17" s="202">
        <v>6400.13</v>
      </c>
      <c r="F17" s="202">
        <v>400</v>
      </c>
      <c r="G17" s="202">
        <v>248842.18</v>
      </c>
      <c r="H17" s="202">
        <v>400</v>
      </c>
      <c r="I17" s="202">
        <v>122144</v>
      </c>
      <c r="J17" s="202">
        <v>122000</v>
      </c>
      <c r="K17" s="202">
        <v>122000</v>
      </c>
      <c r="L17" s="202">
        <v>99000</v>
      </c>
      <c r="M17" s="202">
        <v>970</v>
      </c>
      <c r="N17" s="202">
        <v>970</v>
      </c>
      <c r="O17" s="202">
        <v>500</v>
      </c>
      <c r="P17" s="202">
        <v>350</v>
      </c>
      <c r="Q17" s="202">
        <v>5595</v>
      </c>
      <c r="R17" s="202">
        <v>297365.77</v>
      </c>
      <c r="S17" s="202">
        <v>260</v>
      </c>
      <c r="T17" s="202">
        <v>0</v>
      </c>
      <c r="U17" s="202">
        <v>2495</v>
      </c>
      <c r="V17" s="202">
        <v>4067</v>
      </c>
      <c r="W17" s="202">
        <v>1460</v>
      </c>
      <c r="X17" s="202">
        <v>0</v>
      </c>
    </row>
    <row r="18" spans="1:24">
      <c r="A18" s="202" t="s">
        <v>234</v>
      </c>
      <c r="B18" s="202">
        <v>0</v>
      </c>
      <c r="C18" s="202">
        <v>0</v>
      </c>
      <c r="D18" s="202">
        <v>0</v>
      </c>
      <c r="E18" s="202">
        <v>0</v>
      </c>
      <c r="F18" s="202">
        <v>0</v>
      </c>
      <c r="G18" s="202">
        <v>0</v>
      </c>
      <c r="H18" s="202">
        <v>0</v>
      </c>
      <c r="I18" s="202">
        <v>0</v>
      </c>
      <c r="J18" s="202">
        <v>0</v>
      </c>
      <c r="K18" s="202">
        <v>0</v>
      </c>
      <c r="L18" s="202">
        <v>0</v>
      </c>
      <c r="M18" s="202">
        <v>0</v>
      </c>
      <c r="N18" s="202">
        <v>0</v>
      </c>
      <c r="O18" s="202">
        <v>0</v>
      </c>
      <c r="P18" s="202">
        <v>0</v>
      </c>
      <c r="Q18" s="202">
        <v>0</v>
      </c>
      <c r="R18" s="202">
        <v>0</v>
      </c>
      <c r="S18" s="202">
        <v>0</v>
      </c>
      <c r="T18" s="202">
        <v>0</v>
      </c>
      <c r="U18" s="202">
        <v>0</v>
      </c>
      <c r="V18" s="202">
        <v>0</v>
      </c>
      <c r="W18" s="202">
        <v>0</v>
      </c>
      <c r="X18" s="202">
        <v>0</v>
      </c>
    </row>
    <row r="19" spans="1:24">
      <c r="A19" s="202" t="s">
        <v>235</v>
      </c>
      <c r="B19" s="202">
        <v>0</v>
      </c>
      <c r="C19" s="202">
        <v>0</v>
      </c>
      <c r="D19" s="202">
        <v>0</v>
      </c>
      <c r="E19" s="202">
        <v>2273453.36</v>
      </c>
      <c r="F19" s="202">
        <v>2267998.15</v>
      </c>
      <c r="G19" s="202">
        <v>2267998.15</v>
      </c>
      <c r="H19" s="202">
        <v>0</v>
      </c>
      <c r="I19" s="202">
        <v>0</v>
      </c>
      <c r="J19" s="202">
        <v>0</v>
      </c>
      <c r="K19" s="202">
        <v>0</v>
      </c>
      <c r="L19" s="202">
        <v>0</v>
      </c>
      <c r="M19" s="202">
        <v>0</v>
      </c>
      <c r="N19" s="202">
        <v>0</v>
      </c>
      <c r="O19" s="202">
        <v>0</v>
      </c>
      <c r="P19" s="202">
        <v>0</v>
      </c>
      <c r="Q19" s="202">
        <v>4000000</v>
      </c>
      <c r="R19" s="202">
        <v>4000000</v>
      </c>
      <c r="S19" s="202">
        <v>0</v>
      </c>
      <c r="T19" s="202">
        <v>4000000</v>
      </c>
      <c r="U19" s="202">
        <v>1000000</v>
      </c>
      <c r="V19" s="202">
        <v>0</v>
      </c>
      <c r="W19" s="202">
        <v>0</v>
      </c>
      <c r="X19" s="202">
        <v>0</v>
      </c>
    </row>
    <row r="20" spans="1:24">
      <c r="A20" s="202" t="s">
        <v>236</v>
      </c>
      <c r="B20" s="202">
        <v>26979340.149999999</v>
      </c>
      <c r="C20" s="202">
        <v>13744580.890000001</v>
      </c>
      <c r="D20" s="202">
        <v>13640095.890000001</v>
      </c>
      <c r="E20" s="202">
        <v>35733654.859999999</v>
      </c>
      <c r="F20" s="202">
        <v>19510473.489999998</v>
      </c>
      <c r="G20" s="202">
        <v>19758915.670000002</v>
      </c>
      <c r="H20" s="202">
        <v>152980.82</v>
      </c>
      <c r="I20" s="202">
        <v>46077011.119999997</v>
      </c>
      <c r="J20" s="202">
        <v>29002043.829999998</v>
      </c>
      <c r="K20" s="202">
        <v>695673.97</v>
      </c>
      <c r="L20" s="202">
        <v>435757.54</v>
      </c>
      <c r="M20" s="202">
        <v>477545.34</v>
      </c>
      <c r="N20" s="202">
        <v>92257.67</v>
      </c>
      <c r="O20" s="202">
        <v>500</v>
      </c>
      <c r="P20" s="202">
        <v>350</v>
      </c>
      <c r="Q20" s="202">
        <v>4005595</v>
      </c>
      <c r="R20" s="202">
        <v>4297365.7699999996</v>
      </c>
      <c r="S20" s="202">
        <v>260</v>
      </c>
      <c r="T20" s="202">
        <v>4000000</v>
      </c>
      <c r="U20" s="202">
        <v>1002495</v>
      </c>
      <c r="V20" s="202">
        <v>4067</v>
      </c>
      <c r="W20" s="202">
        <v>1460</v>
      </c>
      <c r="X20" s="202">
        <v>0</v>
      </c>
    </row>
    <row r="21" spans="1:24">
      <c r="A21" s="202" t="s">
        <v>237</v>
      </c>
      <c r="B21" s="202">
        <v>15717734.359999999</v>
      </c>
      <c r="C21" s="202">
        <v>13444098.01</v>
      </c>
      <c r="D21" s="202">
        <v>8342392.2000000002</v>
      </c>
      <c r="E21" s="202">
        <v>8679982.5899999999</v>
      </c>
      <c r="F21" s="202">
        <v>8449260.1199999992</v>
      </c>
      <c r="G21" s="202">
        <v>5521137.0800000001</v>
      </c>
      <c r="H21" s="202">
        <v>1939003.27</v>
      </c>
      <c r="I21" s="202">
        <v>5569470.0199999996</v>
      </c>
      <c r="J21" s="202">
        <v>4874089.07</v>
      </c>
      <c r="K21" s="202">
        <v>2796713.55</v>
      </c>
      <c r="L21" s="202">
        <v>816083.25</v>
      </c>
      <c r="M21" s="202">
        <v>4781596.5</v>
      </c>
      <c r="N21" s="202">
        <v>3202849.4</v>
      </c>
      <c r="O21" s="202">
        <v>1426579.82</v>
      </c>
      <c r="P21" s="202">
        <v>2227761.7599999998</v>
      </c>
      <c r="Q21" s="202">
        <v>9337251.75</v>
      </c>
      <c r="R21" s="202">
        <v>5397676.5899999999</v>
      </c>
      <c r="S21" s="202">
        <v>4196549.92</v>
      </c>
      <c r="T21" s="202">
        <v>2598948.04</v>
      </c>
      <c r="U21" s="202">
        <v>17415173.129999999</v>
      </c>
      <c r="V21" s="202">
        <v>34218562.100000001</v>
      </c>
      <c r="W21" s="202">
        <v>17643687.32</v>
      </c>
      <c r="X21" s="202">
        <v>0</v>
      </c>
    </row>
    <row r="22" spans="1:24">
      <c r="A22" s="202" t="s">
        <v>238</v>
      </c>
      <c r="B22" s="202">
        <v>48100000</v>
      </c>
      <c r="C22" s="202">
        <v>15100000</v>
      </c>
      <c r="D22" s="202">
        <v>48100000</v>
      </c>
      <c r="E22" s="202">
        <v>29500000</v>
      </c>
      <c r="F22" s="202">
        <v>16000000</v>
      </c>
      <c r="G22" s="202">
        <v>16000000</v>
      </c>
      <c r="H22" s="202">
        <v>0</v>
      </c>
      <c r="I22" s="202">
        <v>17000000</v>
      </c>
      <c r="J22" s="202">
        <v>0</v>
      </c>
      <c r="K22" s="202">
        <v>0</v>
      </c>
      <c r="L22" s="202">
        <v>0</v>
      </c>
      <c r="M22" s="202">
        <v>45000000</v>
      </c>
      <c r="N22" s="202">
        <v>45000000</v>
      </c>
      <c r="O22" s="202">
        <v>0</v>
      </c>
      <c r="P22" s="202">
        <v>0</v>
      </c>
      <c r="Q22" s="202">
        <v>0</v>
      </c>
      <c r="R22" s="202">
        <v>0</v>
      </c>
      <c r="S22" s="202">
        <v>0</v>
      </c>
      <c r="T22" s="202">
        <v>0</v>
      </c>
      <c r="U22" s="202">
        <v>0</v>
      </c>
      <c r="V22" s="202">
        <v>0</v>
      </c>
      <c r="W22" s="202">
        <v>0</v>
      </c>
      <c r="X22" s="202">
        <v>0</v>
      </c>
    </row>
    <row r="23" spans="1:24">
      <c r="A23" s="202" t="s">
        <v>239</v>
      </c>
      <c r="B23" s="202">
        <v>216528259.25999999</v>
      </c>
      <c r="C23" s="202">
        <v>33000000</v>
      </c>
      <c r="D23" s="202">
        <v>0</v>
      </c>
      <c r="E23" s="202">
        <v>0</v>
      </c>
      <c r="F23" s="202">
        <v>0</v>
      </c>
      <c r="G23" s="202">
        <v>0</v>
      </c>
      <c r="H23" s="202">
        <v>0</v>
      </c>
      <c r="I23" s="202">
        <v>125400000</v>
      </c>
      <c r="J23" s="202">
        <v>0</v>
      </c>
      <c r="K23" s="202">
        <v>0</v>
      </c>
      <c r="L23" s="202">
        <v>0</v>
      </c>
      <c r="M23" s="202">
        <v>0</v>
      </c>
      <c r="N23" s="202">
        <v>0</v>
      </c>
      <c r="O23" s="202">
        <v>0</v>
      </c>
      <c r="P23" s="202">
        <v>0</v>
      </c>
      <c r="Q23" s="202">
        <v>0</v>
      </c>
      <c r="R23" s="202">
        <v>0</v>
      </c>
      <c r="S23" s="202">
        <v>0</v>
      </c>
      <c r="T23" s="202">
        <v>0</v>
      </c>
      <c r="U23" s="202">
        <v>0</v>
      </c>
      <c r="V23" s="202">
        <v>0</v>
      </c>
      <c r="W23" s="202">
        <v>0</v>
      </c>
      <c r="X23" s="202">
        <v>0</v>
      </c>
    </row>
    <row r="24" spans="1:24">
      <c r="A24" s="202" t="s">
        <v>240</v>
      </c>
      <c r="B24" s="202">
        <v>0</v>
      </c>
      <c r="C24" s="202">
        <v>0</v>
      </c>
      <c r="D24" s="202">
        <v>0</v>
      </c>
      <c r="E24" s="202">
        <v>0</v>
      </c>
      <c r="F24" s="202">
        <v>0</v>
      </c>
      <c r="G24" s="202">
        <v>0</v>
      </c>
      <c r="H24" s="202">
        <v>0</v>
      </c>
      <c r="I24" s="202">
        <v>30000000</v>
      </c>
      <c r="J24" s="202">
        <v>0</v>
      </c>
      <c r="K24" s="202">
        <v>0</v>
      </c>
      <c r="L24" s="202">
        <v>0</v>
      </c>
      <c r="M24" s="202">
        <v>0</v>
      </c>
      <c r="N24" s="202">
        <v>0</v>
      </c>
      <c r="O24" s="202">
        <v>0</v>
      </c>
      <c r="P24" s="202">
        <v>0</v>
      </c>
      <c r="Q24" s="202">
        <v>0</v>
      </c>
      <c r="R24" s="202">
        <v>0</v>
      </c>
      <c r="S24" s="202">
        <v>0</v>
      </c>
      <c r="T24" s="202">
        <v>0</v>
      </c>
      <c r="U24" s="202">
        <v>0</v>
      </c>
      <c r="V24" s="202">
        <v>0</v>
      </c>
      <c r="W24" s="202">
        <v>0</v>
      </c>
      <c r="X24" s="202">
        <v>0</v>
      </c>
    </row>
    <row r="25" spans="1:24">
      <c r="A25" s="202" t="s">
        <v>241</v>
      </c>
      <c r="B25" s="202">
        <v>280345993.62</v>
      </c>
      <c r="C25" s="202">
        <v>61544098.009999998</v>
      </c>
      <c r="D25" s="202">
        <v>56442392.200000003</v>
      </c>
      <c r="E25" s="202">
        <v>38179982.590000004</v>
      </c>
      <c r="F25" s="202">
        <v>24449260.120000001</v>
      </c>
      <c r="G25" s="202">
        <v>21521137.079999998</v>
      </c>
      <c r="H25" s="202">
        <v>1939003.27</v>
      </c>
      <c r="I25" s="202">
        <v>177969470.02000001</v>
      </c>
      <c r="J25" s="202">
        <v>4874089.07</v>
      </c>
      <c r="K25" s="202">
        <v>2796713.55</v>
      </c>
      <c r="L25" s="202">
        <v>816083.25</v>
      </c>
      <c r="M25" s="202">
        <v>49781596.5</v>
      </c>
      <c r="N25" s="202">
        <v>48202849.399999999</v>
      </c>
      <c r="O25" s="202">
        <v>1426579.82</v>
      </c>
      <c r="P25" s="202">
        <v>2227761.7599999998</v>
      </c>
      <c r="Q25" s="202">
        <v>9337251.75</v>
      </c>
      <c r="R25" s="202">
        <v>5397676.5899999999</v>
      </c>
      <c r="S25" s="202">
        <v>4196549.92</v>
      </c>
      <c r="T25" s="202">
        <v>2598948.04</v>
      </c>
      <c r="U25" s="202">
        <v>17415173.129999999</v>
      </c>
      <c r="V25" s="202">
        <v>34218562.100000001</v>
      </c>
      <c r="W25" s="202">
        <v>17643687.32</v>
      </c>
      <c r="X25" s="202">
        <v>0</v>
      </c>
    </row>
    <row r="26" spans="1:24">
      <c r="A26" s="202" t="s">
        <v>242</v>
      </c>
      <c r="B26" s="202">
        <v>-253366653.47</v>
      </c>
      <c r="C26" s="202">
        <v>-47799517.119999997</v>
      </c>
      <c r="D26" s="202">
        <v>-42802296.310000002</v>
      </c>
      <c r="E26" s="202">
        <v>-2446327.73</v>
      </c>
      <c r="F26" s="202">
        <v>-4938786.63</v>
      </c>
      <c r="G26" s="202">
        <v>-1762221.41</v>
      </c>
      <c r="H26" s="202">
        <v>-1786022.45</v>
      </c>
      <c r="I26" s="202">
        <v>-131892458.90000001</v>
      </c>
      <c r="J26" s="202">
        <v>24127954.760000002</v>
      </c>
      <c r="K26" s="202">
        <v>-2101039.58</v>
      </c>
      <c r="L26" s="202">
        <v>-380325.71</v>
      </c>
      <c r="M26" s="202">
        <v>-49304051.159999996</v>
      </c>
      <c r="N26" s="202">
        <v>-48110591.729999997</v>
      </c>
      <c r="O26" s="202">
        <v>-1426079.82</v>
      </c>
      <c r="P26" s="202">
        <v>-2227411.7599999998</v>
      </c>
      <c r="Q26" s="202">
        <v>-5331656.75</v>
      </c>
      <c r="R26" s="202">
        <v>-1100310.82</v>
      </c>
      <c r="S26" s="202">
        <v>-4196289.92</v>
      </c>
      <c r="T26" s="202">
        <v>1401051.96</v>
      </c>
      <c r="U26" s="202">
        <v>-16412678.130000001</v>
      </c>
      <c r="V26" s="202">
        <v>-34214495.100000001</v>
      </c>
      <c r="W26" s="202">
        <v>-17642227.32</v>
      </c>
      <c r="X26" s="202">
        <v>0</v>
      </c>
    </row>
    <row r="27" spans="1:24">
      <c r="A27" s="202" t="s">
        <v>243</v>
      </c>
    </row>
    <row r="28" spans="1:24">
      <c r="A28" s="202" t="s">
        <v>244</v>
      </c>
      <c r="B28" s="202">
        <v>0</v>
      </c>
      <c r="C28" s="202">
        <v>0</v>
      </c>
      <c r="D28" s="202">
        <v>0</v>
      </c>
      <c r="E28" s="202">
        <v>0</v>
      </c>
      <c r="F28" s="202">
        <v>0</v>
      </c>
      <c r="G28" s="202">
        <v>0</v>
      </c>
      <c r="H28" s="202">
        <v>0</v>
      </c>
      <c r="I28" s="202">
        <v>4000000</v>
      </c>
      <c r="J28" s="202">
        <v>0</v>
      </c>
      <c r="K28" s="202">
        <v>0</v>
      </c>
      <c r="L28" s="202">
        <v>0</v>
      </c>
      <c r="M28" s="202">
        <v>416330700</v>
      </c>
      <c r="N28" s="202">
        <v>416330700</v>
      </c>
      <c r="O28" s="202">
        <v>416330700</v>
      </c>
      <c r="P28" s="202">
        <v>0</v>
      </c>
      <c r="Q28" s="202">
        <v>0</v>
      </c>
      <c r="R28" s="202">
        <v>0</v>
      </c>
      <c r="S28" s="202">
        <v>0</v>
      </c>
      <c r="T28" s="202">
        <v>0</v>
      </c>
      <c r="U28" s="202">
        <v>0</v>
      </c>
      <c r="V28" s="202">
        <v>0</v>
      </c>
      <c r="W28" s="202">
        <v>0</v>
      </c>
      <c r="X28" s="202">
        <v>0</v>
      </c>
    </row>
    <row r="29" spans="1:24">
      <c r="A29" s="202" t="s">
        <v>245</v>
      </c>
      <c r="B29" s="202">
        <v>0</v>
      </c>
      <c r="C29" s="202">
        <v>0</v>
      </c>
      <c r="D29" s="202">
        <v>0</v>
      </c>
      <c r="E29" s="202">
        <v>0</v>
      </c>
      <c r="F29" s="202">
        <v>0</v>
      </c>
      <c r="G29" s="202">
        <v>0</v>
      </c>
      <c r="H29" s="202">
        <v>0</v>
      </c>
      <c r="I29" s="202">
        <v>4000000</v>
      </c>
      <c r="J29" s="202">
        <v>0</v>
      </c>
      <c r="K29" s="202">
        <v>0</v>
      </c>
      <c r="L29" s="202">
        <v>0</v>
      </c>
      <c r="M29" s="202">
        <v>0</v>
      </c>
      <c r="N29" s="202">
        <v>0</v>
      </c>
      <c r="O29" s="202">
        <v>0</v>
      </c>
      <c r="P29" s="202">
        <v>0</v>
      </c>
      <c r="Q29" s="202">
        <v>0</v>
      </c>
      <c r="R29" s="202">
        <v>0</v>
      </c>
      <c r="S29" s="202">
        <v>0</v>
      </c>
      <c r="T29" s="202">
        <v>0</v>
      </c>
      <c r="U29" s="202">
        <v>0</v>
      </c>
      <c r="V29" s="202">
        <v>0</v>
      </c>
      <c r="W29" s="202">
        <v>0</v>
      </c>
      <c r="X29" s="202">
        <v>0</v>
      </c>
    </row>
    <row r="30" spans="1:24">
      <c r="A30" s="202" t="s">
        <v>246</v>
      </c>
      <c r="B30" s="202">
        <v>159775309.78</v>
      </c>
      <c r="C30" s="202">
        <v>2500000</v>
      </c>
      <c r="D30" s="202">
        <v>0</v>
      </c>
      <c r="E30" s="202">
        <v>10000000</v>
      </c>
      <c r="F30" s="202">
        <v>10000000</v>
      </c>
      <c r="G30" s="202">
        <v>5000000</v>
      </c>
      <c r="H30" s="202">
        <v>5000000</v>
      </c>
      <c r="I30" s="202">
        <v>0</v>
      </c>
      <c r="J30" s="202">
        <v>0</v>
      </c>
      <c r="K30" s="202">
        <v>0</v>
      </c>
      <c r="L30" s="202">
        <v>0</v>
      </c>
      <c r="M30" s="202">
        <v>0</v>
      </c>
      <c r="N30" s="202">
        <v>0</v>
      </c>
      <c r="O30" s="202">
        <v>0</v>
      </c>
      <c r="P30" s="202">
        <v>0</v>
      </c>
      <c r="Q30" s="202">
        <v>30000000</v>
      </c>
      <c r="R30" s="202">
        <v>30000000</v>
      </c>
      <c r="S30" s="202">
        <v>30000000</v>
      </c>
      <c r="T30" s="202">
        <v>15000000</v>
      </c>
      <c r="U30" s="202">
        <v>0</v>
      </c>
      <c r="V30" s="202">
        <v>31000000</v>
      </c>
      <c r="W30" s="202">
        <v>31000000</v>
      </c>
      <c r="X30" s="202">
        <v>0</v>
      </c>
    </row>
    <row r="31" spans="1:24">
      <c r="A31" s="202" t="s">
        <v>247</v>
      </c>
      <c r="B31" s="202">
        <v>0</v>
      </c>
      <c r="C31" s="202">
        <v>0</v>
      </c>
      <c r="D31" s="202">
        <v>0</v>
      </c>
      <c r="E31" s="202">
        <v>0</v>
      </c>
      <c r="F31" s="202">
        <v>0</v>
      </c>
      <c r="G31" s="202">
        <v>0</v>
      </c>
      <c r="H31" s="202">
        <v>0</v>
      </c>
      <c r="I31" s="202">
        <v>0</v>
      </c>
      <c r="J31" s="202">
        <v>0</v>
      </c>
      <c r="K31" s="202">
        <v>0</v>
      </c>
      <c r="L31" s="202">
        <v>0</v>
      </c>
      <c r="M31" s="202">
        <v>0</v>
      </c>
      <c r="N31" s="202">
        <v>0</v>
      </c>
      <c r="O31" s="202">
        <v>0</v>
      </c>
      <c r="P31" s="202">
        <v>0</v>
      </c>
      <c r="Q31" s="202">
        <v>0</v>
      </c>
      <c r="R31" s="202">
        <v>0</v>
      </c>
      <c r="S31" s="202">
        <v>0</v>
      </c>
      <c r="T31" s="202">
        <v>0</v>
      </c>
      <c r="U31" s="202">
        <v>0</v>
      </c>
      <c r="V31" s="202">
        <v>0</v>
      </c>
      <c r="W31" s="202">
        <v>0</v>
      </c>
      <c r="X31" s="202">
        <v>0</v>
      </c>
    </row>
    <row r="32" spans="1:24">
      <c r="A32" s="202" t="s">
        <v>248</v>
      </c>
      <c r="B32" s="202">
        <v>0</v>
      </c>
      <c r="C32" s="202">
        <v>0</v>
      </c>
      <c r="D32" s="202">
        <v>0</v>
      </c>
      <c r="E32" s="202">
        <v>480000</v>
      </c>
      <c r="F32" s="202">
        <v>0</v>
      </c>
      <c r="G32" s="202">
        <v>0</v>
      </c>
      <c r="H32" s="202">
        <v>0</v>
      </c>
      <c r="I32" s="202">
        <v>150000000</v>
      </c>
      <c r="J32" s="202">
        <v>0</v>
      </c>
      <c r="K32" s="202">
        <v>0</v>
      </c>
      <c r="L32" s="202">
        <v>0</v>
      </c>
      <c r="M32" s="202">
        <v>0</v>
      </c>
      <c r="N32" s="202">
        <v>0</v>
      </c>
      <c r="O32" s="202">
        <v>0</v>
      </c>
      <c r="P32" s="202">
        <v>0</v>
      </c>
      <c r="Q32" s="202">
        <v>0</v>
      </c>
      <c r="R32" s="202">
        <v>0</v>
      </c>
      <c r="S32" s="202">
        <v>0</v>
      </c>
      <c r="T32" s="202">
        <v>0</v>
      </c>
      <c r="U32" s="202">
        <v>0</v>
      </c>
      <c r="V32" s="202">
        <v>0</v>
      </c>
      <c r="W32" s="202">
        <v>0</v>
      </c>
      <c r="X32" s="202">
        <v>0</v>
      </c>
    </row>
    <row r="33" spans="1:24">
      <c r="A33" s="202" t="s">
        <v>249</v>
      </c>
      <c r="B33" s="202">
        <v>159775309.78</v>
      </c>
      <c r="C33" s="202">
        <v>2500000</v>
      </c>
      <c r="D33" s="202">
        <v>0</v>
      </c>
      <c r="E33" s="202">
        <v>10480000</v>
      </c>
      <c r="F33" s="202">
        <v>10000000</v>
      </c>
      <c r="G33" s="202">
        <v>5000000</v>
      </c>
      <c r="H33" s="202">
        <v>5000000</v>
      </c>
      <c r="I33" s="202">
        <v>154000000</v>
      </c>
      <c r="J33" s="202">
        <v>0</v>
      </c>
      <c r="K33" s="202">
        <v>0</v>
      </c>
      <c r="L33" s="202">
        <v>0</v>
      </c>
      <c r="M33" s="202">
        <v>416330700</v>
      </c>
      <c r="N33" s="202">
        <v>416330700</v>
      </c>
      <c r="O33" s="202">
        <v>416330700</v>
      </c>
      <c r="P33" s="202">
        <v>0</v>
      </c>
      <c r="Q33" s="202">
        <v>30000000</v>
      </c>
      <c r="R33" s="202">
        <v>30000000</v>
      </c>
      <c r="S33" s="202">
        <v>30000000</v>
      </c>
      <c r="T33" s="202">
        <v>15000000</v>
      </c>
      <c r="U33" s="202">
        <v>0</v>
      </c>
      <c r="V33" s="202">
        <v>31000000</v>
      </c>
      <c r="W33" s="202">
        <v>31000000</v>
      </c>
      <c r="X33" s="202">
        <v>0</v>
      </c>
    </row>
    <row r="34" spans="1:24">
      <c r="A34" s="202" t="s">
        <v>250</v>
      </c>
      <c r="B34" s="202">
        <v>16844540.280000001</v>
      </c>
      <c r="C34" s="202">
        <v>5500000</v>
      </c>
      <c r="D34" s="202">
        <v>1990000</v>
      </c>
      <c r="E34" s="202">
        <v>2000000</v>
      </c>
      <c r="F34" s="202">
        <v>2000000</v>
      </c>
      <c r="G34" s="202">
        <v>2000000</v>
      </c>
      <c r="H34" s="202">
        <v>2000000</v>
      </c>
      <c r="I34" s="202">
        <v>0</v>
      </c>
      <c r="J34" s="202">
        <v>0</v>
      </c>
      <c r="K34" s="202">
        <v>0</v>
      </c>
      <c r="L34" s="202">
        <v>0</v>
      </c>
      <c r="M34" s="202">
        <v>30000000</v>
      </c>
      <c r="N34" s="202">
        <v>30000000</v>
      </c>
      <c r="O34" s="202">
        <v>30000000</v>
      </c>
      <c r="P34" s="202">
        <v>15000000</v>
      </c>
      <c r="Q34" s="202">
        <v>0</v>
      </c>
      <c r="R34" s="202">
        <v>0</v>
      </c>
      <c r="S34" s="202">
        <v>0</v>
      </c>
      <c r="T34" s="202">
        <v>0</v>
      </c>
      <c r="U34" s="202">
        <v>31000000</v>
      </c>
      <c r="V34" s="202">
        <v>31000000</v>
      </c>
      <c r="W34" s="202">
        <v>0</v>
      </c>
      <c r="X34" s="202">
        <v>0</v>
      </c>
    </row>
    <row r="35" spans="1:24">
      <c r="A35" s="202" t="s">
        <v>557</v>
      </c>
      <c r="B35" s="202">
        <v>29412994.48</v>
      </c>
      <c r="C35" s="202">
        <v>27002542.600000001</v>
      </c>
      <c r="D35" s="202">
        <v>132243.01999999999</v>
      </c>
      <c r="E35" s="202">
        <v>27074965.609999999</v>
      </c>
      <c r="F35" s="202">
        <v>23851903.670000002</v>
      </c>
      <c r="G35" s="202">
        <v>5555812.0599999996</v>
      </c>
      <c r="H35" s="202">
        <v>2841361.48</v>
      </c>
      <c r="I35" s="202">
        <v>11850681.550000001</v>
      </c>
      <c r="J35" s="202">
        <v>11620544.560000001</v>
      </c>
      <c r="K35" s="202">
        <v>11602200</v>
      </c>
      <c r="L35" s="202">
        <v>0</v>
      </c>
      <c r="M35" s="202">
        <v>17935983.809999999</v>
      </c>
      <c r="N35" s="202">
        <v>17935983.809999999</v>
      </c>
      <c r="O35" s="202">
        <v>482983.81</v>
      </c>
      <c r="P35" s="202">
        <v>245437.5</v>
      </c>
      <c r="Q35" s="202">
        <v>13363330</v>
      </c>
      <c r="R35" s="202">
        <v>12896955</v>
      </c>
      <c r="S35" s="202">
        <v>427875</v>
      </c>
      <c r="T35" s="202">
        <v>186375</v>
      </c>
      <c r="U35" s="202">
        <v>7845825.0099999998</v>
      </c>
      <c r="V35" s="202">
        <v>5173471.13</v>
      </c>
      <c r="W35" s="202">
        <v>9220357.4499999993</v>
      </c>
      <c r="X35" s="202">
        <v>0</v>
      </c>
    </row>
    <row r="36" spans="1:24">
      <c r="A36" s="202" t="s">
        <v>251</v>
      </c>
      <c r="B36" s="202">
        <v>0</v>
      </c>
      <c r="C36" s="202">
        <v>0</v>
      </c>
      <c r="D36" s="202">
        <v>0</v>
      </c>
      <c r="E36" s="202">
        <v>0</v>
      </c>
      <c r="F36" s="202">
        <v>0</v>
      </c>
      <c r="G36" s="202">
        <v>0</v>
      </c>
      <c r="H36" s="202">
        <v>0</v>
      </c>
      <c r="I36" s="202">
        <v>0</v>
      </c>
      <c r="J36" s="202">
        <v>0</v>
      </c>
      <c r="K36" s="202">
        <v>0</v>
      </c>
      <c r="L36" s="202">
        <v>0</v>
      </c>
      <c r="M36" s="202">
        <v>0</v>
      </c>
      <c r="N36" s="202">
        <v>0</v>
      </c>
      <c r="O36" s="202">
        <v>0</v>
      </c>
      <c r="P36" s="202">
        <v>0</v>
      </c>
      <c r="Q36" s="202">
        <v>0</v>
      </c>
      <c r="R36" s="202">
        <v>0</v>
      </c>
      <c r="S36" s="202">
        <v>0</v>
      </c>
      <c r="T36" s="202">
        <v>0</v>
      </c>
      <c r="U36" s="202">
        <v>0</v>
      </c>
      <c r="V36" s="202">
        <v>0</v>
      </c>
      <c r="W36" s="202">
        <v>0</v>
      </c>
      <c r="X36" s="202">
        <v>0</v>
      </c>
    </row>
    <row r="37" spans="1:24">
      <c r="A37" s="202" t="s">
        <v>252</v>
      </c>
      <c r="B37" s="202">
        <v>7175115.5800000001</v>
      </c>
      <c r="C37" s="202">
        <v>3990000</v>
      </c>
      <c r="D37" s="202">
        <v>2000000</v>
      </c>
      <c r="E37" s="202">
        <v>157199495</v>
      </c>
      <c r="F37" s="202">
        <v>0</v>
      </c>
      <c r="G37" s="202">
        <v>0</v>
      </c>
      <c r="H37" s="202">
        <v>0</v>
      </c>
      <c r="I37" s="202">
        <v>216535.96</v>
      </c>
      <c r="J37" s="202">
        <v>216535.96</v>
      </c>
      <c r="K37" s="202">
        <v>216535.96</v>
      </c>
      <c r="L37" s="202">
        <v>216535.96</v>
      </c>
      <c r="M37" s="202">
        <v>6201917.3700000001</v>
      </c>
      <c r="N37" s="202">
        <v>4935879.67</v>
      </c>
      <c r="O37" s="202">
        <v>1745002.25</v>
      </c>
      <c r="P37" s="202">
        <v>0</v>
      </c>
      <c r="Q37" s="202">
        <v>0</v>
      </c>
      <c r="R37" s="202">
        <v>0</v>
      </c>
      <c r="S37" s="202">
        <v>0</v>
      </c>
      <c r="T37" s="202">
        <v>0</v>
      </c>
      <c r="U37" s="202">
        <v>0</v>
      </c>
      <c r="V37" s="202">
        <v>0</v>
      </c>
      <c r="W37" s="202">
        <v>0</v>
      </c>
      <c r="X37" s="202">
        <v>0</v>
      </c>
    </row>
    <row r="38" spans="1:24">
      <c r="A38" s="202" t="s">
        <v>253</v>
      </c>
      <c r="B38" s="202">
        <v>53432650.340000004</v>
      </c>
      <c r="C38" s="202">
        <v>36492542.600000001</v>
      </c>
      <c r="D38" s="202">
        <v>4122243.02</v>
      </c>
      <c r="E38" s="202">
        <v>186274460.61000001</v>
      </c>
      <c r="F38" s="202">
        <v>25851903.670000002</v>
      </c>
      <c r="G38" s="202">
        <v>7555812.0599999996</v>
      </c>
      <c r="H38" s="202">
        <v>4841361.4800000004</v>
      </c>
      <c r="I38" s="202">
        <v>12067217.51</v>
      </c>
      <c r="J38" s="202">
        <v>11837080.52</v>
      </c>
      <c r="K38" s="202">
        <v>11818735.960000001</v>
      </c>
      <c r="L38" s="202">
        <v>216535.96</v>
      </c>
      <c r="M38" s="202">
        <v>54137901.18</v>
      </c>
      <c r="N38" s="202">
        <v>52871863.479999997</v>
      </c>
      <c r="O38" s="202">
        <v>32227986.059999999</v>
      </c>
      <c r="P38" s="202">
        <v>15245437.5</v>
      </c>
      <c r="Q38" s="202">
        <v>13363330</v>
      </c>
      <c r="R38" s="202">
        <v>12896955</v>
      </c>
      <c r="S38" s="202">
        <v>427875</v>
      </c>
      <c r="T38" s="202">
        <v>186375</v>
      </c>
      <c r="U38" s="202">
        <v>38845825.009999998</v>
      </c>
      <c r="V38" s="202">
        <v>36173471.130000003</v>
      </c>
      <c r="W38" s="202">
        <v>9220357.4499999993</v>
      </c>
      <c r="X38" s="202">
        <v>0</v>
      </c>
    </row>
    <row r="39" spans="1:24">
      <c r="A39" s="202" t="s">
        <v>254</v>
      </c>
      <c r="B39" s="202">
        <v>106342659.44</v>
      </c>
      <c r="C39" s="202">
        <v>-33992542.600000001</v>
      </c>
      <c r="D39" s="202">
        <v>-4122243.02</v>
      </c>
      <c r="E39" s="202">
        <v>-175794460.61000001</v>
      </c>
      <c r="F39" s="202">
        <v>-15851903.67</v>
      </c>
      <c r="G39" s="202">
        <v>-2555812.06</v>
      </c>
      <c r="H39" s="202">
        <v>158638.51999999999</v>
      </c>
      <c r="I39" s="202">
        <v>141932782.49000001</v>
      </c>
      <c r="J39" s="202">
        <v>-11837080.52</v>
      </c>
      <c r="K39" s="202">
        <v>-11818735.960000001</v>
      </c>
      <c r="L39" s="202">
        <v>-216535.96</v>
      </c>
      <c r="M39" s="202">
        <v>362192798.81999999</v>
      </c>
      <c r="N39" s="202">
        <v>363458836.51999998</v>
      </c>
      <c r="O39" s="202">
        <v>384102713.94</v>
      </c>
      <c r="P39" s="202">
        <v>-15245437.5</v>
      </c>
      <c r="Q39" s="202">
        <v>16636670</v>
      </c>
      <c r="R39" s="202">
        <v>17103045</v>
      </c>
      <c r="S39" s="202">
        <v>29572125</v>
      </c>
      <c r="T39" s="202">
        <v>14813625</v>
      </c>
      <c r="U39" s="202">
        <v>-38845825.009999998</v>
      </c>
      <c r="V39" s="202">
        <v>-5173471.13</v>
      </c>
      <c r="W39" s="202">
        <v>21779642.550000001</v>
      </c>
      <c r="X39" s="202">
        <v>0</v>
      </c>
    </row>
    <row r="40" spans="1:24">
      <c r="A40" s="202" t="s">
        <v>255</v>
      </c>
      <c r="B40" s="202">
        <v>-226179.73</v>
      </c>
      <c r="C40" s="202">
        <v>-58395.39</v>
      </c>
      <c r="D40" s="202">
        <v>-88184.99</v>
      </c>
      <c r="E40" s="202">
        <v>81970.06</v>
      </c>
      <c r="F40" s="202">
        <v>184128.68</v>
      </c>
      <c r="G40" s="202">
        <v>171639.61</v>
      </c>
      <c r="H40" s="202">
        <v>19244.63</v>
      </c>
      <c r="I40" s="202">
        <v>92207.98</v>
      </c>
      <c r="J40" s="202">
        <v>-2468.39</v>
      </c>
      <c r="K40" s="202">
        <v>-499.07</v>
      </c>
      <c r="L40" s="202">
        <v>-214.39</v>
      </c>
      <c r="M40" s="202">
        <v>62758.91</v>
      </c>
      <c r="N40" s="202">
        <v>2917.53</v>
      </c>
      <c r="O40" s="202">
        <v>2208.4499999999998</v>
      </c>
      <c r="P40" s="202">
        <v>12428.63</v>
      </c>
      <c r="Q40" s="202">
        <v>978.92</v>
      </c>
      <c r="R40" s="202">
        <v>6614.83</v>
      </c>
      <c r="S40" s="202">
        <v>7165.66</v>
      </c>
      <c r="T40" s="202">
        <v>-78.209999999999994</v>
      </c>
      <c r="U40" s="202">
        <v>-72213.279999999999</v>
      </c>
      <c r="V40" s="202">
        <v>-8440.56</v>
      </c>
      <c r="W40" s="202">
        <v>-79073.98</v>
      </c>
      <c r="X40" s="202">
        <v>0</v>
      </c>
    </row>
    <row r="41" spans="1:24">
      <c r="A41" s="202" t="s">
        <v>256</v>
      </c>
      <c r="B41" s="202">
        <v>-123250508.31999999</v>
      </c>
      <c r="C41" s="202">
        <v>-71773302.540000007</v>
      </c>
      <c r="D41" s="202">
        <v>-52511416.43</v>
      </c>
      <c r="E41" s="202">
        <v>-105956103.31</v>
      </c>
      <c r="F41" s="202">
        <v>11939700.07</v>
      </c>
      <c r="G41" s="202">
        <v>15107392.34</v>
      </c>
      <c r="H41" s="202">
        <v>1707984.54</v>
      </c>
      <c r="I41" s="202">
        <v>80093992.760000005</v>
      </c>
      <c r="J41" s="202">
        <v>47581277.240000002</v>
      </c>
      <c r="K41" s="202">
        <v>9483831.8699999992</v>
      </c>
      <c r="L41" s="202">
        <v>-1600734.99</v>
      </c>
      <c r="M41" s="202">
        <v>338237557.44999999</v>
      </c>
      <c r="N41" s="202">
        <v>314360299.77999997</v>
      </c>
      <c r="O41" s="202">
        <v>387250017.47000003</v>
      </c>
      <c r="P41" s="202">
        <v>-12280536.01</v>
      </c>
      <c r="Q41" s="202">
        <v>49841252.079999998</v>
      </c>
      <c r="R41" s="202">
        <v>39635866.350000001</v>
      </c>
      <c r="S41" s="202">
        <v>39341199.880000003</v>
      </c>
      <c r="T41" s="202">
        <v>21128252.399999999</v>
      </c>
      <c r="U41" s="202">
        <v>-20079531.809999999</v>
      </c>
      <c r="V41" s="202">
        <v>-6940709.9900000002</v>
      </c>
      <c r="W41" s="202">
        <v>14487135.289999999</v>
      </c>
      <c r="X41" s="202">
        <v>0</v>
      </c>
    </row>
    <row r="42" spans="1:24">
      <c r="A42" s="202" t="s">
        <v>257</v>
      </c>
      <c r="B42" s="202">
        <v>387064963.55000001</v>
      </c>
      <c r="C42" s="202">
        <v>387165177.86000001</v>
      </c>
      <c r="D42" s="202">
        <v>387165177.86000001</v>
      </c>
      <c r="E42" s="202">
        <v>493121281.17000002</v>
      </c>
      <c r="F42" s="202">
        <v>493121281.17000002</v>
      </c>
      <c r="G42" s="202">
        <v>493121281.17000002</v>
      </c>
      <c r="H42" s="202">
        <v>495394734.52999997</v>
      </c>
      <c r="I42" s="202">
        <v>413027288.41000003</v>
      </c>
      <c r="J42" s="202">
        <v>413027288.41000003</v>
      </c>
      <c r="K42" s="202">
        <v>413027288.41000003</v>
      </c>
      <c r="L42" s="202">
        <v>413027288.41000003</v>
      </c>
      <c r="M42" s="202">
        <v>74789730.959999993</v>
      </c>
      <c r="N42" s="202">
        <v>74789730.959999993</v>
      </c>
      <c r="O42" s="202">
        <v>74789730.959999993</v>
      </c>
      <c r="P42" s="202">
        <v>74789730.959999993</v>
      </c>
      <c r="Q42" s="202">
        <v>24948478.879999999</v>
      </c>
      <c r="R42" s="202">
        <v>26369896.879999999</v>
      </c>
      <c r="S42" s="202">
        <v>26369896.879999999</v>
      </c>
      <c r="T42" s="202">
        <v>24948478.879999999</v>
      </c>
      <c r="U42" s="202">
        <v>45028010.689999998</v>
      </c>
      <c r="V42" s="202">
        <v>51968720.68</v>
      </c>
      <c r="W42" s="202">
        <v>37481585.390000001</v>
      </c>
      <c r="X42" s="202">
        <v>0</v>
      </c>
    </row>
    <row r="43" spans="1:24">
      <c r="A43" s="202" t="s">
        <v>258</v>
      </c>
      <c r="B43" s="202">
        <v>263814455.22999999</v>
      </c>
      <c r="C43" s="202">
        <v>315391875.31999999</v>
      </c>
      <c r="D43" s="202">
        <v>334653761.43000001</v>
      </c>
      <c r="E43" s="202">
        <v>387165177.86000001</v>
      </c>
      <c r="F43" s="202">
        <v>505060981.24000001</v>
      </c>
      <c r="G43" s="202">
        <v>508228673.50999999</v>
      </c>
      <c r="H43" s="202">
        <v>497102719.06999999</v>
      </c>
      <c r="I43" s="202">
        <v>493121281.17000002</v>
      </c>
      <c r="J43" s="202">
        <v>460608565.64999998</v>
      </c>
      <c r="K43" s="202">
        <v>422511120.27999997</v>
      </c>
      <c r="L43" s="202">
        <v>411426553.42000002</v>
      </c>
      <c r="M43" s="202">
        <v>413027288.41000003</v>
      </c>
      <c r="N43" s="202">
        <v>389150030.74000001</v>
      </c>
      <c r="O43" s="202">
        <v>462039748.43000001</v>
      </c>
      <c r="P43" s="202">
        <v>62509194.950000003</v>
      </c>
      <c r="Q43" s="202">
        <v>74789730.959999993</v>
      </c>
      <c r="R43" s="202">
        <v>66005763.229999997</v>
      </c>
      <c r="S43" s="202">
        <v>65711096.759999998</v>
      </c>
      <c r="T43" s="202">
        <v>46076731.280000001</v>
      </c>
      <c r="U43" s="202">
        <v>24948478.879999999</v>
      </c>
      <c r="V43" s="202">
        <v>45028010.689999998</v>
      </c>
      <c r="W43" s="202">
        <v>51968720.68</v>
      </c>
      <c r="X43" s="202">
        <v>0</v>
      </c>
    </row>
    <row r="44" spans="1:24">
      <c r="A44" s="202" t="s">
        <v>259</v>
      </c>
    </row>
    <row r="45" spans="1:24">
      <c r="A45" s="202" t="s">
        <v>260</v>
      </c>
      <c r="B45" s="202">
        <v>0</v>
      </c>
      <c r="C45" s="202">
        <v>73738990.920000002</v>
      </c>
      <c r="D45" s="202">
        <v>0</v>
      </c>
      <c r="E45" s="202">
        <v>120396624.55</v>
      </c>
      <c r="F45" s="202">
        <v>0</v>
      </c>
      <c r="G45" s="202">
        <v>43688063.450000003</v>
      </c>
      <c r="H45" s="202">
        <v>0</v>
      </c>
      <c r="I45" s="202">
        <v>97660280.760000005</v>
      </c>
      <c r="J45" s="202">
        <v>0</v>
      </c>
      <c r="K45" s="202">
        <v>36134349.719999999</v>
      </c>
      <c r="L45" s="202">
        <v>0</v>
      </c>
      <c r="M45" s="202">
        <v>82089405.659999996</v>
      </c>
      <c r="N45" s="202">
        <v>0</v>
      </c>
      <c r="O45" s="202">
        <v>33427425.780000001</v>
      </c>
      <c r="P45" s="202">
        <v>16490673.109999999</v>
      </c>
      <c r="Q45" s="202">
        <v>88908458.819999993</v>
      </c>
      <c r="R45" s="202">
        <v>0</v>
      </c>
      <c r="S45" s="202">
        <v>40031563.689999998</v>
      </c>
      <c r="T45" s="202">
        <v>20223903.43</v>
      </c>
      <c r="U45" s="202">
        <v>80267804.859999999</v>
      </c>
      <c r="V45" s="202">
        <v>72849073.569999993</v>
      </c>
      <c r="W45" s="202">
        <v>48973700</v>
      </c>
      <c r="X45" s="202">
        <v>0</v>
      </c>
    </row>
    <row r="46" spans="1:24">
      <c r="A46" s="202" t="s">
        <v>187</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row>
    <row r="47" spans="1:24">
      <c r="A47" s="202" t="s">
        <v>261</v>
      </c>
      <c r="B47" s="202">
        <v>0</v>
      </c>
      <c r="C47" s="202">
        <v>0</v>
      </c>
      <c r="D47" s="202">
        <v>0</v>
      </c>
      <c r="E47" s="202">
        <v>0</v>
      </c>
      <c r="F47" s="202">
        <v>0</v>
      </c>
      <c r="G47" s="202">
        <v>0</v>
      </c>
      <c r="H47" s="202">
        <v>0</v>
      </c>
      <c r="I47" s="202">
        <v>0</v>
      </c>
      <c r="J47" s="202">
        <v>0</v>
      </c>
      <c r="K47" s="202">
        <v>0</v>
      </c>
      <c r="L47" s="202">
        <v>0</v>
      </c>
      <c r="M47" s="202">
        <v>0</v>
      </c>
      <c r="N47" s="202">
        <v>0</v>
      </c>
      <c r="O47" s="202">
        <v>0</v>
      </c>
      <c r="P47" s="202">
        <v>0</v>
      </c>
      <c r="Q47" s="202">
        <v>0</v>
      </c>
      <c r="R47" s="202">
        <v>0</v>
      </c>
      <c r="S47" s="202">
        <v>0</v>
      </c>
      <c r="T47" s="202">
        <v>0</v>
      </c>
      <c r="U47" s="202">
        <v>0</v>
      </c>
      <c r="V47" s="202">
        <v>0</v>
      </c>
      <c r="W47" s="202">
        <v>0</v>
      </c>
      <c r="X47" s="202">
        <v>0</v>
      </c>
    </row>
    <row r="48" spans="1:24">
      <c r="A48" s="202" t="s">
        <v>262</v>
      </c>
      <c r="B48" s="202">
        <v>0</v>
      </c>
      <c r="C48" s="202">
        <v>6199825.0099999998</v>
      </c>
      <c r="D48" s="202">
        <v>0</v>
      </c>
      <c r="E48" s="202">
        <v>6173766.71</v>
      </c>
      <c r="F48" s="202">
        <v>0</v>
      </c>
      <c r="G48" s="202">
        <v>6591040.4000000004</v>
      </c>
      <c r="H48" s="202">
        <v>0</v>
      </c>
      <c r="I48" s="202">
        <v>3565087.95</v>
      </c>
      <c r="J48" s="202">
        <v>0</v>
      </c>
      <c r="K48" s="202">
        <v>4744561.43</v>
      </c>
      <c r="L48" s="202">
        <v>0</v>
      </c>
      <c r="M48" s="202">
        <v>2270121.9900000002</v>
      </c>
      <c r="N48" s="202">
        <v>0</v>
      </c>
      <c r="O48" s="202">
        <v>3886437.3</v>
      </c>
      <c r="P48" s="202">
        <v>2528025.8199999998</v>
      </c>
      <c r="Q48" s="202">
        <v>2753668.2</v>
      </c>
      <c r="R48" s="202">
        <v>0</v>
      </c>
      <c r="S48" s="202">
        <v>2641771.19</v>
      </c>
      <c r="T48" s="202">
        <v>1270000</v>
      </c>
      <c r="U48" s="202">
        <v>2318302.7200000002</v>
      </c>
      <c r="V48" s="202">
        <v>1818325.97</v>
      </c>
      <c r="W48" s="202">
        <v>1550100</v>
      </c>
      <c r="X48" s="202">
        <v>0</v>
      </c>
    </row>
    <row r="49" spans="1:24">
      <c r="A49" s="202" t="s">
        <v>263</v>
      </c>
      <c r="B49" s="202">
        <v>0</v>
      </c>
      <c r="C49" s="202">
        <v>4019586.34</v>
      </c>
      <c r="D49" s="202">
        <v>0</v>
      </c>
      <c r="E49" s="202">
        <v>6749134.6600000001</v>
      </c>
      <c r="F49" s="202">
        <v>0</v>
      </c>
      <c r="G49" s="202">
        <v>3289358.39</v>
      </c>
      <c r="H49" s="202">
        <v>0</v>
      </c>
      <c r="I49" s="202">
        <v>5369461.0599999996</v>
      </c>
      <c r="J49" s="202">
        <v>0</v>
      </c>
      <c r="K49" s="202">
        <v>2620334.87</v>
      </c>
      <c r="L49" s="202">
        <v>0</v>
      </c>
      <c r="M49" s="202">
        <v>5805645.7199999997</v>
      </c>
      <c r="N49" s="202">
        <v>0</v>
      </c>
      <c r="O49" s="202">
        <v>3326442.48</v>
      </c>
      <c r="P49" s="202">
        <v>2137057.7000000002</v>
      </c>
      <c r="Q49" s="202">
        <v>4660523.91</v>
      </c>
      <c r="R49" s="202">
        <v>0</v>
      </c>
      <c r="S49" s="202">
        <v>2064970.37</v>
      </c>
      <c r="T49" s="202">
        <v>1019284.69</v>
      </c>
      <c r="U49" s="202">
        <v>3969089.5</v>
      </c>
      <c r="V49" s="202">
        <v>3682818.23</v>
      </c>
      <c r="W49" s="202">
        <v>3385200</v>
      </c>
      <c r="X49" s="202">
        <v>0</v>
      </c>
    </row>
    <row r="50" spans="1:24">
      <c r="A50" s="202" t="s">
        <v>264</v>
      </c>
      <c r="B50" s="202">
        <v>0</v>
      </c>
      <c r="C50" s="202">
        <v>2298397.36</v>
      </c>
      <c r="D50" s="202">
        <v>0</v>
      </c>
      <c r="E50" s="202">
        <v>4827459.5</v>
      </c>
      <c r="F50" s="202">
        <v>0</v>
      </c>
      <c r="G50" s="202">
        <v>1261761.18</v>
      </c>
      <c r="H50" s="202">
        <v>0</v>
      </c>
      <c r="I50" s="202">
        <v>2529712.2599999998</v>
      </c>
      <c r="J50" s="202">
        <v>0</v>
      </c>
      <c r="K50" s="202">
        <v>1328018.6499999999</v>
      </c>
      <c r="L50" s="202">
        <v>0</v>
      </c>
      <c r="M50" s="202">
        <v>2425249.0499999998</v>
      </c>
      <c r="N50" s="202">
        <v>0</v>
      </c>
      <c r="O50" s="202">
        <v>1149487.52</v>
      </c>
      <c r="P50" s="202">
        <v>583370.6</v>
      </c>
      <c r="Q50" s="202">
        <v>2262485.08</v>
      </c>
      <c r="R50" s="202">
        <v>0</v>
      </c>
      <c r="S50" s="202">
        <v>1095744.42</v>
      </c>
      <c r="T50" s="202">
        <v>544617.19999999995</v>
      </c>
      <c r="U50" s="202">
        <v>2107666.17</v>
      </c>
      <c r="V50" s="202">
        <v>2103350.33</v>
      </c>
      <c r="W50" s="202">
        <v>1237500</v>
      </c>
      <c r="X50" s="202">
        <v>0</v>
      </c>
    </row>
    <row r="51" spans="1:24">
      <c r="A51" s="202" t="s">
        <v>265</v>
      </c>
      <c r="B51" s="202">
        <v>0</v>
      </c>
      <c r="C51" s="202">
        <v>0</v>
      </c>
      <c r="D51" s="202">
        <v>0</v>
      </c>
      <c r="E51" s="202">
        <v>0</v>
      </c>
      <c r="F51" s="202">
        <v>0</v>
      </c>
      <c r="G51" s="202">
        <v>8072.17</v>
      </c>
      <c r="H51" s="202">
        <v>0</v>
      </c>
      <c r="I51" s="202">
        <v>0</v>
      </c>
      <c r="J51" s="202">
        <v>0</v>
      </c>
      <c r="K51" s="202">
        <v>0</v>
      </c>
      <c r="L51" s="202">
        <v>0</v>
      </c>
      <c r="M51" s="202">
        <v>0</v>
      </c>
      <c r="N51" s="202">
        <v>0</v>
      </c>
      <c r="O51" s="202">
        <v>0</v>
      </c>
      <c r="P51" s="202">
        <v>0</v>
      </c>
      <c r="Q51" s="202">
        <v>0</v>
      </c>
      <c r="R51" s="202">
        <v>0</v>
      </c>
      <c r="S51" s="202">
        <v>0</v>
      </c>
      <c r="T51" s="202">
        <v>0</v>
      </c>
      <c r="U51" s="202">
        <v>0</v>
      </c>
      <c r="V51" s="202">
        <v>0</v>
      </c>
      <c r="W51" s="202">
        <v>0</v>
      </c>
      <c r="X51" s="202">
        <v>0</v>
      </c>
    </row>
    <row r="52" spans="1:24">
      <c r="A52" s="202" t="s">
        <v>266</v>
      </c>
      <c r="B52" s="202">
        <v>0</v>
      </c>
      <c r="C52" s="202">
        <v>0</v>
      </c>
      <c r="D52" s="202">
        <v>0</v>
      </c>
      <c r="E52" s="202">
        <v>0</v>
      </c>
      <c r="F52" s="202">
        <v>0</v>
      </c>
      <c r="G52" s="202">
        <v>0</v>
      </c>
      <c r="H52" s="202">
        <v>0</v>
      </c>
      <c r="I52" s="202">
        <v>0</v>
      </c>
      <c r="J52" s="202">
        <v>0</v>
      </c>
      <c r="K52" s="202">
        <v>0</v>
      </c>
      <c r="L52" s="202">
        <v>0</v>
      </c>
      <c r="M52" s="202">
        <v>0</v>
      </c>
      <c r="N52" s="202">
        <v>0</v>
      </c>
      <c r="O52" s="202">
        <v>0</v>
      </c>
      <c r="P52" s="202">
        <v>0</v>
      </c>
      <c r="Q52" s="202">
        <v>0</v>
      </c>
      <c r="R52" s="202">
        <v>0</v>
      </c>
      <c r="S52" s="202">
        <v>0</v>
      </c>
      <c r="T52" s="202">
        <v>0</v>
      </c>
      <c r="U52" s="202">
        <v>0</v>
      </c>
      <c r="V52" s="202">
        <v>0</v>
      </c>
      <c r="W52" s="202">
        <v>0</v>
      </c>
      <c r="X52" s="202">
        <v>0</v>
      </c>
    </row>
    <row r="53" spans="1:24">
      <c r="A53" s="202" t="s">
        <v>267</v>
      </c>
      <c r="B53" s="202">
        <v>0</v>
      </c>
      <c r="C53" s="202">
        <v>0</v>
      </c>
      <c r="D53" s="202">
        <v>0</v>
      </c>
      <c r="E53" s="202">
        <v>0</v>
      </c>
      <c r="F53" s="202">
        <v>0</v>
      </c>
      <c r="G53" s="202">
        <v>0</v>
      </c>
      <c r="H53" s="202">
        <v>0</v>
      </c>
      <c r="I53" s="202">
        <v>0</v>
      </c>
      <c r="J53" s="202">
        <v>0</v>
      </c>
      <c r="K53" s="202">
        <v>0</v>
      </c>
      <c r="L53" s="202">
        <v>0</v>
      </c>
      <c r="M53" s="202">
        <v>0</v>
      </c>
      <c r="N53" s="202">
        <v>0</v>
      </c>
      <c r="O53" s="202">
        <v>0</v>
      </c>
      <c r="P53" s="202">
        <v>0</v>
      </c>
      <c r="Q53" s="202">
        <v>0</v>
      </c>
      <c r="R53" s="202">
        <v>0</v>
      </c>
      <c r="S53" s="202">
        <v>0</v>
      </c>
      <c r="T53" s="202">
        <v>0</v>
      </c>
      <c r="U53" s="202">
        <v>0</v>
      </c>
      <c r="V53" s="202">
        <v>0</v>
      </c>
      <c r="W53" s="202">
        <v>0</v>
      </c>
      <c r="X53" s="202">
        <v>0</v>
      </c>
    </row>
    <row r="54" spans="1:24">
      <c r="A54" s="202" t="s">
        <v>268</v>
      </c>
      <c r="B54" s="202">
        <v>0</v>
      </c>
      <c r="C54" s="202">
        <v>-67624.91</v>
      </c>
      <c r="D54" s="202">
        <v>0</v>
      </c>
      <c r="E54" s="202">
        <v>30884.45</v>
      </c>
      <c r="F54" s="202">
        <v>0</v>
      </c>
      <c r="G54" s="202">
        <v>-205.13</v>
      </c>
      <c r="H54" s="202">
        <v>0</v>
      </c>
      <c r="I54" s="202">
        <v>-66401.63</v>
      </c>
      <c r="J54" s="202">
        <v>0</v>
      </c>
      <c r="K54" s="202">
        <v>-70937.08</v>
      </c>
      <c r="L54" s="202">
        <v>0</v>
      </c>
      <c r="M54" s="202">
        <v>2903.24</v>
      </c>
      <c r="N54" s="202">
        <v>0</v>
      </c>
      <c r="O54" s="202">
        <v>1240</v>
      </c>
      <c r="P54" s="202">
        <v>-350</v>
      </c>
      <c r="Q54" s="202">
        <v>-637.02</v>
      </c>
      <c r="R54" s="202">
        <v>0</v>
      </c>
      <c r="S54" s="202">
        <v>1326.95</v>
      </c>
      <c r="T54" s="202">
        <v>0</v>
      </c>
      <c r="U54" s="202">
        <v>1887.22</v>
      </c>
      <c r="V54" s="202">
        <v>11149.28</v>
      </c>
      <c r="W54" s="202">
        <v>2200</v>
      </c>
      <c r="X54" s="202">
        <v>0</v>
      </c>
    </row>
    <row r="55" spans="1:24">
      <c r="A55" s="202" t="s">
        <v>269</v>
      </c>
      <c r="B55" s="202">
        <v>0</v>
      </c>
      <c r="C55" s="202">
        <v>0</v>
      </c>
      <c r="D55" s="202">
        <v>0</v>
      </c>
      <c r="E55" s="202">
        <v>0</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row>
    <row r="56" spans="1:24">
      <c r="A56" s="202" t="s">
        <v>270</v>
      </c>
      <c r="B56" s="202">
        <v>0</v>
      </c>
      <c r="C56" s="202">
        <v>0</v>
      </c>
      <c r="D56" s="202">
        <v>0</v>
      </c>
      <c r="E56" s="202">
        <v>477275</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row>
    <row r="57" spans="1:24">
      <c r="A57" s="202" t="s">
        <v>271</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row>
    <row r="58" spans="1:24">
      <c r="A58" s="202" t="s">
        <v>272</v>
      </c>
      <c r="B58" s="202">
        <v>0</v>
      </c>
      <c r="C58" s="202">
        <v>0</v>
      </c>
      <c r="D58" s="202">
        <v>0</v>
      </c>
      <c r="E58" s="202">
        <v>0</v>
      </c>
      <c r="F58" s="202">
        <v>0</v>
      </c>
      <c r="G58" s="202">
        <v>0</v>
      </c>
      <c r="H58" s="202">
        <v>0</v>
      </c>
      <c r="I58" s="202">
        <v>0</v>
      </c>
      <c r="J58" s="202">
        <v>0</v>
      </c>
      <c r="K58" s="202">
        <v>0</v>
      </c>
      <c r="L58" s="202">
        <v>0</v>
      </c>
      <c r="M58" s="202">
        <v>0</v>
      </c>
      <c r="N58" s="202">
        <v>0</v>
      </c>
      <c r="O58" s="202">
        <v>0</v>
      </c>
      <c r="P58" s="202">
        <v>0</v>
      </c>
      <c r="Q58" s="202">
        <v>0</v>
      </c>
      <c r="R58" s="202">
        <v>0</v>
      </c>
      <c r="S58" s="202">
        <v>0</v>
      </c>
      <c r="T58" s="202">
        <v>0</v>
      </c>
      <c r="U58" s="202">
        <v>0</v>
      </c>
      <c r="V58" s="202">
        <v>0</v>
      </c>
      <c r="W58" s="202">
        <v>0</v>
      </c>
      <c r="X58" s="202">
        <v>0</v>
      </c>
    </row>
    <row r="59" spans="1:24">
      <c r="A59" s="202" t="s">
        <v>197</v>
      </c>
      <c r="B59" s="202">
        <v>0</v>
      </c>
      <c r="C59" s="202">
        <v>390937.99</v>
      </c>
      <c r="D59" s="202">
        <v>0</v>
      </c>
      <c r="E59" s="202">
        <v>11200288.710000001</v>
      </c>
      <c r="F59" s="202">
        <v>0</v>
      </c>
      <c r="G59" s="202">
        <v>5379616.9299999997</v>
      </c>
      <c r="H59" s="202">
        <v>0</v>
      </c>
      <c r="I59" s="202">
        <v>425600.24</v>
      </c>
      <c r="J59" s="202">
        <v>0</v>
      </c>
      <c r="K59" s="202">
        <v>499.07</v>
      </c>
      <c r="L59" s="202">
        <v>0</v>
      </c>
      <c r="M59" s="202">
        <v>420224.9</v>
      </c>
      <c r="N59" s="202">
        <v>0</v>
      </c>
      <c r="O59" s="202">
        <v>480775.36</v>
      </c>
      <c r="P59" s="202">
        <v>233008.87</v>
      </c>
      <c r="Q59" s="202">
        <v>1357271.08</v>
      </c>
      <c r="R59" s="202">
        <v>0</v>
      </c>
      <c r="S59" s="202">
        <v>420709.34</v>
      </c>
      <c r="T59" s="202">
        <v>186453.21</v>
      </c>
      <c r="U59" s="202">
        <v>1918038.29</v>
      </c>
      <c r="V59" s="202">
        <v>2181911.69</v>
      </c>
      <c r="W59" s="202">
        <v>299400</v>
      </c>
      <c r="X59" s="202">
        <v>0</v>
      </c>
    </row>
    <row r="60" spans="1:24">
      <c r="A60" s="202" t="s">
        <v>273</v>
      </c>
      <c r="B60" s="202">
        <v>0</v>
      </c>
      <c r="C60" s="202">
        <v>-119095.89</v>
      </c>
      <c r="D60" s="202">
        <v>0</v>
      </c>
      <c r="E60" s="202">
        <v>-453801.37</v>
      </c>
      <c r="F60" s="202">
        <v>0</v>
      </c>
      <c r="G60" s="202">
        <v>-242075.34</v>
      </c>
      <c r="H60" s="202">
        <v>0</v>
      </c>
      <c r="I60" s="202">
        <v>-954867.12</v>
      </c>
      <c r="J60" s="202">
        <v>0</v>
      </c>
      <c r="K60" s="202">
        <v>-573673.97</v>
      </c>
      <c r="L60" s="202">
        <v>0</v>
      </c>
      <c r="M60" s="202">
        <v>-476575.34</v>
      </c>
      <c r="N60" s="202">
        <v>0</v>
      </c>
      <c r="O60" s="202">
        <v>0</v>
      </c>
      <c r="P60" s="202">
        <v>0</v>
      </c>
      <c r="Q60" s="202">
        <v>0</v>
      </c>
      <c r="R60" s="202">
        <v>0</v>
      </c>
      <c r="S60" s="202">
        <v>0</v>
      </c>
      <c r="T60" s="202">
        <v>0</v>
      </c>
      <c r="U60" s="202">
        <v>0</v>
      </c>
      <c r="V60" s="202">
        <v>0</v>
      </c>
      <c r="W60" s="202">
        <v>0</v>
      </c>
      <c r="X60" s="202">
        <v>0</v>
      </c>
    </row>
    <row r="61" spans="1:24">
      <c r="A61" s="202" t="s">
        <v>274</v>
      </c>
      <c r="B61" s="202">
        <v>0</v>
      </c>
      <c r="C61" s="202">
        <v>-796135.33</v>
      </c>
      <c r="D61" s="202">
        <v>0</v>
      </c>
      <c r="E61" s="202">
        <v>-558474.27</v>
      </c>
      <c r="F61" s="202">
        <v>0</v>
      </c>
      <c r="G61" s="202">
        <v>-617271.43999999994</v>
      </c>
      <c r="H61" s="202">
        <v>0</v>
      </c>
      <c r="I61" s="202">
        <v>-197744.43</v>
      </c>
      <c r="J61" s="202">
        <v>0</v>
      </c>
      <c r="K61" s="202">
        <v>-504507.15</v>
      </c>
      <c r="L61" s="202">
        <v>0</v>
      </c>
      <c r="M61" s="202">
        <v>-420653.17</v>
      </c>
      <c r="N61" s="202">
        <v>0</v>
      </c>
      <c r="O61" s="202">
        <v>-233702.03</v>
      </c>
      <c r="P61" s="202">
        <v>-349532.95</v>
      </c>
      <c r="Q61" s="202">
        <v>-585521.22</v>
      </c>
      <c r="R61" s="202">
        <v>0</v>
      </c>
      <c r="S61" s="202">
        <v>-354020.72</v>
      </c>
      <c r="T61" s="202">
        <v>-214920.04</v>
      </c>
      <c r="U61" s="202">
        <v>-1923117.86</v>
      </c>
      <c r="V61" s="202">
        <v>-952636.5</v>
      </c>
      <c r="W61" s="202">
        <v>-171700</v>
      </c>
      <c r="X61" s="202">
        <v>0</v>
      </c>
    </row>
    <row r="62" spans="1:24">
      <c r="A62" s="202" t="s">
        <v>275</v>
      </c>
      <c r="B62" s="202">
        <v>0</v>
      </c>
      <c r="C62" s="202">
        <v>432335.86</v>
      </c>
      <c r="D62" s="202">
        <v>0</v>
      </c>
      <c r="E62" s="202">
        <v>-641240.1</v>
      </c>
      <c r="F62" s="202">
        <v>0</v>
      </c>
      <c r="G62" s="202">
        <v>301391.93</v>
      </c>
      <c r="H62" s="202">
        <v>0</v>
      </c>
      <c r="I62" s="202">
        <v>0</v>
      </c>
      <c r="J62" s="202">
        <v>0</v>
      </c>
      <c r="K62" s="202">
        <v>0</v>
      </c>
      <c r="L62" s="202">
        <v>0</v>
      </c>
      <c r="M62" s="202">
        <v>0</v>
      </c>
      <c r="N62" s="202">
        <v>0</v>
      </c>
      <c r="O62" s="202">
        <v>0</v>
      </c>
      <c r="P62" s="202">
        <v>0</v>
      </c>
      <c r="Q62" s="202">
        <v>0</v>
      </c>
      <c r="R62" s="202">
        <v>0</v>
      </c>
      <c r="S62" s="202">
        <v>0</v>
      </c>
      <c r="T62" s="202">
        <v>0</v>
      </c>
      <c r="U62" s="202">
        <v>0</v>
      </c>
      <c r="V62" s="202">
        <v>0</v>
      </c>
      <c r="W62" s="202">
        <v>0</v>
      </c>
      <c r="X62" s="202">
        <v>0</v>
      </c>
    </row>
    <row r="63" spans="1:24">
      <c r="A63" s="202" t="s">
        <v>276</v>
      </c>
      <c r="B63" s="202">
        <v>0</v>
      </c>
      <c r="C63" s="202">
        <v>-44415570.789999999</v>
      </c>
      <c r="D63" s="202">
        <v>0</v>
      </c>
      <c r="E63" s="202">
        <v>-26784415.010000002</v>
      </c>
      <c r="F63" s="202">
        <v>0</v>
      </c>
      <c r="G63" s="202">
        <v>-12782221.699999999</v>
      </c>
      <c r="H63" s="202">
        <v>0</v>
      </c>
      <c r="I63" s="202">
        <v>2172528.83</v>
      </c>
      <c r="J63" s="202">
        <v>0</v>
      </c>
      <c r="K63" s="202">
        <v>10956710.18</v>
      </c>
      <c r="L63" s="202">
        <v>0</v>
      </c>
      <c r="M63" s="202">
        <v>-11684366.15</v>
      </c>
      <c r="N63" s="202">
        <v>0</v>
      </c>
      <c r="O63" s="202">
        <v>-4936742.78</v>
      </c>
      <c r="P63" s="202">
        <v>-3146397.67</v>
      </c>
      <c r="Q63" s="202">
        <v>-16394697.93</v>
      </c>
      <c r="R63" s="202">
        <v>0</v>
      </c>
      <c r="S63" s="202">
        <v>-3724829.12</v>
      </c>
      <c r="T63" s="202">
        <v>-1774758.6</v>
      </c>
      <c r="U63" s="202">
        <v>-18842442.27</v>
      </c>
      <c r="V63" s="202">
        <v>-10380835.960000001</v>
      </c>
      <c r="W63" s="202">
        <v>-18945700</v>
      </c>
      <c r="X63" s="202">
        <v>0</v>
      </c>
    </row>
    <row r="64" spans="1:24">
      <c r="A64" s="202" t="s">
        <v>277</v>
      </c>
      <c r="B64" s="202">
        <v>0</v>
      </c>
      <c r="C64" s="202">
        <v>-68491088.379999995</v>
      </c>
      <c r="D64" s="202">
        <v>0</v>
      </c>
      <c r="E64" s="202">
        <v>-85181075.340000004</v>
      </c>
      <c r="F64" s="202">
        <v>0</v>
      </c>
      <c r="G64" s="202">
        <v>-60111412.439999998</v>
      </c>
      <c r="H64" s="202">
        <v>0</v>
      </c>
      <c r="I64" s="202">
        <v>-32440822.75</v>
      </c>
      <c r="J64" s="202">
        <v>0</v>
      </c>
      <c r="K64" s="202">
        <v>-30423171.010000002</v>
      </c>
      <c r="L64" s="202">
        <v>0</v>
      </c>
      <c r="M64" s="202">
        <v>-50066660.829999998</v>
      </c>
      <c r="N64" s="202">
        <v>0</v>
      </c>
      <c r="O64" s="202">
        <v>-28712310.48</v>
      </c>
      <c r="P64" s="202">
        <v>-11311940.25</v>
      </c>
      <c r="Q64" s="202">
        <v>-44049694.799999997</v>
      </c>
      <c r="R64" s="202">
        <v>0</v>
      </c>
      <c r="S64" s="202">
        <v>-43947584.899999999</v>
      </c>
      <c r="T64" s="202">
        <v>-19566751.420000002</v>
      </c>
      <c r="U64" s="202">
        <v>-43604824.189999998</v>
      </c>
      <c r="V64" s="202">
        <v>-44970155.759999998</v>
      </c>
      <c r="W64" s="202">
        <v>-35641400</v>
      </c>
      <c r="X64" s="202">
        <v>0</v>
      </c>
    </row>
    <row r="65" spans="1:24">
      <c r="A65" s="202" t="s">
        <v>278</v>
      </c>
      <c r="B65" s="202">
        <v>0</v>
      </c>
      <c r="C65" s="202">
        <v>36886594.390000001</v>
      </c>
      <c r="D65" s="202">
        <v>0</v>
      </c>
      <c r="E65" s="202">
        <v>35966287.479999997</v>
      </c>
      <c r="F65" s="202">
        <v>0</v>
      </c>
      <c r="G65" s="202">
        <v>32487667.800000001</v>
      </c>
      <c r="H65" s="202">
        <v>0</v>
      </c>
      <c r="I65" s="202">
        <v>-8101373.9800000004</v>
      </c>
      <c r="J65" s="202">
        <v>0</v>
      </c>
      <c r="K65" s="202">
        <v>-808078.23</v>
      </c>
      <c r="L65" s="202">
        <v>0</v>
      </c>
      <c r="M65" s="202">
        <v>-5079244.1900000004</v>
      </c>
      <c r="N65" s="202">
        <v>0</v>
      </c>
      <c r="O65" s="202">
        <v>-3817878.25</v>
      </c>
      <c r="P65" s="202">
        <v>-1984030.61</v>
      </c>
      <c r="Q65" s="202">
        <v>-376596.21</v>
      </c>
      <c r="R65" s="202">
        <v>0</v>
      </c>
      <c r="S65" s="202">
        <v>15728547.92</v>
      </c>
      <c r="T65" s="202">
        <v>3225825.18</v>
      </c>
      <c r="U65" s="202">
        <v>9038780.1699999999</v>
      </c>
      <c r="V65" s="202">
        <v>6112695.9500000002</v>
      </c>
      <c r="W65" s="202">
        <v>9739200</v>
      </c>
      <c r="X65" s="202">
        <v>0</v>
      </c>
    </row>
    <row r="66" spans="1:24">
      <c r="A66" s="202" t="s">
        <v>279</v>
      </c>
      <c r="B66" s="202">
        <v>0</v>
      </c>
      <c r="C66" s="202">
        <v>0</v>
      </c>
      <c r="D66" s="202">
        <v>0</v>
      </c>
      <c r="E66" s="202">
        <v>0</v>
      </c>
      <c r="F66" s="202">
        <v>0</v>
      </c>
      <c r="G66" s="202">
        <v>0</v>
      </c>
      <c r="H66" s="202">
        <v>0</v>
      </c>
      <c r="I66" s="202">
        <v>0</v>
      </c>
      <c r="J66" s="202">
        <v>0</v>
      </c>
      <c r="K66" s="202">
        <v>0</v>
      </c>
      <c r="L66" s="202">
        <v>0</v>
      </c>
      <c r="M66" s="202">
        <v>0</v>
      </c>
      <c r="N66" s="202">
        <v>0</v>
      </c>
      <c r="O66" s="202">
        <v>0</v>
      </c>
      <c r="P66" s="202">
        <v>0</v>
      </c>
      <c r="Q66" s="202">
        <v>0</v>
      </c>
      <c r="R66" s="202">
        <v>0</v>
      </c>
      <c r="S66" s="202">
        <v>0</v>
      </c>
      <c r="T66" s="202">
        <v>0</v>
      </c>
      <c r="U66" s="202">
        <v>0</v>
      </c>
      <c r="V66" s="202">
        <v>0</v>
      </c>
      <c r="W66" s="202">
        <v>0</v>
      </c>
      <c r="X66" s="202">
        <v>0</v>
      </c>
    </row>
    <row r="67" spans="1:24">
      <c r="A67" s="202" t="s">
        <v>280</v>
      </c>
      <c r="B67" s="202">
        <v>0</v>
      </c>
      <c r="C67" s="202">
        <v>0</v>
      </c>
      <c r="D67" s="202">
        <v>0</v>
      </c>
      <c r="E67" s="202">
        <v>0</v>
      </c>
      <c r="F67" s="202">
        <v>0</v>
      </c>
      <c r="G67" s="202">
        <v>0</v>
      </c>
      <c r="H67" s="202">
        <v>0</v>
      </c>
      <c r="I67" s="202">
        <v>0</v>
      </c>
      <c r="J67" s="202">
        <v>0</v>
      </c>
      <c r="K67" s="202">
        <v>0</v>
      </c>
      <c r="L67" s="202">
        <v>0</v>
      </c>
      <c r="M67" s="202">
        <v>0</v>
      </c>
      <c r="N67" s="202">
        <v>0</v>
      </c>
      <c r="O67" s="202">
        <v>0</v>
      </c>
      <c r="P67" s="202">
        <v>0</v>
      </c>
      <c r="Q67" s="202">
        <v>0</v>
      </c>
      <c r="R67" s="202">
        <v>0</v>
      </c>
      <c r="S67" s="202">
        <v>0</v>
      </c>
      <c r="T67" s="202">
        <v>0</v>
      </c>
      <c r="U67" s="202">
        <v>0</v>
      </c>
      <c r="V67" s="202">
        <v>0</v>
      </c>
      <c r="W67" s="202">
        <v>0</v>
      </c>
      <c r="X67" s="202">
        <v>0</v>
      </c>
    </row>
    <row r="68" spans="1:24">
      <c r="A68" s="202" t="s">
        <v>281</v>
      </c>
      <c r="B68" s="202">
        <v>0</v>
      </c>
      <c r="C68" s="202">
        <v>0</v>
      </c>
      <c r="D68" s="202">
        <v>0</v>
      </c>
      <c r="E68" s="202">
        <v>0</v>
      </c>
      <c r="F68" s="202">
        <v>0</v>
      </c>
      <c r="G68" s="202">
        <v>0</v>
      </c>
      <c r="H68" s="202">
        <v>0</v>
      </c>
      <c r="I68" s="202">
        <v>0</v>
      </c>
      <c r="J68" s="202">
        <v>0</v>
      </c>
      <c r="K68" s="202">
        <v>0</v>
      </c>
      <c r="L68" s="202">
        <v>0</v>
      </c>
      <c r="M68" s="202">
        <v>0</v>
      </c>
      <c r="N68" s="202">
        <v>0</v>
      </c>
      <c r="O68" s="202">
        <v>0</v>
      </c>
      <c r="P68" s="202">
        <v>0</v>
      </c>
      <c r="Q68" s="202">
        <v>0</v>
      </c>
      <c r="R68" s="202">
        <v>0</v>
      </c>
      <c r="S68" s="202">
        <v>0</v>
      </c>
      <c r="T68" s="202">
        <v>0</v>
      </c>
      <c r="U68" s="202">
        <v>0</v>
      </c>
      <c r="V68" s="202">
        <v>0</v>
      </c>
      <c r="W68" s="202">
        <v>0</v>
      </c>
      <c r="X68" s="202">
        <v>0</v>
      </c>
    </row>
    <row r="69" spans="1:24">
      <c r="A69" s="202" t="s">
        <v>282</v>
      </c>
      <c r="B69" s="202">
        <v>0</v>
      </c>
      <c r="C69" s="202">
        <v>10077152.57</v>
      </c>
      <c r="D69" s="202">
        <v>0</v>
      </c>
      <c r="E69" s="202">
        <v>72202714.969999999</v>
      </c>
      <c r="F69" s="202">
        <v>0</v>
      </c>
      <c r="G69" s="202">
        <v>19253786.199999999</v>
      </c>
      <c r="H69" s="202">
        <v>0</v>
      </c>
      <c r="I69" s="202">
        <v>69961461.189999998</v>
      </c>
      <c r="J69" s="202">
        <v>0</v>
      </c>
      <c r="K69" s="202">
        <v>23404106.48</v>
      </c>
      <c r="L69" s="202">
        <v>0</v>
      </c>
      <c r="M69" s="202">
        <v>25286050.879999999</v>
      </c>
      <c r="N69" s="202">
        <v>0</v>
      </c>
      <c r="O69" s="202">
        <v>4571174.9000000004</v>
      </c>
      <c r="P69" s="202">
        <v>5179884.62</v>
      </c>
      <c r="Q69" s="202">
        <v>38535259.909999996</v>
      </c>
      <c r="R69" s="202">
        <v>0</v>
      </c>
      <c r="S69" s="202">
        <v>13958199.140000001</v>
      </c>
      <c r="T69" s="202">
        <v>4913653.6500000004</v>
      </c>
      <c r="U69" s="202">
        <v>35251184.609999999</v>
      </c>
      <c r="V69" s="202">
        <v>32455696.800000001</v>
      </c>
      <c r="W69" s="202">
        <v>10428800</v>
      </c>
      <c r="X69" s="202">
        <v>0</v>
      </c>
    </row>
    <row r="70" spans="1:24">
      <c r="A70" s="202" t="s">
        <v>283</v>
      </c>
      <c r="B70" s="202">
        <v>0</v>
      </c>
      <c r="C70" s="202">
        <v>0</v>
      </c>
      <c r="D70" s="202">
        <v>0</v>
      </c>
      <c r="E70" s="202">
        <v>0</v>
      </c>
      <c r="F70" s="202">
        <v>0</v>
      </c>
      <c r="G70" s="202">
        <v>0</v>
      </c>
      <c r="H70" s="202">
        <v>0</v>
      </c>
      <c r="I70" s="202">
        <v>0</v>
      </c>
      <c r="J70" s="202">
        <v>0</v>
      </c>
      <c r="K70" s="202">
        <v>0</v>
      </c>
      <c r="L70" s="202">
        <v>0</v>
      </c>
      <c r="M70" s="202">
        <v>0</v>
      </c>
      <c r="N70" s="202">
        <v>0</v>
      </c>
      <c r="O70" s="202">
        <v>0</v>
      </c>
      <c r="P70" s="202">
        <v>0</v>
      </c>
      <c r="Q70" s="202">
        <v>0</v>
      </c>
      <c r="R70" s="202">
        <v>0</v>
      </c>
      <c r="S70" s="202">
        <v>0</v>
      </c>
      <c r="T70" s="202">
        <v>0</v>
      </c>
      <c r="U70" s="202">
        <v>0</v>
      </c>
      <c r="V70" s="202">
        <v>0</v>
      </c>
      <c r="W70" s="202">
        <v>0</v>
      </c>
      <c r="X70" s="202">
        <v>0</v>
      </c>
    </row>
    <row r="71" spans="1:24">
      <c r="A71" s="202" t="s">
        <v>284</v>
      </c>
      <c r="B71" s="202">
        <v>0</v>
      </c>
      <c r="C71" s="202">
        <v>0</v>
      </c>
      <c r="D71" s="202">
        <v>0</v>
      </c>
      <c r="E71" s="202">
        <v>0</v>
      </c>
      <c r="F71" s="202">
        <v>0</v>
      </c>
      <c r="G71" s="202">
        <v>0</v>
      </c>
      <c r="H71" s="202">
        <v>0</v>
      </c>
      <c r="I71" s="202">
        <v>0</v>
      </c>
      <c r="J71" s="202">
        <v>0</v>
      </c>
      <c r="K71" s="202">
        <v>0</v>
      </c>
      <c r="L71" s="202">
        <v>0</v>
      </c>
      <c r="M71" s="202">
        <v>0</v>
      </c>
      <c r="N71" s="202">
        <v>0</v>
      </c>
      <c r="O71" s="202">
        <v>0</v>
      </c>
      <c r="P71" s="202">
        <v>0</v>
      </c>
      <c r="Q71" s="202">
        <v>0</v>
      </c>
      <c r="R71" s="202">
        <v>0</v>
      </c>
      <c r="S71" s="202">
        <v>0</v>
      </c>
      <c r="T71" s="202">
        <v>0</v>
      </c>
      <c r="U71" s="202">
        <v>0</v>
      </c>
      <c r="V71" s="202">
        <v>0</v>
      </c>
      <c r="W71" s="202">
        <v>0</v>
      </c>
      <c r="X71" s="202">
        <v>0</v>
      </c>
    </row>
    <row r="72" spans="1:24">
      <c r="A72" s="202" t="s">
        <v>285</v>
      </c>
      <c r="B72" s="202">
        <v>0</v>
      </c>
      <c r="C72" s="202">
        <v>0</v>
      </c>
      <c r="D72" s="202">
        <v>0</v>
      </c>
      <c r="E72" s="202">
        <v>0</v>
      </c>
      <c r="F72" s="202">
        <v>0</v>
      </c>
      <c r="G72" s="202">
        <v>0</v>
      </c>
      <c r="H72" s="202">
        <v>0</v>
      </c>
      <c r="I72" s="202">
        <v>0</v>
      </c>
      <c r="J72" s="202">
        <v>0</v>
      </c>
      <c r="K72" s="202">
        <v>0</v>
      </c>
      <c r="L72" s="202">
        <v>0</v>
      </c>
      <c r="M72" s="202">
        <v>0</v>
      </c>
      <c r="N72" s="202">
        <v>0</v>
      </c>
      <c r="O72" s="202">
        <v>0</v>
      </c>
      <c r="P72" s="202">
        <v>0</v>
      </c>
      <c r="Q72" s="202">
        <v>0</v>
      </c>
      <c r="R72" s="202">
        <v>0</v>
      </c>
      <c r="S72" s="202">
        <v>0</v>
      </c>
      <c r="T72" s="202">
        <v>0</v>
      </c>
      <c r="U72" s="202">
        <v>0</v>
      </c>
      <c r="V72" s="202">
        <v>0</v>
      </c>
      <c r="W72" s="202">
        <v>0</v>
      </c>
      <c r="X72" s="202">
        <v>0</v>
      </c>
    </row>
    <row r="73" spans="1:24">
      <c r="A73" s="202" t="s">
        <v>286</v>
      </c>
      <c r="B73" s="202">
        <v>0</v>
      </c>
      <c r="C73" s="202">
        <v>315391875.31999999</v>
      </c>
      <c r="D73" s="202">
        <v>0</v>
      </c>
      <c r="E73" s="202">
        <v>387165177.86000001</v>
      </c>
      <c r="F73" s="202">
        <v>0</v>
      </c>
      <c r="G73" s="202">
        <v>508228673.50999999</v>
      </c>
      <c r="H73" s="202">
        <v>0</v>
      </c>
      <c r="I73" s="202">
        <v>493121281.17000002</v>
      </c>
      <c r="J73" s="202">
        <v>0</v>
      </c>
      <c r="K73" s="202">
        <v>422511120.27999997</v>
      </c>
      <c r="L73" s="202">
        <v>0</v>
      </c>
      <c r="M73" s="202">
        <v>413027288.41000003</v>
      </c>
      <c r="N73" s="202">
        <v>0</v>
      </c>
      <c r="O73" s="202">
        <v>462039748.43000001</v>
      </c>
      <c r="P73" s="202">
        <v>62509194.950000003</v>
      </c>
      <c r="Q73" s="202">
        <v>74789730.959999993</v>
      </c>
      <c r="R73" s="202">
        <v>0</v>
      </c>
      <c r="S73" s="202">
        <v>65711096.759999998</v>
      </c>
      <c r="T73" s="202">
        <v>46076731.280000001</v>
      </c>
      <c r="U73" s="202">
        <v>24948478.879999999</v>
      </c>
      <c r="V73" s="202">
        <v>45028010.689999998</v>
      </c>
      <c r="W73" s="202">
        <v>0</v>
      </c>
      <c r="X73" s="202">
        <v>0</v>
      </c>
    </row>
    <row r="74" spans="1:24">
      <c r="A74" s="202" t="s">
        <v>287</v>
      </c>
      <c r="B74" s="202">
        <v>0</v>
      </c>
      <c r="C74" s="202">
        <v>387165177.86000001</v>
      </c>
      <c r="D74" s="202">
        <v>0</v>
      </c>
      <c r="E74" s="202">
        <v>493121281.17000002</v>
      </c>
      <c r="F74" s="202">
        <v>0</v>
      </c>
      <c r="G74" s="202">
        <v>493121281.17000002</v>
      </c>
      <c r="H74" s="202">
        <v>0</v>
      </c>
      <c r="I74" s="202">
        <v>413027288.41000003</v>
      </c>
      <c r="J74" s="202">
        <v>0</v>
      </c>
      <c r="K74" s="202">
        <v>413027288.41000003</v>
      </c>
      <c r="L74" s="202">
        <v>0</v>
      </c>
      <c r="M74" s="202">
        <v>74789730.959999993</v>
      </c>
      <c r="N74" s="202">
        <v>0</v>
      </c>
      <c r="O74" s="202">
        <v>74789730.959999993</v>
      </c>
      <c r="P74" s="202">
        <v>74789730.959999993</v>
      </c>
      <c r="Q74" s="202">
        <v>24948478.879999999</v>
      </c>
      <c r="R74" s="202">
        <v>0</v>
      </c>
      <c r="S74" s="202">
        <v>26369896.879999999</v>
      </c>
      <c r="T74" s="202">
        <v>24948478.879999999</v>
      </c>
      <c r="U74" s="202">
        <v>45028010.689999998</v>
      </c>
      <c r="V74" s="202">
        <v>51968720.68</v>
      </c>
      <c r="W74" s="202">
        <v>0</v>
      </c>
      <c r="X74" s="202">
        <v>0</v>
      </c>
    </row>
    <row r="75" spans="1:24">
      <c r="A75" s="202" t="s">
        <v>288</v>
      </c>
      <c r="B75" s="202">
        <v>0</v>
      </c>
      <c r="C75" s="202">
        <v>0</v>
      </c>
      <c r="D75" s="202">
        <v>0</v>
      </c>
      <c r="E75" s="202">
        <v>0</v>
      </c>
      <c r="F75" s="202">
        <v>0</v>
      </c>
      <c r="G75" s="202">
        <v>0</v>
      </c>
      <c r="H75" s="202">
        <v>0</v>
      </c>
      <c r="I75" s="202">
        <v>0</v>
      </c>
      <c r="J75" s="202">
        <v>0</v>
      </c>
      <c r="K75" s="202">
        <v>0</v>
      </c>
      <c r="L75" s="202">
        <v>0</v>
      </c>
      <c r="M75" s="202">
        <v>0</v>
      </c>
      <c r="N75" s="202">
        <v>0</v>
      </c>
      <c r="O75" s="202">
        <v>0</v>
      </c>
      <c r="P75" s="202">
        <v>0</v>
      </c>
      <c r="Q75" s="202">
        <v>0</v>
      </c>
      <c r="R75" s="202">
        <v>0</v>
      </c>
      <c r="S75" s="202">
        <v>0</v>
      </c>
      <c r="T75" s="202">
        <v>0</v>
      </c>
      <c r="U75" s="202">
        <v>0</v>
      </c>
      <c r="V75" s="202">
        <v>0</v>
      </c>
      <c r="W75" s="202">
        <v>0</v>
      </c>
      <c r="X75" s="202">
        <v>0</v>
      </c>
    </row>
    <row r="76" spans="1:24">
      <c r="A76" s="202" t="s">
        <v>289</v>
      </c>
      <c r="B76" s="202">
        <v>0</v>
      </c>
      <c r="C76" s="202">
        <v>0</v>
      </c>
      <c r="D76" s="202">
        <v>0</v>
      </c>
      <c r="E76" s="202">
        <v>0</v>
      </c>
      <c r="F76" s="202">
        <v>0</v>
      </c>
      <c r="G76" s="202">
        <v>0</v>
      </c>
      <c r="H76" s="202">
        <v>0</v>
      </c>
      <c r="I76" s="202">
        <v>0</v>
      </c>
      <c r="J76" s="202">
        <v>0</v>
      </c>
      <c r="K76" s="202">
        <v>0</v>
      </c>
      <c r="L76" s="202">
        <v>0</v>
      </c>
      <c r="M76" s="202">
        <v>0</v>
      </c>
      <c r="N76" s="202">
        <v>0</v>
      </c>
      <c r="O76" s="202">
        <v>0</v>
      </c>
      <c r="P76" s="202">
        <v>0</v>
      </c>
      <c r="Q76" s="202">
        <v>0</v>
      </c>
      <c r="R76" s="202">
        <v>0</v>
      </c>
      <c r="S76" s="202">
        <v>0</v>
      </c>
      <c r="T76" s="202">
        <v>0</v>
      </c>
      <c r="U76" s="202">
        <v>0</v>
      </c>
      <c r="V76" s="202">
        <v>0</v>
      </c>
      <c r="W76" s="202">
        <v>0</v>
      </c>
      <c r="X76" s="202">
        <v>0</v>
      </c>
    </row>
    <row r="77" spans="1:24">
      <c r="A77" s="202" t="s">
        <v>290</v>
      </c>
      <c r="B77" s="202">
        <v>0</v>
      </c>
      <c r="C77" s="202">
        <v>-71773302.540000007</v>
      </c>
      <c r="D77" s="202">
        <v>0</v>
      </c>
      <c r="E77" s="202">
        <v>-105956103.31</v>
      </c>
      <c r="F77" s="202">
        <v>0</v>
      </c>
      <c r="G77" s="202">
        <v>15107392.34</v>
      </c>
      <c r="H77" s="202">
        <v>0</v>
      </c>
      <c r="I77" s="202">
        <v>80093992.760000005</v>
      </c>
      <c r="J77" s="202">
        <v>0</v>
      </c>
      <c r="K77" s="202">
        <v>9483831.8699999992</v>
      </c>
      <c r="L77" s="202">
        <v>0</v>
      </c>
      <c r="M77" s="202">
        <v>338237557.44999999</v>
      </c>
      <c r="N77" s="202">
        <v>0</v>
      </c>
      <c r="O77" s="202">
        <v>387250017.47000003</v>
      </c>
      <c r="P77" s="202">
        <v>-12280536.01</v>
      </c>
      <c r="Q77" s="202">
        <v>49841252.079999998</v>
      </c>
      <c r="R77" s="202">
        <v>0</v>
      </c>
      <c r="S77" s="202">
        <v>39341199.880000003</v>
      </c>
      <c r="T77" s="202">
        <v>21128252.399999999</v>
      </c>
      <c r="U77" s="202">
        <v>-20079531.809999999</v>
      </c>
      <c r="V77" s="202">
        <v>-6940709.9900000002</v>
      </c>
      <c r="W77" s="202">
        <v>0</v>
      </c>
      <c r="X77" s="202">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I4" sqref="I4"/>
    </sheetView>
  </sheetViews>
  <sheetFormatPr defaultRowHeight="13.5"/>
  <cols>
    <col min="1" max="1" width="31.875" style="17" bestFit="1" customWidth="1"/>
    <col min="2" max="4" width="19.375" hidden="1" customWidth="1"/>
    <col min="5" max="5" width="19.375" bestFit="1" customWidth="1"/>
    <col min="6" max="8" width="19.5" hidden="1" customWidth="1"/>
    <col min="9" max="9" width="19.5" bestFit="1" customWidth="1"/>
    <col min="10" max="12" width="17.25" hidden="1" customWidth="1"/>
    <col min="13" max="13" width="17.25" bestFit="1" customWidth="1"/>
    <col min="14" max="15" width="17.25" hidden="1" customWidth="1"/>
    <col min="16" max="16" width="18.25" hidden="1" customWidth="1"/>
    <col min="17" max="17" width="18.25" bestFit="1" customWidth="1"/>
    <col min="18" max="18" width="17.25" bestFit="1" customWidth="1"/>
    <col min="19" max="20" width="18.25" bestFit="1" customWidth="1"/>
    <col min="21" max="21" width="9.5" hidden="1" customWidth="1"/>
    <col min="22" max="33" width="19.375" bestFit="1" customWidth="1"/>
    <col min="34" max="38" width="17.25" bestFit="1" customWidth="1"/>
    <col min="39" max="39" width="7.375" bestFit="1" customWidth="1"/>
    <col min="40"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1" customFormat="1">
      <c r="A1" s="41">
        <v>300470</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20131231</v>
      </c>
      <c r="S1" s="202">
        <v>20121231</v>
      </c>
      <c r="T1" s="202">
        <v>20111231</v>
      </c>
      <c r="U1" s="202">
        <v>19700101</v>
      </c>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202">
        <v>265526416.63999999</v>
      </c>
      <c r="C4" s="202">
        <v>317823726.92000002</v>
      </c>
      <c r="D4" s="202">
        <v>335144514.43000001</v>
      </c>
      <c r="E4" s="202">
        <v>390275136.37</v>
      </c>
      <c r="F4" s="202">
        <v>505690981.24000001</v>
      </c>
      <c r="G4" s="202">
        <v>508958673.50999999</v>
      </c>
      <c r="H4" s="202">
        <v>497832719.06999999</v>
      </c>
      <c r="I4" s="202">
        <v>493851281.17000002</v>
      </c>
      <c r="J4" s="202">
        <v>461432565.64999998</v>
      </c>
      <c r="K4" s="202">
        <v>423235120.27999997</v>
      </c>
      <c r="L4" s="202">
        <v>411767153.42000002</v>
      </c>
      <c r="M4" s="202">
        <v>413367888.41000003</v>
      </c>
      <c r="N4" s="202">
        <v>389489625.13</v>
      </c>
      <c r="O4" s="202">
        <v>462791285.51999998</v>
      </c>
      <c r="P4" s="202">
        <v>63260732.039999999</v>
      </c>
      <c r="Q4" s="202">
        <v>75747117.969999999</v>
      </c>
      <c r="R4" s="202">
        <v>26369896.879999999</v>
      </c>
      <c r="S4" s="202">
        <v>45028010.689999998</v>
      </c>
      <c r="T4" s="202">
        <v>52203020.68</v>
      </c>
      <c r="U4" s="202">
        <v>0</v>
      </c>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c r="A5" s="17" t="s">
        <v>2</v>
      </c>
      <c r="B5" s="202">
        <v>4510483.7300000004</v>
      </c>
      <c r="C5" s="202">
        <v>4510483.7300000004</v>
      </c>
      <c r="D5" s="202">
        <v>4510483.7300000004</v>
      </c>
      <c r="E5" s="202">
        <v>4510483.7300000004</v>
      </c>
      <c r="F5" s="202">
        <v>0</v>
      </c>
      <c r="G5" s="202">
        <v>0</v>
      </c>
      <c r="H5" s="202">
        <v>0</v>
      </c>
      <c r="I5" s="202">
        <v>0</v>
      </c>
      <c r="J5" s="202">
        <v>0</v>
      </c>
      <c r="K5" s="202">
        <v>0</v>
      </c>
      <c r="L5" s="202">
        <v>0</v>
      </c>
      <c r="M5" s="202">
        <v>0</v>
      </c>
      <c r="N5" s="202">
        <v>0</v>
      </c>
      <c r="O5" s="202">
        <v>0</v>
      </c>
      <c r="P5" s="202">
        <v>0</v>
      </c>
      <c r="Q5" s="202">
        <v>0</v>
      </c>
      <c r="R5" s="202">
        <v>0</v>
      </c>
      <c r="S5" s="202">
        <v>0</v>
      </c>
      <c r="T5" s="202">
        <v>0</v>
      </c>
      <c r="U5" s="202">
        <v>0</v>
      </c>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c r="A6" s="17" t="s">
        <v>13</v>
      </c>
      <c r="B6" s="202">
        <v>0</v>
      </c>
      <c r="C6" s="202">
        <v>0</v>
      </c>
      <c r="D6" s="202">
        <v>0</v>
      </c>
      <c r="E6" s="202">
        <v>0</v>
      </c>
      <c r="F6" s="202">
        <v>0</v>
      </c>
      <c r="G6" s="202">
        <v>0</v>
      </c>
      <c r="H6" s="202">
        <v>0</v>
      </c>
      <c r="I6" s="202">
        <v>0</v>
      </c>
      <c r="J6" s="202">
        <v>0</v>
      </c>
      <c r="K6" s="202">
        <v>0</v>
      </c>
      <c r="L6" s="202">
        <v>0</v>
      </c>
      <c r="M6" s="202">
        <v>0</v>
      </c>
      <c r="N6" s="202">
        <v>0</v>
      </c>
      <c r="O6" s="202">
        <v>0</v>
      </c>
      <c r="P6" s="202">
        <v>0</v>
      </c>
      <c r="Q6" s="202">
        <v>0</v>
      </c>
      <c r="R6" s="202">
        <v>0</v>
      </c>
      <c r="S6" s="202">
        <v>0</v>
      </c>
      <c r="T6" s="202">
        <v>0</v>
      </c>
      <c r="U6" s="202">
        <v>0</v>
      </c>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c r="A7" s="17" t="s">
        <v>4</v>
      </c>
      <c r="B7" s="202">
        <v>0</v>
      </c>
      <c r="C7" s="202">
        <v>0</v>
      </c>
      <c r="D7" s="202">
        <v>0</v>
      </c>
      <c r="E7" s="202">
        <v>0</v>
      </c>
      <c r="F7" s="202">
        <v>0</v>
      </c>
      <c r="G7" s="202">
        <v>0</v>
      </c>
      <c r="H7" s="202">
        <v>0</v>
      </c>
      <c r="I7" s="202">
        <v>0</v>
      </c>
      <c r="J7" s="202">
        <v>0</v>
      </c>
      <c r="K7" s="202">
        <v>0</v>
      </c>
      <c r="L7" s="202">
        <v>0</v>
      </c>
      <c r="M7" s="202">
        <v>0</v>
      </c>
      <c r="N7" s="202">
        <v>0</v>
      </c>
      <c r="O7" s="202">
        <v>0</v>
      </c>
      <c r="P7" s="202">
        <v>0</v>
      </c>
      <c r="Q7" s="202">
        <v>0</v>
      </c>
      <c r="R7" s="202">
        <v>0</v>
      </c>
      <c r="S7" s="202">
        <v>0</v>
      </c>
      <c r="T7" s="202">
        <v>0</v>
      </c>
      <c r="U7" s="202">
        <v>0</v>
      </c>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c r="A8" s="17" t="s">
        <v>5</v>
      </c>
      <c r="B8" s="202">
        <v>2100000</v>
      </c>
      <c r="C8" s="202">
        <v>2100000</v>
      </c>
      <c r="D8" s="202">
        <v>0</v>
      </c>
      <c r="E8" s="202">
        <v>0</v>
      </c>
      <c r="F8" s="202">
        <v>0</v>
      </c>
      <c r="G8" s="202">
        <v>0</v>
      </c>
      <c r="H8" s="202">
        <v>0</v>
      </c>
      <c r="I8" s="202">
        <v>0</v>
      </c>
      <c r="J8" s="202">
        <v>0</v>
      </c>
      <c r="K8" s="202">
        <v>0</v>
      </c>
      <c r="L8" s="202">
        <v>0</v>
      </c>
      <c r="M8" s="202">
        <v>0</v>
      </c>
      <c r="N8" s="202">
        <v>0</v>
      </c>
      <c r="O8" s="202">
        <v>0</v>
      </c>
      <c r="P8" s="202">
        <v>0</v>
      </c>
      <c r="Q8" s="202">
        <v>0</v>
      </c>
      <c r="R8" s="202">
        <v>0</v>
      </c>
      <c r="S8" s="202">
        <v>0</v>
      </c>
      <c r="T8" s="202">
        <v>0</v>
      </c>
      <c r="U8" s="202">
        <v>0</v>
      </c>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c r="A9" s="17" t="s">
        <v>6</v>
      </c>
      <c r="B9" s="202">
        <v>0</v>
      </c>
      <c r="C9" s="202">
        <v>0</v>
      </c>
      <c r="D9" s="202">
        <v>0</v>
      </c>
      <c r="E9" s="202">
        <v>0</v>
      </c>
      <c r="F9" s="202">
        <v>0</v>
      </c>
      <c r="G9" s="202">
        <v>0</v>
      </c>
      <c r="H9" s="202">
        <v>0</v>
      </c>
      <c r="I9" s="202">
        <v>0</v>
      </c>
      <c r="J9" s="202">
        <v>0</v>
      </c>
      <c r="K9" s="202">
        <v>0</v>
      </c>
      <c r="L9" s="202">
        <v>0</v>
      </c>
      <c r="M9" s="202">
        <v>0</v>
      </c>
      <c r="N9" s="202">
        <v>0</v>
      </c>
      <c r="O9" s="202">
        <v>0</v>
      </c>
      <c r="P9" s="202">
        <v>0</v>
      </c>
      <c r="Q9" s="202">
        <v>0</v>
      </c>
      <c r="R9" s="202">
        <v>0</v>
      </c>
      <c r="S9" s="202">
        <v>0</v>
      </c>
      <c r="T9" s="202">
        <v>0</v>
      </c>
      <c r="U9" s="202">
        <v>0</v>
      </c>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c r="A10" s="19" t="s">
        <v>7</v>
      </c>
      <c r="B10" s="202">
        <v>0</v>
      </c>
      <c r="C10" s="202">
        <v>0</v>
      </c>
      <c r="D10" s="202">
        <v>0</v>
      </c>
      <c r="E10" s="202">
        <v>0</v>
      </c>
      <c r="F10" s="202">
        <v>0</v>
      </c>
      <c r="G10" s="202">
        <v>0</v>
      </c>
      <c r="H10" s="202">
        <v>0</v>
      </c>
      <c r="I10" s="202">
        <v>0</v>
      </c>
      <c r="J10" s="202">
        <v>0</v>
      </c>
      <c r="K10" s="202">
        <v>0</v>
      </c>
      <c r="L10" s="202">
        <v>0</v>
      </c>
      <c r="M10" s="202">
        <v>0</v>
      </c>
      <c r="N10" s="202">
        <v>0</v>
      </c>
      <c r="O10" s="202">
        <v>0</v>
      </c>
      <c r="P10" s="202">
        <v>0</v>
      </c>
      <c r="Q10" s="202">
        <v>0</v>
      </c>
      <c r="R10" s="202">
        <v>0</v>
      </c>
      <c r="S10" s="202">
        <v>0</v>
      </c>
      <c r="T10" s="202">
        <v>0</v>
      </c>
      <c r="U10" s="202">
        <v>0</v>
      </c>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c r="A11" s="17" t="s">
        <v>8</v>
      </c>
      <c r="B11" s="202">
        <v>0</v>
      </c>
      <c r="C11" s="202">
        <v>0</v>
      </c>
      <c r="D11" s="202">
        <v>0</v>
      </c>
      <c r="E11" s="202">
        <v>0</v>
      </c>
      <c r="F11" s="202">
        <v>0</v>
      </c>
      <c r="G11" s="202">
        <v>0</v>
      </c>
      <c r="H11" s="202">
        <v>0</v>
      </c>
      <c r="I11" s="202">
        <v>0</v>
      </c>
      <c r="J11" s="202">
        <v>0</v>
      </c>
      <c r="K11" s="202">
        <v>0</v>
      </c>
      <c r="L11" s="202">
        <v>0</v>
      </c>
      <c r="M11" s="202">
        <v>0</v>
      </c>
      <c r="N11" s="202">
        <v>0</v>
      </c>
      <c r="O11" s="202">
        <v>0</v>
      </c>
      <c r="P11" s="202">
        <v>0</v>
      </c>
      <c r="Q11" s="202">
        <v>0</v>
      </c>
      <c r="R11" s="202">
        <v>0</v>
      </c>
      <c r="S11" s="202">
        <v>0</v>
      </c>
      <c r="T11" s="202">
        <v>0</v>
      </c>
      <c r="U11" s="202">
        <v>0</v>
      </c>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c r="A12" s="17" t="s">
        <v>9</v>
      </c>
      <c r="B12" s="202">
        <v>0</v>
      </c>
      <c r="C12" s="202">
        <v>0</v>
      </c>
      <c r="D12" s="202">
        <v>0</v>
      </c>
      <c r="E12" s="202">
        <v>0</v>
      </c>
      <c r="F12" s="202">
        <v>0</v>
      </c>
      <c r="G12" s="202">
        <v>0</v>
      </c>
      <c r="H12" s="202">
        <v>0</v>
      </c>
      <c r="I12" s="202">
        <v>0</v>
      </c>
      <c r="J12" s="202">
        <v>0</v>
      </c>
      <c r="K12" s="202">
        <v>0</v>
      </c>
      <c r="L12" s="202">
        <v>0</v>
      </c>
      <c r="M12" s="202">
        <v>0</v>
      </c>
      <c r="N12" s="202">
        <v>0</v>
      </c>
      <c r="O12" s="202">
        <v>0</v>
      </c>
      <c r="P12" s="202">
        <v>0</v>
      </c>
      <c r="Q12" s="202">
        <v>0</v>
      </c>
      <c r="R12" s="202">
        <v>0</v>
      </c>
      <c r="S12" s="202">
        <v>0</v>
      </c>
      <c r="T12" s="202">
        <v>0</v>
      </c>
      <c r="U12" s="202">
        <v>0</v>
      </c>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c r="A13" s="17" t="s">
        <v>10</v>
      </c>
      <c r="B13" s="202">
        <v>0</v>
      </c>
      <c r="C13" s="202">
        <v>0</v>
      </c>
      <c r="D13" s="202">
        <v>0</v>
      </c>
      <c r="E13" s="202">
        <v>0</v>
      </c>
      <c r="F13" s="202">
        <v>0</v>
      </c>
      <c r="G13" s="202">
        <v>0</v>
      </c>
      <c r="H13" s="202">
        <v>0</v>
      </c>
      <c r="I13" s="202">
        <v>0</v>
      </c>
      <c r="J13" s="202">
        <v>0</v>
      </c>
      <c r="K13" s="202">
        <v>0</v>
      </c>
      <c r="L13" s="202">
        <v>0</v>
      </c>
      <c r="M13" s="202">
        <v>0</v>
      </c>
      <c r="N13" s="202">
        <v>0</v>
      </c>
      <c r="O13" s="202">
        <v>0</v>
      </c>
      <c r="P13" s="202">
        <v>0</v>
      </c>
      <c r="Q13" s="202">
        <v>0</v>
      </c>
      <c r="R13" s="202">
        <v>0</v>
      </c>
      <c r="S13" s="202">
        <v>0</v>
      </c>
      <c r="T13" s="202">
        <v>0</v>
      </c>
      <c r="U13" s="202">
        <v>0</v>
      </c>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25" t="s">
        <v>11</v>
      </c>
      <c r="B17" s="33">
        <f>SUM(B4:B13)</f>
        <v>272136900.37</v>
      </c>
      <c r="C17" s="33">
        <f t="shared" ref="C17:BN17" si="0">SUM(C4:C13)</f>
        <v>324434210.65000004</v>
      </c>
      <c r="D17" s="33">
        <f t="shared" si="0"/>
        <v>339654998.16000003</v>
      </c>
      <c r="E17" s="33">
        <f t="shared" si="0"/>
        <v>394785620.10000002</v>
      </c>
      <c r="F17" s="33">
        <f t="shared" si="0"/>
        <v>505690981.24000001</v>
      </c>
      <c r="G17" s="33">
        <f t="shared" si="0"/>
        <v>508958673.50999999</v>
      </c>
      <c r="H17" s="33">
        <f t="shared" si="0"/>
        <v>497832719.06999999</v>
      </c>
      <c r="I17" s="33">
        <f t="shared" si="0"/>
        <v>493851281.17000002</v>
      </c>
      <c r="J17" s="33">
        <f t="shared" si="0"/>
        <v>461432565.64999998</v>
      </c>
      <c r="K17" s="33">
        <f t="shared" si="0"/>
        <v>423235120.27999997</v>
      </c>
      <c r="L17" s="33">
        <f t="shared" si="0"/>
        <v>411767153.42000002</v>
      </c>
      <c r="M17" s="33">
        <f t="shared" si="0"/>
        <v>413367888.41000003</v>
      </c>
      <c r="N17" s="33">
        <f t="shared" si="0"/>
        <v>389489625.13</v>
      </c>
      <c r="O17" s="33">
        <f t="shared" si="0"/>
        <v>462791285.51999998</v>
      </c>
      <c r="P17" s="33">
        <f t="shared" si="0"/>
        <v>63260732.039999999</v>
      </c>
      <c r="Q17" s="33">
        <f t="shared" si="0"/>
        <v>75747117.969999999</v>
      </c>
      <c r="R17" s="33">
        <f t="shared" si="0"/>
        <v>26369896.879999999</v>
      </c>
      <c r="S17" s="33">
        <f t="shared" si="0"/>
        <v>45028010.689999998</v>
      </c>
      <c r="T17" s="33">
        <f t="shared" si="0"/>
        <v>52203020.68</v>
      </c>
      <c r="U17" s="33">
        <f t="shared" si="0"/>
        <v>0</v>
      </c>
      <c r="V17" s="33">
        <f t="shared" si="0"/>
        <v>0</v>
      </c>
      <c r="W17" s="33">
        <f t="shared" si="0"/>
        <v>0</v>
      </c>
      <c r="X17" s="33">
        <f t="shared" si="0"/>
        <v>0</v>
      </c>
      <c r="Y17" s="33">
        <f t="shared" si="0"/>
        <v>0</v>
      </c>
      <c r="Z17" s="33">
        <f t="shared" si="0"/>
        <v>0</v>
      </c>
      <c r="AA17" s="33">
        <f t="shared" si="0"/>
        <v>0</v>
      </c>
      <c r="AB17" s="33">
        <f t="shared" si="0"/>
        <v>0</v>
      </c>
      <c r="AC17" s="33">
        <f t="shared" si="0"/>
        <v>0</v>
      </c>
      <c r="AD17" s="33">
        <f t="shared" si="0"/>
        <v>0</v>
      </c>
      <c r="AE17" s="33">
        <f t="shared" si="0"/>
        <v>0</v>
      </c>
      <c r="AF17" s="33">
        <f t="shared" si="0"/>
        <v>0</v>
      </c>
      <c r="AG17" s="33">
        <f t="shared" si="0"/>
        <v>0</v>
      </c>
      <c r="AH17" s="33">
        <f t="shared" si="0"/>
        <v>0</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6" t="s">
        <v>79</v>
      </c>
      <c r="B18" s="34"/>
      <c r="C18" s="34"/>
      <c r="D18" s="34"/>
      <c r="E18" s="34"/>
      <c r="F18" s="34"/>
      <c r="G18" s="34"/>
      <c r="H18" s="34"/>
      <c r="I18" s="34"/>
      <c r="J18" s="34"/>
      <c r="K18" s="34"/>
      <c r="L18" s="32"/>
      <c r="M18" s="14"/>
      <c r="N18" s="14"/>
    </row>
    <row r="19" spans="1:90" s="5" customFormat="1">
      <c r="A19" s="125" t="s">
        <v>78</v>
      </c>
      <c r="B19" s="202">
        <v>0</v>
      </c>
      <c r="C19" s="202">
        <v>0</v>
      </c>
      <c r="D19" s="202">
        <v>2100000</v>
      </c>
      <c r="E19" s="202">
        <v>0</v>
      </c>
      <c r="F19" s="202">
        <v>0</v>
      </c>
      <c r="G19" s="202">
        <v>0</v>
      </c>
      <c r="H19" s="202">
        <v>0</v>
      </c>
      <c r="I19" s="202">
        <v>0</v>
      </c>
      <c r="J19" s="202">
        <v>0</v>
      </c>
      <c r="K19" s="202">
        <v>0</v>
      </c>
      <c r="L19" s="202">
        <v>0</v>
      </c>
      <c r="M19" s="202">
        <v>0</v>
      </c>
      <c r="N19" s="202">
        <v>0</v>
      </c>
      <c r="O19" s="202">
        <v>0</v>
      </c>
      <c r="P19" s="202">
        <v>0</v>
      </c>
      <c r="Q19" s="202">
        <v>0</v>
      </c>
      <c r="R19" s="202">
        <v>0</v>
      </c>
      <c r="S19" s="202">
        <v>0</v>
      </c>
      <c r="T19" s="202">
        <v>0</v>
      </c>
      <c r="U19" s="202">
        <v>0</v>
      </c>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202">
        <v>96652633.650000006</v>
      </c>
      <c r="C22" s="202">
        <v>79313974.739999995</v>
      </c>
      <c r="D22" s="202">
        <v>76214574.129999995</v>
      </c>
      <c r="E22" s="202">
        <v>101496182.28</v>
      </c>
      <c r="F22" s="202">
        <v>73927196.099999994</v>
      </c>
      <c r="G22" s="202">
        <v>65392466.960000001</v>
      </c>
      <c r="H22" s="202">
        <v>62533779.210000001</v>
      </c>
      <c r="I22" s="202">
        <v>72563057.930000007</v>
      </c>
      <c r="J22" s="202">
        <v>33858475.439999998</v>
      </c>
      <c r="K22" s="202">
        <v>36666505.210000001</v>
      </c>
      <c r="L22" s="202">
        <v>59667839.399999999</v>
      </c>
      <c r="M22" s="202">
        <v>73510784.260000005</v>
      </c>
      <c r="N22" s="202">
        <v>16640846.869999999</v>
      </c>
      <c r="O22" s="202">
        <v>9589723.2799999993</v>
      </c>
      <c r="P22" s="202">
        <v>19115121.440000001</v>
      </c>
      <c r="Q22" s="202">
        <v>51235715.600000001</v>
      </c>
      <c r="R22" s="202">
        <v>43609832.200000003</v>
      </c>
      <c r="S22" s="202">
        <v>31304943.030000001</v>
      </c>
      <c r="T22" s="202">
        <v>16763219</v>
      </c>
      <c r="U22" s="202">
        <v>0</v>
      </c>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c r="A23" s="17" t="s">
        <v>15</v>
      </c>
      <c r="B23" s="202">
        <v>397831571.16000003</v>
      </c>
      <c r="C23" s="202">
        <v>333615518.94</v>
      </c>
      <c r="D23" s="202">
        <v>303162129.44999999</v>
      </c>
      <c r="E23" s="202">
        <v>259660882.36000001</v>
      </c>
      <c r="F23" s="202">
        <v>297820900.38</v>
      </c>
      <c r="G23" s="202">
        <v>283423934.98000002</v>
      </c>
      <c r="H23" s="202">
        <v>266009064.24000001</v>
      </c>
      <c r="I23" s="202">
        <v>171202407.50999999</v>
      </c>
      <c r="J23" s="202">
        <v>232118799.84</v>
      </c>
      <c r="K23" s="202">
        <v>208560078.21000001</v>
      </c>
      <c r="L23" s="202">
        <v>190719314.99000001</v>
      </c>
      <c r="M23" s="202">
        <v>151315576.09999999</v>
      </c>
      <c r="N23" s="202">
        <v>214590050.40000001</v>
      </c>
      <c r="O23" s="202">
        <v>197737153.43000001</v>
      </c>
      <c r="P23" s="202">
        <v>178898809.78</v>
      </c>
      <c r="Q23" s="202">
        <v>137709818.5</v>
      </c>
      <c r="R23" s="202">
        <v>117762027.45999999</v>
      </c>
      <c r="S23" s="202">
        <v>99416266.540000007</v>
      </c>
      <c r="T23" s="202">
        <v>73403366.920000002</v>
      </c>
      <c r="U23" s="202">
        <v>0</v>
      </c>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c r="A24" s="17" t="s">
        <v>16</v>
      </c>
      <c r="B24" s="202">
        <v>20076346.66</v>
      </c>
      <c r="C24" s="202">
        <v>14744899.02</v>
      </c>
      <c r="D24" s="202">
        <v>16221103.380000001</v>
      </c>
      <c r="E24" s="202">
        <v>9265693.6999999993</v>
      </c>
      <c r="F24" s="202">
        <v>11333145.630000001</v>
      </c>
      <c r="G24" s="202">
        <v>6044418.6699999999</v>
      </c>
      <c r="H24" s="202">
        <v>5011003.34</v>
      </c>
      <c r="I24" s="202">
        <v>3981930.63</v>
      </c>
      <c r="J24" s="202">
        <v>2498326.6</v>
      </c>
      <c r="K24" s="202">
        <v>16178138.59</v>
      </c>
      <c r="L24" s="202">
        <v>2366329.56</v>
      </c>
      <c r="M24" s="202">
        <v>911918.16</v>
      </c>
      <c r="N24" s="202">
        <v>5858069.2400000002</v>
      </c>
      <c r="O24" s="202">
        <v>5589097.3899999997</v>
      </c>
      <c r="P24" s="202">
        <v>4694821.2</v>
      </c>
      <c r="Q24" s="202">
        <v>3036655.64</v>
      </c>
      <c r="R24" s="202">
        <v>3172562.22</v>
      </c>
      <c r="S24" s="202">
        <v>2516066.2200000002</v>
      </c>
      <c r="T24" s="202">
        <v>11754578.51</v>
      </c>
      <c r="U24" s="202">
        <v>0</v>
      </c>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c r="A25" s="17" t="s">
        <v>17</v>
      </c>
      <c r="B25" s="202">
        <v>8597556.4100000001</v>
      </c>
      <c r="C25" s="202">
        <v>34953681.090000004</v>
      </c>
      <c r="D25" s="202">
        <v>34832079.93</v>
      </c>
      <c r="E25" s="202">
        <v>32009572.800000001</v>
      </c>
      <c r="F25" s="202">
        <v>33217648.510000002</v>
      </c>
      <c r="G25" s="202">
        <v>32082436.739999998</v>
      </c>
      <c r="H25" s="202">
        <v>33112094.850000001</v>
      </c>
      <c r="I25" s="202">
        <v>31095641.120000001</v>
      </c>
      <c r="J25" s="202">
        <v>1445408.34</v>
      </c>
      <c r="K25" s="202">
        <v>1716242.13</v>
      </c>
      <c r="L25" s="202">
        <v>2066356.26</v>
      </c>
      <c r="M25" s="202">
        <v>760429.77</v>
      </c>
      <c r="N25" s="202">
        <v>1996290.68</v>
      </c>
      <c r="O25" s="202">
        <v>2027513.46</v>
      </c>
      <c r="P25" s="202">
        <v>2375966.77</v>
      </c>
      <c r="Q25" s="202">
        <v>1059419.3600000001</v>
      </c>
      <c r="R25" s="202">
        <v>1036462.11</v>
      </c>
      <c r="S25" s="202">
        <v>878127.74</v>
      </c>
      <c r="T25" s="202">
        <v>761772.42</v>
      </c>
      <c r="U25" s="202">
        <v>0</v>
      </c>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c r="A26" s="17" t="s">
        <v>18</v>
      </c>
      <c r="B26" s="202">
        <v>246482527.53999999</v>
      </c>
      <c r="C26" s="202">
        <v>176219315.99000001</v>
      </c>
      <c r="D26" s="202">
        <v>152265288.46000001</v>
      </c>
      <c r="E26" s="202">
        <v>132985519.61</v>
      </c>
      <c r="F26" s="202">
        <v>127759736.88</v>
      </c>
      <c r="G26" s="202">
        <v>119370712.45</v>
      </c>
      <c r="H26" s="202">
        <v>110889989.73</v>
      </c>
      <c r="I26" s="202">
        <v>89295703.730000004</v>
      </c>
      <c r="J26" s="202">
        <v>85478291.719999999</v>
      </c>
      <c r="K26" s="202">
        <v>80511522.379999995</v>
      </c>
      <c r="L26" s="202">
        <v>84688756.269999996</v>
      </c>
      <c r="M26" s="202">
        <v>91468232.560000002</v>
      </c>
      <c r="N26" s="202">
        <v>88403246.680000007</v>
      </c>
      <c r="O26" s="202">
        <v>84720609.189999998</v>
      </c>
      <c r="P26" s="202">
        <v>82930264.079999998</v>
      </c>
      <c r="Q26" s="202">
        <v>79783866.409999996</v>
      </c>
      <c r="R26" s="202">
        <v>63389168.479999997</v>
      </c>
      <c r="S26" s="202">
        <v>44546726.210000001</v>
      </c>
      <c r="T26" s="202">
        <v>34165890.25</v>
      </c>
      <c r="U26" s="202">
        <v>0</v>
      </c>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c r="A27" s="17" t="s">
        <v>19</v>
      </c>
      <c r="B27" s="202">
        <v>0</v>
      </c>
      <c r="C27" s="202">
        <v>14242970.689999999</v>
      </c>
      <c r="D27" s="202">
        <v>13000000</v>
      </c>
      <c r="E27" s="202">
        <v>14323029.02</v>
      </c>
      <c r="F27" s="202">
        <v>16000000</v>
      </c>
      <c r="G27" s="202">
        <v>16000000</v>
      </c>
      <c r="H27" s="202">
        <v>17016260</v>
      </c>
      <c r="I27" s="202">
        <v>17088550.690000001</v>
      </c>
      <c r="J27" s="202">
        <v>17000000</v>
      </c>
      <c r="K27" s="202">
        <v>45000000</v>
      </c>
      <c r="L27" s="202">
        <v>45000000</v>
      </c>
      <c r="M27" s="202">
        <v>46382884.670000002</v>
      </c>
      <c r="N27" s="202">
        <v>45000000</v>
      </c>
      <c r="O27" s="202">
        <v>0</v>
      </c>
      <c r="P27" s="202">
        <v>0</v>
      </c>
      <c r="Q27" s="202">
        <v>0</v>
      </c>
      <c r="R27" s="202">
        <v>0</v>
      </c>
      <c r="S27" s="202">
        <v>0</v>
      </c>
      <c r="T27" s="202">
        <v>0</v>
      </c>
      <c r="U27" s="202">
        <v>0</v>
      </c>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c r="A28" s="17" t="s">
        <v>76</v>
      </c>
      <c r="B28" s="202">
        <v>0</v>
      </c>
      <c r="C28" s="202">
        <v>0</v>
      </c>
      <c r="D28" s="202">
        <v>0</v>
      </c>
      <c r="E28" s="202">
        <v>0</v>
      </c>
      <c r="F28" s="202">
        <v>0</v>
      </c>
      <c r="G28" s="202">
        <v>0</v>
      </c>
      <c r="H28" s="202">
        <v>0</v>
      </c>
      <c r="I28" s="202">
        <v>0</v>
      </c>
      <c r="J28" s="202">
        <v>0</v>
      </c>
      <c r="K28" s="202">
        <v>0</v>
      </c>
      <c r="L28" s="202">
        <v>0</v>
      </c>
      <c r="M28" s="202">
        <v>0</v>
      </c>
      <c r="N28" s="202">
        <v>0</v>
      </c>
      <c r="O28" s="202">
        <v>0</v>
      </c>
      <c r="P28" s="202">
        <v>0</v>
      </c>
      <c r="Q28" s="202">
        <v>0</v>
      </c>
      <c r="R28" s="202">
        <v>0</v>
      </c>
      <c r="S28" s="202">
        <v>0</v>
      </c>
      <c r="T28" s="202">
        <v>0</v>
      </c>
      <c r="U28" s="202">
        <v>0</v>
      </c>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c r="A29" s="17" t="s">
        <v>3</v>
      </c>
      <c r="B29" s="202">
        <v>0</v>
      </c>
      <c r="C29" s="202">
        <v>0</v>
      </c>
      <c r="D29" s="202">
        <v>26698.87</v>
      </c>
      <c r="E29" s="202">
        <v>0</v>
      </c>
      <c r="F29" s="202">
        <v>106795.5</v>
      </c>
      <c r="G29" s="202">
        <v>199150.68</v>
      </c>
      <c r="H29" s="202">
        <v>0</v>
      </c>
      <c r="I29" s="202">
        <v>0</v>
      </c>
      <c r="J29" s="202">
        <v>0</v>
      </c>
      <c r="K29" s="202">
        <v>0</v>
      </c>
      <c r="L29" s="202">
        <v>0</v>
      </c>
      <c r="M29" s="202">
        <v>0</v>
      </c>
      <c r="N29" s="202">
        <v>0</v>
      </c>
      <c r="O29" s="202">
        <v>0</v>
      </c>
      <c r="P29" s="202">
        <v>0</v>
      </c>
      <c r="Q29" s="202">
        <v>0</v>
      </c>
      <c r="R29" s="202">
        <v>0</v>
      </c>
      <c r="S29" s="202">
        <v>0</v>
      </c>
      <c r="T29" s="202">
        <v>0</v>
      </c>
      <c r="U29" s="202">
        <v>0</v>
      </c>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27" t="s">
        <v>20</v>
      </c>
      <c r="B33" s="35">
        <f>SUM(B22:B29)</f>
        <v>769640635.42000008</v>
      </c>
      <c r="C33" s="35">
        <f t="shared" ref="C33:BN33" si="2">SUM(C22:C29)</f>
        <v>653090360.47000003</v>
      </c>
      <c r="D33" s="35">
        <f t="shared" si="2"/>
        <v>595721874.22000003</v>
      </c>
      <c r="E33" s="35">
        <f t="shared" si="2"/>
        <v>549740879.76999998</v>
      </c>
      <c r="F33" s="35">
        <f t="shared" si="2"/>
        <v>560165423</v>
      </c>
      <c r="G33" s="35">
        <f t="shared" si="2"/>
        <v>522513120.48000002</v>
      </c>
      <c r="H33" s="35">
        <f t="shared" si="2"/>
        <v>494572191.37</v>
      </c>
      <c r="I33" s="35">
        <f t="shared" si="2"/>
        <v>385227291.61000001</v>
      </c>
      <c r="J33" s="35">
        <f t="shared" si="2"/>
        <v>372399301.93999994</v>
      </c>
      <c r="K33" s="35">
        <f t="shared" si="2"/>
        <v>388632486.51999998</v>
      </c>
      <c r="L33" s="35">
        <f t="shared" si="2"/>
        <v>384508596.48000002</v>
      </c>
      <c r="M33" s="35">
        <f t="shared" si="2"/>
        <v>364349825.52000004</v>
      </c>
      <c r="N33" s="35">
        <f t="shared" si="2"/>
        <v>372488503.87</v>
      </c>
      <c r="O33" s="35">
        <f t="shared" si="2"/>
        <v>299664096.75</v>
      </c>
      <c r="P33" s="35">
        <f t="shared" si="2"/>
        <v>288014983.26999998</v>
      </c>
      <c r="Q33" s="35">
        <f t="shared" si="2"/>
        <v>272825475.50999999</v>
      </c>
      <c r="R33" s="35">
        <f t="shared" si="2"/>
        <v>228970052.47</v>
      </c>
      <c r="S33" s="35">
        <f t="shared" si="2"/>
        <v>178662129.74000001</v>
      </c>
      <c r="T33" s="35">
        <f t="shared" si="2"/>
        <v>136848827.10000002</v>
      </c>
      <c r="U33" s="35">
        <f t="shared" si="2"/>
        <v>0</v>
      </c>
      <c r="V33" s="35">
        <f t="shared" si="2"/>
        <v>0</v>
      </c>
      <c r="W33" s="35">
        <f t="shared" si="2"/>
        <v>0</v>
      </c>
      <c r="X33" s="35">
        <f t="shared" si="2"/>
        <v>0</v>
      </c>
      <c r="Y33" s="35">
        <f t="shared" si="2"/>
        <v>0</v>
      </c>
      <c r="Z33" s="35">
        <f t="shared" si="2"/>
        <v>0</v>
      </c>
      <c r="AA33" s="35">
        <f t="shared" si="2"/>
        <v>0</v>
      </c>
      <c r="AB33" s="35">
        <f t="shared" si="2"/>
        <v>0</v>
      </c>
      <c r="AC33" s="35">
        <f t="shared" si="2"/>
        <v>0</v>
      </c>
      <c r="AD33" s="35">
        <f t="shared" si="2"/>
        <v>0</v>
      </c>
      <c r="AE33" s="35">
        <f t="shared" si="2"/>
        <v>0</v>
      </c>
      <c r="AF33" s="35">
        <f t="shared" si="2"/>
        <v>0</v>
      </c>
      <c r="AG33" s="35">
        <f t="shared" si="2"/>
        <v>0</v>
      </c>
      <c r="AH33" s="35">
        <f t="shared" si="2"/>
        <v>0</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6" t="s">
        <v>82</v>
      </c>
      <c r="B34" s="34"/>
      <c r="C34" s="34"/>
      <c r="D34" s="34"/>
      <c r="E34" s="34"/>
      <c r="F34" s="34"/>
      <c r="G34" s="34"/>
      <c r="H34" s="34"/>
      <c r="I34" s="34"/>
      <c r="J34" s="34"/>
      <c r="K34" s="34"/>
      <c r="L34" s="32"/>
      <c r="M34" s="14"/>
      <c r="N34" s="14"/>
    </row>
    <row r="35" spans="1:90">
      <c r="A35" s="17" t="s">
        <v>21</v>
      </c>
      <c r="B35" s="202">
        <v>0</v>
      </c>
      <c r="C35" s="202">
        <v>9817317.9399999995</v>
      </c>
      <c r="D35" s="202">
        <v>0</v>
      </c>
      <c r="E35" s="202">
        <v>5937028.6299999999</v>
      </c>
      <c r="F35" s="202">
        <v>0</v>
      </c>
      <c r="G35" s="202">
        <v>0</v>
      </c>
      <c r="H35" s="202">
        <v>0</v>
      </c>
      <c r="I35" s="202">
        <v>0</v>
      </c>
      <c r="J35" s="202">
        <v>0</v>
      </c>
      <c r="K35" s="202">
        <v>0</v>
      </c>
      <c r="L35" s="202">
        <v>0</v>
      </c>
      <c r="M35" s="202">
        <v>0</v>
      </c>
      <c r="N35" s="202">
        <v>0</v>
      </c>
      <c r="O35" s="202">
        <v>0</v>
      </c>
      <c r="P35" s="202">
        <v>0</v>
      </c>
      <c r="Q35" s="202">
        <v>0</v>
      </c>
      <c r="R35" s="202">
        <v>0</v>
      </c>
      <c r="S35" s="202">
        <v>0</v>
      </c>
      <c r="T35" s="202">
        <v>0</v>
      </c>
      <c r="U35" s="202">
        <v>0</v>
      </c>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c r="A36" s="17" t="s">
        <v>22</v>
      </c>
      <c r="B36" s="202">
        <v>0</v>
      </c>
      <c r="C36" s="202">
        <v>92786513.170000002</v>
      </c>
      <c r="D36" s="202">
        <v>75829242.840000004</v>
      </c>
      <c r="E36" s="202">
        <v>63916597.060000002</v>
      </c>
      <c r="F36" s="202">
        <v>75288838.519999996</v>
      </c>
      <c r="G36" s="202">
        <v>68015314.650000006</v>
      </c>
      <c r="H36" s="202">
        <v>59438539.049999997</v>
      </c>
      <c r="I36" s="202">
        <v>36171965.270000003</v>
      </c>
      <c r="J36" s="202">
        <v>45650175.460000001</v>
      </c>
      <c r="K36" s="202">
        <v>42414349.009999998</v>
      </c>
      <c r="L36" s="202">
        <v>45846859.060000002</v>
      </c>
      <c r="M36" s="202">
        <v>39662107.520000003</v>
      </c>
      <c r="N36" s="202">
        <v>50941218.960000001</v>
      </c>
      <c r="O36" s="202">
        <v>50018674.009999998</v>
      </c>
      <c r="P36" s="202">
        <v>53278944.109999999</v>
      </c>
      <c r="Q36" s="202">
        <v>50512053.689999998</v>
      </c>
      <c r="R36" s="202">
        <v>47674725.530000001</v>
      </c>
      <c r="S36" s="202">
        <v>52570517.960000001</v>
      </c>
      <c r="T36" s="202">
        <v>64328437.520000003</v>
      </c>
      <c r="U36" s="202">
        <v>0</v>
      </c>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c r="A37" s="17" t="s">
        <v>23</v>
      </c>
      <c r="B37" s="202">
        <v>24800073.489999998</v>
      </c>
      <c r="C37" s="202">
        <v>22921291.050000001</v>
      </c>
      <c r="D37" s="202">
        <v>22727756.57</v>
      </c>
      <c r="E37" s="202">
        <v>27700843.41</v>
      </c>
      <c r="F37" s="202">
        <v>22030147.52</v>
      </c>
      <c r="G37" s="202">
        <v>23125417.75</v>
      </c>
      <c r="H37" s="202">
        <v>20898046.59</v>
      </c>
      <c r="I37" s="202">
        <v>15744674.300000001</v>
      </c>
      <c r="J37" s="202">
        <v>14483581.880000001</v>
      </c>
      <c r="K37" s="202">
        <v>14859765.01</v>
      </c>
      <c r="L37" s="202">
        <v>15036063.609999999</v>
      </c>
      <c r="M37" s="202">
        <v>20446702.300000001</v>
      </c>
      <c r="N37" s="202">
        <v>15986508.75</v>
      </c>
      <c r="O37" s="202">
        <v>14728768.460000001</v>
      </c>
      <c r="P37" s="202">
        <v>14997966.77</v>
      </c>
      <c r="Q37" s="202">
        <v>17782353.559999999</v>
      </c>
      <c r="R37" s="202">
        <v>21846023.210000001</v>
      </c>
      <c r="S37" s="202">
        <v>15450342.199999999</v>
      </c>
      <c r="T37" s="202">
        <v>11487157.720000001</v>
      </c>
      <c r="U37" s="202">
        <v>0</v>
      </c>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c r="A38" s="17" t="s">
        <v>24</v>
      </c>
      <c r="B38" s="202">
        <v>0</v>
      </c>
      <c r="C38" s="202">
        <v>0</v>
      </c>
      <c r="D38" s="202">
        <v>0</v>
      </c>
      <c r="E38" s="202">
        <v>0</v>
      </c>
      <c r="F38" s="202">
        <v>0</v>
      </c>
      <c r="G38" s="202">
        <v>0</v>
      </c>
      <c r="H38" s="202">
        <v>0</v>
      </c>
      <c r="I38" s="202">
        <v>0</v>
      </c>
      <c r="J38" s="202">
        <v>0</v>
      </c>
      <c r="K38" s="202">
        <v>0</v>
      </c>
      <c r="L38" s="202">
        <v>0</v>
      </c>
      <c r="M38" s="202">
        <v>0</v>
      </c>
      <c r="N38" s="202">
        <v>0</v>
      </c>
      <c r="O38" s="202">
        <v>0</v>
      </c>
      <c r="P38" s="202">
        <v>0</v>
      </c>
      <c r="Q38" s="202">
        <v>0</v>
      </c>
      <c r="R38" s="202">
        <v>0</v>
      </c>
      <c r="S38" s="202">
        <v>0</v>
      </c>
      <c r="T38" s="202">
        <v>0</v>
      </c>
      <c r="U38" s="202">
        <v>0</v>
      </c>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c r="A39" s="17" t="s">
        <v>25</v>
      </c>
      <c r="B39" s="202">
        <v>36768810.719999999</v>
      </c>
      <c r="C39" s="202">
        <v>31136223.02</v>
      </c>
      <c r="D39" s="202">
        <v>20604722.550000001</v>
      </c>
      <c r="E39" s="202">
        <v>19148345.640000001</v>
      </c>
      <c r="F39" s="202">
        <v>35683747.359999999</v>
      </c>
      <c r="G39" s="202">
        <v>24540911.539999999</v>
      </c>
      <c r="H39" s="202">
        <v>16743966.619999999</v>
      </c>
      <c r="I39" s="202">
        <v>15263917.68</v>
      </c>
      <c r="J39" s="202">
        <v>22859898.359999999</v>
      </c>
      <c r="K39" s="202">
        <v>16691647.07</v>
      </c>
      <c r="L39" s="202">
        <v>13854986.210000001</v>
      </c>
      <c r="M39" s="202">
        <v>13704113.48</v>
      </c>
      <c r="N39" s="202">
        <v>19768415.899999999</v>
      </c>
      <c r="O39" s="202">
        <v>13653896.02</v>
      </c>
      <c r="P39" s="202">
        <v>9260958.0999999996</v>
      </c>
      <c r="Q39" s="202">
        <v>11706191.699999999</v>
      </c>
      <c r="R39" s="202">
        <v>12415798.52</v>
      </c>
      <c r="S39" s="202">
        <v>7644264.7400000002</v>
      </c>
      <c r="T39" s="202">
        <v>2022479.97</v>
      </c>
      <c r="U39" s="202">
        <v>0</v>
      </c>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c r="A40" s="17" t="s">
        <v>26</v>
      </c>
      <c r="B40" s="202">
        <v>18254007.219999999</v>
      </c>
      <c r="C40" s="202">
        <v>11722611.220000001</v>
      </c>
      <c r="D40" s="202">
        <v>18811098.010000002</v>
      </c>
      <c r="E40" s="202">
        <v>13793676.91</v>
      </c>
      <c r="F40" s="202">
        <v>13653724.4</v>
      </c>
      <c r="G40" s="202">
        <v>8314025.29</v>
      </c>
      <c r="H40" s="202">
        <v>11681805.42</v>
      </c>
      <c r="I40" s="202">
        <v>7864273.5</v>
      </c>
      <c r="J40" s="202">
        <v>10021238.57</v>
      </c>
      <c r="K40" s="202">
        <v>6240381.0099999998</v>
      </c>
      <c r="L40" s="202">
        <v>8791576.6400000006</v>
      </c>
      <c r="M40" s="202">
        <v>5972103.5300000003</v>
      </c>
      <c r="N40" s="202">
        <v>8142586.5999999996</v>
      </c>
      <c r="O40" s="202">
        <v>5873085.29</v>
      </c>
      <c r="P40" s="202">
        <v>10746877.619999999</v>
      </c>
      <c r="Q40" s="202">
        <v>7641368.9699999997</v>
      </c>
      <c r="R40" s="202">
        <v>7281548.1799999997</v>
      </c>
      <c r="S40" s="202">
        <v>8519374.5199999996</v>
      </c>
      <c r="T40" s="202">
        <v>5159140.24</v>
      </c>
      <c r="U40" s="202">
        <v>0</v>
      </c>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c r="A41" s="17" t="s">
        <v>27</v>
      </c>
      <c r="B41" s="202">
        <v>20690353.800000001</v>
      </c>
      <c r="C41" s="202">
        <v>21434168.23</v>
      </c>
      <c r="D41" s="202">
        <v>21901925.690000001</v>
      </c>
      <c r="E41" s="202">
        <v>62285735.469999999</v>
      </c>
      <c r="F41" s="202">
        <v>25316367.800000001</v>
      </c>
      <c r="G41" s="202">
        <v>20944087.190000001</v>
      </c>
      <c r="H41" s="202">
        <v>15699119.34</v>
      </c>
      <c r="I41" s="202">
        <v>12949487.720000001</v>
      </c>
      <c r="J41" s="202">
        <v>13342319.1</v>
      </c>
      <c r="K41" s="202">
        <v>11290570.58</v>
      </c>
      <c r="L41" s="202">
        <v>11283237.24</v>
      </c>
      <c r="M41" s="202">
        <v>12401227.43</v>
      </c>
      <c r="N41" s="202">
        <v>13971540.41</v>
      </c>
      <c r="O41" s="202">
        <v>17644868.309999999</v>
      </c>
      <c r="P41" s="202">
        <v>13636445.630000001</v>
      </c>
      <c r="Q41" s="202">
        <v>14896864.52</v>
      </c>
      <c r="R41" s="202">
        <v>9175582.2799999993</v>
      </c>
      <c r="S41" s="202">
        <v>5368436.8</v>
      </c>
      <c r="T41" s="202">
        <v>5543950.1100000003</v>
      </c>
      <c r="U41" s="202">
        <v>0</v>
      </c>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c r="A42" s="128" t="s">
        <v>28</v>
      </c>
      <c r="B42" s="202">
        <v>0</v>
      </c>
      <c r="C42" s="202">
        <v>0</v>
      </c>
      <c r="D42" s="202">
        <v>0</v>
      </c>
      <c r="E42" s="202">
        <v>0</v>
      </c>
      <c r="F42" s="202">
        <v>0</v>
      </c>
      <c r="G42" s="202">
        <v>0</v>
      </c>
      <c r="H42" s="202">
        <v>0</v>
      </c>
      <c r="I42" s="202">
        <v>0</v>
      </c>
      <c r="J42" s="202">
        <v>0</v>
      </c>
      <c r="K42" s="202">
        <v>0</v>
      </c>
      <c r="L42" s="202">
        <v>0</v>
      </c>
      <c r="M42" s="202">
        <v>0</v>
      </c>
      <c r="N42" s="202">
        <v>0</v>
      </c>
      <c r="O42" s="202">
        <v>0</v>
      </c>
      <c r="P42" s="202">
        <v>0</v>
      </c>
      <c r="Q42" s="202">
        <v>0</v>
      </c>
      <c r="R42" s="202">
        <v>0</v>
      </c>
      <c r="S42" s="202">
        <v>0</v>
      </c>
      <c r="T42" s="202">
        <v>0</v>
      </c>
      <c r="U42" s="202">
        <v>0</v>
      </c>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c r="A43" s="17" t="s">
        <v>29</v>
      </c>
      <c r="B43" s="202">
        <v>10229238.75</v>
      </c>
      <c r="C43" s="202">
        <v>9059652.1199999992</v>
      </c>
      <c r="D43" s="202">
        <v>9345136.7599999998</v>
      </c>
      <c r="E43" s="202">
        <v>9630621.4000000004</v>
      </c>
      <c r="F43" s="202">
        <v>10062216.199999999</v>
      </c>
      <c r="G43" s="202">
        <v>10493810.93</v>
      </c>
      <c r="H43" s="202">
        <v>10926211.279999999</v>
      </c>
      <c r="I43" s="202">
        <v>11357000.439999999</v>
      </c>
      <c r="J43" s="202">
        <v>11855793.15</v>
      </c>
      <c r="K43" s="202">
        <v>12362964.619999999</v>
      </c>
      <c r="L43" s="202">
        <v>12903213.710000001</v>
      </c>
      <c r="M43" s="202">
        <v>13447595.23</v>
      </c>
      <c r="N43" s="202">
        <v>0</v>
      </c>
      <c r="O43" s="202">
        <v>8191424.4199999999</v>
      </c>
      <c r="P43" s="202">
        <v>10187817.16</v>
      </c>
      <c r="Q43" s="202">
        <v>10441047.279999999</v>
      </c>
      <c r="R43" s="202">
        <v>9320565.6699999999</v>
      </c>
      <c r="S43" s="202">
        <v>4900000</v>
      </c>
      <c r="T43" s="202">
        <v>0</v>
      </c>
      <c r="U43" s="202">
        <v>0</v>
      </c>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c r="A44" s="17" t="s">
        <v>30</v>
      </c>
      <c r="B44" s="202">
        <v>0</v>
      </c>
      <c r="C44" s="202">
        <v>0</v>
      </c>
      <c r="D44" s="202">
        <v>0</v>
      </c>
      <c r="E44" s="202">
        <v>0</v>
      </c>
      <c r="F44" s="202">
        <v>0</v>
      </c>
      <c r="G44" s="202">
        <v>0</v>
      </c>
      <c r="H44" s="202">
        <v>0</v>
      </c>
      <c r="I44" s="202">
        <v>0</v>
      </c>
      <c r="J44" s="202">
        <v>0</v>
      </c>
      <c r="K44" s="202">
        <v>0</v>
      </c>
      <c r="L44" s="202">
        <v>0</v>
      </c>
      <c r="M44" s="202">
        <v>0</v>
      </c>
      <c r="N44" s="202">
        <v>0</v>
      </c>
      <c r="O44" s="202">
        <v>0</v>
      </c>
      <c r="P44" s="202">
        <v>0</v>
      </c>
      <c r="Q44" s="202">
        <v>0</v>
      </c>
      <c r="R44" s="202">
        <v>0</v>
      </c>
      <c r="S44" s="202">
        <v>0</v>
      </c>
      <c r="T44" s="202">
        <v>0</v>
      </c>
      <c r="U44" s="202">
        <v>0</v>
      </c>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c r="A45" s="17" t="s">
        <v>31</v>
      </c>
      <c r="B45" s="202">
        <v>0</v>
      </c>
      <c r="C45" s="202">
        <v>0</v>
      </c>
      <c r="D45" s="202">
        <v>0</v>
      </c>
      <c r="E45" s="202">
        <v>0</v>
      </c>
      <c r="F45" s="202">
        <v>0</v>
      </c>
      <c r="G45" s="202">
        <v>0</v>
      </c>
      <c r="H45" s="202">
        <v>400875</v>
      </c>
      <c r="I45" s="202">
        <v>0</v>
      </c>
      <c r="J45" s="202">
        <v>0</v>
      </c>
      <c r="K45" s="202">
        <v>0</v>
      </c>
      <c r="L45" s="202">
        <v>0</v>
      </c>
      <c r="M45" s="202">
        <v>0</v>
      </c>
      <c r="N45" s="202">
        <v>0</v>
      </c>
      <c r="O45" s="202">
        <v>0</v>
      </c>
      <c r="P45" s="202">
        <v>0</v>
      </c>
      <c r="Q45" s="202">
        <v>0</v>
      </c>
      <c r="R45" s="202">
        <v>0</v>
      </c>
      <c r="S45" s="202">
        <v>0</v>
      </c>
      <c r="T45" s="202">
        <v>0</v>
      </c>
      <c r="U45" s="202">
        <v>0</v>
      </c>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27" t="s">
        <v>32</v>
      </c>
      <c r="B49" s="35">
        <f>SUM(B35:B41)+SUM(B43:B45)</f>
        <v>110742483.97999999</v>
      </c>
      <c r="C49" s="35">
        <f>SUM(C35:C41)+SUM(C43:C45)</f>
        <v>198877776.75</v>
      </c>
      <c r="D49" s="35">
        <f>SUM(D35:D41)+SUM(D43:D45)</f>
        <v>169219882.41999999</v>
      </c>
      <c r="E49" s="35">
        <f>SUM(E35:E45)</f>
        <v>202412848.52000001</v>
      </c>
      <c r="F49" s="35">
        <f t="shared" ref="F49:BQ49" si="4">SUM(F35:F45)</f>
        <v>182035041.79999998</v>
      </c>
      <c r="G49" s="35">
        <f t="shared" si="4"/>
        <v>155433567.35000002</v>
      </c>
      <c r="H49" s="35">
        <f t="shared" si="4"/>
        <v>135788563.30000001</v>
      </c>
      <c r="I49" s="35">
        <f t="shared" si="4"/>
        <v>99351318.909999996</v>
      </c>
      <c r="J49" s="35">
        <f t="shared" si="4"/>
        <v>118213006.52000001</v>
      </c>
      <c r="K49" s="35">
        <f t="shared" si="4"/>
        <v>103859677.30000001</v>
      </c>
      <c r="L49" s="35">
        <f t="shared" si="4"/>
        <v>107715936.47</v>
      </c>
      <c r="M49" s="35">
        <f t="shared" si="4"/>
        <v>105633849.49000002</v>
      </c>
      <c r="N49" s="35">
        <f t="shared" si="4"/>
        <v>108810270.61999999</v>
      </c>
      <c r="O49" s="35">
        <f t="shared" si="4"/>
        <v>110110716.51000001</v>
      </c>
      <c r="P49" s="35">
        <f t="shared" si="4"/>
        <v>112109009.38999999</v>
      </c>
      <c r="Q49" s="35">
        <f t="shared" si="4"/>
        <v>112979879.72</v>
      </c>
      <c r="R49" s="35">
        <f t="shared" si="4"/>
        <v>107714243.39</v>
      </c>
      <c r="S49" s="35">
        <f t="shared" si="4"/>
        <v>94452936.219999984</v>
      </c>
      <c r="T49" s="35">
        <f t="shared" si="4"/>
        <v>88541165.560000002</v>
      </c>
      <c r="U49" s="35">
        <f t="shared" si="4"/>
        <v>0</v>
      </c>
      <c r="V49" s="35">
        <f t="shared" si="4"/>
        <v>0</v>
      </c>
      <c r="W49" s="35">
        <f t="shared" si="4"/>
        <v>0</v>
      </c>
      <c r="X49" s="35">
        <f t="shared" si="4"/>
        <v>0</v>
      </c>
      <c r="Y49" s="35">
        <f t="shared" si="4"/>
        <v>0</v>
      </c>
      <c r="Z49" s="35">
        <f t="shared" si="4"/>
        <v>0</v>
      </c>
      <c r="AA49" s="35">
        <f t="shared" si="4"/>
        <v>0</v>
      </c>
      <c r="AB49" s="35">
        <f t="shared" si="4"/>
        <v>0</v>
      </c>
      <c r="AC49" s="35">
        <f t="shared" si="4"/>
        <v>0</v>
      </c>
      <c r="AD49" s="35">
        <f t="shared" si="4"/>
        <v>0</v>
      </c>
      <c r="AE49" s="35">
        <f t="shared" si="4"/>
        <v>0</v>
      </c>
      <c r="AF49" s="35">
        <f t="shared" si="4"/>
        <v>0</v>
      </c>
      <c r="AG49" s="35">
        <f t="shared" si="4"/>
        <v>0</v>
      </c>
      <c r="AH49" s="35">
        <f t="shared" si="4"/>
        <v>0</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9" t="s">
        <v>81</v>
      </c>
      <c r="B50" s="36">
        <f>B33-B49</f>
        <v>658898151.44000006</v>
      </c>
      <c r="C50" s="36">
        <f t="shared" ref="C50:BN50" si="6">C33-C49</f>
        <v>454212583.72000003</v>
      </c>
      <c r="D50" s="36">
        <f t="shared" si="6"/>
        <v>426501991.80000007</v>
      </c>
      <c r="E50" s="36">
        <f t="shared" si="6"/>
        <v>347328031.25</v>
      </c>
      <c r="F50" s="36">
        <f t="shared" si="6"/>
        <v>378130381.20000005</v>
      </c>
      <c r="G50" s="36">
        <f t="shared" si="6"/>
        <v>367079553.13</v>
      </c>
      <c r="H50" s="36">
        <f t="shared" si="6"/>
        <v>358783628.06999999</v>
      </c>
      <c r="I50" s="36">
        <f t="shared" si="6"/>
        <v>285875972.70000005</v>
      </c>
      <c r="J50" s="36">
        <f t="shared" si="6"/>
        <v>254186295.41999993</v>
      </c>
      <c r="K50" s="36">
        <f t="shared" si="6"/>
        <v>284772809.21999997</v>
      </c>
      <c r="L50" s="36">
        <f t="shared" si="6"/>
        <v>276792660.00999999</v>
      </c>
      <c r="M50" s="36">
        <f t="shared" si="6"/>
        <v>258715976.03000003</v>
      </c>
      <c r="N50" s="36">
        <f t="shared" si="6"/>
        <v>263678233.25</v>
      </c>
      <c r="O50" s="36">
        <f t="shared" si="6"/>
        <v>189553380.24000001</v>
      </c>
      <c r="P50" s="36">
        <f t="shared" si="6"/>
        <v>175905973.88</v>
      </c>
      <c r="Q50" s="36">
        <f t="shared" si="6"/>
        <v>159845595.78999999</v>
      </c>
      <c r="R50" s="36">
        <f t="shared" si="6"/>
        <v>121255809.08</v>
      </c>
      <c r="S50" s="36">
        <f t="shared" si="6"/>
        <v>84209193.520000026</v>
      </c>
      <c r="T50" s="36">
        <f t="shared" si="6"/>
        <v>48307661.540000021</v>
      </c>
      <c r="U50" s="36">
        <f t="shared" si="6"/>
        <v>0</v>
      </c>
      <c r="V50" s="36">
        <f t="shared" si="6"/>
        <v>0</v>
      </c>
      <c r="W50" s="36">
        <f t="shared" si="6"/>
        <v>0</v>
      </c>
      <c r="X50" s="36">
        <f t="shared" si="6"/>
        <v>0</v>
      </c>
      <c r="Y50" s="36">
        <f t="shared" si="6"/>
        <v>0</v>
      </c>
      <c r="Z50" s="36">
        <f t="shared" si="6"/>
        <v>0</v>
      </c>
      <c r="AA50" s="36">
        <f t="shared" si="6"/>
        <v>0</v>
      </c>
      <c r="AB50" s="36">
        <f t="shared" si="6"/>
        <v>0</v>
      </c>
      <c r="AC50" s="36">
        <f t="shared" si="6"/>
        <v>0</v>
      </c>
      <c r="AD50" s="36">
        <f t="shared" si="6"/>
        <v>0</v>
      </c>
      <c r="AE50" s="36">
        <f t="shared" si="6"/>
        <v>0</v>
      </c>
      <c r="AF50" s="36">
        <f t="shared" si="6"/>
        <v>0</v>
      </c>
      <c r="AG50" s="36">
        <f t="shared" si="6"/>
        <v>0</v>
      </c>
      <c r="AH50" s="36">
        <f t="shared" si="6"/>
        <v>0</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c r="A51" s="17" t="s">
        <v>33</v>
      </c>
      <c r="B51" s="26"/>
      <c r="C51" s="26"/>
      <c r="D51" s="26"/>
      <c r="E51" s="26"/>
      <c r="F51" s="26"/>
      <c r="G51" s="26"/>
      <c r="H51" s="26"/>
      <c r="I51" s="26"/>
      <c r="J51" s="26"/>
      <c r="K51" s="26"/>
      <c r="L51" s="23"/>
      <c r="M51" s="13"/>
      <c r="N51" s="13"/>
    </row>
    <row r="52" spans="1:90">
      <c r="A52" s="17" t="s">
        <v>34</v>
      </c>
      <c r="B52" s="202">
        <v>179588496.93000001</v>
      </c>
      <c r="C52" s="202">
        <v>96473776.549999997</v>
      </c>
      <c r="D52" s="202">
        <v>89146808.230000004</v>
      </c>
      <c r="E52" s="202">
        <v>78530986.829999998</v>
      </c>
      <c r="F52" s="202">
        <v>53583557.289999999</v>
      </c>
      <c r="G52" s="202">
        <v>53466789.990000002</v>
      </c>
      <c r="H52" s="202">
        <v>55371639.969999999</v>
      </c>
      <c r="I52" s="202">
        <v>48741114.240000002</v>
      </c>
      <c r="J52" s="202">
        <v>46319339.630000003</v>
      </c>
      <c r="K52" s="202">
        <v>45862427.969999999</v>
      </c>
      <c r="L52" s="202">
        <v>45589508.130000003</v>
      </c>
      <c r="M52" s="202">
        <v>46446745.649999999</v>
      </c>
      <c r="N52" s="202">
        <v>44245387</v>
      </c>
      <c r="O52" s="202">
        <v>44983895.810000002</v>
      </c>
      <c r="P52" s="202">
        <v>46249125.369999997</v>
      </c>
      <c r="Q52" s="202">
        <v>47197355.270000003</v>
      </c>
      <c r="R52" s="202">
        <v>38456071.32</v>
      </c>
      <c r="S52" s="202">
        <v>39867347.079999998</v>
      </c>
      <c r="T52" s="202">
        <v>38151534.119999997</v>
      </c>
      <c r="U52" s="202">
        <v>0</v>
      </c>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c r="A53" s="17" t="s">
        <v>35</v>
      </c>
      <c r="B53" s="202">
        <v>47437987.990000002</v>
      </c>
      <c r="C53" s="202">
        <v>24842085.370000001</v>
      </c>
      <c r="D53" s="202">
        <v>28025948.399999999</v>
      </c>
      <c r="E53" s="202">
        <v>33759206.789999999</v>
      </c>
      <c r="F53" s="202">
        <v>51524917.649999999</v>
      </c>
      <c r="G53" s="202">
        <v>41433154.460000001</v>
      </c>
      <c r="H53" s="202">
        <v>31466238.920000002</v>
      </c>
      <c r="I53" s="202">
        <v>30407601.129999999</v>
      </c>
      <c r="J53" s="202">
        <v>29460934.789999999</v>
      </c>
      <c r="K53" s="202">
        <v>29253913.109999999</v>
      </c>
      <c r="L53" s="202">
        <v>29224856.43</v>
      </c>
      <c r="M53" s="202">
        <v>28474617.109999999</v>
      </c>
      <c r="N53" s="202">
        <v>27038874.239999998</v>
      </c>
      <c r="O53" s="202">
        <v>25197245.739999998</v>
      </c>
      <c r="P53" s="202">
        <v>24805524.559999999</v>
      </c>
      <c r="Q53" s="202">
        <v>25706776.059999999</v>
      </c>
      <c r="R53" s="202">
        <v>22306687.870000001</v>
      </c>
      <c r="S53" s="202">
        <v>224282.06</v>
      </c>
      <c r="T53" s="202">
        <v>0</v>
      </c>
      <c r="U53" s="202">
        <v>0</v>
      </c>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c r="A54" s="17" t="s">
        <v>36</v>
      </c>
      <c r="B54" s="202">
        <v>0</v>
      </c>
      <c r="C54" s="202">
        <v>0</v>
      </c>
      <c r="D54" s="202">
        <v>0</v>
      </c>
      <c r="E54" s="202">
        <v>0</v>
      </c>
      <c r="F54" s="202">
        <v>0</v>
      </c>
      <c r="G54" s="202">
        <v>0</v>
      </c>
      <c r="H54" s="202">
        <v>0</v>
      </c>
      <c r="I54" s="202">
        <v>0</v>
      </c>
      <c r="J54" s="202">
        <v>0</v>
      </c>
      <c r="K54" s="202">
        <v>0</v>
      </c>
      <c r="L54" s="202">
        <v>0</v>
      </c>
      <c r="M54" s="202">
        <v>0</v>
      </c>
      <c r="N54" s="202">
        <v>0</v>
      </c>
      <c r="O54" s="202">
        <v>0</v>
      </c>
      <c r="P54" s="202">
        <v>0</v>
      </c>
      <c r="Q54" s="202">
        <v>0</v>
      </c>
      <c r="R54" s="202">
        <v>0</v>
      </c>
      <c r="S54" s="202">
        <v>0</v>
      </c>
      <c r="T54" s="202">
        <v>0</v>
      </c>
      <c r="U54" s="202">
        <v>0</v>
      </c>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c r="A55" s="17" t="s">
        <v>37</v>
      </c>
      <c r="B55" s="202">
        <v>0</v>
      </c>
      <c r="C55" s="202">
        <v>0</v>
      </c>
      <c r="D55" s="202">
        <v>0</v>
      </c>
      <c r="E55" s="202">
        <v>0</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c r="A56" s="17" t="s">
        <v>38</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c r="A57" s="17" t="s">
        <v>39</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c r="A58" s="17" t="s">
        <v>40</v>
      </c>
      <c r="B58" s="202">
        <v>130750721.29000001</v>
      </c>
      <c r="C58" s="202">
        <v>93189812.799999997</v>
      </c>
      <c r="D58" s="202">
        <v>94170869.519999996</v>
      </c>
      <c r="E58" s="202">
        <v>95243432.670000002</v>
      </c>
      <c r="F58" s="202">
        <v>57481271.969999999</v>
      </c>
      <c r="G58" s="202">
        <v>58072062.700000003</v>
      </c>
      <c r="H58" s="202">
        <v>58380584.729999997</v>
      </c>
      <c r="I58" s="202">
        <v>53948526.890000001</v>
      </c>
      <c r="J58" s="202">
        <v>54554465.619999997</v>
      </c>
      <c r="K58" s="202">
        <v>54981860.560000002</v>
      </c>
      <c r="L58" s="202">
        <v>54818591.469999999</v>
      </c>
      <c r="M58" s="202">
        <v>55471061.369999997</v>
      </c>
      <c r="N58" s="202">
        <v>55763338.780000001</v>
      </c>
      <c r="O58" s="202">
        <v>55478452.520000003</v>
      </c>
      <c r="P58" s="202">
        <v>55818073.719999999</v>
      </c>
      <c r="Q58" s="202">
        <v>56401444.32</v>
      </c>
      <c r="R58" s="202">
        <v>58186886.659999996</v>
      </c>
      <c r="S58" s="202">
        <v>59901831.460000001</v>
      </c>
      <c r="T58" s="202">
        <v>24072011.399999999</v>
      </c>
      <c r="U58" s="202">
        <v>0</v>
      </c>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c r="A59" s="17" t="s">
        <v>41</v>
      </c>
      <c r="B59" s="202">
        <v>0</v>
      </c>
      <c r="C59" s="202">
        <v>0</v>
      </c>
      <c r="D59" s="202">
        <v>0</v>
      </c>
      <c r="E59" s="202">
        <v>0</v>
      </c>
      <c r="F59" s="202">
        <v>0</v>
      </c>
      <c r="G59" s="202">
        <v>0</v>
      </c>
      <c r="H59" s="202">
        <v>0</v>
      </c>
      <c r="I59" s="202">
        <v>0</v>
      </c>
      <c r="J59" s="202">
        <v>0</v>
      </c>
      <c r="K59" s="202">
        <v>0</v>
      </c>
      <c r="L59" s="202">
        <v>0</v>
      </c>
      <c r="M59" s="202">
        <v>0</v>
      </c>
      <c r="N59" s="202">
        <v>0</v>
      </c>
      <c r="O59" s="202">
        <v>0</v>
      </c>
      <c r="P59" s="202">
        <v>0</v>
      </c>
      <c r="Q59" s="202">
        <v>0</v>
      </c>
      <c r="R59" s="202">
        <v>0</v>
      </c>
      <c r="S59" s="202">
        <v>0</v>
      </c>
      <c r="T59" s="202">
        <v>0</v>
      </c>
      <c r="U59" s="202">
        <v>0</v>
      </c>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c r="A60" s="17" t="s">
        <v>42</v>
      </c>
      <c r="B60" s="202">
        <v>95838200.030000001</v>
      </c>
      <c r="C60" s="202">
        <v>51057902.170000002</v>
      </c>
      <c r="D60" s="202">
        <v>51057902.170000002</v>
      </c>
      <c r="E60" s="202">
        <v>51057902.170000002</v>
      </c>
      <c r="F60" s="202">
        <v>86712210.659999996</v>
      </c>
      <c r="G60" s="202">
        <v>86125931.659999996</v>
      </c>
      <c r="H60" s="202">
        <v>86285972.540000007</v>
      </c>
      <c r="I60" s="202">
        <v>0</v>
      </c>
      <c r="J60" s="202">
        <v>0</v>
      </c>
      <c r="K60" s="202">
        <v>0</v>
      </c>
      <c r="L60" s="202">
        <v>0</v>
      </c>
      <c r="M60" s="202">
        <v>0</v>
      </c>
      <c r="N60" s="202">
        <v>0</v>
      </c>
      <c r="O60" s="202">
        <v>0</v>
      </c>
      <c r="P60" s="202">
        <v>0</v>
      </c>
      <c r="Q60" s="202">
        <v>0</v>
      </c>
      <c r="R60" s="202">
        <v>0</v>
      </c>
      <c r="S60" s="202">
        <v>0</v>
      </c>
      <c r="T60" s="202">
        <v>0</v>
      </c>
      <c r="U60" s="202">
        <v>0</v>
      </c>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c r="A61" s="17" t="s">
        <v>43</v>
      </c>
      <c r="B61" s="202">
        <v>0</v>
      </c>
      <c r="C61" s="202">
        <v>0</v>
      </c>
      <c r="D61" s="202">
        <v>0</v>
      </c>
      <c r="E61" s="202">
        <v>0</v>
      </c>
      <c r="F61" s="202">
        <v>28388.89</v>
      </c>
      <c r="G61" s="202">
        <v>0</v>
      </c>
      <c r="H61" s="202">
        <v>22198.37</v>
      </c>
      <c r="I61" s="202">
        <v>0</v>
      </c>
      <c r="J61" s="202">
        <v>0</v>
      </c>
      <c r="K61" s="202">
        <v>0</v>
      </c>
      <c r="L61" s="202">
        <v>0</v>
      </c>
      <c r="M61" s="202">
        <v>0</v>
      </c>
      <c r="N61" s="202">
        <v>0</v>
      </c>
      <c r="O61" s="202">
        <v>0</v>
      </c>
      <c r="P61" s="202">
        <v>0</v>
      </c>
      <c r="Q61" s="202">
        <v>0</v>
      </c>
      <c r="R61" s="202">
        <v>0</v>
      </c>
      <c r="S61" s="202">
        <v>0</v>
      </c>
      <c r="T61" s="202">
        <v>0</v>
      </c>
      <c r="U61" s="202">
        <v>0</v>
      </c>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c r="A62" s="17" t="s">
        <v>44</v>
      </c>
      <c r="B62" s="202">
        <v>9782400.9900000002</v>
      </c>
      <c r="C62" s="202">
        <v>7517069.3300000001</v>
      </c>
      <c r="D62" s="202">
        <v>7301331.0800000001</v>
      </c>
      <c r="E62" s="202">
        <v>6720934</v>
      </c>
      <c r="F62" s="202">
        <v>6923377.8700000001</v>
      </c>
      <c r="G62" s="202">
        <v>6931760.2400000002</v>
      </c>
      <c r="H62" s="202">
        <v>6910502.75</v>
      </c>
      <c r="I62" s="202">
        <v>5348043.92</v>
      </c>
      <c r="J62" s="202">
        <v>6080799.04</v>
      </c>
      <c r="K62" s="202">
        <v>5654806.6399999997</v>
      </c>
      <c r="L62" s="202">
        <v>5473088.9500000002</v>
      </c>
      <c r="M62" s="202">
        <v>5150299.49</v>
      </c>
      <c r="N62" s="202">
        <v>5259937.09</v>
      </c>
      <c r="O62" s="202">
        <v>4963348.3499999996</v>
      </c>
      <c r="P62" s="202">
        <v>5079179.2699999996</v>
      </c>
      <c r="Q62" s="202">
        <v>4729646.32</v>
      </c>
      <c r="R62" s="202">
        <v>4144125.1</v>
      </c>
      <c r="S62" s="202">
        <v>2221007.2400000002</v>
      </c>
      <c r="T62" s="202">
        <v>1268370.74</v>
      </c>
      <c r="U62" s="202">
        <v>0</v>
      </c>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c r="A63" s="17" t="s">
        <v>45</v>
      </c>
      <c r="B63" s="202">
        <v>16989701.91</v>
      </c>
      <c r="C63" s="202">
        <v>6420804.1699999999</v>
      </c>
      <c r="D63" s="202">
        <v>5878632.8499999996</v>
      </c>
      <c r="E63" s="202">
        <v>5988468.3099999996</v>
      </c>
      <c r="F63" s="202">
        <v>250922.71</v>
      </c>
      <c r="G63" s="202">
        <v>301391.93</v>
      </c>
      <c r="H63" s="202">
        <v>0</v>
      </c>
      <c r="I63" s="202">
        <v>0</v>
      </c>
      <c r="J63" s="202">
        <v>0</v>
      </c>
      <c r="K63" s="202">
        <v>0</v>
      </c>
      <c r="L63" s="202">
        <v>0</v>
      </c>
      <c r="M63" s="202">
        <v>0</v>
      </c>
      <c r="N63" s="202">
        <v>0</v>
      </c>
      <c r="O63" s="202">
        <v>0</v>
      </c>
      <c r="P63" s="202">
        <v>0</v>
      </c>
      <c r="Q63" s="202">
        <v>0</v>
      </c>
      <c r="R63" s="202">
        <v>0</v>
      </c>
      <c r="S63" s="202">
        <v>0</v>
      </c>
      <c r="T63" s="202">
        <v>0</v>
      </c>
      <c r="U63" s="202">
        <v>0</v>
      </c>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c r="A64" s="17" t="s">
        <v>46</v>
      </c>
      <c r="B64" s="202">
        <v>0</v>
      </c>
      <c r="C64" s="202">
        <v>0</v>
      </c>
      <c r="D64" s="202">
        <v>0</v>
      </c>
      <c r="E64" s="202">
        <v>0</v>
      </c>
      <c r="F64" s="202">
        <v>0</v>
      </c>
      <c r="G64" s="202">
        <v>0</v>
      </c>
      <c r="H64" s="202">
        <v>0</v>
      </c>
      <c r="I64" s="202">
        <v>125400000</v>
      </c>
      <c r="J64" s="202">
        <v>0</v>
      </c>
      <c r="K64" s="202">
        <v>0</v>
      </c>
      <c r="L64" s="202">
        <v>0</v>
      </c>
      <c r="M64" s="202">
        <v>0</v>
      </c>
      <c r="N64" s="202">
        <v>0</v>
      </c>
      <c r="O64" s="202">
        <v>0</v>
      </c>
      <c r="P64" s="202">
        <v>0</v>
      </c>
      <c r="Q64" s="202">
        <v>0</v>
      </c>
      <c r="R64" s="202">
        <v>0</v>
      </c>
      <c r="S64" s="202">
        <v>0</v>
      </c>
      <c r="T64" s="202">
        <v>0</v>
      </c>
      <c r="U64" s="202">
        <v>0</v>
      </c>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29" t="s">
        <v>47</v>
      </c>
      <c r="B68" s="36">
        <f>SUM(B52:B64)-2*B63</f>
        <v>446408105.32000005</v>
      </c>
      <c r="C68" s="36">
        <f t="shared" ref="C68:BN68" si="8">SUM(C52:C64)-2*C63</f>
        <v>266659842.04999998</v>
      </c>
      <c r="D68" s="36">
        <f t="shared" si="8"/>
        <v>263824226.55000001</v>
      </c>
      <c r="E68" s="36">
        <f t="shared" si="8"/>
        <v>259323994.15000004</v>
      </c>
      <c r="F68" s="36">
        <f t="shared" si="8"/>
        <v>256002801.62</v>
      </c>
      <c r="G68" s="36">
        <f t="shared" si="8"/>
        <v>245728307.12</v>
      </c>
      <c r="H68" s="36">
        <f t="shared" si="8"/>
        <v>238437137.28000003</v>
      </c>
      <c r="I68" s="36">
        <f t="shared" si="8"/>
        <v>263845286.18000001</v>
      </c>
      <c r="J68" s="36">
        <f t="shared" si="8"/>
        <v>136415539.07999998</v>
      </c>
      <c r="K68" s="36">
        <f t="shared" si="8"/>
        <v>135753008.28</v>
      </c>
      <c r="L68" s="36">
        <f t="shared" si="8"/>
        <v>135106044.97999999</v>
      </c>
      <c r="M68" s="36">
        <f t="shared" si="8"/>
        <v>135542723.62</v>
      </c>
      <c r="N68" s="36">
        <f t="shared" si="8"/>
        <v>132307537.11</v>
      </c>
      <c r="O68" s="36">
        <f t="shared" si="8"/>
        <v>130622942.41999999</v>
      </c>
      <c r="P68" s="36">
        <f t="shared" si="8"/>
        <v>131951902.91999999</v>
      </c>
      <c r="Q68" s="36">
        <f t="shared" si="8"/>
        <v>134035221.97</v>
      </c>
      <c r="R68" s="36">
        <f t="shared" si="8"/>
        <v>123093770.94999999</v>
      </c>
      <c r="S68" s="36">
        <f t="shared" si="8"/>
        <v>102214467.83999999</v>
      </c>
      <c r="T68" s="36">
        <f t="shared" si="8"/>
        <v>63491916.259999998</v>
      </c>
      <c r="U68" s="36">
        <f t="shared" si="8"/>
        <v>0</v>
      </c>
      <c r="V68" s="36">
        <f t="shared" si="8"/>
        <v>0</v>
      </c>
      <c r="W68" s="36">
        <f t="shared" si="8"/>
        <v>0</v>
      </c>
      <c r="X68" s="36">
        <f t="shared" si="8"/>
        <v>0</v>
      </c>
      <c r="Y68" s="36">
        <f t="shared" si="8"/>
        <v>0</v>
      </c>
      <c r="Z68" s="36">
        <f t="shared" si="8"/>
        <v>0</v>
      </c>
      <c r="AA68" s="36">
        <f t="shared" si="8"/>
        <v>0</v>
      </c>
      <c r="AB68" s="36">
        <f t="shared" si="8"/>
        <v>0</v>
      </c>
      <c r="AC68" s="36">
        <f t="shared" si="8"/>
        <v>0</v>
      </c>
      <c r="AD68" s="36">
        <f t="shared" si="8"/>
        <v>0</v>
      </c>
      <c r="AE68" s="36">
        <f t="shared" si="8"/>
        <v>0</v>
      </c>
      <c r="AF68" s="36">
        <f t="shared" si="8"/>
        <v>0</v>
      </c>
      <c r="AG68" s="36">
        <f t="shared" si="8"/>
        <v>0</v>
      </c>
      <c r="AH68" s="36">
        <f t="shared" si="8"/>
        <v>0</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30" t="s">
        <v>48</v>
      </c>
      <c r="B69" s="33">
        <f>B50+B68</f>
        <v>1105306256.7600002</v>
      </c>
      <c r="C69" s="33">
        <f t="shared" ref="C69:BN69" si="10">C50+C68</f>
        <v>720872425.76999998</v>
      </c>
      <c r="D69" s="33">
        <f t="shared" si="10"/>
        <v>690326218.35000014</v>
      </c>
      <c r="E69" s="33">
        <f t="shared" si="10"/>
        <v>606652025.4000001</v>
      </c>
      <c r="F69" s="33">
        <f t="shared" si="10"/>
        <v>634133182.82000005</v>
      </c>
      <c r="G69" s="33">
        <f t="shared" si="10"/>
        <v>612807860.25</v>
      </c>
      <c r="H69" s="33">
        <f t="shared" si="10"/>
        <v>597220765.35000002</v>
      </c>
      <c r="I69" s="33">
        <f t="shared" si="10"/>
        <v>549721258.88000011</v>
      </c>
      <c r="J69" s="33">
        <f t="shared" si="10"/>
        <v>390601834.49999988</v>
      </c>
      <c r="K69" s="33">
        <f t="shared" si="10"/>
        <v>420525817.5</v>
      </c>
      <c r="L69" s="33">
        <f t="shared" si="10"/>
        <v>411898704.99000001</v>
      </c>
      <c r="M69" s="33">
        <f t="shared" si="10"/>
        <v>394258699.65000004</v>
      </c>
      <c r="N69" s="33">
        <f t="shared" si="10"/>
        <v>395985770.36000001</v>
      </c>
      <c r="O69" s="33">
        <f t="shared" si="10"/>
        <v>320176322.65999997</v>
      </c>
      <c r="P69" s="33">
        <f t="shared" si="10"/>
        <v>307857876.79999995</v>
      </c>
      <c r="Q69" s="33">
        <f t="shared" si="10"/>
        <v>293880817.75999999</v>
      </c>
      <c r="R69" s="33">
        <f t="shared" si="10"/>
        <v>244349580.02999997</v>
      </c>
      <c r="S69" s="33">
        <f t="shared" si="10"/>
        <v>186423661.36000001</v>
      </c>
      <c r="T69" s="33">
        <f t="shared" si="10"/>
        <v>111799577.80000001</v>
      </c>
      <c r="U69" s="33">
        <f t="shared" si="10"/>
        <v>0</v>
      </c>
      <c r="V69" s="33">
        <f t="shared" si="10"/>
        <v>0</v>
      </c>
      <c r="W69" s="33">
        <f t="shared" si="10"/>
        <v>0</v>
      </c>
      <c r="X69" s="33">
        <f t="shared" si="10"/>
        <v>0</v>
      </c>
      <c r="Y69" s="33">
        <f t="shared" si="10"/>
        <v>0</v>
      </c>
      <c r="Z69" s="33">
        <f t="shared" si="10"/>
        <v>0</v>
      </c>
      <c r="AA69" s="33">
        <f t="shared" si="10"/>
        <v>0</v>
      </c>
      <c r="AB69" s="33">
        <f t="shared" si="10"/>
        <v>0</v>
      </c>
      <c r="AC69" s="33">
        <f t="shared" si="10"/>
        <v>0</v>
      </c>
      <c r="AD69" s="33">
        <f t="shared" si="10"/>
        <v>0</v>
      </c>
      <c r="AE69" s="33">
        <f t="shared" si="10"/>
        <v>0</v>
      </c>
      <c r="AF69" s="33">
        <f t="shared" si="10"/>
        <v>0</v>
      </c>
      <c r="AG69" s="33">
        <f t="shared" si="10"/>
        <v>0</v>
      </c>
      <c r="AH69" s="33">
        <f t="shared" si="10"/>
        <v>0</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31" t="s">
        <v>49</v>
      </c>
      <c r="B70" s="37">
        <f>B17+B19+B69</f>
        <v>1377443157.1300001</v>
      </c>
      <c r="C70" s="37">
        <f t="shared" ref="C70:BN70" si="12">C17+C19+C69</f>
        <v>1045306636.4200001</v>
      </c>
      <c r="D70" s="37">
        <f t="shared" si="12"/>
        <v>1032081216.5100002</v>
      </c>
      <c r="E70" s="37">
        <f t="shared" si="12"/>
        <v>1001437645.5000001</v>
      </c>
      <c r="F70" s="37">
        <f t="shared" si="12"/>
        <v>1139824164.0599999</v>
      </c>
      <c r="G70" s="37">
        <f t="shared" si="12"/>
        <v>1121766533.76</v>
      </c>
      <c r="H70" s="37">
        <f t="shared" si="12"/>
        <v>1095053484.4200001</v>
      </c>
      <c r="I70" s="37">
        <f t="shared" si="12"/>
        <v>1043572540.0500002</v>
      </c>
      <c r="J70" s="37">
        <f t="shared" si="12"/>
        <v>852034400.14999986</v>
      </c>
      <c r="K70" s="37">
        <f t="shared" si="12"/>
        <v>843760937.77999997</v>
      </c>
      <c r="L70" s="37">
        <f t="shared" si="12"/>
        <v>823665858.41000009</v>
      </c>
      <c r="M70" s="37">
        <f t="shared" si="12"/>
        <v>807626588.06000006</v>
      </c>
      <c r="N70" s="37">
        <f t="shared" si="12"/>
        <v>785475395.49000001</v>
      </c>
      <c r="O70" s="37">
        <f t="shared" si="12"/>
        <v>782967608.17999995</v>
      </c>
      <c r="P70" s="37">
        <f t="shared" si="12"/>
        <v>371118608.83999997</v>
      </c>
      <c r="Q70" s="37">
        <f t="shared" si="12"/>
        <v>369627935.73000002</v>
      </c>
      <c r="R70" s="37">
        <f t="shared" si="12"/>
        <v>270719476.90999997</v>
      </c>
      <c r="S70" s="37">
        <f t="shared" si="12"/>
        <v>231451672.05000001</v>
      </c>
      <c r="T70" s="37">
        <f t="shared" si="12"/>
        <v>164002598.48000002</v>
      </c>
      <c r="U70" s="37">
        <f t="shared" si="12"/>
        <v>0</v>
      </c>
      <c r="V70" s="37">
        <f t="shared" si="12"/>
        <v>0</v>
      </c>
      <c r="W70" s="37">
        <f t="shared" si="12"/>
        <v>0</v>
      </c>
      <c r="X70" s="37">
        <f t="shared" si="12"/>
        <v>0</v>
      </c>
      <c r="Y70" s="37">
        <f t="shared" si="12"/>
        <v>0</v>
      </c>
      <c r="Z70" s="37">
        <f t="shared" si="12"/>
        <v>0</v>
      </c>
      <c r="AA70" s="37">
        <f t="shared" si="12"/>
        <v>0</v>
      </c>
      <c r="AB70" s="37">
        <f t="shared" si="12"/>
        <v>0</v>
      </c>
      <c r="AC70" s="37">
        <f t="shared" si="12"/>
        <v>0</v>
      </c>
      <c r="AD70" s="37">
        <f t="shared" si="12"/>
        <v>0</v>
      </c>
      <c r="AE70" s="37">
        <f t="shared" si="12"/>
        <v>0</v>
      </c>
      <c r="AF70" s="37">
        <f t="shared" si="12"/>
        <v>0</v>
      </c>
      <c r="AG70" s="37">
        <f t="shared" si="12"/>
        <v>0</v>
      </c>
      <c r="AH70" s="37">
        <f t="shared" si="12"/>
        <v>0</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10028269.92</v>
      </c>
      <c r="F72" s="28">
        <f t="shared" ref="F72:BQ72" si="14">SUM(F73:F77)</f>
        <v>10383031.57</v>
      </c>
      <c r="G72" s="28">
        <f t="shared" si="14"/>
        <v>5504549.6000000006</v>
      </c>
      <c r="H72" s="28">
        <f t="shared" si="14"/>
        <v>5531966.9500000002</v>
      </c>
      <c r="I72" s="28">
        <f t="shared" si="14"/>
        <v>287671.23</v>
      </c>
      <c r="J72" s="28">
        <f t="shared" si="14"/>
        <v>0</v>
      </c>
      <c r="K72" s="28">
        <f t="shared" si="14"/>
        <v>0</v>
      </c>
      <c r="L72" s="28">
        <f t="shared" si="14"/>
        <v>0</v>
      </c>
      <c r="M72" s="28">
        <f t="shared" si="14"/>
        <v>0</v>
      </c>
      <c r="N72" s="28">
        <f t="shared" si="14"/>
        <v>0</v>
      </c>
      <c r="O72" s="28">
        <f t="shared" si="14"/>
        <v>0</v>
      </c>
      <c r="P72" s="28">
        <f t="shared" si="14"/>
        <v>15000000</v>
      </c>
      <c r="Q72" s="28">
        <f t="shared" si="14"/>
        <v>30000000</v>
      </c>
      <c r="R72" s="28">
        <f t="shared" si="14"/>
        <v>0</v>
      </c>
      <c r="S72" s="28">
        <f t="shared" si="14"/>
        <v>31000000</v>
      </c>
      <c r="T72" s="28">
        <f t="shared" si="14"/>
        <v>31000000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32" t="s">
        <v>52</v>
      </c>
      <c r="B73" s="202">
        <v>33979789.549999997</v>
      </c>
      <c r="C73" s="202">
        <v>7000000</v>
      </c>
      <c r="D73" s="202">
        <v>10000000</v>
      </c>
      <c r="E73" s="202">
        <v>10000000</v>
      </c>
      <c r="F73" s="202">
        <v>10000000</v>
      </c>
      <c r="G73" s="202">
        <v>5000000</v>
      </c>
      <c r="H73" s="202">
        <v>5000000</v>
      </c>
      <c r="I73" s="202">
        <v>0</v>
      </c>
      <c r="J73" s="202">
        <v>0</v>
      </c>
      <c r="K73" s="202">
        <v>0</v>
      </c>
      <c r="L73" s="202">
        <v>0</v>
      </c>
      <c r="M73" s="202">
        <v>0</v>
      </c>
      <c r="N73" s="202">
        <v>0</v>
      </c>
      <c r="O73" s="202">
        <v>0</v>
      </c>
      <c r="P73" s="202">
        <v>15000000</v>
      </c>
      <c r="Q73" s="202">
        <v>30000000</v>
      </c>
      <c r="R73" s="202">
        <v>0</v>
      </c>
      <c r="S73" s="202">
        <v>31000000</v>
      </c>
      <c r="T73" s="202">
        <v>31000000</v>
      </c>
      <c r="U73" s="202">
        <v>0</v>
      </c>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c r="A74" s="132" t="s">
        <v>77</v>
      </c>
      <c r="B74" s="202">
        <v>0</v>
      </c>
      <c r="C74" s="202">
        <v>28269.919999999998</v>
      </c>
      <c r="D74" s="202">
        <v>28269.919999999998</v>
      </c>
      <c r="E74" s="202">
        <v>28269.919999999998</v>
      </c>
      <c r="F74" s="202">
        <v>258903.21</v>
      </c>
      <c r="G74" s="202">
        <v>380421.24</v>
      </c>
      <c r="H74" s="202">
        <v>409188.36</v>
      </c>
      <c r="I74" s="202">
        <v>287671.23</v>
      </c>
      <c r="J74" s="202">
        <v>0</v>
      </c>
      <c r="K74" s="202">
        <v>0</v>
      </c>
      <c r="L74" s="202">
        <v>0</v>
      </c>
      <c r="M74" s="202">
        <v>0</v>
      </c>
      <c r="N74" s="202">
        <v>0</v>
      </c>
      <c r="O74" s="202">
        <v>0</v>
      </c>
      <c r="P74" s="202">
        <v>0</v>
      </c>
      <c r="Q74" s="202">
        <v>0</v>
      </c>
      <c r="R74" s="202">
        <v>0</v>
      </c>
      <c r="S74" s="202">
        <v>0</v>
      </c>
      <c r="T74" s="202">
        <v>0</v>
      </c>
      <c r="U74" s="202">
        <v>0</v>
      </c>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c r="A75" s="132" t="s">
        <v>53</v>
      </c>
      <c r="B75" s="202">
        <v>0</v>
      </c>
      <c r="C75" s="202">
        <v>0</v>
      </c>
      <c r="D75" s="202">
        <v>0</v>
      </c>
      <c r="E75" s="202">
        <v>0</v>
      </c>
      <c r="F75" s="202">
        <v>0</v>
      </c>
      <c r="G75" s="202">
        <v>0</v>
      </c>
      <c r="H75" s="202">
        <v>0</v>
      </c>
      <c r="I75" s="202">
        <v>0</v>
      </c>
      <c r="J75" s="202">
        <v>0</v>
      </c>
      <c r="K75" s="202">
        <v>0</v>
      </c>
      <c r="L75" s="202">
        <v>0</v>
      </c>
      <c r="M75" s="202">
        <v>0</v>
      </c>
      <c r="N75" s="202">
        <v>0</v>
      </c>
      <c r="O75" s="202">
        <v>0</v>
      </c>
      <c r="P75" s="202">
        <v>0</v>
      </c>
      <c r="Q75" s="202">
        <v>0</v>
      </c>
      <c r="R75" s="202">
        <v>0</v>
      </c>
      <c r="S75" s="202">
        <v>0</v>
      </c>
      <c r="T75" s="202">
        <v>0</v>
      </c>
      <c r="U75" s="202">
        <v>0</v>
      </c>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c r="A76" s="132" t="s">
        <v>54</v>
      </c>
      <c r="B76" s="202">
        <v>1000000</v>
      </c>
      <c r="C76" s="202">
        <v>0</v>
      </c>
      <c r="D76" s="202">
        <v>0</v>
      </c>
      <c r="E76" s="202">
        <v>0</v>
      </c>
      <c r="F76" s="202">
        <v>124128.36</v>
      </c>
      <c r="G76" s="202">
        <v>124128.36</v>
      </c>
      <c r="H76" s="202">
        <v>122778.59</v>
      </c>
      <c r="I76" s="202">
        <v>0</v>
      </c>
      <c r="J76" s="202">
        <v>0</v>
      </c>
      <c r="K76" s="202">
        <v>0</v>
      </c>
      <c r="L76" s="202">
        <v>0</v>
      </c>
      <c r="M76" s="202">
        <v>0</v>
      </c>
      <c r="N76" s="202">
        <v>0</v>
      </c>
      <c r="O76" s="202">
        <v>0</v>
      </c>
      <c r="P76" s="202">
        <v>0</v>
      </c>
      <c r="Q76" s="202">
        <v>0</v>
      </c>
      <c r="R76" s="202">
        <v>0</v>
      </c>
      <c r="S76" s="202">
        <v>0</v>
      </c>
      <c r="T76" s="202">
        <v>0</v>
      </c>
      <c r="U76" s="202">
        <v>0</v>
      </c>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c r="A77" s="132" t="s">
        <v>55</v>
      </c>
      <c r="B77" s="202">
        <v>0</v>
      </c>
      <c r="C77" s="202">
        <v>0</v>
      </c>
      <c r="D77" s="202">
        <v>0</v>
      </c>
      <c r="E77" s="202">
        <v>0</v>
      </c>
      <c r="F77" s="202">
        <v>0</v>
      </c>
      <c r="G77" s="202">
        <v>0</v>
      </c>
      <c r="H77" s="202">
        <v>0</v>
      </c>
      <c r="I77" s="202">
        <v>0</v>
      </c>
      <c r="J77" s="202">
        <v>0</v>
      </c>
      <c r="K77" s="202">
        <v>0</v>
      </c>
      <c r="L77" s="202">
        <v>0</v>
      </c>
      <c r="M77" s="202">
        <v>0</v>
      </c>
      <c r="N77" s="202">
        <v>0</v>
      </c>
      <c r="O77" s="202">
        <v>0</v>
      </c>
      <c r="P77" s="202">
        <v>0</v>
      </c>
      <c r="Q77" s="202">
        <v>0</v>
      </c>
      <c r="R77" s="202">
        <v>0</v>
      </c>
      <c r="S77" s="202">
        <v>0</v>
      </c>
      <c r="T77" s="202">
        <v>0</v>
      </c>
      <c r="U77" s="202">
        <v>0</v>
      </c>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c r="A78" s="132"/>
      <c r="B78" s="26"/>
      <c r="C78" s="26"/>
      <c r="D78" s="26"/>
      <c r="E78" s="26"/>
      <c r="F78" s="26"/>
      <c r="G78" s="26"/>
      <c r="H78" s="26"/>
      <c r="I78" s="26"/>
      <c r="J78" s="26"/>
      <c r="K78" s="26"/>
      <c r="L78" s="23"/>
    </row>
    <row r="79" spans="1:90" hidden="1">
      <c r="A79" s="132"/>
      <c r="B79" s="26"/>
      <c r="C79" s="26"/>
      <c r="D79" s="26"/>
      <c r="E79" s="26"/>
      <c r="F79" s="26"/>
      <c r="G79" s="26"/>
      <c r="H79" s="26"/>
      <c r="I79" s="26"/>
      <c r="J79" s="26"/>
      <c r="K79" s="26"/>
      <c r="L79" s="23"/>
    </row>
    <row r="80" spans="1:90" hidden="1">
      <c r="A80" s="132"/>
      <c r="B80" s="26"/>
      <c r="C80" s="26"/>
      <c r="D80" s="26"/>
      <c r="E80" s="26"/>
      <c r="F80" s="26"/>
      <c r="G80" s="26"/>
      <c r="H80" s="26"/>
      <c r="I80" s="26"/>
      <c r="J80" s="26"/>
      <c r="K80" s="26"/>
      <c r="L80" s="23"/>
    </row>
    <row r="81" spans="1:90" s="2" customFormat="1">
      <c r="A81" s="20" t="s">
        <v>56</v>
      </c>
      <c r="B81" s="28"/>
      <c r="C81" s="28"/>
      <c r="D81" s="28"/>
      <c r="E81" s="28">
        <f>SUM(E82:E85)</f>
        <v>200000</v>
      </c>
      <c r="F81" s="28">
        <f t="shared" ref="F81:BQ81" si="16">SUM(F82:F85)</f>
        <v>178803420.69</v>
      </c>
      <c r="G81" s="28">
        <f t="shared" si="16"/>
        <v>179003420.69</v>
      </c>
      <c r="H81" s="28">
        <f t="shared" si="16"/>
        <v>179689051.88999999</v>
      </c>
      <c r="I81" s="28">
        <f t="shared" si="16"/>
        <v>150400000</v>
      </c>
      <c r="J81" s="28">
        <f t="shared" si="16"/>
        <v>400000</v>
      </c>
      <c r="K81" s="28">
        <f t="shared" si="16"/>
        <v>400000</v>
      </c>
      <c r="L81" s="28">
        <f t="shared" si="16"/>
        <v>400000</v>
      </c>
      <c r="M81" s="28">
        <f t="shared" si="16"/>
        <v>400000</v>
      </c>
      <c r="N81" s="28">
        <f t="shared" si="16"/>
        <v>8363609.2300000004</v>
      </c>
      <c r="O81" s="28">
        <f t="shared" si="16"/>
        <v>400000</v>
      </c>
      <c r="P81" s="28">
        <f t="shared" si="16"/>
        <v>400000</v>
      </c>
      <c r="Q81" s="28">
        <f t="shared" si="16"/>
        <v>400000</v>
      </c>
      <c r="R81" s="28">
        <f t="shared" si="16"/>
        <v>400000</v>
      </c>
      <c r="S81" s="28">
        <f t="shared" si="16"/>
        <v>400000</v>
      </c>
      <c r="T81" s="28">
        <f t="shared" si="16"/>
        <v>800000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32" t="s">
        <v>57</v>
      </c>
      <c r="B82" s="202">
        <v>124291739.13</v>
      </c>
      <c r="C82" s="202">
        <v>0</v>
      </c>
      <c r="D82" s="202">
        <v>0</v>
      </c>
      <c r="E82" s="202">
        <v>0</v>
      </c>
      <c r="F82" s="202">
        <v>0</v>
      </c>
      <c r="G82" s="202">
        <v>0</v>
      </c>
      <c r="H82" s="202">
        <v>0</v>
      </c>
      <c r="I82" s="202">
        <v>0</v>
      </c>
      <c r="J82" s="202">
        <v>0</v>
      </c>
      <c r="K82" s="202">
        <v>0</v>
      </c>
      <c r="L82" s="202">
        <v>0</v>
      </c>
      <c r="M82" s="202">
        <v>0</v>
      </c>
      <c r="N82" s="202">
        <v>0</v>
      </c>
      <c r="O82" s="202">
        <v>0</v>
      </c>
      <c r="P82" s="202">
        <v>0</v>
      </c>
      <c r="Q82" s="202">
        <v>0</v>
      </c>
      <c r="R82" s="202">
        <v>0</v>
      </c>
      <c r="S82" s="202">
        <v>0</v>
      </c>
      <c r="T82" s="202">
        <v>0</v>
      </c>
      <c r="U82" s="202">
        <v>0</v>
      </c>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c r="A83" s="132" t="s">
        <v>58</v>
      </c>
      <c r="B83" s="202">
        <v>0</v>
      </c>
      <c r="C83" s="202">
        <v>0</v>
      </c>
      <c r="D83" s="202">
        <v>0</v>
      </c>
      <c r="E83" s="202">
        <v>0</v>
      </c>
      <c r="F83" s="202">
        <v>0</v>
      </c>
      <c r="G83" s="202">
        <v>0</v>
      </c>
      <c r="H83" s="202">
        <v>0</v>
      </c>
      <c r="I83" s="202">
        <v>0</v>
      </c>
      <c r="J83" s="202">
        <v>0</v>
      </c>
      <c r="K83" s="202">
        <v>0</v>
      </c>
      <c r="L83" s="202">
        <v>0</v>
      </c>
      <c r="M83" s="202">
        <v>0</v>
      </c>
      <c r="N83" s="202">
        <v>0</v>
      </c>
      <c r="O83" s="202">
        <v>0</v>
      </c>
      <c r="P83" s="202">
        <v>0</v>
      </c>
      <c r="Q83" s="202">
        <v>0</v>
      </c>
      <c r="R83" s="202">
        <v>0</v>
      </c>
      <c r="S83" s="202">
        <v>0</v>
      </c>
      <c r="T83" s="202">
        <v>0</v>
      </c>
      <c r="U83" s="202">
        <v>0</v>
      </c>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c r="A84" s="132" t="s">
        <v>59</v>
      </c>
      <c r="B84" s="202">
        <v>0</v>
      </c>
      <c r="C84" s="202">
        <v>0</v>
      </c>
      <c r="D84" s="202">
        <v>200000</v>
      </c>
      <c r="E84" s="202">
        <v>200000</v>
      </c>
      <c r="F84" s="202">
        <v>28803420.690000001</v>
      </c>
      <c r="G84" s="202">
        <v>29003420.690000001</v>
      </c>
      <c r="H84" s="202">
        <v>29689051.890000001</v>
      </c>
      <c r="I84" s="202">
        <v>400000</v>
      </c>
      <c r="J84" s="202">
        <v>400000</v>
      </c>
      <c r="K84" s="202">
        <v>400000</v>
      </c>
      <c r="L84" s="202">
        <v>400000</v>
      </c>
      <c r="M84" s="202">
        <v>400000</v>
      </c>
      <c r="N84" s="202">
        <v>400000</v>
      </c>
      <c r="O84" s="202">
        <v>400000</v>
      </c>
      <c r="P84" s="202">
        <v>400000</v>
      </c>
      <c r="Q84" s="202">
        <v>400000</v>
      </c>
      <c r="R84" s="202">
        <v>400000</v>
      </c>
      <c r="S84" s="202">
        <v>400000</v>
      </c>
      <c r="T84" s="202">
        <v>400000</v>
      </c>
      <c r="U84" s="202">
        <v>0</v>
      </c>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c r="A85" s="132" t="s">
        <v>83</v>
      </c>
      <c r="B85" s="202">
        <v>0</v>
      </c>
      <c r="C85" s="202">
        <v>0</v>
      </c>
      <c r="D85" s="202">
        <v>0</v>
      </c>
      <c r="E85" s="202">
        <v>0</v>
      </c>
      <c r="F85" s="202">
        <v>150000000</v>
      </c>
      <c r="G85" s="202">
        <v>150000000</v>
      </c>
      <c r="H85" s="202">
        <v>150000000</v>
      </c>
      <c r="I85" s="202">
        <v>150000000</v>
      </c>
      <c r="J85" s="202">
        <v>0</v>
      </c>
      <c r="K85" s="202">
        <v>0</v>
      </c>
      <c r="L85" s="202">
        <v>0</v>
      </c>
      <c r="M85" s="202">
        <v>0</v>
      </c>
      <c r="N85" s="202">
        <v>7963609.2300000004</v>
      </c>
      <c r="O85" s="202">
        <v>0</v>
      </c>
      <c r="P85" s="202">
        <v>0</v>
      </c>
      <c r="Q85" s="202">
        <v>0</v>
      </c>
      <c r="R85" s="202">
        <v>0</v>
      </c>
      <c r="S85" s="202">
        <v>0</v>
      </c>
      <c r="T85" s="202">
        <v>400000</v>
      </c>
      <c r="U85" s="202">
        <v>0</v>
      </c>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c r="A86" s="132"/>
      <c r="B86" s="26"/>
      <c r="C86" s="26"/>
      <c r="D86" s="26"/>
      <c r="E86" s="26"/>
      <c r="F86" s="26"/>
      <c r="G86" s="26"/>
      <c r="H86" s="26"/>
      <c r="I86" s="26"/>
      <c r="J86" s="26"/>
      <c r="K86" s="26"/>
      <c r="L86" s="23"/>
    </row>
    <row r="87" spans="1:90" hidden="1">
      <c r="A87" s="132"/>
      <c r="B87" s="26"/>
      <c r="C87" s="26"/>
      <c r="D87" s="26"/>
      <c r="E87" s="26"/>
      <c r="F87" s="26"/>
      <c r="G87" s="26"/>
      <c r="H87" s="26"/>
      <c r="I87" s="26"/>
      <c r="J87" s="26"/>
      <c r="K87" s="26"/>
      <c r="L87" s="23"/>
    </row>
    <row r="88" spans="1:90" hidden="1">
      <c r="A88" s="132"/>
      <c r="B88" s="26"/>
      <c r="C88" s="26"/>
      <c r="D88" s="26"/>
      <c r="E88" s="26"/>
      <c r="F88" s="26"/>
      <c r="G88" s="26"/>
      <c r="H88" s="26"/>
      <c r="I88" s="26"/>
      <c r="J88" s="26"/>
      <c r="K88" s="26"/>
      <c r="L88" s="23"/>
    </row>
    <row r="89" spans="1:90" s="5" customFormat="1">
      <c r="A89" s="133" t="s">
        <v>60</v>
      </c>
      <c r="B89" s="33">
        <f>SUM(B73:B85)</f>
        <v>159271528.68000001</v>
      </c>
      <c r="C89" s="33">
        <f>SUM(C73:C85)</f>
        <v>7028269.9199999999</v>
      </c>
      <c r="D89" s="33">
        <f>SUM(D73:D85)</f>
        <v>10228269.92</v>
      </c>
      <c r="E89" s="33">
        <f>E72+E81</f>
        <v>10228269.92</v>
      </c>
      <c r="F89" s="33">
        <f t="shared" ref="F89:BQ89" si="18">F72+F81</f>
        <v>189186452.25999999</v>
      </c>
      <c r="G89" s="33">
        <f t="shared" si="18"/>
        <v>184507970.28999999</v>
      </c>
      <c r="H89" s="33">
        <f t="shared" si="18"/>
        <v>185221018.83999997</v>
      </c>
      <c r="I89" s="33">
        <f t="shared" si="18"/>
        <v>150687671.22999999</v>
      </c>
      <c r="J89" s="33">
        <f t="shared" si="18"/>
        <v>400000</v>
      </c>
      <c r="K89" s="33">
        <f t="shared" si="18"/>
        <v>400000</v>
      </c>
      <c r="L89" s="33">
        <f t="shared" si="18"/>
        <v>400000</v>
      </c>
      <c r="M89" s="33">
        <f t="shared" si="18"/>
        <v>400000</v>
      </c>
      <c r="N89" s="33">
        <f t="shared" si="18"/>
        <v>8363609.2300000004</v>
      </c>
      <c r="O89" s="33">
        <f t="shared" si="18"/>
        <v>400000</v>
      </c>
      <c r="P89" s="33">
        <f t="shared" si="18"/>
        <v>15400000</v>
      </c>
      <c r="Q89" s="33">
        <f t="shared" si="18"/>
        <v>30400000</v>
      </c>
      <c r="R89" s="33">
        <f t="shared" si="18"/>
        <v>400000</v>
      </c>
      <c r="S89" s="33">
        <f t="shared" si="18"/>
        <v>31400000</v>
      </c>
      <c r="T89" s="33">
        <f t="shared" si="18"/>
        <v>31800000</v>
      </c>
      <c r="U89" s="33">
        <f t="shared" si="18"/>
        <v>0</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32" t="s">
        <v>62</v>
      </c>
      <c r="B91" s="202">
        <v>192024000</v>
      </c>
      <c r="C91" s="202">
        <v>106680000</v>
      </c>
      <c r="D91" s="202">
        <v>106680000</v>
      </c>
      <c r="E91" s="202">
        <v>106680000</v>
      </c>
      <c r="F91" s="202">
        <v>106680000</v>
      </c>
      <c r="G91" s="202">
        <v>106680000</v>
      </c>
      <c r="H91" s="202">
        <v>106680000</v>
      </c>
      <c r="I91" s="202">
        <v>106680000</v>
      </c>
      <c r="J91" s="202">
        <v>106680000</v>
      </c>
      <c r="K91" s="202">
        <v>53340000</v>
      </c>
      <c r="L91" s="202">
        <v>53340000</v>
      </c>
      <c r="M91" s="202">
        <v>53340000</v>
      </c>
      <c r="N91" s="202">
        <v>53340000</v>
      </c>
      <c r="O91" s="202">
        <v>53340000</v>
      </c>
      <c r="P91" s="202">
        <v>40000000</v>
      </c>
      <c r="Q91" s="202">
        <v>40000000</v>
      </c>
      <c r="R91" s="202">
        <v>40000000</v>
      </c>
      <c r="S91" s="202">
        <v>40000000</v>
      </c>
      <c r="T91" s="202">
        <v>40000000</v>
      </c>
      <c r="U91" s="202">
        <v>0</v>
      </c>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c r="A92" s="132" t="s">
        <v>63</v>
      </c>
      <c r="B92" s="202">
        <v>310030082.89999998</v>
      </c>
      <c r="C92" s="202">
        <v>395906707.72000003</v>
      </c>
      <c r="D92" s="202">
        <v>395906707.72000003</v>
      </c>
      <c r="E92" s="202">
        <v>395906707.72000003</v>
      </c>
      <c r="F92" s="202">
        <v>396534686.44</v>
      </c>
      <c r="G92" s="202">
        <v>396534686.44</v>
      </c>
      <c r="H92" s="202">
        <v>396534686.44</v>
      </c>
      <c r="I92" s="202">
        <v>396534686.44</v>
      </c>
      <c r="J92" s="202">
        <v>396534686.44</v>
      </c>
      <c r="K92" s="202">
        <v>423204686.44</v>
      </c>
      <c r="L92" s="202">
        <v>423204686.44</v>
      </c>
      <c r="M92" s="202">
        <v>423204686.44</v>
      </c>
      <c r="N92" s="202">
        <v>423204686.44</v>
      </c>
      <c r="O92" s="202">
        <v>423204686.44</v>
      </c>
      <c r="P92" s="202">
        <v>26632439.77</v>
      </c>
      <c r="Q92" s="202">
        <v>26632439.77</v>
      </c>
      <c r="R92" s="202">
        <v>26632439.77</v>
      </c>
      <c r="S92" s="202">
        <v>26632439.77</v>
      </c>
      <c r="T92" s="202">
        <v>26632439.77</v>
      </c>
      <c r="U92" s="202">
        <v>0</v>
      </c>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c r="A93" s="132" t="s">
        <v>64</v>
      </c>
      <c r="B93" s="202">
        <v>0</v>
      </c>
      <c r="C93" s="202">
        <v>0</v>
      </c>
      <c r="D93" s="202">
        <v>0</v>
      </c>
      <c r="E93" s="202">
        <v>0</v>
      </c>
      <c r="F93" s="202">
        <v>0</v>
      </c>
      <c r="G93" s="202">
        <v>0</v>
      </c>
      <c r="H93" s="202">
        <v>0</v>
      </c>
      <c r="I93" s="202">
        <v>0</v>
      </c>
      <c r="J93" s="202">
        <v>0</v>
      </c>
      <c r="K93" s="202">
        <v>0</v>
      </c>
      <c r="L93" s="202">
        <v>0</v>
      </c>
      <c r="M93" s="202">
        <v>0</v>
      </c>
      <c r="N93" s="202">
        <v>0</v>
      </c>
      <c r="O93" s="202">
        <v>0</v>
      </c>
      <c r="P93" s="202">
        <v>0</v>
      </c>
      <c r="Q93" s="202">
        <v>0</v>
      </c>
      <c r="R93" s="202">
        <v>0</v>
      </c>
      <c r="S93" s="202">
        <v>0</v>
      </c>
      <c r="T93" s="202">
        <v>0</v>
      </c>
      <c r="U93" s="202">
        <v>0</v>
      </c>
      <c r="V93" s="40">
        <v>0</v>
      </c>
      <c r="W93" s="40">
        <v>0</v>
      </c>
      <c r="X93" s="40">
        <v>0</v>
      </c>
      <c r="Y93" s="40">
        <v>0</v>
      </c>
      <c r="Z93" s="40">
        <v>0</v>
      </c>
      <c r="AA93" s="40">
        <v>0</v>
      </c>
      <c r="AB93" s="40">
        <v>0</v>
      </c>
      <c r="AC93" s="40">
        <v>0</v>
      </c>
      <c r="AD93" s="40">
        <v>0</v>
      </c>
      <c r="AE93" s="40">
        <v>0</v>
      </c>
      <c r="AF93" s="40">
        <v>0</v>
      </c>
      <c r="AG93" s="40">
        <v>0</v>
      </c>
      <c r="AH93" s="40">
        <v>0</v>
      </c>
      <c r="AI93" s="40">
        <v>0</v>
      </c>
      <c r="AJ93" s="40">
        <v>0</v>
      </c>
      <c r="AK93" s="40">
        <v>0</v>
      </c>
      <c r="AL93" s="40">
        <v>0</v>
      </c>
      <c r="AM93" s="40">
        <v>0</v>
      </c>
      <c r="AN93" s="40">
        <v>0</v>
      </c>
      <c r="AO93" s="40">
        <v>0</v>
      </c>
      <c r="AP93" s="40">
        <v>0</v>
      </c>
      <c r="AQ93" s="40">
        <v>0</v>
      </c>
      <c r="AR93" s="40">
        <v>0</v>
      </c>
      <c r="AS93" s="40">
        <v>0</v>
      </c>
      <c r="AT93" s="40">
        <v>0</v>
      </c>
      <c r="AU93" s="40">
        <v>0</v>
      </c>
      <c r="AV93" s="40">
        <v>0</v>
      </c>
      <c r="AW93" s="40">
        <v>0</v>
      </c>
      <c r="AX93" s="40">
        <v>0</v>
      </c>
      <c r="AY93" s="40">
        <v>0</v>
      </c>
      <c r="AZ93" s="40">
        <v>0</v>
      </c>
      <c r="BA93" s="40">
        <v>0</v>
      </c>
      <c r="BB93" s="40">
        <v>0</v>
      </c>
      <c r="BC93" s="40">
        <v>0</v>
      </c>
      <c r="BD93" s="40">
        <v>0</v>
      </c>
      <c r="BE93" s="40">
        <v>0</v>
      </c>
      <c r="BF93" s="40">
        <v>0</v>
      </c>
      <c r="BG93" s="4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c r="A94" s="132" t="s">
        <v>65</v>
      </c>
      <c r="B94" s="202">
        <v>0</v>
      </c>
      <c r="C94" s="202">
        <v>0</v>
      </c>
      <c r="D94" s="202">
        <v>0</v>
      </c>
      <c r="E94" s="202">
        <v>0</v>
      </c>
      <c r="F94" s="202">
        <v>0</v>
      </c>
      <c r="G94" s="202">
        <v>0</v>
      </c>
      <c r="H94" s="202">
        <v>0</v>
      </c>
      <c r="I94" s="202">
        <v>0</v>
      </c>
      <c r="J94" s="202">
        <v>0</v>
      </c>
      <c r="K94" s="202">
        <v>0</v>
      </c>
      <c r="L94" s="202">
        <v>0</v>
      </c>
      <c r="M94" s="202">
        <v>0</v>
      </c>
      <c r="N94" s="202">
        <v>0</v>
      </c>
      <c r="O94" s="202">
        <v>0</v>
      </c>
      <c r="P94" s="202">
        <v>0</v>
      </c>
      <c r="Q94" s="202">
        <v>0</v>
      </c>
      <c r="R94" s="202">
        <v>0</v>
      </c>
      <c r="S94" s="202">
        <v>0</v>
      </c>
      <c r="T94" s="202">
        <v>0</v>
      </c>
      <c r="U94" s="202">
        <v>0</v>
      </c>
      <c r="V94" s="40">
        <v>0</v>
      </c>
      <c r="W94" s="40">
        <v>0</v>
      </c>
      <c r="X94" s="40">
        <v>0</v>
      </c>
      <c r="Y94" s="40">
        <v>0</v>
      </c>
      <c r="Z94" s="40">
        <v>0</v>
      </c>
      <c r="AA94" s="40">
        <v>0</v>
      </c>
      <c r="AB94" s="40">
        <v>0</v>
      </c>
      <c r="AC94" s="40">
        <v>0</v>
      </c>
      <c r="AD94" s="40">
        <v>0</v>
      </c>
      <c r="AE94" s="40">
        <v>0</v>
      </c>
      <c r="AF94" s="40">
        <v>0</v>
      </c>
      <c r="AG94" s="40">
        <v>0</v>
      </c>
      <c r="AH94" s="40">
        <v>0</v>
      </c>
      <c r="AI94" s="40">
        <v>0</v>
      </c>
      <c r="AJ94" s="40">
        <v>0</v>
      </c>
      <c r="AK94" s="40">
        <v>0</v>
      </c>
      <c r="AL94" s="40">
        <v>0</v>
      </c>
      <c r="AM94" s="40">
        <v>0</v>
      </c>
      <c r="AN94" s="40">
        <v>0</v>
      </c>
      <c r="AO94" s="40">
        <v>0</v>
      </c>
      <c r="AP94" s="40">
        <v>0</v>
      </c>
      <c r="AQ94" s="40">
        <v>0</v>
      </c>
      <c r="AR94" s="40">
        <v>0</v>
      </c>
      <c r="AS94" s="40">
        <v>0</v>
      </c>
      <c r="AT94" s="40">
        <v>0</v>
      </c>
      <c r="AU94" s="40">
        <v>0</v>
      </c>
      <c r="AV94" s="40">
        <v>0</v>
      </c>
      <c r="AW94" s="40">
        <v>0</v>
      </c>
      <c r="AX94" s="40">
        <v>0</v>
      </c>
      <c r="AY94" s="40">
        <v>0</v>
      </c>
      <c r="AZ94" s="40">
        <v>0</v>
      </c>
      <c r="BA94" s="40">
        <v>0</v>
      </c>
      <c r="BB94" s="40">
        <v>0</v>
      </c>
      <c r="BC94" s="40">
        <v>0</v>
      </c>
      <c r="BD94" s="40">
        <v>0</v>
      </c>
      <c r="BE94" s="40">
        <v>0</v>
      </c>
      <c r="BF94" s="40">
        <v>0</v>
      </c>
      <c r="BG94" s="4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c r="A95" s="132" t="s">
        <v>66</v>
      </c>
      <c r="B95" s="202">
        <v>0</v>
      </c>
      <c r="C95" s="202">
        <v>0</v>
      </c>
      <c r="D95" s="202">
        <v>0</v>
      </c>
      <c r="E95" s="202">
        <v>0</v>
      </c>
      <c r="F95" s="202">
        <v>0</v>
      </c>
      <c r="G95" s="202">
        <v>0</v>
      </c>
      <c r="H95" s="202">
        <v>0</v>
      </c>
      <c r="I95" s="202">
        <v>0</v>
      </c>
      <c r="J95" s="202">
        <v>0</v>
      </c>
      <c r="K95" s="202">
        <v>0</v>
      </c>
      <c r="L95" s="202">
        <v>0</v>
      </c>
      <c r="M95" s="202">
        <v>0</v>
      </c>
      <c r="N95" s="202">
        <v>0</v>
      </c>
      <c r="O95" s="202">
        <v>0</v>
      </c>
      <c r="P95" s="202">
        <v>0</v>
      </c>
      <c r="Q95" s="202">
        <v>0</v>
      </c>
      <c r="R95" s="202">
        <v>0</v>
      </c>
      <c r="S95" s="202">
        <v>0</v>
      </c>
      <c r="T95" s="202">
        <v>0</v>
      </c>
      <c r="U95" s="202">
        <v>0</v>
      </c>
      <c r="V95" s="40">
        <v>0</v>
      </c>
      <c r="W95" s="40">
        <v>0</v>
      </c>
      <c r="X95" s="40">
        <v>0</v>
      </c>
      <c r="Y95" s="40">
        <v>0</v>
      </c>
      <c r="Z95" s="40">
        <v>0</v>
      </c>
      <c r="AA95" s="40">
        <v>0</v>
      </c>
      <c r="AB95" s="40">
        <v>0</v>
      </c>
      <c r="AC95" s="40">
        <v>0</v>
      </c>
      <c r="AD95" s="40">
        <v>0</v>
      </c>
      <c r="AE95" s="40">
        <v>0</v>
      </c>
      <c r="AF95" s="40">
        <v>0</v>
      </c>
      <c r="AG95" s="40">
        <v>0</v>
      </c>
      <c r="AH95" s="40">
        <v>0</v>
      </c>
      <c r="AI95" s="40">
        <v>0</v>
      </c>
      <c r="AJ95" s="40">
        <v>0</v>
      </c>
      <c r="AK95" s="40">
        <v>0</v>
      </c>
      <c r="AL95" s="40">
        <v>0</v>
      </c>
      <c r="AM95" s="40">
        <v>0</v>
      </c>
      <c r="AN95" s="40">
        <v>0</v>
      </c>
      <c r="AO95" s="40">
        <v>0</v>
      </c>
      <c r="AP95" s="40">
        <v>0</v>
      </c>
      <c r="AQ95" s="40">
        <v>0</v>
      </c>
      <c r="AR95" s="40">
        <v>0</v>
      </c>
      <c r="AS95" s="40">
        <v>0</v>
      </c>
      <c r="AT95" s="40">
        <v>0</v>
      </c>
      <c r="AU95" s="40">
        <v>0</v>
      </c>
      <c r="AV95" s="40">
        <v>0</v>
      </c>
      <c r="AW95" s="40">
        <v>0</v>
      </c>
      <c r="AX95" s="40">
        <v>0</v>
      </c>
      <c r="AY95" s="40">
        <v>0</v>
      </c>
      <c r="AZ95" s="40">
        <v>0</v>
      </c>
      <c r="BA95" s="40">
        <v>0</v>
      </c>
      <c r="BB95" s="40">
        <v>0</v>
      </c>
      <c r="BC95" s="40">
        <v>0</v>
      </c>
      <c r="BD95" s="40">
        <v>0</v>
      </c>
      <c r="BE95" s="40">
        <v>0</v>
      </c>
      <c r="BF95" s="40">
        <v>0</v>
      </c>
      <c r="BG95" s="4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c r="A96" s="132" t="s">
        <v>67</v>
      </c>
      <c r="B96" s="202">
        <v>70601806.849999994</v>
      </c>
      <c r="C96" s="202">
        <v>70601806.849999994</v>
      </c>
      <c r="D96" s="202">
        <v>64135987.030000001</v>
      </c>
      <c r="E96" s="202">
        <v>64135987.030000001</v>
      </c>
      <c r="F96" s="202">
        <v>51832792.950000003</v>
      </c>
      <c r="G96" s="202">
        <v>51832792.950000003</v>
      </c>
      <c r="H96" s="202">
        <v>51832792.950000003</v>
      </c>
      <c r="I96" s="202">
        <v>51832792.950000003</v>
      </c>
      <c r="J96" s="202">
        <v>41843026.579999998</v>
      </c>
      <c r="K96" s="202">
        <v>41843026.579999998</v>
      </c>
      <c r="L96" s="202">
        <v>41843026.579999998</v>
      </c>
      <c r="M96" s="202">
        <v>41843026.579999998</v>
      </c>
      <c r="N96" s="202">
        <v>33313955.75</v>
      </c>
      <c r="O96" s="202">
        <v>33313955.75</v>
      </c>
      <c r="P96" s="202">
        <v>33313955.75</v>
      </c>
      <c r="Q96" s="202">
        <v>33313955.75</v>
      </c>
      <c r="R96" s="202">
        <v>24439554.190000001</v>
      </c>
      <c r="S96" s="202">
        <v>16278055.9</v>
      </c>
      <c r="T96" s="202">
        <v>8615803.0999999996</v>
      </c>
      <c r="U96" s="202">
        <v>0</v>
      </c>
      <c r="V96" s="40">
        <v>74491263.400000006</v>
      </c>
      <c r="W96" s="40">
        <v>74491263.400000006</v>
      </c>
      <c r="X96" s="40">
        <v>74491263.400000006</v>
      </c>
      <c r="Y96" s="40">
        <v>74491263.400000006</v>
      </c>
      <c r="Z96" s="40">
        <v>49635944.340000004</v>
      </c>
      <c r="AA96" s="40">
        <v>49635944.340000004</v>
      </c>
      <c r="AB96" s="40">
        <v>49635944.340000004</v>
      </c>
      <c r="AC96" s="40">
        <v>49635944.340000004</v>
      </c>
      <c r="AD96" s="40">
        <v>31244114.469999999</v>
      </c>
      <c r="AE96" s="40">
        <v>31244114.469999999</v>
      </c>
      <c r="AF96" s="40">
        <v>31244114.469999999</v>
      </c>
      <c r="AG96" s="40">
        <v>31244114.469999999</v>
      </c>
      <c r="AH96" s="40">
        <v>19739193.870000001</v>
      </c>
      <c r="AI96" s="40">
        <v>19739193.870000001</v>
      </c>
      <c r="AJ96" s="40">
        <v>19739193.870000001</v>
      </c>
      <c r="AK96" s="40">
        <v>13375640.85</v>
      </c>
      <c r="AL96" s="40">
        <v>10051039.23</v>
      </c>
      <c r="AM96" s="40">
        <v>0</v>
      </c>
      <c r="AN96" s="40">
        <v>13520932.119999999</v>
      </c>
      <c r="AO96" s="40">
        <v>5003489.68</v>
      </c>
      <c r="AP96" s="40">
        <v>24758542.620000001</v>
      </c>
      <c r="AQ96" s="40">
        <v>0</v>
      </c>
      <c r="AR96" s="40">
        <v>747153162.12</v>
      </c>
      <c r="AS96" s="40">
        <v>747153162.12</v>
      </c>
      <c r="AT96" s="40">
        <v>396808306.86000001</v>
      </c>
      <c r="AU96" s="40">
        <v>826758649.22000003</v>
      </c>
      <c r="AV96" s="40">
        <v>826864618.09000003</v>
      </c>
      <c r="AW96" s="40">
        <v>838333509.35000002</v>
      </c>
      <c r="AX96" s="40">
        <v>748346692.34000003</v>
      </c>
      <c r="AY96" s="40">
        <v>748346692.34000003</v>
      </c>
      <c r="AZ96" s="40">
        <v>748197550.34000003</v>
      </c>
      <c r="BA96" s="40">
        <v>748197550.34000003</v>
      </c>
      <c r="BB96" s="40">
        <v>668527882.49000001</v>
      </c>
      <c r="BC96" s="40">
        <v>668527882.49000001</v>
      </c>
      <c r="BD96" s="40">
        <v>665605093.65999997</v>
      </c>
      <c r="BE96" s="40">
        <v>666815227.25</v>
      </c>
      <c r="BF96" s="40">
        <v>567984565.92999995</v>
      </c>
      <c r="BG96" s="40">
        <v>567984565.92999995</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c r="A97" s="132" t="s">
        <v>68</v>
      </c>
      <c r="B97" s="202">
        <v>0</v>
      </c>
      <c r="C97" s="202">
        <v>0</v>
      </c>
      <c r="D97" s="202">
        <v>0</v>
      </c>
      <c r="E97" s="202">
        <v>0</v>
      </c>
      <c r="F97" s="202">
        <v>0</v>
      </c>
      <c r="G97" s="202">
        <v>0</v>
      </c>
      <c r="H97" s="202">
        <v>0</v>
      </c>
      <c r="I97" s="202">
        <v>0</v>
      </c>
      <c r="J97" s="202">
        <v>0</v>
      </c>
      <c r="K97" s="202">
        <v>0</v>
      </c>
      <c r="L97" s="202">
        <v>0</v>
      </c>
      <c r="M97" s="202">
        <v>0</v>
      </c>
      <c r="N97" s="202">
        <v>0</v>
      </c>
      <c r="O97" s="202">
        <v>0</v>
      </c>
      <c r="P97" s="202">
        <v>0</v>
      </c>
      <c r="Q97" s="202">
        <v>0</v>
      </c>
      <c r="R97" s="202">
        <v>0</v>
      </c>
      <c r="S97" s="202">
        <v>0</v>
      </c>
      <c r="T97" s="202">
        <v>0</v>
      </c>
      <c r="U97" s="202">
        <v>0</v>
      </c>
      <c r="V97" s="40">
        <v>0</v>
      </c>
      <c r="W97" s="40">
        <v>0</v>
      </c>
      <c r="X97" s="40">
        <v>0</v>
      </c>
      <c r="Y97" s="40">
        <v>0</v>
      </c>
      <c r="Z97" s="40">
        <v>0</v>
      </c>
      <c r="AA97" s="40">
        <v>0</v>
      </c>
      <c r="AB97" s="40">
        <v>0</v>
      </c>
      <c r="AC97" s="40">
        <v>0</v>
      </c>
      <c r="AD97" s="40">
        <v>0</v>
      </c>
      <c r="AE97" s="40">
        <v>0</v>
      </c>
      <c r="AF97" s="40">
        <v>0</v>
      </c>
      <c r="AG97" s="40">
        <v>0</v>
      </c>
      <c r="AH97" s="40">
        <v>0</v>
      </c>
      <c r="AI97" s="40">
        <v>0</v>
      </c>
      <c r="AJ97" s="40">
        <v>0</v>
      </c>
      <c r="AK97" s="40">
        <v>0</v>
      </c>
      <c r="AL97" s="40">
        <v>0</v>
      </c>
      <c r="AM97" s="40">
        <v>0</v>
      </c>
      <c r="AN97" s="40">
        <v>0</v>
      </c>
      <c r="AO97" s="40">
        <v>0</v>
      </c>
      <c r="AP97" s="40">
        <v>0</v>
      </c>
      <c r="AQ97" s="40">
        <v>0</v>
      </c>
      <c r="AR97" s="40">
        <v>0</v>
      </c>
      <c r="AS97" s="40">
        <v>0</v>
      </c>
      <c r="AT97" s="40">
        <v>0</v>
      </c>
      <c r="AU97" s="40">
        <v>0</v>
      </c>
      <c r="AV97" s="40">
        <v>0</v>
      </c>
      <c r="AW97" s="40">
        <v>0</v>
      </c>
      <c r="AX97" s="40">
        <v>0</v>
      </c>
      <c r="AY97" s="40">
        <v>0</v>
      </c>
      <c r="AZ97" s="40">
        <v>0</v>
      </c>
      <c r="BA97" s="40">
        <v>0</v>
      </c>
      <c r="BB97" s="40">
        <v>0</v>
      </c>
      <c r="BC97" s="40">
        <v>0</v>
      </c>
      <c r="BD97" s="40">
        <v>0</v>
      </c>
      <c r="BE97" s="40">
        <v>0</v>
      </c>
      <c r="BF97" s="40">
        <v>0</v>
      </c>
      <c r="BG97" s="4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c r="A98" s="132" t="s">
        <v>69</v>
      </c>
      <c r="B98" s="202">
        <v>510738183.38999999</v>
      </c>
      <c r="C98" s="202">
        <v>460960283.70999998</v>
      </c>
      <c r="D98" s="202">
        <v>450996573.08999997</v>
      </c>
      <c r="E98" s="202">
        <v>420338344.27999997</v>
      </c>
      <c r="F98" s="202">
        <v>390800917.54000002</v>
      </c>
      <c r="G98" s="202">
        <v>356298101.19</v>
      </c>
      <c r="H98" s="202">
        <v>350952787.81999999</v>
      </c>
      <c r="I98" s="202">
        <v>333932751.07999998</v>
      </c>
      <c r="J98" s="202">
        <v>306576687.13</v>
      </c>
      <c r="K98" s="202">
        <v>324973224.75999999</v>
      </c>
      <c r="L98" s="202">
        <v>304878145.38999999</v>
      </c>
      <c r="M98" s="202">
        <v>288838875.04000002</v>
      </c>
      <c r="N98" s="202">
        <v>267253144.06999999</v>
      </c>
      <c r="O98" s="202">
        <v>248705965.99000001</v>
      </c>
      <c r="P98" s="202">
        <v>255772213.31999999</v>
      </c>
      <c r="Q98" s="202">
        <v>239281540.21000001</v>
      </c>
      <c r="R98" s="202">
        <v>179247482.94999999</v>
      </c>
      <c r="S98" s="202">
        <v>117141176.38</v>
      </c>
      <c r="T98" s="202">
        <v>56954355.609999999</v>
      </c>
      <c r="U98" s="202">
        <v>0</v>
      </c>
      <c r="V98" s="40">
        <v>698777688.49000001</v>
      </c>
      <c r="W98" s="40">
        <v>585048847.23000002</v>
      </c>
      <c r="X98" s="40">
        <v>581226766.09000003</v>
      </c>
      <c r="Y98" s="40">
        <v>533843042.73000002</v>
      </c>
      <c r="Z98" s="40">
        <v>519742937.47000003</v>
      </c>
      <c r="AA98" s="40">
        <v>429492483.57999998</v>
      </c>
      <c r="AB98" s="40">
        <v>416974547.32999998</v>
      </c>
      <c r="AC98" s="40">
        <v>376072495.81</v>
      </c>
      <c r="AD98" s="40">
        <v>362662819.63</v>
      </c>
      <c r="AE98" s="40">
        <v>276617074.88999999</v>
      </c>
      <c r="AF98" s="40">
        <v>249227422.28999999</v>
      </c>
      <c r="AG98" s="40">
        <v>222645755.86000001</v>
      </c>
      <c r="AH98" s="40">
        <v>214374800.87</v>
      </c>
      <c r="AI98" s="40">
        <v>141896554.81</v>
      </c>
      <c r="AJ98" s="40">
        <v>96012747.620000005</v>
      </c>
      <c r="AK98" s="40">
        <v>90381231.090000004</v>
      </c>
      <c r="AL98" s="40">
        <v>50541111.759999998</v>
      </c>
      <c r="AM98" s="40">
        <v>0</v>
      </c>
      <c r="AN98" s="40">
        <v>112038259.65000001</v>
      </c>
      <c r="AO98" s="40">
        <v>54339534.890000001</v>
      </c>
      <c r="AP98" s="40">
        <v>62410895.600000001</v>
      </c>
      <c r="AQ98" s="40">
        <v>0</v>
      </c>
      <c r="AR98" s="40">
        <v>980521327.10000002</v>
      </c>
      <c r="AS98" s="40">
        <v>848115182.62</v>
      </c>
      <c r="AT98" s="40">
        <v>1118613055.72</v>
      </c>
      <c r="AU98" s="40">
        <v>525357157.43000001</v>
      </c>
      <c r="AV98" s="40">
        <v>403461761.73000002</v>
      </c>
      <c r="AW98" s="40">
        <v>371544386</v>
      </c>
      <c r="AX98" s="40">
        <v>363429189.26999998</v>
      </c>
      <c r="AY98" s="40">
        <v>244467864.97999999</v>
      </c>
      <c r="AZ98" s="40">
        <v>254618309.40000001</v>
      </c>
      <c r="BA98" s="40">
        <v>192812684.94999999</v>
      </c>
      <c r="BB98" s="40">
        <v>292526515.91000003</v>
      </c>
      <c r="BC98" s="40">
        <v>281230052.56999999</v>
      </c>
      <c r="BD98" s="40">
        <v>406650004.85000002</v>
      </c>
      <c r="BE98" s="40">
        <v>334116866.01999998</v>
      </c>
      <c r="BF98" s="40">
        <v>445681844.19</v>
      </c>
      <c r="BG98" s="40">
        <v>455559933.64999998</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c r="A99" s="132" t="s">
        <v>70</v>
      </c>
      <c r="B99" s="202">
        <v>0</v>
      </c>
      <c r="C99" s="202">
        <v>0</v>
      </c>
      <c r="D99" s="202">
        <v>0</v>
      </c>
      <c r="E99" s="202">
        <v>0</v>
      </c>
      <c r="F99" s="202">
        <v>0</v>
      </c>
      <c r="G99" s="202">
        <v>21336000</v>
      </c>
      <c r="H99" s="202">
        <v>0</v>
      </c>
      <c r="I99" s="202">
        <v>0</v>
      </c>
      <c r="J99" s="202">
        <v>0</v>
      </c>
      <c r="K99" s="202">
        <v>0</v>
      </c>
      <c r="L99" s="202">
        <v>0</v>
      </c>
      <c r="M99" s="202">
        <v>0</v>
      </c>
      <c r="N99" s="202">
        <v>0</v>
      </c>
      <c r="O99" s="202">
        <v>24003000</v>
      </c>
      <c r="P99" s="202">
        <v>0</v>
      </c>
      <c r="Q99" s="202">
        <v>0</v>
      </c>
      <c r="R99" s="202">
        <v>0</v>
      </c>
      <c r="S99" s="202">
        <v>0</v>
      </c>
      <c r="T99" s="202">
        <v>0</v>
      </c>
      <c r="U99" s="202">
        <v>0</v>
      </c>
      <c r="V99" s="40">
        <v>0</v>
      </c>
      <c r="W99" s="40">
        <v>0</v>
      </c>
      <c r="X99" s="40">
        <v>0</v>
      </c>
      <c r="Y99" s="40">
        <v>0</v>
      </c>
      <c r="Z99" s="40">
        <v>0</v>
      </c>
      <c r="AA99" s="40">
        <v>0</v>
      </c>
      <c r="AB99" s="40">
        <v>0</v>
      </c>
      <c r="AC99" s="40">
        <v>0</v>
      </c>
      <c r="AD99" s="40">
        <v>0</v>
      </c>
      <c r="AE99" s="40">
        <v>0</v>
      </c>
      <c r="AF99" s="40">
        <v>0</v>
      </c>
      <c r="AG99" s="40">
        <v>0</v>
      </c>
      <c r="AH99" s="40">
        <v>0</v>
      </c>
      <c r="AI99" s="40">
        <v>0</v>
      </c>
      <c r="AJ99" s="40">
        <v>0</v>
      </c>
      <c r="AK99" s="40">
        <v>3150000</v>
      </c>
      <c r="AL99" s="40">
        <v>7287500</v>
      </c>
      <c r="AM99" s="40">
        <v>0</v>
      </c>
      <c r="AN99" s="40">
        <v>4131556.94</v>
      </c>
      <c r="AO99" s="40">
        <v>0</v>
      </c>
      <c r="AP99" s="40">
        <v>0</v>
      </c>
      <c r="AQ99" s="40">
        <v>0</v>
      </c>
      <c r="AR99" s="40">
        <v>43213634.93</v>
      </c>
      <c r="AS99" s="40">
        <v>44288109.770000003</v>
      </c>
      <c r="AT99" s="40">
        <v>54341932.829999998</v>
      </c>
      <c r="AU99" s="40">
        <v>319264432.52999997</v>
      </c>
      <c r="AV99" s="40">
        <v>33902616.829999998</v>
      </c>
      <c r="AW99" s="40">
        <v>33902616.829999998</v>
      </c>
      <c r="AX99" s="40">
        <v>179475468.03</v>
      </c>
      <c r="AY99" s="40">
        <v>299373482.26999998</v>
      </c>
      <c r="AZ99" s="40">
        <v>15082286.01</v>
      </c>
      <c r="BA99" s="40">
        <v>10591636.66</v>
      </c>
      <c r="BB99" s="40">
        <v>27228651.460000001</v>
      </c>
      <c r="BC99" s="40">
        <v>215651038.53999999</v>
      </c>
      <c r="BD99" s="40">
        <v>25537143.440000001</v>
      </c>
      <c r="BE99" s="40">
        <v>19472806.489999998</v>
      </c>
      <c r="BF99" s="40">
        <v>19698608.93</v>
      </c>
      <c r="BG99" s="40">
        <v>232494010.44</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c r="A100" s="13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32" t="s">
        <v>71</v>
      </c>
      <c r="B101" s="202">
        <v>0</v>
      </c>
      <c r="C101" s="202">
        <v>0</v>
      </c>
      <c r="D101" s="202">
        <v>0</v>
      </c>
      <c r="E101" s="202">
        <v>0</v>
      </c>
      <c r="F101" s="202">
        <v>0</v>
      </c>
      <c r="G101" s="202">
        <v>0</v>
      </c>
      <c r="H101" s="202">
        <v>0</v>
      </c>
      <c r="I101" s="202">
        <v>0</v>
      </c>
      <c r="J101" s="202">
        <v>0</v>
      </c>
      <c r="K101" s="202">
        <v>0</v>
      </c>
      <c r="L101" s="202">
        <v>0</v>
      </c>
      <c r="M101" s="202">
        <v>0</v>
      </c>
      <c r="N101" s="202">
        <v>0</v>
      </c>
      <c r="O101" s="202">
        <v>0</v>
      </c>
      <c r="P101" s="202">
        <v>0</v>
      </c>
      <c r="Q101" s="202">
        <v>0</v>
      </c>
      <c r="R101" s="202">
        <v>0</v>
      </c>
      <c r="S101" s="202">
        <v>0</v>
      </c>
      <c r="T101" s="202">
        <v>0</v>
      </c>
      <c r="U101" s="202">
        <v>0</v>
      </c>
      <c r="V101" s="40">
        <v>0</v>
      </c>
      <c r="W101" s="40">
        <v>0</v>
      </c>
      <c r="X101" s="40">
        <v>0</v>
      </c>
      <c r="Y101" s="40">
        <v>0</v>
      </c>
      <c r="Z101" s="40">
        <v>0</v>
      </c>
      <c r="AA101" s="40">
        <v>0</v>
      </c>
      <c r="AB101" s="40">
        <v>0</v>
      </c>
      <c r="AC101" s="40">
        <v>0</v>
      </c>
      <c r="AD101" s="40">
        <v>0</v>
      </c>
      <c r="AE101" s="40">
        <v>0</v>
      </c>
      <c r="AF101" s="40">
        <v>0</v>
      </c>
      <c r="AG101" s="40">
        <v>0</v>
      </c>
      <c r="AH101" s="40">
        <v>0</v>
      </c>
      <c r="AI101" s="40">
        <v>0</v>
      </c>
      <c r="AJ101" s="40">
        <v>0</v>
      </c>
      <c r="AK101" s="40">
        <v>0</v>
      </c>
      <c r="AL101" s="40">
        <v>0</v>
      </c>
      <c r="AM101" s="40">
        <v>0</v>
      </c>
      <c r="AN101" s="40">
        <v>0</v>
      </c>
      <c r="AO101" s="40">
        <v>0</v>
      </c>
      <c r="AP101" s="40">
        <v>0</v>
      </c>
      <c r="AQ101" s="40">
        <v>0</v>
      </c>
      <c r="AR101" s="40">
        <v>0</v>
      </c>
      <c r="AS101" s="40">
        <v>0</v>
      </c>
      <c r="AT101" s="40">
        <v>0</v>
      </c>
      <c r="AU101" s="40">
        <v>0</v>
      </c>
      <c r="AV101" s="40">
        <v>0</v>
      </c>
      <c r="AW101" s="40">
        <v>0</v>
      </c>
      <c r="AX101" s="40">
        <v>0</v>
      </c>
      <c r="AY101" s="40">
        <v>0</v>
      </c>
      <c r="AZ101" s="40">
        <v>0</v>
      </c>
      <c r="BA101" s="40">
        <v>0</v>
      </c>
      <c r="BB101" s="40">
        <v>0</v>
      </c>
      <c r="BC101" s="40">
        <v>0</v>
      </c>
      <c r="BD101" s="40">
        <v>0</v>
      </c>
      <c r="BE101" s="40">
        <v>0</v>
      </c>
      <c r="BF101" s="40">
        <v>0</v>
      </c>
      <c r="BG101" s="40">
        <v>0</v>
      </c>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c r="A102" s="132" t="s">
        <v>72</v>
      </c>
      <c r="B102" s="202">
        <v>1083394073.1400001</v>
      </c>
      <c r="C102" s="202">
        <v>1034148798.28</v>
      </c>
      <c r="D102" s="202">
        <v>1017719267.84</v>
      </c>
      <c r="E102" s="202">
        <v>987061039.02999997</v>
      </c>
      <c r="F102" s="202">
        <v>945848396.92999995</v>
      </c>
      <c r="G102" s="202">
        <v>911345580.58000004</v>
      </c>
      <c r="H102" s="202">
        <v>906000267.21000004</v>
      </c>
      <c r="I102" s="202">
        <v>888980230.47000003</v>
      </c>
      <c r="J102" s="202">
        <v>851634400.14999998</v>
      </c>
      <c r="K102" s="202">
        <v>843360937.77999997</v>
      </c>
      <c r="L102" s="202">
        <v>823265858.40999997</v>
      </c>
      <c r="M102" s="202">
        <v>807226588.05999994</v>
      </c>
      <c r="N102" s="202">
        <v>777111786.25999999</v>
      </c>
      <c r="O102" s="202">
        <v>758564608.17999995</v>
      </c>
      <c r="P102" s="202">
        <v>355718608.83999997</v>
      </c>
      <c r="Q102" s="202">
        <v>339227935.73000002</v>
      </c>
      <c r="R102" s="202">
        <v>270319476.91000003</v>
      </c>
      <c r="S102" s="202">
        <v>200051672.05000001</v>
      </c>
      <c r="T102" s="202">
        <v>132202598.48</v>
      </c>
      <c r="U102" s="202">
        <v>0</v>
      </c>
      <c r="V102" s="40">
        <v>3077733383.98</v>
      </c>
      <c r="W102" s="40">
        <v>2962611042.7199998</v>
      </c>
      <c r="X102" s="40">
        <v>2934467881.5799999</v>
      </c>
      <c r="Y102" s="40">
        <v>2887084158.2199998</v>
      </c>
      <c r="Z102" s="40">
        <v>2848128733.9000001</v>
      </c>
      <c r="AA102" s="40">
        <v>2757878280.0100002</v>
      </c>
      <c r="AB102" s="40">
        <v>2745360343.7600002</v>
      </c>
      <c r="AC102" s="40">
        <v>2704458292.2399998</v>
      </c>
      <c r="AD102" s="40">
        <v>2672656786.1900001</v>
      </c>
      <c r="AE102" s="40">
        <v>2586611041.4499998</v>
      </c>
      <c r="AF102" s="40">
        <v>2559221388.8499999</v>
      </c>
      <c r="AG102" s="40">
        <v>2532639722.4200001</v>
      </c>
      <c r="AH102" s="40">
        <v>384442846.82999998</v>
      </c>
      <c r="AI102" s="40">
        <v>311964600.76999998</v>
      </c>
      <c r="AJ102" s="40">
        <v>266080793.58000001</v>
      </c>
      <c r="AK102" s="40">
        <v>164106871.94</v>
      </c>
      <c r="AL102" s="40">
        <v>120942150.98999999</v>
      </c>
      <c r="AM102" s="40">
        <v>0</v>
      </c>
      <c r="AN102" s="40">
        <v>233767245.90000001</v>
      </c>
      <c r="AO102" s="40">
        <v>156685426.28</v>
      </c>
      <c r="AP102" s="40">
        <v>104809883.55</v>
      </c>
      <c r="AQ102" s="40">
        <v>0</v>
      </c>
      <c r="AR102" s="40">
        <v>4190628054.0300002</v>
      </c>
      <c r="AS102" s="40">
        <v>4064286599.1199999</v>
      </c>
      <c r="AT102" s="40">
        <v>3989341897.48</v>
      </c>
      <c r="AU102" s="40">
        <v>3813591525.6199999</v>
      </c>
      <c r="AV102" s="40">
        <v>3659883322.9499998</v>
      </c>
      <c r="AW102" s="40">
        <v>3638341267.0599999</v>
      </c>
      <c r="AX102" s="40">
        <v>3539015570.1799998</v>
      </c>
      <c r="AY102" s="40">
        <v>3421458575.0700002</v>
      </c>
      <c r="AZ102" s="40">
        <v>3431964940.5599999</v>
      </c>
      <c r="BA102" s="40">
        <v>3370999396.0100002</v>
      </c>
      <c r="BB102" s="40">
        <v>3396914722.2199998</v>
      </c>
      <c r="BC102" s="40">
        <v>3385596561.1399999</v>
      </c>
      <c r="BD102" s="40">
        <v>3507956785.8600001</v>
      </c>
      <c r="BE102" s="40">
        <v>3436633780.6199999</v>
      </c>
      <c r="BF102" s="40">
        <v>3437811344.4899998</v>
      </c>
      <c r="BG102" s="40">
        <v>3446282917.3200002</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c r="A103" s="132" t="s">
        <v>73</v>
      </c>
      <c r="B103" s="202">
        <v>7995399.9299999997</v>
      </c>
      <c r="C103" s="202">
        <v>4129568.22</v>
      </c>
      <c r="D103" s="202">
        <v>4133678.75</v>
      </c>
      <c r="E103" s="202">
        <v>4148336.55</v>
      </c>
      <c r="F103" s="202">
        <v>4789314.87</v>
      </c>
      <c r="G103" s="202">
        <v>4576982.8899999997</v>
      </c>
      <c r="H103" s="202">
        <v>3832198.37</v>
      </c>
      <c r="I103" s="202">
        <v>3904638.35</v>
      </c>
      <c r="J103" s="202">
        <v>0</v>
      </c>
      <c r="K103" s="202">
        <v>0</v>
      </c>
      <c r="L103" s="202">
        <v>0</v>
      </c>
      <c r="M103" s="202">
        <v>0</v>
      </c>
      <c r="N103" s="202">
        <v>0</v>
      </c>
      <c r="O103" s="202">
        <v>0</v>
      </c>
      <c r="P103" s="202">
        <v>0</v>
      </c>
      <c r="Q103" s="202">
        <v>0</v>
      </c>
      <c r="R103" s="202">
        <v>0</v>
      </c>
      <c r="S103" s="202">
        <v>0</v>
      </c>
      <c r="T103" s="202">
        <v>0</v>
      </c>
      <c r="U103" s="202">
        <v>0</v>
      </c>
      <c r="V103" s="40">
        <v>45692532.380000003</v>
      </c>
      <c r="W103" s="40">
        <v>45721063.659999996</v>
      </c>
      <c r="X103" s="40">
        <v>45304754.490000002</v>
      </c>
      <c r="Y103" s="40">
        <v>45405385.450000003</v>
      </c>
      <c r="Z103" s="40">
        <v>0</v>
      </c>
      <c r="AA103" s="40">
        <v>0</v>
      </c>
      <c r="AB103" s="40">
        <v>0</v>
      </c>
      <c r="AC103" s="40">
        <v>0</v>
      </c>
      <c r="AD103" s="40">
        <v>0</v>
      </c>
      <c r="AE103" s="40">
        <v>0</v>
      </c>
      <c r="AF103" s="40">
        <v>0</v>
      </c>
      <c r="AG103" s="40">
        <v>0</v>
      </c>
      <c r="AH103" s="40">
        <v>0</v>
      </c>
      <c r="AI103" s="40">
        <v>0</v>
      </c>
      <c r="AJ103" s="40">
        <v>0</v>
      </c>
      <c r="AK103" s="40">
        <v>11453094.58</v>
      </c>
      <c r="AL103" s="40">
        <v>8587693.6500000004</v>
      </c>
      <c r="AM103" s="40">
        <v>0</v>
      </c>
      <c r="AN103" s="40">
        <v>4969470.03</v>
      </c>
      <c r="AO103" s="40">
        <v>17453819.5</v>
      </c>
      <c r="AP103" s="40">
        <v>1702092.78</v>
      </c>
      <c r="AQ103" s="40">
        <v>0</v>
      </c>
      <c r="AR103" s="40">
        <v>1665777839.47</v>
      </c>
      <c r="AS103" s="40">
        <v>1594466336.1900001</v>
      </c>
      <c r="AT103" s="40">
        <v>1568055288.3199999</v>
      </c>
      <c r="AU103" s="40">
        <v>1480593596.3399999</v>
      </c>
      <c r="AV103" s="40">
        <v>1616917142.97</v>
      </c>
      <c r="AW103" s="40">
        <v>1543511977.0999999</v>
      </c>
      <c r="AX103" s="40">
        <v>1472896083.49</v>
      </c>
      <c r="AY103" s="40">
        <v>1398817616.9100001</v>
      </c>
      <c r="AZ103" s="40">
        <v>1578373162.75</v>
      </c>
      <c r="BA103" s="40">
        <v>1524310184.53</v>
      </c>
      <c r="BB103" s="40">
        <v>1491655606.1900001</v>
      </c>
      <c r="BC103" s="40">
        <v>1422004901.4200001</v>
      </c>
      <c r="BD103" s="40">
        <v>1560864241.5899999</v>
      </c>
      <c r="BE103" s="40">
        <v>1490119769.49</v>
      </c>
      <c r="BF103" s="40">
        <v>1370488198.45</v>
      </c>
      <c r="BG103" s="40">
        <v>1305115860.6900001</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c r="A104" s="132"/>
      <c r="B104" s="26"/>
      <c r="C104" s="26"/>
      <c r="D104" s="26"/>
      <c r="E104" s="26"/>
      <c r="F104" s="26"/>
      <c r="G104" s="26"/>
      <c r="H104" s="26"/>
      <c r="I104" s="26"/>
      <c r="J104" s="26"/>
      <c r="K104" s="26"/>
      <c r="L104" s="23"/>
    </row>
    <row r="105" spans="1:90" hidden="1">
      <c r="A105" s="132"/>
      <c r="B105" s="26"/>
      <c r="C105" s="26"/>
      <c r="D105" s="26"/>
      <c r="E105" s="26"/>
      <c r="F105" s="26"/>
      <c r="G105" s="26"/>
      <c r="H105" s="26"/>
      <c r="I105" s="26"/>
      <c r="J105" s="26"/>
      <c r="K105" s="26"/>
      <c r="L105" s="23"/>
    </row>
    <row r="106" spans="1:90" hidden="1">
      <c r="A106" s="132"/>
      <c r="B106" s="26"/>
      <c r="C106" s="26"/>
      <c r="D106" s="26"/>
      <c r="E106" s="26"/>
      <c r="F106" s="26"/>
      <c r="G106" s="26"/>
      <c r="H106" s="26"/>
      <c r="I106" s="26"/>
      <c r="J106" s="26"/>
      <c r="K106" s="26"/>
      <c r="L106" s="23"/>
    </row>
    <row r="107" spans="1:90" s="5" customFormat="1">
      <c r="A107" s="133" t="s">
        <v>74</v>
      </c>
      <c r="B107" s="33">
        <f>B102+B103</f>
        <v>1091389473.0700002</v>
      </c>
      <c r="C107" s="33">
        <f>C102+C103</f>
        <v>1038278366.5</v>
      </c>
      <c r="D107" s="33">
        <f>D102+D103</f>
        <v>1021852946.59</v>
      </c>
      <c r="E107" s="33">
        <f>E102+E103</f>
        <v>991209375.57999992</v>
      </c>
      <c r="F107" s="33">
        <f t="shared" ref="F107:BQ107" si="20">F102+F103</f>
        <v>950637711.79999995</v>
      </c>
      <c r="G107" s="33">
        <f t="shared" si="20"/>
        <v>915922563.47000003</v>
      </c>
      <c r="H107" s="33">
        <f t="shared" si="20"/>
        <v>909832465.58000004</v>
      </c>
      <c r="I107" s="33">
        <f t="shared" si="20"/>
        <v>892884868.82000005</v>
      </c>
      <c r="J107" s="33">
        <f t="shared" si="20"/>
        <v>851634400.14999998</v>
      </c>
      <c r="K107" s="33">
        <f t="shared" si="20"/>
        <v>843360937.77999997</v>
      </c>
      <c r="L107" s="33">
        <f t="shared" si="20"/>
        <v>823265858.40999997</v>
      </c>
      <c r="M107" s="33">
        <f t="shared" si="20"/>
        <v>807226588.05999994</v>
      </c>
      <c r="N107" s="33">
        <f t="shared" si="20"/>
        <v>777111786.25999999</v>
      </c>
      <c r="O107" s="33">
        <f t="shared" si="20"/>
        <v>758564608.17999995</v>
      </c>
      <c r="P107" s="33">
        <f t="shared" si="20"/>
        <v>355718608.83999997</v>
      </c>
      <c r="Q107" s="33">
        <f t="shared" si="20"/>
        <v>339227935.73000002</v>
      </c>
      <c r="R107" s="33">
        <f t="shared" si="20"/>
        <v>270319476.91000003</v>
      </c>
      <c r="S107" s="33">
        <f t="shared" si="20"/>
        <v>200051672.05000001</v>
      </c>
      <c r="T107" s="33">
        <f t="shared" si="20"/>
        <v>132202598.48</v>
      </c>
      <c r="U107" s="33">
        <f t="shared" si="20"/>
        <v>0</v>
      </c>
      <c r="V107" s="33">
        <f t="shared" si="20"/>
        <v>3123425916.3600001</v>
      </c>
      <c r="W107" s="33">
        <f t="shared" si="20"/>
        <v>3008332106.3799996</v>
      </c>
      <c r="X107" s="33">
        <f t="shared" si="20"/>
        <v>2979772636.0699997</v>
      </c>
      <c r="Y107" s="33">
        <f t="shared" si="20"/>
        <v>2932489543.6699996</v>
      </c>
      <c r="Z107" s="33">
        <f t="shared" si="20"/>
        <v>2848128733.9000001</v>
      </c>
      <c r="AA107" s="33">
        <f t="shared" si="20"/>
        <v>2757878280.0100002</v>
      </c>
      <c r="AB107" s="33">
        <f t="shared" si="20"/>
        <v>2745360343.7600002</v>
      </c>
      <c r="AC107" s="33">
        <f t="shared" si="20"/>
        <v>2704458292.2399998</v>
      </c>
      <c r="AD107" s="33">
        <f t="shared" si="20"/>
        <v>2672656786.1900001</v>
      </c>
      <c r="AE107" s="33">
        <f t="shared" si="20"/>
        <v>2586611041.4499998</v>
      </c>
      <c r="AF107" s="33">
        <f t="shared" si="20"/>
        <v>2559221388.8499999</v>
      </c>
      <c r="AG107" s="33">
        <f t="shared" si="20"/>
        <v>2532639722.4200001</v>
      </c>
      <c r="AH107" s="33">
        <f t="shared" si="20"/>
        <v>384442846.82999998</v>
      </c>
      <c r="AI107" s="33">
        <f t="shared" si="20"/>
        <v>311964600.76999998</v>
      </c>
      <c r="AJ107" s="33">
        <f t="shared" si="20"/>
        <v>266080793.58000001</v>
      </c>
      <c r="AK107" s="33">
        <f t="shared" si="20"/>
        <v>175559966.52000001</v>
      </c>
      <c r="AL107" s="33">
        <f t="shared" si="20"/>
        <v>129529844.64</v>
      </c>
      <c r="AM107" s="33">
        <f t="shared" si="20"/>
        <v>0</v>
      </c>
      <c r="AN107" s="33">
        <f t="shared" si="20"/>
        <v>238736715.93000001</v>
      </c>
      <c r="AO107" s="33">
        <f t="shared" si="20"/>
        <v>174139245.78</v>
      </c>
      <c r="AP107" s="33">
        <f t="shared" si="20"/>
        <v>106511976.33</v>
      </c>
      <c r="AQ107" s="33">
        <f t="shared" si="20"/>
        <v>0</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4" t="s">
        <v>75</v>
      </c>
      <c r="B108" s="38">
        <f>SUM(B89+B107)</f>
        <v>1250661001.7500002</v>
      </c>
      <c r="C108" s="38">
        <f t="shared" ref="C108:BN108" si="22">SUM(C89+C107)</f>
        <v>1045306636.42</v>
      </c>
      <c r="D108" s="38">
        <f t="shared" si="22"/>
        <v>1032081216.51</v>
      </c>
      <c r="E108" s="38">
        <f>E107-E89</f>
        <v>980981105.65999997</v>
      </c>
      <c r="F108" s="38">
        <f t="shared" si="22"/>
        <v>1139824164.0599999</v>
      </c>
      <c r="G108" s="38">
        <f t="shared" si="22"/>
        <v>1100430533.76</v>
      </c>
      <c r="H108" s="38">
        <f t="shared" si="22"/>
        <v>1095053484.4200001</v>
      </c>
      <c r="I108" s="38">
        <f t="shared" si="22"/>
        <v>1043572540.0500001</v>
      </c>
      <c r="J108" s="38">
        <f t="shared" si="22"/>
        <v>852034400.14999998</v>
      </c>
      <c r="K108" s="38">
        <f t="shared" si="22"/>
        <v>843760937.77999997</v>
      </c>
      <c r="L108" s="38">
        <f t="shared" si="22"/>
        <v>823665858.40999997</v>
      </c>
      <c r="M108" s="38">
        <f t="shared" si="22"/>
        <v>807626588.05999994</v>
      </c>
      <c r="N108" s="38">
        <f t="shared" si="22"/>
        <v>785475395.49000001</v>
      </c>
      <c r="O108" s="38">
        <f t="shared" si="22"/>
        <v>758964608.17999995</v>
      </c>
      <c r="P108" s="38">
        <f t="shared" si="22"/>
        <v>371118608.83999997</v>
      </c>
      <c r="Q108" s="38">
        <f t="shared" si="22"/>
        <v>369627935.73000002</v>
      </c>
      <c r="R108" s="38">
        <f t="shared" si="22"/>
        <v>270719476.91000003</v>
      </c>
      <c r="S108" s="38">
        <f t="shared" si="22"/>
        <v>231451672.05000001</v>
      </c>
      <c r="T108" s="38">
        <f t="shared" si="22"/>
        <v>164002598.48000002</v>
      </c>
      <c r="U108" s="38">
        <f t="shared" si="22"/>
        <v>0</v>
      </c>
      <c r="V108" s="38">
        <f t="shared" si="22"/>
        <v>3123425916.3600001</v>
      </c>
      <c r="W108" s="38">
        <f t="shared" si="22"/>
        <v>3008332106.3799996</v>
      </c>
      <c r="X108" s="38">
        <f t="shared" si="22"/>
        <v>2979772636.0699997</v>
      </c>
      <c r="Y108" s="38">
        <f t="shared" si="22"/>
        <v>2932489543.6699996</v>
      </c>
      <c r="Z108" s="38">
        <f t="shared" si="22"/>
        <v>2848128733.9000001</v>
      </c>
      <c r="AA108" s="38">
        <f t="shared" si="22"/>
        <v>2757878280.0100002</v>
      </c>
      <c r="AB108" s="38">
        <f t="shared" si="22"/>
        <v>2745360343.7600002</v>
      </c>
      <c r="AC108" s="38">
        <f t="shared" si="22"/>
        <v>2704458292.2399998</v>
      </c>
      <c r="AD108" s="38">
        <f t="shared" si="22"/>
        <v>2672656786.1900001</v>
      </c>
      <c r="AE108" s="38">
        <f t="shared" si="22"/>
        <v>2586611041.4499998</v>
      </c>
      <c r="AF108" s="38">
        <f t="shared" si="22"/>
        <v>2559221388.8499999</v>
      </c>
      <c r="AG108" s="38">
        <f t="shared" si="22"/>
        <v>2532639722.4200001</v>
      </c>
      <c r="AH108" s="38">
        <f t="shared" si="22"/>
        <v>384442846.82999998</v>
      </c>
      <c r="AI108" s="38">
        <f t="shared" si="22"/>
        <v>311964600.76999998</v>
      </c>
      <c r="AJ108" s="38">
        <f t="shared" si="22"/>
        <v>266080793.58000001</v>
      </c>
      <c r="AK108" s="38">
        <f t="shared" si="22"/>
        <v>175559966.52000001</v>
      </c>
      <c r="AL108" s="38">
        <f t="shared" si="22"/>
        <v>129529844.64</v>
      </c>
      <c r="AM108" s="38">
        <f t="shared" si="22"/>
        <v>0</v>
      </c>
      <c r="AN108" s="38">
        <f t="shared" si="22"/>
        <v>238736715.93000001</v>
      </c>
      <c r="AO108" s="38">
        <f t="shared" si="22"/>
        <v>174139245.78</v>
      </c>
      <c r="AP108" s="38">
        <f t="shared" si="22"/>
        <v>106511976.33</v>
      </c>
      <c r="AQ108" s="38">
        <f t="shared" si="22"/>
        <v>0</v>
      </c>
      <c r="AR108" s="38">
        <f t="shared" si="22"/>
        <v>5856405893.5</v>
      </c>
      <c r="AS108" s="38">
        <f t="shared" si="22"/>
        <v>5658752935.3099995</v>
      </c>
      <c r="AT108" s="38">
        <f t="shared" si="22"/>
        <v>5557397185.8000002</v>
      </c>
      <c r="AU108" s="38">
        <f t="shared" si="22"/>
        <v>5294185121.96</v>
      </c>
      <c r="AV108" s="38">
        <f t="shared" si="22"/>
        <v>5276800465.9200001</v>
      </c>
      <c r="AW108" s="38">
        <f t="shared" si="22"/>
        <v>5181853244.1599998</v>
      </c>
      <c r="AX108" s="38">
        <f t="shared" si="22"/>
        <v>5011911653.6700001</v>
      </c>
      <c r="AY108" s="38">
        <f t="shared" si="22"/>
        <v>4820276191.9800005</v>
      </c>
      <c r="AZ108" s="38">
        <f t="shared" si="22"/>
        <v>5010338103.3099995</v>
      </c>
      <c r="BA108" s="38">
        <f t="shared" si="22"/>
        <v>4895309580.54</v>
      </c>
      <c r="BB108" s="38">
        <f t="shared" si="22"/>
        <v>4888570328.4099998</v>
      </c>
      <c r="BC108" s="38">
        <f t="shared" si="22"/>
        <v>4807601462.5599995</v>
      </c>
      <c r="BD108" s="38">
        <f t="shared" si="22"/>
        <v>5068821027.4499998</v>
      </c>
      <c r="BE108" s="38">
        <f t="shared" si="22"/>
        <v>4926753550.1099997</v>
      </c>
      <c r="BF108" s="38">
        <f t="shared" si="22"/>
        <v>4808299542.9399996</v>
      </c>
      <c r="BG108" s="38">
        <f t="shared" si="22"/>
        <v>4751398778.0100002</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16" workbookViewId="0">
      <selection activeCell="Q58" sqref="Q58"/>
    </sheetView>
  </sheetViews>
  <sheetFormatPr defaultRowHeight="13.5"/>
  <cols>
    <col min="1" max="1" width="56" style="17" bestFit="1" customWidth="1"/>
    <col min="2" max="4" width="19.5" hidden="1" customWidth="1"/>
    <col min="5" max="5" width="19.5" bestFit="1" customWidth="1"/>
    <col min="6" max="6" width="18.25" hidden="1" customWidth="1"/>
    <col min="7" max="8" width="19.5" hidden="1" customWidth="1"/>
    <col min="9" max="9" width="19.5" bestFit="1" customWidth="1"/>
    <col min="10" max="10" width="18.25" hidden="1" customWidth="1"/>
    <col min="11" max="12" width="19.5" hidden="1" customWidth="1"/>
    <col min="13" max="13" width="18.25" bestFit="1" customWidth="1"/>
    <col min="14" max="16" width="19.5" hidden="1" customWidth="1"/>
    <col min="17" max="17" width="19.5" bestFit="1" customWidth="1"/>
    <col min="18" max="20" width="18.25" hidden="1" customWidth="1"/>
    <col min="21" max="23" width="18.25" bestFit="1" customWidth="1"/>
    <col min="24" max="24" width="9.625" hidden="1" customWidth="1"/>
    <col min="25" max="33" width="20.75" bestFit="1" customWidth="1"/>
    <col min="34" max="40" width="19.5" bestFit="1" customWidth="1"/>
    <col min="41" max="41" width="17" bestFit="1" customWidth="1"/>
    <col min="42" max="44" width="19.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v>300470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41274</v>
      </c>
      <c r="W1" s="1">
        <v>40908</v>
      </c>
      <c r="X1" s="1">
        <v>25569</v>
      </c>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202">
        <v>511265311.74000001</v>
      </c>
      <c r="C4" s="202">
        <v>308115362.75</v>
      </c>
      <c r="D4" s="202">
        <v>135491339.12</v>
      </c>
      <c r="E4" s="202">
        <v>495877419.98000002</v>
      </c>
      <c r="F4" s="202">
        <v>353525103.44999999</v>
      </c>
      <c r="G4" s="202">
        <v>216615774.84999999</v>
      </c>
      <c r="H4" s="202">
        <v>96938491.230000004</v>
      </c>
      <c r="I4" s="202">
        <v>334060452.80000001</v>
      </c>
      <c r="J4" s="202">
        <v>249912116.02000001</v>
      </c>
      <c r="K4" s="202">
        <v>165029582.87</v>
      </c>
      <c r="L4" s="202">
        <v>80464922.310000002</v>
      </c>
      <c r="M4" s="202">
        <v>323570970.87</v>
      </c>
      <c r="N4" s="202">
        <v>248729217.63999999</v>
      </c>
      <c r="O4" s="202">
        <v>161936467.97</v>
      </c>
      <c r="P4" s="202">
        <v>83427219.010000005</v>
      </c>
      <c r="Q4" s="202">
        <v>356983852.38</v>
      </c>
      <c r="R4" s="202">
        <v>265845775.84999999</v>
      </c>
      <c r="S4" s="202">
        <v>168265778.53</v>
      </c>
      <c r="T4" s="202">
        <v>82886156.019999996</v>
      </c>
      <c r="U4" s="202">
        <v>332811274.00999999</v>
      </c>
      <c r="V4" s="202">
        <v>309060512.23000002</v>
      </c>
      <c r="W4" s="202">
        <v>239745202.43000001</v>
      </c>
      <c r="X4" s="202">
        <v>0</v>
      </c>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c r="A5" s="19" t="s">
        <v>390</v>
      </c>
      <c r="B5" s="202">
        <v>241657345.5</v>
      </c>
      <c r="C5" s="202">
        <v>143288161.63</v>
      </c>
      <c r="D5" s="202">
        <v>63142877.899999999</v>
      </c>
      <c r="E5" s="202">
        <v>214116621.69999999</v>
      </c>
      <c r="F5" s="202">
        <v>157492142.66999999</v>
      </c>
      <c r="G5" s="202">
        <v>96950290.200000003</v>
      </c>
      <c r="H5" s="202">
        <v>44717243.670000002</v>
      </c>
      <c r="I5" s="202">
        <v>138615829.41</v>
      </c>
      <c r="J5" s="202">
        <v>109230042.2</v>
      </c>
      <c r="K5" s="202">
        <v>77408068.260000005</v>
      </c>
      <c r="L5" s="202">
        <v>39529935.93</v>
      </c>
      <c r="M5" s="202">
        <v>136442760.19</v>
      </c>
      <c r="N5" s="202">
        <v>111084460.58</v>
      </c>
      <c r="O5" s="202">
        <v>75563879.959999993</v>
      </c>
      <c r="P5" s="202">
        <v>39986034.390000001</v>
      </c>
      <c r="Q5" s="202">
        <v>149560883.75999999</v>
      </c>
      <c r="R5" s="202">
        <v>114664823.17</v>
      </c>
      <c r="S5" s="202">
        <v>70547422.670000002</v>
      </c>
      <c r="T5" s="202">
        <v>35435974.409999996</v>
      </c>
      <c r="U5" s="202">
        <v>140229533.38999999</v>
      </c>
      <c r="V5" s="202">
        <v>123910315.51000001</v>
      </c>
      <c r="W5" s="202">
        <v>95674543.489999995</v>
      </c>
      <c r="X5" s="202">
        <v>0</v>
      </c>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c r="A6" s="20" t="s">
        <v>391</v>
      </c>
      <c r="B6" s="27">
        <f>B4-B5</f>
        <v>269607966.24000001</v>
      </c>
      <c r="C6" s="27">
        <f t="shared" ref="C6:BN6" si="0">C4-C5</f>
        <v>164827201.12</v>
      </c>
      <c r="D6" s="27">
        <f t="shared" si="0"/>
        <v>72348461.219999999</v>
      </c>
      <c r="E6" s="27">
        <f t="shared" si="0"/>
        <v>281760798.28000003</v>
      </c>
      <c r="F6" s="27">
        <f t="shared" si="0"/>
        <v>196032960.78</v>
      </c>
      <c r="G6" s="27">
        <f t="shared" si="0"/>
        <v>119665484.64999999</v>
      </c>
      <c r="H6" s="27">
        <f t="shared" si="0"/>
        <v>52221247.560000002</v>
      </c>
      <c r="I6" s="27">
        <f t="shared" si="0"/>
        <v>195444623.39000002</v>
      </c>
      <c r="J6" s="27">
        <f t="shared" si="0"/>
        <v>140682073.81999999</v>
      </c>
      <c r="K6" s="27">
        <f t="shared" si="0"/>
        <v>87621514.609999999</v>
      </c>
      <c r="L6" s="27">
        <f t="shared" si="0"/>
        <v>40934986.380000003</v>
      </c>
      <c r="M6" s="27">
        <f t="shared" si="0"/>
        <v>187128210.68000001</v>
      </c>
      <c r="N6" s="27">
        <f t="shared" si="0"/>
        <v>137644757.06</v>
      </c>
      <c r="O6" s="27">
        <f t="shared" si="0"/>
        <v>86372588.010000005</v>
      </c>
      <c r="P6" s="27">
        <f t="shared" si="0"/>
        <v>43441184.620000005</v>
      </c>
      <c r="Q6" s="27">
        <f t="shared" si="0"/>
        <v>207422968.62</v>
      </c>
      <c r="R6" s="27">
        <f t="shared" si="0"/>
        <v>151180952.68000001</v>
      </c>
      <c r="S6" s="27">
        <f t="shared" si="0"/>
        <v>97718355.859999999</v>
      </c>
      <c r="T6" s="27">
        <f t="shared" si="0"/>
        <v>47450181.609999999</v>
      </c>
      <c r="U6" s="27">
        <f t="shared" si="0"/>
        <v>192581740.62</v>
      </c>
      <c r="V6" s="27">
        <f t="shared" si="0"/>
        <v>185150196.72000003</v>
      </c>
      <c r="W6" s="27">
        <f t="shared" si="0"/>
        <v>144070658.94</v>
      </c>
      <c r="X6" s="27">
        <f t="shared" si="0"/>
        <v>0</v>
      </c>
      <c r="Y6" s="27">
        <f t="shared" si="0"/>
        <v>0</v>
      </c>
      <c r="Z6" s="27">
        <f t="shared" si="0"/>
        <v>0</v>
      </c>
      <c r="AA6" s="27">
        <f t="shared" si="0"/>
        <v>0</v>
      </c>
      <c r="AB6" s="27">
        <f t="shared" si="0"/>
        <v>0</v>
      </c>
      <c r="AC6" s="27">
        <f t="shared" si="0"/>
        <v>0</v>
      </c>
      <c r="AD6" s="27">
        <f t="shared" si="0"/>
        <v>0</v>
      </c>
      <c r="AE6" s="27">
        <f t="shared" si="0"/>
        <v>0</v>
      </c>
      <c r="AF6" s="27">
        <f t="shared" si="0"/>
        <v>0</v>
      </c>
      <c r="AG6" s="27">
        <f t="shared" si="0"/>
        <v>0</v>
      </c>
      <c r="AH6" s="27">
        <f t="shared" si="0"/>
        <v>0</v>
      </c>
      <c r="AI6" s="27">
        <f t="shared" si="0"/>
        <v>0</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392</v>
      </c>
      <c r="B7" s="57">
        <f>B6/B4*100</f>
        <v>52.733475174061297</v>
      </c>
      <c r="C7" s="57">
        <f t="shared" ref="C7:D7" si="2">C6/C4*100</f>
        <v>53.495288144310493</v>
      </c>
      <c r="D7" s="57">
        <f t="shared" si="2"/>
        <v>53.397111350359793</v>
      </c>
      <c r="E7" s="57">
        <f>E6/E4</f>
        <v>0.56820655050468749</v>
      </c>
      <c r="F7" s="57">
        <f t="shared" ref="F7:BQ7" si="3">F6/F4</f>
        <v>0.55450930886362215</v>
      </c>
      <c r="G7" s="57">
        <f t="shared" si="3"/>
        <v>0.55243199500527973</v>
      </c>
      <c r="H7" s="57">
        <f t="shared" si="3"/>
        <v>0.53870497567470754</v>
      </c>
      <c r="I7" s="57">
        <f t="shared" si="3"/>
        <v>0.58505764975123087</v>
      </c>
      <c r="J7" s="57">
        <f t="shared" si="3"/>
        <v>0.56292618405400341</v>
      </c>
      <c r="K7" s="57">
        <f t="shared" si="3"/>
        <v>0.53094428941884164</v>
      </c>
      <c r="L7" s="57">
        <f t="shared" si="3"/>
        <v>0.50873082586587792</v>
      </c>
      <c r="M7" s="57">
        <f t="shared" si="3"/>
        <v>0.57832199896319458</v>
      </c>
      <c r="N7" s="57">
        <f t="shared" si="3"/>
        <v>0.55339199136315831</v>
      </c>
      <c r="O7" s="57">
        <f t="shared" si="3"/>
        <v>0.53337329813813894</v>
      </c>
      <c r="P7" s="57">
        <f t="shared" si="3"/>
        <v>0.52070757164748505</v>
      </c>
      <c r="Q7" s="57">
        <f t="shared" si="3"/>
        <v>0.5810430002284912</v>
      </c>
      <c r="R7" s="57">
        <f t="shared" si="3"/>
        <v>0.56867916067736157</v>
      </c>
      <c r="S7" s="57">
        <f t="shared" si="3"/>
        <v>0.58073814363018472</v>
      </c>
      <c r="T7" s="57">
        <f t="shared" si="3"/>
        <v>0.57247414874144387</v>
      </c>
      <c r="U7" s="57">
        <f t="shared" si="3"/>
        <v>0.5786514930807708</v>
      </c>
      <c r="V7" s="57">
        <f t="shared" si="3"/>
        <v>0.59907425696043937</v>
      </c>
      <c r="W7" s="57">
        <f t="shared" si="3"/>
        <v>0.60093239605937587</v>
      </c>
      <c r="X7" s="57" t="e">
        <f t="shared" si="3"/>
        <v>#DIV/0!</v>
      </c>
      <c r="Y7" s="57" t="e">
        <f t="shared" si="3"/>
        <v>#DIV/0!</v>
      </c>
      <c r="Z7" s="57" t="e">
        <f t="shared" si="3"/>
        <v>#DIV/0!</v>
      </c>
      <c r="AA7" s="57" t="e">
        <f t="shared" si="3"/>
        <v>#DIV/0!</v>
      </c>
      <c r="AB7" s="57" t="e">
        <f t="shared" si="3"/>
        <v>#DIV/0!</v>
      </c>
      <c r="AC7" s="57" t="e">
        <f t="shared" si="3"/>
        <v>#DIV/0!</v>
      </c>
      <c r="AD7" s="57" t="e">
        <f t="shared" si="3"/>
        <v>#DIV/0!</v>
      </c>
      <c r="AE7" s="57" t="e">
        <f t="shared" si="3"/>
        <v>#DIV/0!</v>
      </c>
      <c r="AF7" s="57" t="e">
        <f t="shared" si="3"/>
        <v>#DIV/0!</v>
      </c>
      <c r="AG7" s="57" t="e">
        <f t="shared" si="3"/>
        <v>#DIV/0!</v>
      </c>
      <c r="AH7" s="57" t="e">
        <f t="shared" si="3"/>
        <v>#DIV/0!</v>
      </c>
      <c r="AI7" s="57" t="e">
        <f t="shared" si="3"/>
        <v>#DIV/0!</v>
      </c>
      <c r="AJ7" s="57" t="e">
        <f t="shared" si="3"/>
        <v>#DIV/0!</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393</v>
      </c>
      <c r="B8" s="202">
        <v>6396526.9100000001</v>
      </c>
      <c r="C8" s="202">
        <v>3932728.57</v>
      </c>
      <c r="D8" s="202">
        <v>1771860.17</v>
      </c>
      <c r="E8" s="202">
        <v>8318679.7000000002</v>
      </c>
      <c r="F8" s="202">
        <v>6003756.8099999996</v>
      </c>
      <c r="G8" s="202">
        <v>3780206.84</v>
      </c>
      <c r="H8" s="202">
        <v>1692936.83</v>
      </c>
      <c r="I8" s="202">
        <v>5958238.5899999999</v>
      </c>
      <c r="J8" s="202">
        <v>3300173.98</v>
      </c>
      <c r="K8" s="202">
        <v>2205465.37</v>
      </c>
      <c r="L8" s="202">
        <v>1135096.21</v>
      </c>
      <c r="M8" s="202">
        <v>4122407.5</v>
      </c>
      <c r="N8" s="202">
        <v>3113328.9</v>
      </c>
      <c r="O8" s="202">
        <v>1967574.61</v>
      </c>
      <c r="P8" s="202">
        <v>1063270.46</v>
      </c>
      <c r="Q8" s="202">
        <v>4348578.37</v>
      </c>
      <c r="R8" s="202">
        <v>3287164.73</v>
      </c>
      <c r="S8" s="202">
        <v>2058973.5</v>
      </c>
      <c r="T8" s="202">
        <v>1047306.76</v>
      </c>
      <c r="U8" s="202">
        <v>4524799.68</v>
      </c>
      <c r="V8" s="202">
        <v>4494976.3</v>
      </c>
      <c r="W8" s="202">
        <v>3312357.99</v>
      </c>
      <c r="X8" s="202">
        <v>0</v>
      </c>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c r="A9" s="17" t="s">
        <v>394</v>
      </c>
      <c r="B9" s="202">
        <v>61704225.079999998</v>
      </c>
      <c r="C9" s="202">
        <v>38850543.530000001</v>
      </c>
      <c r="D9" s="202">
        <v>17195122.920000002</v>
      </c>
      <c r="E9" s="202">
        <v>65588452.350000001</v>
      </c>
      <c r="F9" s="202">
        <v>46938412.619999997</v>
      </c>
      <c r="G9" s="202">
        <v>29280870.300000001</v>
      </c>
      <c r="H9" s="202">
        <v>12944066.800000001</v>
      </c>
      <c r="I9" s="202">
        <v>48950284.439999998</v>
      </c>
      <c r="J9" s="202">
        <v>36486393.840000004</v>
      </c>
      <c r="K9" s="202">
        <v>23795431.43</v>
      </c>
      <c r="L9" s="202">
        <v>11018885.210000001</v>
      </c>
      <c r="M9" s="202">
        <v>50049292.490000002</v>
      </c>
      <c r="N9" s="202">
        <v>36714592.649999999</v>
      </c>
      <c r="O9" s="202">
        <v>22688371.300000001</v>
      </c>
      <c r="P9" s="202">
        <v>11355833.810000001</v>
      </c>
      <c r="Q9" s="202">
        <v>51407274.880000003</v>
      </c>
      <c r="R9" s="202">
        <v>37566300.960000001</v>
      </c>
      <c r="S9" s="202">
        <v>24871663.809999999</v>
      </c>
      <c r="T9" s="202">
        <v>10823435.67</v>
      </c>
      <c r="U9" s="202">
        <v>48126080.049999997</v>
      </c>
      <c r="V9" s="202">
        <v>45606034.82</v>
      </c>
      <c r="W9" s="202">
        <v>40470613.049999997</v>
      </c>
      <c r="X9" s="202">
        <v>0</v>
      </c>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c r="A10" s="17" t="s">
        <v>395</v>
      </c>
      <c r="B10" s="202">
        <v>38720644.140000001</v>
      </c>
      <c r="C10" s="202">
        <v>37649665.700000003</v>
      </c>
      <c r="D10" s="202">
        <v>16527795.57</v>
      </c>
      <c r="E10" s="202">
        <v>65060980.670000002</v>
      </c>
      <c r="F10" s="202">
        <v>43708203.200000003</v>
      </c>
      <c r="G10" s="202">
        <v>27757611.77</v>
      </c>
      <c r="H10" s="202">
        <v>12221721.539999999</v>
      </c>
      <c r="I10" s="202">
        <v>45174955.509999998</v>
      </c>
      <c r="J10" s="202">
        <v>35137165.850000001</v>
      </c>
      <c r="K10" s="202">
        <v>22446016.440000001</v>
      </c>
      <c r="L10" s="202">
        <v>10588074.439999999</v>
      </c>
      <c r="M10" s="202">
        <v>49597425.009999998</v>
      </c>
      <c r="N10" s="202">
        <v>36534423.670000002</v>
      </c>
      <c r="O10" s="202">
        <v>23742826.359999999</v>
      </c>
      <c r="P10" s="202">
        <v>10972137.42</v>
      </c>
      <c r="Q10" s="202">
        <v>48562243.770000003</v>
      </c>
      <c r="R10" s="202">
        <v>35988044.380000003</v>
      </c>
      <c r="S10" s="202">
        <v>24393897.57</v>
      </c>
      <c r="T10" s="202">
        <v>11016134.869999999</v>
      </c>
      <c r="U10" s="202">
        <v>46207556.340000004</v>
      </c>
      <c r="V10" s="202">
        <v>46619669.869999997</v>
      </c>
      <c r="W10" s="202">
        <v>42287706.340000004</v>
      </c>
      <c r="X10" s="202">
        <v>0</v>
      </c>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c r="A11" s="17" t="s">
        <v>396</v>
      </c>
      <c r="B11" s="202">
        <v>4774517.37</v>
      </c>
      <c r="C11" s="202">
        <v>6199825.0099999998</v>
      </c>
      <c r="D11" s="202">
        <v>4134883.75</v>
      </c>
      <c r="E11" s="202">
        <v>6173766.71</v>
      </c>
      <c r="F11" s="202">
        <v>7222624.8300000001</v>
      </c>
      <c r="G11" s="202">
        <v>6591040.4000000004</v>
      </c>
      <c r="H11" s="202">
        <v>4034079.72</v>
      </c>
      <c r="I11" s="202">
        <v>3565087.95</v>
      </c>
      <c r="J11" s="202">
        <v>7750261.1900000004</v>
      </c>
      <c r="K11" s="202">
        <v>4744561.43</v>
      </c>
      <c r="L11" s="202">
        <v>2904630.26</v>
      </c>
      <c r="M11" s="202">
        <v>2270121.9900000002</v>
      </c>
      <c r="N11" s="202">
        <v>6187672.9299999997</v>
      </c>
      <c r="O11" s="202">
        <v>3886437.3</v>
      </c>
      <c r="P11" s="202">
        <v>2528025.8199999998</v>
      </c>
      <c r="Q11" s="202">
        <v>2753668.2</v>
      </c>
      <c r="R11" s="202">
        <v>2954795.51</v>
      </c>
      <c r="S11" s="202">
        <v>2641771.19</v>
      </c>
      <c r="T11" s="202">
        <v>1270000</v>
      </c>
      <c r="U11" s="202">
        <v>2318302.7200000002</v>
      </c>
      <c r="V11" s="202">
        <v>1818325.97</v>
      </c>
      <c r="W11" s="202">
        <v>1550147.89</v>
      </c>
      <c r="X11" s="202">
        <v>0</v>
      </c>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c r="A12" s="21" t="s">
        <v>397</v>
      </c>
      <c r="B12" s="29">
        <f>B55</f>
        <v>463</v>
      </c>
      <c r="C12" s="29">
        <f t="shared" ref="C12:BN12" si="5">C55</f>
        <v>603</v>
      </c>
      <c r="D12" s="29">
        <f t="shared" si="5"/>
        <v>653</v>
      </c>
      <c r="E12" s="29">
        <f t="shared" si="5"/>
        <v>212282.74</v>
      </c>
      <c r="F12" s="29">
        <f t="shared" si="5"/>
        <v>1204</v>
      </c>
      <c r="G12" s="29">
        <f t="shared" si="5"/>
        <v>868</v>
      </c>
      <c r="H12" s="29">
        <f t="shared" si="5"/>
        <v>644</v>
      </c>
      <c r="I12" s="29">
        <f t="shared" si="5"/>
        <v>36716.18</v>
      </c>
      <c r="J12" s="29">
        <f t="shared" si="5"/>
        <v>0</v>
      </c>
      <c r="K12" s="29">
        <f t="shared" si="5"/>
        <v>0</v>
      </c>
      <c r="L12" s="29">
        <f t="shared" si="5"/>
        <v>0</v>
      </c>
      <c r="M12" s="29">
        <f t="shared" si="5"/>
        <v>54362.63</v>
      </c>
      <c r="N12" s="29">
        <f t="shared" si="5"/>
        <v>0</v>
      </c>
      <c r="O12" s="29">
        <f t="shared" si="5"/>
        <v>0</v>
      </c>
      <c r="P12" s="29">
        <f t="shared" si="5"/>
        <v>0</v>
      </c>
      <c r="Q12" s="29">
        <f t="shared" si="5"/>
        <v>49001.31</v>
      </c>
      <c r="R12" s="29">
        <f t="shared" si="5"/>
        <v>0</v>
      </c>
      <c r="S12" s="29">
        <f t="shared" si="5"/>
        <v>0</v>
      </c>
      <c r="T12" s="29">
        <f t="shared" si="5"/>
        <v>0</v>
      </c>
      <c r="U12" s="29">
        <f t="shared" si="5"/>
        <v>0</v>
      </c>
      <c r="V12" s="29">
        <f t="shared" si="5"/>
        <v>0</v>
      </c>
      <c r="W12" s="29">
        <f t="shared" si="5"/>
        <v>0</v>
      </c>
      <c r="X12" s="29">
        <f t="shared" si="5"/>
        <v>0</v>
      </c>
      <c r="Y12" s="29">
        <f t="shared" si="5"/>
        <v>0</v>
      </c>
      <c r="Z12" s="29">
        <f t="shared" si="5"/>
        <v>0</v>
      </c>
      <c r="AA12" s="29">
        <f t="shared" si="5"/>
        <v>0</v>
      </c>
      <c r="AB12" s="29">
        <f t="shared" si="5"/>
        <v>0</v>
      </c>
      <c r="AC12" s="29">
        <f t="shared" si="5"/>
        <v>331430.78000000003</v>
      </c>
      <c r="AD12" s="29">
        <f t="shared" si="5"/>
        <v>0</v>
      </c>
      <c r="AE12" s="29">
        <f t="shared" si="5"/>
        <v>0</v>
      </c>
      <c r="AF12" s="29">
        <f t="shared" si="5"/>
        <v>0</v>
      </c>
      <c r="AG12" s="29">
        <f t="shared" si="5"/>
        <v>66967.98</v>
      </c>
      <c r="AH12" s="29">
        <f t="shared" si="5"/>
        <v>0</v>
      </c>
      <c r="AI12" s="29">
        <f t="shared" si="5"/>
        <v>0</v>
      </c>
      <c r="AJ12" s="29">
        <f t="shared" si="5"/>
        <v>0</v>
      </c>
      <c r="AK12" s="29">
        <f t="shared" si="5"/>
        <v>350489.64</v>
      </c>
      <c r="AL12" s="29">
        <f t="shared" si="5"/>
        <v>0</v>
      </c>
      <c r="AM12" s="29">
        <f t="shared" si="5"/>
        <v>0</v>
      </c>
      <c r="AN12" s="29">
        <f t="shared" si="5"/>
        <v>0</v>
      </c>
      <c r="AO12" s="29">
        <f t="shared" si="5"/>
        <v>286174.01</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398</v>
      </c>
      <c r="B13" s="202">
        <v>537340.87</v>
      </c>
      <c r="C13" s="202">
        <v>531806.22</v>
      </c>
      <c r="D13" s="202">
        <v>0</v>
      </c>
      <c r="E13" s="202">
        <v>686763.08</v>
      </c>
      <c r="F13" s="202">
        <v>386813.21</v>
      </c>
      <c r="G13" s="202">
        <v>229087.89</v>
      </c>
      <c r="H13" s="202">
        <v>510994.29</v>
      </c>
      <c r="I13" s="202">
        <v>10365583.02</v>
      </c>
      <c r="J13" s="202">
        <v>2883564.2</v>
      </c>
      <c r="K13" s="202">
        <v>1937605.68</v>
      </c>
      <c r="L13" s="202">
        <v>1170332.3500000001</v>
      </c>
      <c r="M13" s="202">
        <v>9042939.6400000006</v>
      </c>
      <c r="N13" s="202">
        <v>5189238.05</v>
      </c>
      <c r="O13" s="202">
        <v>4701672.8600000003</v>
      </c>
      <c r="P13" s="202">
        <v>2395280.12</v>
      </c>
      <c r="Q13" s="202">
        <v>5305561.3600000003</v>
      </c>
      <c r="R13" s="202">
        <v>3743834.11</v>
      </c>
      <c r="S13" s="202">
        <v>3682270.14</v>
      </c>
      <c r="T13" s="202">
        <v>347000</v>
      </c>
      <c r="U13" s="202">
        <v>4854119.2300000004</v>
      </c>
      <c r="V13" s="202">
        <v>1711254.6</v>
      </c>
      <c r="W13" s="202">
        <v>1330000</v>
      </c>
      <c r="X13" s="202">
        <v>0</v>
      </c>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c r="A14" s="17" t="s">
        <v>399</v>
      </c>
      <c r="B14" s="202">
        <v>117970.27</v>
      </c>
      <c r="C14" s="202">
        <v>97035.31</v>
      </c>
      <c r="D14" s="202">
        <v>73934.429999999993</v>
      </c>
      <c r="E14" s="202">
        <v>375829.58</v>
      </c>
      <c r="F14" s="202">
        <v>177364.83</v>
      </c>
      <c r="G14" s="202">
        <v>529.53</v>
      </c>
      <c r="H14" s="202">
        <v>0</v>
      </c>
      <c r="I14" s="202">
        <v>92669.75</v>
      </c>
      <c r="J14" s="202">
        <v>84104.82</v>
      </c>
      <c r="K14" s="202">
        <v>9895</v>
      </c>
      <c r="L14" s="202">
        <v>0</v>
      </c>
      <c r="M14" s="202">
        <v>170356.04</v>
      </c>
      <c r="N14" s="202">
        <v>170356.04</v>
      </c>
      <c r="O14" s="202">
        <v>1746.8</v>
      </c>
      <c r="P14" s="202">
        <v>0</v>
      </c>
      <c r="Q14" s="202">
        <v>117984.95</v>
      </c>
      <c r="R14" s="202">
        <v>1326.95</v>
      </c>
      <c r="S14" s="202">
        <v>1326.95</v>
      </c>
      <c r="T14" s="202">
        <v>0</v>
      </c>
      <c r="U14" s="202">
        <v>145071.12</v>
      </c>
      <c r="V14" s="202">
        <v>446203.88</v>
      </c>
      <c r="W14" s="202">
        <v>613186.25</v>
      </c>
      <c r="X14" s="202">
        <v>0</v>
      </c>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c r="A15" s="20" t="s">
        <v>402</v>
      </c>
      <c r="B15" s="28">
        <f>B6-(B8+B9+B10+B11+B12)+B13-B14</f>
        <v>158430960.34</v>
      </c>
      <c r="C15" s="28">
        <f t="shared" ref="C15:BN15" si="7">C6-(C8+C9+C10+C11+C12)+C13-C14</f>
        <v>78628606.219999984</v>
      </c>
      <c r="D15" s="28">
        <f t="shared" si="7"/>
        <v>32644211.379999995</v>
      </c>
      <c r="E15" s="28">
        <f t="shared" si="7"/>
        <v>136717569.61000001</v>
      </c>
      <c r="F15" s="28">
        <f t="shared" si="7"/>
        <v>92368207.700000003</v>
      </c>
      <c r="G15" s="28">
        <f t="shared" si="7"/>
        <v>52483445.699999988</v>
      </c>
      <c r="H15" s="28">
        <f t="shared" si="7"/>
        <v>21838792.960000001</v>
      </c>
      <c r="I15" s="28">
        <f t="shared" si="7"/>
        <v>102032253.99000001</v>
      </c>
      <c r="J15" s="28">
        <f t="shared" si="7"/>
        <v>60807538.339999996</v>
      </c>
      <c r="K15" s="28">
        <f t="shared" si="7"/>
        <v>36357750.619999997</v>
      </c>
      <c r="L15" s="28">
        <f t="shared" si="7"/>
        <v>16458632.610000005</v>
      </c>
      <c r="M15" s="28">
        <f t="shared" si="7"/>
        <v>89907184.660000011</v>
      </c>
      <c r="N15" s="28">
        <f t="shared" si="7"/>
        <v>60113620.919999994</v>
      </c>
      <c r="O15" s="28">
        <f t="shared" si="7"/>
        <v>38787304.500000015</v>
      </c>
      <c r="P15" s="28">
        <f t="shared" si="7"/>
        <v>19917197.230000008</v>
      </c>
      <c r="Q15" s="28">
        <f t="shared" si="7"/>
        <v>105489778.49999999</v>
      </c>
      <c r="R15" s="28">
        <f t="shared" si="7"/>
        <v>75127154.260000005</v>
      </c>
      <c r="S15" s="28">
        <f t="shared" si="7"/>
        <v>47432992.980000004</v>
      </c>
      <c r="T15" s="28">
        <f t="shared" si="7"/>
        <v>23640304.310000002</v>
      </c>
      <c r="U15" s="28">
        <f t="shared" si="7"/>
        <v>96114049.940000013</v>
      </c>
      <c r="V15" s="28">
        <f t="shared" si="7"/>
        <v>87876240.480000034</v>
      </c>
      <c r="W15" s="28">
        <f t="shared" si="7"/>
        <v>57166647.420000002</v>
      </c>
      <c r="X15" s="28">
        <f t="shared" si="7"/>
        <v>0</v>
      </c>
      <c r="Y15" s="28">
        <f t="shared" si="7"/>
        <v>0</v>
      </c>
      <c r="Z15" s="28">
        <f t="shared" si="7"/>
        <v>0</v>
      </c>
      <c r="AA15" s="28">
        <f t="shared" si="7"/>
        <v>0</v>
      </c>
      <c r="AB15" s="28">
        <f t="shared" si="7"/>
        <v>0</v>
      </c>
      <c r="AC15" s="28">
        <f t="shared" si="7"/>
        <v>-331430.78000000003</v>
      </c>
      <c r="AD15" s="28">
        <f t="shared" si="7"/>
        <v>0</v>
      </c>
      <c r="AE15" s="28">
        <f t="shared" si="7"/>
        <v>0</v>
      </c>
      <c r="AF15" s="28">
        <f t="shared" si="7"/>
        <v>0</v>
      </c>
      <c r="AG15" s="28">
        <f t="shared" si="7"/>
        <v>-66967.98</v>
      </c>
      <c r="AH15" s="28">
        <f t="shared" si="7"/>
        <v>0</v>
      </c>
      <c r="AI15" s="28">
        <f t="shared" si="7"/>
        <v>0</v>
      </c>
      <c r="AJ15" s="28">
        <f t="shared" si="7"/>
        <v>0</v>
      </c>
      <c r="AK15" s="28">
        <f t="shared" si="7"/>
        <v>-350489.64</v>
      </c>
      <c r="AL15" s="28">
        <f t="shared" si="7"/>
        <v>0</v>
      </c>
      <c r="AM15" s="28">
        <f t="shared" si="7"/>
        <v>0</v>
      </c>
      <c r="AN15" s="28">
        <f t="shared" si="7"/>
        <v>0</v>
      </c>
      <c r="AO15" s="28">
        <f t="shared" si="7"/>
        <v>-286174.01</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400</v>
      </c>
      <c r="B16" s="26">
        <f>B15*B41</f>
        <v>18488150.425552282</v>
      </c>
      <c r="C16" s="26">
        <f t="shared" ref="C16:BN16" si="9">C15*C41</f>
        <v>11435510.169123616</v>
      </c>
      <c r="D16" s="26">
        <f t="shared" si="9"/>
        <v>4888427.9963334575</v>
      </c>
      <c r="E16" s="26">
        <f t="shared" si="9"/>
        <v>22495790.120715722</v>
      </c>
      <c r="F16" s="26">
        <f t="shared" si="9"/>
        <v>15889613.66354919</v>
      </c>
      <c r="G16" s="26">
        <f t="shared" si="9"/>
        <v>9533403.2281410545</v>
      </c>
      <c r="H16" s="26">
        <f t="shared" si="9"/>
        <v>3815206.9333160431</v>
      </c>
      <c r="I16" s="26">
        <f t="shared" si="9"/>
        <v>14848787.663108906</v>
      </c>
      <c r="J16" s="26">
        <f t="shared" si="9"/>
        <v>8509947.4055134039</v>
      </c>
      <c r="K16" s="26">
        <f t="shared" si="9"/>
        <v>4874167.541735569</v>
      </c>
      <c r="L16" s="26">
        <f t="shared" si="9"/>
        <v>2366485.1428661551</v>
      </c>
      <c r="M16" s="26">
        <f t="shared" si="9"/>
        <v>13221746.63213815</v>
      </c>
      <c r="N16" s="26">
        <f t="shared" si="9"/>
        <v>9013694.9357076399</v>
      </c>
      <c r="O16" s="26">
        <f t="shared" si="9"/>
        <v>5246309.8399808779</v>
      </c>
      <c r="P16" s="26">
        <f t="shared" si="9"/>
        <v>3295212.7443621256</v>
      </c>
      <c r="Q16" s="26">
        <f t="shared" si="9"/>
        <v>15667714.69143522</v>
      </c>
      <c r="R16" s="26">
        <f t="shared" si="9"/>
        <v>10981538.61620318</v>
      </c>
      <c r="S16" s="26">
        <f t="shared" si="9"/>
        <v>7100996.5844675992</v>
      </c>
      <c r="T16" s="26">
        <f t="shared" si="9"/>
        <v>3278213.1046221238</v>
      </c>
      <c r="U16" s="26">
        <f t="shared" si="9"/>
        <v>14291689.787745718</v>
      </c>
      <c r="V16" s="26">
        <f t="shared" si="9"/>
        <v>12948306.369549679</v>
      </c>
      <c r="W16" s="26">
        <f t="shared" si="9"/>
        <v>8177746.1912880735</v>
      </c>
      <c r="X16" s="26" t="e">
        <f t="shared" si="9"/>
        <v>#DIV/0!</v>
      </c>
      <c r="Y16" s="26">
        <f t="shared" si="9"/>
        <v>0</v>
      </c>
      <c r="Z16" s="26">
        <f t="shared" si="9"/>
        <v>0</v>
      </c>
      <c r="AA16" s="26">
        <f t="shared" si="9"/>
        <v>0</v>
      </c>
      <c r="AB16" s="26">
        <f t="shared" si="9"/>
        <v>0</v>
      </c>
      <c r="AC16" s="26">
        <f t="shared" si="9"/>
        <v>-1941844.7097069919</v>
      </c>
      <c r="AD16" s="26">
        <f t="shared" si="9"/>
        <v>0</v>
      </c>
      <c r="AE16" s="26">
        <f t="shared" si="9"/>
        <v>0</v>
      </c>
      <c r="AF16" s="26">
        <f t="shared" si="9"/>
        <v>0</v>
      </c>
      <c r="AG16" s="26">
        <f t="shared" si="9"/>
        <v>152749.2602685086</v>
      </c>
      <c r="AH16" s="26">
        <f t="shared" si="9"/>
        <v>0</v>
      </c>
      <c r="AI16" s="26">
        <f t="shared" si="9"/>
        <v>0</v>
      </c>
      <c r="AJ16" s="26">
        <f t="shared" si="9"/>
        <v>0</v>
      </c>
      <c r="AK16" s="26">
        <f t="shared" si="9"/>
        <v>595347.25967821584</v>
      </c>
      <c r="AL16" s="26">
        <f t="shared" si="9"/>
        <v>0</v>
      </c>
      <c r="AM16" s="26">
        <f t="shared" si="9"/>
        <v>0</v>
      </c>
      <c r="AN16" s="26">
        <f t="shared" si="9"/>
        <v>0</v>
      </c>
      <c r="AO16" s="26">
        <f t="shared" si="9"/>
        <v>0</v>
      </c>
      <c r="AP16" s="26">
        <f t="shared" si="9"/>
        <v>0</v>
      </c>
      <c r="AQ16" s="26">
        <f t="shared" si="9"/>
        <v>0</v>
      </c>
      <c r="AR16" s="26">
        <f t="shared" si="9"/>
        <v>0</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401</v>
      </c>
      <c r="B17" s="27">
        <f>B15-B16</f>
        <v>139942809.91444772</v>
      </c>
      <c r="C17" s="27">
        <f t="shared" ref="C17:BN17" si="11">C15-C16</f>
        <v>67193096.050876364</v>
      </c>
      <c r="D17" s="27">
        <f t="shared" si="11"/>
        <v>27755783.383666538</v>
      </c>
      <c r="E17" s="27">
        <f t="shared" si="11"/>
        <v>114221779.48928429</v>
      </c>
      <c r="F17" s="27">
        <f t="shared" si="11"/>
        <v>76478594.036450818</v>
      </c>
      <c r="G17" s="27">
        <f t="shared" si="11"/>
        <v>42950042.471858934</v>
      </c>
      <c r="H17" s="27">
        <f t="shared" si="11"/>
        <v>18023586.026683956</v>
      </c>
      <c r="I17" s="27">
        <f t="shared" si="11"/>
        <v>87183466.326891109</v>
      </c>
      <c r="J17" s="27">
        <f t="shared" si="11"/>
        <v>52297590.93448659</v>
      </c>
      <c r="K17" s="27">
        <f t="shared" si="11"/>
        <v>31483583.07826443</v>
      </c>
      <c r="L17" s="27">
        <f t="shared" si="11"/>
        <v>14092147.46713385</v>
      </c>
      <c r="M17" s="27">
        <f t="shared" si="11"/>
        <v>76685438.027861863</v>
      </c>
      <c r="N17" s="27">
        <f t="shared" si="11"/>
        <v>51099925.984292358</v>
      </c>
      <c r="O17" s="27">
        <f t="shared" si="11"/>
        <v>33540994.660019137</v>
      </c>
      <c r="P17" s="27">
        <f t="shared" si="11"/>
        <v>16621984.485637883</v>
      </c>
      <c r="Q17" s="27">
        <f t="shared" si="11"/>
        <v>89822063.808564767</v>
      </c>
      <c r="R17" s="27">
        <f t="shared" si="11"/>
        <v>64145615.643796824</v>
      </c>
      <c r="S17" s="27">
        <f t="shared" si="11"/>
        <v>40331996.395532407</v>
      </c>
      <c r="T17" s="27">
        <f t="shared" si="11"/>
        <v>20362091.205377877</v>
      </c>
      <c r="U17" s="27">
        <f t="shared" si="11"/>
        <v>81822360.152254298</v>
      </c>
      <c r="V17" s="27">
        <f t="shared" si="11"/>
        <v>74927934.110450357</v>
      </c>
      <c r="W17" s="27">
        <f t="shared" si="11"/>
        <v>48988901.228711925</v>
      </c>
      <c r="X17" s="27" t="e">
        <f t="shared" si="11"/>
        <v>#DIV/0!</v>
      </c>
      <c r="Y17" s="27">
        <f t="shared" si="11"/>
        <v>0</v>
      </c>
      <c r="Z17" s="27">
        <f t="shared" si="11"/>
        <v>0</v>
      </c>
      <c r="AA17" s="27">
        <f t="shared" si="11"/>
        <v>0</v>
      </c>
      <c r="AB17" s="27">
        <f t="shared" si="11"/>
        <v>0</v>
      </c>
      <c r="AC17" s="27">
        <f t="shared" si="11"/>
        <v>1610413.9297069919</v>
      </c>
      <c r="AD17" s="27">
        <f t="shared" si="11"/>
        <v>0</v>
      </c>
      <c r="AE17" s="27">
        <f t="shared" si="11"/>
        <v>0</v>
      </c>
      <c r="AF17" s="27">
        <f t="shared" si="11"/>
        <v>0</v>
      </c>
      <c r="AG17" s="27">
        <f t="shared" si="11"/>
        <v>-219717.24026850861</v>
      </c>
      <c r="AH17" s="27">
        <f t="shared" si="11"/>
        <v>0</v>
      </c>
      <c r="AI17" s="27">
        <f t="shared" si="11"/>
        <v>0</v>
      </c>
      <c r="AJ17" s="27">
        <f t="shared" si="11"/>
        <v>0</v>
      </c>
      <c r="AK17" s="27">
        <f t="shared" si="11"/>
        <v>-945836.89967821585</v>
      </c>
      <c r="AL17" s="27">
        <f t="shared" si="11"/>
        <v>0</v>
      </c>
      <c r="AM17" s="27">
        <f t="shared" si="11"/>
        <v>0</v>
      </c>
      <c r="AN17" s="27">
        <f t="shared" si="11"/>
        <v>0</v>
      </c>
      <c r="AO17" s="27">
        <f t="shared" si="11"/>
        <v>-286174.01</v>
      </c>
      <c r="AP17" s="27">
        <f t="shared" si="11"/>
        <v>0</v>
      </c>
      <c r="AQ17" s="27">
        <f t="shared" si="11"/>
        <v>0</v>
      </c>
      <c r="AR17" s="27">
        <f t="shared" si="11"/>
        <v>0</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403</v>
      </c>
      <c r="B18" s="57">
        <f>B17/B4*100</f>
        <v>27.371856979339633</v>
      </c>
      <c r="C18" s="57">
        <f t="shared" ref="C18:D18" si="13">C17/C4*100</f>
        <v>21.807772079640117</v>
      </c>
      <c r="D18" s="57">
        <f t="shared" si="13"/>
        <v>20.485282353792517</v>
      </c>
      <c r="E18" s="57">
        <f>E17/E4</f>
        <v>0.23034277199774722</v>
      </c>
      <c r="F18" s="57">
        <f t="shared" ref="F18:BQ18" si="14">F17/F4</f>
        <v>0.2163314381075272</v>
      </c>
      <c r="G18" s="57">
        <f t="shared" si="14"/>
        <v>0.19827753773519294</v>
      </c>
      <c r="H18" s="57">
        <f t="shared" si="14"/>
        <v>0.18592806426005229</v>
      </c>
      <c r="I18" s="57">
        <f t="shared" si="14"/>
        <v>0.26098110565361454</v>
      </c>
      <c r="J18" s="57">
        <f t="shared" si="14"/>
        <v>0.20926392752523174</v>
      </c>
      <c r="K18" s="57">
        <f t="shared" si="14"/>
        <v>0.19077539027087786</v>
      </c>
      <c r="L18" s="57">
        <f t="shared" si="14"/>
        <v>0.17513404676937727</v>
      </c>
      <c r="M18" s="57">
        <f t="shared" si="14"/>
        <v>0.23699727395716072</v>
      </c>
      <c r="N18" s="57">
        <f t="shared" si="14"/>
        <v>0.20544400239400987</v>
      </c>
      <c r="O18" s="57">
        <f t="shared" si="14"/>
        <v>0.20712440551829789</v>
      </c>
      <c r="P18" s="57">
        <f t="shared" si="14"/>
        <v>0.19923934517876579</v>
      </c>
      <c r="Q18" s="57">
        <f t="shared" si="14"/>
        <v>0.25161380048347826</v>
      </c>
      <c r="R18" s="57">
        <f t="shared" si="14"/>
        <v>0.24128882785028771</v>
      </c>
      <c r="S18" s="57">
        <f t="shared" si="14"/>
        <v>0.23969221042971398</v>
      </c>
      <c r="T18" s="57">
        <f t="shared" si="14"/>
        <v>0.24566335541564518</v>
      </c>
      <c r="U18" s="57">
        <f t="shared" si="14"/>
        <v>0.24585212864452355</v>
      </c>
      <c r="V18" s="57">
        <f t="shared" si="14"/>
        <v>0.24243774647823554</v>
      </c>
      <c r="W18" s="57">
        <f t="shared" si="14"/>
        <v>0.20433735787899882</v>
      </c>
      <c r="X18" s="57" t="e">
        <f t="shared" si="14"/>
        <v>#DIV/0!</v>
      </c>
      <c r="Y18" s="57" t="e">
        <f t="shared" si="14"/>
        <v>#DIV/0!</v>
      </c>
      <c r="Z18" s="57" t="e">
        <f t="shared" si="14"/>
        <v>#DIV/0!</v>
      </c>
      <c r="AA18" s="57" t="e">
        <f t="shared" si="14"/>
        <v>#DIV/0!</v>
      </c>
      <c r="AB18" s="57" t="e">
        <f t="shared" si="14"/>
        <v>#DIV/0!</v>
      </c>
      <c r="AC18" s="57" t="e">
        <f t="shared" si="14"/>
        <v>#DIV/0!</v>
      </c>
      <c r="AD18" s="57" t="e">
        <f t="shared" si="14"/>
        <v>#DIV/0!</v>
      </c>
      <c r="AE18" s="57" t="e">
        <f t="shared" si="14"/>
        <v>#DIV/0!</v>
      </c>
      <c r="AF18" s="57" t="e">
        <f t="shared" si="14"/>
        <v>#DIV/0!</v>
      </c>
      <c r="AG18" s="57" t="e">
        <f t="shared" si="14"/>
        <v>#DIV/0!</v>
      </c>
      <c r="AH18" s="57" t="e">
        <f t="shared" si="14"/>
        <v>#DIV/0!</v>
      </c>
      <c r="AI18" s="57" t="e">
        <f t="shared" si="14"/>
        <v>#DIV/0!</v>
      </c>
      <c r="AJ18" s="57" t="e">
        <f t="shared" si="14"/>
        <v>#DIV/0!</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404</v>
      </c>
      <c r="B20" s="202">
        <v>0</v>
      </c>
      <c r="C20" s="202">
        <v>0</v>
      </c>
      <c r="D20" s="202">
        <v>0</v>
      </c>
      <c r="E20" s="202">
        <v>0</v>
      </c>
      <c r="F20" s="202">
        <v>0</v>
      </c>
      <c r="G20" s="202">
        <v>0</v>
      </c>
      <c r="H20" s="202">
        <v>0</v>
      </c>
      <c r="I20" s="202">
        <v>0</v>
      </c>
      <c r="J20" s="202">
        <v>0</v>
      </c>
      <c r="K20" s="202">
        <v>0</v>
      </c>
      <c r="L20" s="202">
        <v>0</v>
      </c>
      <c r="M20" s="202">
        <v>0</v>
      </c>
      <c r="N20" s="202">
        <v>0</v>
      </c>
      <c r="O20" s="202">
        <v>0</v>
      </c>
      <c r="P20" s="202">
        <v>0</v>
      </c>
      <c r="Q20" s="202">
        <v>0</v>
      </c>
      <c r="R20" s="202">
        <v>0</v>
      </c>
      <c r="S20" s="202">
        <v>0</v>
      </c>
      <c r="T20" s="202">
        <v>0</v>
      </c>
      <c r="U20" s="202">
        <v>0</v>
      </c>
      <c r="V20" s="202">
        <v>0</v>
      </c>
      <c r="W20" s="202">
        <v>0</v>
      </c>
      <c r="X20" s="202">
        <v>0</v>
      </c>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c r="A21" s="18" t="s">
        <v>87</v>
      </c>
      <c r="B21" s="30"/>
      <c r="C21" s="30"/>
      <c r="D21" s="30"/>
      <c r="E21" s="30"/>
      <c r="F21" s="30"/>
      <c r="G21" s="30"/>
      <c r="H21" s="30"/>
      <c r="I21" s="30"/>
      <c r="J21" s="30"/>
      <c r="K21" s="30"/>
    </row>
    <row r="22" spans="1:89">
      <c r="A22" s="17" t="s">
        <v>405</v>
      </c>
      <c r="B22" s="202">
        <v>0</v>
      </c>
      <c r="C22" s="202">
        <v>0</v>
      </c>
      <c r="D22" s="202">
        <v>0</v>
      </c>
      <c r="E22" s="202">
        <v>-477275</v>
      </c>
      <c r="F22" s="202">
        <v>0</v>
      </c>
      <c r="G22" s="202">
        <v>0</v>
      </c>
      <c r="H22" s="202">
        <v>0</v>
      </c>
      <c r="I22" s="202">
        <v>0</v>
      </c>
      <c r="J22" s="202">
        <v>0</v>
      </c>
      <c r="K22" s="202">
        <v>0</v>
      </c>
      <c r="L22" s="202">
        <v>0</v>
      </c>
      <c r="M22" s="202">
        <v>0</v>
      </c>
      <c r="N22" s="202">
        <v>0</v>
      </c>
      <c r="O22" s="202">
        <v>0</v>
      </c>
      <c r="P22" s="202">
        <v>0</v>
      </c>
      <c r="Q22" s="202">
        <v>0</v>
      </c>
      <c r="R22" s="202">
        <v>0</v>
      </c>
      <c r="S22" s="202">
        <v>0</v>
      </c>
      <c r="T22" s="202">
        <v>0</v>
      </c>
      <c r="U22" s="202">
        <v>0</v>
      </c>
      <c r="V22" s="202">
        <v>0</v>
      </c>
      <c r="W22" s="202">
        <v>0</v>
      </c>
      <c r="X22" s="202">
        <v>0</v>
      </c>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c r="A23" s="21" t="s">
        <v>406</v>
      </c>
      <c r="B23" s="29">
        <f>-B52</f>
        <v>25636</v>
      </c>
      <c r="C23" s="29">
        <f t="shared" ref="C23:BN23" si="16">-C52</f>
        <v>27718</v>
      </c>
      <c r="D23" s="29">
        <f t="shared" si="16"/>
        <v>35317</v>
      </c>
      <c r="E23" s="29">
        <f t="shared" si="16"/>
        <v>14632500.18</v>
      </c>
      <c r="F23" s="29">
        <f t="shared" si="16"/>
        <v>34414</v>
      </c>
      <c r="G23" s="29">
        <f t="shared" si="16"/>
        <v>23309</v>
      </c>
      <c r="H23" s="29">
        <f t="shared" si="16"/>
        <v>16814</v>
      </c>
      <c r="I23" s="29">
        <f t="shared" si="16"/>
        <v>11741373.67</v>
      </c>
      <c r="J23" s="29">
        <f t="shared" si="16"/>
        <v>0</v>
      </c>
      <c r="K23" s="29">
        <f t="shared" si="16"/>
        <v>0</v>
      </c>
      <c r="L23" s="29">
        <f t="shared" si="16"/>
        <v>0</v>
      </c>
      <c r="M23" s="29">
        <f t="shared" si="16"/>
        <v>6280791.8099999996</v>
      </c>
      <c r="N23" s="29">
        <f t="shared" si="16"/>
        <v>0</v>
      </c>
      <c r="O23" s="29">
        <f t="shared" si="16"/>
        <v>0</v>
      </c>
      <c r="P23" s="29">
        <f t="shared" si="16"/>
        <v>0</v>
      </c>
      <c r="Q23" s="29">
        <f t="shared" si="16"/>
        <v>275928.87</v>
      </c>
      <c r="R23" s="29">
        <f t="shared" si="16"/>
        <v>0</v>
      </c>
      <c r="S23" s="29">
        <f t="shared" si="16"/>
        <v>0</v>
      </c>
      <c r="T23" s="29">
        <f t="shared" si="16"/>
        <v>0</v>
      </c>
      <c r="U23" s="29">
        <f t="shared" si="16"/>
        <v>0</v>
      </c>
      <c r="V23" s="29">
        <f t="shared" si="16"/>
        <v>0</v>
      </c>
      <c r="W23" s="29">
        <f t="shared" si="16"/>
        <v>0</v>
      </c>
      <c r="X23" s="29">
        <f t="shared" si="16"/>
        <v>0</v>
      </c>
      <c r="Y23" s="29">
        <f t="shared" si="16"/>
        <v>0</v>
      </c>
      <c r="Z23" s="29">
        <f t="shared" si="16"/>
        <v>0</v>
      </c>
      <c r="AA23" s="29">
        <f t="shared" si="16"/>
        <v>0</v>
      </c>
      <c r="AB23" s="29">
        <f t="shared" si="16"/>
        <v>0</v>
      </c>
      <c r="AC23" s="29">
        <f t="shared" si="16"/>
        <v>33478269.789999999</v>
      </c>
      <c r="AD23" s="29">
        <f t="shared" si="16"/>
        <v>0</v>
      </c>
      <c r="AE23" s="29">
        <f t="shared" si="16"/>
        <v>0</v>
      </c>
      <c r="AF23" s="29">
        <f t="shared" si="16"/>
        <v>0</v>
      </c>
      <c r="AG23" s="29">
        <f t="shared" si="16"/>
        <v>1072131.49</v>
      </c>
      <c r="AH23" s="29">
        <f t="shared" si="16"/>
        <v>0</v>
      </c>
      <c r="AI23" s="29">
        <f t="shared" si="16"/>
        <v>0</v>
      </c>
      <c r="AJ23" s="29">
        <f t="shared" si="16"/>
        <v>0</v>
      </c>
      <c r="AK23" s="29">
        <f t="shared" si="16"/>
        <v>3365474.92</v>
      </c>
      <c r="AL23" s="29">
        <f t="shared" si="16"/>
        <v>0</v>
      </c>
      <c r="AM23" s="29">
        <f t="shared" si="16"/>
        <v>0</v>
      </c>
      <c r="AN23" s="29">
        <f t="shared" si="16"/>
        <v>0</v>
      </c>
      <c r="AO23" s="29">
        <f t="shared" si="16"/>
        <v>1255234.32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407</v>
      </c>
      <c r="B24" s="26">
        <f>B67</f>
        <v>351172.6</v>
      </c>
      <c r="C24" s="26">
        <f t="shared" ref="C24:BN24" si="18">C67</f>
        <v>119095.89</v>
      </c>
      <c r="D24" s="26">
        <f t="shared" si="18"/>
        <v>119095.89</v>
      </c>
      <c r="E24" s="26">
        <f>E67</f>
        <v>453801.37</v>
      </c>
      <c r="F24" s="26">
        <f t="shared" si="18"/>
        <v>242075.34</v>
      </c>
      <c r="G24" s="26">
        <f t="shared" si="18"/>
        <v>242075.34</v>
      </c>
      <c r="H24" s="26">
        <f t="shared" si="18"/>
        <v>152580.82</v>
      </c>
      <c r="I24" s="26">
        <f t="shared" si="18"/>
        <v>954867.12</v>
      </c>
      <c r="J24" s="26">
        <f t="shared" si="18"/>
        <v>880043.83</v>
      </c>
      <c r="K24" s="26">
        <f t="shared" si="18"/>
        <v>573673.97</v>
      </c>
      <c r="L24" s="26">
        <f t="shared" si="18"/>
        <v>336757.54</v>
      </c>
      <c r="M24" s="26">
        <f t="shared" si="18"/>
        <v>476575.34</v>
      </c>
      <c r="N24" s="26">
        <f t="shared" si="18"/>
        <v>91287.67</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1100350.93</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666438.85</v>
      </c>
      <c r="AL24" s="26">
        <f t="shared" si="18"/>
        <v>666438.85</v>
      </c>
      <c r="AM24" s="26">
        <f t="shared" si="18"/>
        <v>0</v>
      </c>
      <c r="AN24" s="26">
        <f t="shared" si="18"/>
        <v>987723.72</v>
      </c>
      <c r="AO24" s="26">
        <f t="shared" si="18"/>
        <v>0</v>
      </c>
      <c r="AP24" s="26">
        <f t="shared" si="18"/>
        <v>0</v>
      </c>
      <c r="AQ24" s="26">
        <f t="shared" si="18"/>
        <v>0</v>
      </c>
      <c r="AR24" s="26">
        <f t="shared" si="18"/>
        <v>0</v>
      </c>
      <c r="AS24" s="26">
        <f t="shared" si="18"/>
        <v>0</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c r="A25" s="21" t="s">
        <v>408</v>
      </c>
      <c r="B25" s="29">
        <f>-B54</f>
        <v>-3104</v>
      </c>
      <c r="C25" s="29">
        <f t="shared" ref="C25:BN25" si="20">-C54</f>
        <v>1424</v>
      </c>
      <c r="D25" s="29">
        <f t="shared" si="20"/>
        <v>340</v>
      </c>
      <c r="E25" s="29">
        <f t="shared" si="20"/>
        <v>81970.06</v>
      </c>
      <c r="F25" s="29">
        <f t="shared" si="20"/>
        <v>-2684</v>
      </c>
      <c r="G25" s="29">
        <f t="shared" si="20"/>
        <v>377</v>
      </c>
      <c r="H25" s="29">
        <f t="shared" si="20"/>
        <v>-1008</v>
      </c>
      <c r="I25" s="29">
        <f t="shared" si="20"/>
        <v>92207.98</v>
      </c>
      <c r="J25" s="29">
        <f t="shared" si="20"/>
        <v>0</v>
      </c>
      <c r="K25" s="29">
        <f t="shared" si="20"/>
        <v>0</v>
      </c>
      <c r="L25" s="29">
        <f t="shared" si="20"/>
        <v>0</v>
      </c>
      <c r="M25" s="29">
        <f t="shared" si="20"/>
        <v>62758.91</v>
      </c>
      <c r="N25" s="29">
        <f t="shared" si="20"/>
        <v>0</v>
      </c>
      <c r="O25" s="29">
        <f t="shared" si="20"/>
        <v>0</v>
      </c>
      <c r="P25" s="29">
        <f t="shared" si="20"/>
        <v>0</v>
      </c>
      <c r="Q25" s="29">
        <f t="shared" si="20"/>
        <v>978.92</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72.72</v>
      </c>
      <c r="AL25" s="29">
        <f t="shared" si="20"/>
        <v>0</v>
      </c>
      <c r="AM25" s="29">
        <f t="shared" si="20"/>
        <v>0</v>
      </c>
      <c r="AN25" s="29">
        <f t="shared" si="20"/>
        <v>0</v>
      </c>
      <c r="AO25" s="29">
        <f t="shared" si="20"/>
        <v>-1003.32</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409</v>
      </c>
      <c r="B26" s="202">
        <v>0</v>
      </c>
      <c r="C26" s="202">
        <v>0</v>
      </c>
      <c r="D26" s="202">
        <v>0</v>
      </c>
      <c r="E26" s="202">
        <v>0</v>
      </c>
      <c r="F26" s="202">
        <v>0</v>
      </c>
      <c r="G26" s="202">
        <v>0</v>
      </c>
      <c r="H26" s="202">
        <v>0</v>
      </c>
      <c r="I26" s="202">
        <v>0</v>
      </c>
      <c r="J26" s="202">
        <v>0</v>
      </c>
      <c r="K26" s="202">
        <v>0</v>
      </c>
      <c r="L26" s="202">
        <v>0</v>
      </c>
      <c r="M26" s="202">
        <v>0</v>
      </c>
      <c r="N26" s="202">
        <v>0</v>
      </c>
      <c r="O26" s="202">
        <v>0</v>
      </c>
      <c r="P26" s="202">
        <v>0</v>
      </c>
      <c r="Q26" s="202">
        <v>0</v>
      </c>
      <c r="R26" s="202">
        <v>0</v>
      </c>
      <c r="S26" s="202">
        <v>0</v>
      </c>
      <c r="T26" s="202">
        <v>0</v>
      </c>
      <c r="U26" s="202">
        <v>0</v>
      </c>
      <c r="V26" s="202">
        <v>0</v>
      </c>
      <c r="W26" s="202">
        <v>0</v>
      </c>
      <c r="X26" s="202">
        <v>0</v>
      </c>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c r="A27" s="17" t="s">
        <v>410</v>
      </c>
      <c r="B27" s="26">
        <f>SUM(B22:B26)</f>
        <v>373704.6</v>
      </c>
      <c r="C27" s="26">
        <f t="shared" ref="C27:BN27" si="22">SUM(C22:C26)</f>
        <v>148237.89000000001</v>
      </c>
      <c r="D27" s="26">
        <f t="shared" si="22"/>
        <v>154752.89000000001</v>
      </c>
      <c r="E27" s="26">
        <f t="shared" si="22"/>
        <v>14690996.609999999</v>
      </c>
      <c r="F27" s="26">
        <f t="shared" si="22"/>
        <v>273805.33999999997</v>
      </c>
      <c r="G27" s="26">
        <f t="shared" si="22"/>
        <v>265761.33999999997</v>
      </c>
      <c r="H27" s="26">
        <f t="shared" si="22"/>
        <v>168386.82</v>
      </c>
      <c r="I27" s="26">
        <f t="shared" si="22"/>
        <v>12788448.77</v>
      </c>
      <c r="J27" s="26">
        <f t="shared" si="22"/>
        <v>880043.83</v>
      </c>
      <c r="K27" s="26">
        <f t="shared" si="22"/>
        <v>573673.97</v>
      </c>
      <c r="L27" s="26">
        <f t="shared" si="22"/>
        <v>336757.54</v>
      </c>
      <c r="M27" s="26">
        <f t="shared" si="22"/>
        <v>6820126.0599999996</v>
      </c>
      <c r="N27" s="26">
        <f t="shared" si="22"/>
        <v>91287.67</v>
      </c>
      <c r="O27" s="26">
        <f t="shared" si="22"/>
        <v>0</v>
      </c>
      <c r="P27" s="26">
        <f t="shared" si="22"/>
        <v>0</v>
      </c>
      <c r="Q27" s="26">
        <f t="shared" si="22"/>
        <v>276907.78999999998</v>
      </c>
      <c r="R27" s="26">
        <f t="shared" si="22"/>
        <v>0</v>
      </c>
      <c r="S27" s="26">
        <f t="shared" si="22"/>
        <v>0</v>
      </c>
      <c r="T27" s="26">
        <f t="shared" si="22"/>
        <v>0</v>
      </c>
      <c r="U27" s="26">
        <f t="shared" si="22"/>
        <v>0</v>
      </c>
      <c r="V27" s="26">
        <f t="shared" si="22"/>
        <v>0</v>
      </c>
      <c r="W27" s="26">
        <f t="shared" si="22"/>
        <v>0</v>
      </c>
      <c r="X27" s="26">
        <f t="shared" si="22"/>
        <v>0</v>
      </c>
      <c r="Y27" s="26">
        <f t="shared" si="22"/>
        <v>1100350.93</v>
      </c>
      <c r="Z27" s="26">
        <f t="shared" si="22"/>
        <v>0</v>
      </c>
      <c r="AA27" s="26">
        <f t="shared" si="22"/>
        <v>0</v>
      </c>
      <c r="AB27" s="26">
        <f t="shared" si="22"/>
        <v>0</v>
      </c>
      <c r="AC27" s="26">
        <f t="shared" si="22"/>
        <v>33478269.789999999</v>
      </c>
      <c r="AD27" s="26">
        <f t="shared" si="22"/>
        <v>0</v>
      </c>
      <c r="AE27" s="26">
        <f t="shared" si="22"/>
        <v>0</v>
      </c>
      <c r="AF27" s="26">
        <f t="shared" si="22"/>
        <v>0</v>
      </c>
      <c r="AG27" s="26">
        <f t="shared" si="22"/>
        <v>1072131.49</v>
      </c>
      <c r="AH27" s="26">
        <f t="shared" si="22"/>
        <v>0</v>
      </c>
      <c r="AI27" s="26">
        <f t="shared" si="22"/>
        <v>0</v>
      </c>
      <c r="AJ27" s="26">
        <f t="shared" si="22"/>
        <v>0</v>
      </c>
      <c r="AK27" s="26">
        <f t="shared" si="22"/>
        <v>4031986.49</v>
      </c>
      <c r="AL27" s="26">
        <f t="shared" si="22"/>
        <v>666438.85</v>
      </c>
      <c r="AM27" s="26">
        <f t="shared" si="22"/>
        <v>0</v>
      </c>
      <c r="AN27" s="26">
        <f t="shared" si="22"/>
        <v>987723.72</v>
      </c>
      <c r="AO27" s="26">
        <f t="shared" si="22"/>
        <v>1254231</v>
      </c>
      <c r="AP27" s="26">
        <f t="shared" si="22"/>
        <v>0</v>
      </c>
      <c r="AQ27" s="26">
        <f t="shared" si="22"/>
        <v>0</v>
      </c>
      <c r="AR27" s="26">
        <f t="shared" si="22"/>
        <v>0</v>
      </c>
      <c r="AS27" s="26">
        <f t="shared" si="22"/>
        <v>0</v>
      </c>
      <c r="AT27" s="26">
        <f t="shared" si="22"/>
        <v>3145948.9100000262</v>
      </c>
      <c r="AU27" s="26">
        <f t="shared" si="22"/>
        <v>3221938.3999999762</v>
      </c>
      <c r="AV27" s="26">
        <f t="shared" si="22"/>
        <v>0</v>
      </c>
      <c r="AW27" s="26">
        <f t="shared" si="22"/>
        <v>106002085.7</v>
      </c>
      <c r="AX27" s="26">
        <f t="shared" si="22"/>
        <v>78146813.989999995</v>
      </c>
      <c r="AY27" s="26">
        <f t="shared" si="22"/>
        <v>31508275.550000001</v>
      </c>
      <c r="AZ27" s="26">
        <f t="shared" si="22"/>
        <v>6818330.1399999997</v>
      </c>
      <c r="BA27" s="26">
        <f t="shared" si="22"/>
        <v>-52414533.450000003</v>
      </c>
      <c r="BB27" s="26">
        <f t="shared" si="22"/>
        <v>-47415743.689999998</v>
      </c>
      <c r="BC27" s="26">
        <f t="shared" si="22"/>
        <v>-4476487.08</v>
      </c>
      <c r="BD27" s="26">
        <f t="shared" si="22"/>
        <v>13731417.210000001</v>
      </c>
      <c r="BE27" s="26">
        <f t="shared" si="22"/>
        <v>74080792.579999998</v>
      </c>
      <c r="BF27" s="26">
        <f t="shared" si="22"/>
        <v>53634658.140000001</v>
      </c>
      <c r="BG27" s="26">
        <f t="shared" si="22"/>
        <v>44718368.039999999</v>
      </c>
      <c r="BH27" s="26">
        <f t="shared" si="22"/>
        <v>13012623.23</v>
      </c>
      <c r="BI27" s="26">
        <f t="shared" si="22"/>
        <v>129351232.81999999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c r="A28" s="17" t="s">
        <v>411</v>
      </c>
      <c r="B28" s="26">
        <f>SUM(B22:B25)*B41</f>
        <v>43609.575077330774</v>
      </c>
      <c r="C28" s="26">
        <f t="shared" ref="C28:BN28" si="24">SUM(C22:C25)*C41</f>
        <v>21559.276960873347</v>
      </c>
      <c r="D28" s="26">
        <f t="shared" si="24"/>
        <v>23174.043054168957</v>
      </c>
      <c r="E28" s="26">
        <f t="shared" si="24"/>
        <v>2417286.8004123243</v>
      </c>
      <c r="F28" s="26">
        <f t="shared" si="24"/>
        <v>47101.282789280871</v>
      </c>
      <c r="G28" s="26">
        <f t="shared" si="24"/>
        <v>48274.460315609438</v>
      </c>
      <c r="H28" s="26">
        <f t="shared" si="24"/>
        <v>29416.944623254512</v>
      </c>
      <c r="I28" s="26">
        <f t="shared" si="24"/>
        <v>1861107.1783721186</v>
      </c>
      <c r="J28" s="26">
        <f t="shared" si="24"/>
        <v>123161.15587465136</v>
      </c>
      <c r="K28" s="26">
        <f t="shared" si="24"/>
        <v>76907.481800439971</v>
      </c>
      <c r="L28" s="26">
        <f t="shared" si="24"/>
        <v>48420.287033684188</v>
      </c>
      <c r="M28" s="26">
        <f t="shared" si="24"/>
        <v>1002967.4392049038</v>
      </c>
      <c r="N28" s="26">
        <f t="shared" si="24"/>
        <v>13688.065968719395</v>
      </c>
      <c r="O28" s="26">
        <f t="shared" si="24"/>
        <v>0</v>
      </c>
      <c r="P28" s="26">
        <f t="shared" si="24"/>
        <v>0</v>
      </c>
      <c r="Q28" s="26">
        <f t="shared" si="24"/>
        <v>41127.323530742447</v>
      </c>
      <c r="R28" s="26">
        <f t="shared" si="24"/>
        <v>0</v>
      </c>
      <c r="S28" s="26">
        <f t="shared" si="24"/>
        <v>0</v>
      </c>
      <c r="T28" s="26">
        <f t="shared" si="24"/>
        <v>0</v>
      </c>
      <c r="U28" s="26">
        <f t="shared" si="24"/>
        <v>0</v>
      </c>
      <c r="V28" s="26">
        <f t="shared" si="24"/>
        <v>0</v>
      </c>
      <c r="W28" s="26">
        <f t="shared" si="24"/>
        <v>0</v>
      </c>
      <c r="X28" s="26" t="e">
        <f t="shared" si="24"/>
        <v>#DIV/0!</v>
      </c>
      <c r="Y28" s="26">
        <f t="shared" si="24"/>
        <v>6547677.839681793</v>
      </c>
      <c r="Z28" s="26">
        <f t="shared" si="24"/>
        <v>0</v>
      </c>
      <c r="AA28" s="26">
        <f t="shared" si="24"/>
        <v>0</v>
      </c>
      <c r="AB28" s="26">
        <f t="shared" si="24"/>
        <v>0</v>
      </c>
      <c r="AC28" s="26">
        <f t="shared" si="24"/>
        <v>196148351.3446002</v>
      </c>
      <c r="AD28" s="26">
        <f t="shared" si="24"/>
        <v>0</v>
      </c>
      <c r="AE28" s="26">
        <f t="shared" si="24"/>
        <v>0</v>
      </c>
      <c r="AF28" s="26">
        <f t="shared" si="24"/>
        <v>0</v>
      </c>
      <c r="AG28" s="26">
        <f t="shared" si="24"/>
        <v>-2445456.6497014533</v>
      </c>
      <c r="AH28" s="26">
        <f t="shared" si="24"/>
        <v>0</v>
      </c>
      <c r="AI28" s="26">
        <f t="shared" si="24"/>
        <v>0</v>
      </c>
      <c r="AJ28" s="26">
        <f t="shared" si="24"/>
        <v>0</v>
      </c>
      <c r="AK28" s="26">
        <f t="shared" si="24"/>
        <v>-6848796.1809116183</v>
      </c>
      <c r="AL28" s="26">
        <f t="shared" si="24"/>
        <v>-1355677.4671779533</v>
      </c>
      <c r="AM28" s="26">
        <f t="shared" si="24"/>
        <v>0</v>
      </c>
      <c r="AN28" s="26">
        <f t="shared" si="24"/>
        <v>-1209962.3525476858</v>
      </c>
      <c r="AO28" s="26">
        <f t="shared" si="24"/>
        <v>0</v>
      </c>
      <c r="AP28" s="26">
        <f t="shared" si="24"/>
        <v>0</v>
      </c>
      <c r="AQ28" s="26">
        <f t="shared" si="24"/>
        <v>0</v>
      </c>
      <c r="AR28" s="26">
        <f t="shared" si="24"/>
        <v>0</v>
      </c>
      <c r="AS28" s="26" t="e">
        <f t="shared" si="24"/>
        <v>#DIV/0!</v>
      </c>
      <c r="AT28" s="26">
        <f t="shared" si="24"/>
        <v>16149089.591632087</v>
      </c>
      <c r="AU28" s="26">
        <f t="shared" si="24"/>
        <v>23495797.035097752</v>
      </c>
      <c r="AV28" s="26">
        <f t="shared" si="24"/>
        <v>0</v>
      </c>
      <c r="AW28" s="26">
        <f t="shared" si="24"/>
        <v>92412711.069157049</v>
      </c>
      <c r="AX28" s="26">
        <f t="shared" si="24"/>
        <v>58178002.990733735</v>
      </c>
      <c r="AY28" s="26">
        <f t="shared" si="24"/>
        <v>32931374.755832076</v>
      </c>
      <c r="AZ28" s="26">
        <f t="shared" si="24"/>
        <v>14012926.767596914</v>
      </c>
      <c r="BA28" s="26">
        <f t="shared" si="24"/>
        <v>129141533.77954903</v>
      </c>
      <c r="BB28" s="26">
        <f t="shared" si="24"/>
        <v>95662406.856678739</v>
      </c>
      <c r="BC28" s="26">
        <f t="shared" si="24"/>
        <v>126322875.63280822</v>
      </c>
      <c r="BD28" s="26">
        <f t="shared" si="24"/>
        <v>22912140.845426366</v>
      </c>
      <c r="BE28" s="26">
        <f t="shared" si="24"/>
        <v>113244217.68763751</v>
      </c>
      <c r="BF28" s="26">
        <f t="shared" si="24"/>
        <v>82645578.151306331</v>
      </c>
      <c r="BG28" s="26">
        <f t="shared" si="24"/>
        <v>61803227.377268419</v>
      </c>
      <c r="BH28" s="26">
        <f t="shared" si="24"/>
        <v>27614065.147478968</v>
      </c>
      <c r="BI28" s="26">
        <f t="shared" si="24"/>
        <v>167253724.58140779</v>
      </c>
      <c r="BJ28" s="26">
        <f t="shared" si="24"/>
        <v>122594405.07585235</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412</v>
      </c>
      <c r="B29" s="28">
        <f>B27-B28</f>
        <v>330095.02492266922</v>
      </c>
      <c r="C29" s="28">
        <f t="shared" ref="C29:BN29" si="26">C27-C28</f>
        <v>126678.61303912666</v>
      </c>
      <c r="D29" s="28">
        <f t="shared" si="26"/>
        <v>131578.84694583106</v>
      </c>
      <c r="E29" s="28">
        <f t="shared" si="26"/>
        <v>12273709.809587676</v>
      </c>
      <c r="F29" s="28">
        <f t="shared" si="26"/>
        <v>226704.0572107191</v>
      </c>
      <c r="G29" s="28">
        <f t="shared" si="26"/>
        <v>217486.87968439053</v>
      </c>
      <c r="H29" s="28">
        <f t="shared" si="26"/>
        <v>138969.87537674551</v>
      </c>
      <c r="I29" s="28">
        <f t="shared" si="26"/>
        <v>10927341.591627881</v>
      </c>
      <c r="J29" s="28">
        <f t="shared" si="26"/>
        <v>756882.67412534857</v>
      </c>
      <c r="K29" s="28">
        <f t="shared" si="26"/>
        <v>496766.48819955997</v>
      </c>
      <c r="L29" s="28">
        <f t="shared" si="26"/>
        <v>288337.25296631578</v>
      </c>
      <c r="M29" s="28">
        <f t="shared" si="26"/>
        <v>5817158.6207950953</v>
      </c>
      <c r="N29" s="28">
        <f t="shared" si="26"/>
        <v>77599.6040312806</v>
      </c>
      <c r="O29" s="28">
        <f t="shared" si="26"/>
        <v>0</v>
      </c>
      <c r="P29" s="28">
        <f t="shared" si="26"/>
        <v>0</v>
      </c>
      <c r="Q29" s="28">
        <f t="shared" si="26"/>
        <v>235780.46646925755</v>
      </c>
      <c r="R29" s="28">
        <f t="shared" si="26"/>
        <v>0</v>
      </c>
      <c r="S29" s="28">
        <f t="shared" si="26"/>
        <v>0</v>
      </c>
      <c r="T29" s="28">
        <f t="shared" si="26"/>
        <v>0</v>
      </c>
      <c r="U29" s="28">
        <f t="shared" si="26"/>
        <v>0</v>
      </c>
      <c r="V29" s="28">
        <f t="shared" si="26"/>
        <v>0</v>
      </c>
      <c r="W29" s="28">
        <f t="shared" si="26"/>
        <v>0</v>
      </c>
      <c r="X29" s="28" t="e">
        <f t="shared" si="26"/>
        <v>#DIV/0!</v>
      </c>
      <c r="Y29" s="28">
        <f t="shared" si="26"/>
        <v>-5447326.9096817933</v>
      </c>
      <c r="Z29" s="28">
        <f t="shared" si="26"/>
        <v>0</v>
      </c>
      <c r="AA29" s="28">
        <f t="shared" si="26"/>
        <v>0</v>
      </c>
      <c r="AB29" s="28">
        <f t="shared" si="26"/>
        <v>0</v>
      </c>
      <c r="AC29" s="28">
        <f t="shared" si="26"/>
        <v>-162670081.55460021</v>
      </c>
      <c r="AD29" s="28">
        <f t="shared" si="26"/>
        <v>0</v>
      </c>
      <c r="AE29" s="28">
        <f t="shared" si="26"/>
        <v>0</v>
      </c>
      <c r="AF29" s="28">
        <f t="shared" si="26"/>
        <v>0</v>
      </c>
      <c r="AG29" s="28">
        <f t="shared" si="26"/>
        <v>3517588.139701453</v>
      </c>
      <c r="AH29" s="28">
        <f t="shared" si="26"/>
        <v>0</v>
      </c>
      <c r="AI29" s="28">
        <f t="shared" si="26"/>
        <v>0</v>
      </c>
      <c r="AJ29" s="28">
        <f t="shared" si="26"/>
        <v>0</v>
      </c>
      <c r="AK29" s="28">
        <f t="shared" si="26"/>
        <v>10880782.670911618</v>
      </c>
      <c r="AL29" s="28">
        <f t="shared" si="26"/>
        <v>2022116.3171779532</v>
      </c>
      <c r="AM29" s="28">
        <f t="shared" si="26"/>
        <v>0</v>
      </c>
      <c r="AN29" s="28">
        <f t="shared" si="26"/>
        <v>2197686.0725476858</v>
      </c>
      <c r="AO29" s="28">
        <f t="shared" si="26"/>
        <v>1254231</v>
      </c>
      <c r="AP29" s="28">
        <f t="shared" si="26"/>
        <v>0</v>
      </c>
      <c r="AQ29" s="28">
        <f t="shared" si="26"/>
        <v>0</v>
      </c>
      <c r="AR29" s="28">
        <f t="shared" si="26"/>
        <v>0</v>
      </c>
      <c r="AS29" s="28" t="e">
        <f t="shared" si="26"/>
        <v>#DIV/0!</v>
      </c>
      <c r="AT29" s="28">
        <f t="shared" si="26"/>
        <v>-13003140.681632061</v>
      </c>
      <c r="AU29" s="28">
        <f t="shared" si="26"/>
        <v>-20273858.635097776</v>
      </c>
      <c r="AV29" s="28">
        <f t="shared" si="26"/>
        <v>0</v>
      </c>
      <c r="AW29" s="28">
        <f t="shared" si="26"/>
        <v>13589374.630842954</v>
      </c>
      <c r="AX29" s="28">
        <f t="shared" si="26"/>
        <v>19968810.999266259</v>
      </c>
      <c r="AY29" s="28">
        <f t="shared" si="26"/>
        <v>-1423099.2058320753</v>
      </c>
      <c r="AZ29" s="28">
        <f t="shared" si="26"/>
        <v>-7194596.6275969138</v>
      </c>
      <c r="BA29" s="28">
        <f t="shared" si="26"/>
        <v>-181556067.22954905</v>
      </c>
      <c r="BB29" s="28">
        <f t="shared" si="26"/>
        <v>-143078150.54667872</v>
      </c>
      <c r="BC29" s="28">
        <f t="shared" si="26"/>
        <v>-130799362.71280822</v>
      </c>
      <c r="BD29" s="28">
        <f t="shared" si="26"/>
        <v>-9180723.6354263648</v>
      </c>
      <c r="BE29" s="28">
        <f t="shared" si="26"/>
        <v>-39163425.10763751</v>
      </c>
      <c r="BF29" s="28">
        <f t="shared" si="26"/>
        <v>-29010920.011306331</v>
      </c>
      <c r="BG29" s="28">
        <f t="shared" si="26"/>
        <v>-17084859.33726842</v>
      </c>
      <c r="BH29" s="28">
        <f t="shared" si="26"/>
        <v>-14601441.917478967</v>
      </c>
      <c r="BI29" s="28">
        <f t="shared" si="26"/>
        <v>-37902491.761407793</v>
      </c>
      <c r="BJ29" s="28">
        <f t="shared" si="26"/>
        <v>3637143.7941476554</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413</v>
      </c>
      <c r="B31" s="26">
        <f>B15+B20+B27</f>
        <v>158804664.94</v>
      </c>
      <c r="C31" s="26">
        <f t="shared" ref="C31:BN31" si="28">C15+C20+C27</f>
        <v>78776844.109999985</v>
      </c>
      <c r="D31" s="26">
        <f t="shared" si="28"/>
        <v>32798964.269999996</v>
      </c>
      <c r="E31" s="26">
        <f t="shared" si="28"/>
        <v>151408566.22000003</v>
      </c>
      <c r="F31" s="26">
        <f t="shared" si="28"/>
        <v>92642013.040000007</v>
      </c>
      <c r="G31" s="26">
        <f t="shared" si="28"/>
        <v>52749207.039999992</v>
      </c>
      <c r="H31" s="26">
        <f t="shared" si="28"/>
        <v>22007179.780000001</v>
      </c>
      <c r="I31" s="26">
        <f t="shared" si="28"/>
        <v>114820702.76000001</v>
      </c>
      <c r="J31" s="26">
        <f t="shared" si="28"/>
        <v>61687582.169999994</v>
      </c>
      <c r="K31" s="26">
        <f t="shared" si="28"/>
        <v>36931424.589999996</v>
      </c>
      <c r="L31" s="26">
        <f t="shared" si="28"/>
        <v>16795390.150000006</v>
      </c>
      <c r="M31" s="26">
        <f t="shared" si="28"/>
        <v>96727310.720000014</v>
      </c>
      <c r="N31" s="26">
        <f t="shared" si="28"/>
        <v>60204908.589999996</v>
      </c>
      <c r="O31" s="26">
        <f t="shared" si="28"/>
        <v>38787304.500000015</v>
      </c>
      <c r="P31" s="26">
        <f t="shared" si="28"/>
        <v>19917197.230000008</v>
      </c>
      <c r="Q31" s="26">
        <f t="shared" si="28"/>
        <v>105766686.28999999</v>
      </c>
      <c r="R31" s="26">
        <f t="shared" si="28"/>
        <v>75127154.260000005</v>
      </c>
      <c r="S31" s="26">
        <f t="shared" si="28"/>
        <v>47432992.980000004</v>
      </c>
      <c r="T31" s="26">
        <f t="shared" si="28"/>
        <v>23640304.310000002</v>
      </c>
      <c r="U31" s="26">
        <f t="shared" si="28"/>
        <v>96114049.940000013</v>
      </c>
      <c r="V31" s="26">
        <f t="shared" si="28"/>
        <v>87876240.480000034</v>
      </c>
      <c r="W31" s="26">
        <f t="shared" si="28"/>
        <v>57166647.420000002</v>
      </c>
      <c r="X31" s="26">
        <f t="shared" si="28"/>
        <v>0</v>
      </c>
      <c r="Y31" s="26">
        <f t="shared" si="28"/>
        <v>1100350.93</v>
      </c>
      <c r="Z31" s="26">
        <f t="shared" si="28"/>
        <v>0</v>
      </c>
      <c r="AA31" s="26">
        <f t="shared" si="28"/>
        <v>0</v>
      </c>
      <c r="AB31" s="26">
        <f t="shared" si="28"/>
        <v>0</v>
      </c>
      <c r="AC31" s="26">
        <f t="shared" si="28"/>
        <v>33146839.009999998</v>
      </c>
      <c r="AD31" s="26">
        <f t="shared" si="28"/>
        <v>0</v>
      </c>
      <c r="AE31" s="26">
        <f t="shared" si="28"/>
        <v>0</v>
      </c>
      <c r="AF31" s="26">
        <f t="shared" si="28"/>
        <v>0</v>
      </c>
      <c r="AG31" s="26">
        <f t="shared" si="28"/>
        <v>1005163.51</v>
      </c>
      <c r="AH31" s="26">
        <f t="shared" si="28"/>
        <v>0</v>
      </c>
      <c r="AI31" s="26">
        <f t="shared" si="28"/>
        <v>0</v>
      </c>
      <c r="AJ31" s="26">
        <f t="shared" si="28"/>
        <v>0</v>
      </c>
      <c r="AK31" s="26">
        <f t="shared" si="28"/>
        <v>3681496.85</v>
      </c>
      <c r="AL31" s="26">
        <f t="shared" si="28"/>
        <v>666438.85</v>
      </c>
      <c r="AM31" s="26">
        <f t="shared" si="28"/>
        <v>0</v>
      </c>
      <c r="AN31" s="26">
        <f t="shared" si="28"/>
        <v>987723.72</v>
      </c>
      <c r="AO31" s="26">
        <f t="shared" si="28"/>
        <v>968056.99</v>
      </c>
      <c r="AP31" s="26">
        <f t="shared" si="28"/>
        <v>0</v>
      </c>
      <c r="AQ31" s="26">
        <f t="shared" si="28"/>
        <v>0</v>
      </c>
      <c r="AR31" s="26">
        <f t="shared" si="28"/>
        <v>0</v>
      </c>
      <c r="AS31" s="26">
        <f t="shared" si="28"/>
        <v>0</v>
      </c>
      <c r="AT31" s="26">
        <f t="shared" si="28"/>
        <v>3145948.9100000262</v>
      </c>
      <c r="AU31" s="26">
        <f t="shared" si="28"/>
        <v>3221938.3999999762</v>
      </c>
      <c r="AV31" s="26">
        <f t="shared" si="28"/>
        <v>0</v>
      </c>
      <c r="AW31" s="26">
        <f t="shared" si="28"/>
        <v>106002085.7</v>
      </c>
      <c r="AX31" s="26">
        <f t="shared" si="28"/>
        <v>78146813.989999995</v>
      </c>
      <c r="AY31" s="26">
        <f t="shared" si="28"/>
        <v>31508275.550000001</v>
      </c>
      <c r="AZ31" s="26">
        <f t="shared" si="28"/>
        <v>6818330.1399999997</v>
      </c>
      <c r="BA31" s="26">
        <f t="shared" si="28"/>
        <v>-52414533.450000003</v>
      </c>
      <c r="BB31" s="26">
        <f t="shared" si="28"/>
        <v>-47415743.689999998</v>
      </c>
      <c r="BC31" s="26">
        <f t="shared" si="28"/>
        <v>-4476487.08</v>
      </c>
      <c r="BD31" s="26">
        <f t="shared" si="28"/>
        <v>13731417.210000001</v>
      </c>
      <c r="BE31" s="26">
        <f t="shared" si="28"/>
        <v>74080792.579999998</v>
      </c>
      <c r="BF31" s="26">
        <f t="shared" si="28"/>
        <v>53634658.140000001</v>
      </c>
      <c r="BG31" s="26">
        <f t="shared" si="28"/>
        <v>44718368.039999999</v>
      </c>
      <c r="BH31" s="26">
        <f t="shared" si="28"/>
        <v>13012623.23</v>
      </c>
      <c r="BI31" s="26">
        <f t="shared" si="28"/>
        <v>129351232.81999999</v>
      </c>
      <c r="BJ31" s="26">
        <f t="shared" si="28"/>
        <v>126231548.87</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c r="A32" s="57" t="s">
        <v>414</v>
      </c>
      <c r="B32" s="57">
        <f>B31/B4*100</f>
        <v>31.061106883926222</v>
      </c>
      <c r="C32" s="57">
        <f t="shared" ref="C32:D32" si="30">C31/C4*100</f>
        <v>25.567321086134314</v>
      </c>
      <c r="D32" s="57">
        <f t="shared" si="30"/>
        <v>24.207424978618807</v>
      </c>
      <c r="E32" s="57">
        <f>E31/E4</f>
        <v>0.30533466562382838</v>
      </c>
      <c r="F32" s="57">
        <f t="shared" ref="F32:BQ32" si="31">F31/F4</f>
        <v>0.26205214887406891</v>
      </c>
      <c r="G32" s="57">
        <f t="shared" si="31"/>
        <v>0.24351507675988629</v>
      </c>
      <c r="H32" s="57">
        <f t="shared" si="31"/>
        <v>0.22702209927927305</v>
      </c>
      <c r="I32" s="57">
        <f t="shared" si="31"/>
        <v>0.34371234846149978</v>
      </c>
      <c r="J32" s="57">
        <f t="shared" si="31"/>
        <v>0.24683710078731536</v>
      </c>
      <c r="K32" s="57">
        <f t="shared" si="31"/>
        <v>0.22378669295366435</v>
      </c>
      <c r="L32" s="57">
        <f t="shared" si="31"/>
        <v>0.20872934028686327</v>
      </c>
      <c r="M32" s="57">
        <f t="shared" si="31"/>
        <v>0.29893692397660054</v>
      </c>
      <c r="N32" s="57">
        <f t="shared" si="31"/>
        <v>0.242050005870794</v>
      </c>
      <c r="O32" s="57">
        <f t="shared" si="31"/>
        <v>0.23952173952062278</v>
      </c>
      <c r="P32" s="57">
        <f t="shared" si="31"/>
        <v>0.2387373984935616</v>
      </c>
      <c r="Q32" s="57">
        <f t="shared" si="31"/>
        <v>0.29627862880871741</v>
      </c>
      <c r="R32" s="57">
        <f t="shared" si="31"/>
        <v>0.28259675753655578</v>
      </c>
      <c r="S32" s="57">
        <f t="shared" si="31"/>
        <v>0.28189328450730228</v>
      </c>
      <c r="T32" s="57">
        <f t="shared" si="31"/>
        <v>0.28521414727322764</v>
      </c>
      <c r="U32" s="57">
        <f t="shared" si="31"/>
        <v>0.28879445333066472</v>
      </c>
      <c r="V32" s="57">
        <f t="shared" si="31"/>
        <v>0.28433344604891919</v>
      </c>
      <c r="W32" s="57">
        <f t="shared" si="31"/>
        <v>0.23844751361267105</v>
      </c>
      <c r="X32" s="57" t="e">
        <f t="shared" si="31"/>
        <v>#DIV/0!</v>
      </c>
      <c r="Y32" s="57" t="e">
        <f t="shared" si="31"/>
        <v>#DIV/0!</v>
      </c>
      <c r="Z32" s="57" t="e">
        <f t="shared" si="31"/>
        <v>#DIV/0!</v>
      </c>
      <c r="AA32" s="57" t="e">
        <f t="shared" si="31"/>
        <v>#DIV/0!</v>
      </c>
      <c r="AB32" s="57" t="e">
        <f t="shared" si="31"/>
        <v>#DIV/0!</v>
      </c>
      <c r="AC32" s="57" t="e">
        <f t="shared" si="31"/>
        <v>#DIV/0!</v>
      </c>
      <c r="AD32" s="57" t="e">
        <f t="shared" si="31"/>
        <v>#DIV/0!</v>
      </c>
      <c r="AE32" s="57" t="e">
        <f t="shared" si="31"/>
        <v>#DIV/0!</v>
      </c>
      <c r="AF32" s="57" t="e">
        <f t="shared" si="31"/>
        <v>#DIV/0!</v>
      </c>
      <c r="AG32" s="57" t="e">
        <f t="shared" si="31"/>
        <v>#DIV/0!</v>
      </c>
      <c r="AH32" s="57" t="e">
        <f t="shared" si="31"/>
        <v>#DIV/0!</v>
      </c>
      <c r="AI32" s="57" t="e">
        <f t="shared" si="31"/>
        <v>#DIV/0!</v>
      </c>
      <c r="AJ32" s="57" t="e">
        <f t="shared" si="31"/>
        <v>#DIV/0!</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415</v>
      </c>
      <c r="B33" s="26">
        <f>B17+B20+B29</f>
        <v>140272904.93937039</v>
      </c>
      <c r="C33" s="26">
        <f t="shared" ref="C33:BN33" si="33">C17+C20+C29</f>
        <v>67319774.663915485</v>
      </c>
      <c r="D33" s="26">
        <f t="shared" si="33"/>
        <v>27887362.230612367</v>
      </c>
      <c r="E33" s="26">
        <f t="shared" si="33"/>
        <v>126495489.29887196</v>
      </c>
      <c r="F33" s="26">
        <f t="shared" si="33"/>
        <v>76705298.093661532</v>
      </c>
      <c r="G33" s="26">
        <f t="shared" si="33"/>
        <v>43167529.351543322</v>
      </c>
      <c r="H33" s="26">
        <f t="shared" si="33"/>
        <v>18162555.902060702</v>
      </c>
      <c r="I33" s="26">
        <f t="shared" si="33"/>
        <v>98110807.91851899</v>
      </c>
      <c r="J33" s="26">
        <f t="shared" si="33"/>
        <v>53054473.608611941</v>
      </c>
      <c r="K33" s="26">
        <f t="shared" si="33"/>
        <v>31980349.566463992</v>
      </c>
      <c r="L33" s="26">
        <f t="shared" si="33"/>
        <v>14380484.720100166</v>
      </c>
      <c r="M33" s="26">
        <f t="shared" si="33"/>
        <v>82502596.648656964</v>
      </c>
      <c r="N33" s="26">
        <f t="shared" si="33"/>
        <v>51177525.588323638</v>
      </c>
      <c r="O33" s="26">
        <f t="shared" si="33"/>
        <v>33540994.660019137</v>
      </c>
      <c r="P33" s="26">
        <f t="shared" si="33"/>
        <v>16621984.485637883</v>
      </c>
      <c r="Q33" s="26">
        <f t="shared" si="33"/>
        <v>90057844.275034025</v>
      </c>
      <c r="R33" s="26">
        <f t="shared" si="33"/>
        <v>64145615.643796824</v>
      </c>
      <c r="S33" s="26">
        <f t="shared" si="33"/>
        <v>40331996.395532407</v>
      </c>
      <c r="T33" s="26">
        <f t="shared" si="33"/>
        <v>20362091.205377877</v>
      </c>
      <c r="U33" s="26">
        <f t="shared" si="33"/>
        <v>81822360.152254298</v>
      </c>
      <c r="V33" s="26">
        <f t="shared" si="33"/>
        <v>74927934.110450357</v>
      </c>
      <c r="W33" s="26">
        <f t="shared" si="33"/>
        <v>48988901.228711925</v>
      </c>
      <c r="X33" s="26" t="e">
        <f t="shared" si="33"/>
        <v>#DIV/0!</v>
      </c>
      <c r="Y33" s="26">
        <f t="shared" si="33"/>
        <v>-5447326.9096817933</v>
      </c>
      <c r="Z33" s="26">
        <f t="shared" si="33"/>
        <v>0</v>
      </c>
      <c r="AA33" s="26">
        <f t="shared" si="33"/>
        <v>0</v>
      </c>
      <c r="AB33" s="26">
        <f t="shared" si="33"/>
        <v>0</v>
      </c>
      <c r="AC33" s="26">
        <f t="shared" si="33"/>
        <v>-161059667.62489322</v>
      </c>
      <c r="AD33" s="26">
        <f t="shared" si="33"/>
        <v>0</v>
      </c>
      <c r="AE33" s="26">
        <f t="shared" si="33"/>
        <v>0</v>
      </c>
      <c r="AF33" s="26">
        <f t="shared" si="33"/>
        <v>0</v>
      </c>
      <c r="AG33" s="26">
        <f t="shared" si="33"/>
        <v>3297870.8994329446</v>
      </c>
      <c r="AH33" s="26">
        <f t="shared" si="33"/>
        <v>0</v>
      </c>
      <c r="AI33" s="26">
        <f t="shared" si="33"/>
        <v>0</v>
      </c>
      <c r="AJ33" s="26">
        <f t="shared" si="33"/>
        <v>0</v>
      </c>
      <c r="AK33" s="26">
        <f t="shared" si="33"/>
        <v>9934945.7712334022</v>
      </c>
      <c r="AL33" s="26">
        <f t="shared" si="33"/>
        <v>2022116.3171779532</v>
      </c>
      <c r="AM33" s="26">
        <f t="shared" si="33"/>
        <v>0</v>
      </c>
      <c r="AN33" s="26">
        <f t="shared" si="33"/>
        <v>2197686.0725476858</v>
      </c>
      <c r="AO33" s="26">
        <f t="shared" si="33"/>
        <v>968056.99</v>
      </c>
      <c r="AP33" s="26">
        <f t="shared" si="33"/>
        <v>0</v>
      </c>
      <c r="AQ33" s="26">
        <f t="shared" si="33"/>
        <v>0</v>
      </c>
      <c r="AR33" s="26">
        <f t="shared" si="33"/>
        <v>0</v>
      </c>
      <c r="AS33" s="26" t="e">
        <f t="shared" si="33"/>
        <v>#DIV/0!</v>
      </c>
      <c r="AT33" s="26">
        <f t="shared" si="33"/>
        <v>-13003140.681632061</v>
      </c>
      <c r="AU33" s="26">
        <f t="shared" si="33"/>
        <v>-20273858.635097776</v>
      </c>
      <c r="AV33" s="26">
        <f t="shared" si="33"/>
        <v>0</v>
      </c>
      <c r="AW33" s="26">
        <f t="shared" si="33"/>
        <v>13589374.630842954</v>
      </c>
      <c r="AX33" s="26">
        <f t="shared" si="33"/>
        <v>19968810.999266259</v>
      </c>
      <c r="AY33" s="26">
        <f t="shared" si="33"/>
        <v>-1423099.2058320753</v>
      </c>
      <c r="AZ33" s="26">
        <f t="shared" si="33"/>
        <v>-7194596.6275969138</v>
      </c>
      <c r="BA33" s="26">
        <f t="shared" si="33"/>
        <v>-181556067.22954905</v>
      </c>
      <c r="BB33" s="26">
        <f t="shared" si="33"/>
        <v>-143078150.54667872</v>
      </c>
      <c r="BC33" s="26">
        <f t="shared" si="33"/>
        <v>-130799362.71280822</v>
      </c>
      <c r="BD33" s="26">
        <f t="shared" si="33"/>
        <v>-9180723.6354263648</v>
      </c>
      <c r="BE33" s="26">
        <f t="shared" si="33"/>
        <v>-39163425.10763751</v>
      </c>
      <c r="BF33" s="26">
        <f t="shared" si="33"/>
        <v>-29010920.011306331</v>
      </c>
      <c r="BG33" s="26">
        <f t="shared" si="33"/>
        <v>-17084859.33726842</v>
      </c>
      <c r="BH33" s="26">
        <f t="shared" si="33"/>
        <v>-14601441.917478967</v>
      </c>
      <c r="BI33" s="26">
        <f t="shared" si="33"/>
        <v>-37902491.761407793</v>
      </c>
      <c r="BJ33" s="26">
        <f t="shared" si="33"/>
        <v>3637143.7941476554</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416</v>
      </c>
      <c r="B34" s="57">
        <f>B33/B4*100</f>
        <v>27.436421309706432</v>
      </c>
      <c r="C34" s="57">
        <f t="shared" ref="C34:D34" si="35">C33/C4*100</f>
        <v>21.848886100021474</v>
      </c>
      <c r="D34" s="57">
        <f t="shared" si="35"/>
        <v>20.582394721121986</v>
      </c>
      <c r="E34" s="57">
        <f>E33/E4</f>
        <v>0.25509427169314108</v>
      </c>
      <c r="F34" s="57">
        <f t="shared" ref="F34:BQ34" si="36">F33/F4</f>
        <v>0.2169727053188181</v>
      </c>
      <c r="G34" s="57">
        <f t="shared" si="36"/>
        <v>0.19928155916361842</v>
      </c>
      <c r="H34" s="57">
        <f t="shared" si="36"/>
        <v>0.18736165244172742</v>
      </c>
      <c r="I34" s="57">
        <f t="shared" si="36"/>
        <v>0.29369177673137303</v>
      </c>
      <c r="J34" s="57">
        <f t="shared" si="36"/>
        <v>0.21229252288178813</v>
      </c>
      <c r="K34" s="57">
        <f t="shared" si="36"/>
        <v>0.19378555656688604</v>
      </c>
      <c r="L34" s="57">
        <f t="shared" si="36"/>
        <v>0.17871743745302779</v>
      </c>
      <c r="M34" s="57">
        <f t="shared" si="36"/>
        <v>0.25497527305007761</v>
      </c>
      <c r="N34" s="57">
        <f t="shared" si="36"/>
        <v>0.20575598666657569</v>
      </c>
      <c r="O34" s="57">
        <f t="shared" si="36"/>
        <v>0.20712440551829789</v>
      </c>
      <c r="P34" s="57">
        <f t="shared" si="36"/>
        <v>0.19923934517876579</v>
      </c>
      <c r="Q34" s="57">
        <f t="shared" si="36"/>
        <v>0.25227427984381151</v>
      </c>
      <c r="R34" s="57">
        <f t="shared" si="36"/>
        <v>0.24128882785028771</v>
      </c>
      <c r="S34" s="57">
        <f t="shared" si="36"/>
        <v>0.23969221042971398</v>
      </c>
      <c r="T34" s="57">
        <f t="shared" si="36"/>
        <v>0.24566335541564518</v>
      </c>
      <c r="U34" s="57">
        <f t="shared" si="36"/>
        <v>0.24585212864452355</v>
      </c>
      <c r="V34" s="57">
        <f t="shared" si="36"/>
        <v>0.24243774647823554</v>
      </c>
      <c r="W34" s="57">
        <f t="shared" si="36"/>
        <v>0.20433735787899882</v>
      </c>
      <c r="X34" s="57" t="e">
        <f t="shared" si="36"/>
        <v>#DIV/0!</v>
      </c>
      <c r="Y34" s="57" t="e">
        <f t="shared" si="36"/>
        <v>#DIV/0!</v>
      </c>
      <c r="Z34" s="57" t="e">
        <f t="shared" si="36"/>
        <v>#DIV/0!</v>
      </c>
      <c r="AA34" s="57" t="e">
        <f t="shared" si="36"/>
        <v>#DIV/0!</v>
      </c>
      <c r="AB34" s="57" t="e">
        <f t="shared" si="36"/>
        <v>#DIV/0!</v>
      </c>
      <c r="AC34" s="57" t="e">
        <f t="shared" si="36"/>
        <v>#DIV/0!</v>
      </c>
      <c r="AD34" s="57" t="e">
        <f t="shared" si="36"/>
        <v>#DIV/0!</v>
      </c>
      <c r="AE34" s="57" t="e">
        <f t="shared" si="36"/>
        <v>#DIV/0!</v>
      </c>
      <c r="AF34" s="57" t="e">
        <f t="shared" si="36"/>
        <v>#DIV/0!</v>
      </c>
      <c r="AG34" s="57" t="e">
        <f t="shared" si="36"/>
        <v>#DIV/0!</v>
      </c>
      <c r="AH34" s="57" t="e">
        <f t="shared" si="36"/>
        <v>#DIV/0!</v>
      </c>
      <c r="AI34" s="57" t="e">
        <f t="shared" si="36"/>
        <v>#DIV/0!</v>
      </c>
      <c r="AJ34" s="57" t="e">
        <f t="shared" si="36"/>
        <v>#DIV/0!</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417</v>
      </c>
      <c r="B35" s="26">
        <f>B23+B68</f>
        <v>-7519584.04</v>
      </c>
      <c r="C35" s="26">
        <f t="shared" ref="C35:BN35" si="38">C23+C68</f>
        <v>-6561620.3799999999</v>
      </c>
      <c r="D35" s="26">
        <f t="shared" si="38"/>
        <v>-2624266.5099999998</v>
      </c>
      <c r="E35" s="26">
        <f t="shared" si="38"/>
        <v>11412571.449999999</v>
      </c>
      <c r="F35" s="26">
        <f t="shared" si="38"/>
        <v>1079813.08</v>
      </c>
      <c r="G35" s="26">
        <f t="shared" si="38"/>
        <v>521102.56</v>
      </c>
      <c r="H35" s="26">
        <f t="shared" si="38"/>
        <v>1474141.65</v>
      </c>
      <c r="I35" s="26">
        <f t="shared" si="38"/>
        <v>462316.41999999993</v>
      </c>
      <c r="J35" s="26">
        <f t="shared" si="38"/>
        <v>-8552210.8900000006</v>
      </c>
      <c r="K35" s="26">
        <f t="shared" si="38"/>
        <v>-4797106.5199999996</v>
      </c>
      <c r="L35" s="26">
        <f t="shared" si="38"/>
        <v>-1937344.42</v>
      </c>
      <c r="M35" s="26">
        <f t="shared" si="38"/>
        <v>474587.52999999933</v>
      </c>
      <c r="N35" s="26">
        <f t="shared" si="38"/>
        <v>-937677.7</v>
      </c>
      <c r="O35" s="26">
        <f t="shared" si="38"/>
        <v>131332.74</v>
      </c>
      <c r="P35" s="26">
        <f t="shared" si="38"/>
        <v>157343.1</v>
      </c>
      <c r="Q35" s="26">
        <f t="shared" si="38"/>
        <v>1406272.3900000001</v>
      </c>
      <c r="R35" s="26">
        <f t="shared" si="38"/>
        <v>743907.24</v>
      </c>
      <c r="S35" s="26">
        <f t="shared" si="38"/>
        <v>353327.97</v>
      </c>
      <c r="T35" s="26">
        <f t="shared" si="38"/>
        <v>160435.44</v>
      </c>
      <c r="U35" s="26">
        <f t="shared" si="38"/>
        <v>1826085.25</v>
      </c>
      <c r="V35" s="26">
        <f t="shared" si="38"/>
        <v>2438108.71</v>
      </c>
      <c r="W35" s="26">
        <f t="shared" si="38"/>
        <v>17685.169999999998</v>
      </c>
      <c r="X35" s="26">
        <f t="shared" si="38"/>
        <v>0</v>
      </c>
      <c r="Y35" s="26">
        <f t="shared" si="38"/>
        <v>-13148062.949999999</v>
      </c>
      <c r="Z35" s="26">
        <f t="shared" si="38"/>
        <v>-10178527.93</v>
      </c>
      <c r="AA35" s="26">
        <f t="shared" si="38"/>
        <v>-6197878.7800000003</v>
      </c>
      <c r="AB35" s="26">
        <f t="shared" si="38"/>
        <v>-3242186.46</v>
      </c>
      <c r="AC35" s="26">
        <f t="shared" si="38"/>
        <v>20313006.02</v>
      </c>
      <c r="AD35" s="26">
        <f t="shared" si="38"/>
        <v>-8810880.1899999995</v>
      </c>
      <c r="AE35" s="26">
        <f t="shared" si="38"/>
        <v>-5510384.21</v>
      </c>
      <c r="AF35" s="26">
        <f t="shared" si="38"/>
        <v>-1621693.85</v>
      </c>
      <c r="AG35" s="26">
        <f t="shared" si="38"/>
        <v>24962725.979999997</v>
      </c>
      <c r="AH35" s="26">
        <f t="shared" si="38"/>
        <v>18279179.75</v>
      </c>
      <c r="AI35" s="26">
        <f t="shared" si="38"/>
        <v>12063791.359999999</v>
      </c>
      <c r="AJ35" s="26">
        <f t="shared" si="38"/>
        <v>5378055.4400000004</v>
      </c>
      <c r="AK35" s="26">
        <f t="shared" si="38"/>
        <v>20796364.049999997</v>
      </c>
      <c r="AL35" s="26">
        <f t="shared" si="38"/>
        <v>12472883.75</v>
      </c>
      <c r="AM35" s="26">
        <f t="shared" si="38"/>
        <v>12428777.24</v>
      </c>
      <c r="AN35" s="26">
        <f t="shared" si="38"/>
        <v>9772412.9399999995</v>
      </c>
      <c r="AO35" s="26">
        <f t="shared" si="38"/>
        <v>1255234.32</v>
      </c>
      <c r="AP35" s="26">
        <f t="shared" si="38"/>
        <v>989032.06</v>
      </c>
      <c r="AQ35" s="26">
        <f t="shared" si="38"/>
        <v>342462.79</v>
      </c>
      <c r="AR35" s="26">
        <f t="shared" si="38"/>
        <v>-229725.21</v>
      </c>
      <c r="AS35" s="26">
        <f t="shared" si="38"/>
        <v>0</v>
      </c>
      <c r="AT35" s="26">
        <f t="shared" si="38"/>
        <v>-22649401.350000001</v>
      </c>
      <c r="AU35" s="26">
        <f t="shared" si="38"/>
        <v>-8345207.46</v>
      </c>
      <c r="AV35" s="26">
        <f t="shared" si="38"/>
        <v>-6288958.1900000004</v>
      </c>
      <c r="AW35" s="26">
        <f t="shared" si="38"/>
        <v>-22650844.379999999</v>
      </c>
      <c r="AX35" s="26">
        <f t="shared" si="38"/>
        <v>-13369914.74</v>
      </c>
      <c r="AY35" s="26">
        <f t="shared" si="38"/>
        <v>-8061296.04</v>
      </c>
      <c r="AZ35" s="26">
        <f t="shared" si="38"/>
        <v>-3526988.6</v>
      </c>
      <c r="BA35" s="26">
        <f t="shared" si="38"/>
        <v>-8333112.9000000004</v>
      </c>
      <c r="BB35" s="26">
        <f t="shared" si="38"/>
        <v>-821838.79</v>
      </c>
      <c r="BC35" s="26">
        <f t="shared" si="38"/>
        <v>-2071650.69</v>
      </c>
      <c r="BD35" s="26">
        <f t="shared" si="38"/>
        <v>-3633490.4</v>
      </c>
      <c r="BE35" s="26">
        <f t="shared" si="38"/>
        <v>-12576168.560000001</v>
      </c>
      <c r="BF35" s="26">
        <f t="shared" si="38"/>
        <v>-7133253.9900000002</v>
      </c>
      <c r="BG35" s="26">
        <f t="shared" si="38"/>
        <v>-2940819.66</v>
      </c>
      <c r="BH35" s="26">
        <f t="shared" si="38"/>
        <v>-2516879.5699999998</v>
      </c>
      <c r="BI35" s="26">
        <f t="shared" si="38"/>
        <v>8744950.6500000004</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418</v>
      </c>
      <c r="B36" s="26">
        <f>B35*B41</f>
        <v>-877500.20937039121</v>
      </c>
      <c r="C36" s="26">
        <f t="shared" ref="C36:BN36" si="40">C35*C41</f>
        <v>-954302.51391551096</v>
      </c>
      <c r="D36" s="26">
        <f t="shared" si="40"/>
        <v>-392980.48061237304</v>
      </c>
      <c r="E36" s="26">
        <f t="shared" si="40"/>
        <v>1877847.9811280509</v>
      </c>
      <c r="F36" s="26">
        <f t="shared" si="40"/>
        <v>185754.52633847235</v>
      </c>
      <c r="G36" s="26">
        <f t="shared" si="40"/>
        <v>94656.148456666007</v>
      </c>
      <c r="H36" s="26">
        <f t="shared" si="40"/>
        <v>257530.50793929733</v>
      </c>
      <c r="I36" s="26">
        <f t="shared" si="40"/>
        <v>67281.06148102427</v>
      </c>
      <c r="J36" s="26">
        <f t="shared" si="40"/>
        <v>-1196872.4086119449</v>
      </c>
      <c r="K36" s="26">
        <f t="shared" si="40"/>
        <v>-643106.36646398972</v>
      </c>
      <c r="L36" s="26">
        <f t="shared" si="40"/>
        <v>-278558.79010016052</v>
      </c>
      <c r="M36" s="26">
        <f t="shared" si="40"/>
        <v>69792.821343052972</v>
      </c>
      <c r="N36" s="26">
        <f t="shared" si="40"/>
        <v>-140599.4283236397</v>
      </c>
      <c r="O36" s="26">
        <f t="shared" si="40"/>
        <v>17763.859980877245</v>
      </c>
      <c r="P36" s="26">
        <f t="shared" si="40"/>
        <v>26031.724362125231</v>
      </c>
      <c r="Q36" s="26">
        <f t="shared" si="40"/>
        <v>208864.54496596297</v>
      </c>
      <c r="R36" s="26">
        <f t="shared" si="40"/>
        <v>108738.92620318088</v>
      </c>
      <c r="S36" s="26">
        <f t="shared" si="40"/>
        <v>52895.264467599067</v>
      </c>
      <c r="T36" s="26">
        <f t="shared" si="40"/>
        <v>22247.664622123317</v>
      </c>
      <c r="U36" s="26">
        <f t="shared" si="40"/>
        <v>271529.9577457186</v>
      </c>
      <c r="V36" s="26">
        <f t="shared" si="40"/>
        <v>359248.16954968049</v>
      </c>
      <c r="W36" s="26">
        <f t="shared" si="40"/>
        <v>2529.8812880740047</v>
      </c>
      <c r="X36" s="26" t="e">
        <f t="shared" si="40"/>
        <v>#DIV/0!</v>
      </c>
      <c r="Y36" s="26">
        <f t="shared" si="40"/>
        <v>-78238022.13031821</v>
      </c>
      <c r="Z36" s="26">
        <f t="shared" si="40"/>
        <v>-73269941.060000002</v>
      </c>
      <c r="AA36" s="26">
        <f t="shared" si="40"/>
        <v>-42820859.350000001</v>
      </c>
      <c r="AB36" s="26">
        <f t="shared" si="40"/>
        <v>-13888230.99</v>
      </c>
      <c r="AC36" s="26">
        <f t="shared" si="40"/>
        <v>119013397.8448932</v>
      </c>
      <c r="AD36" s="26">
        <f t="shared" si="40"/>
        <v>-63604262.079999998</v>
      </c>
      <c r="AE36" s="26">
        <f t="shared" si="40"/>
        <v>-34904537.149999999</v>
      </c>
      <c r="AF36" s="26">
        <f t="shared" si="40"/>
        <v>-11329633.439999999</v>
      </c>
      <c r="AG36" s="26">
        <f t="shared" si="40"/>
        <v>-56938225.219432943</v>
      </c>
      <c r="AH36" s="26">
        <f t="shared" si="40"/>
        <v>-47766560.390000001</v>
      </c>
      <c r="AI36" s="26">
        <f t="shared" si="40"/>
        <v>-23620022.050000001</v>
      </c>
      <c r="AJ36" s="26">
        <f t="shared" si="40"/>
        <v>-2916288.67</v>
      </c>
      <c r="AK36" s="26">
        <f t="shared" si="40"/>
        <v>-35325033.711233407</v>
      </c>
      <c r="AL36" s="26">
        <f t="shared" si="40"/>
        <v>-25372481.587177955</v>
      </c>
      <c r="AM36" s="26">
        <f t="shared" si="40"/>
        <v>-23304500.23</v>
      </c>
      <c r="AN36" s="26">
        <f t="shared" si="40"/>
        <v>-11971213.722547686</v>
      </c>
      <c r="AO36" s="26">
        <f t="shared" si="40"/>
        <v>0</v>
      </c>
      <c r="AP36" s="26">
        <f t="shared" si="40"/>
        <v>-26626139.120000001</v>
      </c>
      <c r="AQ36" s="26">
        <f t="shared" si="40"/>
        <v>-30777710.170000002</v>
      </c>
      <c r="AR36" s="26">
        <f t="shared" si="40"/>
        <v>-17015148.760000002</v>
      </c>
      <c r="AS36" s="26" t="e">
        <f t="shared" si="40"/>
        <v>#DIV/0!</v>
      </c>
      <c r="AT36" s="26">
        <f t="shared" si="40"/>
        <v>-116266100.32836792</v>
      </c>
      <c r="AU36" s="26">
        <f t="shared" si="40"/>
        <v>-60856936.524902239</v>
      </c>
      <c r="AV36" s="26">
        <f t="shared" si="40"/>
        <v>-29650309.149999999</v>
      </c>
      <c r="AW36" s="26">
        <f t="shared" si="40"/>
        <v>-19747025.950842962</v>
      </c>
      <c r="AX36" s="26">
        <f t="shared" si="40"/>
        <v>-9953508.0192662776</v>
      </c>
      <c r="AY36" s="26">
        <f t="shared" si="40"/>
        <v>-8425391.6241679266</v>
      </c>
      <c r="AZ36" s="26">
        <f t="shared" si="40"/>
        <v>-7248612.4824030837</v>
      </c>
      <c r="BA36" s="26">
        <f t="shared" si="40"/>
        <v>20531537.919549026</v>
      </c>
      <c r="BB36" s="26">
        <f t="shared" si="40"/>
        <v>1658079.5866787462</v>
      </c>
      <c r="BC36" s="26">
        <f t="shared" si="40"/>
        <v>58460321.182808228</v>
      </c>
      <c r="BD36" s="26">
        <f t="shared" si="40"/>
        <v>-6062815.114573638</v>
      </c>
      <c r="BE36" s="26">
        <f t="shared" si="40"/>
        <v>-19224664.322362501</v>
      </c>
      <c r="BF36" s="26">
        <f t="shared" si="40"/>
        <v>-10991622.218693661</v>
      </c>
      <c r="BG36" s="26">
        <f t="shared" si="40"/>
        <v>-4064373.4127315711</v>
      </c>
      <c r="BH36" s="26">
        <f t="shared" si="40"/>
        <v>-5341065.7625210322</v>
      </c>
      <c r="BI36" s="26">
        <f t="shared" si="40"/>
        <v>11307395.651407778</v>
      </c>
      <c r="BJ36" s="26">
        <f t="shared" si="40"/>
        <v>14228267.73585235</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419</v>
      </c>
      <c r="B37" s="26">
        <f>B35-B36</f>
        <v>-6642083.8306296086</v>
      </c>
      <c r="C37" s="26">
        <f t="shared" ref="C37:BN37" si="42">C35-C36</f>
        <v>-5607317.866084489</v>
      </c>
      <c r="D37" s="26">
        <f t="shared" si="42"/>
        <v>-2231286.0293876268</v>
      </c>
      <c r="E37" s="26">
        <f t="shared" si="42"/>
        <v>9534723.4688719474</v>
      </c>
      <c r="F37" s="26">
        <f t="shared" si="42"/>
        <v>894058.55366152769</v>
      </c>
      <c r="G37" s="26">
        <f t="shared" si="42"/>
        <v>426446.41154333402</v>
      </c>
      <c r="H37" s="26">
        <f t="shared" si="42"/>
        <v>1216611.1420607027</v>
      </c>
      <c r="I37" s="26">
        <f t="shared" si="42"/>
        <v>395035.35851897567</v>
      </c>
      <c r="J37" s="26">
        <f t="shared" si="42"/>
        <v>-7355338.4813880557</v>
      </c>
      <c r="K37" s="26">
        <f t="shared" si="42"/>
        <v>-4154000.1535360096</v>
      </c>
      <c r="L37" s="26">
        <f t="shared" si="42"/>
        <v>-1658785.6298998394</v>
      </c>
      <c r="M37" s="26">
        <f t="shared" si="42"/>
        <v>404794.70865694637</v>
      </c>
      <c r="N37" s="26">
        <f t="shared" si="42"/>
        <v>-797078.27167636028</v>
      </c>
      <c r="O37" s="26">
        <f t="shared" si="42"/>
        <v>113568.88001912275</v>
      </c>
      <c r="P37" s="26">
        <f t="shared" si="42"/>
        <v>131311.37563787476</v>
      </c>
      <c r="Q37" s="26">
        <f t="shared" si="42"/>
        <v>1197407.8450340373</v>
      </c>
      <c r="R37" s="26">
        <f t="shared" si="42"/>
        <v>635168.31379681907</v>
      </c>
      <c r="S37" s="26">
        <f t="shared" si="42"/>
        <v>300432.70553240093</v>
      </c>
      <c r="T37" s="26">
        <f t="shared" si="42"/>
        <v>138187.77537787668</v>
      </c>
      <c r="U37" s="26">
        <f t="shared" si="42"/>
        <v>1554555.2922542815</v>
      </c>
      <c r="V37" s="26">
        <f t="shared" si="42"/>
        <v>2078860.5404503194</v>
      </c>
      <c r="W37" s="26">
        <f t="shared" si="42"/>
        <v>15155.288711925994</v>
      </c>
      <c r="X37" s="26" t="e">
        <f t="shared" si="42"/>
        <v>#DIV/0!</v>
      </c>
      <c r="Y37" s="26">
        <f t="shared" si="42"/>
        <v>65089959.180318207</v>
      </c>
      <c r="Z37" s="26">
        <f t="shared" si="42"/>
        <v>63091413.130000003</v>
      </c>
      <c r="AA37" s="26">
        <f t="shared" si="42"/>
        <v>36622980.57</v>
      </c>
      <c r="AB37" s="26">
        <f t="shared" si="42"/>
        <v>10646044.530000001</v>
      </c>
      <c r="AC37" s="26">
        <f t="shared" si="42"/>
        <v>-98700391.824893206</v>
      </c>
      <c r="AD37" s="26">
        <f t="shared" si="42"/>
        <v>54793381.890000001</v>
      </c>
      <c r="AE37" s="26">
        <f t="shared" si="42"/>
        <v>29394152.939999998</v>
      </c>
      <c r="AF37" s="26">
        <f t="shared" si="42"/>
        <v>9707939.5899999999</v>
      </c>
      <c r="AG37" s="26">
        <f t="shared" si="42"/>
        <v>81900951.199432939</v>
      </c>
      <c r="AH37" s="26">
        <f t="shared" si="42"/>
        <v>66045740.140000001</v>
      </c>
      <c r="AI37" s="26">
        <f t="shared" si="42"/>
        <v>35683813.409999996</v>
      </c>
      <c r="AJ37" s="26">
        <f t="shared" si="42"/>
        <v>8294344.1100000003</v>
      </c>
      <c r="AK37" s="26">
        <f t="shared" si="42"/>
        <v>56121397.761233404</v>
      </c>
      <c r="AL37" s="26">
        <f t="shared" si="42"/>
        <v>37845365.337177955</v>
      </c>
      <c r="AM37" s="26">
        <f t="shared" si="42"/>
        <v>35733277.469999999</v>
      </c>
      <c r="AN37" s="26">
        <f t="shared" si="42"/>
        <v>21743626.662547685</v>
      </c>
      <c r="AO37" s="26">
        <f t="shared" si="42"/>
        <v>1255234.32</v>
      </c>
      <c r="AP37" s="26">
        <f t="shared" si="42"/>
        <v>27615171.18</v>
      </c>
      <c r="AQ37" s="26">
        <f t="shared" si="42"/>
        <v>31120172.960000001</v>
      </c>
      <c r="AR37" s="26">
        <f t="shared" si="42"/>
        <v>16785423.550000001</v>
      </c>
      <c r="AS37" s="26" t="e">
        <f t="shared" si="42"/>
        <v>#DIV/0!</v>
      </c>
      <c r="AT37" s="26">
        <f t="shared" si="42"/>
        <v>93616698.978367925</v>
      </c>
      <c r="AU37" s="26">
        <f t="shared" si="42"/>
        <v>52511729.064902239</v>
      </c>
      <c r="AV37" s="26">
        <f t="shared" si="42"/>
        <v>23361350.959999997</v>
      </c>
      <c r="AW37" s="26">
        <f t="shared" si="42"/>
        <v>-2903818.4291570373</v>
      </c>
      <c r="AX37" s="26">
        <f t="shared" si="42"/>
        <v>-3416406.7207337227</v>
      </c>
      <c r="AY37" s="26">
        <f t="shared" si="42"/>
        <v>364095.58416792657</v>
      </c>
      <c r="AZ37" s="26">
        <f t="shared" si="42"/>
        <v>3721623.8824030836</v>
      </c>
      <c r="BA37" s="26">
        <f t="shared" si="42"/>
        <v>-28864650.819549024</v>
      </c>
      <c r="BB37" s="26">
        <f t="shared" si="42"/>
        <v>-2479918.3766787462</v>
      </c>
      <c r="BC37" s="26">
        <f t="shared" si="42"/>
        <v>-60531971.872808225</v>
      </c>
      <c r="BD37" s="26">
        <f t="shared" si="42"/>
        <v>2429324.714573638</v>
      </c>
      <c r="BE37" s="26">
        <f t="shared" si="42"/>
        <v>6648495.7623625007</v>
      </c>
      <c r="BF37" s="26">
        <f t="shared" si="42"/>
        <v>3858368.2286936603</v>
      </c>
      <c r="BG37" s="26">
        <f t="shared" si="42"/>
        <v>1123553.752731571</v>
      </c>
      <c r="BH37" s="26">
        <f t="shared" si="42"/>
        <v>2824186.1925210324</v>
      </c>
      <c r="BI37" s="26">
        <f t="shared" si="42"/>
        <v>-2562445.0014077779</v>
      </c>
      <c r="BJ37" s="26">
        <f t="shared" si="42"/>
        <v>422125.75414765067</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420</v>
      </c>
      <c r="B38" s="28">
        <f>B31-B35</f>
        <v>166324248.97999999</v>
      </c>
      <c r="C38" s="28">
        <f t="shared" ref="C38:BN38" si="44">C31-C35</f>
        <v>85338464.48999998</v>
      </c>
      <c r="D38" s="28">
        <f t="shared" si="44"/>
        <v>35423230.779999994</v>
      </c>
      <c r="E38" s="28">
        <f t="shared" si="44"/>
        <v>139995994.77000004</v>
      </c>
      <c r="F38" s="28">
        <f t="shared" si="44"/>
        <v>91562199.960000008</v>
      </c>
      <c r="G38" s="28">
        <f t="shared" si="44"/>
        <v>52228104.479999989</v>
      </c>
      <c r="H38" s="28">
        <f t="shared" si="44"/>
        <v>20533038.130000003</v>
      </c>
      <c r="I38" s="28">
        <f t="shared" si="44"/>
        <v>114358386.34</v>
      </c>
      <c r="J38" s="28">
        <f t="shared" si="44"/>
        <v>70239793.060000002</v>
      </c>
      <c r="K38" s="28">
        <f t="shared" si="44"/>
        <v>41728531.109999999</v>
      </c>
      <c r="L38" s="28">
        <f t="shared" si="44"/>
        <v>18732734.570000008</v>
      </c>
      <c r="M38" s="28">
        <f t="shared" si="44"/>
        <v>96252723.190000013</v>
      </c>
      <c r="N38" s="28">
        <f t="shared" si="44"/>
        <v>61142586.289999999</v>
      </c>
      <c r="O38" s="28">
        <f t="shared" si="44"/>
        <v>38655971.760000013</v>
      </c>
      <c r="P38" s="28">
        <f t="shared" si="44"/>
        <v>19759854.130000006</v>
      </c>
      <c r="Q38" s="28">
        <f t="shared" si="44"/>
        <v>104360413.89999999</v>
      </c>
      <c r="R38" s="28">
        <f t="shared" si="44"/>
        <v>74383247.020000011</v>
      </c>
      <c r="S38" s="28">
        <f t="shared" si="44"/>
        <v>47079665.010000005</v>
      </c>
      <c r="T38" s="28">
        <f t="shared" si="44"/>
        <v>23479868.870000001</v>
      </c>
      <c r="U38" s="28">
        <f t="shared" si="44"/>
        <v>94287964.690000013</v>
      </c>
      <c r="V38" s="28">
        <f t="shared" si="44"/>
        <v>85438131.770000041</v>
      </c>
      <c r="W38" s="28">
        <f t="shared" si="44"/>
        <v>57148962.25</v>
      </c>
      <c r="X38" s="28">
        <f t="shared" si="44"/>
        <v>0</v>
      </c>
      <c r="Y38" s="28">
        <f t="shared" si="44"/>
        <v>14248413.879999999</v>
      </c>
      <c r="Z38" s="28">
        <f t="shared" si="44"/>
        <v>10178527.93</v>
      </c>
      <c r="AA38" s="28">
        <f t="shared" si="44"/>
        <v>6197878.7800000003</v>
      </c>
      <c r="AB38" s="28">
        <f t="shared" si="44"/>
        <v>3242186.46</v>
      </c>
      <c r="AC38" s="28">
        <f t="shared" si="44"/>
        <v>12833832.989999998</v>
      </c>
      <c r="AD38" s="28">
        <f t="shared" si="44"/>
        <v>8810880.1899999995</v>
      </c>
      <c r="AE38" s="28">
        <f t="shared" si="44"/>
        <v>5510384.21</v>
      </c>
      <c r="AF38" s="28">
        <f t="shared" si="44"/>
        <v>1621693.85</v>
      </c>
      <c r="AG38" s="28">
        <f t="shared" si="44"/>
        <v>-23957562.469999995</v>
      </c>
      <c r="AH38" s="28">
        <f t="shared" si="44"/>
        <v>-18279179.75</v>
      </c>
      <c r="AI38" s="28">
        <f t="shared" si="44"/>
        <v>-12063791.359999999</v>
      </c>
      <c r="AJ38" s="28">
        <f t="shared" si="44"/>
        <v>-5378055.4400000004</v>
      </c>
      <c r="AK38" s="28">
        <f t="shared" si="44"/>
        <v>-17114867.199999996</v>
      </c>
      <c r="AL38" s="28">
        <f t="shared" si="44"/>
        <v>-11806444.9</v>
      </c>
      <c r="AM38" s="28">
        <f t="shared" si="44"/>
        <v>-12428777.24</v>
      </c>
      <c r="AN38" s="28">
        <f t="shared" si="44"/>
        <v>-8784689.2199999988</v>
      </c>
      <c r="AO38" s="28">
        <f t="shared" si="44"/>
        <v>-287177.33000000007</v>
      </c>
      <c r="AP38" s="28">
        <f t="shared" si="44"/>
        <v>-989032.06</v>
      </c>
      <c r="AQ38" s="28">
        <f t="shared" si="44"/>
        <v>-342462.79</v>
      </c>
      <c r="AR38" s="28">
        <f t="shared" si="44"/>
        <v>229725.21</v>
      </c>
      <c r="AS38" s="28">
        <f t="shared" si="44"/>
        <v>0</v>
      </c>
      <c r="AT38" s="28">
        <f t="shared" si="44"/>
        <v>25795350.260000028</v>
      </c>
      <c r="AU38" s="28">
        <f t="shared" si="44"/>
        <v>11567145.859999977</v>
      </c>
      <c r="AV38" s="28">
        <f t="shared" si="44"/>
        <v>6288958.1900000004</v>
      </c>
      <c r="AW38" s="28">
        <f t="shared" si="44"/>
        <v>128652930.08</v>
      </c>
      <c r="AX38" s="28">
        <f t="shared" si="44"/>
        <v>91516728.729999989</v>
      </c>
      <c r="AY38" s="28">
        <f t="shared" si="44"/>
        <v>39569571.590000004</v>
      </c>
      <c r="AZ38" s="28">
        <f t="shared" si="44"/>
        <v>10345318.74</v>
      </c>
      <c r="BA38" s="28">
        <f t="shared" si="44"/>
        <v>-44081420.550000004</v>
      </c>
      <c r="BB38" s="28">
        <f t="shared" si="44"/>
        <v>-46593904.899999999</v>
      </c>
      <c r="BC38" s="28">
        <f t="shared" si="44"/>
        <v>-2404836.39</v>
      </c>
      <c r="BD38" s="28">
        <f t="shared" si="44"/>
        <v>17364907.609999999</v>
      </c>
      <c r="BE38" s="28">
        <f t="shared" si="44"/>
        <v>86656961.140000001</v>
      </c>
      <c r="BF38" s="28">
        <f t="shared" si="44"/>
        <v>60767912.130000003</v>
      </c>
      <c r="BG38" s="28">
        <f t="shared" si="44"/>
        <v>47659187.700000003</v>
      </c>
      <c r="BH38" s="28">
        <f t="shared" si="44"/>
        <v>15529502.800000001</v>
      </c>
      <c r="BI38" s="28">
        <f t="shared" si="44"/>
        <v>120606282.16999999</v>
      </c>
      <c r="BJ38" s="28">
        <f t="shared" si="44"/>
        <v>111581155.38000001</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c r="A39" s="57" t="s">
        <v>421</v>
      </c>
      <c r="B39" s="57">
        <f>B38/B4*100</f>
        <v>32.531886118763893</v>
      </c>
      <c r="C39" s="57">
        <f t="shared" ref="C39:D39" si="46">C38/C4*100</f>
        <v>27.696919662925822</v>
      </c>
      <c r="D39" s="57">
        <f t="shared" si="46"/>
        <v>26.1442768298473</v>
      </c>
      <c r="E39" s="57">
        <f>E38/E4</f>
        <v>0.28231976115316249</v>
      </c>
      <c r="F39" s="57">
        <f t="shared" ref="F39:BQ39" si="47">F38/F4</f>
        <v>0.25899773189077052</v>
      </c>
      <c r="G39" s="57">
        <f t="shared" si="47"/>
        <v>0.24110942296869378</v>
      </c>
      <c r="H39" s="57">
        <f t="shared" si="47"/>
        <v>0.21181511976787964</v>
      </c>
      <c r="I39" s="57">
        <f t="shared" si="47"/>
        <v>0.34232841804972852</v>
      </c>
      <c r="J39" s="57">
        <f t="shared" si="47"/>
        <v>0.28105797421353851</v>
      </c>
      <c r="K39" s="57">
        <f t="shared" si="47"/>
        <v>0.25285485416800169</v>
      </c>
      <c r="L39" s="57">
        <f t="shared" si="47"/>
        <v>0.23280622204331569</v>
      </c>
      <c r="M39" s="57">
        <f t="shared" si="47"/>
        <v>0.2974702054736274</v>
      </c>
      <c r="N39" s="57">
        <f t="shared" si="47"/>
        <v>0.2458198794260478</v>
      </c>
      <c r="O39" s="57">
        <f t="shared" si="47"/>
        <v>0.23871072553688977</v>
      </c>
      <c r="P39" s="57">
        <f t="shared" si="47"/>
        <v>0.23685140610561994</v>
      </c>
      <c r="Q39" s="57">
        <f t="shared" si="47"/>
        <v>0.29233931228046434</v>
      </c>
      <c r="R39" s="57">
        <f t="shared" si="47"/>
        <v>0.2797984913703116</v>
      </c>
      <c r="S39" s="57">
        <f t="shared" si="47"/>
        <v>0.27979346377674891</v>
      </c>
      <c r="T39" s="57">
        <f t="shared" si="47"/>
        <v>0.283278535251827</v>
      </c>
      <c r="U39" s="57">
        <f t="shared" si="47"/>
        <v>0.2833076041984291</v>
      </c>
      <c r="V39" s="57">
        <f t="shared" si="47"/>
        <v>0.27644467147720819</v>
      </c>
      <c r="W39" s="57">
        <f t="shared" si="47"/>
        <v>0.23837374708962597</v>
      </c>
      <c r="X39" s="57" t="e">
        <f t="shared" si="47"/>
        <v>#DIV/0!</v>
      </c>
      <c r="Y39" s="57" t="e">
        <f t="shared" si="47"/>
        <v>#DIV/0!</v>
      </c>
      <c r="Z39" s="57" t="e">
        <f t="shared" si="47"/>
        <v>#DIV/0!</v>
      </c>
      <c r="AA39" s="57" t="e">
        <f t="shared" si="47"/>
        <v>#DIV/0!</v>
      </c>
      <c r="AB39" s="57" t="e">
        <f t="shared" si="47"/>
        <v>#DIV/0!</v>
      </c>
      <c r="AC39" s="57" t="e">
        <f t="shared" si="47"/>
        <v>#DIV/0!</v>
      </c>
      <c r="AD39" s="57" t="e">
        <f t="shared" si="47"/>
        <v>#DIV/0!</v>
      </c>
      <c r="AE39" s="57" t="e">
        <f t="shared" si="47"/>
        <v>#DIV/0!</v>
      </c>
      <c r="AF39" s="57" t="e">
        <f t="shared" si="47"/>
        <v>#DIV/0!</v>
      </c>
      <c r="AG39" s="57" t="e">
        <f t="shared" si="47"/>
        <v>#DIV/0!</v>
      </c>
      <c r="AH39" s="57" t="e">
        <f t="shared" si="47"/>
        <v>#DIV/0!</v>
      </c>
      <c r="AI39" s="57" t="e">
        <f t="shared" si="47"/>
        <v>#DIV/0!</v>
      </c>
      <c r="AJ39" s="57" t="e">
        <f t="shared" si="47"/>
        <v>#DIV/0!</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422</v>
      </c>
      <c r="B40" s="26">
        <f>B60</f>
        <v>19409260.210000001</v>
      </c>
      <c r="C40" s="26">
        <f t="shared" ref="C40:BN40" si="49">C60</f>
        <v>12411371.960000001</v>
      </c>
      <c r="D40" s="26">
        <f t="shared" si="49"/>
        <v>5304582.5199999996</v>
      </c>
      <c r="E40" s="26">
        <f t="shared" si="49"/>
        <v>23035228.940000001</v>
      </c>
      <c r="F40" s="26">
        <f t="shared" si="49"/>
        <v>15750960.42</v>
      </c>
      <c r="G40" s="26">
        <f t="shared" si="49"/>
        <v>9487021.5399999991</v>
      </c>
      <c r="H40" s="26">
        <f t="shared" si="49"/>
        <v>3587093.37</v>
      </c>
      <c r="I40" s="26">
        <f t="shared" si="49"/>
        <v>16642613.779999999</v>
      </c>
      <c r="J40" s="26">
        <f t="shared" si="49"/>
        <v>9829980.9700000007</v>
      </c>
      <c r="K40" s="26">
        <f t="shared" si="49"/>
        <v>5594181.3899999997</v>
      </c>
      <c r="L40" s="26">
        <f t="shared" si="49"/>
        <v>2693464.22</v>
      </c>
      <c r="M40" s="26">
        <f t="shared" si="49"/>
        <v>14154921.25</v>
      </c>
      <c r="N40" s="26">
        <f t="shared" si="49"/>
        <v>9167982.4299999997</v>
      </c>
      <c r="O40" s="26">
        <f t="shared" si="49"/>
        <v>5228545.9800000004</v>
      </c>
      <c r="P40" s="26">
        <f t="shared" si="49"/>
        <v>3269181.02</v>
      </c>
      <c r="Q40" s="26">
        <f t="shared" si="49"/>
        <v>15499977.470000001</v>
      </c>
      <c r="R40" s="26">
        <f t="shared" si="49"/>
        <v>10872799.689999999</v>
      </c>
      <c r="S40" s="26">
        <f t="shared" si="49"/>
        <v>7048101.3200000003</v>
      </c>
      <c r="T40" s="26">
        <f t="shared" si="49"/>
        <v>3255965.44</v>
      </c>
      <c r="U40" s="26">
        <f t="shared" si="49"/>
        <v>14020159.83</v>
      </c>
      <c r="V40" s="26">
        <f t="shared" si="49"/>
        <v>12589058.199999999</v>
      </c>
      <c r="W40" s="26">
        <f t="shared" si="49"/>
        <v>8175216.3099999996</v>
      </c>
      <c r="X40" s="26">
        <f t="shared" si="49"/>
        <v>0</v>
      </c>
      <c r="Y40" s="26">
        <f t="shared" si="49"/>
        <v>84785699.969999999</v>
      </c>
      <c r="Z40" s="26">
        <f t="shared" si="49"/>
        <v>73269941.060000002</v>
      </c>
      <c r="AA40" s="26">
        <f t="shared" si="49"/>
        <v>42820859.350000001</v>
      </c>
      <c r="AB40" s="26">
        <f t="shared" si="49"/>
        <v>13888230.99</v>
      </c>
      <c r="AC40" s="26">
        <f t="shared" si="49"/>
        <v>75193108.790000007</v>
      </c>
      <c r="AD40" s="26">
        <f t="shared" si="49"/>
        <v>63604262.079999998</v>
      </c>
      <c r="AE40" s="26">
        <f t="shared" si="49"/>
        <v>34904537.149999999</v>
      </c>
      <c r="AF40" s="26">
        <f t="shared" si="49"/>
        <v>11329633.439999999</v>
      </c>
      <c r="AG40" s="26">
        <f t="shared" si="49"/>
        <v>54645517.829999998</v>
      </c>
      <c r="AH40" s="26">
        <f t="shared" si="49"/>
        <v>47766560.390000001</v>
      </c>
      <c r="AI40" s="26">
        <f t="shared" si="49"/>
        <v>23620022.050000001</v>
      </c>
      <c r="AJ40" s="26">
        <f t="shared" si="49"/>
        <v>2916288.67</v>
      </c>
      <c r="AK40" s="26">
        <f t="shared" si="49"/>
        <v>29071584.789999999</v>
      </c>
      <c r="AL40" s="26">
        <f t="shared" si="49"/>
        <v>24016804.120000001</v>
      </c>
      <c r="AM40" s="26">
        <f t="shared" si="49"/>
        <v>23304500.23</v>
      </c>
      <c r="AN40" s="26">
        <f t="shared" si="49"/>
        <v>10761251.369999999</v>
      </c>
      <c r="AO40" s="26">
        <f t="shared" si="49"/>
        <v>0</v>
      </c>
      <c r="AP40" s="26">
        <f t="shared" si="49"/>
        <v>26626139.120000001</v>
      </c>
      <c r="AQ40" s="26">
        <f t="shared" si="49"/>
        <v>30777710.170000002</v>
      </c>
      <c r="AR40" s="26">
        <f t="shared" si="49"/>
        <v>17015148.760000002</v>
      </c>
      <c r="AS40" s="26">
        <f t="shared" si="49"/>
        <v>0</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617</v>
      </c>
      <c r="B41" s="57">
        <f>B40/B38</f>
        <v>0.11669531249369362</v>
      </c>
      <c r="C41" s="57">
        <f t="shared" ref="C41:BN41" si="51">C40/C38</f>
        <v>0.1454370199203007</v>
      </c>
      <c r="D41" s="57">
        <f t="shared" si="51"/>
        <v>0.14974869325005144</v>
      </c>
      <c r="E41" s="57">
        <f t="shared" si="51"/>
        <v>0.16454205691987595</v>
      </c>
      <c r="F41" s="57">
        <f t="shared" si="51"/>
        <v>0.1720247048113849</v>
      </c>
      <c r="G41" s="57">
        <f t="shared" si="51"/>
        <v>0.18164590950515769</v>
      </c>
      <c r="H41" s="57">
        <f t="shared" si="51"/>
        <v>0.17469861728640348</v>
      </c>
      <c r="I41" s="57">
        <f t="shared" si="51"/>
        <v>0.14553033067920079</v>
      </c>
      <c r="J41" s="57">
        <f t="shared" si="51"/>
        <v>0.13994888853962123</v>
      </c>
      <c r="K41" s="57">
        <f t="shared" si="51"/>
        <v>0.13406130628593793</v>
      </c>
      <c r="L41" s="57">
        <f t="shared" si="51"/>
        <v>0.14378382450971755</v>
      </c>
      <c r="M41" s="57">
        <f t="shared" si="51"/>
        <v>0.14705995613296682</v>
      </c>
      <c r="N41" s="57">
        <f t="shared" si="51"/>
        <v>0.14994430210256648</v>
      </c>
      <c r="O41" s="57">
        <f t="shared" si="51"/>
        <v>0.13525842817927386</v>
      </c>
      <c r="P41" s="57">
        <f t="shared" si="51"/>
        <v>0.16544560493676069</v>
      </c>
      <c r="Q41" s="57">
        <f t="shared" si="51"/>
        <v>0.14852353388376127</v>
      </c>
      <c r="R41" s="57">
        <f t="shared" si="51"/>
        <v>0.14617269513761</v>
      </c>
      <c r="S41" s="57">
        <f t="shared" si="51"/>
        <v>0.14970585110371837</v>
      </c>
      <c r="T41" s="57">
        <f t="shared" si="51"/>
        <v>0.13867051208961884</v>
      </c>
      <c r="U41" s="57">
        <f t="shared" si="51"/>
        <v>0.14869511581987674</v>
      </c>
      <c r="V41" s="57">
        <f t="shared" si="51"/>
        <v>0.14734706786297502</v>
      </c>
      <c r="W41" s="57">
        <f t="shared" si="51"/>
        <v>0.14305100194535902</v>
      </c>
      <c r="X41" s="57" t="e">
        <f t="shared" si="51"/>
        <v>#DIV/0!</v>
      </c>
      <c r="Y41" s="57">
        <f t="shared" si="51"/>
        <v>5.9505360164341328</v>
      </c>
      <c r="Z41" s="57">
        <f t="shared" si="51"/>
        <v>7.1984811127791444</v>
      </c>
      <c r="AA41" s="57">
        <f t="shared" si="51"/>
        <v>6.9089539937726885</v>
      </c>
      <c r="AB41" s="57">
        <f t="shared" si="51"/>
        <v>4.2836003300069301</v>
      </c>
      <c r="AC41" s="57">
        <f t="shared" si="51"/>
        <v>5.8589751673245063</v>
      </c>
      <c r="AD41" s="57">
        <f t="shared" si="51"/>
        <v>7.2188317975527942</v>
      </c>
      <c r="AE41" s="57">
        <f t="shared" si="51"/>
        <v>6.3343200437197824</v>
      </c>
      <c r="AF41" s="57">
        <f t="shared" si="51"/>
        <v>6.9862961125492333</v>
      </c>
      <c r="AG41" s="57">
        <f t="shared" si="51"/>
        <v>-2.2809297856753123</v>
      </c>
      <c r="AH41" s="57">
        <f t="shared" si="51"/>
        <v>-2.6131676061667921</v>
      </c>
      <c r="AI41" s="57">
        <f t="shared" si="51"/>
        <v>-1.9579269356661024</v>
      </c>
      <c r="AJ41" s="57">
        <f t="shared" si="51"/>
        <v>-0.54225708576927567</v>
      </c>
      <c r="AK41" s="57">
        <f t="shared" si="51"/>
        <v>-1.6986158554592821</v>
      </c>
      <c r="AL41" s="57">
        <f t="shared" si="51"/>
        <v>-2.034211341637651</v>
      </c>
      <c r="AM41" s="57">
        <f t="shared" si="51"/>
        <v>-1.8750436812881521</v>
      </c>
      <c r="AN41" s="57">
        <f t="shared" si="51"/>
        <v>-1.2250008054354369</v>
      </c>
      <c r="AO41" s="57">
        <f t="shared" si="51"/>
        <v>0</v>
      </c>
      <c r="AP41" s="57">
        <f t="shared" si="51"/>
        <v>-26.921411546557955</v>
      </c>
      <c r="AQ41" s="57">
        <f t="shared" si="51"/>
        <v>-89.871691374119806</v>
      </c>
      <c r="AR41" s="57">
        <f t="shared" si="51"/>
        <v>74.067398871895691</v>
      </c>
      <c r="AS41" s="57" t="e">
        <f t="shared" si="51"/>
        <v>#DIV/0!</v>
      </c>
      <c r="AT41" s="57">
        <f t="shared" si="51"/>
        <v>5.1332968378154469</v>
      </c>
      <c r="AU41" s="57">
        <f t="shared" si="51"/>
        <v>7.2924414182151729</v>
      </c>
      <c r="AV41" s="57">
        <f t="shared" si="51"/>
        <v>4.7146615153439262</v>
      </c>
      <c r="AW41" s="57">
        <f t="shared" si="51"/>
        <v>0.87180087503841486</v>
      </c>
      <c r="AX41" s="57">
        <f t="shared" si="51"/>
        <v>0.74447056790029142</v>
      </c>
      <c r="AY41" s="57">
        <f t="shared" si="51"/>
        <v>1.0451658867707241</v>
      </c>
      <c r="AZ41" s="57">
        <f t="shared" si="51"/>
        <v>2.0551845510368487</v>
      </c>
      <c r="BA41" s="57">
        <f t="shared" si="51"/>
        <v>-2.4638497240987847</v>
      </c>
      <c r="BB41" s="57">
        <f t="shared" si="51"/>
        <v>-2.01752412620819</v>
      </c>
      <c r="BC41" s="57">
        <f t="shared" si="51"/>
        <v>-28.219198084406898</v>
      </c>
      <c r="BD41" s="57">
        <f t="shared" si="51"/>
        <v>1.668592578247527</v>
      </c>
      <c r="BE41" s="57">
        <f t="shared" si="51"/>
        <v>1.5286582897360992</v>
      </c>
      <c r="BF41" s="57">
        <f t="shared" si="51"/>
        <v>1.5408987587015193</v>
      </c>
      <c r="BG41" s="57">
        <f t="shared" si="51"/>
        <v>1.3820546251148127</v>
      </c>
      <c r="BH41" s="57">
        <f t="shared" si="51"/>
        <v>2.1220982625406397</v>
      </c>
      <c r="BI41" s="57">
        <f t="shared" si="51"/>
        <v>1.2930199499076394</v>
      </c>
      <c r="BJ41" s="57">
        <f t="shared" si="51"/>
        <v>0.97118672925503446</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424</v>
      </c>
      <c r="B42" s="28">
        <f>B38-B40</f>
        <v>146914988.76999998</v>
      </c>
      <c r="C42" s="28">
        <f t="shared" ref="C42:BN42" si="53">C38-C40</f>
        <v>72927092.529999971</v>
      </c>
      <c r="D42" s="28">
        <f t="shared" si="53"/>
        <v>30118648.259999994</v>
      </c>
      <c r="E42" s="28">
        <f t="shared" si="53"/>
        <v>116960765.83000004</v>
      </c>
      <c r="F42" s="28">
        <f t="shared" si="53"/>
        <v>75811239.540000007</v>
      </c>
      <c r="G42" s="28">
        <f t="shared" si="53"/>
        <v>42741082.93999999</v>
      </c>
      <c r="H42" s="28">
        <f t="shared" si="53"/>
        <v>16945944.760000002</v>
      </c>
      <c r="I42" s="28">
        <f t="shared" si="53"/>
        <v>97715772.560000002</v>
      </c>
      <c r="J42" s="28">
        <f t="shared" si="53"/>
        <v>60409812.090000004</v>
      </c>
      <c r="K42" s="28">
        <f t="shared" si="53"/>
        <v>36134349.719999999</v>
      </c>
      <c r="L42" s="28">
        <f t="shared" si="53"/>
        <v>16039270.350000007</v>
      </c>
      <c r="M42" s="28">
        <f t="shared" si="53"/>
        <v>82097801.940000013</v>
      </c>
      <c r="N42" s="28">
        <f t="shared" si="53"/>
        <v>51974603.859999999</v>
      </c>
      <c r="O42" s="28">
        <f t="shared" si="53"/>
        <v>33427425.780000012</v>
      </c>
      <c r="P42" s="28">
        <f t="shared" si="53"/>
        <v>16490673.110000007</v>
      </c>
      <c r="Q42" s="28">
        <f t="shared" si="53"/>
        <v>88860436.429999992</v>
      </c>
      <c r="R42" s="28">
        <f t="shared" si="53"/>
        <v>63510447.330000013</v>
      </c>
      <c r="S42" s="28">
        <f t="shared" si="53"/>
        <v>40031563.690000005</v>
      </c>
      <c r="T42" s="28">
        <f t="shared" si="53"/>
        <v>20223903.43</v>
      </c>
      <c r="U42" s="28">
        <f t="shared" si="53"/>
        <v>80267804.860000014</v>
      </c>
      <c r="V42" s="28">
        <f t="shared" si="53"/>
        <v>72849073.570000038</v>
      </c>
      <c r="W42" s="28">
        <f t="shared" si="53"/>
        <v>48973745.939999998</v>
      </c>
      <c r="X42" s="28">
        <f t="shared" si="53"/>
        <v>0</v>
      </c>
      <c r="Y42" s="28">
        <f t="shared" si="53"/>
        <v>-70537286.090000004</v>
      </c>
      <c r="Z42" s="28">
        <f t="shared" si="53"/>
        <v>-63091413.130000003</v>
      </c>
      <c r="AA42" s="28">
        <f t="shared" si="53"/>
        <v>-36622980.57</v>
      </c>
      <c r="AB42" s="28">
        <f t="shared" si="53"/>
        <v>-10646044.530000001</v>
      </c>
      <c r="AC42" s="28">
        <f t="shared" si="53"/>
        <v>-62359275.800000012</v>
      </c>
      <c r="AD42" s="28">
        <f t="shared" si="53"/>
        <v>-54793381.890000001</v>
      </c>
      <c r="AE42" s="28">
        <f t="shared" si="53"/>
        <v>-29394152.939999998</v>
      </c>
      <c r="AF42" s="28">
        <f t="shared" si="53"/>
        <v>-9707939.5899999999</v>
      </c>
      <c r="AG42" s="28">
        <f t="shared" si="53"/>
        <v>-78603080.299999997</v>
      </c>
      <c r="AH42" s="28">
        <f t="shared" si="53"/>
        <v>-66045740.140000001</v>
      </c>
      <c r="AI42" s="28">
        <f t="shared" si="53"/>
        <v>-35683813.409999996</v>
      </c>
      <c r="AJ42" s="28">
        <f t="shared" si="53"/>
        <v>-8294344.1100000003</v>
      </c>
      <c r="AK42" s="28">
        <f t="shared" si="53"/>
        <v>-46186451.989999995</v>
      </c>
      <c r="AL42" s="28">
        <f t="shared" si="53"/>
        <v>-35823249.020000003</v>
      </c>
      <c r="AM42" s="28">
        <f t="shared" si="53"/>
        <v>-35733277.469999999</v>
      </c>
      <c r="AN42" s="28">
        <f t="shared" si="53"/>
        <v>-19545940.589999996</v>
      </c>
      <c r="AO42" s="28">
        <f t="shared" si="53"/>
        <v>-287177.33000000007</v>
      </c>
      <c r="AP42" s="28">
        <f t="shared" si="53"/>
        <v>-27615171.18</v>
      </c>
      <c r="AQ42" s="28">
        <f t="shared" si="53"/>
        <v>-31120172.960000001</v>
      </c>
      <c r="AR42" s="28">
        <f t="shared" si="53"/>
        <v>-16785423.550000001</v>
      </c>
      <c r="AS42" s="28">
        <f t="shared" si="53"/>
        <v>0</v>
      </c>
      <c r="AT42" s="28">
        <f t="shared" si="53"/>
        <v>-106619839.65999997</v>
      </c>
      <c r="AU42" s="28">
        <f t="shared" si="53"/>
        <v>-72785587.700000018</v>
      </c>
      <c r="AV42" s="28">
        <f t="shared" si="53"/>
        <v>-23361350.959999997</v>
      </c>
      <c r="AW42" s="28">
        <f t="shared" si="53"/>
        <v>16493193.060000002</v>
      </c>
      <c r="AX42" s="28">
        <f t="shared" si="53"/>
        <v>23385217.719999984</v>
      </c>
      <c r="AY42" s="28">
        <f t="shared" si="53"/>
        <v>-1787194.7899999991</v>
      </c>
      <c r="AZ42" s="28">
        <f t="shared" si="53"/>
        <v>-10916220.51</v>
      </c>
      <c r="BA42" s="28">
        <f t="shared" si="53"/>
        <v>-152691416.41</v>
      </c>
      <c r="BB42" s="28">
        <f t="shared" si="53"/>
        <v>-140598232.16999999</v>
      </c>
      <c r="BC42" s="28">
        <f t="shared" si="53"/>
        <v>-70267390.840000004</v>
      </c>
      <c r="BD42" s="28">
        <f t="shared" si="53"/>
        <v>-11610048.350000001</v>
      </c>
      <c r="BE42" s="28">
        <f t="shared" si="53"/>
        <v>-45811920.870000005</v>
      </c>
      <c r="BF42" s="28">
        <f t="shared" si="53"/>
        <v>-32869288.240000002</v>
      </c>
      <c r="BG42" s="28">
        <f t="shared" si="53"/>
        <v>-18208413.089999996</v>
      </c>
      <c r="BH42" s="28">
        <f t="shared" si="53"/>
        <v>-17425628.109999999</v>
      </c>
      <c r="BI42" s="28">
        <f t="shared" si="53"/>
        <v>-35340046.76000002</v>
      </c>
      <c r="BJ42" s="28">
        <f t="shared" si="53"/>
        <v>3215018.0400000066</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423</v>
      </c>
      <c r="B43" s="57">
        <f>B42/B4*100</f>
        <v>28.73556750212548</v>
      </c>
      <c r="C43" s="57">
        <f t="shared" ref="C43:D43" si="55">C42/C4*100</f>
        <v>23.668762206177909</v>
      </c>
      <c r="D43" s="57">
        <f t="shared" si="55"/>
        <v>22.229205538610071</v>
      </c>
      <c r="E43" s="57">
        <f>E42/E4</f>
        <v>0.23586628694389303</v>
      </c>
      <c r="F43" s="57">
        <f t="shared" ref="F43:BQ43" si="56">F42/F4</f>
        <v>0.2144437235154425</v>
      </c>
      <c r="G43" s="57">
        <f t="shared" si="56"/>
        <v>0.19731288254328164</v>
      </c>
      <c r="H43" s="57">
        <f t="shared" si="56"/>
        <v>0.17481131122407711</v>
      </c>
      <c r="I43" s="57">
        <f t="shared" si="56"/>
        <v>0.29250925017006385</v>
      </c>
      <c r="J43" s="57">
        <f t="shared" si="56"/>
        <v>0.24172422310715627</v>
      </c>
      <c r="K43" s="57">
        <f t="shared" si="56"/>
        <v>0.21895680211749904</v>
      </c>
      <c r="L43" s="57">
        <f t="shared" si="56"/>
        <v>0.19933245306826924</v>
      </c>
      <c r="M43" s="57">
        <f t="shared" si="56"/>
        <v>0.25372425010581112</v>
      </c>
      <c r="N43" s="57">
        <f t="shared" si="56"/>
        <v>0.20896058916257201</v>
      </c>
      <c r="O43" s="57">
        <f t="shared" si="56"/>
        <v>0.20642308801123602</v>
      </c>
      <c r="P43" s="57">
        <f t="shared" si="56"/>
        <v>0.19766538194235328</v>
      </c>
      <c r="Q43" s="57">
        <f t="shared" si="56"/>
        <v>0.24892004452742131</v>
      </c>
      <c r="R43" s="57">
        <f t="shared" si="56"/>
        <v>0.23889959179127582</v>
      </c>
      <c r="S43" s="57">
        <f t="shared" si="56"/>
        <v>0.23790674514879329</v>
      </c>
      <c r="T43" s="57">
        <f t="shared" si="56"/>
        <v>0.24399615570445898</v>
      </c>
      <c r="U43" s="57">
        <f t="shared" si="56"/>
        <v>0.24118114717949191</v>
      </c>
      <c r="V43" s="57">
        <f t="shared" si="56"/>
        <v>0.23571135970869814</v>
      </c>
      <c r="W43" s="57">
        <f t="shared" si="56"/>
        <v>0.20427414373098535</v>
      </c>
      <c r="X43" s="57" t="e">
        <f t="shared" si="56"/>
        <v>#DIV/0!</v>
      </c>
      <c r="Y43" s="57" t="e">
        <f t="shared" si="56"/>
        <v>#DIV/0!</v>
      </c>
      <c r="Z43" s="57" t="e">
        <f t="shared" si="56"/>
        <v>#DIV/0!</v>
      </c>
      <c r="AA43" s="57" t="e">
        <f t="shared" si="56"/>
        <v>#DIV/0!</v>
      </c>
      <c r="AB43" s="57" t="e">
        <f t="shared" si="56"/>
        <v>#DIV/0!</v>
      </c>
      <c r="AC43" s="57" t="e">
        <f t="shared" si="56"/>
        <v>#DIV/0!</v>
      </c>
      <c r="AD43" s="57" t="e">
        <f t="shared" si="56"/>
        <v>#DIV/0!</v>
      </c>
      <c r="AE43" s="57" t="e">
        <f t="shared" si="56"/>
        <v>#DIV/0!</v>
      </c>
      <c r="AF43" s="57" t="e">
        <f t="shared" si="56"/>
        <v>#DIV/0!</v>
      </c>
      <c r="AG43" s="57" t="e">
        <f t="shared" si="56"/>
        <v>#DIV/0!</v>
      </c>
      <c r="AH43" s="57" t="e">
        <f t="shared" si="56"/>
        <v>#DIV/0!</v>
      </c>
      <c r="AI43" s="57" t="e">
        <f t="shared" si="56"/>
        <v>#DIV/0!</v>
      </c>
      <c r="AJ43" s="57" t="e">
        <f t="shared" si="56"/>
        <v>#DIV/0!</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425</v>
      </c>
      <c r="B45" s="26">
        <f>B70*B69</f>
        <v>87311157.845599994</v>
      </c>
      <c r="C45" s="26">
        <f t="shared" ref="C45:BN45" si="58">C70*C69</f>
        <v>83062269.320000008</v>
      </c>
      <c r="D45" s="26">
        <f t="shared" si="58"/>
        <v>81748235.727200001</v>
      </c>
      <c r="E45" s="26">
        <f t="shared" si="58"/>
        <v>79296750.046400011</v>
      </c>
      <c r="F45" s="26">
        <f t="shared" si="58"/>
        <v>76051016.943999991</v>
      </c>
      <c r="G45" s="26">
        <f t="shared" si="58"/>
        <v>73273805.077600002</v>
      </c>
      <c r="H45" s="26">
        <f t="shared" si="58"/>
        <v>72786597.246399999</v>
      </c>
      <c r="I45" s="26">
        <f t="shared" si="58"/>
        <v>71430789.505600005</v>
      </c>
      <c r="J45" s="26">
        <f t="shared" si="58"/>
        <v>68130752.011999995</v>
      </c>
      <c r="K45" s="26">
        <f t="shared" si="58"/>
        <v>67468875.022399992</v>
      </c>
      <c r="L45" s="26">
        <f t="shared" si="58"/>
        <v>65861268.672799997</v>
      </c>
      <c r="M45" s="26">
        <f t="shared" si="58"/>
        <v>64578127.044799998</v>
      </c>
      <c r="N45" s="26">
        <f t="shared" si="58"/>
        <v>62168942.900799997</v>
      </c>
      <c r="O45" s="26">
        <f t="shared" si="58"/>
        <v>60685168.654399998</v>
      </c>
      <c r="P45" s="26">
        <f t="shared" si="58"/>
        <v>28457488.707199998</v>
      </c>
      <c r="Q45" s="26">
        <f t="shared" si="58"/>
        <v>27138234.858400002</v>
      </c>
      <c r="R45" s="26">
        <f t="shared" si="58"/>
        <v>21625558.152800001</v>
      </c>
      <c r="S45" s="26">
        <f t="shared" si="58"/>
        <v>16004133.764</v>
      </c>
      <c r="T45" s="26">
        <f t="shared" si="58"/>
        <v>10576207.8784</v>
      </c>
      <c r="U45" s="26">
        <f t="shared" si="58"/>
        <v>0</v>
      </c>
      <c r="V45" s="26">
        <f t="shared" si="58"/>
        <v>0</v>
      </c>
      <c r="W45" s="26">
        <f t="shared" si="58"/>
        <v>0</v>
      </c>
      <c r="X45" s="26">
        <f t="shared" si="58"/>
        <v>0</v>
      </c>
      <c r="Y45" s="26">
        <f t="shared" si="58"/>
        <v>234599163.49360001</v>
      </c>
      <c r="Z45" s="26">
        <f t="shared" si="58"/>
        <v>227850298.71200001</v>
      </c>
      <c r="AA45" s="26">
        <f t="shared" si="58"/>
        <v>220630262.40080002</v>
      </c>
      <c r="AB45" s="26">
        <f t="shared" si="58"/>
        <v>219628827.50080001</v>
      </c>
      <c r="AC45" s="26">
        <f t="shared" si="58"/>
        <v>216356663.37919998</v>
      </c>
      <c r="AD45" s="26">
        <f t="shared" si="58"/>
        <v>213812542.89520001</v>
      </c>
      <c r="AE45" s="26">
        <f t="shared" si="58"/>
        <v>206928883.31599998</v>
      </c>
      <c r="AF45" s="26">
        <f t="shared" si="58"/>
        <v>204737711.10800001</v>
      </c>
      <c r="AG45" s="26">
        <f t="shared" si="58"/>
        <v>202611177.79360002</v>
      </c>
      <c r="AH45" s="26">
        <f t="shared" si="58"/>
        <v>30755427.746399999</v>
      </c>
      <c r="AI45" s="26">
        <f t="shared" si="58"/>
        <v>24957168.0616</v>
      </c>
      <c r="AJ45" s="26">
        <f t="shared" si="58"/>
        <v>21286463.486400001</v>
      </c>
      <c r="AK45" s="26">
        <f t="shared" si="58"/>
        <v>14044797.321600001</v>
      </c>
      <c r="AL45" s="26">
        <f t="shared" si="58"/>
        <v>10362387.5712</v>
      </c>
      <c r="AM45" s="26">
        <f t="shared" si="58"/>
        <v>0</v>
      </c>
      <c r="AN45" s="26">
        <f t="shared" si="58"/>
        <v>0</v>
      </c>
      <c r="AO45" s="26">
        <f t="shared" si="58"/>
        <v>0</v>
      </c>
      <c r="AP45" s="26">
        <f t="shared" si="58"/>
        <v>8520958.1063999999</v>
      </c>
      <c r="AQ45" s="26">
        <f t="shared" si="58"/>
        <v>0</v>
      </c>
      <c r="AR45" s="26">
        <f t="shared" si="58"/>
        <v>0</v>
      </c>
      <c r="AS45" s="26">
        <f t="shared" si="58"/>
        <v>0</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427</v>
      </c>
      <c r="B47" s="28">
        <f>B42-B45</f>
        <v>59603830.924399987</v>
      </c>
      <c r="C47" s="28">
        <f t="shared" ref="C47:BN47" si="62">C42-C45</f>
        <v>-10135176.790000036</v>
      </c>
      <c r="D47" s="28">
        <f t="shared" si="62"/>
        <v>-51629587.467200011</v>
      </c>
      <c r="E47" s="28">
        <f t="shared" si="62"/>
        <v>37664015.783600032</v>
      </c>
      <c r="F47" s="28">
        <f t="shared" si="62"/>
        <v>-239777.40399998426</v>
      </c>
      <c r="G47" s="28">
        <f t="shared" si="62"/>
        <v>-30532722.137600012</v>
      </c>
      <c r="H47" s="28">
        <f t="shared" si="62"/>
        <v>-55840652.486399993</v>
      </c>
      <c r="I47" s="28">
        <f t="shared" si="62"/>
        <v>26284983.054399997</v>
      </c>
      <c r="J47" s="28">
        <f t="shared" si="62"/>
        <v>-7720939.9219999909</v>
      </c>
      <c r="K47" s="28">
        <f t="shared" si="62"/>
        <v>-31334525.302399993</v>
      </c>
      <c r="L47" s="28">
        <f t="shared" si="62"/>
        <v>-49821998.322799988</v>
      </c>
      <c r="M47" s="28">
        <f t="shared" si="62"/>
        <v>17519674.895200014</v>
      </c>
      <c r="N47" s="28">
        <f t="shared" si="62"/>
        <v>-10194339.040799998</v>
      </c>
      <c r="O47" s="28">
        <f t="shared" si="62"/>
        <v>-27257742.874399986</v>
      </c>
      <c r="P47" s="28">
        <f t="shared" si="62"/>
        <v>-11966815.597199991</v>
      </c>
      <c r="Q47" s="28">
        <f t="shared" si="62"/>
        <v>61722201.57159999</v>
      </c>
      <c r="R47" s="28">
        <f t="shared" si="62"/>
        <v>41884889.177200012</v>
      </c>
      <c r="S47" s="28">
        <f t="shared" si="62"/>
        <v>24027429.926000006</v>
      </c>
      <c r="T47" s="28">
        <f t="shared" si="62"/>
        <v>9647695.5515999999</v>
      </c>
      <c r="U47" s="28">
        <f t="shared" si="62"/>
        <v>80267804.860000014</v>
      </c>
      <c r="V47" s="28">
        <f t="shared" si="62"/>
        <v>72849073.570000038</v>
      </c>
      <c r="W47" s="28">
        <f t="shared" si="62"/>
        <v>48973745.939999998</v>
      </c>
      <c r="X47" s="28">
        <f t="shared" si="62"/>
        <v>0</v>
      </c>
      <c r="Y47" s="28">
        <f t="shared" si="62"/>
        <v>-305136449.58360004</v>
      </c>
      <c r="Z47" s="28">
        <f t="shared" si="62"/>
        <v>-290941711.84200001</v>
      </c>
      <c r="AA47" s="28">
        <f t="shared" si="62"/>
        <v>-257253242.97080001</v>
      </c>
      <c r="AB47" s="28">
        <f t="shared" si="62"/>
        <v>-230274872.03080001</v>
      </c>
      <c r="AC47" s="28">
        <f t="shared" si="62"/>
        <v>-278715939.17919999</v>
      </c>
      <c r="AD47" s="28">
        <f t="shared" si="62"/>
        <v>-268605924.7852</v>
      </c>
      <c r="AE47" s="28">
        <f t="shared" si="62"/>
        <v>-236323036.25599998</v>
      </c>
      <c r="AF47" s="28">
        <f t="shared" si="62"/>
        <v>-214445650.69800001</v>
      </c>
      <c r="AG47" s="28">
        <f t="shared" si="62"/>
        <v>-281214258.09360003</v>
      </c>
      <c r="AH47" s="28">
        <f t="shared" si="62"/>
        <v>-96801167.886399999</v>
      </c>
      <c r="AI47" s="28">
        <f t="shared" si="62"/>
        <v>-60640981.471599996</v>
      </c>
      <c r="AJ47" s="28">
        <f t="shared" si="62"/>
        <v>-29580807.5964</v>
      </c>
      <c r="AK47" s="28">
        <f t="shared" si="62"/>
        <v>-60231249.3116</v>
      </c>
      <c r="AL47" s="28">
        <f t="shared" si="62"/>
        <v>-46185636.591200002</v>
      </c>
      <c r="AM47" s="28">
        <f t="shared" si="62"/>
        <v>-35733277.469999999</v>
      </c>
      <c r="AN47" s="28">
        <f t="shared" si="62"/>
        <v>-19545940.589999996</v>
      </c>
      <c r="AO47" s="28">
        <f t="shared" si="62"/>
        <v>-287177.33000000007</v>
      </c>
      <c r="AP47" s="28">
        <f t="shared" si="62"/>
        <v>-36136129.286399998</v>
      </c>
      <c r="AQ47" s="28">
        <f t="shared" si="62"/>
        <v>-31120172.960000001</v>
      </c>
      <c r="AR47" s="28">
        <f t="shared" si="62"/>
        <v>-16785423.550000001</v>
      </c>
      <c r="AS47" s="28">
        <f t="shared" si="62"/>
        <v>0</v>
      </c>
      <c r="AT47" s="28">
        <f t="shared" si="62"/>
        <v>-551211614.52399993</v>
      </c>
      <c r="AU47" s="28">
        <f t="shared" si="62"/>
        <v>-496320397.45679998</v>
      </c>
      <c r="AV47" s="28">
        <f t="shared" si="62"/>
        <v>-445505388.23360002</v>
      </c>
      <c r="AW47" s="28">
        <f t="shared" si="62"/>
        <v>-398055066.47280002</v>
      </c>
      <c r="AX47" s="28">
        <f t="shared" si="62"/>
        <v>-377567714.57360005</v>
      </c>
      <c r="AY47" s="28">
        <f t="shared" si="62"/>
        <v>-387409290.14840001</v>
      </c>
      <c r="AZ47" s="28">
        <f t="shared" si="62"/>
        <v>-411743268.77480006</v>
      </c>
      <c r="BA47" s="28">
        <f t="shared" si="62"/>
        <v>-544316182.85319996</v>
      </c>
      <c r="BB47" s="28">
        <f t="shared" si="62"/>
        <v>-531683858.44279993</v>
      </c>
      <c r="BC47" s="28">
        <f t="shared" si="62"/>
        <v>-454875507.8448</v>
      </c>
      <c r="BD47" s="28">
        <f t="shared" si="62"/>
        <v>-417115730.546</v>
      </c>
      <c r="BE47" s="28">
        <f t="shared" si="62"/>
        <v>-439952204.87879997</v>
      </c>
      <c r="BF47" s="28">
        <f t="shared" si="62"/>
        <v>-417533251.67519999</v>
      </c>
      <c r="BG47" s="28">
        <f t="shared" si="62"/>
        <v>-398320315.3308</v>
      </c>
      <c r="BH47" s="28">
        <f t="shared" si="62"/>
        <v>-401893920.58120006</v>
      </c>
      <c r="BI47" s="28">
        <f t="shared" si="62"/>
        <v>-407190740.5424</v>
      </c>
      <c r="BJ47" s="28">
        <f t="shared" si="62"/>
        <v>-355900380.39039999</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202">
        <v>20180930</v>
      </c>
      <c r="C51" s="202">
        <v>20180630</v>
      </c>
      <c r="D51" s="202">
        <v>20180331</v>
      </c>
      <c r="E51" s="202">
        <v>20171231</v>
      </c>
      <c r="F51" s="202">
        <v>20170930</v>
      </c>
      <c r="G51" s="202">
        <v>20170630</v>
      </c>
      <c r="H51" s="202">
        <v>20170331</v>
      </c>
      <c r="I51" s="202">
        <v>20161231</v>
      </c>
      <c r="J51" s="202">
        <v>20160930</v>
      </c>
      <c r="K51" s="202">
        <v>20160630</v>
      </c>
      <c r="L51" s="202">
        <v>20160331</v>
      </c>
      <c r="M51" s="202">
        <v>20151231</v>
      </c>
      <c r="N51" s="202">
        <v>20150930</v>
      </c>
      <c r="O51" s="202">
        <v>20150630</v>
      </c>
      <c r="P51" s="202">
        <v>20150331</v>
      </c>
      <c r="Q51" s="202">
        <v>20141231</v>
      </c>
      <c r="R51" s="202">
        <v>20140930</v>
      </c>
      <c r="S51" s="202">
        <v>20140630</v>
      </c>
      <c r="T51" s="202">
        <v>20140331</v>
      </c>
      <c r="U51" s="202">
        <v>20131231</v>
      </c>
      <c r="V51" s="202">
        <v>20121231</v>
      </c>
      <c r="W51" s="202">
        <v>20111231</v>
      </c>
      <c r="X51" s="202">
        <v>19700101</v>
      </c>
      <c r="Y51" s="40">
        <v>20121231</v>
      </c>
      <c r="Z51" s="40">
        <v>20120930</v>
      </c>
      <c r="AA51" s="40">
        <v>20120630</v>
      </c>
      <c r="AB51" s="40">
        <v>20120331</v>
      </c>
      <c r="AC51" s="40">
        <v>20111231</v>
      </c>
      <c r="AD51" s="40">
        <v>20110930</v>
      </c>
      <c r="AE51" s="40">
        <v>20110630</v>
      </c>
      <c r="AF51" s="40">
        <v>20110331</v>
      </c>
      <c r="AG51" s="40">
        <v>20101231</v>
      </c>
      <c r="AH51" s="40">
        <v>20100930</v>
      </c>
      <c r="AI51" s="40">
        <v>20100630</v>
      </c>
      <c r="AJ51" s="40">
        <v>20100331</v>
      </c>
      <c r="AK51" s="40">
        <v>20091231</v>
      </c>
      <c r="AL51" s="40">
        <v>20090930</v>
      </c>
      <c r="AM51" s="40">
        <v>20081231</v>
      </c>
      <c r="AN51" s="40">
        <v>20071231</v>
      </c>
      <c r="AO51" s="40">
        <v>19700101</v>
      </c>
      <c r="AP51" s="40">
        <v>20080930</v>
      </c>
      <c r="AQ51" s="40">
        <v>20071231</v>
      </c>
      <c r="AR51" s="40">
        <v>20061231</v>
      </c>
      <c r="AS51" s="40">
        <v>19700101</v>
      </c>
      <c r="AT51" s="40">
        <v>20070930</v>
      </c>
      <c r="AU51" s="40">
        <v>20070630</v>
      </c>
      <c r="AV51" s="40">
        <v>20070331</v>
      </c>
      <c r="AW51" s="40">
        <v>20061231</v>
      </c>
      <c r="AX51" s="40">
        <v>20060930</v>
      </c>
      <c r="AY51" s="40">
        <v>20060630</v>
      </c>
      <c r="AZ51" s="40">
        <v>20060331</v>
      </c>
      <c r="BA51" s="40">
        <v>20051231</v>
      </c>
      <c r="BB51" s="40">
        <v>20050930</v>
      </c>
      <c r="BC51" s="40">
        <v>20050630</v>
      </c>
      <c r="BD51" s="40">
        <v>20050331</v>
      </c>
      <c r="BE51" s="40">
        <v>20041231</v>
      </c>
      <c r="BF51" s="40">
        <v>20040930</v>
      </c>
      <c r="BG51" s="40">
        <v>20040630</v>
      </c>
      <c r="BH51" s="40">
        <v>20040331</v>
      </c>
      <c r="BI51" s="40">
        <v>20031231</v>
      </c>
      <c r="BJ51" s="40">
        <v>20030930</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c r="A52" s="135" t="s">
        <v>578</v>
      </c>
      <c r="B52" s="42">
        <v>-25636</v>
      </c>
      <c r="C52" s="42">
        <v>-27718</v>
      </c>
      <c r="D52" s="42">
        <v>-35317</v>
      </c>
      <c r="E52" s="42">
        <v>-14632500.18</v>
      </c>
      <c r="F52" s="42">
        <v>-34414</v>
      </c>
      <c r="G52" s="42">
        <v>-23309</v>
      </c>
      <c r="H52" s="42">
        <v>-16814</v>
      </c>
      <c r="I52" s="42">
        <v>-11741373.67</v>
      </c>
      <c r="J52" s="42"/>
      <c r="K52" s="42"/>
      <c r="M52" s="43">
        <v>-6280791.8099999996</v>
      </c>
      <c r="Q52" s="43">
        <v>-275928.87</v>
      </c>
      <c r="AC52" s="43">
        <v>-33478269.789999999</v>
      </c>
      <c r="AG52" s="43">
        <v>-1072131.49</v>
      </c>
      <c r="AK52" s="43">
        <v>-3365474.92</v>
      </c>
      <c r="AO52" s="43">
        <v>-1255234.32</v>
      </c>
    </row>
    <row r="53" spans="1:89" s="43" customFormat="1">
      <c r="A53" s="136" t="s">
        <v>90</v>
      </c>
      <c r="B53" s="42">
        <v>217</v>
      </c>
      <c r="C53" s="42">
        <v>189</v>
      </c>
      <c r="D53" s="42"/>
      <c r="E53" s="42">
        <v>11282258.77</v>
      </c>
      <c r="F53" s="42">
        <v>0</v>
      </c>
      <c r="G53" s="42">
        <v>0</v>
      </c>
      <c r="H53" s="42">
        <v>0</v>
      </c>
      <c r="I53" s="42">
        <v>517808.22</v>
      </c>
      <c r="J53" s="42"/>
      <c r="K53" s="42"/>
      <c r="L53" s="42"/>
      <c r="M53" s="42">
        <v>482983.81</v>
      </c>
      <c r="N53" s="42"/>
      <c r="O53" s="42"/>
      <c r="P53" s="42"/>
      <c r="Q53" s="42">
        <v>1358250</v>
      </c>
      <c r="R53" s="42"/>
      <c r="S53" s="42"/>
      <c r="T53" s="42"/>
      <c r="U53" s="42"/>
      <c r="V53" s="42"/>
      <c r="W53" s="42"/>
      <c r="X53" s="42"/>
      <c r="Y53" s="42"/>
      <c r="Z53" s="42"/>
      <c r="AA53" s="42"/>
      <c r="AB53" s="42"/>
      <c r="AC53" s="42">
        <v>19981575.239999998</v>
      </c>
      <c r="AD53" s="42"/>
      <c r="AE53" s="42"/>
      <c r="AF53" s="42"/>
      <c r="AG53" s="42">
        <v>24895758</v>
      </c>
      <c r="AH53" s="42">
        <v>0</v>
      </c>
      <c r="AI53" s="42">
        <v>0</v>
      </c>
      <c r="AJ53" s="42">
        <v>0</v>
      </c>
      <c r="AK53" s="42">
        <v>528481.9</v>
      </c>
      <c r="AL53" s="42">
        <v>0</v>
      </c>
      <c r="AM53" s="42">
        <v>0</v>
      </c>
      <c r="AN53" s="42">
        <v>0</v>
      </c>
      <c r="AO53" s="42">
        <v>2114040.12</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6" t="s">
        <v>91</v>
      </c>
      <c r="B54" s="42">
        <v>3104</v>
      </c>
      <c r="C54" s="42">
        <v>-1424</v>
      </c>
      <c r="D54" s="42">
        <v>-340</v>
      </c>
      <c r="E54" s="42">
        <v>-81970.06</v>
      </c>
      <c r="F54" s="42">
        <v>2684</v>
      </c>
      <c r="G54" s="42">
        <v>-377</v>
      </c>
      <c r="H54" s="42">
        <v>1008</v>
      </c>
      <c r="I54" s="42">
        <v>-92207.98</v>
      </c>
      <c r="J54" s="42"/>
      <c r="K54" s="42"/>
      <c r="M54" s="43">
        <v>-62758.91</v>
      </c>
      <c r="Q54" s="43">
        <v>-978.92</v>
      </c>
      <c r="AC54" s="43">
        <v>0</v>
      </c>
      <c r="AG54" s="43">
        <v>0</v>
      </c>
      <c r="AK54" s="43">
        <f>166.46-239.18</f>
        <v>-72.72</v>
      </c>
      <c r="AO54" s="43">
        <v>1003.32</v>
      </c>
    </row>
    <row r="55" spans="1:89" s="43" customFormat="1">
      <c r="A55" s="136" t="s">
        <v>92</v>
      </c>
      <c r="B55" s="42">
        <v>463</v>
      </c>
      <c r="C55" s="42">
        <v>603</v>
      </c>
      <c r="D55" s="42">
        <v>653</v>
      </c>
      <c r="E55" s="42">
        <v>212282.74</v>
      </c>
      <c r="F55" s="42">
        <v>1204</v>
      </c>
      <c r="G55" s="42">
        <v>868</v>
      </c>
      <c r="H55" s="42">
        <v>644</v>
      </c>
      <c r="I55" s="42">
        <v>36716.18</v>
      </c>
      <c r="J55" s="42"/>
      <c r="K55" s="42"/>
      <c r="M55" s="156">
        <v>54362.63</v>
      </c>
      <c r="Q55" s="43">
        <v>49001.31</v>
      </c>
      <c r="AC55" s="43">
        <v>331430.78000000003</v>
      </c>
      <c r="AG55" s="43">
        <v>66967.98</v>
      </c>
      <c r="AK55" s="43">
        <v>350489.64</v>
      </c>
      <c r="AO55" s="43">
        <v>286174.01</v>
      </c>
    </row>
    <row r="56" spans="1:89" s="26" customFormat="1">
      <c r="A56" s="137" t="s">
        <v>93</v>
      </c>
      <c r="B56" s="44">
        <f>SUM(B52:B55)</f>
        <v>-21852</v>
      </c>
      <c r="C56" s="44">
        <f t="shared" ref="C56:D56" si="64">SUM(C52:C55)</f>
        <v>-28350</v>
      </c>
      <c r="D56" s="44">
        <f t="shared" si="64"/>
        <v>-35004</v>
      </c>
      <c r="E56" s="44">
        <f>SUM(E52:E55)</f>
        <v>-3219928.7300000004</v>
      </c>
      <c r="F56" s="44">
        <f t="shared" ref="F56:BQ56" si="65">SUM(F52:F55)</f>
        <v>-30526</v>
      </c>
      <c r="G56" s="44">
        <f t="shared" si="65"/>
        <v>-22818</v>
      </c>
      <c r="H56" s="44">
        <f t="shared" si="65"/>
        <v>-15162</v>
      </c>
      <c r="I56" s="44">
        <f t="shared" si="65"/>
        <v>-11279057.25</v>
      </c>
      <c r="J56" s="44">
        <f t="shared" si="65"/>
        <v>0</v>
      </c>
      <c r="K56" s="44">
        <f t="shared" si="65"/>
        <v>0</v>
      </c>
      <c r="L56" s="44">
        <f t="shared" si="65"/>
        <v>0</v>
      </c>
      <c r="M56" s="44">
        <f t="shared" si="65"/>
        <v>-5806204.2800000003</v>
      </c>
      <c r="N56" s="44">
        <f t="shared" si="65"/>
        <v>0</v>
      </c>
      <c r="O56" s="44">
        <f t="shared" si="65"/>
        <v>0</v>
      </c>
      <c r="P56" s="44">
        <f t="shared" si="65"/>
        <v>0</v>
      </c>
      <c r="Q56" s="44">
        <f t="shared" si="65"/>
        <v>1130343.52</v>
      </c>
      <c r="R56" s="44">
        <f t="shared" si="65"/>
        <v>0</v>
      </c>
      <c r="S56" s="44">
        <f t="shared" si="65"/>
        <v>0</v>
      </c>
      <c r="T56" s="44">
        <f t="shared" si="65"/>
        <v>0</v>
      </c>
      <c r="U56" s="44">
        <f t="shared" si="65"/>
        <v>0</v>
      </c>
      <c r="V56" s="44">
        <f t="shared" si="65"/>
        <v>0</v>
      </c>
      <c r="W56" s="44">
        <f t="shared" si="65"/>
        <v>0</v>
      </c>
      <c r="X56" s="44">
        <f t="shared" si="65"/>
        <v>0</v>
      </c>
      <c r="Y56" s="44">
        <f t="shared" si="65"/>
        <v>0</v>
      </c>
      <c r="Z56" s="44">
        <f t="shared" si="65"/>
        <v>0</v>
      </c>
      <c r="AA56" s="44">
        <f t="shared" si="65"/>
        <v>0</v>
      </c>
      <c r="AB56" s="44">
        <f t="shared" si="65"/>
        <v>0</v>
      </c>
      <c r="AC56" s="44">
        <f t="shared" si="65"/>
        <v>-13165263.770000001</v>
      </c>
      <c r="AD56" s="44">
        <f t="shared" si="65"/>
        <v>0</v>
      </c>
      <c r="AE56" s="44">
        <f t="shared" si="65"/>
        <v>0</v>
      </c>
      <c r="AF56" s="44">
        <f t="shared" si="65"/>
        <v>0</v>
      </c>
      <c r="AG56" s="44">
        <f t="shared" si="65"/>
        <v>23890594.490000002</v>
      </c>
      <c r="AH56" s="44">
        <f t="shared" si="65"/>
        <v>0</v>
      </c>
      <c r="AI56" s="44">
        <f t="shared" si="65"/>
        <v>0</v>
      </c>
      <c r="AJ56" s="44">
        <f t="shared" si="65"/>
        <v>0</v>
      </c>
      <c r="AK56" s="44">
        <f t="shared" si="65"/>
        <v>-2486576.1</v>
      </c>
      <c r="AL56" s="44">
        <f t="shared" si="65"/>
        <v>0</v>
      </c>
      <c r="AM56" s="44">
        <f t="shared" si="65"/>
        <v>0</v>
      </c>
      <c r="AN56" s="44">
        <f t="shared" si="65"/>
        <v>0</v>
      </c>
      <c r="AO56" s="44">
        <f t="shared" si="65"/>
        <v>1145983.1299999999</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8" t="s">
        <v>97</v>
      </c>
    </row>
    <row r="59" spans="1:89">
      <c r="A59" s="22" t="s">
        <v>96</v>
      </c>
      <c r="B59" s="202">
        <v>123654503.01000001</v>
      </c>
      <c r="C59" s="202">
        <v>73738990.920000002</v>
      </c>
      <c r="D59" s="202">
        <v>30643571.010000002</v>
      </c>
      <c r="E59" s="202">
        <v>120396624.55</v>
      </c>
      <c r="F59" s="202">
        <v>78403211.780000001</v>
      </c>
      <c r="G59" s="202">
        <v>43688063.450000003</v>
      </c>
      <c r="H59" s="202">
        <v>16947596.760000002</v>
      </c>
      <c r="I59" s="202">
        <v>97660280.760000005</v>
      </c>
      <c r="J59" s="202">
        <v>60409812.090000004</v>
      </c>
      <c r="K59" s="202">
        <v>36134349.719999999</v>
      </c>
      <c r="L59" s="202">
        <v>16039270.35</v>
      </c>
      <c r="M59" s="202">
        <v>82089405.659999996</v>
      </c>
      <c r="N59" s="202">
        <v>51974603.859999999</v>
      </c>
      <c r="O59" s="202">
        <v>33427425.780000001</v>
      </c>
      <c r="P59" s="202">
        <v>16490673.109999999</v>
      </c>
      <c r="Q59" s="202">
        <v>88908458.819999993</v>
      </c>
      <c r="R59" s="202">
        <v>63510447.329999998</v>
      </c>
      <c r="S59" s="202">
        <v>40031563.689999998</v>
      </c>
      <c r="T59" s="202">
        <v>20223903.43</v>
      </c>
      <c r="U59" s="202">
        <v>80267804.859999999</v>
      </c>
      <c r="V59" s="202">
        <v>72849073.569999993</v>
      </c>
      <c r="W59" s="202">
        <v>48973745.939999998</v>
      </c>
      <c r="X59" s="202">
        <v>0</v>
      </c>
      <c r="Y59" s="40">
        <v>256413581.34</v>
      </c>
      <c r="Z59" s="40">
        <v>217590441.66</v>
      </c>
      <c r="AA59" s="40">
        <v>127339987.77</v>
      </c>
      <c r="AB59" s="40">
        <v>40902051.520000003</v>
      </c>
      <c r="AC59" s="40">
        <v>222218569.81999999</v>
      </c>
      <c r="AD59" s="40">
        <v>190417063.77000001</v>
      </c>
      <c r="AE59" s="40">
        <v>104371319.03</v>
      </c>
      <c r="AF59" s="40">
        <v>26581666.43</v>
      </c>
      <c r="AG59" s="40">
        <v>163337928.84</v>
      </c>
      <c r="AH59" s="40">
        <v>143562053.25</v>
      </c>
      <c r="AI59" s="40">
        <v>71083807.189999998</v>
      </c>
      <c r="AJ59" s="40">
        <v>6829855.4100000001</v>
      </c>
      <c r="AK59" s="40">
        <v>88412035.549999997</v>
      </c>
      <c r="AL59" s="40">
        <v>73158587.060000002</v>
      </c>
      <c r="AM59" s="40">
        <v>67030121.880000003</v>
      </c>
      <c r="AN59" s="40">
        <v>44566733.869999997</v>
      </c>
      <c r="AO59" s="40">
        <v>0</v>
      </c>
      <c r="AP59" s="40">
        <v>65541740.990000002</v>
      </c>
      <c r="AQ59" s="40">
        <v>94048767.510000005</v>
      </c>
      <c r="AR59" s="40">
        <v>74119782.959999993</v>
      </c>
      <c r="AS59" s="40">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202">
        <v>19409260.210000001</v>
      </c>
      <c r="C60" s="202">
        <v>12411371.960000001</v>
      </c>
      <c r="D60" s="202">
        <v>5304582.5199999996</v>
      </c>
      <c r="E60" s="202">
        <v>23035228.940000001</v>
      </c>
      <c r="F60" s="202">
        <v>15750960.42</v>
      </c>
      <c r="G60" s="202">
        <v>9487021.5399999991</v>
      </c>
      <c r="H60" s="202">
        <v>3587093.37</v>
      </c>
      <c r="I60" s="202">
        <v>16642613.779999999</v>
      </c>
      <c r="J60" s="202">
        <v>9829980.9700000007</v>
      </c>
      <c r="K60" s="202">
        <v>5594181.3899999997</v>
      </c>
      <c r="L60" s="202">
        <v>2693464.22</v>
      </c>
      <c r="M60" s="202">
        <v>14154921.25</v>
      </c>
      <c r="N60" s="202">
        <v>9167982.4299999997</v>
      </c>
      <c r="O60" s="202">
        <v>5228545.9800000004</v>
      </c>
      <c r="P60" s="202">
        <v>3269181.02</v>
      </c>
      <c r="Q60" s="202">
        <v>15499977.470000001</v>
      </c>
      <c r="R60" s="202">
        <v>10872799.689999999</v>
      </c>
      <c r="S60" s="202">
        <v>7048101.3200000003</v>
      </c>
      <c r="T60" s="202">
        <v>3255965.44</v>
      </c>
      <c r="U60" s="202">
        <v>14020159.83</v>
      </c>
      <c r="V60" s="202">
        <v>12589058.199999999</v>
      </c>
      <c r="W60" s="202">
        <v>8175216.3099999996</v>
      </c>
      <c r="X60" s="202">
        <v>0</v>
      </c>
      <c r="Y60" s="40">
        <v>84785699.969999999</v>
      </c>
      <c r="Z60" s="40">
        <v>73269941.060000002</v>
      </c>
      <c r="AA60" s="40">
        <v>42820859.350000001</v>
      </c>
      <c r="AB60" s="40">
        <v>13888230.99</v>
      </c>
      <c r="AC60" s="40">
        <v>75193108.790000007</v>
      </c>
      <c r="AD60" s="40">
        <v>63604262.079999998</v>
      </c>
      <c r="AE60" s="40">
        <v>34904537.149999999</v>
      </c>
      <c r="AF60" s="40">
        <v>11329633.439999999</v>
      </c>
      <c r="AG60" s="40">
        <v>54645517.829999998</v>
      </c>
      <c r="AH60" s="40">
        <v>47766560.390000001</v>
      </c>
      <c r="AI60" s="40">
        <v>23620022.050000001</v>
      </c>
      <c r="AJ60" s="40">
        <v>2916288.67</v>
      </c>
      <c r="AK60" s="40">
        <v>29071584.789999999</v>
      </c>
      <c r="AL60" s="40">
        <v>24016804.120000001</v>
      </c>
      <c r="AM60" s="40">
        <v>23304500.23</v>
      </c>
      <c r="AN60" s="40">
        <v>10761251.369999999</v>
      </c>
      <c r="AO60" s="40">
        <v>0</v>
      </c>
      <c r="AP60" s="40">
        <v>26626139.120000001</v>
      </c>
      <c r="AQ60" s="40">
        <v>30777710.170000002</v>
      </c>
      <c r="AR60" s="40">
        <v>17015148.760000002</v>
      </c>
      <c r="AS60" s="40">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202">
        <v>143063763.22</v>
      </c>
      <c r="C61" s="202">
        <v>86150362.879999995</v>
      </c>
      <c r="D61" s="202">
        <v>35948153.530000001</v>
      </c>
      <c r="E61" s="202">
        <v>143431853.49000001</v>
      </c>
      <c r="F61" s="202">
        <v>94154172.200000003</v>
      </c>
      <c r="G61" s="202">
        <v>53175084.990000002</v>
      </c>
      <c r="H61" s="202">
        <v>20534690.129999999</v>
      </c>
      <c r="I61" s="202">
        <v>114302894.54000001</v>
      </c>
      <c r="J61" s="202">
        <v>70239793.060000002</v>
      </c>
      <c r="K61" s="202">
        <v>41728531.109999999</v>
      </c>
      <c r="L61" s="202">
        <v>18732734.57</v>
      </c>
      <c r="M61" s="202">
        <v>96244326.909999996</v>
      </c>
      <c r="N61" s="202">
        <v>61142586.289999999</v>
      </c>
      <c r="O61" s="202">
        <v>38655971.759999998</v>
      </c>
      <c r="P61" s="202">
        <v>19759854.129999999</v>
      </c>
      <c r="Q61" s="202">
        <v>104408436.29000001</v>
      </c>
      <c r="R61" s="202">
        <v>74383247.019999996</v>
      </c>
      <c r="S61" s="202">
        <v>47079665.009999998</v>
      </c>
      <c r="T61" s="202">
        <v>23479868.870000001</v>
      </c>
      <c r="U61" s="202">
        <v>94287964.689999998</v>
      </c>
      <c r="V61" s="202">
        <v>85438131.769999996</v>
      </c>
      <c r="W61" s="202">
        <v>57148962.25</v>
      </c>
      <c r="X61" s="202">
        <v>0</v>
      </c>
      <c r="Y61" s="40">
        <v>341199281.31</v>
      </c>
      <c r="Z61" s="40">
        <v>290860382.72000003</v>
      </c>
      <c r="AA61" s="40">
        <v>170160847.12</v>
      </c>
      <c r="AB61" s="40">
        <v>54790282.509999998</v>
      </c>
      <c r="AC61" s="40">
        <v>297411678.61000001</v>
      </c>
      <c r="AD61" s="40">
        <v>254021325.84999999</v>
      </c>
      <c r="AE61" s="40">
        <v>139275856.18000001</v>
      </c>
      <c r="AF61" s="40">
        <v>37911299.869999997</v>
      </c>
      <c r="AG61" s="40">
        <v>217983446.66999999</v>
      </c>
      <c r="AH61" s="40">
        <v>191328613.63999999</v>
      </c>
      <c r="AI61" s="40">
        <v>94703829.239999995</v>
      </c>
      <c r="AJ61" s="40">
        <v>9746144.0800000001</v>
      </c>
      <c r="AK61" s="40">
        <v>117483620.34</v>
      </c>
      <c r="AL61" s="40">
        <v>97175391.180000007</v>
      </c>
      <c r="AM61" s="40">
        <v>90334622.109999999</v>
      </c>
      <c r="AN61" s="40">
        <v>55327985.240000002</v>
      </c>
      <c r="AO61" s="40">
        <v>0</v>
      </c>
      <c r="AP61" s="40">
        <v>92167880.109999999</v>
      </c>
      <c r="AQ61" s="40">
        <v>124826477.68000001</v>
      </c>
      <c r="AR61" s="40">
        <v>91134931.719999999</v>
      </c>
      <c r="AS61" s="40">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164"/>
      <c r="BG62" s="164"/>
      <c r="BH62" s="164"/>
      <c r="BI62" s="164"/>
      <c r="BJ62" s="164"/>
      <c r="BK62" s="164"/>
      <c r="BL62" s="164"/>
      <c r="BM62" s="164"/>
      <c r="BN62" s="164"/>
      <c r="BO62" s="164"/>
      <c r="BP62" s="164"/>
      <c r="BQ62" s="164"/>
      <c r="BR62" s="164"/>
      <c r="BS62" s="164"/>
      <c r="BT62" s="164"/>
      <c r="BU62" s="164"/>
      <c r="BV62" s="164"/>
      <c r="BW62" s="164"/>
      <c r="BX62" s="164"/>
      <c r="BY62" s="164"/>
      <c r="BZ62" s="164"/>
      <c r="CA62" s="164"/>
      <c r="CB62" s="164"/>
      <c r="CC62" s="164"/>
      <c r="CD62" s="164"/>
      <c r="CE62" s="164"/>
      <c r="CF62" s="164"/>
      <c r="CG62" s="164"/>
      <c r="CH62" s="164"/>
      <c r="CI62" s="164"/>
      <c r="CJ62" s="164"/>
      <c r="CK62" s="164"/>
    </row>
    <row r="65" spans="1:89">
      <c r="A65" s="22" t="s">
        <v>98</v>
      </c>
      <c r="B65" s="202">
        <v>351172.6</v>
      </c>
      <c r="C65" s="202">
        <v>119095.89</v>
      </c>
      <c r="D65" s="202">
        <v>119095.89</v>
      </c>
      <c r="E65" s="202">
        <v>453801.37</v>
      </c>
      <c r="F65" s="202">
        <v>242075.34</v>
      </c>
      <c r="G65" s="202">
        <v>242075.34</v>
      </c>
      <c r="H65" s="202">
        <v>152580.82</v>
      </c>
      <c r="I65" s="202">
        <v>954867.12</v>
      </c>
      <c r="J65" s="202">
        <v>880043.83</v>
      </c>
      <c r="K65" s="202">
        <v>573673.97</v>
      </c>
      <c r="L65" s="202">
        <v>336757.54</v>
      </c>
      <c r="M65" s="202">
        <v>476575.34</v>
      </c>
      <c r="N65" s="202">
        <v>91287.67</v>
      </c>
      <c r="O65" s="202">
        <v>0</v>
      </c>
      <c r="P65" s="202">
        <v>0</v>
      </c>
      <c r="Q65" s="202">
        <v>0</v>
      </c>
      <c r="R65" s="202">
        <v>0</v>
      </c>
      <c r="S65" s="202">
        <v>0</v>
      </c>
      <c r="T65" s="202">
        <v>0</v>
      </c>
      <c r="U65" s="202">
        <v>0</v>
      </c>
      <c r="V65" s="202">
        <v>0</v>
      </c>
      <c r="W65" s="202">
        <v>0</v>
      </c>
      <c r="X65" s="202">
        <v>0</v>
      </c>
      <c r="Y65" s="40">
        <v>1100350.93</v>
      </c>
      <c r="Z65" s="40">
        <v>0</v>
      </c>
      <c r="AA65" s="40">
        <v>0</v>
      </c>
      <c r="AB65" s="40">
        <v>0</v>
      </c>
      <c r="AC65" s="40">
        <v>0</v>
      </c>
      <c r="AD65" s="40">
        <v>0</v>
      </c>
      <c r="AE65" s="40">
        <v>0</v>
      </c>
      <c r="AF65" s="40">
        <v>0</v>
      </c>
      <c r="AG65" s="40">
        <v>0</v>
      </c>
      <c r="AH65" s="40">
        <v>0</v>
      </c>
      <c r="AI65" s="40">
        <v>0</v>
      </c>
      <c r="AJ65" s="40">
        <v>0</v>
      </c>
      <c r="AK65" s="40">
        <v>666438.85</v>
      </c>
      <c r="AL65" s="40">
        <v>666438.85</v>
      </c>
      <c r="AM65" s="40">
        <v>85706.81</v>
      </c>
      <c r="AN65" s="40">
        <v>709086.76</v>
      </c>
      <c r="AO65" s="40">
        <v>0</v>
      </c>
      <c r="AP65" s="40">
        <v>0</v>
      </c>
      <c r="AQ65" s="40">
        <v>0</v>
      </c>
      <c r="AR65" s="40">
        <v>0</v>
      </c>
      <c r="AS65" s="40">
        <v>0</v>
      </c>
      <c r="AT65" s="40">
        <v>217566698.08000001</v>
      </c>
      <c r="AU65" s="40">
        <v>149175345.75999999</v>
      </c>
      <c r="AV65" s="40">
        <v>28092424.260000002</v>
      </c>
      <c r="AW65" s="40">
        <v>106002085.7</v>
      </c>
      <c r="AX65" s="40">
        <v>78146813.989999995</v>
      </c>
      <c r="AY65" s="40">
        <v>31508275.550000001</v>
      </c>
      <c r="AZ65" s="40">
        <v>6818330.1399999997</v>
      </c>
      <c r="BA65" s="40">
        <v>-52414533.450000003</v>
      </c>
      <c r="BB65" s="40">
        <v>-47415743.689999998</v>
      </c>
      <c r="BC65" s="40">
        <v>-4476487.08</v>
      </c>
      <c r="BD65" s="40">
        <v>13731417.210000001</v>
      </c>
      <c r="BE65" s="40">
        <v>74080792.579999998</v>
      </c>
      <c r="BF65" s="40">
        <v>53634658.140000001</v>
      </c>
      <c r="BG65" s="40">
        <v>44718368.039999999</v>
      </c>
      <c r="BH65" s="40">
        <v>13012623.23</v>
      </c>
      <c r="BI65" s="40">
        <v>129351232.81999999</v>
      </c>
      <c r="BJ65" s="40">
        <v>126231548.87</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c r="A66" s="22" t="s">
        <v>99</v>
      </c>
      <c r="B66" s="202">
        <v>0</v>
      </c>
      <c r="C66" s="202">
        <v>0</v>
      </c>
      <c r="D66" s="202">
        <v>0</v>
      </c>
      <c r="E66" s="202">
        <v>0</v>
      </c>
      <c r="F66" s="202">
        <v>0</v>
      </c>
      <c r="G66" s="202">
        <v>0</v>
      </c>
      <c r="H66" s="202">
        <v>0</v>
      </c>
      <c r="I66" s="202">
        <v>0</v>
      </c>
      <c r="J66" s="202">
        <v>0</v>
      </c>
      <c r="K66" s="202">
        <v>0</v>
      </c>
      <c r="L66" s="202">
        <v>0</v>
      </c>
      <c r="M66" s="202">
        <v>0</v>
      </c>
      <c r="N66" s="202">
        <v>0</v>
      </c>
      <c r="O66" s="202">
        <v>0</v>
      </c>
      <c r="P66" s="202">
        <v>0</v>
      </c>
      <c r="Q66" s="202">
        <v>0</v>
      </c>
      <c r="R66" s="202">
        <v>0</v>
      </c>
      <c r="S66" s="202">
        <v>0</v>
      </c>
      <c r="T66" s="202">
        <v>0</v>
      </c>
      <c r="U66" s="202">
        <v>0</v>
      </c>
      <c r="V66" s="202">
        <v>0</v>
      </c>
      <c r="W66" s="202">
        <v>0</v>
      </c>
      <c r="X66" s="202">
        <v>0</v>
      </c>
      <c r="Y66" s="40">
        <v>0</v>
      </c>
      <c r="Z66" s="40">
        <v>0</v>
      </c>
      <c r="AA66" s="40">
        <v>0</v>
      </c>
      <c r="AB66" s="40">
        <v>0</v>
      </c>
      <c r="AC66" s="40">
        <v>0</v>
      </c>
      <c r="AD66" s="40">
        <v>0</v>
      </c>
      <c r="AE66" s="40">
        <v>0</v>
      </c>
      <c r="AF66" s="40">
        <v>0</v>
      </c>
      <c r="AG66" s="40">
        <v>0</v>
      </c>
      <c r="AH66" s="40">
        <v>0</v>
      </c>
      <c r="AI66" s="40">
        <v>0</v>
      </c>
      <c r="AJ66" s="40">
        <v>0</v>
      </c>
      <c r="AK66" s="40">
        <v>0</v>
      </c>
      <c r="AL66" s="40">
        <v>0</v>
      </c>
      <c r="AM66" s="40">
        <v>85706.81</v>
      </c>
      <c r="AN66" s="40">
        <v>-278636.96000000002</v>
      </c>
      <c r="AO66" s="40">
        <v>0</v>
      </c>
      <c r="AP66" s="40">
        <v>0</v>
      </c>
      <c r="AQ66" s="40">
        <v>0</v>
      </c>
      <c r="AR66" s="40">
        <v>0</v>
      </c>
      <c r="AS66" s="40">
        <v>0</v>
      </c>
      <c r="AT66" s="40">
        <v>214420749.16999999</v>
      </c>
      <c r="AU66" s="40">
        <v>145953407.36000001</v>
      </c>
      <c r="AV66" s="40">
        <v>28092424.260000002</v>
      </c>
      <c r="AW66" s="40">
        <v>0</v>
      </c>
      <c r="AX66" s="40">
        <v>0</v>
      </c>
      <c r="AY66" s="40">
        <v>0</v>
      </c>
      <c r="AZ66" s="40">
        <v>0</v>
      </c>
      <c r="BA66" s="40">
        <v>0</v>
      </c>
      <c r="BB66" s="40">
        <v>0</v>
      </c>
      <c r="BC66" s="40">
        <v>0</v>
      </c>
      <c r="BD66" s="40">
        <v>0</v>
      </c>
      <c r="BE66" s="40">
        <v>0</v>
      </c>
      <c r="BF66" s="40">
        <v>0</v>
      </c>
      <c r="BG66" s="40">
        <v>0</v>
      </c>
      <c r="BH66" s="40">
        <v>0</v>
      </c>
      <c r="BI66" s="40">
        <v>0</v>
      </c>
      <c r="BJ66" s="4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c r="A67" s="22" t="s">
        <v>100</v>
      </c>
      <c r="B67" s="4">
        <f>B65-B66</f>
        <v>351172.6</v>
      </c>
      <c r="C67" s="4">
        <f t="shared" ref="C67:BN67" si="67">C65-C66</f>
        <v>119095.89</v>
      </c>
      <c r="D67" s="4">
        <f t="shared" si="67"/>
        <v>119095.89</v>
      </c>
      <c r="E67" s="4">
        <f t="shared" si="67"/>
        <v>453801.37</v>
      </c>
      <c r="F67" s="4">
        <f t="shared" si="67"/>
        <v>242075.34</v>
      </c>
      <c r="G67" s="4">
        <f t="shared" si="67"/>
        <v>242075.34</v>
      </c>
      <c r="H67" s="4">
        <f t="shared" si="67"/>
        <v>152580.82</v>
      </c>
      <c r="I67" s="4">
        <f t="shared" si="67"/>
        <v>954867.12</v>
      </c>
      <c r="J67" s="4">
        <f t="shared" si="67"/>
        <v>880043.83</v>
      </c>
      <c r="K67" s="4">
        <f t="shared" si="67"/>
        <v>573673.97</v>
      </c>
      <c r="L67" s="4">
        <f t="shared" si="67"/>
        <v>336757.54</v>
      </c>
      <c r="M67" s="4">
        <f t="shared" si="67"/>
        <v>476575.34</v>
      </c>
      <c r="N67" s="4">
        <f t="shared" si="67"/>
        <v>91287.67</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1100350.93</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666438.85</v>
      </c>
      <c r="AL67" s="4">
        <f t="shared" si="67"/>
        <v>666438.85</v>
      </c>
      <c r="AM67" s="4">
        <f t="shared" si="67"/>
        <v>0</v>
      </c>
      <c r="AN67" s="4">
        <f t="shared" si="67"/>
        <v>987723.72</v>
      </c>
      <c r="AO67" s="4">
        <f t="shared" si="67"/>
        <v>0</v>
      </c>
      <c r="AP67" s="4">
        <f t="shared" si="67"/>
        <v>0</v>
      </c>
      <c r="AQ67" s="4">
        <f t="shared" si="67"/>
        <v>0</v>
      </c>
      <c r="AR67" s="4">
        <f t="shared" si="67"/>
        <v>0</v>
      </c>
      <c r="AS67" s="4">
        <f t="shared" si="67"/>
        <v>0</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c r="A68" s="22" t="s">
        <v>101</v>
      </c>
      <c r="B68" s="202">
        <v>-7545220.04</v>
      </c>
      <c r="C68" s="202">
        <v>-6589338.3799999999</v>
      </c>
      <c r="D68" s="202">
        <v>-2659583.5099999998</v>
      </c>
      <c r="E68" s="202">
        <v>-3219928.73</v>
      </c>
      <c r="F68" s="202">
        <v>1045399.08</v>
      </c>
      <c r="G68" s="202">
        <v>497793.56</v>
      </c>
      <c r="H68" s="202">
        <v>1457327.65</v>
      </c>
      <c r="I68" s="202">
        <v>-11279057.25</v>
      </c>
      <c r="J68" s="202">
        <v>-8552210.8900000006</v>
      </c>
      <c r="K68" s="202">
        <v>-4797106.5199999996</v>
      </c>
      <c r="L68" s="202">
        <v>-1937344.42</v>
      </c>
      <c r="M68" s="202">
        <v>-5806204.2800000003</v>
      </c>
      <c r="N68" s="202">
        <v>-937677.7</v>
      </c>
      <c r="O68" s="202">
        <v>131332.74</v>
      </c>
      <c r="P68" s="202">
        <v>157343.1</v>
      </c>
      <c r="Q68" s="202">
        <v>1130343.52</v>
      </c>
      <c r="R68" s="202">
        <v>743907.24</v>
      </c>
      <c r="S68" s="202">
        <v>353327.97</v>
      </c>
      <c r="T68" s="202">
        <v>160435.44</v>
      </c>
      <c r="U68" s="202">
        <v>1826085.25</v>
      </c>
      <c r="V68" s="202">
        <v>2438108.71</v>
      </c>
      <c r="W68" s="202">
        <v>17685.169999999998</v>
      </c>
      <c r="X68" s="202">
        <v>0</v>
      </c>
      <c r="Y68" s="40">
        <v>-13148062.949999999</v>
      </c>
      <c r="Z68" s="40">
        <v>-10178527.93</v>
      </c>
      <c r="AA68" s="40">
        <v>-6197878.7800000003</v>
      </c>
      <c r="AB68" s="40">
        <v>-3242186.46</v>
      </c>
      <c r="AC68" s="40">
        <v>-13165263.77</v>
      </c>
      <c r="AD68" s="40">
        <v>-8810880.1899999995</v>
      </c>
      <c r="AE68" s="40">
        <v>-5510384.21</v>
      </c>
      <c r="AF68" s="40">
        <v>-1621693.85</v>
      </c>
      <c r="AG68" s="40">
        <v>23890594.489999998</v>
      </c>
      <c r="AH68" s="40">
        <v>18279179.75</v>
      </c>
      <c r="AI68" s="40">
        <v>12063791.359999999</v>
      </c>
      <c r="AJ68" s="40">
        <v>5378055.4400000004</v>
      </c>
      <c r="AK68" s="40">
        <v>17430889.129999999</v>
      </c>
      <c r="AL68" s="40">
        <v>12472883.75</v>
      </c>
      <c r="AM68" s="40">
        <v>12428777.24</v>
      </c>
      <c r="AN68" s="40">
        <v>9772412.9399999995</v>
      </c>
      <c r="AO68" s="40">
        <v>0</v>
      </c>
      <c r="AP68" s="40">
        <v>989032.06</v>
      </c>
      <c r="AQ68" s="40">
        <v>342462.79</v>
      </c>
      <c r="AR68" s="40">
        <v>-229725.21</v>
      </c>
      <c r="AS68" s="40">
        <v>0</v>
      </c>
      <c r="AT68" s="40">
        <v>-22649401.350000001</v>
      </c>
      <c r="AU68" s="40">
        <v>-8345207.46</v>
      </c>
      <c r="AV68" s="40">
        <v>-6288958.1900000004</v>
      </c>
      <c r="AW68" s="40">
        <v>-22650844.379999999</v>
      </c>
      <c r="AX68" s="40">
        <v>-13369914.74</v>
      </c>
      <c r="AY68" s="40">
        <v>-8061296.04</v>
      </c>
      <c r="AZ68" s="40">
        <v>-3526988.6</v>
      </c>
      <c r="BA68" s="40">
        <v>-8333112.9000000004</v>
      </c>
      <c r="BB68" s="40">
        <v>-821838.79</v>
      </c>
      <c r="BC68" s="40">
        <v>-2071650.69</v>
      </c>
      <c r="BD68" s="40">
        <v>-3633490.4</v>
      </c>
      <c r="BE68" s="40">
        <v>-12576168.560000001</v>
      </c>
      <c r="BF68" s="40">
        <v>-7133253.9900000002</v>
      </c>
      <c r="BG68" s="40">
        <v>-2940819.66</v>
      </c>
      <c r="BH68" s="40">
        <v>-2516879.5699999998</v>
      </c>
      <c r="BI68" s="40">
        <v>8744950.6500000004</v>
      </c>
      <c r="BJ68" s="40">
        <v>14650393.49</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202">
        <v>1091389473.0699999</v>
      </c>
      <c r="C70" s="202">
        <v>1038278366.5</v>
      </c>
      <c r="D70" s="202">
        <v>1021852946.59</v>
      </c>
      <c r="E70" s="202">
        <v>991209375.58000004</v>
      </c>
      <c r="F70" s="202">
        <v>950637711.79999995</v>
      </c>
      <c r="G70" s="202">
        <v>915922563.47000003</v>
      </c>
      <c r="H70" s="202">
        <v>909832465.58000004</v>
      </c>
      <c r="I70" s="202">
        <v>892884868.82000005</v>
      </c>
      <c r="J70" s="202">
        <v>851634400.14999998</v>
      </c>
      <c r="K70" s="202">
        <v>843360937.77999997</v>
      </c>
      <c r="L70" s="202">
        <v>823265858.40999997</v>
      </c>
      <c r="M70" s="202">
        <v>807226588.05999994</v>
      </c>
      <c r="N70" s="202">
        <v>777111786.25999999</v>
      </c>
      <c r="O70" s="202">
        <v>758564608.17999995</v>
      </c>
      <c r="P70" s="202">
        <v>355718608.83999997</v>
      </c>
      <c r="Q70" s="202">
        <v>339227935.73000002</v>
      </c>
      <c r="R70" s="202">
        <v>270319476.91000003</v>
      </c>
      <c r="S70" s="202">
        <v>200051672.05000001</v>
      </c>
      <c r="T70" s="202">
        <v>132202598.48</v>
      </c>
      <c r="U70" s="202">
        <v>0</v>
      </c>
      <c r="V70" s="202"/>
      <c r="W70" s="202"/>
      <c r="X70" s="202"/>
      <c r="Y70" s="40">
        <v>2932489543.6700001</v>
      </c>
      <c r="Z70" s="40">
        <v>2848128733.9000001</v>
      </c>
      <c r="AA70" s="40">
        <v>2757878280.0100002</v>
      </c>
      <c r="AB70" s="40">
        <v>2745360343.7600002</v>
      </c>
      <c r="AC70" s="40">
        <v>2704458292.2399998</v>
      </c>
      <c r="AD70" s="40">
        <v>2672656786.1900001</v>
      </c>
      <c r="AE70" s="40">
        <v>2586611041.4499998</v>
      </c>
      <c r="AF70" s="40">
        <v>2559221388.8499999</v>
      </c>
      <c r="AG70" s="40">
        <v>2532639722.4200001</v>
      </c>
      <c r="AH70" s="40">
        <v>384442846.82999998</v>
      </c>
      <c r="AI70" s="40">
        <v>311964600.76999998</v>
      </c>
      <c r="AJ70" s="40">
        <v>266080793.58000001</v>
      </c>
      <c r="AK70" s="40">
        <v>175559966.52000001</v>
      </c>
      <c r="AL70" s="40">
        <v>129529844.64</v>
      </c>
      <c r="AM70" s="40">
        <v>0</v>
      </c>
      <c r="AN70" s="40"/>
      <c r="AO70" s="40"/>
      <c r="AP70" s="40">
        <v>106511976.33</v>
      </c>
      <c r="AQ70" s="40">
        <v>0</v>
      </c>
      <c r="AR70" s="40"/>
      <c r="AS70" s="40"/>
      <c r="AT70" s="40">
        <v>5557397185.8000002</v>
      </c>
      <c r="AU70" s="40">
        <v>5294185121.96</v>
      </c>
      <c r="AV70" s="40">
        <v>5276800465.9200001</v>
      </c>
      <c r="AW70" s="40">
        <v>5181853244.1599998</v>
      </c>
      <c r="AX70" s="40">
        <v>5011911653.6700001</v>
      </c>
      <c r="AY70" s="40">
        <v>4820276191.9799995</v>
      </c>
      <c r="AZ70" s="40">
        <v>5010338103.3100004</v>
      </c>
      <c r="BA70" s="40">
        <v>4895309580.54</v>
      </c>
      <c r="BB70" s="40">
        <v>4888570328.4099998</v>
      </c>
      <c r="BC70" s="40">
        <v>4807601462.5600004</v>
      </c>
      <c r="BD70" s="40">
        <v>5068821027.4499998</v>
      </c>
      <c r="BE70" s="40">
        <v>4926753550.1099997</v>
      </c>
      <c r="BF70" s="40">
        <v>4808299542.9399996</v>
      </c>
      <c r="BG70" s="40">
        <v>4751398778.0100002</v>
      </c>
      <c r="BH70" s="40">
        <v>4805853655.8900003</v>
      </c>
      <c r="BI70" s="40">
        <v>4648133672.2799997</v>
      </c>
      <c r="BJ70" s="40">
        <v>4488942480.3800001</v>
      </c>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workbookViewId="0">
      <selection activeCell="A51" sqref="A51:AK51"/>
    </sheetView>
  </sheetViews>
  <sheetFormatPr defaultRowHeight="13.5"/>
  <cols>
    <col min="1" max="1" width="74.625" style="17" bestFit="1" customWidth="1"/>
    <col min="2" max="2" width="22" hidden="1" customWidth="1"/>
    <col min="3" max="3" width="19.5" hidden="1" customWidth="1"/>
    <col min="4" max="4" width="18.25" hidden="1" customWidth="1"/>
    <col min="5" max="5" width="18.25" bestFit="1" customWidth="1"/>
    <col min="6" max="8" width="17.25" hidden="1" customWidth="1"/>
    <col min="9" max="9" width="17.25" bestFit="1" customWidth="1"/>
    <col min="10" max="12" width="17.25" hidden="1" customWidth="1"/>
    <col min="13" max="13" width="17.25" bestFit="1" customWidth="1"/>
    <col min="14" max="16" width="17.25" hidden="1" customWidth="1"/>
    <col min="17" max="17" width="17.25" bestFit="1" customWidth="1"/>
    <col min="18" max="19" width="17.25" hidden="1" customWidth="1"/>
    <col min="20" max="20" width="16.125" hidden="1" customWidth="1"/>
    <col min="21" max="23" width="19.375" bestFit="1" customWidth="1"/>
    <col min="24" max="24" width="19.375" hidden="1" customWidth="1"/>
    <col min="25" max="25" width="19.375" bestFit="1" customWidth="1"/>
    <col min="26" max="28" width="19.375" hidden="1" customWidth="1"/>
    <col min="29" max="29" width="18.375" bestFit="1" customWidth="1"/>
    <col min="30" max="31" width="18.375" hidden="1" customWidth="1"/>
    <col min="32" max="32" width="17.25" hidden="1" customWidth="1"/>
    <col min="33" max="33" width="19.375" bestFit="1" customWidth="1"/>
    <col min="34" max="36" width="16.125" hidden="1" customWidth="1"/>
    <col min="37" max="37" width="17.25" bestFit="1" customWidth="1"/>
    <col min="38" max="38" width="17.25" hidden="1" customWidth="1"/>
    <col min="39" max="40" width="17.25" bestFit="1" customWidth="1"/>
    <col min="41" max="42" width="16.125" hidden="1" customWidth="1"/>
    <col min="43" max="43" width="17.25" bestFit="1" customWidth="1"/>
    <col min="44" max="44" width="15" bestFit="1" customWidth="1"/>
    <col min="45" max="45" width="9.5" hidden="1" customWidth="1"/>
    <col min="46" max="73" width="6.5" bestFit="1" customWidth="1"/>
    <col min="74" max="74" width="11.625" bestFit="1" customWidth="1"/>
  </cols>
  <sheetData>
    <row r="1" spans="1:74" s="6" customFormat="1">
      <c r="A1" s="105">
        <v>300470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41274</v>
      </c>
      <c r="W1" s="1">
        <v>40908</v>
      </c>
      <c r="X1" s="1">
        <v>25569</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5" customFormat="1">
      <c r="A2" s="46" t="s">
        <v>292</v>
      </c>
    </row>
    <row r="3" spans="1:74" s="26" customFormat="1">
      <c r="A3" s="17" t="s">
        <v>320</v>
      </c>
      <c r="B3" s="202">
        <v>128167.55</v>
      </c>
      <c r="C3" s="202">
        <v>125485</v>
      </c>
      <c r="D3" s="202">
        <v>21000</v>
      </c>
      <c r="E3" s="202">
        <v>6400.13</v>
      </c>
      <c r="F3" s="202">
        <v>400</v>
      </c>
      <c r="G3" s="202">
        <v>248842.18</v>
      </c>
      <c r="H3" s="202">
        <v>400</v>
      </c>
      <c r="I3" s="202">
        <v>122144</v>
      </c>
      <c r="J3" s="202">
        <v>122000</v>
      </c>
      <c r="K3" s="202">
        <v>122000</v>
      </c>
      <c r="L3" s="202">
        <v>99000</v>
      </c>
      <c r="M3" s="202">
        <v>970</v>
      </c>
      <c r="N3" s="202">
        <v>970</v>
      </c>
      <c r="O3" s="202">
        <v>500</v>
      </c>
      <c r="P3" s="202">
        <v>350</v>
      </c>
      <c r="Q3" s="202">
        <v>5595</v>
      </c>
      <c r="R3" s="202">
        <v>297365.77</v>
      </c>
      <c r="S3" s="202">
        <v>260</v>
      </c>
      <c r="T3" s="202">
        <v>0</v>
      </c>
      <c r="U3" s="202">
        <v>2495</v>
      </c>
      <c r="V3" s="202">
        <v>4067</v>
      </c>
      <c r="W3" s="202">
        <v>1460</v>
      </c>
      <c r="X3" s="202">
        <v>0</v>
      </c>
      <c r="Y3" s="40">
        <v>91182.96</v>
      </c>
      <c r="Z3" s="40">
        <v>48000</v>
      </c>
      <c r="AA3" s="40">
        <v>48000</v>
      </c>
      <c r="AB3" s="40">
        <v>48000</v>
      </c>
      <c r="AC3" s="40">
        <v>0</v>
      </c>
      <c r="AD3" s="40">
        <v>246310</v>
      </c>
      <c r="AE3" s="40">
        <v>246310</v>
      </c>
      <c r="AF3" s="40">
        <v>240000</v>
      </c>
      <c r="AG3" s="40">
        <v>115834</v>
      </c>
      <c r="AH3" s="40">
        <v>0</v>
      </c>
      <c r="AI3" s="40">
        <v>0</v>
      </c>
      <c r="AJ3" s="40">
        <v>0</v>
      </c>
      <c r="AK3" s="40">
        <v>12660</v>
      </c>
      <c r="AL3" s="40">
        <v>0</v>
      </c>
      <c r="AM3" s="40">
        <v>0</v>
      </c>
      <c r="AN3" s="40">
        <v>29000</v>
      </c>
      <c r="AO3" s="40">
        <v>0</v>
      </c>
      <c r="AP3" s="40">
        <v>67036.850000000006</v>
      </c>
      <c r="AQ3" s="40">
        <v>1409699</v>
      </c>
      <c r="AR3" s="40">
        <v>5494748.9000000004</v>
      </c>
      <c r="AS3" s="40">
        <v>0</v>
      </c>
    </row>
    <row r="4" spans="1:74" s="26" customFormat="1">
      <c r="A4" s="17" t="s">
        <v>304</v>
      </c>
      <c r="B4" s="202">
        <v>15717734.359999999</v>
      </c>
      <c r="C4" s="202">
        <v>13444098.01</v>
      </c>
      <c r="D4" s="202">
        <v>8342392.2000000002</v>
      </c>
      <c r="E4" s="202">
        <v>8679982.5899999999</v>
      </c>
      <c r="F4" s="202">
        <v>8449260.1199999992</v>
      </c>
      <c r="G4" s="202">
        <v>5521137.0800000001</v>
      </c>
      <c r="H4" s="202">
        <v>1939003.27</v>
      </c>
      <c r="I4" s="202">
        <v>5569470.0199999996</v>
      </c>
      <c r="J4" s="202">
        <v>4874089.07</v>
      </c>
      <c r="K4" s="202">
        <v>2796713.55</v>
      </c>
      <c r="L4" s="202">
        <v>816083.25</v>
      </c>
      <c r="M4" s="202">
        <v>4781596.5</v>
      </c>
      <c r="N4" s="202">
        <v>3202849.4</v>
      </c>
      <c r="O4" s="202">
        <v>1426579.82</v>
      </c>
      <c r="P4" s="202">
        <v>2227761.7599999998</v>
      </c>
      <c r="Q4" s="202">
        <v>9337251.75</v>
      </c>
      <c r="R4" s="202">
        <v>5397676.5899999999</v>
      </c>
      <c r="S4" s="202">
        <v>4196549.92</v>
      </c>
      <c r="T4" s="202">
        <v>2598948.04</v>
      </c>
      <c r="U4" s="202">
        <v>17415173.129999999</v>
      </c>
      <c r="V4" s="202">
        <v>34218562.100000001</v>
      </c>
      <c r="W4" s="202">
        <v>17643687.32</v>
      </c>
      <c r="X4" s="202">
        <v>0</v>
      </c>
      <c r="Y4" s="40">
        <v>503625399.32999998</v>
      </c>
      <c r="Z4" s="40">
        <v>379847631.58999997</v>
      </c>
      <c r="AA4" s="40">
        <v>274215462.48000002</v>
      </c>
      <c r="AB4" s="40">
        <v>90037521.530000001</v>
      </c>
      <c r="AC4" s="40">
        <v>655039659.91999996</v>
      </c>
      <c r="AD4" s="40">
        <v>473210340.41000003</v>
      </c>
      <c r="AE4" s="40">
        <v>200332335.90000001</v>
      </c>
      <c r="AF4" s="40">
        <v>105393015.8</v>
      </c>
      <c r="AG4" s="40">
        <v>46610120.020000003</v>
      </c>
      <c r="AH4" s="40">
        <v>35905672.979999997</v>
      </c>
      <c r="AI4" s="40">
        <v>26841559.98</v>
      </c>
      <c r="AJ4" s="40">
        <v>13548823.75</v>
      </c>
      <c r="AK4" s="40">
        <v>286357443.55000001</v>
      </c>
      <c r="AL4" s="40">
        <v>200686046.08000001</v>
      </c>
      <c r="AM4" s="40">
        <v>123376593.66</v>
      </c>
      <c r="AN4" s="40">
        <v>187611967.24000001</v>
      </c>
      <c r="AO4" s="40">
        <v>0</v>
      </c>
      <c r="AP4" s="40">
        <v>2777147.65</v>
      </c>
      <c r="AQ4" s="40">
        <v>104387961.2</v>
      </c>
      <c r="AR4" s="40">
        <v>6589836.9000000004</v>
      </c>
      <c r="AS4" s="40">
        <v>0</v>
      </c>
    </row>
    <row r="5" spans="1:74" s="47" customFormat="1">
      <c r="A5" s="139" t="s">
        <v>295</v>
      </c>
      <c r="E5" s="47">
        <f>E4-E3</f>
        <v>8673582.459999999</v>
      </c>
      <c r="F5" s="47">
        <f t="shared" ref="F5:AR5" si="0">F4-F3</f>
        <v>8448860.1199999992</v>
      </c>
      <c r="G5" s="47">
        <f t="shared" si="0"/>
        <v>5272294.9000000004</v>
      </c>
      <c r="H5" s="47">
        <f t="shared" si="0"/>
        <v>1938603.27</v>
      </c>
      <c r="I5" s="47">
        <f t="shared" si="0"/>
        <v>5447326.0199999996</v>
      </c>
      <c r="J5" s="47">
        <f t="shared" si="0"/>
        <v>4752089.07</v>
      </c>
      <c r="K5" s="47">
        <f t="shared" si="0"/>
        <v>2674713.5499999998</v>
      </c>
      <c r="L5" s="47">
        <f t="shared" si="0"/>
        <v>717083.25</v>
      </c>
      <c r="M5" s="47">
        <f t="shared" si="0"/>
        <v>4780626.5</v>
      </c>
      <c r="N5" s="47">
        <f t="shared" si="0"/>
        <v>3201879.4</v>
      </c>
      <c r="O5" s="47">
        <f t="shared" si="0"/>
        <v>1426079.82</v>
      </c>
      <c r="P5" s="47">
        <f t="shared" si="0"/>
        <v>2227411.7599999998</v>
      </c>
      <c r="Q5" s="47">
        <f t="shared" si="0"/>
        <v>9331656.75</v>
      </c>
      <c r="R5" s="47">
        <f t="shared" si="0"/>
        <v>5100310.82</v>
      </c>
      <c r="S5" s="47">
        <f t="shared" si="0"/>
        <v>4196289.92</v>
      </c>
      <c r="T5" s="47">
        <f t="shared" si="0"/>
        <v>2598948.04</v>
      </c>
      <c r="U5" s="47">
        <f t="shared" si="0"/>
        <v>17412678.129999999</v>
      </c>
      <c r="V5" s="47">
        <f t="shared" si="0"/>
        <v>34214495.100000001</v>
      </c>
      <c r="W5" s="47">
        <f t="shared" si="0"/>
        <v>17642227.32</v>
      </c>
      <c r="X5" s="47">
        <f t="shared" si="0"/>
        <v>0</v>
      </c>
      <c r="Y5" s="47">
        <f t="shared" si="0"/>
        <v>503534216.37</v>
      </c>
      <c r="Z5" s="47">
        <f t="shared" si="0"/>
        <v>379799631.58999997</v>
      </c>
      <c r="AA5" s="47">
        <f t="shared" si="0"/>
        <v>274167462.48000002</v>
      </c>
      <c r="AB5" s="47">
        <f t="shared" si="0"/>
        <v>89989521.530000001</v>
      </c>
      <c r="AC5" s="47">
        <f t="shared" si="0"/>
        <v>655039659.91999996</v>
      </c>
      <c r="AD5" s="47">
        <f t="shared" si="0"/>
        <v>472964030.41000003</v>
      </c>
      <c r="AE5" s="47">
        <f t="shared" si="0"/>
        <v>200086025.90000001</v>
      </c>
      <c r="AF5" s="47">
        <f t="shared" si="0"/>
        <v>105153015.8</v>
      </c>
      <c r="AG5" s="47">
        <f t="shared" si="0"/>
        <v>46494286.020000003</v>
      </c>
      <c r="AH5" s="47">
        <f t="shared" si="0"/>
        <v>35905672.979999997</v>
      </c>
      <c r="AI5" s="47">
        <f t="shared" si="0"/>
        <v>26841559.98</v>
      </c>
      <c r="AJ5" s="47">
        <f t="shared" si="0"/>
        <v>13548823.75</v>
      </c>
      <c r="AK5" s="47">
        <f t="shared" si="0"/>
        <v>286344783.55000001</v>
      </c>
      <c r="AL5" s="47">
        <f t="shared" si="0"/>
        <v>200686046.08000001</v>
      </c>
      <c r="AM5" s="47">
        <f t="shared" si="0"/>
        <v>123376593.66</v>
      </c>
      <c r="AN5" s="47">
        <f t="shared" si="0"/>
        <v>187582967.24000001</v>
      </c>
      <c r="AO5" s="47">
        <f t="shared" si="0"/>
        <v>0</v>
      </c>
      <c r="AP5" s="47">
        <f t="shared" si="0"/>
        <v>2710110.8</v>
      </c>
      <c r="AQ5" s="47">
        <f t="shared" si="0"/>
        <v>102978262.2</v>
      </c>
      <c r="AR5" s="47">
        <f t="shared" si="0"/>
        <v>1095088</v>
      </c>
    </row>
    <row r="6" spans="1:74" s="106" customFormat="1">
      <c r="A6" s="140" t="s">
        <v>305</v>
      </c>
      <c r="B6" s="202">
        <v>0</v>
      </c>
      <c r="C6" s="202">
        <v>4019586.34</v>
      </c>
      <c r="D6" s="202">
        <v>0</v>
      </c>
      <c r="E6" s="202">
        <v>6749134.6600000001</v>
      </c>
      <c r="F6" s="202">
        <v>0</v>
      </c>
      <c r="G6" s="202">
        <v>3289358.39</v>
      </c>
      <c r="H6" s="202">
        <v>0</v>
      </c>
      <c r="I6" s="202">
        <v>5369461.0599999996</v>
      </c>
      <c r="J6" s="202">
        <v>0</v>
      </c>
      <c r="K6" s="202">
        <v>2620334.87</v>
      </c>
      <c r="L6" s="202">
        <v>0</v>
      </c>
      <c r="M6" s="202">
        <v>5805645.7199999997</v>
      </c>
      <c r="N6" s="202">
        <v>0</v>
      </c>
      <c r="O6" s="202">
        <v>3326442.48</v>
      </c>
      <c r="P6" s="202">
        <v>2137057.7000000002</v>
      </c>
      <c r="Q6" s="202">
        <v>4660523.91</v>
      </c>
      <c r="R6" s="202">
        <v>0</v>
      </c>
      <c r="S6" s="202">
        <v>2064970.37</v>
      </c>
      <c r="T6" s="202">
        <v>1019284.69</v>
      </c>
      <c r="U6" s="202">
        <v>3969089.5</v>
      </c>
      <c r="V6" s="202">
        <v>3682818.23</v>
      </c>
      <c r="W6" s="202">
        <v>3385200</v>
      </c>
      <c r="X6" s="202">
        <v>0</v>
      </c>
      <c r="Y6" s="40">
        <v>80074387.840000004</v>
      </c>
      <c r="Z6" s="40">
        <v>0</v>
      </c>
      <c r="AA6" s="40">
        <v>34576765.5</v>
      </c>
      <c r="AB6" s="40">
        <v>0</v>
      </c>
      <c r="AC6" s="40">
        <v>51036630.039999999</v>
      </c>
      <c r="AD6" s="40">
        <v>0</v>
      </c>
      <c r="AE6" s="40">
        <v>22858237.57</v>
      </c>
      <c r="AF6" s="40">
        <v>0</v>
      </c>
      <c r="AG6" s="40">
        <v>45707647.460000001</v>
      </c>
      <c r="AH6" s="40">
        <v>0</v>
      </c>
      <c r="AI6" s="40">
        <v>21383690.02</v>
      </c>
      <c r="AJ6" s="40">
        <v>0</v>
      </c>
      <c r="AK6" s="40">
        <v>35159097.270000003</v>
      </c>
      <c r="AL6" s="40">
        <v>0</v>
      </c>
      <c r="AM6" s="40">
        <v>21886738.149999999</v>
      </c>
      <c r="AN6" s="40">
        <v>13370651.289999999</v>
      </c>
      <c r="AO6" s="40">
        <v>0</v>
      </c>
      <c r="AP6" s="40">
        <v>0</v>
      </c>
      <c r="AQ6" s="40">
        <v>6131817.4000000004</v>
      </c>
      <c r="AR6" s="40">
        <v>3267440.6</v>
      </c>
      <c r="AS6" s="40">
        <v>0</v>
      </c>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202">
        <v>0</v>
      </c>
      <c r="C7" s="202">
        <v>2298397.36</v>
      </c>
      <c r="D7" s="202">
        <v>0</v>
      </c>
      <c r="E7" s="202">
        <v>4827459.5</v>
      </c>
      <c r="F7" s="202">
        <v>0</v>
      </c>
      <c r="G7" s="202">
        <v>1261761.18</v>
      </c>
      <c r="H7" s="202">
        <v>0</v>
      </c>
      <c r="I7" s="202">
        <v>2529712.2599999998</v>
      </c>
      <c r="J7" s="202">
        <v>0</v>
      </c>
      <c r="K7" s="202">
        <v>1328018.6499999999</v>
      </c>
      <c r="L7" s="202">
        <v>0</v>
      </c>
      <c r="M7" s="202">
        <v>2425249.0499999998</v>
      </c>
      <c r="N7" s="202">
        <v>0</v>
      </c>
      <c r="O7" s="202">
        <v>1149487.52</v>
      </c>
      <c r="P7" s="202">
        <v>583370.6</v>
      </c>
      <c r="Q7" s="202">
        <v>2262485.08</v>
      </c>
      <c r="R7" s="202">
        <v>0</v>
      </c>
      <c r="S7" s="202">
        <v>1095744.42</v>
      </c>
      <c r="T7" s="202">
        <v>544617.19999999995</v>
      </c>
      <c r="U7" s="202">
        <v>2107666.17</v>
      </c>
      <c r="V7" s="202">
        <v>2103350.33</v>
      </c>
      <c r="W7" s="202">
        <v>1237500</v>
      </c>
      <c r="X7" s="202">
        <v>0</v>
      </c>
      <c r="Y7" s="40">
        <v>14631926.67</v>
      </c>
      <c r="Z7" s="40">
        <v>0</v>
      </c>
      <c r="AA7" s="40">
        <v>6236589.1699999999</v>
      </c>
      <c r="AB7" s="40">
        <v>0</v>
      </c>
      <c r="AC7" s="40">
        <v>7171381.2199999997</v>
      </c>
      <c r="AD7" s="40">
        <v>0</v>
      </c>
      <c r="AE7" s="40">
        <v>3399221.92</v>
      </c>
      <c r="AF7" s="40">
        <v>0</v>
      </c>
      <c r="AG7" s="40">
        <v>6907513.0800000001</v>
      </c>
      <c r="AH7" s="40">
        <v>0</v>
      </c>
      <c r="AI7" s="40">
        <v>3453624.6</v>
      </c>
      <c r="AJ7" s="40">
        <v>0</v>
      </c>
      <c r="AK7" s="40">
        <v>4896589.84</v>
      </c>
      <c r="AL7" s="40">
        <v>0</v>
      </c>
      <c r="AM7" s="40">
        <v>3177386.06</v>
      </c>
      <c r="AN7" s="40">
        <v>1155438.06</v>
      </c>
      <c r="AO7" s="40">
        <v>0</v>
      </c>
      <c r="AP7" s="40">
        <v>0</v>
      </c>
      <c r="AQ7" s="40">
        <v>182227.34</v>
      </c>
      <c r="AR7" s="40">
        <v>0</v>
      </c>
      <c r="AS7" s="40">
        <v>0</v>
      </c>
    </row>
    <row r="8" spans="1:74" s="26" customFormat="1">
      <c r="A8" s="17" t="s">
        <v>307</v>
      </c>
      <c r="B8" s="202">
        <v>0</v>
      </c>
      <c r="C8" s="202">
        <v>0</v>
      </c>
      <c r="D8" s="202">
        <v>0</v>
      </c>
      <c r="E8" s="202">
        <v>0</v>
      </c>
      <c r="F8" s="202">
        <v>0</v>
      </c>
      <c r="G8" s="202">
        <v>8072.17</v>
      </c>
      <c r="H8" s="202">
        <v>0</v>
      </c>
      <c r="I8" s="202">
        <v>0</v>
      </c>
      <c r="J8" s="202">
        <v>0</v>
      </c>
      <c r="K8" s="202">
        <v>0</v>
      </c>
      <c r="L8" s="202">
        <v>0</v>
      </c>
      <c r="M8" s="202">
        <v>0</v>
      </c>
      <c r="N8" s="202">
        <v>0</v>
      </c>
      <c r="O8" s="202">
        <v>0</v>
      </c>
      <c r="P8" s="202">
        <v>0</v>
      </c>
      <c r="Q8" s="202">
        <v>0</v>
      </c>
      <c r="R8" s="202">
        <v>0</v>
      </c>
      <c r="S8" s="202">
        <v>0</v>
      </c>
      <c r="T8" s="202">
        <v>0</v>
      </c>
      <c r="U8" s="202">
        <v>0</v>
      </c>
      <c r="V8" s="202">
        <v>0</v>
      </c>
      <c r="W8" s="202">
        <v>0</v>
      </c>
      <c r="X8" s="202">
        <v>0</v>
      </c>
      <c r="Y8" s="40">
        <v>896074.29</v>
      </c>
      <c r="Z8" s="40">
        <v>0</v>
      </c>
      <c r="AA8" s="40">
        <v>380273.58</v>
      </c>
      <c r="AB8" s="40">
        <v>0</v>
      </c>
      <c r="AC8" s="40">
        <v>570410.4</v>
      </c>
      <c r="AD8" s="40">
        <v>0</v>
      </c>
      <c r="AE8" s="40">
        <v>53333.34</v>
      </c>
      <c r="AF8" s="40">
        <v>0</v>
      </c>
      <c r="AG8" s="40">
        <v>0</v>
      </c>
      <c r="AH8" s="40">
        <v>0</v>
      </c>
      <c r="AI8" s="40">
        <v>0</v>
      </c>
      <c r="AJ8" s="40">
        <v>0</v>
      </c>
      <c r="AK8" s="40">
        <v>138019.47</v>
      </c>
      <c r="AL8" s="40">
        <v>0</v>
      </c>
      <c r="AM8" s="40">
        <v>165623.32999999999</v>
      </c>
      <c r="AN8" s="40">
        <v>165623.32</v>
      </c>
      <c r="AO8" s="40">
        <v>0</v>
      </c>
      <c r="AP8" s="40">
        <v>0</v>
      </c>
      <c r="AQ8" s="40">
        <v>2890217.52</v>
      </c>
      <c r="AR8" s="40">
        <v>2531264.21</v>
      </c>
      <c r="AS8" s="40">
        <v>0</v>
      </c>
    </row>
    <row r="9" spans="1:74" s="26" customFormat="1">
      <c r="A9" s="17" t="s">
        <v>308</v>
      </c>
      <c r="B9" s="202">
        <v>0</v>
      </c>
      <c r="C9" s="202">
        <v>-67624.91</v>
      </c>
      <c r="D9" s="202">
        <v>0</v>
      </c>
      <c r="E9" s="202">
        <v>30884.45</v>
      </c>
      <c r="F9" s="202">
        <v>0</v>
      </c>
      <c r="G9" s="202">
        <v>-205.13</v>
      </c>
      <c r="H9" s="202">
        <v>0</v>
      </c>
      <c r="I9" s="202">
        <v>-66401.63</v>
      </c>
      <c r="J9" s="202">
        <v>0</v>
      </c>
      <c r="K9" s="202">
        <v>-70937.08</v>
      </c>
      <c r="L9" s="202">
        <v>0</v>
      </c>
      <c r="M9" s="202">
        <v>2903.24</v>
      </c>
      <c r="N9" s="202">
        <v>0</v>
      </c>
      <c r="O9" s="202">
        <v>1240</v>
      </c>
      <c r="P9" s="202">
        <v>-350</v>
      </c>
      <c r="Q9" s="202">
        <v>-637.02</v>
      </c>
      <c r="R9" s="202">
        <v>0</v>
      </c>
      <c r="S9" s="202">
        <v>1326.95</v>
      </c>
      <c r="T9" s="202">
        <v>0</v>
      </c>
      <c r="U9" s="202">
        <v>1887.22</v>
      </c>
      <c r="V9" s="202">
        <v>11149.28</v>
      </c>
      <c r="W9" s="202">
        <v>2200</v>
      </c>
      <c r="X9" s="202">
        <v>0</v>
      </c>
      <c r="Y9" s="40">
        <v>9369971.2300000004</v>
      </c>
      <c r="Z9" s="40">
        <v>0</v>
      </c>
      <c r="AA9" s="40">
        <v>0</v>
      </c>
      <c r="AB9" s="40">
        <v>0</v>
      </c>
      <c r="AC9" s="40">
        <v>3548876.35</v>
      </c>
      <c r="AD9" s="40">
        <v>0</v>
      </c>
      <c r="AE9" s="40">
        <v>1312977.8600000001</v>
      </c>
      <c r="AF9" s="40">
        <v>0</v>
      </c>
      <c r="AG9" s="40">
        <v>12584530.58</v>
      </c>
      <c r="AH9" s="40">
        <v>0</v>
      </c>
      <c r="AI9" s="40">
        <v>22885.88</v>
      </c>
      <c r="AJ9" s="40">
        <v>0</v>
      </c>
      <c r="AK9" s="40">
        <v>2536167.5699999998</v>
      </c>
      <c r="AL9" s="40">
        <v>0</v>
      </c>
      <c r="AM9" s="40">
        <v>508385.8</v>
      </c>
      <c r="AN9" s="40">
        <v>880894.51</v>
      </c>
      <c r="AO9" s="40">
        <v>0</v>
      </c>
      <c r="AP9" s="40">
        <v>0</v>
      </c>
      <c r="AQ9" s="40">
        <v>-1145220.8799999999</v>
      </c>
      <c r="AR9" s="40">
        <v>-2973942.7</v>
      </c>
      <c r="AS9" s="40">
        <v>0</v>
      </c>
    </row>
    <row r="10" spans="1:74" s="26" customFormat="1">
      <c r="A10" s="17" t="s">
        <v>309</v>
      </c>
      <c r="B10" s="202">
        <v>0</v>
      </c>
      <c r="C10" s="202">
        <v>0</v>
      </c>
      <c r="D10" s="202">
        <v>0</v>
      </c>
      <c r="E10" s="202">
        <v>0</v>
      </c>
      <c r="F10" s="202">
        <v>0</v>
      </c>
      <c r="G10" s="202">
        <v>0</v>
      </c>
      <c r="H10" s="202">
        <v>0</v>
      </c>
      <c r="I10" s="202">
        <v>0</v>
      </c>
      <c r="J10" s="202">
        <v>0</v>
      </c>
      <c r="K10" s="202">
        <v>0</v>
      </c>
      <c r="L10" s="202">
        <v>0</v>
      </c>
      <c r="M10" s="202">
        <v>0</v>
      </c>
      <c r="N10" s="202">
        <v>0</v>
      </c>
      <c r="O10" s="202">
        <v>0</v>
      </c>
      <c r="P10" s="202">
        <v>0</v>
      </c>
      <c r="Q10" s="202">
        <v>0</v>
      </c>
      <c r="R10" s="202">
        <v>0</v>
      </c>
      <c r="S10" s="202">
        <v>0</v>
      </c>
      <c r="T10" s="202">
        <v>0</v>
      </c>
      <c r="U10" s="202">
        <v>0</v>
      </c>
      <c r="V10" s="202">
        <v>0</v>
      </c>
      <c r="W10" s="202">
        <v>0</v>
      </c>
      <c r="X10" s="202">
        <v>0</v>
      </c>
      <c r="Y10" s="40">
        <v>0</v>
      </c>
      <c r="Z10" s="40">
        <v>0</v>
      </c>
      <c r="AA10" s="40">
        <v>2457610.36</v>
      </c>
      <c r="AB10" s="40">
        <v>0</v>
      </c>
      <c r="AC10" s="40">
        <v>0</v>
      </c>
      <c r="AD10" s="40">
        <v>0</v>
      </c>
      <c r="AE10" s="40">
        <v>6131.75</v>
      </c>
      <c r="AF10" s="40">
        <v>0</v>
      </c>
      <c r="AG10" s="40">
        <v>0</v>
      </c>
      <c r="AH10" s="40">
        <v>0</v>
      </c>
      <c r="AI10" s="40">
        <v>0</v>
      </c>
      <c r="AJ10" s="40">
        <v>0</v>
      </c>
      <c r="AK10" s="40">
        <v>0</v>
      </c>
      <c r="AL10" s="40">
        <v>0</v>
      </c>
      <c r="AM10" s="40">
        <v>0</v>
      </c>
      <c r="AN10" s="40">
        <v>0</v>
      </c>
      <c r="AO10" s="40">
        <v>0</v>
      </c>
      <c r="AP10" s="40">
        <v>0</v>
      </c>
      <c r="AQ10" s="40">
        <v>63242.29</v>
      </c>
      <c r="AR10" s="40">
        <v>6674</v>
      </c>
      <c r="AS10" s="40">
        <v>0</v>
      </c>
    </row>
    <row r="11" spans="1:74" s="47" customFormat="1">
      <c r="A11" s="139" t="s">
        <v>296</v>
      </c>
      <c r="E11" s="47">
        <f>E5-E6-E7-E8-E9-E10</f>
        <v>-2933896.1500000013</v>
      </c>
      <c r="F11" s="47">
        <f t="shared" ref="F11:AB11" si="1">F5-F6-F7-F8-F9-F10</f>
        <v>8448860.1199999992</v>
      </c>
      <c r="G11" s="47">
        <f t="shared" si="1"/>
        <v>713308.29000000027</v>
      </c>
      <c r="H11" s="47">
        <f t="shared" si="1"/>
        <v>1938603.27</v>
      </c>
      <c r="I11" s="47">
        <f t="shared" si="1"/>
        <v>-2385445.67</v>
      </c>
      <c r="J11" s="47">
        <f t="shared" si="1"/>
        <v>4752089.07</v>
      </c>
      <c r="K11" s="47">
        <f t="shared" si="1"/>
        <v>-1202702.8900000001</v>
      </c>
      <c r="L11" s="47">
        <f t="shared" si="1"/>
        <v>717083.25</v>
      </c>
      <c r="M11" s="47">
        <f t="shared" si="1"/>
        <v>-3453171.51</v>
      </c>
      <c r="N11" s="47">
        <f t="shared" si="1"/>
        <v>3201879.4</v>
      </c>
      <c r="O11" s="47">
        <f t="shared" si="1"/>
        <v>-3051090.1799999997</v>
      </c>
      <c r="P11" s="47">
        <f t="shared" si="1"/>
        <v>-492666.54000000039</v>
      </c>
      <c r="Q11" s="47">
        <f t="shared" si="1"/>
        <v>2409284.7799999998</v>
      </c>
      <c r="R11" s="47">
        <f t="shared" si="1"/>
        <v>5100310.82</v>
      </c>
      <c r="S11" s="47">
        <f t="shared" si="1"/>
        <v>1034248.1799999999</v>
      </c>
      <c r="T11" s="47">
        <f t="shared" si="1"/>
        <v>1035046.1500000001</v>
      </c>
      <c r="U11" s="47">
        <f t="shared" si="1"/>
        <v>11334035.239999998</v>
      </c>
      <c r="V11" s="47">
        <f t="shared" si="1"/>
        <v>28417177.259999998</v>
      </c>
      <c r="W11" s="47">
        <f t="shared" si="1"/>
        <v>13017327.32</v>
      </c>
      <c r="X11" s="47">
        <f t="shared" si="1"/>
        <v>0</v>
      </c>
      <c r="Y11" s="47">
        <f t="shared" si="1"/>
        <v>398561856.33999991</v>
      </c>
      <c r="Z11" s="47">
        <f t="shared" si="1"/>
        <v>379799631.58999997</v>
      </c>
      <c r="AA11" s="47">
        <f t="shared" si="1"/>
        <v>230516223.87</v>
      </c>
      <c r="AB11" s="47">
        <f t="shared" si="1"/>
        <v>89989521.530000001</v>
      </c>
    </row>
    <row r="12" spans="1:74" s="26" customFormat="1">
      <c r="A12" s="17" t="s">
        <v>297</v>
      </c>
      <c r="E12" s="26">
        <f t="shared" ref="E12:AB12" si="2">I34</f>
        <v>263845286.18000001</v>
      </c>
      <c r="F12" s="26">
        <f t="shared" si="2"/>
        <v>136415539.08000001</v>
      </c>
      <c r="G12" s="26">
        <f t="shared" si="2"/>
        <v>135753008.28</v>
      </c>
      <c r="H12" s="26">
        <f t="shared" si="2"/>
        <v>135106044.97999999</v>
      </c>
      <c r="I12" s="26">
        <f t="shared" si="2"/>
        <v>135542723.62</v>
      </c>
      <c r="J12" s="26">
        <f t="shared" si="2"/>
        <v>132307537.11</v>
      </c>
      <c r="K12" s="26">
        <f t="shared" si="2"/>
        <v>130622942.42</v>
      </c>
      <c r="L12" s="26">
        <f t="shared" si="2"/>
        <v>131951902.92</v>
      </c>
      <c r="M12" s="26">
        <f t="shared" si="2"/>
        <v>134035221.97</v>
      </c>
      <c r="N12" s="26">
        <f t="shared" si="2"/>
        <v>123093770.95</v>
      </c>
      <c r="O12" s="26">
        <f t="shared" si="2"/>
        <v>102214467.84</v>
      </c>
      <c r="P12" s="26">
        <f t="shared" si="2"/>
        <v>63491916.259999998</v>
      </c>
      <c r="Q12" s="26">
        <f t="shared" si="2"/>
        <v>0</v>
      </c>
      <c r="R12" s="26">
        <f t="shared" si="2"/>
        <v>0</v>
      </c>
      <c r="S12" s="26">
        <f t="shared" si="2"/>
        <v>0</v>
      </c>
      <c r="T12" s="26">
        <f t="shared" si="2"/>
        <v>0</v>
      </c>
      <c r="U12" s="26">
        <f t="shared" si="2"/>
        <v>1692988956.96</v>
      </c>
      <c r="V12" s="26">
        <f t="shared" si="2"/>
        <v>1564687134.1800001</v>
      </c>
      <c r="W12" s="26">
        <f t="shared" si="2"/>
        <v>1478062969.8499999</v>
      </c>
      <c r="X12" s="26">
        <f t="shared" si="2"/>
        <v>1099582577.6300001</v>
      </c>
      <c r="Y12" s="26">
        <f t="shared" si="2"/>
        <v>0</v>
      </c>
      <c r="Z12" s="26">
        <f t="shared" si="2"/>
        <v>0</v>
      </c>
      <c r="AA12" s="26">
        <f t="shared" si="2"/>
        <v>0</v>
      </c>
      <c r="AB12" s="26">
        <f t="shared" si="2"/>
        <v>0</v>
      </c>
    </row>
    <row r="13" spans="1:74" s="63" customFormat="1">
      <c r="A13" s="63" t="s">
        <v>354</v>
      </c>
      <c r="E13" s="63">
        <f>E11/E12</f>
        <v>-1.1119759585162512E-2</v>
      </c>
      <c r="F13" s="63">
        <f t="shared" ref="F13:AK13" si="3">F11/F12</f>
        <v>6.1934733953184169E-2</v>
      </c>
      <c r="G13" s="63">
        <f t="shared" si="3"/>
        <v>5.2544565975934203E-3</v>
      </c>
      <c r="H13" s="63">
        <f t="shared" si="3"/>
        <v>1.4348753013138496E-2</v>
      </c>
      <c r="I13" s="63">
        <f t="shared" si="3"/>
        <v>-1.7599215998401373E-2</v>
      </c>
      <c r="J13" s="63">
        <f t="shared" si="3"/>
        <v>3.5916994404099074E-2</v>
      </c>
      <c r="K13" s="63">
        <f t="shared" si="3"/>
        <v>-9.2074398855055296E-3</v>
      </c>
      <c r="L13" s="63">
        <f t="shared" si="3"/>
        <v>5.434429016417856E-3</v>
      </c>
      <c r="M13" s="63">
        <f t="shared" si="3"/>
        <v>-2.5763164780470128E-2</v>
      </c>
      <c r="N13" s="63">
        <f t="shared" si="3"/>
        <v>2.6011709408923587E-2</v>
      </c>
      <c r="O13" s="63">
        <f t="shared" si="3"/>
        <v>-2.9849885681310608E-2</v>
      </c>
      <c r="P13" s="63">
        <f t="shared" si="3"/>
        <v>-7.7595159985804534E-3</v>
      </c>
      <c r="Q13" s="63" t="e">
        <f t="shared" si="3"/>
        <v>#DIV/0!</v>
      </c>
      <c r="R13" s="63" t="e">
        <f t="shared" si="3"/>
        <v>#DIV/0!</v>
      </c>
      <c r="S13" s="63" t="e">
        <f t="shared" si="3"/>
        <v>#DIV/0!</v>
      </c>
      <c r="T13" s="63" t="e">
        <f t="shared" si="3"/>
        <v>#DIV/0!</v>
      </c>
      <c r="U13" s="63">
        <f t="shared" si="3"/>
        <v>6.6946894091688899E-3</v>
      </c>
      <c r="V13" s="63">
        <f t="shared" si="3"/>
        <v>1.8161571498376567E-2</v>
      </c>
      <c r="W13" s="63">
        <f t="shared" si="3"/>
        <v>8.807018094310998E-3</v>
      </c>
      <c r="X13" s="63">
        <f t="shared" si="3"/>
        <v>0</v>
      </c>
      <c r="Y13" s="63" t="e">
        <f t="shared" si="3"/>
        <v>#DIV/0!</v>
      </c>
      <c r="Z13" s="63" t="e">
        <f t="shared" si="3"/>
        <v>#DIV/0!</v>
      </c>
      <c r="AA13" s="63" t="e">
        <f t="shared" si="3"/>
        <v>#DIV/0!</v>
      </c>
      <c r="AB13" s="63" t="e">
        <f t="shared" si="3"/>
        <v>#DIV/0!</v>
      </c>
      <c r="AC13" s="63" t="e">
        <f t="shared" si="3"/>
        <v>#DIV/0!</v>
      </c>
      <c r="AD13" s="63" t="e">
        <f t="shared" si="3"/>
        <v>#DIV/0!</v>
      </c>
      <c r="AE13" s="63" t="e">
        <f t="shared" si="3"/>
        <v>#DIV/0!</v>
      </c>
      <c r="AF13" s="63" t="e">
        <f t="shared" si="3"/>
        <v>#DIV/0!</v>
      </c>
      <c r="AG13" s="63" t="e">
        <f t="shared" si="3"/>
        <v>#DIV/0!</v>
      </c>
      <c r="AH13" s="63" t="e">
        <f t="shared" si="3"/>
        <v>#DIV/0!</v>
      </c>
      <c r="AI13" s="63" t="e">
        <f t="shared" si="3"/>
        <v>#DIV/0!</v>
      </c>
      <c r="AJ13" s="63" t="e">
        <f t="shared" si="3"/>
        <v>#DIV/0!</v>
      </c>
      <c r="AK13" s="63" t="e">
        <f t="shared" si="3"/>
        <v>#DIV/0!</v>
      </c>
    </row>
    <row r="14" spans="1:74" s="48" customFormat="1">
      <c r="A14" s="46" t="s">
        <v>293</v>
      </c>
    </row>
    <row r="15" spans="1:74" s="26" customFormat="1">
      <c r="A15" s="17" t="s">
        <v>313</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40">
        <v>0</v>
      </c>
      <c r="Z15" s="40">
        <v>0</v>
      </c>
      <c r="AA15" s="40">
        <v>0</v>
      </c>
      <c r="AB15" s="40">
        <v>0</v>
      </c>
      <c r="AC15" s="40">
        <v>0</v>
      </c>
      <c r="AD15" s="40">
        <v>0</v>
      </c>
      <c r="AE15" s="40">
        <v>0</v>
      </c>
      <c r="AF15" s="40">
        <v>0</v>
      </c>
      <c r="AG15" s="40">
        <v>0</v>
      </c>
      <c r="AH15" s="40">
        <v>0</v>
      </c>
      <c r="AI15" s="40">
        <v>0</v>
      </c>
      <c r="AJ15" s="40">
        <v>0</v>
      </c>
      <c r="AK15" s="40">
        <v>0</v>
      </c>
      <c r="AL15" s="40">
        <v>0</v>
      </c>
      <c r="AM15" s="40">
        <v>0</v>
      </c>
      <c r="AN15" s="40">
        <v>0</v>
      </c>
      <c r="AO15" s="40">
        <v>0</v>
      </c>
      <c r="AP15" s="40">
        <v>0</v>
      </c>
      <c r="AQ15" s="40">
        <v>0</v>
      </c>
      <c r="AR15" s="40">
        <v>0</v>
      </c>
      <c r="AS15" s="40">
        <v>0</v>
      </c>
    </row>
    <row r="16" spans="1:74" s="26" customFormat="1">
      <c r="A16" s="17" t="s">
        <v>314</v>
      </c>
      <c r="B16" s="202">
        <v>216528259.25999999</v>
      </c>
      <c r="C16" s="202">
        <v>33000000</v>
      </c>
      <c r="D16" s="202">
        <v>0</v>
      </c>
      <c r="E16" s="202">
        <v>0</v>
      </c>
      <c r="F16" s="202">
        <v>0</v>
      </c>
      <c r="G16" s="202">
        <v>0</v>
      </c>
      <c r="H16" s="202">
        <v>0</v>
      </c>
      <c r="I16" s="202">
        <v>125400000</v>
      </c>
      <c r="J16" s="202">
        <v>0</v>
      </c>
      <c r="K16" s="202">
        <v>0</v>
      </c>
      <c r="L16" s="202">
        <v>0</v>
      </c>
      <c r="M16" s="202">
        <v>0</v>
      </c>
      <c r="N16" s="202">
        <v>0</v>
      </c>
      <c r="O16" s="202">
        <v>0</v>
      </c>
      <c r="P16" s="202">
        <v>0</v>
      </c>
      <c r="Q16" s="202">
        <v>0</v>
      </c>
      <c r="R16" s="202">
        <v>0</v>
      </c>
      <c r="S16" s="202">
        <v>0</v>
      </c>
      <c r="T16" s="202">
        <v>0</v>
      </c>
      <c r="U16" s="202">
        <v>0</v>
      </c>
      <c r="V16" s="202">
        <v>0</v>
      </c>
      <c r="W16" s="202">
        <v>0</v>
      </c>
      <c r="X16" s="202">
        <v>0</v>
      </c>
      <c r="Y16" s="40">
        <v>176000000</v>
      </c>
      <c r="Z16" s="40">
        <v>0</v>
      </c>
      <c r="AA16" s="40">
        <v>0</v>
      </c>
      <c r="AB16" s="40">
        <v>0</v>
      </c>
      <c r="AC16" s="40">
        <v>0</v>
      </c>
      <c r="AD16" s="40">
        <v>0</v>
      </c>
      <c r="AE16" s="40">
        <v>0</v>
      </c>
      <c r="AF16" s="40">
        <v>0</v>
      </c>
      <c r="AG16" s="40">
        <v>0</v>
      </c>
      <c r="AH16" s="40">
        <v>0</v>
      </c>
      <c r="AI16" s="40">
        <v>0</v>
      </c>
      <c r="AJ16" s="40">
        <v>0</v>
      </c>
      <c r="AK16" s="40">
        <v>0</v>
      </c>
      <c r="AL16" s="40">
        <v>0</v>
      </c>
      <c r="AM16" s="40">
        <v>0</v>
      </c>
      <c r="AN16" s="40">
        <v>23790600.27</v>
      </c>
      <c r="AO16" s="40">
        <v>0</v>
      </c>
      <c r="AP16" s="40">
        <v>0</v>
      </c>
      <c r="AQ16" s="40">
        <v>15439308.800000001</v>
      </c>
      <c r="AR16" s="40">
        <v>0</v>
      </c>
      <c r="AS16" s="40">
        <v>0</v>
      </c>
    </row>
    <row r="17" spans="1:74" s="47" customFormat="1">
      <c r="A17" s="139" t="s">
        <v>298</v>
      </c>
      <c r="E17" s="47">
        <f>E16-E15</f>
        <v>0</v>
      </c>
      <c r="F17" s="47">
        <f t="shared" ref="F17:AB17" si="4">F16-F15</f>
        <v>0</v>
      </c>
      <c r="G17" s="47">
        <f t="shared" si="4"/>
        <v>0</v>
      </c>
      <c r="H17" s="47">
        <f t="shared" si="4"/>
        <v>0</v>
      </c>
      <c r="I17" s="47">
        <f t="shared" si="4"/>
        <v>125400000</v>
      </c>
      <c r="J17" s="47">
        <f t="shared" si="4"/>
        <v>0</v>
      </c>
      <c r="K17" s="47">
        <f t="shared" si="4"/>
        <v>0</v>
      </c>
      <c r="L17" s="47">
        <f t="shared" si="4"/>
        <v>0</v>
      </c>
      <c r="M17" s="47">
        <f t="shared" si="4"/>
        <v>0</v>
      </c>
      <c r="N17" s="47">
        <f t="shared" si="4"/>
        <v>0</v>
      </c>
      <c r="O17" s="47">
        <f t="shared" si="4"/>
        <v>0</v>
      </c>
      <c r="P17" s="47">
        <f t="shared" si="4"/>
        <v>0</v>
      </c>
      <c r="Q17" s="47">
        <f t="shared" si="4"/>
        <v>0</v>
      </c>
      <c r="R17" s="47">
        <f t="shared" si="4"/>
        <v>0</v>
      </c>
      <c r="S17" s="47">
        <f t="shared" si="4"/>
        <v>0</v>
      </c>
      <c r="T17" s="47">
        <f t="shared" si="4"/>
        <v>0</v>
      </c>
      <c r="U17" s="47">
        <f t="shared" si="4"/>
        <v>0</v>
      </c>
      <c r="V17" s="47">
        <f t="shared" si="4"/>
        <v>0</v>
      </c>
      <c r="W17" s="47">
        <f t="shared" si="4"/>
        <v>0</v>
      </c>
      <c r="X17" s="47">
        <f t="shared" si="4"/>
        <v>0</v>
      </c>
      <c r="Y17" s="47">
        <f t="shared" si="4"/>
        <v>176000000</v>
      </c>
      <c r="Z17" s="47">
        <f t="shared" si="4"/>
        <v>0</v>
      </c>
      <c r="AA17" s="47">
        <f t="shared" si="4"/>
        <v>0</v>
      </c>
      <c r="AB17" s="47">
        <f t="shared" si="4"/>
        <v>0</v>
      </c>
    </row>
    <row r="18" spans="1:74" s="48" customFormat="1">
      <c r="A18" s="46" t="s">
        <v>294</v>
      </c>
    </row>
    <row r="19" spans="1:74" s="26" customFormat="1">
      <c r="A19" s="17" t="s">
        <v>299</v>
      </c>
      <c r="E19" s="26">
        <f>E5+E17</f>
        <v>8673582.459999999</v>
      </c>
      <c r="F19" s="26">
        <f t="shared" ref="F19:AB19" si="5">F5+F17</f>
        <v>8448860.1199999992</v>
      </c>
      <c r="G19" s="26">
        <f t="shared" si="5"/>
        <v>5272294.9000000004</v>
      </c>
      <c r="H19" s="26">
        <f t="shared" si="5"/>
        <v>1938603.27</v>
      </c>
      <c r="I19" s="26">
        <f t="shared" si="5"/>
        <v>130847326.02</v>
      </c>
      <c r="J19" s="26">
        <f t="shared" si="5"/>
        <v>4752089.07</v>
      </c>
      <c r="K19" s="26">
        <f t="shared" si="5"/>
        <v>2674713.5499999998</v>
      </c>
      <c r="L19" s="26">
        <f t="shared" si="5"/>
        <v>717083.25</v>
      </c>
      <c r="M19" s="26">
        <f t="shared" si="5"/>
        <v>4780626.5</v>
      </c>
      <c r="N19" s="26">
        <f t="shared" si="5"/>
        <v>3201879.4</v>
      </c>
      <c r="O19" s="26">
        <f t="shared" si="5"/>
        <v>1426079.82</v>
      </c>
      <c r="P19" s="26">
        <f t="shared" si="5"/>
        <v>2227411.7599999998</v>
      </c>
      <c r="Q19" s="26">
        <f t="shared" si="5"/>
        <v>9331656.75</v>
      </c>
      <c r="R19" s="26">
        <f t="shared" si="5"/>
        <v>5100310.82</v>
      </c>
      <c r="S19" s="26">
        <f t="shared" si="5"/>
        <v>4196289.92</v>
      </c>
      <c r="T19" s="26">
        <f t="shared" si="5"/>
        <v>2598948.04</v>
      </c>
      <c r="U19" s="26">
        <f t="shared" si="5"/>
        <v>17412678.129999999</v>
      </c>
      <c r="V19" s="26">
        <f t="shared" si="5"/>
        <v>34214495.100000001</v>
      </c>
      <c r="W19" s="26">
        <f t="shared" si="5"/>
        <v>17642227.32</v>
      </c>
      <c r="X19" s="26">
        <f t="shared" si="5"/>
        <v>0</v>
      </c>
      <c r="Y19" s="26">
        <f t="shared" si="5"/>
        <v>679534216.37</v>
      </c>
      <c r="Z19" s="26">
        <f t="shared" si="5"/>
        <v>379799631.58999997</v>
      </c>
      <c r="AA19" s="26">
        <f t="shared" si="5"/>
        <v>274167462.48000002</v>
      </c>
      <c r="AB19" s="26">
        <f t="shared" si="5"/>
        <v>89989521.530000001</v>
      </c>
    </row>
    <row r="20" spans="1:74" s="26" customFormat="1">
      <c r="A20" s="17" t="s">
        <v>300</v>
      </c>
      <c r="B20" s="202">
        <v>23999665.440000001</v>
      </c>
      <c r="C20" s="202">
        <v>10077152.57</v>
      </c>
      <c r="D20" s="202">
        <v>-5498692.1100000003</v>
      </c>
      <c r="E20" s="202">
        <v>72202714.969999999</v>
      </c>
      <c r="F20" s="202">
        <v>32546261.690000001</v>
      </c>
      <c r="G20" s="202">
        <v>19253786.199999999</v>
      </c>
      <c r="H20" s="202">
        <v>3316123.84</v>
      </c>
      <c r="I20" s="202">
        <v>69961461.189999998</v>
      </c>
      <c r="J20" s="202">
        <v>35292871.390000001</v>
      </c>
      <c r="K20" s="202">
        <v>23404106.48</v>
      </c>
      <c r="L20" s="202">
        <v>-1003658.93</v>
      </c>
      <c r="M20" s="202">
        <v>25286050.879999999</v>
      </c>
      <c r="N20" s="202">
        <v>-990862.54</v>
      </c>
      <c r="O20" s="202">
        <v>4571174.9000000004</v>
      </c>
      <c r="P20" s="202">
        <v>5179884.62</v>
      </c>
      <c r="Q20" s="202">
        <v>38535259.909999996</v>
      </c>
      <c r="R20" s="202">
        <v>23626517.34</v>
      </c>
      <c r="S20" s="202">
        <v>13958199.140000001</v>
      </c>
      <c r="T20" s="202">
        <v>4913653.6500000004</v>
      </c>
      <c r="U20" s="202">
        <v>35251184.609999999</v>
      </c>
      <c r="V20" s="202">
        <v>32455696.800000001</v>
      </c>
      <c r="W20" s="202">
        <v>10428794.039999999</v>
      </c>
      <c r="X20" s="202">
        <v>0</v>
      </c>
      <c r="Y20" s="40">
        <v>395550930.70999998</v>
      </c>
      <c r="Z20" s="40">
        <v>250293047.62</v>
      </c>
      <c r="AA20" s="40">
        <v>195407042.40000001</v>
      </c>
      <c r="AB20" s="40">
        <v>71978644.489999995</v>
      </c>
      <c r="AC20" s="40">
        <v>294952116.56999999</v>
      </c>
      <c r="AD20" s="40">
        <v>267189069.49000001</v>
      </c>
      <c r="AE20" s="40">
        <v>157247235.66999999</v>
      </c>
      <c r="AF20" s="40">
        <v>55175773.840000004</v>
      </c>
      <c r="AG20" s="40">
        <v>250359905.77000001</v>
      </c>
      <c r="AH20" s="40">
        <v>221377182.50999999</v>
      </c>
      <c r="AI20" s="40">
        <v>120598528.28</v>
      </c>
      <c r="AJ20" s="40">
        <v>12877267.82</v>
      </c>
      <c r="AK20" s="40">
        <v>150712242.96000001</v>
      </c>
      <c r="AL20" s="40">
        <v>111173979.29000001</v>
      </c>
      <c r="AM20" s="40">
        <v>98719784.069999993</v>
      </c>
      <c r="AN20" s="40">
        <v>255265844.22</v>
      </c>
      <c r="AO20" s="40">
        <v>0</v>
      </c>
      <c r="AP20" s="40">
        <v>-5005112.54</v>
      </c>
      <c r="AQ20" s="40">
        <v>129131862.63</v>
      </c>
      <c r="AR20" s="40">
        <v>78800876.209999993</v>
      </c>
      <c r="AS20" s="40">
        <v>0</v>
      </c>
    </row>
    <row r="21" spans="1:74" s="63" customFormat="1">
      <c r="A21" s="63" t="s">
        <v>558</v>
      </c>
      <c r="E21" s="63">
        <f>E20/E19</f>
        <v>8.3244397920902458</v>
      </c>
      <c r="F21" s="63">
        <f t="shared" ref="F21:AB21" si="6">F20/F19</f>
        <v>3.8521482457683303</v>
      </c>
      <c r="G21" s="63">
        <f t="shared" si="6"/>
        <v>3.6518796018030018</v>
      </c>
      <c r="H21" s="63">
        <f t="shared" si="6"/>
        <v>1.7105737369358713</v>
      </c>
      <c r="I21" s="63">
        <f t="shared" si="6"/>
        <v>0.5346800986923218</v>
      </c>
      <c r="J21" s="63">
        <f t="shared" si="6"/>
        <v>7.4268118442485331</v>
      </c>
      <c r="K21" s="63">
        <f t="shared" si="6"/>
        <v>8.7501356846231264</v>
      </c>
      <c r="L21" s="63">
        <f t="shared" si="6"/>
        <v>-1.3996407390634211</v>
      </c>
      <c r="M21" s="63">
        <f t="shared" si="6"/>
        <v>5.2892755541559247</v>
      </c>
      <c r="N21" s="63">
        <f t="shared" si="6"/>
        <v>-0.30946279238374813</v>
      </c>
      <c r="O21" s="63">
        <f t="shared" si="6"/>
        <v>3.205413074283598</v>
      </c>
      <c r="P21" s="63">
        <f t="shared" si="6"/>
        <v>2.3255173170137167</v>
      </c>
      <c r="Q21" s="63">
        <f t="shared" si="6"/>
        <v>4.1295196493377233</v>
      </c>
      <c r="R21" s="63">
        <f t="shared" si="6"/>
        <v>4.6323681386931623</v>
      </c>
      <c r="S21" s="63">
        <f t="shared" si="6"/>
        <v>3.3263190594800469</v>
      </c>
      <c r="T21" s="63">
        <f t="shared" si="6"/>
        <v>1.8906317380627589</v>
      </c>
      <c r="U21" s="63">
        <f t="shared" si="6"/>
        <v>2.0244550750218226</v>
      </c>
      <c r="V21" s="63">
        <f t="shared" si="6"/>
        <v>0.94859493630230418</v>
      </c>
      <c r="W21" s="63">
        <f t="shared" si="6"/>
        <v>0.5911268373793972</v>
      </c>
      <c r="X21" s="63" t="e">
        <f t="shared" si="6"/>
        <v>#DIV/0!</v>
      </c>
      <c r="Y21" s="63">
        <f t="shared" si="6"/>
        <v>0.58209126366438357</v>
      </c>
      <c r="Z21" s="63">
        <f t="shared" si="6"/>
        <v>0.65901340286236909</v>
      </c>
      <c r="AA21" s="63">
        <f t="shared" si="6"/>
        <v>0.71272878492740388</v>
      </c>
      <c r="AB21" s="63">
        <f t="shared" si="6"/>
        <v>0.79985584172713176</v>
      </c>
    </row>
    <row r="22" spans="1:74" s="26" customFormat="1">
      <c r="A22" s="17" t="s">
        <v>301</v>
      </c>
      <c r="E22" s="26">
        <f>I35</f>
        <v>493851281.17000002</v>
      </c>
      <c r="F22" s="26">
        <f t="shared" ref="F22:AB22" si="7">J35</f>
        <v>461432565.64999998</v>
      </c>
      <c r="G22" s="26">
        <f t="shared" si="7"/>
        <v>423235120.27999997</v>
      </c>
      <c r="H22" s="26">
        <f t="shared" si="7"/>
        <v>411767153.42000002</v>
      </c>
      <c r="I22" s="26">
        <f t="shared" si="7"/>
        <v>413367888.41000003</v>
      </c>
      <c r="J22" s="26">
        <f t="shared" si="7"/>
        <v>389489625.13</v>
      </c>
      <c r="K22" s="26">
        <f t="shared" si="7"/>
        <v>462791285.51999998</v>
      </c>
      <c r="L22" s="26">
        <f t="shared" si="7"/>
        <v>63260732.039999999</v>
      </c>
      <c r="M22" s="26">
        <f t="shared" si="7"/>
        <v>75747117.969999999</v>
      </c>
      <c r="N22" s="26">
        <f t="shared" si="7"/>
        <v>26369896.879999999</v>
      </c>
      <c r="O22" s="26">
        <f t="shared" si="7"/>
        <v>45028010.689999998</v>
      </c>
      <c r="P22" s="26">
        <f t="shared" si="7"/>
        <v>52203020.68</v>
      </c>
      <c r="Q22" s="26">
        <f t="shared" si="7"/>
        <v>0</v>
      </c>
      <c r="R22" s="26">
        <f t="shared" si="7"/>
        <v>0</v>
      </c>
      <c r="S22" s="26">
        <f t="shared" si="7"/>
        <v>0</v>
      </c>
      <c r="T22" s="26">
        <f t="shared" si="7"/>
        <v>0</v>
      </c>
      <c r="U22" s="26">
        <f t="shared" si="7"/>
        <v>0</v>
      </c>
      <c r="V22" s="26">
        <f t="shared" si="7"/>
        <v>0</v>
      </c>
      <c r="W22" s="26">
        <f t="shared" si="7"/>
        <v>0</v>
      </c>
      <c r="X22" s="26">
        <f t="shared" si="7"/>
        <v>0</v>
      </c>
      <c r="Y22" s="26">
        <f t="shared" si="7"/>
        <v>0</v>
      </c>
      <c r="Z22" s="26">
        <f t="shared" si="7"/>
        <v>0</v>
      </c>
      <c r="AA22" s="26">
        <f t="shared" si="7"/>
        <v>0</v>
      </c>
      <c r="AB22" s="26">
        <f t="shared" si="7"/>
        <v>0</v>
      </c>
    </row>
    <row r="23" spans="1:74" s="26" customFormat="1">
      <c r="A23" s="17" t="s">
        <v>302</v>
      </c>
      <c r="E23" s="26">
        <f>E20+E22-E19</f>
        <v>557380413.67999995</v>
      </c>
      <c r="F23" s="26">
        <f t="shared" ref="F23:AB23" si="8">F20+F22-F19</f>
        <v>485529967.21999997</v>
      </c>
      <c r="G23" s="26">
        <f t="shared" si="8"/>
        <v>437216611.57999998</v>
      </c>
      <c r="H23" s="26">
        <f t="shared" si="8"/>
        <v>413144673.99000001</v>
      </c>
      <c r="I23" s="26">
        <f t="shared" si="8"/>
        <v>352482023.58000004</v>
      </c>
      <c r="J23" s="26">
        <f t="shared" si="8"/>
        <v>420030407.44999999</v>
      </c>
      <c r="K23" s="26">
        <f t="shared" si="8"/>
        <v>483520678.44999999</v>
      </c>
      <c r="L23" s="26">
        <f t="shared" si="8"/>
        <v>61539989.859999999</v>
      </c>
      <c r="M23" s="26">
        <f t="shared" si="8"/>
        <v>96252542.349999994</v>
      </c>
      <c r="N23" s="26">
        <f t="shared" si="8"/>
        <v>22177154.940000001</v>
      </c>
      <c r="O23" s="26">
        <f t="shared" si="8"/>
        <v>48173105.769999996</v>
      </c>
      <c r="P23" s="26">
        <f t="shared" si="8"/>
        <v>55155493.539999999</v>
      </c>
      <c r="Q23" s="26">
        <f t="shared" si="8"/>
        <v>29203603.159999996</v>
      </c>
      <c r="R23" s="26">
        <f t="shared" si="8"/>
        <v>18526206.52</v>
      </c>
      <c r="S23" s="26">
        <f t="shared" si="8"/>
        <v>9761909.2200000007</v>
      </c>
      <c r="T23" s="26">
        <f t="shared" si="8"/>
        <v>2314705.6100000003</v>
      </c>
      <c r="U23" s="26">
        <f t="shared" si="8"/>
        <v>17838506.48</v>
      </c>
      <c r="V23" s="26">
        <f t="shared" si="8"/>
        <v>-1758798.3000000007</v>
      </c>
      <c r="W23" s="26">
        <f t="shared" si="8"/>
        <v>-7213433.2800000012</v>
      </c>
      <c r="X23" s="26">
        <f t="shared" si="8"/>
        <v>0</v>
      </c>
      <c r="Y23" s="26">
        <f t="shared" si="8"/>
        <v>-283983285.66000003</v>
      </c>
      <c r="Z23" s="26">
        <f t="shared" si="8"/>
        <v>-129506583.96999997</v>
      </c>
      <c r="AA23" s="26">
        <f t="shared" si="8"/>
        <v>-78760420.080000013</v>
      </c>
      <c r="AB23" s="26">
        <f t="shared" si="8"/>
        <v>-18010877.040000007</v>
      </c>
    </row>
    <row r="24" spans="1:74" s="26" customFormat="1">
      <c r="A24" s="17" t="s">
        <v>303</v>
      </c>
      <c r="B24" s="202">
        <v>106342659.44</v>
      </c>
      <c r="C24" s="202">
        <v>-33992542.600000001</v>
      </c>
      <c r="D24" s="202">
        <v>-4122243.02</v>
      </c>
      <c r="E24" s="202">
        <v>-175794460.61000001</v>
      </c>
      <c r="F24" s="202">
        <v>-15851903.67</v>
      </c>
      <c r="G24" s="202">
        <v>-2555812.06</v>
      </c>
      <c r="H24" s="202">
        <v>158638.51999999999</v>
      </c>
      <c r="I24" s="202">
        <v>141932782.49000001</v>
      </c>
      <c r="J24" s="202">
        <v>-11837080.52</v>
      </c>
      <c r="K24" s="202">
        <v>-11818735.960000001</v>
      </c>
      <c r="L24" s="202">
        <v>-216535.96</v>
      </c>
      <c r="M24" s="202">
        <v>362192798.81999999</v>
      </c>
      <c r="N24" s="202">
        <v>363458836.51999998</v>
      </c>
      <c r="O24" s="202">
        <v>384102713.94</v>
      </c>
      <c r="P24" s="202">
        <v>-15245437.5</v>
      </c>
      <c r="Q24" s="202">
        <v>16636670</v>
      </c>
      <c r="R24" s="202">
        <v>17103045</v>
      </c>
      <c r="S24" s="202">
        <v>29572125</v>
      </c>
      <c r="T24" s="202">
        <v>14813625</v>
      </c>
      <c r="U24" s="202">
        <v>-38845825.009999998</v>
      </c>
      <c r="V24" s="202">
        <v>-5173471.13</v>
      </c>
      <c r="W24" s="202">
        <v>21779642.550000001</v>
      </c>
      <c r="X24" s="202">
        <v>0</v>
      </c>
      <c r="Y24" s="40">
        <v>-247406413.22</v>
      </c>
      <c r="Z24" s="40">
        <v>-195211241</v>
      </c>
      <c r="AA24" s="40">
        <v>-102166159.05</v>
      </c>
      <c r="AB24" s="40">
        <v>-14198634.029999999</v>
      </c>
      <c r="AC24" s="40">
        <v>-222942130.09999999</v>
      </c>
      <c r="AD24" s="40">
        <v>-187835058.56999999</v>
      </c>
      <c r="AE24" s="40">
        <v>-173229226.62</v>
      </c>
      <c r="AF24" s="40">
        <v>-85813623.569999993</v>
      </c>
      <c r="AG24" s="40">
        <v>2060244291.1099999</v>
      </c>
      <c r="AH24" s="40">
        <v>-23815710</v>
      </c>
      <c r="AI24" s="40">
        <v>-17457590</v>
      </c>
      <c r="AJ24" s="40">
        <v>-7962200</v>
      </c>
      <c r="AK24" s="40">
        <v>198789172.59999999</v>
      </c>
      <c r="AL24" s="40">
        <v>123418392.59999999</v>
      </c>
      <c r="AM24" s="40">
        <v>22197344.579999998</v>
      </c>
      <c r="AN24" s="40">
        <v>-24133176.379999999</v>
      </c>
      <c r="AO24" s="40">
        <v>0</v>
      </c>
      <c r="AP24" s="40">
        <v>-3449559.02</v>
      </c>
      <c r="AQ24" s="40">
        <v>-13461741.59</v>
      </c>
      <c r="AR24" s="40">
        <v>-32135336.57</v>
      </c>
      <c r="AS24" s="40">
        <v>0</v>
      </c>
    </row>
    <row r="25" spans="1:74" s="107" customFormat="1" ht="101.25" customHeight="1">
      <c r="A25" s="233"/>
      <c r="B25" s="234"/>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row>
    <row r="26" spans="1:74" s="26" customFormat="1">
      <c r="A26" s="17" t="s">
        <v>641</v>
      </c>
      <c r="E26" s="26">
        <f>现金流量表!E15</f>
        <v>33000000</v>
      </c>
      <c r="F26" s="26">
        <f>现金流量表!F15</f>
        <v>17000000</v>
      </c>
      <c r="G26" s="26">
        <f>现金流量表!G15</f>
        <v>17000000</v>
      </c>
      <c r="H26" s="26">
        <f>现金流量表!H15</f>
        <v>0</v>
      </c>
      <c r="I26" s="26">
        <f>现金流量表!I15</f>
        <v>45000000</v>
      </c>
      <c r="J26" s="26">
        <f>现金流量表!J15</f>
        <v>28000000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642</v>
      </c>
      <c r="E27" s="26">
        <f>现金流量表!E22</f>
        <v>29500000</v>
      </c>
      <c r="F27" s="26">
        <f>现金流量表!F22</f>
        <v>16000000</v>
      </c>
      <c r="G27" s="26">
        <f>现金流量表!G22</f>
        <v>16000000</v>
      </c>
      <c r="H27" s="26">
        <f>现金流量表!H22</f>
        <v>0</v>
      </c>
      <c r="I27" s="26">
        <f>现金流量表!I22</f>
        <v>17000000</v>
      </c>
      <c r="J27" s="26">
        <f>现金流量表!J22</f>
        <v>0</v>
      </c>
      <c r="K27" s="26">
        <f>现金流量表!K22</f>
        <v>0</v>
      </c>
      <c r="L27" s="26">
        <f>现金流量表!L22</f>
        <v>0</v>
      </c>
      <c r="M27" s="26">
        <f>现金流量表!M22</f>
        <v>45000000</v>
      </c>
      <c r="N27" s="26">
        <f>现金流量表!N22</f>
        <v>45000000</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643</v>
      </c>
      <c r="E28" s="26">
        <f>E27-E26</f>
        <v>-3500000</v>
      </c>
      <c r="F28" s="26">
        <f t="shared" ref="F28:BQ28" si="9">F27-F26</f>
        <v>-1000000</v>
      </c>
      <c r="G28" s="26">
        <f t="shared" si="9"/>
        <v>-1000000</v>
      </c>
      <c r="H28" s="26">
        <f t="shared" si="9"/>
        <v>0</v>
      </c>
      <c r="I28" s="26">
        <f t="shared" si="9"/>
        <v>-28000000</v>
      </c>
      <c r="J28" s="26">
        <f t="shared" si="9"/>
        <v>-28000000</v>
      </c>
      <c r="K28" s="26">
        <f t="shared" si="9"/>
        <v>0</v>
      </c>
      <c r="L28" s="26">
        <f t="shared" si="9"/>
        <v>0</v>
      </c>
      <c r="M28" s="26">
        <f t="shared" si="9"/>
        <v>45000000</v>
      </c>
      <c r="N28" s="26">
        <f t="shared" si="9"/>
        <v>45000000</v>
      </c>
      <c r="O28" s="26">
        <f t="shared" si="9"/>
        <v>0</v>
      </c>
      <c r="P28" s="26">
        <f t="shared" si="9"/>
        <v>0</v>
      </c>
      <c r="Q28" s="26">
        <f t="shared" si="9"/>
        <v>0</v>
      </c>
      <c r="R28" s="26">
        <f t="shared" si="9"/>
        <v>0</v>
      </c>
      <c r="S28" s="26">
        <f t="shared" si="9"/>
        <v>0</v>
      </c>
      <c r="T28" s="26">
        <f t="shared" si="9"/>
        <v>0</v>
      </c>
      <c r="U28" s="26">
        <f t="shared" si="9"/>
        <v>0</v>
      </c>
      <c r="V28" s="26">
        <f t="shared" si="9"/>
        <v>0</v>
      </c>
      <c r="W28" s="26">
        <f t="shared" si="9"/>
        <v>0</v>
      </c>
      <c r="X28" s="26">
        <f t="shared" si="9"/>
        <v>0</v>
      </c>
      <c r="Y28" s="26">
        <f t="shared" si="9"/>
        <v>0</v>
      </c>
      <c r="Z28" s="26">
        <f t="shared" si="9"/>
        <v>0</v>
      </c>
      <c r="AA28" s="26">
        <f t="shared" si="9"/>
        <v>0</v>
      </c>
      <c r="AB28" s="26">
        <f t="shared" si="9"/>
        <v>0</v>
      </c>
      <c r="AC28" s="26">
        <f t="shared" si="9"/>
        <v>0</v>
      </c>
      <c r="AD28" s="26">
        <f t="shared" si="9"/>
        <v>0</v>
      </c>
      <c r="AE28" s="26">
        <f t="shared" si="9"/>
        <v>0</v>
      </c>
      <c r="AF28" s="26">
        <f t="shared" si="9"/>
        <v>0</v>
      </c>
      <c r="AG28" s="26">
        <f t="shared" si="9"/>
        <v>0</v>
      </c>
      <c r="AH28" s="26">
        <f t="shared" si="9"/>
        <v>0</v>
      </c>
      <c r="AI28" s="26">
        <f t="shared" si="9"/>
        <v>0</v>
      </c>
      <c r="AJ28" s="26">
        <f t="shared" si="9"/>
        <v>0</v>
      </c>
      <c r="AK28" s="26">
        <f t="shared" si="9"/>
        <v>0</v>
      </c>
      <c r="AL28" s="26">
        <f t="shared" si="9"/>
        <v>0</v>
      </c>
      <c r="AM28" s="26">
        <f t="shared" si="9"/>
        <v>0</v>
      </c>
      <c r="AN28" s="26">
        <f t="shared" si="9"/>
        <v>0</v>
      </c>
      <c r="AO28" s="26">
        <f t="shared" si="9"/>
        <v>0</v>
      </c>
      <c r="AP28" s="26">
        <f t="shared" si="9"/>
        <v>0</v>
      </c>
      <c r="AQ28" s="26">
        <f t="shared" si="9"/>
        <v>0</v>
      </c>
      <c r="AR28" s="26">
        <f t="shared" si="9"/>
        <v>0</v>
      </c>
      <c r="AS28" s="26">
        <f t="shared" si="9"/>
        <v>0</v>
      </c>
      <c r="AT28" s="26">
        <f t="shared" si="9"/>
        <v>0</v>
      </c>
      <c r="AU28" s="26">
        <f t="shared" si="9"/>
        <v>0</v>
      </c>
      <c r="AV28" s="26">
        <f t="shared" si="9"/>
        <v>0</v>
      </c>
      <c r="AW28" s="26">
        <f t="shared" si="9"/>
        <v>0</v>
      </c>
      <c r="AX28" s="26">
        <f t="shared" si="9"/>
        <v>0</v>
      </c>
      <c r="AY28" s="26">
        <f t="shared" si="9"/>
        <v>0</v>
      </c>
      <c r="AZ28" s="26">
        <f t="shared" si="9"/>
        <v>0</v>
      </c>
      <c r="BA28" s="26">
        <f t="shared" si="9"/>
        <v>0</v>
      </c>
      <c r="BB28" s="26">
        <f t="shared" si="9"/>
        <v>0</v>
      </c>
      <c r="BC28" s="26">
        <f t="shared" si="9"/>
        <v>0</v>
      </c>
      <c r="BD28" s="26">
        <f t="shared" si="9"/>
        <v>0</v>
      </c>
      <c r="BE28" s="26">
        <f t="shared" si="9"/>
        <v>0</v>
      </c>
      <c r="BF28" s="26">
        <f t="shared" si="9"/>
        <v>0</v>
      </c>
      <c r="BG28" s="26">
        <f t="shared" si="9"/>
        <v>0</v>
      </c>
      <c r="BH28" s="26">
        <f t="shared" si="9"/>
        <v>0</v>
      </c>
      <c r="BI28" s="26">
        <f t="shared" si="9"/>
        <v>0</v>
      </c>
      <c r="BJ28" s="26">
        <f t="shared" si="9"/>
        <v>0</v>
      </c>
      <c r="BK28" s="26">
        <f t="shared" si="9"/>
        <v>0</v>
      </c>
      <c r="BL28" s="26">
        <f t="shared" si="9"/>
        <v>0</v>
      </c>
      <c r="BM28" s="26">
        <f t="shared" si="9"/>
        <v>0</v>
      </c>
      <c r="BN28" s="26">
        <f t="shared" si="9"/>
        <v>0</v>
      </c>
      <c r="BO28" s="26">
        <f t="shared" si="9"/>
        <v>0</v>
      </c>
      <c r="BP28" s="26">
        <f t="shared" si="9"/>
        <v>0</v>
      </c>
      <c r="BQ28" s="26">
        <f t="shared" si="9"/>
        <v>0</v>
      </c>
      <c r="BR28" s="26">
        <f t="shared" ref="BR28:BV28" si="10">BR27-BR26</f>
        <v>0</v>
      </c>
      <c r="BS28" s="26">
        <f t="shared" si="10"/>
        <v>0</v>
      </c>
      <c r="BT28" s="26">
        <f t="shared" si="10"/>
        <v>0</v>
      </c>
      <c r="BU28" s="26">
        <f t="shared" si="10"/>
        <v>0</v>
      </c>
      <c r="BV28" s="26">
        <f t="shared" si="10"/>
        <v>0</v>
      </c>
    </row>
    <row r="29" spans="1:74" s="26" customFormat="1">
      <c r="A29" s="193" t="s">
        <v>644</v>
      </c>
      <c r="E29" s="194" t="e">
        <f>POWER(E28/U28,1/5)-1</f>
        <v>#DIV/0!</v>
      </c>
    </row>
    <row r="30" spans="1:74" s="30" customFormat="1" ht="11.25" customHeight="1" thickBot="1">
      <c r="A30" s="14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41274</v>
      </c>
      <c r="W30" s="1">
        <v>40908</v>
      </c>
      <c r="X30" s="1">
        <v>25569</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39813</v>
      </c>
      <c r="AN30" s="1">
        <v>39447</v>
      </c>
      <c r="AO30" s="1">
        <v>25569</v>
      </c>
      <c r="AP30" s="1">
        <v>39721</v>
      </c>
      <c r="AQ30" s="1">
        <v>39447</v>
      </c>
      <c r="AR30" s="1">
        <v>39082</v>
      </c>
      <c r="AS30" s="1">
        <v>25569</v>
      </c>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1" customFormat="1" ht="14.25" customHeight="1">
      <c r="A31" s="113" t="s">
        <v>310</v>
      </c>
      <c r="B31" s="202">
        <v>465497807.23000002</v>
      </c>
      <c r="C31" s="202">
        <v>275180646.22000003</v>
      </c>
      <c r="D31" s="202">
        <v>271802859.39999998</v>
      </c>
      <c r="E31" s="202">
        <v>265312462.46000001</v>
      </c>
      <c r="F31" s="202">
        <v>256253724.33000001</v>
      </c>
      <c r="G31" s="202">
        <v>246029699.05000001</v>
      </c>
      <c r="H31" s="202">
        <v>238437137.28</v>
      </c>
      <c r="I31" s="202">
        <v>263845286.18000001</v>
      </c>
      <c r="J31" s="202">
        <v>136415539.08000001</v>
      </c>
      <c r="K31" s="202">
        <v>135753008.28</v>
      </c>
      <c r="L31" s="202">
        <v>135106044.97999999</v>
      </c>
      <c r="M31" s="202">
        <v>135542723.62</v>
      </c>
      <c r="N31" s="202">
        <v>132307537.11</v>
      </c>
      <c r="O31" s="202">
        <v>130622942.42</v>
      </c>
      <c r="P31" s="202">
        <v>131951902.92</v>
      </c>
      <c r="Q31" s="202">
        <v>134035221.97</v>
      </c>
      <c r="R31" s="202">
        <v>123093770.95</v>
      </c>
      <c r="S31" s="202">
        <v>102214467.84</v>
      </c>
      <c r="T31" s="202">
        <v>63491916.259999998</v>
      </c>
      <c r="U31" s="202">
        <v>0</v>
      </c>
      <c r="V31" s="202"/>
      <c r="W31" s="202"/>
      <c r="X31" s="202"/>
      <c r="Y31" s="40">
        <v>1692988956.96</v>
      </c>
      <c r="Z31" s="40">
        <v>1564687134.1800001</v>
      </c>
      <c r="AA31" s="40">
        <v>1478062969.8499999</v>
      </c>
      <c r="AB31" s="40">
        <v>1099582577.6300001</v>
      </c>
      <c r="AC31" s="40">
        <v>1046678813.27</v>
      </c>
      <c r="AD31" s="40">
        <v>875546134.26999998</v>
      </c>
      <c r="AE31" s="40">
        <v>801047742.44000006</v>
      </c>
      <c r="AF31" s="40">
        <v>670092305.58000004</v>
      </c>
      <c r="AG31" s="40">
        <v>603319215.87</v>
      </c>
      <c r="AH31" s="40">
        <v>618436435.02999997</v>
      </c>
      <c r="AI31" s="40">
        <v>626795839.20000005</v>
      </c>
      <c r="AJ31" s="40">
        <v>615412283.76999998</v>
      </c>
      <c r="AK31" s="40">
        <v>407861797.13999999</v>
      </c>
      <c r="AL31" s="40">
        <v>246462895.41999999</v>
      </c>
      <c r="AM31" s="40">
        <v>0</v>
      </c>
      <c r="AN31" s="40"/>
      <c r="AO31" s="40"/>
      <c r="AP31" s="40">
        <v>16436845.380000001</v>
      </c>
      <c r="AQ31" s="40">
        <v>0</v>
      </c>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v>1207621496.74</v>
      </c>
    </row>
    <row r="32" spans="1:74" s="54" customFormat="1">
      <c r="A32" s="142" t="s">
        <v>311</v>
      </c>
      <c r="B32" s="202">
        <v>95838200.030000001</v>
      </c>
      <c r="C32" s="202">
        <v>51057902.170000002</v>
      </c>
      <c r="D32" s="202">
        <v>51057902.170000002</v>
      </c>
      <c r="E32" s="202">
        <v>51057902.170000002</v>
      </c>
      <c r="F32" s="202">
        <v>86712210.659999996</v>
      </c>
      <c r="G32" s="202">
        <v>86125931.659999996</v>
      </c>
      <c r="H32" s="202">
        <v>86285972.540000007</v>
      </c>
      <c r="I32" s="202">
        <v>0</v>
      </c>
      <c r="J32" s="202">
        <v>0</v>
      </c>
      <c r="K32" s="202">
        <v>0</v>
      </c>
      <c r="L32" s="202">
        <v>0</v>
      </c>
      <c r="M32" s="202">
        <v>0</v>
      </c>
      <c r="N32" s="202">
        <v>0</v>
      </c>
      <c r="O32" s="202">
        <v>0</v>
      </c>
      <c r="P32" s="202">
        <v>0</v>
      </c>
      <c r="Q32" s="202">
        <v>0</v>
      </c>
      <c r="R32" s="202">
        <v>0</v>
      </c>
      <c r="S32" s="202">
        <v>0</v>
      </c>
      <c r="T32" s="202">
        <v>0</v>
      </c>
      <c r="U32" s="202">
        <v>0</v>
      </c>
      <c r="V32" s="202"/>
      <c r="W32" s="202"/>
      <c r="X32" s="202"/>
      <c r="Y32" s="40">
        <v>0</v>
      </c>
      <c r="Z32" s="40">
        <v>0</v>
      </c>
      <c r="AA32" s="40">
        <v>0</v>
      </c>
      <c r="AB32" s="40">
        <v>0</v>
      </c>
      <c r="AC32" s="40">
        <v>0</v>
      </c>
      <c r="AD32" s="40">
        <v>0</v>
      </c>
      <c r="AE32" s="40">
        <v>0</v>
      </c>
      <c r="AF32" s="40">
        <v>0</v>
      </c>
      <c r="AG32" s="40">
        <v>0</v>
      </c>
      <c r="AH32" s="40">
        <v>0</v>
      </c>
      <c r="AI32" s="40">
        <v>0</v>
      </c>
      <c r="AJ32" s="40">
        <v>0</v>
      </c>
      <c r="AK32" s="40">
        <v>0</v>
      </c>
      <c r="AL32" s="40">
        <v>0</v>
      </c>
      <c r="AM32" s="40">
        <v>0</v>
      </c>
      <c r="AN32" s="40"/>
      <c r="AO32" s="40"/>
      <c r="AP32" s="40">
        <v>0</v>
      </c>
      <c r="AQ32" s="40">
        <v>0</v>
      </c>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v>0</v>
      </c>
    </row>
    <row r="33" spans="1:74" s="54" customFormat="1">
      <c r="A33" s="142" t="s">
        <v>312</v>
      </c>
      <c r="B33" s="202">
        <v>2100000</v>
      </c>
      <c r="C33" s="202">
        <v>2100000</v>
      </c>
      <c r="D33" s="202">
        <v>0</v>
      </c>
      <c r="E33" s="202">
        <v>0</v>
      </c>
      <c r="F33" s="202">
        <v>0</v>
      </c>
      <c r="G33" s="202">
        <v>0</v>
      </c>
      <c r="H33" s="202">
        <v>0</v>
      </c>
      <c r="I33" s="202">
        <v>0</v>
      </c>
      <c r="J33" s="202">
        <v>0</v>
      </c>
      <c r="K33" s="202">
        <v>0</v>
      </c>
      <c r="L33" s="202">
        <v>0</v>
      </c>
      <c r="M33" s="202">
        <v>0</v>
      </c>
      <c r="N33" s="202">
        <v>0</v>
      </c>
      <c r="O33" s="202">
        <v>0</v>
      </c>
      <c r="P33" s="202">
        <v>0</v>
      </c>
      <c r="Q33" s="202">
        <v>0</v>
      </c>
      <c r="R33" s="202">
        <v>0</v>
      </c>
      <c r="S33" s="202">
        <v>0</v>
      </c>
      <c r="T33" s="202">
        <v>0</v>
      </c>
      <c r="U33" s="202">
        <v>0</v>
      </c>
      <c r="V33" s="202"/>
      <c r="W33" s="202"/>
      <c r="X33" s="202"/>
      <c r="Y33" s="40">
        <v>0</v>
      </c>
      <c r="Z33" s="40">
        <v>0</v>
      </c>
      <c r="AA33" s="40">
        <v>0</v>
      </c>
      <c r="AB33" s="40">
        <v>0</v>
      </c>
      <c r="AC33" s="40">
        <v>0</v>
      </c>
      <c r="AD33" s="40">
        <v>0</v>
      </c>
      <c r="AE33" s="40">
        <v>0</v>
      </c>
      <c r="AF33" s="40">
        <v>0</v>
      </c>
      <c r="AG33" s="40">
        <v>0</v>
      </c>
      <c r="AH33" s="40">
        <v>0</v>
      </c>
      <c r="AI33" s="40">
        <v>0</v>
      </c>
      <c r="AJ33" s="40">
        <v>0</v>
      </c>
      <c r="AK33" s="40">
        <v>0</v>
      </c>
      <c r="AL33" s="40">
        <v>0</v>
      </c>
      <c r="AM33" s="40">
        <v>0</v>
      </c>
      <c r="AN33" s="40"/>
      <c r="AO33" s="40"/>
      <c r="AP33" s="40">
        <v>0</v>
      </c>
      <c r="AQ33" s="40">
        <v>0</v>
      </c>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v>0</v>
      </c>
    </row>
    <row r="34" spans="1:74" s="44" customFormat="1" ht="14.25" thickBot="1">
      <c r="A34" s="143" t="s">
        <v>315</v>
      </c>
      <c r="B34" s="49"/>
      <c r="C34" s="49"/>
      <c r="D34" s="49"/>
      <c r="E34" s="49">
        <f>E31-E32-E33</f>
        <v>214254560.29000002</v>
      </c>
      <c r="F34" s="49">
        <f t="shared" ref="F34:AB34" si="11">F31-F32-F33</f>
        <v>169541513.67000002</v>
      </c>
      <c r="G34" s="49">
        <f t="shared" si="11"/>
        <v>159903767.39000002</v>
      </c>
      <c r="H34" s="49">
        <f t="shared" si="11"/>
        <v>152151164.74000001</v>
      </c>
      <c r="I34" s="49">
        <f t="shared" si="11"/>
        <v>263845286.18000001</v>
      </c>
      <c r="J34" s="49">
        <f t="shared" si="11"/>
        <v>136415539.08000001</v>
      </c>
      <c r="K34" s="49">
        <f t="shared" si="11"/>
        <v>135753008.28</v>
      </c>
      <c r="L34" s="49">
        <f t="shared" si="11"/>
        <v>135106044.97999999</v>
      </c>
      <c r="M34" s="49">
        <f t="shared" si="11"/>
        <v>135542723.62</v>
      </c>
      <c r="N34" s="49">
        <f t="shared" si="11"/>
        <v>132307537.11</v>
      </c>
      <c r="O34" s="49">
        <f t="shared" si="11"/>
        <v>130622942.42</v>
      </c>
      <c r="P34" s="49">
        <f t="shared" si="11"/>
        <v>131951902.92</v>
      </c>
      <c r="Q34" s="49">
        <f t="shared" si="11"/>
        <v>134035221.97</v>
      </c>
      <c r="R34" s="49">
        <f t="shared" si="11"/>
        <v>123093770.95</v>
      </c>
      <c r="S34" s="49">
        <f t="shared" si="11"/>
        <v>102214467.84</v>
      </c>
      <c r="T34" s="49">
        <f t="shared" si="11"/>
        <v>63491916.259999998</v>
      </c>
      <c r="U34" s="49">
        <f t="shared" si="11"/>
        <v>0</v>
      </c>
      <c r="V34" s="49">
        <f t="shared" si="11"/>
        <v>0</v>
      </c>
      <c r="W34" s="49">
        <f t="shared" si="11"/>
        <v>0</v>
      </c>
      <c r="X34" s="49">
        <f t="shared" si="11"/>
        <v>0</v>
      </c>
      <c r="Y34" s="49">
        <f t="shared" si="11"/>
        <v>1692988956.96</v>
      </c>
      <c r="Z34" s="49">
        <f t="shared" si="11"/>
        <v>1564687134.1800001</v>
      </c>
      <c r="AA34" s="49">
        <f t="shared" si="11"/>
        <v>1478062969.8499999</v>
      </c>
      <c r="AB34" s="49">
        <f t="shared" si="11"/>
        <v>1099582577.6300001</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08" customFormat="1" ht="14.25" thickBot="1">
      <c r="A35" s="144" t="s">
        <v>317</v>
      </c>
      <c r="B35" s="33">
        <f>SUM(B22:B31)</f>
        <v>571883839.67000008</v>
      </c>
      <c r="C35" s="33">
        <f>SUM(C22:C31)</f>
        <v>241231384.62000003</v>
      </c>
      <c r="D35" s="33">
        <f>SUM(D22:D31)</f>
        <v>267723806.37999997</v>
      </c>
      <c r="E35" s="33">
        <f>资产资本表!E17</f>
        <v>394785620.10000002</v>
      </c>
      <c r="F35" s="33">
        <f>资产资本表!F17</f>
        <v>505690981.24000001</v>
      </c>
      <c r="G35" s="33">
        <f>资产资本表!G17</f>
        <v>508958673.50999999</v>
      </c>
      <c r="H35" s="33">
        <f>资产资本表!H17</f>
        <v>497832719.06999999</v>
      </c>
      <c r="I35" s="33">
        <f>资产资本表!I17</f>
        <v>493851281.17000002</v>
      </c>
      <c r="J35" s="33">
        <f>资产资本表!J17</f>
        <v>461432565.64999998</v>
      </c>
      <c r="K35" s="33">
        <f>资产资本表!K17</f>
        <v>423235120.27999997</v>
      </c>
      <c r="L35" s="33">
        <f>资产资本表!L17</f>
        <v>411767153.42000002</v>
      </c>
      <c r="M35" s="33">
        <f>资产资本表!M17</f>
        <v>413367888.41000003</v>
      </c>
      <c r="N35" s="33">
        <f>资产资本表!N17</f>
        <v>389489625.13</v>
      </c>
      <c r="O35" s="33">
        <f>资产资本表!O17</f>
        <v>462791285.51999998</v>
      </c>
      <c r="P35" s="33">
        <f>资产资本表!P17</f>
        <v>63260732.039999999</v>
      </c>
      <c r="Q35" s="33">
        <f>资产资本表!Q17</f>
        <v>75747117.969999999</v>
      </c>
      <c r="R35" s="33">
        <f>资产资本表!R17</f>
        <v>26369896.879999999</v>
      </c>
      <c r="S35" s="33">
        <f>资产资本表!S17</f>
        <v>45028010.689999998</v>
      </c>
      <c r="T35" s="33">
        <f>资产资本表!T17</f>
        <v>52203020.68</v>
      </c>
      <c r="U35" s="33">
        <f>资产资本表!U17</f>
        <v>0</v>
      </c>
      <c r="V35" s="33">
        <f>资产资本表!V17</f>
        <v>0</v>
      </c>
      <c r="W35" s="33">
        <f>资产资本表!W17</f>
        <v>0</v>
      </c>
      <c r="X35" s="33">
        <f>资产资本表!X17</f>
        <v>0</v>
      </c>
      <c r="Y35" s="33">
        <f>资产资本表!Y17</f>
        <v>0</v>
      </c>
      <c r="Z35" s="33">
        <f>资产资本表!Z17</f>
        <v>0</v>
      </c>
      <c r="AA35" s="33">
        <f>资产资本表!AA17</f>
        <v>0</v>
      </c>
      <c r="AB35" s="33">
        <f>资产资本表!AB17</f>
        <v>0</v>
      </c>
      <c r="AC35" s="33">
        <f>资产资本表!AC17</f>
        <v>0</v>
      </c>
      <c r="AD35" s="33">
        <f>资产资本表!AD17</f>
        <v>0</v>
      </c>
      <c r="AE35" s="33">
        <f>资产资本表!AE17</f>
        <v>0</v>
      </c>
      <c r="AF35" s="33">
        <f>资产资本表!AF17</f>
        <v>0</v>
      </c>
      <c r="AG35" s="33">
        <f>资产资本表!AG17</f>
        <v>0</v>
      </c>
      <c r="AH35" s="33">
        <f>资产资本表!AH17</f>
        <v>0</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41274</v>
      </c>
      <c r="W38" s="1">
        <v>40908</v>
      </c>
      <c r="X38" s="1">
        <v>25569</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39813</v>
      </c>
      <c r="AN38" s="1">
        <v>39447</v>
      </c>
      <c r="AO38" s="1">
        <v>25569</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8" customFormat="1">
      <c r="A39" s="46" t="s">
        <v>319</v>
      </c>
    </row>
    <row r="40" spans="1:74" s="26" customFormat="1">
      <c r="A40" s="17" t="s">
        <v>324</v>
      </c>
      <c r="B40" s="202">
        <v>0</v>
      </c>
      <c r="C40" s="202">
        <v>0</v>
      </c>
      <c r="D40" s="202">
        <v>0</v>
      </c>
      <c r="E40" s="202">
        <v>0</v>
      </c>
      <c r="F40" s="202">
        <v>0</v>
      </c>
      <c r="G40" s="202">
        <v>0</v>
      </c>
      <c r="H40" s="202">
        <v>0</v>
      </c>
      <c r="I40" s="202">
        <v>4000000</v>
      </c>
      <c r="J40" s="202">
        <v>0</v>
      </c>
      <c r="K40" s="202">
        <v>0</v>
      </c>
      <c r="L40" s="202">
        <v>0</v>
      </c>
      <c r="M40" s="202">
        <v>416330700</v>
      </c>
      <c r="N40" s="202">
        <v>416330700</v>
      </c>
      <c r="O40" s="202">
        <v>416330700</v>
      </c>
      <c r="P40" s="202">
        <v>0</v>
      </c>
      <c r="Q40" s="202">
        <v>0</v>
      </c>
      <c r="R40" s="202">
        <v>0</v>
      </c>
      <c r="S40" s="202">
        <v>0</v>
      </c>
      <c r="T40" s="202">
        <v>0</v>
      </c>
      <c r="U40" s="202">
        <v>0</v>
      </c>
      <c r="V40" s="202">
        <v>0</v>
      </c>
      <c r="W40" s="202">
        <v>0</v>
      </c>
      <c r="X40" s="202">
        <v>0</v>
      </c>
      <c r="Y40" s="40">
        <v>0</v>
      </c>
      <c r="Z40" s="40">
        <v>0</v>
      </c>
      <c r="AA40" s="40">
        <v>0</v>
      </c>
      <c r="AB40" s="40">
        <v>0</v>
      </c>
      <c r="AC40" s="40">
        <v>0</v>
      </c>
      <c r="AD40" s="40">
        <v>0</v>
      </c>
      <c r="AE40" s="40">
        <v>0</v>
      </c>
      <c r="AF40" s="40">
        <v>0</v>
      </c>
      <c r="AG40" s="40">
        <v>2128421000</v>
      </c>
      <c r="AH40" s="40">
        <v>0</v>
      </c>
      <c r="AI40" s="40">
        <v>0</v>
      </c>
      <c r="AJ40" s="40">
        <v>0</v>
      </c>
      <c r="AK40" s="40">
        <v>30977421.350000001</v>
      </c>
      <c r="AL40" s="40">
        <v>30977421.350000001</v>
      </c>
      <c r="AM40" s="40">
        <v>0</v>
      </c>
      <c r="AN40" s="40">
        <v>0</v>
      </c>
      <c r="AO40" s="40">
        <v>0</v>
      </c>
      <c r="AP40" s="40">
        <v>0</v>
      </c>
      <c r="AQ40" s="40">
        <v>26490701.399999999</v>
      </c>
      <c r="AR40" s="40">
        <v>0</v>
      </c>
      <c r="AS40" s="40">
        <v>0</v>
      </c>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row>
    <row r="41" spans="1:74" s="53" customFormat="1" ht="21.75" customHeight="1">
      <c r="A41" s="145" t="s">
        <v>645</v>
      </c>
      <c r="B41" s="53">
        <v>1419647033.29</v>
      </c>
      <c r="C41" s="53">
        <v>682396282.87</v>
      </c>
      <c r="D41" s="53">
        <v>73246783.790000007</v>
      </c>
      <c r="E41" s="53">
        <v>21336000</v>
      </c>
      <c r="I41" s="53">
        <v>24003000</v>
      </c>
      <c r="M41" s="53">
        <v>20000000</v>
      </c>
      <c r="Q41" s="53">
        <v>10000000</v>
      </c>
    </row>
    <row r="42" spans="1:74" s="26" customFormat="1">
      <c r="A42" s="17" t="s">
        <v>322</v>
      </c>
      <c r="E42" s="26">
        <f>E40-E41</f>
        <v>-21336000</v>
      </c>
      <c r="F42" s="26">
        <f t="shared" ref="F42:Y42" si="12">F40-F41</f>
        <v>0</v>
      </c>
      <c r="G42" s="26">
        <f t="shared" si="12"/>
        <v>0</v>
      </c>
      <c r="H42" s="26">
        <f t="shared" si="12"/>
        <v>0</v>
      </c>
      <c r="I42" s="26">
        <f>I40-I41</f>
        <v>-20003000</v>
      </c>
      <c r="J42" s="26">
        <f t="shared" si="12"/>
        <v>0</v>
      </c>
      <c r="K42" s="26">
        <f t="shared" si="12"/>
        <v>0</v>
      </c>
      <c r="L42" s="26">
        <f t="shared" si="12"/>
        <v>0</v>
      </c>
      <c r="M42" s="26">
        <f t="shared" si="12"/>
        <v>396330700</v>
      </c>
      <c r="N42" s="26">
        <f t="shared" si="12"/>
        <v>416330700</v>
      </c>
      <c r="O42" s="26">
        <f t="shared" si="12"/>
        <v>416330700</v>
      </c>
      <c r="P42" s="26">
        <f t="shared" si="12"/>
        <v>0</v>
      </c>
      <c r="Q42" s="26">
        <f t="shared" si="12"/>
        <v>-10000000</v>
      </c>
      <c r="R42" s="26">
        <f t="shared" si="12"/>
        <v>0</v>
      </c>
      <c r="S42" s="26">
        <f t="shared" si="12"/>
        <v>0</v>
      </c>
      <c r="T42" s="26">
        <f t="shared" si="12"/>
        <v>0</v>
      </c>
      <c r="U42" s="26">
        <f t="shared" si="12"/>
        <v>0</v>
      </c>
      <c r="V42" s="26">
        <f t="shared" si="12"/>
        <v>0</v>
      </c>
      <c r="W42" s="26">
        <f t="shared" si="12"/>
        <v>0</v>
      </c>
      <c r="X42" s="26">
        <f t="shared" si="12"/>
        <v>0</v>
      </c>
      <c r="Y42" s="26">
        <f t="shared" si="12"/>
        <v>0</v>
      </c>
      <c r="Z42" s="26">
        <f t="shared" ref="Z42:BQ42" si="13">Z40-Z41</f>
        <v>0</v>
      </c>
      <c r="AA42" s="26">
        <f t="shared" si="13"/>
        <v>0</v>
      </c>
      <c r="AB42" s="26">
        <f t="shared" si="13"/>
        <v>0</v>
      </c>
      <c r="AC42" s="26">
        <f t="shared" si="13"/>
        <v>0</v>
      </c>
      <c r="AD42" s="26">
        <f t="shared" si="13"/>
        <v>0</v>
      </c>
      <c r="AE42" s="26">
        <f t="shared" si="13"/>
        <v>0</v>
      </c>
      <c r="AF42" s="26">
        <f t="shared" si="13"/>
        <v>0</v>
      </c>
      <c r="AG42" s="26">
        <f t="shared" si="13"/>
        <v>2128421000</v>
      </c>
      <c r="AH42" s="26">
        <f t="shared" si="13"/>
        <v>0</v>
      </c>
      <c r="AI42" s="26">
        <f t="shared" si="13"/>
        <v>0</v>
      </c>
      <c r="AJ42" s="26">
        <f t="shared" si="13"/>
        <v>0</v>
      </c>
      <c r="AK42" s="26">
        <f t="shared" si="13"/>
        <v>30977421.350000001</v>
      </c>
      <c r="AL42" s="26">
        <f t="shared" si="13"/>
        <v>30977421.350000001</v>
      </c>
      <c r="AM42" s="26">
        <f t="shared" si="13"/>
        <v>0</v>
      </c>
      <c r="AN42" s="26">
        <f t="shared" si="13"/>
        <v>0</v>
      </c>
      <c r="AO42" s="26">
        <f t="shared" si="13"/>
        <v>0</v>
      </c>
      <c r="AP42" s="26">
        <f t="shared" si="13"/>
        <v>0</v>
      </c>
      <c r="AQ42" s="26">
        <f t="shared" si="13"/>
        <v>26490701.399999999</v>
      </c>
      <c r="AR42" s="26">
        <f t="shared" si="13"/>
        <v>0</v>
      </c>
      <c r="AS42" s="26">
        <f t="shared" si="13"/>
        <v>0</v>
      </c>
      <c r="AT42" s="26">
        <f t="shared" si="13"/>
        <v>0</v>
      </c>
      <c r="AU42" s="26">
        <f t="shared" si="13"/>
        <v>0</v>
      </c>
      <c r="AV42" s="26">
        <f t="shared" si="13"/>
        <v>0</v>
      </c>
      <c r="AW42" s="26">
        <f t="shared" si="13"/>
        <v>0</v>
      </c>
      <c r="AX42" s="26">
        <f t="shared" si="13"/>
        <v>0</v>
      </c>
      <c r="AY42" s="26">
        <f t="shared" si="13"/>
        <v>0</v>
      </c>
      <c r="AZ42" s="26">
        <f t="shared" si="13"/>
        <v>0</v>
      </c>
      <c r="BA42" s="26">
        <f t="shared" si="13"/>
        <v>0</v>
      </c>
      <c r="BB42" s="26">
        <f t="shared" si="13"/>
        <v>0</v>
      </c>
      <c r="BC42" s="26">
        <f t="shared" si="13"/>
        <v>0</v>
      </c>
      <c r="BD42" s="26">
        <f t="shared" si="13"/>
        <v>0</v>
      </c>
      <c r="BE42" s="26">
        <f t="shared" si="13"/>
        <v>0</v>
      </c>
      <c r="BF42" s="26">
        <f t="shared" si="13"/>
        <v>0</v>
      </c>
      <c r="BG42" s="26">
        <f t="shared" si="13"/>
        <v>0</v>
      </c>
      <c r="BH42" s="26">
        <f t="shared" si="13"/>
        <v>0</v>
      </c>
      <c r="BI42" s="26">
        <f t="shared" si="13"/>
        <v>0</v>
      </c>
      <c r="BJ42" s="26">
        <f t="shared" si="13"/>
        <v>0</v>
      </c>
      <c r="BK42" s="26">
        <f t="shared" si="13"/>
        <v>0</v>
      </c>
      <c r="BL42" s="26">
        <f t="shared" si="13"/>
        <v>0</v>
      </c>
      <c r="BM42" s="26">
        <f t="shared" si="13"/>
        <v>0</v>
      </c>
      <c r="BN42" s="26">
        <f t="shared" si="13"/>
        <v>0</v>
      </c>
      <c r="BO42" s="26">
        <f t="shared" si="13"/>
        <v>0</v>
      </c>
      <c r="BP42" s="26">
        <f t="shared" si="13"/>
        <v>0</v>
      </c>
      <c r="BQ42" s="26">
        <f t="shared" si="13"/>
        <v>0</v>
      </c>
      <c r="BR42" s="26">
        <f t="shared" ref="BR42:BV42" si="14">BR40-BR41</f>
        <v>0</v>
      </c>
      <c r="BS42" s="26">
        <f t="shared" si="14"/>
        <v>0</v>
      </c>
      <c r="BT42" s="26">
        <f t="shared" si="14"/>
        <v>0</v>
      </c>
      <c r="BU42" s="26">
        <f t="shared" si="14"/>
        <v>0</v>
      </c>
      <c r="BV42" s="26">
        <f t="shared" si="14"/>
        <v>0</v>
      </c>
    </row>
    <row r="43" spans="1:74" s="52" customFormat="1">
      <c r="A43" s="146" t="s">
        <v>321</v>
      </c>
    </row>
    <row r="44" spans="1:74" s="26" customFormat="1">
      <c r="A44" s="17" t="s">
        <v>325</v>
      </c>
      <c r="B44" s="202">
        <v>159775309.78</v>
      </c>
      <c r="C44" s="202">
        <v>2500000</v>
      </c>
      <c r="D44" s="202">
        <v>0</v>
      </c>
      <c r="E44" s="202">
        <v>10000000</v>
      </c>
      <c r="F44" s="202">
        <v>10000000</v>
      </c>
      <c r="G44" s="202">
        <v>5000000</v>
      </c>
      <c r="H44" s="202">
        <v>5000000</v>
      </c>
      <c r="I44" s="202">
        <v>0</v>
      </c>
      <c r="J44" s="202">
        <v>0</v>
      </c>
      <c r="K44" s="202">
        <v>0</v>
      </c>
      <c r="L44" s="202">
        <v>0</v>
      </c>
      <c r="M44" s="202">
        <v>0</v>
      </c>
      <c r="N44" s="202">
        <v>0</v>
      </c>
      <c r="O44" s="202">
        <v>0</v>
      </c>
      <c r="P44" s="202">
        <v>0</v>
      </c>
      <c r="Q44" s="202">
        <v>30000000</v>
      </c>
      <c r="R44" s="202">
        <v>30000000</v>
      </c>
      <c r="S44" s="202">
        <v>30000000</v>
      </c>
      <c r="T44" s="202">
        <v>15000000</v>
      </c>
      <c r="U44" s="202">
        <v>0</v>
      </c>
      <c r="V44" s="202">
        <v>31000000</v>
      </c>
      <c r="W44" s="202">
        <v>31000000</v>
      </c>
      <c r="X44" s="202">
        <v>0</v>
      </c>
      <c r="Y44" s="40">
        <v>0</v>
      </c>
      <c r="Z44" s="40">
        <v>0</v>
      </c>
      <c r="AA44" s="40">
        <v>0</v>
      </c>
      <c r="AB44" s="40">
        <v>0</v>
      </c>
      <c r="AC44" s="40">
        <v>0</v>
      </c>
      <c r="AD44" s="40">
        <v>0</v>
      </c>
      <c r="AE44" s="40">
        <v>0</v>
      </c>
      <c r="AF44" s="40">
        <v>0</v>
      </c>
      <c r="AG44" s="40">
        <v>20000000</v>
      </c>
      <c r="AH44" s="40">
        <v>20000000</v>
      </c>
      <c r="AI44" s="40">
        <v>20000000</v>
      </c>
      <c r="AJ44" s="40">
        <v>20000000</v>
      </c>
      <c r="AK44" s="40">
        <v>530000000</v>
      </c>
      <c r="AL44" s="40">
        <v>450000000</v>
      </c>
      <c r="AM44" s="40">
        <v>200000000</v>
      </c>
      <c r="AN44" s="40">
        <v>170000000</v>
      </c>
      <c r="AO44" s="40">
        <v>0</v>
      </c>
      <c r="AP44" s="26">
        <v>0</v>
      </c>
      <c r="AQ44" s="26">
        <v>0</v>
      </c>
      <c r="AR44" s="26">
        <v>0</v>
      </c>
      <c r="AS44" s="26">
        <v>0</v>
      </c>
    </row>
    <row r="45" spans="1:74" s="26" customFormat="1">
      <c r="A45" s="17" t="s">
        <v>323</v>
      </c>
      <c r="E45" s="26">
        <f>股权价值增加表!E53</f>
        <v>11282258.77</v>
      </c>
      <c r="F45" s="26">
        <f>股权价值增加表!F53</f>
        <v>0</v>
      </c>
      <c r="G45" s="26">
        <f>股权价值增加表!G53</f>
        <v>0</v>
      </c>
      <c r="H45" s="26">
        <f>股权价值增加表!H53</f>
        <v>0</v>
      </c>
      <c r="I45" s="26">
        <f>股权价值增加表!I53</f>
        <v>517808.22</v>
      </c>
      <c r="J45" s="26">
        <f>股权价值增加表!J53</f>
        <v>0</v>
      </c>
      <c r="K45" s="26">
        <f>股权价值增加表!K53</f>
        <v>0</v>
      </c>
      <c r="L45" s="26">
        <f>股权价值增加表!L53</f>
        <v>0</v>
      </c>
      <c r="M45" s="26">
        <f>股权价值增加表!M53</f>
        <v>482983.81</v>
      </c>
      <c r="N45" s="26">
        <f>股权价值增加表!N53</f>
        <v>0</v>
      </c>
      <c r="O45" s="26">
        <f>股权价值增加表!O53</f>
        <v>0</v>
      </c>
      <c r="P45" s="26">
        <f>股权价值增加表!P53</f>
        <v>0</v>
      </c>
      <c r="Q45" s="26">
        <f>股权价值增加表!Q53</f>
        <v>1358250</v>
      </c>
      <c r="R45" s="26">
        <f>股权价值增加表!R53</f>
        <v>0</v>
      </c>
      <c r="S45" s="26">
        <f>股权价值增加表!S53</f>
        <v>0</v>
      </c>
      <c r="T45" s="26">
        <f>股权价值增加表!T53</f>
        <v>0</v>
      </c>
      <c r="U45" s="26">
        <f>股权价值增加表!U53</f>
        <v>0</v>
      </c>
      <c r="V45" s="26">
        <f>股权价值增加表!V53</f>
        <v>0</v>
      </c>
      <c r="W45" s="26">
        <f>股权价值增加表!W53</f>
        <v>0</v>
      </c>
      <c r="X45" s="26">
        <f>股权价值增加表!X53</f>
        <v>0</v>
      </c>
      <c r="Y45" s="26">
        <f>股权价值增加表!Y53</f>
        <v>0</v>
      </c>
      <c r="Z45" s="26">
        <f>股权价值增加表!Z53</f>
        <v>0</v>
      </c>
      <c r="AA45" s="26">
        <f>股权价值增加表!AA53</f>
        <v>0</v>
      </c>
      <c r="AB45" s="26">
        <f>股权价值增加表!AB53</f>
        <v>0</v>
      </c>
      <c r="AC45" s="26">
        <f>股权价值增加表!AC53</f>
        <v>19981575.239999998</v>
      </c>
      <c r="AD45" s="26">
        <f>股权价值增加表!AD53</f>
        <v>0</v>
      </c>
      <c r="AE45" s="26">
        <f>股权价值增加表!AE53</f>
        <v>0</v>
      </c>
      <c r="AF45" s="26">
        <f>股权价值增加表!AF53</f>
        <v>0</v>
      </c>
      <c r="AG45" s="26">
        <f>股权价值增加表!AG53</f>
        <v>24895758</v>
      </c>
      <c r="AH45" s="26">
        <f>股权价值增加表!AH53</f>
        <v>0</v>
      </c>
      <c r="AI45" s="26">
        <f>股权价值增加表!AI53</f>
        <v>0</v>
      </c>
      <c r="AJ45" s="26">
        <f>股权价值增加表!AJ53</f>
        <v>0</v>
      </c>
      <c r="AK45" s="26">
        <f>股权价值增加表!AK53</f>
        <v>528481.9</v>
      </c>
      <c r="AL45" s="26">
        <f>股权价值增加表!AL53</f>
        <v>0</v>
      </c>
      <c r="AM45" s="26">
        <f>股权价值增加表!AM53</f>
        <v>0</v>
      </c>
      <c r="AN45" s="26">
        <f>股权价值增加表!AN53</f>
        <v>0</v>
      </c>
      <c r="AO45" s="26">
        <f>股权价值增加表!AO53</f>
        <v>2114040.12</v>
      </c>
      <c r="AP45" s="26">
        <f>股权价值增加表!AP53</f>
        <v>0</v>
      </c>
      <c r="AQ45" s="26">
        <f>股权价值增加表!AQ53</f>
        <v>0</v>
      </c>
      <c r="AR45" s="26">
        <f>股权价值增加表!AR53</f>
        <v>0</v>
      </c>
      <c r="AS45" s="26">
        <f>股权价值增加表!AS53</f>
        <v>0</v>
      </c>
      <c r="AT45" s="26">
        <f>股权价值增加表!AT53</f>
        <v>0</v>
      </c>
      <c r="AU45" s="26">
        <f>股权价值增加表!AU53</f>
        <v>0</v>
      </c>
      <c r="AV45" s="26">
        <f>股权价值增加表!AV53</f>
        <v>0</v>
      </c>
      <c r="AW45" s="26">
        <f>股权价值增加表!AW53</f>
        <v>0</v>
      </c>
      <c r="AX45" s="26">
        <f>股权价值增加表!AX53</f>
        <v>0</v>
      </c>
      <c r="AY45" s="26">
        <f>股权价值增加表!AY53</f>
        <v>0</v>
      </c>
      <c r="AZ45" s="26">
        <f>股权价值增加表!AZ53</f>
        <v>0</v>
      </c>
      <c r="BA45" s="26">
        <f>股权价值增加表!BA53</f>
        <v>0</v>
      </c>
      <c r="BB45" s="26">
        <f>股权价值增加表!BB53</f>
        <v>0</v>
      </c>
      <c r="BC45" s="26">
        <f>股权价值增加表!BC53</f>
        <v>0</v>
      </c>
      <c r="BD45" s="26">
        <f>股权价值增加表!BD53</f>
        <v>0</v>
      </c>
      <c r="BE45" s="26">
        <f>股权价值增加表!BE53</f>
        <v>0</v>
      </c>
      <c r="BF45" s="26">
        <f>股权价值增加表!BF53</f>
        <v>0</v>
      </c>
      <c r="BG45" s="26">
        <f>股权价值增加表!BG53</f>
        <v>0</v>
      </c>
      <c r="BH45" s="26">
        <f>股权价值增加表!BH53</f>
        <v>0</v>
      </c>
      <c r="BI45" s="26">
        <f>股权价值增加表!BI53</f>
        <v>0</v>
      </c>
      <c r="BJ45" s="26">
        <f>股权价值增加表!BJ53</f>
        <v>0</v>
      </c>
      <c r="BK45" s="26">
        <f>股权价值增加表!BK53</f>
        <v>0</v>
      </c>
      <c r="BL45" s="26">
        <f>股权价值增加表!BL53</f>
        <v>0</v>
      </c>
      <c r="BM45" s="26">
        <f>股权价值增加表!BM53</f>
        <v>0</v>
      </c>
      <c r="BN45" s="26">
        <f>股权价值增加表!BN53</f>
        <v>0</v>
      </c>
      <c r="BO45" s="26">
        <f>股权价值增加表!BO53</f>
        <v>0</v>
      </c>
      <c r="BP45" s="26">
        <f>股权价值增加表!BP53</f>
        <v>0</v>
      </c>
      <c r="BQ45" s="26">
        <f>股权价值增加表!BQ53</f>
        <v>0</v>
      </c>
      <c r="BR45" s="26">
        <f>股权价值增加表!BR53</f>
        <v>0</v>
      </c>
      <c r="BS45" s="26">
        <f>股权价值增加表!BS53</f>
        <v>0</v>
      </c>
      <c r="BT45" s="26">
        <f>股权价值增加表!BT53</f>
        <v>0</v>
      </c>
      <c r="BU45" s="26">
        <f>股权价值增加表!BU53</f>
        <v>0</v>
      </c>
      <c r="BV45" s="26">
        <f>股权价值增加表!BV53</f>
        <v>0</v>
      </c>
    </row>
    <row r="46" spans="1:74" s="26" customFormat="1">
      <c r="A46" s="17" t="s">
        <v>326</v>
      </c>
      <c r="B46" s="202">
        <v>0</v>
      </c>
      <c r="C46" s="202">
        <v>28269.919999999998</v>
      </c>
      <c r="D46" s="202">
        <v>28269.919999999998</v>
      </c>
      <c r="E46" s="202">
        <v>28269.919999999998</v>
      </c>
      <c r="F46" s="202">
        <v>258903.21</v>
      </c>
      <c r="G46" s="202">
        <v>380421.24</v>
      </c>
      <c r="H46" s="202">
        <v>409188.36</v>
      </c>
      <c r="I46" s="202">
        <v>287671.23</v>
      </c>
      <c r="J46" s="202">
        <v>0</v>
      </c>
      <c r="K46" s="202">
        <v>0</v>
      </c>
      <c r="L46" s="202">
        <v>0</v>
      </c>
      <c r="M46" s="202">
        <v>0</v>
      </c>
      <c r="N46" s="202">
        <v>0</v>
      </c>
      <c r="O46" s="202">
        <v>0</v>
      </c>
      <c r="P46" s="202">
        <v>0</v>
      </c>
      <c r="Q46" s="202">
        <v>0</v>
      </c>
      <c r="R46" s="202">
        <v>0</v>
      </c>
      <c r="S46" s="202">
        <v>0</v>
      </c>
      <c r="T46" s="202">
        <v>0</v>
      </c>
      <c r="U46" s="202">
        <v>0</v>
      </c>
      <c r="V46" s="202"/>
      <c r="W46" s="202"/>
      <c r="X46" s="202"/>
      <c r="Y46" s="40">
        <v>164267.03</v>
      </c>
      <c r="Z46" s="40">
        <v>253366.69</v>
      </c>
      <c r="AA46" s="40">
        <v>425230.18</v>
      </c>
      <c r="AB46" s="40">
        <v>501836.78</v>
      </c>
      <c r="AC46" s="40">
        <v>506694.25</v>
      </c>
      <c r="AD46" s="40">
        <v>522418.91</v>
      </c>
      <c r="AE46" s="40">
        <v>518770.79</v>
      </c>
      <c r="AF46" s="40">
        <v>610130.21</v>
      </c>
      <c r="AG46" s="40">
        <v>567249.11</v>
      </c>
      <c r="AH46" s="40">
        <v>582250</v>
      </c>
      <c r="AI46" s="40">
        <v>582250</v>
      </c>
      <c r="AJ46" s="40">
        <v>648200</v>
      </c>
      <c r="AK46" s="40">
        <v>0</v>
      </c>
      <c r="AL46" s="40">
        <v>0</v>
      </c>
      <c r="AM46" s="40">
        <v>0</v>
      </c>
      <c r="AN46" s="40"/>
      <c r="AO46" s="40"/>
      <c r="AP46" s="26">
        <v>0</v>
      </c>
      <c r="AQ46" s="26">
        <v>0</v>
      </c>
    </row>
    <row r="47" spans="1:74" s="26" customFormat="1">
      <c r="A47" s="17" t="s">
        <v>327</v>
      </c>
      <c r="B47" s="202">
        <v>16844540.280000001</v>
      </c>
      <c r="C47" s="202">
        <v>5500000</v>
      </c>
      <c r="D47" s="202">
        <v>1990000</v>
      </c>
      <c r="E47" s="202">
        <v>2000000</v>
      </c>
      <c r="F47" s="202">
        <v>2000000</v>
      </c>
      <c r="G47" s="202">
        <v>2000000</v>
      </c>
      <c r="H47" s="202">
        <v>2000000</v>
      </c>
      <c r="I47" s="202">
        <v>0</v>
      </c>
      <c r="J47" s="202">
        <v>0</v>
      </c>
      <c r="K47" s="202">
        <v>0</v>
      </c>
      <c r="L47" s="202">
        <v>0</v>
      </c>
      <c r="M47" s="202">
        <v>30000000</v>
      </c>
      <c r="N47" s="202">
        <v>30000000</v>
      </c>
      <c r="O47" s="202">
        <v>30000000</v>
      </c>
      <c r="P47" s="202">
        <v>15000000</v>
      </c>
      <c r="Q47" s="202">
        <v>0</v>
      </c>
      <c r="R47" s="202">
        <v>0</v>
      </c>
      <c r="S47" s="202">
        <v>0</v>
      </c>
      <c r="T47" s="202">
        <v>0</v>
      </c>
      <c r="U47" s="202">
        <v>31000000</v>
      </c>
      <c r="V47" s="202">
        <v>31000000</v>
      </c>
      <c r="W47" s="202">
        <v>0</v>
      </c>
      <c r="X47" s="202">
        <v>0</v>
      </c>
      <c r="Y47" s="40">
        <v>159500000</v>
      </c>
      <c r="Z47" s="40">
        <v>109500000</v>
      </c>
      <c r="AA47" s="40">
        <v>20000000</v>
      </c>
      <c r="AB47" s="40">
        <v>10000000</v>
      </c>
      <c r="AC47" s="40">
        <v>152500000</v>
      </c>
      <c r="AD47" s="40">
        <v>122000000</v>
      </c>
      <c r="AE47" s="40">
        <v>112000000</v>
      </c>
      <c r="AF47" s="40">
        <v>80000000</v>
      </c>
      <c r="AG47" s="40">
        <v>38000000</v>
      </c>
      <c r="AH47" s="40">
        <v>0</v>
      </c>
      <c r="AI47" s="40">
        <v>0</v>
      </c>
      <c r="AJ47" s="40">
        <v>0</v>
      </c>
      <c r="AK47" s="40">
        <v>330000000</v>
      </c>
      <c r="AL47" s="40">
        <v>330000000</v>
      </c>
      <c r="AM47" s="40">
        <v>140000000</v>
      </c>
      <c r="AN47" s="40">
        <v>173500000</v>
      </c>
      <c r="AO47" s="40">
        <v>0</v>
      </c>
      <c r="AP47" s="26">
        <v>1811941.3</v>
      </c>
      <c r="AQ47" s="26">
        <v>2246393.9700000002</v>
      </c>
      <c r="AR47" s="26">
        <v>0</v>
      </c>
      <c r="AS47" s="26">
        <v>0</v>
      </c>
    </row>
    <row r="48" spans="1:74" s="26" customFormat="1">
      <c r="A48" s="17" t="s">
        <v>606</v>
      </c>
      <c r="B48" s="202">
        <v>0</v>
      </c>
      <c r="C48" s="202">
        <v>0</v>
      </c>
      <c r="D48" s="202">
        <v>0</v>
      </c>
      <c r="E48" s="202">
        <v>0</v>
      </c>
      <c r="F48" s="202">
        <v>0</v>
      </c>
      <c r="G48" s="202">
        <v>0</v>
      </c>
      <c r="H48" s="202">
        <v>0</v>
      </c>
      <c r="I48" s="202">
        <v>0</v>
      </c>
      <c r="J48" s="202">
        <v>0</v>
      </c>
      <c r="K48" s="202">
        <v>0</v>
      </c>
      <c r="L48" s="202">
        <v>0</v>
      </c>
      <c r="M48" s="202">
        <v>0</v>
      </c>
      <c r="N48" s="202">
        <v>0</v>
      </c>
      <c r="O48" s="202">
        <v>0</v>
      </c>
      <c r="P48" s="202">
        <v>0</v>
      </c>
      <c r="Q48" s="202">
        <v>0</v>
      </c>
      <c r="R48" s="202">
        <v>0</v>
      </c>
      <c r="S48" s="202">
        <v>0</v>
      </c>
      <c r="T48" s="202">
        <v>0</v>
      </c>
      <c r="U48" s="202">
        <v>0</v>
      </c>
      <c r="V48" s="202">
        <v>0</v>
      </c>
      <c r="W48" s="202">
        <v>0</v>
      </c>
      <c r="X48" s="202">
        <v>0</v>
      </c>
      <c r="Y48" s="40">
        <v>0</v>
      </c>
      <c r="Z48" s="40">
        <v>0</v>
      </c>
      <c r="AA48" s="40">
        <v>0</v>
      </c>
      <c r="AB48" s="40">
        <v>0</v>
      </c>
      <c r="AC48" s="40">
        <v>0</v>
      </c>
      <c r="AD48" s="40">
        <v>0</v>
      </c>
      <c r="AE48" s="40">
        <v>0</v>
      </c>
      <c r="AF48" s="40">
        <v>0</v>
      </c>
      <c r="AG48" s="40">
        <v>0</v>
      </c>
      <c r="AH48" s="40">
        <v>0</v>
      </c>
      <c r="AI48" s="40">
        <v>0</v>
      </c>
      <c r="AJ48" s="40">
        <v>0</v>
      </c>
      <c r="AK48" s="40">
        <v>0</v>
      </c>
      <c r="AL48" s="40">
        <v>0</v>
      </c>
      <c r="AM48" s="40">
        <v>0</v>
      </c>
      <c r="AN48" s="40">
        <v>0</v>
      </c>
      <c r="AO48" s="40">
        <v>0</v>
      </c>
      <c r="AP48" s="26">
        <v>0</v>
      </c>
      <c r="AQ48" s="26">
        <v>0</v>
      </c>
      <c r="AR48" s="26">
        <v>0</v>
      </c>
      <c r="AS48" s="26">
        <v>0</v>
      </c>
    </row>
    <row r="49" spans="1:74" s="26" customFormat="1">
      <c r="A49" s="17" t="s">
        <v>607</v>
      </c>
      <c r="E49" s="26">
        <f>E44+E48-E45-E46-E47</f>
        <v>-3310528.6899999995</v>
      </c>
      <c r="F49" s="26">
        <f t="shared" ref="F49:BQ49" si="15">F44+F48-F45-F46-F47</f>
        <v>7741096.7899999991</v>
      </c>
      <c r="G49" s="26">
        <f t="shared" si="15"/>
        <v>2619578.7599999998</v>
      </c>
      <c r="H49" s="26">
        <f t="shared" si="15"/>
        <v>2590811.6399999997</v>
      </c>
      <c r="I49" s="26">
        <f t="shared" si="15"/>
        <v>-805479.45</v>
      </c>
      <c r="J49" s="26">
        <f t="shared" si="15"/>
        <v>0</v>
      </c>
      <c r="K49" s="26">
        <f t="shared" si="15"/>
        <v>0</v>
      </c>
      <c r="L49" s="26">
        <f t="shared" si="15"/>
        <v>0</v>
      </c>
      <c r="M49" s="26">
        <f t="shared" si="15"/>
        <v>-30482983.809999999</v>
      </c>
      <c r="N49" s="26">
        <f t="shared" si="15"/>
        <v>-30000000</v>
      </c>
      <c r="O49" s="26">
        <f t="shared" si="15"/>
        <v>-30000000</v>
      </c>
      <c r="P49" s="26">
        <f t="shared" si="15"/>
        <v>-15000000</v>
      </c>
      <c r="Q49" s="26">
        <f t="shared" si="15"/>
        <v>28641750</v>
      </c>
      <c r="R49" s="26">
        <f t="shared" si="15"/>
        <v>30000000</v>
      </c>
      <c r="S49" s="26">
        <f t="shared" si="15"/>
        <v>30000000</v>
      </c>
      <c r="T49" s="26">
        <f t="shared" si="15"/>
        <v>15000000</v>
      </c>
      <c r="U49" s="26">
        <f t="shared" si="15"/>
        <v>-31000000</v>
      </c>
      <c r="V49" s="26">
        <f t="shared" si="15"/>
        <v>0</v>
      </c>
      <c r="W49" s="26">
        <f t="shared" si="15"/>
        <v>31000000</v>
      </c>
      <c r="X49" s="26">
        <f t="shared" si="15"/>
        <v>0</v>
      </c>
      <c r="Y49" s="26">
        <f t="shared" si="15"/>
        <v>-159664267.03</v>
      </c>
      <c r="Z49" s="26">
        <f t="shared" si="15"/>
        <v>-109753366.69</v>
      </c>
      <c r="AA49" s="26">
        <f t="shared" si="15"/>
        <v>-20425230.18</v>
      </c>
      <c r="AB49" s="26">
        <f t="shared" si="15"/>
        <v>-10501836.779999999</v>
      </c>
      <c r="AC49" s="26">
        <f t="shared" si="15"/>
        <v>-172988269.49000001</v>
      </c>
      <c r="AD49" s="26">
        <f t="shared" si="15"/>
        <v>-122522418.91</v>
      </c>
      <c r="AE49" s="26">
        <f t="shared" si="15"/>
        <v>-112518770.79000001</v>
      </c>
      <c r="AF49" s="26">
        <f t="shared" si="15"/>
        <v>-80610130.209999993</v>
      </c>
      <c r="AG49" s="26">
        <f t="shared" si="15"/>
        <v>-43463007.109999999</v>
      </c>
      <c r="AH49" s="26">
        <f t="shared" si="15"/>
        <v>19417750</v>
      </c>
      <c r="AI49" s="26">
        <f t="shared" si="15"/>
        <v>19417750</v>
      </c>
      <c r="AJ49" s="26">
        <f t="shared" si="15"/>
        <v>19351800</v>
      </c>
      <c r="AK49" s="26">
        <f t="shared" si="15"/>
        <v>199471518.10000002</v>
      </c>
      <c r="AL49" s="26">
        <f t="shared" si="15"/>
        <v>120000000</v>
      </c>
      <c r="AM49" s="26">
        <f t="shared" si="15"/>
        <v>60000000</v>
      </c>
      <c r="AN49" s="26">
        <f t="shared" si="15"/>
        <v>-3500000</v>
      </c>
      <c r="AO49" s="26">
        <f t="shared" si="15"/>
        <v>-2114040.12</v>
      </c>
      <c r="AP49" s="26">
        <f t="shared" si="15"/>
        <v>-1811941.3</v>
      </c>
      <c r="AQ49" s="26">
        <f t="shared" si="15"/>
        <v>-2246393.9700000002</v>
      </c>
      <c r="AR49" s="26">
        <f t="shared" si="15"/>
        <v>0</v>
      </c>
      <c r="AS49" s="26">
        <f t="shared" si="15"/>
        <v>0</v>
      </c>
      <c r="AT49" s="26">
        <f t="shared" si="15"/>
        <v>0</v>
      </c>
      <c r="AU49" s="26">
        <f t="shared" si="15"/>
        <v>0</v>
      </c>
      <c r="AV49" s="26">
        <f t="shared" si="15"/>
        <v>0</v>
      </c>
      <c r="AW49" s="26">
        <f t="shared" si="15"/>
        <v>0</v>
      </c>
      <c r="AX49" s="26">
        <f t="shared" si="15"/>
        <v>0</v>
      </c>
      <c r="AY49" s="26">
        <f t="shared" si="15"/>
        <v>0</v>
      </c>
      <c r="AZ49" s="26">
        <f t="shared" si="15"/>
        <v>0</v>
      </c>
      <c r="BA49" s="26">
        <f t="shared" si="15"/>
        <v>0</v>
      </c>
      <c r="BB49" s="26">
        <f t="shared" si="15"/>
        <v>0</v>
      </c>
      <c r="BC49" s="26">
        <f t="shared" si="15"/>
        <v>0</v>
      </c>
      <c r="BD49" s="26">
        <f t="shared" si="15"/>
        <v>0</v>
      </c>
      <c r="BE49" s="26">
        <f t="shared" si="15"/>
        <v>0</v>
      </c>
      <c r="BF49" s="26">
        <f t="shared" si="15"/>
        <v>0</v>
      </c>
      <c r="BG49" s="26">
        <f t="shared" si="15"/>
        <v>0</v>
      </c>
      <c r="BH49" s="26">
        <f t="shared" si="15"/>
        <v>0</v>
      </c>
      <c r="BI49" s="26">
        <f t="shared" si="15"/>
        <v>0</v>
      </c>
      <c r="BJ49" s="26">
        <f t="shared" si="15"/>
        <v>0</v>
      </c>
      <c r="BK49" s="26">
        <f t="shared" si="15"/>
        <v>0</v>
      </c>
      <c r="BL49" s="26">
        <f t="shared" si="15"/>
        <v>0</v>
      </c>
      <c r="BM49" s="26">
        <f t="shared" si="15"/>
        <v>0</v>
      </c>
      <c r="BN49" s="26">
        <f t="shared" si="15"/>
        <v>0</v>
      </c>
      <c r="BO49" s="26">
        <f t="shared" si="15"/>
        <v>0</v>
      </c>
      <c r="BP49" s="26">
        <f t="shared" si="15"/>
        <v>0</v>
      </c>
      <c r="BQ49" s="26">
        <f t="shared" si="15"/>
        <v>0</v>
      </c>
      <c r="BR49" s="26">
        <f t="shared" ref="BR49:BV49" si="16">BR44+BR48-BR45-BR46-BR47</f>
        <v>0</v>
      </c>
      <c r="BS49" s="26">
        <f t="shared" si="16"/>
        <v>0</v>
      </c>
      <c r="BT49" s="26">
        <f t="shared" si="16"/>
        <v>0</v>
      </c>
      <c r="BU49" s="26">
        <f t="shared" si="16"/>
        <v>0</v>
      </c>
      <c r="BV49" s="26">
        <f t="shared" si="16"/>
        <v>0</v>
      </c>
    </row>
    <row r="50" spans="1:74" s="26" customFormat="1"/>
    <row r="51" spans="1:74" s="16" customFormat="1" ht="120" customHeight="1">
      <c r="A51" s="235"/>
      <c r="B51" s="236"/>
      <c r="C51" s="236"/>
      <c r="D51" s="236"/>
      <c r="E51" s="236"/>
      <c r="F51" s="236"/>
      <c r="G51" s="236"/>
      <c r="H51" s="236"/>
      <c r="I51" s="236"/>
      <c r="J51" s="236"/>
      <c r="K51" s="236"/>
      <c r="L51" s="236"/>
      <c r="M51" s="236"/>
      <c r="N51" s="236"/>
      <c r="O51" s="236"/>
      <c r="P51" s="236"/>
      <c r="Q51" s="236"/>
      <c r="R51" s="236"/>
      <c r="S51" s="236"/>
      <c r="T51" s="236"/>
      <c r="U51" s="236"/>
      <c r="V51" s="236"/>
      <c r="W51" s="236"/>
      <c r="X51" s="236"/>
      <c r="Y51" s="236"/>
      <c r="Z51" s="236"/>
      <c r="AA51" s="236"/>
      <c r="AB51" s="236"/>
      <c r="AC51" s="236"/>
      <c r="AD51" s="236"/>
      <c r="AE51" s="236"/>
      <c r="AF51" s="236"/>
      <c r="AG51" s="236"/>
      <c r="AH51" s="236"/>
      <c r="AI51" s="236"/>
      <c r="AJ51" s="236"/>
      <c r="AK51" s="23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A14" sqref="A14:AG14"/>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7.25" hidden="1" customWidth="1"/>
    <col min="13" max="13" width="17.25" bestFit="1" customWidth="1"/>
    <col min="14" max="16" width="17.25" hidden="1" customWidth="1"/>
    <col min="17" max="17" width="17.25" bestFit="1" customWidth="1"/>
    <col min="18" max="20" width="17.25" hidden="1" customWidth="1"/>
    <col min="21" max="21" width="9.5" bestFit="1" customWidth="1"/>
    <col min="22" max="23" width="19.375" bestFit="1" customWidth="1"/>
    <col min="24"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7.25" hidden="1" customWidth="1"/>
    <col min="37" max="37" width="17.25" bestFit="1" customWidth="1"/>
    <col min="38" max="38" width="17.25" hidden="1" customWidth="1"/>
    <col min="39" max="39" width="11.625" bestFit="1" customWidth="1"/>
    <col min="40" max="40" width="17.25" bestFit="1" customWidth="1"/>
    <col min="41" max="42" width="17.25" hidden="1" customWidth="1"/>
    <col min="43" max="43" width="11.625" bestFit="1" customWidth="1"/>
    <col min="44" max="44" width="19.375" bestFit="1" customWidth="1"/>
    <col min="45" max="45" width="19.375" hidden="1" customWidth="1"/>
    <col min="46" max="73" width="19.375" bestFit="1" customWidth="1"/>
    <col min="74" max="74" width="8.5" bestFit="1" customWidth="1"/>
  </cols>
  <sheetData>
    <row r="1" spans="1:74">
      <c r="A1" s="17">
        <v>300470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41274</v>
      </c>
      <c r="W1" s="1">
        <v>40908</v>
      </c>
      <c r="X1" s="1">
        <v>25569</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8" customFormat="1">
      <c r="A2" s="46" t="s">
        <v>328</v>
      </c>
    </row>
    <row r="3" spans="1:74" s="26" customFormat="1">
      <c r="A3" s="17" t="s">
        <v>329</v>
      </c>
      <c r="B3" s="26">
        <f>平均资本成本表!E53</f>
        <v>0</v>
      </c>
      <c r="E3" s="26">
        <f>股权价值增加表!E53</f>
        <v>11282258.77</v>
      </c>
      <c r="F3" s="26">
        <f>股权价值增加表!F53</f>
        <v>0</v>
      </c>
      <c r="G3" s="26">
        <f>股权价值增加表!G53</f>
        <v>0</v>
      </c>
      <c r="H3" s="26">
        <f>股权价值增加表!H53</f>
        <v>0</v>
      </c>
      <c r="I3" s="26">
        <f>股权价值增加表!I53</f>
        <v>517808.22</v>
      </c>
      <c r="J3" s="26">
        <f>股权价值增加表!J53</f>
        <v>0</v>
      </c>
      <c r="K3" s="26">
        <f>股权价值增加表!K53</f>
        <v>0</v>
      </c>
      <c r="L3" s="26">
        <f>股权价值增加表!L53</f>
        <v>0</v>
      </c>
      <c r="M3" s="26">
        <f>股权价值增加表!M53</f>
        <v>482983.81</v>
      </c>
      <c r="N3" s="26">
        <f>股权价值增加表!N53</f>
        <v>0</v>
      </c>
      <c r="O3" s="26">
        <f>股权价值增加表!O53</f>
        <v>0</v>
      </c>
      <c r="P3" s="26">
        <f>股权价值增加表!P53</f>
        <v>0</v>
      </c>
      <c r="Q3" s="26">
        <f>股权价值增加表!Q53</f>
        <v>1358250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19981575.239999998</v>
      </c>
      <c r="AD3" s="26">
        <f>股权价值增加表!AD53</f>
        <v>0</v>
      </c>
      <c r="AE3" s="26">
        <f>股权价值增加表!AE53</f>
        <v>0</v>
      </c>
      <c r="AF3" s="26">
        <f>股权价值增加表!AF53</f>
        <v>0</v>
      </c>
      <c r="AG3" s="26">
        <f>股权价值增加表!AG53</f>
        <v>24895758</v>
      </c>
      <c r="AH3" s="26">
        <f>股权价值增加表!AH53</f>
        <v>0</v>
      </c>
      <c r="AI3" s="26">
        <f>股权价值增加表!AI53</f>
        <v>0</v>
      </c>
      <c r="AJ3" s="26">
        <f>股权价值增加表!AJ53</f>
        <v>0</v>
      </c>
      <c r="AK3" s="26">
        <f>股权价值增加表!AK53</f>
        <v>528481.9</v>
      </c>
      <c r="AL3" s="26">
        <f>股权价值增加表!AL53</f>
        <v>0</v>
      </c>
      <c r="AM3" s="26">
        <f>股权价值增加表!AM53</f>
        <v>0</v>
      </c>
      <c r="AN3" s="26">
        <f>股权价值增加表!AN53</f>
        <v>0</v>
      </c>
      <c r="AO3" s="26">
        <f>股权价值增加表!AO53</f>
        <v>2114040.12</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10228269.92</v>
      </c>
      <c r="F4" s="26">
        <f>资产资本表!F89</f>
        <v>189186452.25999999</v>
      </c>
      <c r="G4" s="26">
        <f>资产资本表!G89</f>
        <v>184507970.28999999</v>
      </c>
      <c r="H4" s="26">
        <f>资产资本表!H89</f>
        <v>185221018.83999997</v>
      </c>
      <c r="I4" s="26">
        <f>资产资本表!I89</f>
        <v>150687671.22999999</v>
      </c>
      <c r="J4" s="26">
        <f>资产资本表!J89</f>
        <v>400000</v>
      </c>
      <c r="K4" s="26">
        <f>资产资本表!K89</f>
        <v>400000</v>
      </c>
      <c r="L4" s="26">
        <f>资产资本表!L89</f>
        <v>400000</v>
      </c>
      <c r="M4" s="26">
        <f>资产资本表!M89</f>
        <v>400000</v>
      </c>
      <c r="N4" s="26">
        <f>资产资本表!N89</f>
        <v>8363609.2300000004</v>
      </c>
      <c r="O4" s="26">
        <f>资产资本表!O89</f>
        <v>400000</v>
      </c>
      <c r="P4" s="26">
        <f>资产资本表!P89</f>
        <v>15400000</v>
      </c>
      <c r="Q4" s="26">
        <f>资产资本表!Q89</f>
        <v>30400000</v>
      </c>
      <c r="R4" s="26">
        <f>资产资本表!R89</f>
        <v>400000</v>
      </c>
      <c r="S4" s="26">
        <f>资产资本表!S89</f>
        <v>31400000</v>
      </c>
      <c r="T4" s="26">
        <f>资产资本表!T89</f>
        <v>31800000</v>
      </c>
      <c r="U4" s="26">
        <f>资产资本表!U89</f>
        <v>0</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334</v>
      </c>
      <c r="E5" s="63">
        <f>IF(E4+I4=0,0,E3/((E4+I4)/2))</f>
        <v>0.14022549524143277</v>
      </c>
      <c r="F5" s="63">
        <f t="shared" ref="F5:BQ5" si="0">IF(F4+J4=0,0,F3/((F4+J4)/2))</f>
        <v>0</v>
      </c>
      <c r="G5" s="63">
        <f t="shared" si="0"/>
        <v>0</v>
      </c>
      <c r="H5" s="63">
        <f t="shared" si="0"/>
        <v>0</v>
      </c>
      <c r="I5" s="63">
        <f t="shared" si="0"/>
        <v>6.8544073223783183E-3</v>
      </c>
      <c r="J5" s="63">
        <f t="shared" si="0"/>
        <v>0</v>
      </c>
      <c r="K5" s="63">
        <f t="shared" si="0"/>
        <v>0</v>
      </c>
      <c r="L5" s="63">
        <f t="shared" si="0"/>
        <v>0</v>
      </c>
      <c r="M5" s="63">
        <f t="shared" si="0"/>
        <v>3.1362585064935063E-2</v>
      </c>
      <c r="N5" s="63">
        <f t="shared" si="0"/>
        <v>0</v>
      </c>
      <c r="O5" s="63">
        <f t="shared" si="0"/>
        <v>0</v>
      </c>
      <c r="P5" s="63">
        <f t="shared" si="0"/>
        <v>0</v>
      </c>
      <c r="Q5" s="63">
        <f t="shared" si="0"/>
        <v>8.935855263157895E-2</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350</v>
      </c>
      <c r="E6" s="63">
        <f>股权价值增加表!E41</f>
        <v>0.16454205691987595</v>
      </c>
      <c r="F6" s="63">
        <f>股权价值增加表!F41</f>
        <v>0.1720247048113849</v>
      </c>
      <c r="G6" s="63">
        <f>股权价值增加表!G41</f>
        <v>0.18164590950515769</v>
      </c>
      <c r="H6" s="63">
        <f>股权价值增加表!H41</f>
        <v>0.17469861728640348</v>
      </c>
      <c r="I6" s="63">
        <f>股权价值增加表!I41</f>
        <v>0.14553033067920079</v>
      </c>
      <c r="J6" s="63">
        <f>股权价值增加表!J41</f>
        <v>0.13994888853962123</v>
      </c>
      <c r="K6" s="63">
        <f>股权价值增加表!K41</f>
        <v>0.13406130628593793</v>
      </c>
      <c r="L6" s="63">
        <f>股权价值增加表!L41</f>
        <v>0.14378382450971755</v>
      </c>
      <c r="M6" s="63">
        <f>股权价值增加表!M41</f>
        <v>0.14705995613296682</v>
      </c>
      <c r="N6" s="63">
        <f>股权价值增加表!N41</f>
        <v>0.14994430210256648</v>
      </c>
      <c r="O6" s="63">
        <f>股权价值增加表!O41</f>
        <v>0.13525842817927386</v>
      </c>
      <c r="P6" s="63">
        <f>股权价值增加表!P41</f>
        <v>0.16544560493676069</v>
      </c>
      <c r="Q6" s="63">
        <f>股权价值增加表!Q41</f>
        <v>0.14852353388376127</v>
      </c>
      <c r="R6" s="63">
        <f>股权价值增加表!R41</f>
        <v>0.14617269513761</v>
      </c>
      <c r="S6" s="63">
        <f>股权价值增加表!S41</f>
        <v>0.14970585110371837</v>
      </c>
      <c r="T6" s="63">
        <f>股权价值增加表!T41</f>
        <v>0.13867051208961884</v>
      </c>
      <c r="U6" s="63">
        <f>股权价值增加表!U41</f>
        <v>0.14869511581987674</v>
      </c>
      <c r="V6" s="63">
        <f>股权价值增加表!V41</f>
        <v>0.14734706786297502</v>
      </c>
      <c r="W6" s="63">
        <f>股权价值增加表!W41</f>
        <v>0.14305100194535902</v>
      </c>
      <c r="X6" s="63" t="e">
        <f>股权价值增加表!X41</f>
        <v>#DIV/0!</v>
      </c>
      <c r="Y6" s="63">
        <f>股权价值增加表!Y41</f>
        <v>5.9505360164341328</v>
      </c>
      <c r="Z6" s="63">
        <f>股权价值增加表!Z41</f>
        <v>7.1984811127791444</v>
      </c>
      <c r="AA6" s="63">
        <f>股权价值增加表!AA41</f>
        <v>6.9089539937726885</v>
      </c>
      <c r="AB6" s="63">
        <f>股权价值增加表!AB41</f>
        <v>4.2836003300069301</v>
      </c>
      <c r="AC6" s="63">
        <f>股权价值增加表!AC41</f>
        <v>5.8589751673245063</v>
      </c>
      <c r="AD6" s="63">
        <f>股权价值增加表!AD41</f>
        <v>7.2188317975527942</v>
      </c>
      <c r="AE6" s="63">
        <f>股权价值增加表!AE41</f>
        <v>6.3343200437197824</v>
      </c>
      <c r="AF6" s="63">
        <f>股权价值增加表!AF41</f>
        <v>6.9862961125492333</v>
      </c>
      <c r="AG6" s="63">
        <f>股权价值增加表!AG41</f>
        <v>-2.2809297856753123</v>
      </c>
      <c r="AH6" s="63">
        <f>股权价值增加表!AH41</f>
        <v>-2.6131676061667921</v>
      </c>
      <c r="AI6" s="63">
        <f>股权价值增加表!AI41</f>
        <v>-1.9579269356661024</v>
      </c>
      <c r="AJ6" s="63">
        <f>股权价值增加表!AJ41</f>
        <v>-0.54225708576927567</v>
      </c>
      <c r="AK6" s="63">
        <f>股权价值增加表!AK41</f>
        <v>-1.6986158554592821</v>
      </c>
      <c r="AL6" s="63">
        <f>股权价值增加表!AL41</f>
        <v>-2.034211341637651</v>
      </c>
      <c r="AM6" s="63">
        <f>股权价值增加表!AM41</f>
        <v>-1.8750436812881521</v>
      </c>
      <c r="AN6" s="63">
        <f>股权价值增加表!AN41</f>
        <v>-1.2250008054354369</v>
      </c>
      <c r="AO6" s="63">
        <f>股权价值增加表!AO41</f>
        <v>0</v>
      </c>
      <c r="AP6" s="63">
        <f>股权价值增加表!AP41</f>
        <v>-26.921411546557955</v>
      </c>
      <c r="AQ6" s="63">
        <f>股权价值增加表!AQ41</f>
        <v>-89.871691374119806</v>
      </c>
      <c r="AR6" s="63">
        <f>股权价值增加表!AR41</f>
        <v>74.067398871895691</v>
      </c>
      <c r="AS6" s="63" t="e">
        <f>股权价值增加表!AS41</f>
        <v>#DIV/0!</v>
      </c>
      <c r="AT6" s="63">
        <f>股权价值增加表!AT41</f>
        <v>5.1332968378154469</v>
      </c>
      <c r="AU6" s="63">
        <f>股权价值增加表!AU41</f>
        <v>7.2924414182151729</v>
      </c>
      <c r="AV6" s="63">
        <f>股权价值增加表!AV41</f>
        <v>4.7146615153439262</v>
      </c>
      <c r="AW6" s="63">
        <f>股权价值增加表!AW41</f>
        <v>0.87180087503841486</v>
      </c>
      <c r="AX6" s="63">
        <f>股权价值增加表!AX41</f>
        <v>0.74447056790029142</v>
      </c>
      <c r="AY6" s="63">
        <f>股权价值增加表!AY41</f>
        <v>1.0451658867707241</v>
      </c>
      <c r="AZ6" s="63">
        <f>股权价值增加表!AZ41</f>
        <v>2.0551845510368487</v>
      </c>
      <c r="BA6" s="63">
        <f>股权价值增加表!BA41</f>
        <v>-2.4638497240987847</v>
      </c>
      <c r="BB6" s="63">
        <f>股权价值增加表!BB41</f>
        <v>-2.01752412620819</v>
      </c>
      <c r="BC6" s="63">
        <f>股权价值增加表!BC41</f>
        <v>-28.219198084406898</v>
      </c>
      <c r="BD6" s="63">
        <f>股权价值增加表!BD41</f>
        <v>1.668592578247527</v>
      </c>
      <c r="BE6" s="63">
        <f>股权价值增加表!BE41</f>
        <v>1.5286582897360992</v>
      </c>
      <c r="BF6" s="63">
        <f>股权价值增加表!BF41</f>
        <v>1.5408987587015193</v>
      </c>
      <c r="BG6" s="63">
        <f>股权价值增加表!BG41</f>
        <v>1.3820546251148127</v>
      </c>
      <c r="BH6" s="63">
        <f>股权价值增加表!BH41</f>
        <v>2.1220982625406397</v>
      </c>
      <c r="BI6" s="63">
        <f>股权价值增加表!BI41</f>
        <v>1.2930199499076394</v>
      </c>
      <c r="BJ6" s="63">
        <f>股权价值增加表!BJ41</f>
        <v>0.97118672925503446</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c r="A7" s="63" t="s">
        <v>331</v>
      </c>
      <c r="E7" s="63">
        <f>E5*(1-E6)</f>
        <v>0.11715250382179915</v>
      </c>
      <c r="F7" s="63">
        <f t="shared" ref="F7:BQ7" si="2">F5*(1-F6)</f>
        <v>0</v>
      </c>
      <c r="G7" s="63">
        <f t="shared" si="2"/>
        <v>0</v>
      </c>
      <c r="H7" s="63">
        <f t="shared" si="2"/>
        <v>0</v>
      </c>
      <c r="I7" s="63">
        <f t="shared" si="2"/>
        <v>5.8568831581426659E-3</v>
      </c>
      <c r="J7" s="63">
        <f t="shared" si="2"/>
        <v>0</v>
      </c>
      <c r="K7" s="63">
        <f t="shared" si="2"/>
        <v>0</v>
      </c>
      <c r="L7" s="63">
        <f t="shared" si="2"/>
        <v>0</v>
      </c>
      <c r="M7" s="63">
        <f t="shared" si="2"/>
        <v>2.6750404681069272E-2</v>
      </c>
      <c r="N7" s="63">
        <f t="shared" si="2"/>
        <v>0</v>
      </c>
      <c r="O7" s="63">
        <f t="shared" si="2"/>
        <v>0</v>
      </c>
      <c r="P7" s="63">
        <f t="shared" si="2"/>
        <v>0</v>
      </c>
      <c r="Q7" s="63">
        <f t="shared" si="2"/>
        <v>7.6086704611998762E-2</v>
      </c>
      <c r="R7" s="63">
        <f t="shared" si="2"/>
        <v>0</v>
      </c>
      <c r="S7" s="63">
        <f t="shared" si="2"/>
        <v>0</v>
      </c>
      <c r="T7" s="63">
        <f t="shared" si="2"/>
        <v>0</v>
      </c>
      <c r="U7" s="63">
        <f t="shared" si="2"/>
        <v>0</v>
      </c>
      <c r="V7" s="63">
        <f t="shared" si="2"/>
        <v>0</v>
      </c>
      <c r="W7" s="63">
        <f t="shared" si="2"/>
        <v>0</v>
      </c>
      <c r="X7" s="63" t="e">
        <f t="shared" si="2"/>
        <v>#DIV/0!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t="e">
        <f t="shared" si="2"/>
        <v>#DIV/0!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332</v>
      </c>
      <c r="E8" s="26">
        <f>资产资本表!E107</f>
        <v>991209375.57999992</v>
      </c>
      <c r="F8" s="26">
        <f>资产资本表!F107</f>
        <v>950637711.79999995</v>
      </c>
      <c r="G8" s="26">
        <f>资产资本表!G107</f>
        <v>915922563.47000003</v>
      </c>
      <c r="H8" s="26">
        <f>资产资本表!H107</f>
        <v>909832465.58000004</v>
      </c>
      <c r="I8" s="26">
        <f>资产资本表!I107</f>
        <v>892884868.82000005</v>
      </c>
      <c r="J8" s="26">
        <f>资产资本表!J107</f>
        <v>851634400.14999998</v>
      </c>
      <c r="K8" s="26">
        <f>资产资本表!K107</f>
        <v>843360937.77999997</v>
      </c>
      <c r="L8" s="26">
        <f>资产资本表!L107</f>
        <v>823265858.40999997</v>
      </c>
      <c r="M8" s="26">
        <f>资产资本表!M107</f>
        <v>807226588.05999994</v>
      </c>
      <c r="N8" s="26">
        <f>资产资本表!N107</f>
        <v>777111786.25999999</v>
      </c>
      <c r="O8" s="26">
        <f>资产资本表!O107</f>
        <v>758564608.17999995</v>
      </c>
      <c r="P8" s="26">
        <f>资产资本表!P107</f>
        <v>355718608.83999997</v>
      </c>
      <c r="Q8" s="26">
        <f>资产资本表!Q107</f>
        <v>339227935.73000002</v>
      </c>
      <c r="R8" s="26">
        <f>资产资本表!R107</f>
        <v>270319476.91000003</v>
      </c>
      <c r="S8" s="26">
        <f>资产资本表!S107</f>
        <v>200051672.05000001</v>
      </c>
      <c r="T8" s="26">
        <f>资产资本表!T107</f>
        <v>132202598.48</v>
      </c>
      <c r="U8" s="26">
        <f>资产资本表!U107</f>
        <v>0</v>
      </c>
      <c r="V8" s="26">
        <f>资产资本表!V107</f>
        <v>3123425916.3600001</v>
      </c>
      <c r="W8" s="26">
        <f>资产资本表!W107</f>
        <v>3008332106.3799996</v>
      </c>
      <c r="X8" s="26">
        <f>资产资本表!X107</f>
        <v>2979772636.0699997</v>
      </c>
      <c r="Y8" s="26">
        <f>资产资本表!Y107</f>
        <v>2932489543.6699996</v>
      </c>
      <c r="Z8" s="26">
        <f>资产资本表!Z107</f>
        <v>2848128733.9000001</v>
      </c>
      <c r="AA8" s="26">
        <f>资产资本表!AA107</f>
        <v>2757878280.0100002</v>
      </c>
      <c r="AB8" s="26">
        <f>资产资本表!AB107</f>
        <v>2745360343.7600002</v>
      </c>
      <c r="AC8" s="26">
        <f>资产资本表!AC107</f>
        <v>2704458292.2399998</v>
      </c>
      <c r="AD8" s="26">
        <f>资产资本表!AD107</f>
        <v>2672656786.1900001</v>
      </c>
      <c r="AE8" s="26">
        <f>资产资本表!AE107</f>
        <v>2586611041.4499998</v>
      </c>
      <c r="AF8" s="26">
        <f>资产资本表!AF107</f>
        <v>2559221388.8499999</v>
      </c>
      <c r="AG8" s="26">
        <f>资产资本表!AG107</f>
        <v>2532639722.4200001</v>
      </c>
      <c r="AH8" s="26">
        <f>资产资本表!AH107</f>
        <v>384442846.82999998</v>
      </c>
      <c r="AI8" s="26">
        <f>资产资本表!AI107</f>
        <v>311964600.76999998</v>
      </c>
      <c r="AJ8" s="26">
        <f>资产资本表!AJ107</f>
        <v>266080793.58000001</v>
      </c>
      <c r="AK8" s="26">
        <f>资产资本表!AK107</f>
        <v>175559966.52000001</v>
      </c>
      <c r="AL8" s="26">
        <f>资产资本表!AL107</f>
        <v>129529844.64</v>
      </c>
      <c r="AM8" s="26">
        <f>资产资本表!AM107</f>
        <v>0</v>
      </c>
      <c r="AN8" s="26">
        <f>资产资本表!AN107</f>
        <v>238736715.93000001</v>
      </c>
      <c r="AO8" s="26">
        <f>资产资本表!AO107</f>
        <v>174139245.78</v>
      </c>
      <c r="AP8" s="26">
        <f>资产资本表!AP107</f>
        <v>106511976.33</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c r="A10" s="17" t="s">
        <v>333</v>
      </c>
      <c r="E10" s="26">
        <f>资产资本表!E70</f>
        <v>1001437645.5000001</v>
      </c>
      <c r="F10" s="26">
        <f>资产资本表!F70</f>
        <v>1139824164.0599999</v>
      </c>
      <c r="G10" s="26">
        <f>资产资本表!G70</f>
        <v>1121766533.76</v>
      </c>
      <c r="H10" s="26">
        <f>资产资本表!H70</f>
        <v>1095053484.4200001</v>
      </c>
      <c r="I10" s="26">
        <f>资产资本表!I70</f>
        <v>1043572540.0500002</v>
      </c>
      <c r="J10" s="26">
        <f>资产资本表!J70</f>
        <v>852034400.14999986</v>
      </c>
      <c r="K10" s="26">
        <f>资产资本表!K70</f>
        <v>843760937.77999997</v>
      </c>
      <c r="L10" s="26">
        <f>资产资本表!L70</f>
        <v>823665858.41000009</v>
      </c>
      <c r="M10" s="26">
        <f>资产资本表!M70</f>
        <v>807626588.06000006</v>
      </c>
      <c r="N10" s="26">
        <f>资产资本表!N70</f>
        <v>785475395.49000001</v>
      </c>
      <c r="O10" s="26">
        <f>资产资本表!O70</f>
        <v>782967608.17999995</v>
      </c>
      <c r="P10" s="26">
        <f>资产资本表!P70</f>
        <v>371118608.83999997</v>
      </c>
      <c r="Q10" s="26">
        <f>资产资本表!Q70</f>
        <v>369627935.73000002</v>
      </c>
      <c r="R10" s="26">
        <f>资产资本表!R70</f>
        <v>270719476.90999997</v>
      </c>
      <c r="S10" s="26">
        <f>资产资本表!S70</f>
        <v>231451672.05000001</v>
      </c>
      <c r="T10" s="26">
        <f>资产资本表!T70</f>
        <v>164002598.48000002</v>
      </c>
      <c r="U10" s="26">
        <f>资产资本表!U70</f>
        <v>0</v>
      </c>
      <c r="V10" s="26">
        <f>资产资本表!V70</f>
        <v>0</v>
      </c>
      <c r="W10" s="26">
        <f>资产资本表!W70</f>
        <v>0</v>
      </c>
      <c r="X10" s="26">
        <f>资产资本表!X70</f>
        <v>0</v>
      </c>
      <c r="Y10" s="26">
        <f>资产资本表!Y70</f>
        <v>0</v>
      </c>
      <c r="Z10" s="26">
        <f>资产资本表!Z70</f>
        <v>0</v>
      </c>
      <c r="AA10" s="26">
        <f>资产资本表!AA70</f>
        <v>0</v>
      </c>
      <c r="AB10" s="26">
        <f>资产资本表!AB70</f>
        <v>0</v>
      </c>
      <c r="AC10" s="26">
        <f>资产资本表!AC70</f>
        <v>0</v>
      </c>
      <c r="AD10" s="26">
        <f>资产资本表!AD70</f>
        <v>0</v>
      </c>
      <c r="AE10" s="26">
        <f>资产资本表!AE70</f>
        <v>0</v>
      </c>
      <c r="AF10" s="26">
        <f>资产资本表!AF70</f>
        <v>0</v>
      </c>
      <c r="AG10" s="26">
        <f>资产资本表!AG70</f>
        <v>0</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351</v>
      </c>
      <c r="E11" s="63">
        <f>E4/E10</f>
        <v>1.0213586403468191E-2</v>
      </c>
      <c r="F11" s="63">
        <f t="shared" ref="F11:BQ11" si="4">F4/F10</f>
        <v>0.16597862918270373</v>
      </c>
      <c r="G11" s="63">
        <f t="shared" si="4"/>
        <v>0.16447983135274666</v>
      </c>
      <c r="H11" s="63">
        <f t="shared" si="4"/>
        <v>0.16914335370395456</v>
      </c>
      <c r="I11" s="63">
        <f t="shared" si="4"/>
        <v>0.14439597195876788</v>
      </c>
      <c r="J11" s="63">
        <f t="shared" si="4"/>
        <v>4.694646130832046E-4</v>
      </c>
      <c r="K11" s="63">
        <f t="shared" si="4"/>
        <v>4.7406792859175351E-4</v>
      </c>
      <c r="L11" s="63">
        <f t="shared" si="4"/>
        <v>4.8563382337123666E-4</v>
      </c>
      <c r="M11" s="63">
        <f t="shared" si="4"/>
        <v>4.9527839463636291E-4</v>
      </c>
      <c r="N11" s="63">
        <f t="shared" si="4"/>
        <v>1.064783095437708E-2</v>
      </c>
      <c r="O11" s="63">
        <f t="shared" si="4"/>
        <v>5.1087681766273294E-4</v>
      </c>
      <c r="P11" s="63">
        <f t="shared" si="4"/>
        <v>4.1496167621816529E-2</v>
      </c>
      <c r="Q11" s="63">
        <f t="shared" si="4"/>
        <v>8.2244865881041282E-2</v>
      </c>
      <c r="R11" s="63">
        <f t="shared" si="4"/>
        <v>1.4775442260956313E-3</v>
      </c>
      <c r="S11" s="63">
        <f t="shared" si="4"/>
        <v>0.13566547055757164</v>
      </c>
      <c r="T11" s="63">
        <f t="shared" si="4"/>
        <v>0.19389936680715447</v>
      </c>
      <c r="U11" s="63" t="e">
        <f t="shared" si="4"/>
        <v>#DIV/0!</v>
      </c>
      <c r="V11" s="63" t="e">
        <f t="shared" si="4"/>
        <v>#DIV/0!</v>
      </c>
      <c r="W11" s="63" t="e">
        <f t="shared" si="4"/>
        <v>#DIV/0!</v>
      </c>
      <c r="X11" s="63" t="e">
        <f t="shared" si="4"/>
        <v>#DIV/0!</v>
      </c>
      <c r="Y11" s="63" t="e">
        <f t="shared" si="4"/>
        <v>#DIV/0!</v>
      </c>
      <c r="Z11" s="63" t="e">
        <f t="shared" si="4"/>
        <v>#DIV/0!</v>
      </c>
      <c r="AA11" s="63" t="e">
        <f t="shared" si="4"/>
        <v>#DIV/0!</v>
      </c>
      <c r="AB11" s="63" t="e">
        <f t="shared" si="4"/>
        <v>#DIV/0!</v>
      </c>
      <c r="AC11" s="63" t="e">
        <f t="shared" si="4"/>
        <v>#DIV/0!</v>
      </c>
      <c r="AD11" s="63" t="e">
        <f t="shared" si="4"/>
        <v>#DIV/0!</v>
      </c>
      <c r="AE11" s="63" t="e">
        <f t="shared" si="4"/>
        <v>#DIV/0!</v>
      </c>
      <c r="AF11" s="63" t="e">
        <f t="shared" si="4"/>
        <v>#DIV/0!</v>
      </c>
      <c r="AG11" s="63" t="e">
        <f t="shared" si="4"/>
        <v>#DIV/0!</v>
      </c>
      <c r="AH11" s="63" t="e">
        <f t="shared" si="4"/>
        <v>#DIV/0!</v>
      </c>
      <c r="AI11" s="63" t="e">
        <f t="shared" si="4"/>
        <v>#DIV/0!</v>
      </c>
      <c r="AJ11" s="63" t="e">
        <f t="shared" si="4"/>
        <v>#DIV/0!</v>
      </c>
      <c r="AK11" s="63" t="e">
        <f t="shared" si="4"/>
        <v>#DIV/0!</v>
      </c>
      <c r="AL11" s="63" t="e">
        <f t="shared" si="4"/>
        <v>#DIV/0!</v>
      </c>
      <c r="AM11" s="63" t="e">
        <f t="shared" si="4"/>
        <v>#DIV/0!</v>
      </c>
      <c r="AN11" s="63" t="e">
        <f t="shared" si="4"/>
        <v>#DIV/0!</v>
      </c>
      <c r="AO11" s="63" t="e">
        <f t="shared" si="4"/>
        <v>#DIV/0!</v>
      </c>
      <c r="AP11" s="63" t="e">
        <f t="shared" si="4"/>
        <v>#DIV/0!</v>
      </c>
      <c r="AQ11" s="63" t="e">
        <f t="shared" si="4"/>
        <v>#DIV/0!</v>
      </c>
      <c r="AR11" s="63" t="e">
        <f t="shared" si="4"/>
        <v>#DIV/0!</v>
      </c>
      <c r="AS11" s="63" t="e">
        <f t="shared" si="4"/>
        <v>#DIV/0!</v>
      </c>
      <c r="AT11" s="63" t="e">
        <f t="shared" si="4"/>
        <v>#DIV/0!</v>
      </c>
      <c r="AU11" s="63" t="e">
        <f t="shared" si="4"/>
        <v>#DIV/0!</v>
      </c>
      <c r="AV11" s="63" t="e">
        <f t="shared" si="4"/>
        <v>#DIV/0!</v>
      </c>
      <c r="AW11" s="63" t="e">
        <f t="shared" si="4"/>
        <v>#DIV/0!</v>
      </c>
      <c r="AX11" s="63" t="e">
        <f t="shared" si="4"/>
        <v>#DIV/0!</v>
      </c>
      <c r="AY11" s="63" t="e">
        <f t="shared" si="4"/>
        <v>#DIV/0!</v>
      </c>
      <c r="AZ11" s="63" t="e">
        <f t="shared" si="4"/>
        <v>#DIV/0!</v>
      </c>
      <c r="BA11" s="63" t="e">
        <f t="shared" si="4"/>
        <v>#DIV/0!</v>
      </c>
      <c r="BB11" s="63" t="e">
        <f t="shared" si="4"/>
        <v>#DIV/0!</v>
      </c>
      <c r="BC11" s="63" t="e">
        <f t="shared" si="4"/>
        <v>#DIV/0!</v>
      </c>
      <c r="BD11" s="63" t="e">
        <f t="shared" si="4"/>
        <v>#DIV/0!</v>
      </c>
      <c r="BE11" s="63" t="e">
        <f t="shared" si="4"/>
        <v>#DIV/0!</v>
      </c>
      <c r="BF11" s="63" t="e">
        <f t="shared" si="4"/>
        <v>#DIV/0!</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c r="A12" s="17" t="s">
        <v>352</v>
      </c>
      <c r="E12" s="63">
        <f>E8/E10</f>
        <v>0.98978641359653163</v>
      </c>
      <c r="F12" s="63">
        <f t="shared" ref="F12:BQ12" si="5">F8/F10</f>
        <v>0.83402137081729621</v>
      </c>
      <c r="G12" s="63">
        <f t="shared" si="5"/>
        <v>0.81650016817666993</v>
      </c>
      <c r="H12" s="63">
        <f t="shared" si="5"/>
        <v>0.83085664629604539</v>
      </c>
      <c r="I12" s="63">
        <f t="shared" si="5"/>
        <v>0.85560402804123203</v>
      </c>
      <c r="J12" s="63">
        <f t="shared" si="5"/>
        <v>0.99953053538691694</v>
      </c>
      <c r="K12" s="63">
        <f t="shared" si="5"/>
        <v>0.99952593207140827</v>
      </c>
      <c r="L12" s="63">
        <f t="shared" si="5"/>
        <v>0.99951436617662859</v>
      </c>
      <c r="M12" s="63">
        <f t="shared" si="5"/>
        <v>0.99950472160536352</v>
      </c>
      <c r="N12" s="63">
        <f t="shared" si="5"/>
        <v>0.98935216904562284</v>
      </c>
      <c r="O12" s="63">
        <f t="shared" si="5"/>
        <v>0.96883268254644084</v>
      </c>
      <c r="P12" s="63">
        <f t="shared" si="5"/>
        <v>0.95850383237818348</v>
      </c>
      <c r="Q12" s="63">
        <f t="shared" si="5"/>
        <v>0.9177551341189587</v>
      </c>
      <c r="R12" s="63">
        <f t="shared" si="5"/>
        <v>0.99852245577390464</v>
      </c>
      <c r="S12" s="63">
        <f t="shared" si="5"/>
        <v>0.86433452944242839</v>
      </c>
      <c r="T12" s="63">
        <f t="shared" si="5"/>
        <v>0.80610063319284542</v>
      </c>
      <c r="U12" s="63" t="e">
        <f t="shared" si="5"/>
        <v>#DIV/0!</v>
      </c>
      <c r="V12" s="63" t="e">
        <f t="shared" si="5"/>
        <v>#DIV/0!</v>
      </c>
      <c r="W12" s="63" t="e">
        <f t="shared" si="5"/>
        <v>#DIV/0!</v>
      </c>
      <c r="X12" s="63" t="e">
        <f t="shared" si="5"/>
        <v>#DIV/0!</v>
      </c>
      <c r="Y12" s="63" t="e">
        <f t="shared" si="5"/>
        <v>#DIV/0!</v>
      </c>
      <c r="Z12" s="63" t="e">
        <f t="shared" si="5"/>
        <v>#DIV/0!</v>
      </c>
      <c r="AA12" s="63" t="e">
        <f t="shared" si="5"/>
        <v>#DIV/0!</v>
      </c>
      <c r="AB12" s="63" t="e">
        <f t="shared" si="5"/>
        <v>#DIV/0!</v>
      </c>
      <c r="AC12" s="63" t="e">
        <f t="shared" si="5"/>
        <v>#DIV/0!</v>
      </c>
      <c r="AD12" s="63" t="e">
        <f t="shared" si="5"/>
        <v>#DIV/0!</v>
      </c>
      <c r="AE12" s="63" t="e">
        <f t="shared" si="5"/>
        <v>#DIV/0!</v>
      </c>
      <c r="AF12" s="63" t="e">
        <f t="shared" si="5"/>
        <v>#DIV/0!</v>
      </c>
      <c r="AG12" s="63" t="e">
        <f t="shared" si="5"/>
        <v>#DIV/0!</v>
      </c>
      <c r="AH12" s="63" t="e">
        <f t="shared" si="5"/>
        <v>#DIV/0!</v>
      </c>
      <c r="AI12" s="63" t="e">
        <f t="shared" si="5"/>
        <v>#DIV/0!</v>
      </c>
      <c r="AJ12" s="63" t="e">
        <f t="shared" si="5"/>
        <v>#DIV/0!</v>
      </c>
      <c r="AK12" s="63" t="e">
        <f t="shared" si="5"/>
        <v>#DIV/0!</v>
      </c>
      <c r="AL12" s="63" t="e">
        <f t="shared" si="5"/>
        <v>#DIV/0!</v>
      </c>
      <c r="AM12" s="63" t="e">
        <f t="shared" si="5"/>
        <v>#DIV/0!</v>
      </c>
      <c r="AN12" s="63" t="e">
        <f t="shared" si="5"/>
        <v>#DIV/0!</v>
      </c>
      <c r="AO12" s="63" t="e">
        <f t="shared" si="5"/>
        <v>#DIV/0!</v>
      </c>
      <c r="AP12" s="63" t="e">
        <f t="shared" si="5"/>
        <v>#DIV/0!</v>
      </c>
      <c r="AQ12" s="63" t="e">
        <f t="shared" si="5"/>
        <v>#DIV/0!</v>
      </c>
      <c r="AR12" s="63" t="e">
        <f t="shared" si="5"/>
        <v>#DIV/0!</v>
      </c>
      <c r="AS12" s="63" t="e">
        <f t="shared" si="5"/>
        <v>#DIV/0!</v>
      </c>
      <c r="AT12" s="63" t="e">
        <f t="shared" si="5"/>
        <v>#DIV/0!</v>
      </c>
      <c r="AU12" s="63" t="e">
        <f t="shared" si="5"/>
        <v>#DIV/0!</v>
      </c>
      <c r="AV12" s="63" t="e">
        <f t="shared" si="5"/>
        <v>#DIV/0!</v>
      </c>
      <c r="AW12" s="63" t="e">
        <f t="shared" si="5"/>
        <v>#DIV/0!</v>
      </c>
      <c r="AX12" s="63" t="e">
        <f t="shared" si="5"/>
        <v>#DIV/0!</v>
      </c>
      <c r="AY12" s="63" t="e">
        <f t="shared" si="5"/>
        <v>#DIV/0!</v>
      </c>
      <c r="AZ12" s="63" t="e">
        <f t="shared" si="5"/>
        <v>#DIV/0!</v>
      </c>
      <c r="BA12" s="63" t="e">
        <f t="shared" si="5"/>
        <v>#DIV/0!</v>
      </c>
      <c r="BB12" s="63" t="e">
        <f t="shared" si="5"/>
        <v>#DIV/0!</v>
      </c>
      <c r="BC12" s="63" t="e">
        <f t="shared" si="5"/>
        <v>#DIV/0!</v>
      </c>
      <c r="BD12" s="63" t="e">
        <f t="shared" si="5"/>
        <v>#DIV/0!</v>
      </c>
      <c r="BE12" s="63" t="e">
        <f t="shared" si="5"/>
        <v>#DIV/0!</v>
      </c>
      <c r="BF12" s="63" t="e">
        <f t="shared" si="5"/>
        <v>#DIV/0!</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c r="A13" s="17" t="s">
        <v>353</v>
      </c>
      <c r="E13" s="63">
        <f>(E4/E10*E7+E8/E10*E9)</f>
        <v>8.0379460307889117E-2</v>
      </c>
      <c r="F13" s="63">
        <f t="shared" ref="F13:BQ13" si="6">(F4/F10*F7+F8/F10*F9)</f>
        <v>6.6721709665383697E-2</v>
      </c>
      <c r="G13" s="63">
        <f t="shared" si="6"/>
        <v>6.5320013454133602E-2</v>
      </c>
      <c r="H13" s="63">
        <f t="shared" si="6"/>
        <v>6.6468531703683637E-2</v>
      </c>
      <c r="I13" s="63">
        <f t="shared" si="6"/>
        <v>6.929403257956751E-2</v>
      </c>
      <c r="J13" s="63">
        <f t="shared" si="6"/>
        <v>7.9962442830953356E-2</v>
      </c>
      <c r="K13" s="63">
        <f t="shared" si="6"/>
        <v>7.9962074565712665E-2</v>
      </c>
      <c r="L13" s="63">
        <f t="shared" si="6"/>
        <v>7.9961149294130285E-2</v>
      </c>
      <c r="M13" s="63">
        <f t="shared" si="6"/>
        <v>7.9973626625915395E-2</v>
      </c>
      <c r="N13" s="63">
        <f t="shared" si="6"/>
        <v>7.9148173523649834E-2</v>
      </c>
      <c r="O13" s="63">
        <f t="shared" si="6"/>
        <v>7.7506614603715274E-2</v>
      </c>
      <c r="P13" s="63">
        <f t="shared" si="6"/>
        <v>7.6680306590254682E-2</v>
      </c>
      <c r="Q13" s="63">
        <f t="shared" si="6"/>
        <v>7.967815154566095E-2</v>
      </c>
      <c r="R13" s="63">
        <f t="shared" si="6"/>
        <v>7.9881796461912374E-2</v>
      </c>
      <c r="S13" s="63">
        <f t="shared" si="6"/>
        <v>6.914676235539427E-2</v>
      </c>
      <c r="T13" s="63">
        <f t="shared" si="6"/>
        <v>6.4488050655427634E-2</v>
      </c>
      <c r="U13" s="63" t="e">
        <f t="shared" si="6"/>
        <v>#DIV/0!</v>
      </c>
      <c r="V13" s="63" t="e">
        <f t="shared" si="6"/>
        <v>#DIV/0!</v>
      </c>
      <c r="W13" s="63" t="e">
        <f t="shared" si="6"/>
        <v>#DIV/0!</v>
      </c>
      <c r="X13" s="63" t="e">
        <f t="shared" si="6"/>
        <v>#DIV/0!</v>
      </c>
      <c r="Y13" s="63" t="e">
        <f t="shared" si="6"/>
        <v>#DIV/0!</v>
      </c>
      <c r="Z13" s="63" t="e">
        <f t="shared" si="6"/>
        <v>#DIV/0!</v>
      </c>
      <c r="AA13" s="63" t="e">
        <f t="shared" si="6"/>
        <v>#DIV/0!</v>
      </c>
      <c r="AB13" s="63" t="e">
        <f t="shared" si="6"/>
        <v>#DIV/0!</v>
      </c>
      <c r="AC13" s="63" t="e">
        <f t="shared" si="6"/>
        <v>#DIV/0!</v>
      </c>
      <c r="AD13" s="63" t="e">
        <f t="shared" si="6"/>
        <v>#DIV/0!</v>
      </c>
      <c r="AE13" s="63" t="e">
        <f t="shared" si="6"/>
        <v>#DIV/0!</v>
      </c>
      <c r="AF13" s="63" t="e">
        <f t="shared" si="6"/>
        <v>#DIV/0!</v>
      </c>
      <c r="AG13" s="63" t="e">
        <f t="shared" si="6"/>
        <v>#DIV/0!</v>
      </c>
      <c r="AH13" s="63" t="e">
        <f t="shared" si="6"/>
        <v>#DIV/0!</v>
      </c>
      <c r="AI13" s="63" t="e">
        <f t="shared" si="6"/>
        <v>#DIV/0!</v>
      </c>
      <c r="AJ13" s="63" t="e">
        <f t="shared" si="6"/>
        <v>#DIV/0!</v>
      </c>
      <c r="AK13" s="63" t="e">
        <f t="shared" si="6"/>
        <v>#DIV/0!</v>
      </c>
      <c r="AL13" s="63" t="e">
        <f t="shared" si="6"/>
        <v>#DIV/0!</v>
      </c>
      <c r="AM13" s="63" t="e">
        <f t="shared" si="6"/>
        <v>#DIV/0!</v>
      </c>
      <c r="AN13" s="63" t="e">
        <f t="shared" si="6"/>
        <v>#DIV/0!</v>
      </c>
      <c r="AO13" s="63" t="e">
        <f t="shared" si="6"/>
        <v>#DIV/0!</v>
      </c>
      <c r="AP13" s="63" t="e">
        <f t="shared" si="6"/>
        <v>#DIV/0!</v>
      </c>
      <c r="AQ13" s="63" t="e">
        <f t="shared" si="6"/>
        <v>#DIV/0!</v>
      </c>
      <c r="AR13" s="63" t="e">
        <f t="shared" si="6"/>
        <v>#DIV/0!</v>
      </c>
      <c r="AS13" s="63" t="e">
        <f t="shared" si="6"/>
        <v>#DIV/0!</v>
      </c>
      <c r="AT13" s="63" t="e">
        <f t="shared" si="6"/>
        <v>#DIV/0!</v>
      </c>
      <c r="AU13" s="63" t="e">
        <f t="shared" si="6"/>
        <v>#DIV/0!</v>
      </c>
      <c r="AV13" s="63" t="e">
        <f t="shared" si="6"/>
        <v>#DIV/0!</v>
      </c>
      <c r="AW13" s="63" t="e">
        <f t="shared" si="6"/>
        <v>#DIV/0!</v>
      </c>
      <c r="AX13" s="63" t="e">
        <f t="shared" si="6"/>
        <v>#DIV/0!</v>
      </c>
      <c r="AY13" s="63" t="e">
        <f t="shared" si="6"/>
        <v>#DIV/0!</v>
      </c>
      <c r="AZ13" s="63" t="e">
        <f t="shared" si="6"/>
        <v>#DIV/0!</v>
      </c>
      <c r="BA13" s="63" t="e">
        <f t="shared" si="6"/>
        <v>#DIV/0!</v>
      </c>
      <c r="BB13" s="63" t="e">
        <f t="shared" si="6"/>
        <v>#DIV/0!</v>
      </c>
      <c r="BC13" s="63" t="e">
        <f t="shared" si="6"/>
        <v>#DIV/0!</v>
      </c>
      <c r="BD13" s="63" t="e">
        <f t="shared" si="6"/>
        <v>#DIV/0!</v>
      </c>
      <c r="BE13" s="63" t="e">
        <f t="shared" si="6"/>
        <v>#DIV/0!</v>
      </c>
      <c r="BF13" s="63" t="e">
        <f t="shared" si="6"/>
        <v>#DIV/0!</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c r="A14" s="235"/>
      <c r="B14" s="236"/>
      <c r="C14" s="236"/>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row>
    <row r="16" spans="1:74" s="45" customFormat="1">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51"/>
  <sheetViews>
    <sheetView topLeftCell="A31" workbookViewId="0">
      <selection activeCell="A18" sqref="A18:AG18"/>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19.5" hidden="1" customWidth="1"/>
    <col min="13" max="13" width="19.5" bestFit="1" customWidth="1"/>
    <col min="14" max="16" width="19.5" hidden="1" customWidth="1"/>
    <col min="17" max="20" width="19.5" bestFit="1" customWidth="1"/>
    <col min="21" max="21" width="9.5" hidden="1" customWidth="1"/>
    <col min="22" max="90" width="8.5" bestFit="1" customWidth="1"/>
  </cols>
  <sheetData>
    <row r="1" spans="1:90" s="26" customFormat="1">
      <c r="A1" s="17">
        <v>300470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41639</v>
      </c>
      <c r="S1" s="1">
        <v>41274</v>
      </c>
      <c r="T1" s="1">
        <v>40908</v>
      </c>
      <c r="U1" s="1">
        <v>25569</v>
      </c>
      <c r="V1" s="202"/>
      <c r="W1" s="202"/>
      <c r="X1" s="202"/>
      <c r="Y1" s="202"/>
      <c r="Z1" s="202"/>
      <c r="AA1" s="202"/>
      <c r="AB1" s="202"/>
      <c r="AC1" s="202"/>
      <c r="AD1" s="202"/>
      <c r="AE1" s="202"/>
      <c r="AF1" s="202"/>
      <c r="AG1" s="202"/>
      <c r="AH1" s="202"/>
      <c r="AI1" s="202"/>
      <c r="AJ1" s="202"/>
      <c r="AK1" s="202"/>
      <c r="AL1" s="202"/>
      <c r="AM1" s="202"/>
      <c r="AN1" s="202"/>
      <c r="AO1" s="202"/>
      <c r="AP1" s="202"/>
      <c r="AQ1" s="202"/>
      <c r="AR1" s="202"/>
      <c r="AS1" s="202"/>
      <c r="AT1" s="202"/>
      <c r="AU1" s="202"/>
      <c r="AV1" s="202"/>
      <c r="AW1" s="20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row>
    <row r="2" spans="1:90" s="26" customFormat="1">
      <c r="A2" s="17" t="s">
        <v>559</v>
      </c>
      <c r="E2" s="26">
        <f>资产资本表!E17</f>
        <v>394785620.10000002</v>
      </c>
      <c r="F2" s="26">
        <f>资产资本表!F17</f>
        <v>505690981.24000001</v>
      </c>
      <c r="G2" s="26">
        <f>资产资本表!G17</f>
        <v>508958673.50999999</v>
      </c>
      <c r="H2" s="26">
        <f>资产资本表!H17</f>
        <v>497832719.06999999</v>
      </c>
      <c r="I2" s="26">
        <f>资产资本表!I17</f>
        <v>493851281.17000002</v>
      </c>
      <c r="J2" s="26">
        <f>资产资本表!J17</f>
        <v>461432565.64999998</v>
      </c>
      <c r="K2" s="26">
        <f>资产资本表!K17</f>
        <v>423235120.27999997</v>
      </c>
      <c r="L2" s="26">
        <f>资产资本表!L17</f>
        <v>411767153.42000002</v>
      </c>
      <c r="M2" s="26">
        <f>资产资本表!M17</f>
        <v>413367888.41000003</v>
      </c>
      <c r="N2" s="26">
        <f>资产资本表!N17</f>
        <v>389489625.13</v>
      </c>
      <c r="O2" s="26">
        <f>资产资本表!O17</f>
        <v>462791285.51999998</v>
      </c>
      <c r="P2" s="26">
        <f>资产资本表!P17</f>
        <v>63260732.039999999</v>
      </c>
      <c r="Q2" s="26">
        <f>资产资本表!Q17</f>
        <v>75747117.969999999</v>
      </c>
      <c r="R2" s="26">
        <f>资产资本表!R17</f>
        <v>26369896.879999999</v>
      </c>
      <c r="S2" s="26">
        <f>资产资本表!S17</f>
        <v>45028010.689999998</v>
      </c>
      <c r="T2" s="26">
        <f>资产资本表!T17</f>
        <v>52203020.68</v>
      </c>
      <c r="U2" s="26">
        <f>资产资本表!U17</f>
        <v>0</v>
      </c>
      <c r="V2" s="26">
        <f>资产资本表!V17</f>
        <v>0</v>
      </c>
      <c r="W2" s="26">
        <f>资产资本表!W17</f>
        <v>0</v>
      </c>
      <c r="X2" s="26">
        <f>资产资本表!X17</f>
        <v>0</v>
      </c>
      <c r="Y2" s="26">
        <f>资产资本表!Y17</f>
        <v>0</v>
      </c>
      <c r="Z2" s="26">
        <f>资产资本表!Z17</f>
        <v>0</v>
      </c>
      <c r="AA2" s="26">
        <f>资产资本表!AA17</f>
        <v>0</v>
      </c>
      <c r="AB2" s="26">
        <f>资产资本表!AB17</f>
        <v>0</v>
      </c>
      <c r="AC2" s="26">
        <f>资产资本表!AC17</f>
        <v>0</v>
      </c>
      <c r="AD2" s="26">
        <f>资产资本表!AD17</f>
        <v>0</v>
      </c>
      <c r="AE2" s="26">
        <f>资产资本表!AE17</f>
        <v>0</v>
      </c>
      <c r="AF2" s="26">
        <f>资产资本表!AF17</f>
        <v>0</v>
      </c>
      <c r="AG2" s="26">
        <f>资产资本表!AG17</f>
        <v>0</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560</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565</v>
      </c>
      <c r="E4" s="26">
        <f>资产资本表!E50</f>
        <v>347328031.25</v>
      </c>
      <c r="F4" s="26">
        <f>资产资本表!F50</f>
        <v>378130381.20000005</v>
      </c>
      <c r="G4" s="26">
        <f>资产资本表!G50</f>
        <v>367079553.13</v>
      </c>
      <c r="H4" s="26">
        <f>资产资本表!H50</f>
        <v>358783628.06999999</v>
      </c>
      <c r="I4" s="26">
        <f>资产资本表!I50</f>
        <v>285875972.70000005</v>
      </c>
      <c r="J4" s="26">
        <f>资产资本表!J50</f>
        <v>254186295.41999993</v>
      </c>
      <c r="K4" s="26">
        <f>资产资本表!K50</f>
        <v>284772809.21999997</v>
      </c>
      <c r="L4" s="26">
        <f>资产资本表!L50</f>
        <v>276792660.00999999</v>
      </c>
      <c r="M4" s="26">
        <f>资产资本表!M50</f>
        <v>258715976.03000003</v>
      </c>
      <c r="N4" s="26">
        <f>资产资本表!N50</f>
        <v>263678233.25</v>
      </c>
      <c r="O4" s="26">
        <f>资产资本表!O50</f>
        <v>189553380.24000001</v>
      </c>
      <c r="P4" s="26">
        <f>资产资本表!P50</f>
        <v>175905973.88</v>
      </c>
      <c r="Q4" s="26">
        <f>资产资本表!Q50</f>
        <v>159845595.78999999</v>
      </c>
      <c r="R4" s="26">
        <f>资产资本表!R50</f>
        <v>121255809.08</v>
      </c>
      <c r="S4" s="26">
        <f>资产资本表!S50</f>
        <v>84209193.520000026</v>
      </c>
      <c r="T4" s="26">
        <f>资产资本表!T50</f>
        <v>48307661.540000021</v>
      </c>
      <c r="U4" s="26">
        <f>资产资本表!U50</f>
        <v>0</v>
      </c>
      <c r="V4" s="26">
        <f>资产资本表!V50</f>
        <v>0</v>
      </c>
      <c r="W4" s="26">
        <f>资产资本表!W50</f>
        <v>0</v>
      </c>
      <c r="X4" s="26">
        <f>资产资本表!X50</f>
        <v>0</v>
      </c>
      <c r="Y4" s="26">
        <f>资产资本表!Y50</f>
        <v>0</v>
      </c>
      <c r="Z4" s="26">
        <f>资产资本表!Z50</f>
        <v>0</v>
      </c>
      <c r="AA4" s="26">
        <f>资产资本表!AA50</f>
        <v>0</v>
      </c>
      <c r="AB4" s="26">
        <f>资产资本表!AB50</f>
        <v>0</v>
      </c>
      <c r="AC4" s="26">
        <f>资产资本表!AC50</f>
        <v>0</v>
      </c>
      <c r="AD4" s="26">
        <f>资产资本表!AD50</f>
        <v>0</v>
      </c>
      <c r="AE4" s="26">
        <f>资产资本表!AE50</f>
        <v>0</v>
      </c>
      <c r="AF4" s="26">
        <f>资产资本表!AF50</f>
        <v>0</v>
      </c>
      <c r="AG4" s="26">
        <f>资产资本表!AG50</f>
        <v>0</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549740879.76999998</v>
      </c>
      <c r="F5" s="26">
        <f>资产资本表!F33</f>
        <v>560165423</v>
      </c>
      <c r="G5" s="26">
        <f>资产资本表!G33</f>
        <v>522513120.48000002</v>
      </c>
      <c r="H5" s="26">
        <f>资产资本表!H33</f>
        <v>494572191.37</v>
      </c>
      <c r="I5" s="26">
        <f>资产资本表!I33</f>
        <v>385227291.61000001</v>
      </c>
      <c r="J5" s="26">
        <f>资产资本表!J33</f>
        <v>372399301.93999994</v>
      </c>
      <c r="K5" s="26">
        <f>资产资本表!K33</f>
        <v>388632486.51999998</v>
      </c>
      <c r="L5" s="26">
        <f>资产资本表!L33</f>
        <v>384508596.48000002</v>
      </c>
      <c r="M5" s="26">
        <f>资产资本表!M33</f>
        <v>364349825.52000004</v>
      </c>
      <c r="N5" s="26">
        <f>资产资本表!N33</f>
        <v>372488503.87</v>
      </c>
      <c r="O5" s="26">
        <f>资产资本表!O33</f>
        <v>299664096.75</v>
      </c>
      <c r="P5" s="26">
        <f>资产资本表!P33</f>
        <v>288014983.26999998</v>
      </c>
      <c r="Q5" s="26">
        <f>资产资本表!Q33</f>
        <v>272825475.50999999</v>
      </c>
      <c r="R5" s="26">
        <f>资产资本表!R33</f>
        <v>228970052.47</v>
      </c>
      <c r="S5" s="26">
        <f>资产资本表!S33</f>
        <v>178662129.74000001</v>
      </c>
      <c r="T5" s="26">
        <f>资产资本表!T33</f>
        <v>136848827.10000002</v>
      </c>
      <c r="U5" s="26">
        <f>资产资本表!U33</f>
        <v>0</v>
      </c>
      <c r="V5" s="26">
        <f>资产资本表!V33</f>
        <v>0</v>
      </c>
      <c r="W5" s="26">
        <f>资产资本表!W33</f>
        <v>0</v>
      </c>
      <c r="X5" s="26">
        <f>资产资本表!X33</f>
        <v>0</v>
      </c>
      <c r="Y5" s="26">
        <f>资产资本表!Y33</f>
        <v>0</v>
      </c>
      <c r="Z5" s="26">
        <f>资产资本表!Z33</f>
        <v>0</v>
      </c>
      <c r="AA5" s="26">
        <f>资产资本表!AA33</f>
        <v>0</v>
      </c>
      <c r="AB5" s="26">
        <f>资产资本表!AB33</f>
        <v>0</v>
      </c>
      <c r="AC5" s="26">
        <f>资产资本表!AC33</f>
        <v>0</v>
      </c>
      <c r="AD5" s="26">
        <f>资产资本表!AD33</f>
        <v>0</v>
      </c>
      <c r="AE5" s="26">
        <f>资产资本表!AE33</f>
        <v>0</v>
      </c>
      <c r="AF5" s="26">
        <f>资产资本表!AF33</f>
        <v>0</v>
      </c>
      <c r="AG5" s="26">
        <f>资产资本表!AG33</f>
        <v>0</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202412848.52000001</v>
      </c>
      <c r="F6" s="26">
        <f>资产资本表!F49</f>
        <v>182035041.79999998</v>
      </c>
      <c r="G6" s="26">
        <f>资产资本表!G49</f>
        <v>155433567.35000002</v>
      </c>
      <c r="H6" s="26">
        <f>资产资本表!H49</f>
        <v>135788563.30000001</v>
      </c>
      <c r="I6" s="26">
        <f>资产资本表!I49</f>
        <v>99351318.909999996</v>
      </c>
      <c r="J6" s="26">
        <f>资产资本表!J49</f>
        <v>118213006.52000001</v>
      </c>
      <c r="K6" s="26">
        <f>资产资本表!K49</f>
        <v>103859677.30000001</v>
      </c>
      <c r="L6" s="26">
        <f>资产资本表!L49</f>
        <v>107715936.47</v>
      </c>
      <c r="M6" s="26">
        <f>资产资本表!M49</f>
        <v>105633849.49000002</v>
      </c>
      <c r="N6" s="26">
        <f>资产资本表!N49</f>
        <v>108810270.61999999</v>
      </c>
      <c r="O6" s="26">
        <f>资产资本表!O49</f>
        <v>110110716.51000001</v>
      </c>
      <c r="P6" s="26">
        <f>资产资本表!P49</f>
        <v>112109009.38999999</v>
      </c>
      <c r="Q6" s="26">
        <f>资产资本表!Q49</f>
        <v>112979879.72</v>
      </c>
      <c r="R6" s="26">
        <f>资产资本表!R49</f>
        <v>107714243.39</v>
      </c>
      <c r="S6" s="26">
        <f>资产资本表!S49</f>
        <v>94452936.219999984</v>
      </c>
      <c r="T6" s="26">
        <f>资产资本表!T49</f>
        <v>88541165.560000002</v>
      </c>
      <c r="U6" s="26">
        <f>资产资本表!U49</f>
        <v>0</v>
      </c>
      <c r="V6" s="26">
        <f>资产资本表!V49</f>
        <v>0</v>
      </c>
      <c r="W6" s="26">
        <f>资产资本表!W49</f>
        <v>0</v>
      </c>
      <c r="X6" s="26">
        <f>资产资本表!X49</f>
        <v>0</v>
      </c>
      <c r="Y6" s="26">
        <f>资产资本表!Y49</f>
        <v>0</v>
      </c>
      <c r="Z6" s="26">
        <f>资产资本表!Z49</f>
        <v>0</v>
      </c>
      <c r="AA6" s="26">
        <f>资产资本表!AA49</f>
        <v>0</v>
      </c>
      <c r="AB6" s="26">
        <f>资产资本表!AB49</f>
        <v>0</v>
      </c>
      <c r="AC6" s="26">
        <f>资产资本表!AC49</f>
        <v>0</v>
      </c>
      <c r="AD6" s="26">
        <f>资产资本表!AD49</f>
        <v>0</v>
      </c>
      <c r="AE6" s="26">
        <f>资产资本表!AE49</f>
        <v>0</v>
      </c>
      <c r="AF6" s="26">
        <f>资产资本表!AF49</f>
        <v>0</v>
      </c>
      <c r="AG6" s="26">
        <f>资产资本表!AG49</f>
        <v>0</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259323994.15000004</v>
      </c>
      <c r="F7" s="26">
        <f>资产资本表!F68</f>
        <v>256002801.62</v>
      </c>
      <c r="G7" s="26">
        <f>资产资本表!G68</f>
        <v>245728307.12</v>
      </c>
      <c r="H7" s="26">
        <f>资产资本表!H68</f>
        <v>238437137.28000003</v>
      </c>
      <c r="I7" s="26">
        <f>资产资本表!I68</f>
        <v>263845286.18000001</v>
      </c>
      <c r="J7" s="26">
        <f>资产资本表!J68</f>
        <v>136415539.07999998</v>
      </c>
      <c r="K7" s="26">
        <f>资产资本表!K68</f>
        <v>135753008.28</v>
      </c>
      <c r="L7" s="26">
        <f>资产资本表!L68</f>
        <v>135106044.97999999</v>
      </c>
      <c r="M7" s="26">
        <f>资产资本表!M68</f>
        <v>135542723.62</v>
      </c>
      <c r="N7" s="26">
        <f>资产资本表!N68</f>
        <v>132307537.11</v>
      </c>
      <c r="O7" s="26">
        <f>资产资本表!O68</f>
        <v>130622942.41999999</v>
      </c>
      <c r="P7" s="26">
        <f>资产资本表!P68</f>
        <v>131951902.91999999</v>
      </c>
      <c r="Q7" s="26">
        <f>资产资本表!Q68</f>
        <v>134035221.97</v>
      </c>
      <c r="R7" s="26">
        <f>资产资本表!R68</f>
        <v>123093770.94999999</v>
      </c>
      <c r="S7" s="26">
        <f>资产资本表!S68</f>
        <v>102214467.83999999</v>
      </c>
      <c r="T7" s="26">
        <f>资产资本表!T68</f>
        <v>63491916.259999998</v>
      </c>
      <c r="U7" s="26">
        <f>资产资本表!U68</f>
        <v>0</v>
      </c>
      <c r="V7" s="26">
        <f>资产资本表!V68</f>
        <v>0</v>
      </c>
      <c r="W7" s="26">
        <f>资产资本表!W68</f>
        <v>0</v>
      </c>
      <c r="X7" s="26">
        <f>资产资本表!X68</f>
        <v>0</v>
      </c>
      <c r="Y7" s="26">
        <f>资产资本表!Y68</f>
        <v>0</v>
      </c>
      <c r="Z7" s="26">
        <f>资产资本表!Z68</f>
        <v>0</v>
      </c>
      <c r="AA7" s="26">
        <f>资产资本表!AA68</f>
        <v>0</v>
      </c>
      <c r="AB7" s="26">
        <f>资产资本表!AB68</f>
        <v>0</v>
      </c>
      <c r="AC7" s="26">
        <f>资产资本表!AC68</f>
        <v>0</v>
      </c>
      <c r="AD7" s="26">
        <f>资产资本表!AD68</f>
        <v>0</v>
      </c>
      <c r="AE7" s="26">
        <f>资产资本表!AE68</f>
        <v>0</v>
      </c>
      <c r="AF7" s="26">
        <f>资产资本表!AF68</f>
        <v>0</v>
      </c>
      <c r="AG7" s="26">
        <f>资产资本表!AG68</f>
        <v>0</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606652025.4000001</v>
      </c>
      <c r="F8" s="26">
        <f>资产资本表!F69</f>
        <v>634133182.82000005</v>
      </c>
      <c r="G8" s="26">
        <f>资产资本表!G69</f>
        <v>612807860.25</v>
      </c>
      <c r="H8" s="26">
        <f>资产资本表!H69</f>
        <v>597220765.35000002</v>
      </c>
      <c r="I8" s="26">
        <f>资产资本表!I69</f>
        <v>549721258.88000011</v>
      </c>
      <c r="J8" s="26">
        <f>资产资本表!J69</f>
        <v>390601834.49999988</v>
      </c>
      <c r="K8" s="26">
        <f>资产资本表!K69</f>
        <v>420525817.5</v>
      </c>
      <c r="L8" s="26">
        <f>资产资本表!L69</f>
        <v>411898704.99000001</v>
      </c>
      <c r="M8" s="26">
        <f>资产资本表!M69</f>
        <v>394258699.65000004</v>
      </c>
      <c r="N8" s="26">
        <f>资产资本表!N69</f>
        <v>395985770.36000001</v>
      </c>
      <c r="O8" s="26">
        <f>资产资本表!O69</f>
        <v>320176322.65999997</v>
      </c>
      <c r="P8" s="26">
        <f>资产资本表!P69</f>
        <v>307857876.79999995</v>
      </c>
      <c r="Q8" s="26">
        <f>资产资本表!Q69</f>
        <v>293880817.75999999</v>
      </c>
      <c r="R8" s="26">
        <f>资产资本表!R69</f>
        <v>244349580.02999997</v>
      </c>
      <c r="S8" s="26">
        <f>资产资本表!S69</f>
        <v>186423661.36000001</v>
      </c>
      <c r="T8" s="26">
        <f>资产资本表!T69</f>
        <v>111799577.80000001</v>
      </c>
      <c r="U8" s="26">
        <f>资产资本表!U69</f>
        <v>0</v>
      </c>
      <c r="V8" s="26">
        <f>资产资本表!V69</f>
        <v>0</v>
      </c>
      <c r="W8" s="26">
        <f>资产资本表!W69</f>
        <v>0</v>
      </c>
      <c r="X8" s="26">
        <f>资产资本表!X69</f>
        <v>0</v>
      </c>
      <c r="Y8" s="26">
        <f>资产资本表!Y69</f>
        <v>0</v>
      </c>
      <c r="Z8" s="26">
        <f>资产资本表!Z69</f>
        <v>0</v>
      </c>
      <c r="AA8" s="26">
        <f>资产资本表!AA69</f>
        <v>0</v>
      </c>
      <c r="AB8" s="26">
        <f>资产资本表!AB69</f>
        <v>0</v>
      </c>
      <c r="AC8" s="26">
        <f>资产资本表!AC69</f>
        <v>0</v>
      </c>
      <c r="AD8" s="26">
        <f>资产资本表!AD69</f>
        <v>0</v>
      </c>
      <c r="AE8" s="26">
        <f>资产资本表!AE69</f>
        <v>0</v>
      </c>
      <c r="AF8" s="26">
        <f>资产资本表!AF69</f>
        <v>0</v>
      </c>
      <c r="AG8" s="26">
        <f>资产资本表!AG69</f>
        <v>0</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340</v>
      </c>
      <c r="E9" s="48">
        <f>资产资本表!E70</f>
        <v>1001437645.5000001</v>
      </c>
      <c r="F9" s="48">
        <f>资产资本表!F70</f>
        <v>1139824164.0599999</v>
      </c>
      <c r="G9" s="48">
        <f>资产资本表!G70</f>
        <v>1121766533.76</v>
      </c>
      <c r="H9" s="48">
        <f>资产资本表!H70</f>
        <v>1095053484.4200001</v>
      </c>
      <c r="I9" s="48">
        <f>资产资本表!I70</f>
        <v>1043572540.0500002</v>
      </c>
      <c r="J9" s="48">
        <f>资产资本表!J70</f>
        <v>852034400.14999986</v>
      </c>
      <c r="K9" s="48">
        <f>资产资本表!K70</f>
        <v>843760937.77999997</v>
      </c>
      <c r="L9" s="48">
        <f>资产资本表!L70</f>
        <v>823665858.41000009</v>
      </c>
      <c r="M9" s="48">
        <f>资产资本表!M70</f>
        <v>807626588.06000006</v>
      </c>
      <c r="N9" s="48">
        <f>资产资本表!N70</f>
        <v>785475395.49000001</v>
      </c>
      <c r="O9" s="48">
        <f>资产资本表!O70</f>
        <v>782967608.17999995</v>
      </c>
      <c r="P9" s="48">
        <f>资产资本表!P70</f>
        <v>371118608.83999997</v>
      </c>
      <c r="Q9" s="48">
        <f>资产资本表!Q70</f>
        <v>369627935.73000002</v>
      </c>
      <c r="R9" s="48">
        <f>资产资本表!R70</f>
        <v>270719476.90999997</v>
      </c>
      <c r="S9" s="48">
        <f>资产资本表!S70</f>
        <v>231451672.05000001</v>
      </c>
      <c r="T9" s="48">
        <f>资产资本表!T70</f>
        <v>164002598.48000002</v>
      </c>
      <c r="U9" s="48">
        <f>资产资本表!U70</f>
        <v>0</v>
      </c>
      <c r="V9" s="48">
        <f>资产资本表!V70</f>
        <v>0</v>
      </c>
      <c r="W9" s="48">
        <f>资产资本表!W70</f>
        <v>0</v>
      </c>
      <c r="X9" s="48">
        <f>资产资本表!X70</f>
        <v>0</v>
      </c>
      <c r="Y9" s="48">
        <f>资产资本表!Y70</f>
        <v>0</v>
      </c>
      <c r="Z9" s="48">
        <f>资产资本表!Z70</f>
        <v>0</v>
      </c>
      <c r="AA9" s="48">
        <f>资产资本表!AA70</f>
        <v>0</v>
      </c>
      <c r="AB9" s="48">
        <f>资产资本表!AB70</f>
        <v>0</v>
      </c>
      <c r="AC9" s="48">
        <f>资产资本表!AC70</f>
        <v>0</v>
      </c>
      <c r="AD9" s="48">
        <f>资产资本表!AD70</f>
        <v>0</v>
      </c>
      <c r="AE9" s="48">
        <f>资产资本表!AE70</f>
        <v>0</v>
      </c>
      <c r="AF9" s="48">
        <f>资产资本表!AF70</f>
        <v>0</v>
      </c>
      <c r="AG9" s="48">
        <f>资产资本表!AG70</f>
        <v>0</v>
      </c>
      <c r="AH9" s="48">
        <f>资产资本表!AH70</f>
        <v>0</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341</v>
      </c>
      <c r="E10" s="26">
        <f>资产资本表!E72</f>
        <v>10028269.92</v>
      </c>
      <c r="F10" s="26">
        <f>资产资本表!F72</f>
        <v>10383031.57</v>
      </c>
      <c r="G10" s="26">
        <f>资产资本表!G72</f>
        <v>5504549.6000000006</v>
      </c>
      <c r="H10" s="26">
        <f>资产资本表!H72</f>
        <v>5531966.9500000002</v>
      </c>
      <c r="I10" s="26">
        <f>资产资本表!I72</f>
        <v>287671.23</v>
      </c>
      <c r="J10" s="26">
        <f>资产资本表!J72</f>
        <v>0</v>
      </c>
      <c r="K10" s="26">
        <f>资产资本表!K72</f>
        <v>0</v>
      </c>
      <c r="L10" s="26">
        <f>资产资本表!L72</f>
        <v>0</v>
      </c>
      <c r="M10" s="26">
        <f>资产资本表!M72</f>
        <v>0</v>
      </c>
      <c r="N10" s="26">
        <f>资产资本表!N72</f>
        <v>0</v>
      </c>
      <c r="O10" s="26">
        <f>资产资本表!O72</f>
        <v>0</v>
      </c>
      <c r="P10" s="26">
        <f>资产资本表!P72</f>
        <v>15000000</v>
      </c>
      <c r="Q10" s="26">
        <f>资产资本表!Q72</f>
        <v>30000000</v>
      </c>
      <c r="R10" s="26">
        <f>资产资本表!R72</f>
        <v>0</v>
      </c>
      <c r="S10" s="26">
        <f>资产资本表!S72</f>
        <v>31000000</v>
      </c>
      <c r="T10" s="26">
        <f>资产资本表!T72</f>
        <v>31000000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200000</v>
      </c>
      <c r="F11" s="26">
        <f>资产资本表!F81</f>
        <v>178803420.69</v>
      </c>
      <c r="G11" s="26">
        <f>资产资本表!G81</f>
        <v>179003420.69</v>
      </c>
      <c r="H11" s="26">
        <f>资产资本表!H81</f>
        <v>179689051.88999999</v>
      </c>
      <c r="I11" s="26">
        <f>资产资本表!I81</f>
        <v>150400000</v>
      </c>
      <c r="J11" s="26">
        <f>资产资本表!J81</f>
        <v>400000</v>
      </c>
      <c r="K11" s="26">
        <f>资产资本表!K81</f>
        <v>400000</v>
      </c>
      <c r="L11" s="26">
        <f>资产资本表!L81</f>
        <v>400000</v>
      </c>
      <c r="M11" s="26">
        <f>资产资本表!M81</f>
        <v>400000</v>
      </c>
      <c r="N11" s="26">
        <f>资产资本表!N81</f>
        <v>8363609.2300000004</v>
      </c>
      <c r="O11" s="26">
        <f>资产资本表!O81</f>
        <v>400000</v>
      </c>
      <c r="P11" s="26">
        <f>资产资本表!P81</f>
        <v>400000</v>
      </c>
      <c r="Q11" s="26">
        <f>资产资本表!Q81</f>
        <v>400000</v>
      </c>
      <c r="R11" s="26">
        <f>资产资本表!R81</f>
        <v>400000</v>
      </c>
      <c r="S11" s="26">
        <f>资产资本表!S81</f>
        <v>400000</v>
      </c>
      <c r="T11" s="26">
        <f>资产资本表!T81</f>
        <v>800000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10228269.92</v>
      </c>
      <c r="F12" s="26">
        <f>资产资本表!F89</f>
        <v>189186452.25999999</v>
      </c>
      <c r="G12" s="26">
        <f>资产资本表!G89</f>
        <v>184507970.28999999</v>
      </c>
      <c r="H12" s="26">
        <f>资产资本表!H89</f>
        <v>185221018.83999997</v>
      </c>
      <c r="I12" s="26">
        <f>资产资本表!I89</f>
        <v>150687671.22999999</v>
      </c>
      <c r="J12" s="26">
        <f>资产资本表!J89</f>
        <v>400000</v>
      </c>
      <c r="K12" s="26">
        <f>资产资本表!K89</f>
        <v>400000</v>
      </c>
      <c r="L12" s="26">
        <f>资产资本表!L89</f>
        <v>400000</v>
      </c>
      <c r="M12" s="26">
        <f>资产资本表!M89</f>
        <v>400000</v>
      </c>
      <c r="N12" s="26">
        <f>资产资本表!N89</f>
        <v>8363609.2300000004</v>
      </c>
      <c r="O12" s="26">
        <f>资产资本表!O89</f>
        <v>400000</v>
      </c>
      <c r="P12" s="26">
        <f>资产资本表!P89</f>
        <v>15400000</v>
      </c>
      <c r="Q12" s="26">
        <f>资产资本表!Q89</f>
        <v>30400000</v>
      </c>
      <c r="R12" s="26">
        <f>资产资本表!R89</f>
        <v>400000</v>
      </c>
      <c r="S12" s="26">
        <f>资产资本表!S89</f>
        <v>31400000</v>
      </c>
      <c r="T12" s="26">
        <f>资产资本表!T89</f>
        <v>31800000</v>
      </c>
      <c r="U12" s="26">
        <f>资产资本表!U89</f>
        <v>0</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991209375.58000016</v>
      </c>
      <c r="F13" s="26">
        <f t="shared" ref="F13:BQ13" si="0">F9-F12</f>
        <v>950637711.79999995</v>
      </c>
      <c r="G13" s="26">
        <f t="shared" si="0"/>
        <v>937258563.47000003</v>
      </c>
      <c r="H13" s="26">
        <f t="shared" si="0"/>
        <v>909832465.58000016</v>
      </c>
      <c r="I13" s="26">
        <f t="shared" si="0"/>
        <v>892884868.82000017</v>
      </c>
      <c r="J13" s="26">
        <f t="shared" si="0"/>
        <v>851634400.14999986</v>
      </c>
      <c r="K13" s="26">
        <f t="shared" si="0"/>
        <v>843360937.77999997</v>
      </c>
      <c r="L13" s="26">
        <f t="shared" si="0"/>
        <v>823265858.41000009</v>
      </c>
      <c r="M13" s="26">
        <f t="shared" si="0"/>
        <v>807226588.06000006</v>
      </c>
      <c r="N13" s="26">
        <f t="shared" si="0"/>
        <v>777111786.25999999</v>
      </c>
      <c r="O13" s="26">
        <f t="shared" si="0"/>
        <v>782567608.17999995</v>
      </c>
      <c r="P13" s="26">
        <f t="shared" si="0"/>
        <v>355718608.83999997</v>
      </c>
      <c r="Q13" s="26">
        <f t="shared" si="0"/>
        <v>339227935.73000002</v>
      </c>
      <c r="R13" s="26">
        <f t="shared" si="0"/>
        <v>270319476.90999997</v>
      </c>
      <c r="S13" s="26">
        <f t="shared" si="0"/>
        <v>200051672.05000001</v>
      </c>
      <c r="T13" s="26">
        <f t="shared" si="0"/>
        <v>132202598.48000002</v>
      </c>
      <c r="U13" s="26">
        <f t="shared" si="0"/>
        <v>0</v>
      </c>
      <c r="V13" s="26">
        <f t="shared" si="0"/>
        <v>0</v>
      </c>
      <c r="W13" s="26">
        <f t="shared" si="0"/>
        <v>0</v>
      </c>
      <c r="X13" s="26">
        <f t="shared" si="0"/>
        <v>0</v>
      </c>
      <c r="Y13" s="26">
        <f t="shared" si="0"/>
        <v>0</v>
      </c>
      <c r="Z13" s="26">
        <f t="shared" si="0"/>
        <v>0</v>
      </c>
      <c r="AA13" s="26">
        <f t="shared" si="0"/>
        <v>0</v>
      </c>
      <c r="AB13" s="26">
        <f t="shared" si="0"/>
        <v>0</v>
      </c>
      <c r="AC13" s="26">
        <f t="shared" si="0"/>
        <v>0</v>
      </c>
      <c r="AD13" s="26">
        <f t="shared" si="0"/>
        <v>0</v>
      </c>
      <c r="AE13" s="26">
        <f t="shared" si="0"/>
        <v>0</v>
      </c>
      <c r="AF13" s="26">
        <f t="shared" si="0"/>
        <v>0</v>
      </c>
      <c r="AG13" s="26">
        <f t="shared" si="0"/>
        <v>0</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344</v>
      </c>
      <c r="E14" s="48">
        <f>E9</f>
        <v>1001437645.5000001</v>
      </c>
      <c r="F14" s="48">
        <f t="shared" ref="F14:BQ14" si="2">F9</f>
        <v>1139824164.0599999</v>
      </c>
      <c r="G14" s="48">
        <f t="shared" si="2"/>
        <v>1121766533.76</v>
      </c>
      <c r="H14" s="48">
        <f t="shared" si="2"/>
        <v>1095053484.4200001</v>
      </c>
      <c r="I14" s="48">
        <f t="shared" si="2"/>
        <v>1043572540.0500002</v>
      </c>
      <c r="J14" s="48">
        <f t="shared" si="2"/>
        <v>852034400.14999986</v>
      </c>
      <c r="K14" s="48">
        <f t="shared" si="2"/>
        <v>843760937.77999997</v>
      </c>
      <c r="L14" s="48">
        <f t="shared" si="2"/>
        <v>823665858.41000009</v>
      </c>
      <c r="M14" s="48">
        <f t="shared" si="2"/>
        <v>807626588.06000006</v>
      </c>
      <c r="N14" s="48">
        <f t="shared" si="2"/>
        <v>785475395.49000001</v>
      </c>
      <c r="O14" s="48">
        <f t="shared" si="2"/>
        <v>782967608.17999995</v>
      </c>
      <c r="P14" s="48">
        <f t="shared" si="2"/>
        <v>371118608.83999997</v>
      </c>
      <c r="Q14" s="48">
        <f t="shared" si="2"/>
        <v>369627935.73000002</v>
      </c>
      <c r="R14" s="48">
        <f t="shared" si="2"/>
        <v>270719476.90999997</v>
      </c>
      <c r="S14" s="48">
        <f t="shared" si="2"/>
        <v>231451672.05000001</v>
      </c>
      <c r="T14" s="48">
        <f t="shared" si="2"/>
        <v>164002598.48000002</v>
      </c>
      <c r="U14" s="48">
        <f t="shared" si="2"/>
        <v>0</v>
      </c>
      <c r="V14" s="48">
        <f t="shared" si="2"/>
        <v>0</v>
      </c>
      <c r="W14" s="48">
        <f t="shared" si="2"/>
        <v>0</v>
      </c>
      <c r="X14" s="48">
        <f t="shared" si="2"/>
        <v>0</v>
      </c>
      <c r="Y14" s="48">
        <f t="shared" si="2"/>
        <v>0</v>
      </c>
      <c r="Z14" s="48">
        <f t="shared" si="2"/>
        <v>0</v>
      </c>
      <c r="AA14" s="48">
        <f t="shared" si="2"/>
        <v>0</v>
      </c>
      <c r="AB14" s="48">
        <f t="shared" si="2"/>
        <v>0</v>
      </c>
      <c r="AC14" s="48">
        <f t="shared" si="2"/>
        <v>0</v>
      </c>
      <c r="AD14" s="48">
        <f t="shared" si="2"/>
        <v>0</v>
      </c>
      <c r="AE14" s="48">
        <f t="shared" si="2"/>
        <v>0</v>
      </c>
      <c r="AF14" s="48">
        <f t="shared" si="2"/>
        <v>0</v>
      </c>
      <c r="AG14" s="48">
        <f t="shared" si="2"/>
        <v>0</v>
      </c>
      <c r="AH14" s="48">
        <f t="shared" si="2"/>
        <v>0</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c r="A15" s="20" t="s">
        <v>345</v>
      </c>
      <c r="E15" s="26">
        <f>E11+E13-E3-E4-E7</f>
        <v>384757350.18000013</v>
      </c>
      <c r="F15" s="26">
        <f t="shared" ref="F15:BQ15" si="4">F11+F13-F3-F4-F7</f>
        <v>495307949.66999996</v>
      </c>
      <c r="G15" s="26">
        <f t="shared" si="4"/>
        <v>503454123.91000009</v>
      </c>
      <c r="H15" s="26">
        <f t="shared" si="4"/>
        <v>492300752.1200003</v>
      </c>
      <c r="I15" s="26">
        <f t="shared" si="4"/>
        <v>493563609.94000012</v>
      </c>
      <c r="J15" s="26">
        <f t="shared" si="4"/>
        <v>461432565.64999992</v>
      </c>
      <c r="K15" s="26">
        <f t="shared" si="4"/>
        <v>423235120.27999997</v>
      </c>
      <c r="L15" s="26">
        <f t="shared" si="4"/>
        <v>411767153.42000008</v>
      </c>
      <c r="M15" s="26">
        <f t="shared" si="4"/>
        <v>413367888.40999997</v>
      </c>
      <c r="N15" s="26">
        <f t="shared" si="4"/>
        <v>389489625.13</v>
      </c>
      <c r="O15" s="26">
        <f t="shared" si="4"/>
        <v>462791285.51999998</v>
      </c>
      <c r="P15" s="26">
        <f t="shared" si="4"/>
        <v>48260732.039999992</v>
      </c>
      <c r="Q15" s="26">
        <f t="shared" si="4"/>
        <v>45747117.970000029</v>
      </c>
      <c r="R15" s="26">
        <f t="shared" si="4"/>
        <v>26369896.879999995</v>
      </c>
      <c r="S15" s="26">
        <f t="shared" si="4"/>
        <v>14028010.689999998</v>
      </c>
      <c r="T15" s="26">
        <f t="shared" si="4"/>
        <v>21203020.68</v>
      </c>
      <c r="U15" s="26">
        <f t="shared" si="4"/>
        <v>0</v>
      </c>
      <c r="V15" s="26">
        <f t="shared" si="4"/>
        <v>0</v>
      </c>
      <c r="W15" s="26">
        <f t="shared" si="4"/>
        <v>0</v>
      </c>
      <c r="X15" s="26">
        <f t="shared" si="4"/>
        <v>0</v>
      </c>
      <c r="Y15" s="26">
        <f t="shared" si="4"/>
        <v>0</v>
      </c>
      <c r="Z15" s="26">
        <f t="shared" si="4"/>
        <v>0</v>
      </c>
      <c r="AA15" s="26">
        <f t="shared" si="4"/>
        <v>0</v>
      </c>
      <c r="AB15" s="26">
        <f t="shared" si="4"/>
        <v>0</v>
      </c>
      <c r="AC15" s="26">
        <f t="shared" si="4"/>
        <v>0</v>
      </c>
      <c r="AD15" s="26">
        <f t="shared" si="4"/>
        <v>0</v>
      </c>
      <c r="AE15" s="26">
        <f t="shared" si="4"/>
        <v>0</v>
      </c>
      <c r="AF15" s="26">
        <f t="shared" si="4"/>
        <v>0</v>
      </c>
      <c r="AG15" s="26">
        <f t="shared" si="4"/>
        <v>0</v>
      </c>
      <c r="AH15" s="26">
        <f t="shared" si="4"/>
        <v>0</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-384757350.18000001</v>
      </c>
      <c r="F16" s="26">
        <f t="shared" ref="F16:BQ16" si="6">F10-F2</f>
        <v>-495307949.67000002</v>
      </c>
      <c r="G16" s="26">
        <f t="shared" si="6"/>
        <v>-503454123.90999997</v>
      </c>
      <c r="H16" s="26">
        <f t="shared" si="6"/>
        <v>-492300752.12</v>
      </c>
      <c r="I16" s="26">
        <f t="shared" si="6"/>
        <v>-493563609.94</v>
      </c>
      <c r="J16" s="26">
        <f t="shared" si="6"/>
        <v>-461432565.64999998</v>
      </c>
      <c r="K16" s="26">
        <f t="shared" si="6"/>
        <v>-423235120.27999997</v>
      </c>
      <c r="L16" s="26">
        <f t="shared" si="6"/>
        <v>-411767153.42000002</v>
      </c>
      <c r="M16" s="26">
        <f t="shared" si="6"/>
        <v>-413367888.41000003</v>
      </c>
      <c r="N16" s="26">
        <f t="shared" si="6"/>
        <v>-389489625.13</v>
      </c>
      <c r="O16" s="26">
        <f t="shared" si="6"/>
        <v>-462791285.51999998</v>
      </c>
      <c r="P16" s="26">
        <f t="shared" si="6"/>
        <v>-48260732.039999999</v>
      </c>
      <c r="Q16" s="26">
        <f t="shared" si="6"/>
        <v>-45747117.969999999</v>
      </c>
      <c r="R16" s="26">
        <f t="shared" si="6"/>
        <v>-26369896.879999999</v>
      </c>
      <c r="S16" s="26">
        <f t="shared" si="6"/>
        <v>-14028010.689999998</v>
      </c>
      <c r="T16" s="26">
        <f t="shared" si="6"/>
        <v>-21203020.68</v>
      </c>
      <c r="U16" s="26">
        <f t="shared" si="6"/>
        <v>0</v>
      </c>
      <c r="V16" s="26">
        <f t="shared" si="6"/>
        <v>0</v>
      </c>
      <c r="W16" s="26">
        <f t="shared" si="6"/>
        <v>0</v>
      </c>
      <c r="X16" s="26">
        <f t="shared" si="6"/>
        <v>0</v>
      </c>
      <c r="Y16" s="26">
        <f t="shared" si="6"/>
        <v>0</v>
      </c>
      <c r="Z16" s="26">
        <f t="shared" si="6"/>
        <v>0</v>
      </c>
      <c r="AA16" s="26">
        <f t="shared" si="6"/>
        <v>0</v>
      </c>
      <c r="AB16" s="26">
        <f t="shared" si="6"/>
        <v>0</v>
      </c>
      <c r="AC16" s="26">
        <f t="shared" si="6"/>
        <v>0</v>
      </c>
      <c r="AD16" s="26">
        <f t="shared" si="6"/>
        <v>0</v>
      </c>
      <c r="AE16" s="26">
        <f t="shared" si="6"/>
        <v>0</v>
      </c>
      <c r="AF16" s="26">
        <f t="shared" si="6"/>
        <v>0</v>
      </c>
      <c r="AG16" s="26">
        <f t="shared" si="6"/>
        <v>0</v>
      </c>
      <c r="AH16" s="26">
        <f t="shared" si="6"/>
        <v>0</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c r="A17" s="20" t="s">
        <v>348</v>
      </c>
      <c r="E17" s="63">
        <f>(E11+E13-E7-E3)/E4</f>
        <v>2.1077635997166584</v>
      </c>
      <c r="F17" s="63">
        <f t="shared" ref="F17:BQ17" si="8">(F11+F13-F7-F3)/F4</f>
        <v>2.3098866800867359</v>
      </c>
      <c r="G17" s="63">
        <f t="shared" si="8"/>
        <v>2.3715123046684745</v>
      </c>
      <c r="H17" s="63">
        <f t="shared" si="8"/>
        <v>2.3721382850388886</v>
      </c>
      <c r="I17" s="63">
        <f t="shared" si="8"/>
        <v>2.7264956032452181</v>
      </c>
      <c r="J17" s="63">
        <f t="shared" si="8"/>
        <v>2.8153321951821226</v>
      </c>
      <c r="K17" s="63">
        <f t="shared" si="8"/>
        <v>2.4862202660403283</v>
      </c>
      <c r="L17" s="63">
        <f t="shared" si="8"/>
        <v>2.4876375457540085</v>
      </c>
      <c r="M17" s="63">
        <f t="shared" si="8"/>
        <v>2.5977671528180655</v>
      </c>
      <c r="N17" s="63">
        <f t="shared" si="8"/>
        <v>2.477139847037412</v>
      </c>
      <c r="O17" s="63">
        <f t="shared" si="8"/>
        <v>3.441482631088109</v>
      </c>
      <c r="P17" s="63">
        <f t="shared" si="8"/>
        <v>1.2743552761483963</v>
      </c>
      <c r="Q17" s="63">
        <f t="shared" si="8"/>
        <v>1.2861956736681135</v>
      </c>
      <c r="R17" s="63">
        <f t="shared" si="8"/>
        <v>1.2174732664775023</v>
      </c>
      <c r="S17" s="63">
        <f t="shared" si="8"/>
        <v>1.1665852634803857</v>
      </c>
      <c r="T17" s="63">
        <f t="shared" si="8"/>
        <v>1.4389163127352655</v>
      </c>
      <c r="U17" s="63" t="e">
        <f t="shared" si="8"/>
        <v>#DIV/0!</v>
      </c>
      <c r="V17" s="63" t="e">
        <f t="shared" si="8"/>
        <v>#DIV/0!</v>
      </c>
      <c r="W17" s="63" t="e">
        <f t="shared" si="8"/>
        <v>#DIV/0!</v>
      </c>
      <c r="X17" s="63" t="e">
        <f t="shared" si="8"/>
        <v>#DIV/0!</v>
      </c>
      <c r="Y17" s="63" t="e">
        <f t="shared" si="8"/>
        <v>#DIV/0!</v>
      </c>
      <c r="Z17" s="63" t="e">
        <f t="shared" si="8"/>
        <v>#DIV/0!</v>
      </c>
      <c r="AA17" s="63" t="e">
        <f t="shared" si="8"/>
        <v>#DIV/0!</v>
      </c>
      <c r="AB17" s="63" t="e">
        <f t="shared" si="8"/>
        <v>#DIV/0!</v>
      </c>
      <c r="AC17" s="63" t="e">
        <f t="shared" si="8"/>
        <v>#DIV/0!</v>
      </c>
      <c r="AD17" s="63" t="e">
        <f t="shared" si="8"/>
        <v>#DIV/0!</v>
      </c>
      <c r="AE17" s="63" t="e">
        <f t="shared" si="8"/>
        <v>#DIV/0!</v>
      </c>
      <c r="AF17" s="63" t="e">
        <f t="shared" si="8"/>
        <v>#DIV/0!</v>
      </c>
      <c r="AG17" s="63" t="e">
        <f t="shared" si="8"/>
        <v>#DIV/0!</v>
      </c>
      <c r="AH17" s="63" t="e">
        <f t="shared" si="8"/>
        <v>#DIV/0!</v>
      </c>
      <c r="AI17" s="63" t="e">
        <f t="shared" si="8"/>
        <v>#DIV/0!</v>
      </c>
      <c r="AJ17" s="63" t="e">
        <f t="shared" si="8"/>
        <v>#DIV/0!</v>
      </c>
      <c r="AK17" s="63" t="e">
        <f t="shared" si="8"/>
        <v>#DIV/0!</v>
      </c>
      <c r="AL17" s="63" t="e">
        <f t="shared" si="8"/>
        <v>#DIV/0!</v>
      </c>
      <c r="AM17" s="63" t="e">
        <f t="shared" si="8"/>
        <v>#DIV/0!</v>
      </c>
      <c r="AN17" s="63" t="e">
        <f t="shared" si="8"/>
        <v>#DIV/0!</v>
      </c>
      <c r="AO17" s="63" t="e">
        <f t="shared" si="8"/>
        <v>#DIV/0!</v>
      </c>
      <c r="AP17" s="63" t="e">
        <f t="shared" si="8"/>
        <v>#DIV/0!</v>
      </c>
      <c r="AQ17" s="63" t="e">
        <f t="shared" si="8"/>
        <v>#DIV/0!</v>
      </c>
      <c r="AR17" s="63" t="e">
        <f t="shared" si="8"/>
        <v>#DIV/0!</v>
      </c>
      <c r="AS17" s="63" t="e">
        <f t="shared" si="8"/>
        <v>#DIV/0!</v>
      </c>
      <c r="AT17" s="63" t="e">
        <f t="shared" si="8"/>
        <v>#DIV/0!</v>
      </c>
      <c r="AU17" s="63" t="e">
        <f t="shared" si="8"/>
        <v>#DIV/0!</v>
      </c>
      <c r="AV17" s="63" t="e">
        <f t="shared" si="8"/>
        <v>#DIV/0!</v>
      </c>
      <c r="AW17" s="63" t="e">
        <f t="shared" si="8"/>
        <v>#DIV/0!</v>
      </c>
      <c r="AX17" s="63" t="e">
        <f t="shared" si="8"/>
        <v>#DIV/0!</v>
      </c>
      <c r="AY17" s="63" t="e">
        <f t="shared" si="8"/>
        <v>#DIV/0!</v>
      </c>
      <c r="AZ17" s="63" t="e">
        <f t="shared" si="8"/>
        <v>#DIV/0!</v>
      </c>
      <c r="BA17" s="63" t="e">
        <f t="shared" si="8"/>
        <v>#DIV/0!</v>
      </c>
      <c r="BB17" s="63" t="e">
        <f t="shared" si="8"/>
        <v>#DIV/0!</v>
      </c>
      <c r="BC17" s="63" t="e">
        <f t="shared" si="8"/>
        <v>#DIV/0!</v>
      </c>
      <c r="BD17" s="63" t="e">
        <f t="shared" si="8"/>
        <v>#DIV/0!</v>
      </c>
      <c r="BE17" s="63" t="e">
        <f t="shared" si="8"/>
        <v>#DIV/0!</v>
      </c>
      <c r="BF17" s="63" t="e">
        <f t="shared" si="8"/>
        <v>#DIV/0!</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c r="A18" s="235" t="s">
        <v>648</v>
      </c>
      <c r="B18" s="236"/>
      <c r="C18" s="236"/>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row>
    <row r="19" spans="1:90">
      <c r="A19" s="116" t="s">
        <v>581</v>
      </c>
      <c r="B19" s="117"/>
      <c r="C19" s="117"/>
      <c r="D19" s="117"/>
      <c r="E19" s="117" t="s">
        <v>574</v>
      </c>
      <c r="F19" s="117"/>
      <c r="G19" s="117"/>
      <c r="H19" s="117"/>
      <c r="I19" s="117" t="s">
        <v>610</v>
      </c>
      <c r="M19" s="117" t="s">
        <v>576</v>
      </c>
      <c r="N19" s="63"/>
      <c r="O19" s="63"/>
      <c r="P19" s="63"/>
      <c r="Q19" s="63"/>
      <c r="R19" s="63"/>
      <c r="S19" s="63"/>
      <c r="T19" s="63"/>
      <c r="U19" s="63"/>
    </row>
    <row r="20" spans="1:90" s="63" customFormat="1" ht="14.25" customHeight="1">
      <c r="A20" s="116" t="s">
        <v>582</v>
      </c>
      <c r="B20" s="118"/>
      <c r="C20" s="118"/>
      <c r="D20" s="118"/>
      <c r="E20" s="118" t="e">
        <f>POWER(E9/U9,1/5)-1</f>
        <v>#DIV/0!</v>
      </c>
      <c r="F20" s="118"/>
      <c r="G20" s="118"/>
      <c r="H20" s="118"/>
      <c r="I20" s="118" t="e">
        <f>POWER(E9/Y9,1/6)-1</f>
        <v>#DIV/0!</v>
      </c>
      <c r="M20" s="118" t="e">
        <f>POWER(E9/AC9,1/7)-1</f>
        <v>#DIV/0!</v>
      </c>
    </row>
    <row r="21" spans="1:90" s="63" customFormat="1" ht="14.25" customHeight="1">
      <c r="A21" s="116" t="s">
        <v>580</v>
      </c>
      <c r="B21" s="118"/>
      <c r="C21" s="118"/>
      <c r="D21" s="118"/>
      <c r="E21" s="118" t="e">
        <f>POWER(E4/U4,1/5)-1</f>
        <v>#DIV/0!</v>
      </c>
      <c r="F21" s="118"/>
      <c r="G21" s="118"/>
      <c r="H21" s="118"/>
      <c r="I21" s="118" t="e">
        <f>POWER(E4/Y4,1/6)-1</f>
        <v>#DIV/0!</v>
      </c>
      <c r="M21" s="118" t="e">
        <f>POWER(E4/AC4,1/7)-1</f>
        <v>#DIV/0!</v>
      </c>
    </row>
    <row r="22" spans="1:90" s="63" customFormat="1" ht="14.25" customHeight="1">
      <c r="A22" s="116" t="s">
        <v>583</v>
      </c>
      <c r="B22" s="118"/>
      <c r="C22" s="118"/>
      <c r="D22" s="118"/>
      <c r="E22" s="118" t="e">
        <f>POWER(E5/U5,1/5)-1</f>
        <v>#DIV/0!</v>
      </c>
      <c r="F22" s="118"/>
      <c r="G22" s="118"/>
      <c r="H22" s="118"/>
      <c r="I22" s="118" t="e">
        <f>POWER(E5/Y5,1/6)-1</f>
        <v>#DIV/0!</v>
      </c>
      <c r="M22" s="118" t="e">
        <f>POWER(E5/AC5,1/7)-1</f>
        <v>#DIV/0!</v>
      </c>
    </row>
    <row r="23" spans="1:90" s="63" customFormat="1" ht="14.25" customHeight="1">
      <c r="A23" s="116" t="s">
        <v>584</v>
      </c>
      <c r="B23" s="118"/>
      <c r="C23" s="118"/>
      <c r="D23" s="118"/>
      <c r="E23" s="118" t="e">
        <f>POWER(E6/U6,1/5)-1</f>
        <v>#DIV/0!</v>
      </c>
      <c r="F23" s="118"/>
      <c r="G23" s="118"/>
      <c r="H23" s="118"/>
      <c r="I23" s="118" t="e">
        <f>POWER(E6/Y6,1/6)-1</f>
        <v>#DIV/0!</v>
      </c>
      <c r="M23" s="118" t="e">
        <f>POWER(E6/AC6,1/7)-1</f>
        <v>#DIV/0!</v>
      </c>
    </row>
    <row r="24" spans="1:90" s="63" customFormat="1" ht="14.25" customHeight="1">
      <c r="A24" s="116" t="s">
        <v>585</v>
      </c>
      <c r="B24" s="118"/>
      <c r="C24" s="118"/>
      <c r="D24" s="118"/>
      <c r="E24" s="118" t="e">
        <f>POWER(E7/U7,1/5)-1</f>
        <v>#DIV/0!</v>
      </c>
      <c r="F24" s="118"/>
      <c r="G24" s="118"/>
      <c r="H24" s="118"/>
      <c r="I24" s="118" t="e">
        <f>POWER(E7/Y7,1/6)-1</f>
        <v>#DIV/0!</v>
      </c>
      <c r="M24" s="118" t="e">
        <f>POWER(E7/AC7,1/7)-1</f>
        <v>#DIV/0!</v>
      </c>
    </row>
    <row r="25" spans="1:90" s="109" customFormat="1">
      <c r="A25" s="147" t="s">
        <v>561</v>
      </c>
      <c r="B25" s="110"/>
      <c r="C25" s="110"/>
      <c r="D25" s="110"/>
      <c r="E25" s="110">
        <f>(E2-I2)/I2</f>
        <v>-0.20059816557587973</v>
      </c>
      <c r="F25" s="110">
        <f t="shared" ref="F25:BQ25" si="10">(F2-J2)/J2</f>
        <v>9.5915240675861546E-2</v>
      </c>
      <c r="G25" s="110">
        <f t="shared" si="10"/>
        <v>0.20254357240790374</v>
      </c>
      <c r="H25" s="110">
        <f t="shared" si="10"/>
        <v>0.20901513133130756</v>
      </c>
      <c r="I25" s="110">
        <f t="shared" si="10"/>
        <v>0.19470160846207851</v>
      </c>
      <c r="J25" s="109">
        <f t="shared" si="10"/>
        <v>0.18471080069459508</v>
      </c>
      <c r="K25" s="109">
        <f t="shared" si="10"/>
        <v>-8.5473012300899404E-2</v>
      </c>
      <c r="L25" s="109">
        <f t="shared" si="10"/>
        <v>5.5090481905842958</v>
      </c>
      <c r="M25" s="110">
        <f t="shared" si="10"/>
        <v>4.457209455463591</v>
      </c>
      <c r="N25" s="110">
        <f t="shared" si="10"/>
        <v>13.770236944893202</v>
      </c>
      <c r="O25" s="110">
        <f t="shared" si="10"/>
        <v>9.2778532390900974</v>
      </c>
      <c r="P25" s="110">
        <f t="shared" si="10"/>
        <v>0.21182129340336095</v>
      </c>
      <c r="Q25" s="110" t="e">
        <f t="shared" si="10"/>
        <v>#DIV/0!</v>
      </c>
      <c r="R25" s="110" t="e">
        <f t="shared" si="10"/>
        <v>#DIV/0!</v>
      </c>
      <c r="S25" s="110" t="e">
        <f t="shared" si="10"/>
        <v>#DIV/0!</v>
      </c>
      <c r="T25" s="110" t="e">
        <f t="shared" si="10"/>
        <v>#DIV/0!</v>
      </c>
      <c r="U25" s="110" t="e">
        <f t="shared" si="10"/>
        <v>#DIV/0!</v>
      </c>
      <c r="V25" s="109" t="e">
        <f t="shared" si="10"/>
        <v>#DIV/0!</v>
      </c>
      <c r="W25" s="109" t="e">
        <f t="shared" si="10"/>
        <v>#DIV/0!</v>
      </c>
      <c r="X25" s="109" t="e">
        <f t="shared" si="10"/>
        <v>#DIV/0!</v>
      </c>
      <c r="Y25" s="109" t="e">
        <f t="shared" si="10"/>
        <v>#DIV/0!</v>
      </c>
      <c r="Z25" s="109" t="e">
        <f t="shared" si="10"/>
        <v>#DIV/0!</v>
      </c>
      <c r="AA25" s="109" t="e">
        <f t="shared" si="10"/>
        <v>#DIV/0!</v>
      </c>
      <c r="AB25" s="109" t="e">
        <f t="shared" si="10"/>
        <v>#DIV/0!</v>
      </c>
      <c r="AC25" s="109" t="e">
        <f t="shared" si="10"/>
        <v>#DIV/0!</v>
      </c>
      <c r="AD25" s="109" t="e">
        <f t="shared" si="10"/>
        <v>#DIV/0!</v>
      </c>
      <c r="AE25" s="109" t="e">
        <f t="shared" si="10"/>
        <v>#DIV/0!</v>
      </c>
      <c r="AF25" s="109" t="e">
        <f t="shared" si="10"/>
        <v>#DIV/0!</v>
      </c>
      <c r="AG25" s="109" t="e">
        <f t="shared" si="10"/>
        <v>#DIV/0!</v>
      </c>
      <c r="AH25" s="109" t="e">
        <f t="shared" si="10"/>
        <v>#DIV/0!</v>
      </c>
      <c r="AI25" s="109" t="e">
        <f t="shared" si="10"/>
        <v>#DIV/0!</v>
      </c>
      <c r="AJ25" s="109" t="e">
        <f t="shared" si="10"/>
        <v>#DIV/0!</v>
      </c>
      <c r="AK25" s="109" t="e">
        <f t="shared" si="10"/>
        <v>#DIV/0!</v>
      </c>
      <c r="AL25" s="109" t="e">
        <f t="shared" si="10"/>
        <v>#DIV/0!</v>
      </c>
      <c r="AM25" s="109" t="e">
        <f t="shared" si="10"/>
        <v>#DIV/0!</v>
      </c>
      <c r="AN25" s="109" t="e">
        <f t="shared" si="10"/>
        <v>#DIV/0!</v>
      </c>
      <c r="AO25" s="109" t="e">
        <f t="shared" si="10"/>
        <v>#DIV/0!</v>
      </c>
      <c r="AP25" s="109" t="e">
        <f t="shared" si="10"/>
        <v>#DIV/0!</v>
      </c>
      <c r="AQ25" s="109" t="e">
        <f t="shared" si="10"/>
        <v>#DIV/0!</v>
      </c>
      <c r="AR25" s="109" t="e">
        <f t="shared" si="10"/>
        <v>#DIV/0!</v>
      </c>
      <c r="AS25" s="109" t="e">
        <f t="shared" si="10"/>
        <v>#DIV/0!</v>
      </c>
      <c r="AT25" s="109" t="e">
        <f t="shared" si="10"/>
        <v>#DIV/0!</v>
      </c>
      <c r="AU25" s="109" t="e">
        <f t="shared" si="10"/>
        <v>#DIV/0!</v>
      </c>
      <c r="AV25" s="109" t="e">
        <f t="shared" si="10"/>
        <v>#DIV/0!</v>
      </c>
      <c r="AW25" s="109" t="e">
        <f t="shared" si="10"/>
        <v>#DIV/0!</v>
      </c>
      <c r="AX25" s="109" t="e">
        <f t="shared" si="10"/>
        <v>#DIV/0!</v>
      </c>
      <c r="AY25" s="109" t="e">
        <f t="shared" si="10"/>
        <v>#DIV/0!</v>
      </c>
      <c r="AZ25" s="109" t="e">
        <f t="shared" si="10"/>
        <v>#DIV/0!</v>
      </c>
      <c r="BA25" s="109" t="e">
        <f t="shared" si="10"/>
        <v>#DIV/0!</v>
      </c>
      <c r="BB25" s="109" t="e">
        <f t="shared" si="10"/>
        <v>#DIV/0!</v>
      </c>
      <c r="BC25" s="109" t="e">
        <f t="shared" si="10"/>
        <v>#DIV/0!</v>
      </c>
      <c r="BD25" s="109" t="e">
        <f t="shared" si="10"/>
        <v>#DIV/0!</v>
      </c>
      <c r="BE25" s="109" t="e">
        <f t="shared" si="10"/>
        <v>#DIV/0!</v>
      </c>
      <c r="BF25" s="109" t="e">
        <f t="shared" si="10"/>
        <v>#DIV/0!</v>
      </c>
      <c r="BG25" s="109" t="e">
        <f t="shared" si="10"/>
        <v>#DIV/0!</v>
      </c>
      <c r="BH25" s="109" t="e">
        <f t="shared" si="10"/>
        <v>#DIV/0!</v>
      </c>
      <c r="BI25" s="109" t="e">
        <f t="shared" si="10"/>
        <v>#DIV/0!</v>
      </c>
      <c r="BJ25" s="109" t="e">
        <f t="shared" si="10"/>
        <v>#DIV/0!</v>
      </c>
      <c r="BK25" s="109" t="e">
        <f t="shared" si="10"/>
        <v>#DIV/0!</v>
      </c>
      <c r="BL25" s="109" t="e">
        <f t="shared" si="10"/>
        <v>#DIV/0!</v>
      </c>
      <c r="BM25" s="109" t="e">
        <f t="shared" si="10"/>
        <v>#DIV/0!</v>
      </c>
      <c r="BN25" s="109" t="e">
        <f t="shared" si="10"/>
        <v>#DIV/0!</v>
      </c>
      <c r="BO25" s="109" t="e">
        <f t="shared" si="10"/>
        <v>#DIV/0!</v>
      </c>
      <c r="BP25" s="109" t="e">
        <f t="shared" si="10"/>
        <v>#DIV/0!</v>
      </c>
      <c r="BQ25" s="109" t="e">
        <f t="shared" si="10"/>
        <v>#DIV/0!</v>
      </c>
      <c r="BR25" s="109" t="e">
        <f t="shared" ref="BR25:CK25" si="11">(BR2-BV2)/BV2</f>
        <v>#DIV/0!</v>
      </c>
      <c r="BS25" s="109" t="e">
        <f t="shared" si="11"/>
        <v>#DIV/0!</v>
      </c>
      <c r="BT25" s="109" t="e">
        <f t="shared" si="11"/>
        <v>#DIV/0!</v>
      </c>
      <c r="BU25" s="109" t="e">
        <f t="shared" si="11"/>
        <v>#DIV/0!</v>
      </c>
      <c r="BV25" s="109" t="e">
        <f t="shared" si="11"/>
        <v>#DIV/0!</v>
      </c>
      <c r="BW25" s="109" t="e">
        <f t="shared" si="11"/>
        <v>#DIV/0!</v>
      </c>
      <c r="BX25" s="109" t="e">
        <f t="shared" si="11"/>
        <v>#DIV/0!</v>
      </c>
      <c r="BY25" s="109" t="e">
        <f t="shared" si="11"/>
        <v>#DIV/0!</v>
      </c>
      <c r="BZ25" s="109" t="e">
        <f t="shared" si="11"/>
        <v>#DIV/0!</v>
      </c>
      <c r="CA25" s="109" t="e">
        <f t="shared" si="11"/>
        <v>#DIV/0!</v>
      </c>
      <c r="CB25" s="109" t="e">
        <f t="shared" si="11"/>
        <v>#DIV/0!</v>
      </c>
      <c r="CC25" s="109" t="e">
        <f t="shared" si="11"/>
        <v>#DIV/0!</v>
      </c>
      <c r="CD25" s="109" t="e">
        <f t="shared" si="11"/>
        <v>#DIV/0!</v>
      </c>
      <c r="CE25" s="109" t="e">
        <f t="shared" si="11"/>
        <v>#DIV/0!</v>
      </c>
      <c r="CF25" s="109" t="e">
        <f t="shared" si="11"/>
        <v>#DIV/0!</v>
      </c>
      <c r="CG25" s="109" t="e">
        <f t="shared" si="11"/>
        <v>#DIV/0!</v>
      </c>
      <c r="CH25" s="109" t="e">
        <f t="shared" si="11"/>
        <v>#DIV/0!</v>
      </c>
      <c r="CI25" s="109" t="e">
        <f t="shared" si="11"/>
        <v>#DIV/0!</v>
      </c>
      <c r="CJ25" s="109" t="e">
        <f t="shared" si="11"/>
        <v>#DIV/0!</v>
      </c>
      <c r="CK25" s="109" t="e">
        <f t="shared" si="11"/>
        <v>#DIV/0!</v>
      </c>
    </row>
    <row r="26" spans="1:90" s="110" customFormat="1">
      <c r="A26" s="147" t="s">
        <v>569</v>
      </c>
      <c r="E26" s="110">
        <f>E2/E9</f>
        <v>0.3942188731110568</v>
      </c>
      <c r="F26" s="110">
        <f t="shared" ref="F26:BQ26" si="12">F2/F9</f>
        <v>0.44365701060306756</v>
      </c>
      <c r="G26" s="110">
        <f t="shared" si="12"/>
        <v>0.45371176460759954</v>
      </c>
      <c r="H26" s="110">
        <f t="shared" si="12"/>
        <v>0.45461954703854424</v>
      </c>
      <c r="I26" s="110">
        <f t="shared" si="12"/>
        <v>0.4732313875816801</v>
      </c>
      <c r="J26" s="110">
        <f t="shared" si="12"/>
        <v>0.54156565224216913</v>
      </c>
      <c r="K26" s="110">
        <f t="shared" si="12"/>
        <v>0.50160549194605308</v>
      </c>
      <c r="L26" s="110">
        <f t="shared" si="12"/>
        <v>0.49992014263511297</v>
      </c>
      <c r="M26" s="110">
        <f t="shared" si="12"/>
        <v>0.51183046041482005</v>
      </c>
      <c r="N26" s="110">
        <f t="shared" si="12"/>
        <v>0.49586483213395399</v>
      </c>
      <c r="O26" s="110">
        <f t="shared" si="12"/>
        <v>0.5910733479712571</v>
      </c>
      <c r="P26" s="110">
        <f t="shared" si="12"/>
        <v>0.1704596065331597</v>
      </c>
      <c r="Q26" s="110">
        <f t="shared" si="12"/>
        <v>0.20492801178677836</v>
      </c>
      <c r="R26" s="110">
        <f t="shared" si="12"/>
        <v>9.7406722194452997E-2</v>
      </c>
      <c r="S26" s="110">
        <f t="shared" si="12"/>
        <v>0.19454605918886037</v>
      </c>
      <c r="T26" s="110">
        <f t="shared" si="12"/>
        <v>0.31830605834191167</v>
      </c>
      <c r="U26" s="110" t="e">
        <f t="shared" si="12"/>
        <v>#DIV/0!</v>
      </c>
      <c r="V26" s="110" t="e">
        <f t="shared" si="12"/>
        <v>#DIV/0!</v>
      </c>
      <c r="W26" s="110" t="e">
        <f t="shared" si="12"/>
        <v>#DIV/0!</v>
      </c>
      <c r="X26" s="110" t="e">
        <f t="shared" si="12"/>
        <v>#DIV/0!</v>
      </c>
      <c r="Y26" s="110" t="e">
        <f t="shared" si="12"/>
        <v>#DIV/0!</v>
      </c>
      <c r="Z26" s="110" t="e">
        <f t="shared" si="12"/>
        <v>#DIV/0!</v>
      </c>
      <c r="AA26" s="110" t="e">
        <f t="shared" si="12"/>
        <v>#DIV/0!</v>
      </c>
      <c r="AB26" s="110" t="e">
        <f t="shared" si="12"/>
        <v>#DIV/0!</v>
      </c>
      <c r="AC26" s="110" t="e">
        <f t="shared" si="12"/>
        <v>#DIV/0!</v>
      </c>
      <c r="AD26" s="110" t="e">
        <f t="shared" si="12"/>
        <v>#DIV/0!</v>
      </c>
      <c r="AE26" s="110" t="e">
        <f t="shared" si="12"/>
        <v>#DIV/0!</v>
      </c>
      <c r="AF26" s="110" t="e">
        <f t="shared" si="12"/>
        <v>#DIV/0!</v>
      </c>
      <c r="AG26" s="110" t="e">
        <f t="shared" si="12"/>
        <v>#DIV/0!</v>
      </c>
      <c r="AH26" s="110" t="e">
        <f t="shared" si="12"/>
        <v>#DIV/0!</v>
      </c>
      <c r="AI26" s="110" t="e">
        <f t="shared" si="12"/>
        <v>#DIV/0!</v>
      </c>
      <c r="AJ26" s="110" t="e">
        <f t="shared" si="12"/>
        <v>#DIV/0!</v>
      </c>
      <c r="AK26" s="110" t="e">
        <f t="shared" si="12"/>
        <v>#DIV/0!</v>
      </c>
      <c r="AL26" s="110" t="e">
        <f t="shared" si="12"/>
        <v>#DIV/0!</v>
      </c>
      <c r="AM26" s="110" t="e">
        <f t="shared" si="12"/>
        <v>#DIV/0!</v>
      </c>
      <c r="AN26" s="110" t="e">
        <f t="shared" si="12"/>
        <v>#DIV/0!</v>
      </c>
      <c r="AO26" s="110" t="e">
        <f t="shared" si="12"/>
        <v>#DIV/0!</v>
      </c>
      <c r="AP26" s="110" t="e">
        <f t="shared" si="12"/>
        <v>#DIV/0!</v>
      </c>
      <c r="AQ26" s="110" t="e">
        <f t="shared" si="12"/>
        <v>#DIV/0!</v>
      </c>
      <c r="AR26" s="110" t="e">
        <f t="shared" si="12"/>
        <v>#DIV/0!</v>
      </c>
      <c r="AS26" s="110" t="e">
        <f t="shared" si="12"/>
        <v>#DIV/0!</v>
      </c>
      <c r="AT26" s="110" t="e">
        <f t="shared" si="12"/>
        <v>#DIV/0!</v>
      </c>
      <c r="AU26" s="110" t="e">
        <f t="shared" si="12"/>
        <v>#DIV/0!</v>
      </c>
      <c r="AV26" s="110" t="e">
        <f t="shared" si="12"/>
        <v>#DIV/0!</v>
      </c>
      <c r="AW26" s="110" t="e">
        <f t="shared" si="12"/>
        <v>#DIV/0!</v>
      </c>
      <c r="AX26" s="110" t="e">
        <f t="shared" si="12"/>
        <v>#DIV/0!</v>
      </c>
      <c r="AY26" s="110" t="e">
        <f t="shared" si="12"/>
        <v>#DIV/0!</v>
      </c>
      <c r="AZ26" s="110" t="e">
        <f t="shared" si="12"/>
        <v>#DIV/0!</v>
      </c>
      <c r="BA26" s="110" t="e">
        <f t="shared" si="12"/>
        <v>#DIV/0!</v>
      </c>
      <c r="BB26" s="110" t="e">
        <f t="shared" si="12"/>
        <v>#DIV/0!</v>
      </c>
      <c r="BC26" s="110" t="e">
        <f t="shared" si="12"/>
        <v>#DIV/0!</v>
      </c>
      <c r="BD26" s="110" t="e">
        <f t="shared" si="12"/>
        <v>#DIV/0!</v>
      </c>
      <c r="BE26" s="110" t="e">
        <f t="shared" si="12"/>
        <v>#DIV/0!</v>
      </c>
      <c r="BF26" s="110" t="e">
        <f t="shared" si="12"/>
        <v>#DIV/0!</v>
      </c>
      <c r="BG26" s="110" t="e">
        <f t="shared" si="12"/>
        <v>#DIV/0!</v>
      </c>
      <c r="BH26" s="110" t="e">
        <f t="shared" si="12"/>
        <v>#DIV/0!</v>
      </c>
      <c r="BI26" s="110" t="e">
        <f t="shared" si="12"/>
        <v>#DIV/0!</v>
      </c>
      <c r="BJ26" s="110" t="e">
        <f t="shared" si="12"/>
        <v>#DIV/0!</v>
      </c>
      <c r="BK26" s="110" t="e">
        <f t="shared" si="12"/>
        <v>#DIV/0!</v>
      </c>
      <c r="BL26" s="110" t="e">
        <f t="shared" si="12"/>
        <v>#DIV/0!</v>
      </c>
      <c r="BM26" s="110" t="e">
        <f t="shared" si="12"/>
        <v>#DIV/0!</v>
      </c>
      <c r="BN26" s="110" t="e">
        <f t="shared" si="12"/>
        <v>#DIV/0!</v>
      </c>
      <c r="BO26" s="110" t="e">
        <f t="shared" si="12"/>
        <v>#DIV/0!</v>
      </c>
      <c r="BP26" s="110" t="e">
        <f t="shared" si="12"/>
        <v>#DIV/0!</v>
      </c>
      <c r="BQ26" s="110" t="e">
        <f t="shared" si="12"/>
        <v>#DIV/0!</v>
      </c>
      <c r="BR26" s="110" t="e">
        <f t="shared" ref="BR26:CK26" si="13">BR2/BR9</f>
        <v>#DIV/0!</v>
      </c>
      <c r="BS26" s="110" t="e">
        <f t="shared" si="13"/>
        <v>#DIV/0!</v>
      </c>
      <c r="BT26" s="110" t="e">
        <f t="shared" si="13"/>
        <v>#DIV/0!</v>
      </c>
      <c r="BU26" s="110" t="e">
        <f t="shared" si="13"/>
        <v>#DIV/0!</v>
      </c>
      <c r="BV26" s="110" t="e">
        <f t="shared" si="13"/>
        <v>#DIV/0!</v>
      </c>
      <c r="BW26" s="110" t="e">
        <f t="shared" si="13"/>
        <v>#DIV/0!</v>
      </c>
      <c r="BX26" s="110" t="e">
        <f t="shared" si="13"/>
        <v>#DIV/0!</v>
      </c>
      <c r="BY26" s="110" t="e">
        <f t="shared" si="13"/>
        <v>#DIV/0!</v>
      </c>
      <c r="BZ26" s="110" t="e">
        <f t="shared" si="13"/>
        <v>#DIV/0!</v>
      </c>
      <c r="CA26" s="110" t="e">
        <f t="shared" si="13"/>
        <v>#DIV/0!</v>
      </c>
      <c r="CB26" s="110" t="e">
        <f t="shared" si="13"/>
        <v>#DIV/0!</v>
      </c>
      <c r="CC26" s="110" t="e">
        <f t="shared" si="13"/>
        <v>#DIV/0!</v>
      </c>
      <c r="CD26" s="110" t="e">
        <f t="shared" si="13"/>
        <v>#DIV/0!</v>
      </c>
      <c r="CE26" s="110" t="e">
        <f t="shared" si="13"/>
        <v>#DIV/0!</v>
      </c>
      <c r="CF26" s="110" t="e">
        <f t="shared" si="13"/>
        <v>#DIV/0!</v>
      </c>
      <c r="CG26" s="110" t="e">
        <f t="shared" si="13"/>
        <v>#DIV/0!</v>
      </c>
      <c r="CH26" s="110" t="e">
        <f t="shared" si="13"/>
        <v>#DIV/0!</v>
      </c>
      <c r="CI26" s="110" t="e">
        <f t="shared" si="13"/>
        <v>#DIV/0!</v>
      </c>
      <c r="CJ26" s="110" t="e">
        <f t="shared" si="13"/>
        <v>#DIV/0!</v>
      </c>
      <c r="CK26" s="110" t="e">
        <f t="shared" si="13"/>
        <v>#DIV/0!</v>
      </c>
    </row>
    <row r="27" spans="1:90" s="111" customFormat="1">
      <c r="A27" s="148" t="s">
        <v>562</v>
      </c>
      <c r="E27" s="111" t="e">
        <f>(E3-I3)/I3</f>
        <v>#DIV/0!</v>
      </c>
      <c r="F27" s="111" t="e">
        <f t="shared" ref="F27:BQ27" si="14">(F3-J3)/J3</f>
        <v>#DIV/0!</v>
      </c>
      <c r="G27" s="111" t="e">
        <f t="shared" si="14"/>
        <v>#DIV/0!</v>
      </c>
      <c r="H27" s="111" t="e">
        <f t="shared" si="14"/>
        <v>#DIV/0!</v>
      </c>
      <c r="I27" s="111" t="e">
        <f t="shared" si="14"/>
        <v>#DIV/0!</v>
      </c>
      <c r="J27" s="111" t="e">
        <f t="shared" si="14"/>
        <v>#DIV/0!</v>
      </c>
      <c r="K27" s="111" t="e">
        <f t="shared" si="14"/>
        <v>#DIV/0!</v>
      </c>
      <c r="L27" s="111" t="e">
        <f t="shared" si="14"/>
        <v>#DIV/0!</v>
      </c>
      <c r="M27" s="111" t="e">
        <f t="shared" si="14"/>
        <v>#DIV/0!</v>
      </c>
      <c r="N27" s="111" t="e">
        <f t="shared" si="14"/>
        <v>#DIV/0!</v>
      </c>
      <c r="O27" s="111" t="e">
        <f t="shared" si="14"/>
        <v>#DIV/0!</v>
      </c>
      <c r="P27" s="111" t="e">
        <f t="shared" si="14"/>
        <v>#DIV/0!</v>
      </c>
      <c r="Q27" s="111" t="e">
        <f t="shared" si="14"/>
        <v>#DIV/0!</v>
      </c>
      <c r="R27" s="111" t="e">
        <f t="shared" si="14"/>
        <v>#DIV/0!</v>
      </c>
      <c r="S27" s="111" t="e">
        <f t="shared" si="14"/>
        <v>#DIV/0!</v>
      </c>
      <c r="T27" s="111" t="e">
        <f t="shared" si="14"/>
        <v>#DIV/0!</v>
      </c>
      <c r="U27" s="111" t="e">
        <f t="shared" si="14"/>
        <v>#DIV/0!</v>
      </c>
      <c r="V27" s="111" t="e">
        <f t="shared" si="14"/>
        <v>#DIV/0!</v>
      </c>
      <c r="W27" s="111" t="e">
        <f t="shared" si="14"/>
        <v>#DIV/0!</v>
      </c>
      <c r="X27" s="111" t="e">
        <f t="shared" si="14"/>
        <v>#DIV/0!</v>
      </c>
      <c r="Y27" s="111" t="e">
        <f t="shared" si="14"/>
        <v>#DIV/0!</v>
      </c>
      <c r="Z27" s="111" t="e">
        <f t="shared" si="14"/>
        <v>#DIV/0!</v>
      </c>
      <c r="AA27" s="111" t="e">
        <f t="shared" si="14"/>
        <v>#DIV/0!</v>
      </c>
      <c r="AB27" s="111" t="e">
        <f t="shared" si="14"/>
        <v>#DIV/0!</v>
      </c>
      <c r="AC27" s="111" t="e">
        <f t="shared" si="14"/>
        <v>#DIV/0!</v>
      </c>
      <c r="AD27" s="111" t="e">
        <f t="shared" si="14"/>
        <v>#DIV/0!</v>
      </c>
      <c r="AE27" s="111" t="e">
        <f t="shared" si="14"/>
        <v>#DIV/0!</v>
      </c>
      <c r="AF27" s="111" t="e">
        <f t="shared" si="14"/>
        <v>#DIV/0!</v>
      </c>
      <c r="AG27" s="111" t="e">
        <f t="shared" si="14"/>
        <v>#DIV/0!</v>
      </c>
      <c r="AH27" s="111" t="e">
        <f t="shared" si="14"/>
        <v>#DIV/0!</v>
      </c>
      <c r="AI27" s="111" t="e">
        <f t="shared" si="14"/>
        <v>#DIV/0!</v>
      </c>
      <c r="AJ27" s="111" t="e">
        <f t="shared" si="14"/>
        <v>#DIV/0!</v>
      </c>
      <c r="AK27" s="111" t="e">
        <f t="shared" si="14"/>
        <v>#DIV/0!</v>
      </c>
      <c r="AL27" s="111" t="e">
        <f t="shared" si="14"/>
        <v>#DIV/0!</v>
      </c>
      <c r="AM27" s="111" t="e">
        <f t="shared" si="14"/>
        <v>#DIV/0!</v>
      </c>
      <c r="AN27" s="111" t="e">
        <f t="shared" si="14"/>
        <v>#DIV/0!</v>
      </c>
      <c r="AO27" s="111" t="e">
        <f t="shared" si="14"/>
        <v>#DIV/0!</v>
      </c>
      <c r="AP27" s="111" t="e">
        <f t="shared" si="14"/>
        <v>#DIV/0!</v>
      </c>
      <c r="AQ27" s="111" t="e">
        <f t="shared" si="14"/>
        <v>#DIV/0!</v>
      </c>
      <c r="AR27" s="111" t="e">
        <f t="shared" si="14"/>
        <v>#DIV/0!</v>
      </c>
      <c r="AS27" s="111" t="e">
        <f t="shared" si="14"/>
        <v>#DIV/0!</v>
      </c>
      <c r="AT27" s="111" t="e">
        <f t="shared" si="14"/>
        <v>#DIV/0!</v>
      </c>
      <c r="AU27" s="111" t="e">
        <f t="shared" si="14"/>
        <v>#DIV/0!</v>
      </c>
      <c r="AV27" s="111" t="e">
        <f t="shared" si="14"/>
        <v>#DIV/0!</v>
      </c>
      <c r="AW27" s="111" t="e">
        <f t="shared" si="14"/>
        <v>#DIV/0!</v>
      </c>
      <c r="AX27" s="111" t="e">
        <f t="shared" si="14"/>
        <v>#DIV/0!</v>
      </c>
      <c r="AY27" s="111" t="e">
        <f t="shared" si="14"/>
        <v>#DIV/0!</v>
      </c>
      <c r="AZ27" s="111" t="e">
        <f t="shared" si="14"/>
        <v>#DIV/0!</v>
      </c>
      <c r="BA27" s="111" t="e">
        <f t="shared" si="14"/>
        <v>#DIV/0!</v>
      </c>
      <c r="BB27" s="111" t="e">
        <f t="shared" si="14"/>
        <v>#DIV/0!</v>
      </c>
      <c r="BC27" s="111" t="e">
        <f t="shared" si="14"/>
        <v>#DIV/0!</v>
      </c>
      <c r="BD27" s="111" t="e">
        <f t="shared" si="14"/>
        <v>#DIV/0!</v>
      </c>
      <c r="BE27" s="111" t="e">
        <f t="shared" si="14"/>
        <v>#DIV/0!</v>
      </c>
      <c r="BF27" s="111" t="e">
        <f t="shared" si="14"/>
        <v>#DIV/0!</v>
      </c>
      <c r="BG27" s="111" t="e">
        <f t="shared" si="14"/>
        <v>#DIV/0!</v>
      </c>
      <c r="BH27" s="111" t="e">
        <f t="shared" si="14"/>
        <v>#DIV/0!</v>
      </c>
      <c r="BI27" s="111" t="e">
        <f t="shared" si="14"/>
        <v>#DIV/0!</v>
      </c>
      <c r="BJ27" s="111" t="e">
        <f t="shared" si="14"/>
        <v>#DIV/0!</v>
      </c>
      <c r="BK27" s="111" t="e">
        <f t="shared" si="14"/>
        <v>#DIV/0!</v>
      </c>
      <c r="BL27" s="111" t="e">
        <f t="shared" si="14"/>
        <v>#DIV/0!</v>
      </c>
      <c r="BM27" s="111" t="e">
        <f t="shared" si="14"/>
        <v>#DIV/0!</v>
      </c>
      <c r="BN27" s="111" t="e">
        <f t="shared" si="14"/>
        <v>#DIV/0!</v>
      </c>
      <c r="BO27" s="111" t="e">
        <f t="shared" si="14"/>
        <v>#DIV/0!</v>
      </c>
      <c r="BP27" s="111" t="e">
        <f t="shared" si="14"/>
        <v>#DIV/0!</v>
      </c>
      <c r="BQ27" s="111" t="e">
        <f t="shared" si="14"/>
        <v>#DIV/0!</v>
      </c>
      <c r="BR27" s="111" t="e">
        <f t="shared" ref="BR27:CL27" si="15">(BR3-BV3)/BV3</f>
        <v>#DIV/0!</v>
      </c>
      <c r="BS27" s="111" t="e">
        <f t="shared" si="15"/>
        <v>#DIV/0!</v>
      </c>
      <c r="BT27" s="111" t="e">
        <f t="shared" si="15"/>
        <v>#DIV/0!</v>
      </c>
      <c r="BU27" s="111" t="e">
        <f t="shared" si="15"/>
        <v>#DIV/0!</v>
      </c>
      <c r="BV27" s="111" t="e">
        <f t="shared" si="15"/>
        <v>#DIV/0!</v>
      </c>
      <c r="BW27" s="111" t="e">
        <f t="shared" si="15"/>
        <v>#DIV/0!</v>
      </c>
      <c r="BX27" s="111" t="e">
        <f t="shared" si="15"/>
        <v>#DIV/0!</v>
      </c>
      <c r="BY27" s="111" t="e">
        <f t="shared" si="15"/>
        <v>#DIV/0!</v>
      </c>
      <c r="BZ27" s="111" t="e">
        <f t="shared" si="15"/>
        <v>#DIV/0!</v>
      </c>
      <c r="CA27" s="111" t="e">
        <f t="shared" si="15"/>
        <v>#DIV/0!</v>
      </c>
      <c r="CB27" s="111" t="e">
        <f t="shared" si="15"/>
        <v>#DIV/0!</v>
      </c>
      <c r="CC27" s="111" t="e">
        <f t="shared" si="15"/>
        <v>#DIV/0!</v>
      </c>
      <c r="CD27" s="111" t="e">
        <f t="shared" si="15"/>
        <v>#DIV/0!</v>
      </c>
      <c r="CE27" s="111" t="e">
        <f t="shared" si="15"/>
        <v>#DIV/0!</v>
      </c>
      <c r="CF27" s="111" t="e">
        <f t="shared" si="15"/>
        <v>#DIV/0!</v>
      </c>
      <c r="CG27" s="111" t="e">
        <f t="shared" si="15"/>
        <v>#DIV/0!</v>
      </c>
      <c r="CH27" s="111" t="e">
        <f t="shared" si="15"/>
        <v>#DIV/0!</v>
      </c>
      <c r="CI27" s="111" t="e">
        <f t="shared" si="15"/>
        <v>#DIV/0!</v>
      </c>
      <c r="CJ27" s="111" t="e">
        <f t="shared" si="15"/>
        <v>#DIV/0!</v>
      </c>
      <c r="CK27" s="111" t="e">
        <f t="shared" si="15"/>
        <v>#DIV/0!</v>
      </c>
      <c r="CL27" s="111" t="e">
        <f t="shared" si="15"/>
        <v>#DIV/0!</v>
      </c>
    </row>
    <row r="28" spans="1:90" s="111" customFormat="1">
      <c r="A28" s="148" t="s">
        <v>570</v>
      </c>
      <c r="E28" s="111">
        <f>E3/E9</f>
        <v>0</v>
      </c>
      <c r="F28" s="111">
        <f t="shared" ref="F28:BQ28" si="16">F3/F9</f>
        <v>0</v>
      </c>
      <c r="G28" s="111">
        <f t="shared" si="16"/>
        <v>0</v>
      </c>
      <c r="H28" s="111">
        <f t="shared" si="16"/>
        <v>0</v>
      </c>
      <c r="I28" s="111">
        <f t="shared" si="16"/>
        <v>0</v>
      </c>
      <c r="J28" s="111">
        <f t="shared" si="16"/>
        <v>0</v>
      </c>
      <c r="K28" s="111">
        <f t="shared" si="16"/>
        <v>0</v>
      </c>
      <c r="L28" s="111">
        <f t="shared" si="16"/>
        <v>0</v>
      </c>
      <c r="M28" s="111">
        <f t="shared" si="16"/>
        <v>0</v>
      </c>
      <c r="N28" s="111">
        <f t="shared" si="16"/>
        <v>0</v>
      </c>
      <c r="O28" s="111">
        <f t="shared" si="16"/>
        <v>0</v>
      </c>
      <c r="P28" s="111">
        <f t="shared" si="16"/>
        <v>0</v>
      </c>
      <c r="Q28" s="111">
        <f t="shared" si="16"/>
        <v>0</v>
      </c>
      <c r="R28" s="111">
        <f t="shared" si="16"/>
        <v>0</v>
      </c>
      <c r="S28" s="111">
        <f t="shared" si="16"/>
        <v>0</v>
      </c>
      <c r="T28" s="111">
        <f t="shared" si="16"/>
        <v>0</v>
      </c>
      <c r="U28" s="111" t="e">
        <f t="shared" si="16"/>
        <v>#DIV/0!</v>
      </c>
      <c r="V28" s="111" t="e">
        <f t="shared" si="16"/>
        <v>#DIV/0!</v>
      </c>
      <c r="W28" s="111" t="e">
        <f t="shared" si="16"/>
        <v>#DIV/0!</v>
      </c>
      <c r="X28" s="111" t="e">
        <f t="shared" si="16"/>
        <v>#DIV/0!</v>
      </c>
      <c r="Y28" s="111" t="e">
        <f t="shared" si="16"/>
        <v>#DIV/0!</v>
      </c>
      <c r="Z28" s="111" t="e">
        <f t="shared" si="16"/>
        <v>#DIV/0!</v>
      </c>
      <c r="AA28" s="111" t="e">
        <f t="shared" si="16"/>
        <v>#DIV/0!</v>
      </c>
      <c r="AB28" s="111" t="e">
        <f t="shared" si="16"/>
        <v>#DIV/0!</v>
      </c>
      <c r="AC28" s="111" t="e">
        <f t="shared" si="16"/>
        <v>#DIV/0!</v>
      </c>
      <c r="AD28" s="111" t="e">
        <f t="shared" si="16"/>
        <v>#DIV/0!</v>
      </c>
      <c r="AE28" s="111" t="e">
        <f t="shared" si="16"/>
        <v>#DIV/0!</v>
      </c>
      <c r="AF28" s="111" t="e">
        <f t="shared" si="16"/>
        <v>#DIV/0!</v>
      </c>
      <c r="AG28" s="111" t="e">
        <f t="shared" si="16"/>
        <v>#DIV/0!</v>
      </c>
      <c r="AH28" s="111" t="e">
        <f t="shared" si="16"/>
        <v>#DIV/0!</v>
      </c>
      <c r="AI28" s="111" t="e">
        <f t="shared" si="16"/>
        <v>#DIV/0!</v>
      </c>
      <c r="AJ28" s="111" t="e">
        <f t="shared" si="16"/>
        <v>#DIV/0!</v>
      </c>
      <c r="AK28" s="111" t="e">
        <f t="shared" si="16"/>
        <v>#DIV/0!</v>
      </c>
      <c r="AL28" s="111" t="e">
        <f t="shared" si="16"/>
        <v>#DIV/0!</v>
      </c>
      <c r="AM28" s="111" t="e">
        <f t="shared" si="16"/>
        <v>#DIV/0!</v>
      </c>
      <c r="AN28" s="111" t="e">
        <f t="shared" si="16"/>
        <v>#DIV/0!</v>
      </c>
      <c r="AO28" s="111" t="e">
        <f t="shared" si="16"/>
        <v>#DIV/0!</v>
      </c>
      <c r="AP28" s="111" t="e">
        <f t="shared" si="16"/>
        <v>#DIV/0!</v>
      </c>
      <c r="AQ28" s="111" t="e">
        <f t="shared" si="16"/>
        <v>#DIV/0!</v>
      </c>
      <c r="AR28" s="111" t="e">
        <f t="shared" si="16"/>
        <v>#DIV/0!</v>
      </c>
      <c r="AS28" s="111" t="e">
        <f t="shared" si="16"/>
        <v>#DIV/0!</v>
      </c>
      <c r="AT28" s="111" t="e">
        <f t="shared" si="16"/>
        <v>#DIV/0!</v>
      </c>
      <c r="AU28" s="111" t="e">
        <f t="shared" si="16"/>
        <v>#DIV/0!</v>
      </c>
      <c r="AV28" s="111" t="e">
        <f t="shared" si="16"/>
        <v>#DIV/0!</v>
      </c>
      <c r="AW28" s="111" t="e">
        <f t="shared" si="16"/>
        <v>#DIV/0!</v>
      </c>
      <c r="AX28" s="111" t="e">
        <f t="shared" si="16"/>
        <v>#DIV/0!</v>
      </c>
      <c r="AY28" s="111" t="e">
        <f t="shared" si="16"/>
        <v>#DIV/0!</v>
      </c>
      <c r="AZ28" s="111" t="e">
        <f t="shared" si="16"/>
        <v>#DIV/0!</v>
      </c>
      <c r="BA28" s="111" t="e">
        <f t="shared" si="16"/>
        <v>#DIV/0!</v>
      </c>
      <c r="BB28" s="111" t="e">
        <f t="shared" si="16"/>
        <v>#DIV/0!</v>
      </c>
      <c r="BC28" s="111" t="e">
        <f t="shared" si="16"/>
        <v>#DIV/0!</v>
      </c>
      <c r="BD28" s="111" t="e">
        <f t="shared" si="16"/>
        <v>#DIV/0!</v>
      </c>
      <c r="BE28" s="111" t="e">
        <f t="shared" si="16"/>
        <v>#DIV/0!</v>
      </c>
      <c r="BF28" s="111" t="e">
        <f t="shared" si="16"/>
        <v>#DIV/0!</v>
      </c>
      <c r="BG28" s="111" t="e">
        <f t="shared" si="16"/>
        <v>#DIV/0!</v>
      </c>
      <c r="BH28" s="111" t="e">
        <f t="shared" si="16"/>
        <v>#DIV/0!</v>
      </c>
      <c r="BI28" s="111" t="e">
        <f t="shared" si="16"/>
        <v>#DIV/0!</v>
      </c>
      <c r="BJ28" s="111" t="e">
        <f t="shared" si="16"/>
        <v>#DIV/0!</v>
      </c>
      <c r="BK28" s="111" t="e">
        <f t="shared" si="16"/>
        <v>#DIV/0!</v>
      </c>
      <c r="BL28" s="111" t="e">
        <f t="shared" si="16"/>
        <v>#DIV/0!</v>
      </c>
      <c r="BM28" s="111" t="e">
        <f t="shared" si="16"/>
        <v>#DIV/0!</v>
      </c>
      <c r="BN28" s="111" t="e">
        <f t="shared" si="16"/>
        <v>#DIV/0!</v>
      </c>
      <c r="BO28" s="111" t="e">
        <f t="shared" si="16"/>
        <v>#DIV/0!</v>
      </c>
      <c r="BP28" s="111" t="e">
        <f t="shared" si="16"/>
        <v>#DIV/0!</v>
      </c>
      <c r="BQ28" s="111" t="e">
        <f t="shared" si="16"/>
        <v>#DIV/0!</v>
      </c>
      <c r="BR28" s="111" t="e">
        <f t="shared" ref="BR28:CK28" si="17">BR3/BR9</f>
        <v>#DIV/0!</v>
      </c>
      <c r="BS28" s="111" t="e">
        <f t="shared" si="17"/>
        <v>#DIV/0!</v>
      </c>
      <c r="BT28" s="111" t="e">
        <f t="shared" si="17"/>
        <v>#DIV/0!</v>
      </c>
      <c r="BU28" s="111" t="e">
        <f t="shared" si="17"/>
        <v>#DIV/0!</v>
      </c>
      <c r="BV28" s="111" t="e">
        <f t="shared" si="17"/>
        <v>#DIV/0!</v>
      </c>
      <c r="BW28" s="111" t="e">
        <f t="shared" si="17"/>
        <v>#DIV/0!</v>
      </c>
      <c r="BX28" s="111" t="e">
        <f t="shared" si="17"/>
        <v>#DIV/0!</v>
      </c>
      <c r="BY28" s="111" t="e">
        <f t="shared" si="17"/>
        <v>#DIV/0!</v>
      </c>
      <c r="BZ28" s="111" t="e">
        <f t="shared" si="17"/>
        <v>#DIV/0!</v>
      </c>
      <c r="CA28" s="111" t="e">
        <f t="shared" si="17"/>
        <v>#DIV/0!</v>
      </c>
      <c r="CB28" s="111" t="e">
        <f t="shared" si="17"/>
        <v>#DIV/0!</v>
      </c>
      <c r="CC28" s="111" t="e">
        <f t="shared" si="17"/>
        <v>#DIV/0!</v>
      </c>
      <c r="CD28" s="111" t="e">
        <f t="shared" si="17"/>
        <v>#DIV/0!</v>
      </c>
      <c r="CE28" s="111" t="e">
        <f t="shared" si="17"/>
        <v>#DIV/0!</v>
      </c>
      <c r="CF28" s="111" t="e">
        <f t="shared" si="17"/>
        <v>#DIV/0!</v>
      </c>
      <c r="CG28" s="111" t="e">
        <f t="shared" si="17"/>
        <v>#DIV/0!</v>
      </c>
      <c r="CH28" s="111" t="e">
        <f t="shared" si="17"/>
        <v>#DIV/0!</v>
      </c>
      <c r="CI28" s="111" t="e">
        <f t="shared" si="17"/>
        <v>#DIV/0!</v>
      </c>
      <c r="CJ28" s="111" t="e">
        <f t="shared" si="17"/>
        <v>#DIV/0!</v>
      </c>
      <c r="CK28" s="111" t="e">
        <f t="shared" si="17"/>
        <v>#DIV/0!</v>
      </c>
    </row>
    <row r="29" spans="1:90" s="110" customFormat="1">
      <c r="A29" s="147" t="s">
        <v>579</v>
      </c>
      <c r="E29" s="110">
        <f>(E4-I4)/I4</f>
        <v>0.21496055778877265</v>
      </c>
      <c r="F29" s="110">
        <f t="shared" ref="F29:BQ29" si="18">(F4-J4)/J4</f>
        <v>0.48761120490466825</v>
      </c>
      <c r="G29" s="110">
        <f t="shared" si="18"/>
        <v>0.28902599280963764</v>
      </c>
      <c r="H29" s="110">
        <f t="shared" si="18"/>
        <v>0.29621799962845052</v>
      </c>
      <c r="I29" s="110">
        <f t="shared" si="18"/>
        <v>0.10497997490054736</v>
      </c>
      <c r="J29" s="110">
        <f t="shared" si="18"/>
        <v>-3.5998185034107559E-2</v>
      </c>
      <c r="K29" s="110">
        <f t="shared" si="18"/>
        <v>0.50233569488151242</v>
      </c>
      <c r="L29" s="110">
        <f t="shared" si="18"/>
        <v>0.57352620780703645</v>
      </c>
      <c r="M29" s="110">
        <f t="shared" si="18"/>
        <v>0.61853678076869112</v>
      </c>
      <c r="N29" s="110">
        <f t="shared" si="18"/>
        <v>1.174561658122582</v>
      </c>
      <c r="O29" s="110">
        <f t="shared" si="18"/>
        <v>1.250982016529826</v>
      </c>
      <c r="P29" s="110">
        <f t="shared" si="18"/>
        <v>2.6413680205642991</v>
      </c>
      <c r="Q29" s="110" t="e">
        <f t="shared" si="18"/>
        <v>#DIV/0!</v>
      </c>
      <c r="R29" s="110" t="e">
        <f t="shared" si="18"/>
        <v>#DIV/0!</v>
      </c>
      <c r="S29" s="110" t="e">
        <f t="shared" si="18"/>
        <v>#DIV/0!</v>
      </c>
      <c r="T29" s="110" t="e">
        <f t="shared" si="18"/>
        <v>#DIV/0!</v>
      </c>
      <c r="U29" s="110" t="e">
        <f t="shared" si="18"/>
        <v>#DIV/0!</v>
      </c>
      <c r="V29" s="110" t="e">
        <f t="shared" si="18"/>
        <v>#DIV/0!</v>
      </c>
      <c r="W29" s="110" t="e">
        <f t="shared" si="18"/>
        <v>#DIV/0!</v>
      </c>
      <c r="X29" s="110" t="e">
        <f t="shared" si="18"/>
        <v>#DIV/0!</v>
      </c>
      <c r="Y29" s="110" t="e">
        <f t="shared" si="18"/>
        <v>#DIV/0!</v>
      </c>
      <c r="Z29" s="110" t="e">
        <f t="shared" si="18"/>
        <v>#DIV/0!</v>
      </c>
      <c r="AA29" s="110" t="e">
        <f t="shared" si="18"/>
        <v>#DIV/0!</v>
      </c>
      <c r="AB29" s="110" t="e">
        <f t="shared" si="18"/>
        <v>#DIV/0!</v>
      </c>
      <c r="AC29" s="110" t="e">
        <f t="shared" si="18"/>
        <v>#DIV/0!</v>
      </c>
      <c r="AD29" s="110" t="e">
        <f t="shared" si="18"/>
        <v>#DIV/0!</v>
      </c>
      <c r="AE29" s="110" t="e">
        <f t="shared" si="18"/>
        <v>#DIV/0!</v>
      </c>
      <c r="AF29" s="110" t="e">
        <f t="shared" si="18"/>
        <v>#DIV/0!</v>
      </c>
      <c r="AG29" s="110" t="e">
        <f t="shared" si="18"/>
        <v>#DIV/0!</v>
      </c>
      <c r="AH29" s="110" t="e">
        <f t="shared" si="18"/>
        <v>#DIV/0!</v>
      </c>
      <c r="AI29" s="110" t="e">
        <f t="shared" si="18"/>
        <v>#DIV/0!</v>
      </c>
      <c r="AJ29" s="110" t="e">
        <f t="shared" si="18"/>
        <v>#DIV/0!</v>
      </c>
      <c r="AK29" s="110" t="e">
        <f t="shared" si="18"/>
        <v>#DIV/0!</v>
      </c>
      <c r="AL29" s="110" t="e">
        <f t="shared" si="18"/>
        <v>#DIV/0!</v>
      </c>
      <c r="AM29" s="110" t="e">
        <f t="shared" si="18"/>
        <v>#DIV/0!</v>
      </c>
      <c r="AN29" s="110" t="e">
        <f t="shared" si="18"/>
        <v>#DIV/0!</v>
      </c>
      <c r="AO29" s="110" t="e">
        <f t="shared" si="18"/>
        <v>#DIV/0!</v>
      </c>
      <c r="AP29" s="110" t="e">
        <f t="shared" si="18"/>
        <v>#DIV/0!</v>
      </c>
      <c r="AQ29" s="110" t="e">
        <f t="shared" si="18"/>
        <v>#DIV/0!</v>
      </c>
      <c r="AR29" s="110" t="e">
        <f t="shared" si="18"/>
        <v>#DIV/0!</v>
      </c>
      <c r="AS29" s="110" t="e">
        <f t="shared" si="18"/>
        <v>#DIV/0!</v>
      </c>
      <c r="AT29" s="110" t="e">
        <f t="shared" si="18"/>
        <v>#DIV/0!</v>
      </c>
      <c r="AU29" s="110" t="e">
        <f t="shared" si="18"/>
        <v>#DIV/0!</v>
      </c>
      <c r="AV29" s="110" t="e">
        <f t="shared" si="18"/>
        <v>#DIV/0!</v>
      </c>
      <c r="AW29" s="110" t="e">
        <f t="shared" si="18"/>
        <v>#DIV/0!</v>
      </c>
      <c r="AX29" s="110" t="e">
        <f t="shared" si="18"/>
        <v>#DIV/0!</v>
      </c>
      <c r="AY29" s="110" t="e">
        <f t="shared" si="18"/>
        <v>#DIV/0!</v>
      </c>
      <c r="AZ29" s="110" t="e">
        <f t="shared" si="18"/>
        <v>#DIV/0!</v>
      </c>
      <c r="BA29" s="110" t="e">
        <f t="shared" si="18"/>
        <v>#DIV/0!</v>
      </c>
      <c r="BB29" s="110" t="e">
        <f t="shared" si="18"/>
        <v>#DIV/0!</v>
      </c>
      <c r="BC29" s="110" t="e">
        <f t="shared" si="18"/>
        <v>#DIV/0!</v>
      </c>
      <c r="BD29" s="110" t="e">
        <f t="shared" si="18"/>
        <v>#DIV/0!</v>
      </c>
      <c r="BE29" s="110" t="e">
        <f t="shared" si="18"/>
        <v>#DIV/0!</v>
      </c>
      <c r="BF29" s="110" t="e">
        <f t="shared" si="18"/>
        <v>#DIV/0!</v>
      </c>
      <c r="BG29" s="110" t="e">
        <f t="shared" si="18"/>
        <v>#DIV/0!</v>
      </c>
      <c r="BH29" s="110" t="e">
        <f t="shared" si="18"/>
        <v>#DIV/0!</v>
      </c>
      <c r="BI29" s="110" t="e">
        <f t="shared" si="18"/>
        <v>#DIV/0!</v>
      </c>
      <c r="BJ29" s="110" t="e">
        <f t="shared" si="18"/>
        <v>#DIV/0!</v>
      </c>
      <c r="BK29" s="110" t="e">
        <f t="shared" si="18"/>
        <v>#DIV/0!</v>
      </c>
      <c r="BL29" s="110" t="e">
        <f t="shared" si="18"/>
        <v>#DIV/0!</v>
      </c>
      <c r="BM29" s="110" t="e">
        <f t="shared" si="18"/>
        <v>#DIV/0!</v>
      </c>
      <c r="BN29" s="110" t="e">
        <f t="shared" si="18"/>
        <v>#DIV/0!</v>
      </c>
      <c r="BO29" s="110" t="e">
        <f t="shared" si="18"/>
        <v>#DIV/0!</v>
      </c>
      <c r="BP29" s="110" t="e">
        <f t="shared" si="18"/>
        <v>#DIV/0!</v>
      </c>
      <c r="BQ29" s="110" t="e">
        <f t="shared" si="18"/>
        <v>#DIV/0!</v>
      </c>
      <c r="BR29" s="110" t="e">
        <f t="shared" ref="BR29:CK29" si="19">(BR4-BV4)/BV4</f>
        <v>#DIV/0!</v>
      </c>
      <c r="BS29" s="110" t="e">
        <f t="shared" si="19"/>
        <v>#DIV/0!</v>
      </c>
      <c r="BT29" s="110" t="e">
        <f t="shared" si="19"/>
        <v>#DIV/0!</v>
      </c>
      <c r="BU29" s="110" t="e">
        <f t="shared" si="19"/>
        <v>#DIV/0!</v>
      </c>
      <c r="BV29" s="110" t="e">
        <f t="shared" si="19"/>
        <v>#DIV/0!</v>
      </c>
      <c r="BW29" s="110" t="e">
        <f t="shared" si="19"/>
        <v>#DIV/0!</v>
      </c>
      <c r="BX29" s="110" t="e">
        <f t="shared" si="19"/>
        <v>#DIV/0!</v>
      </c>
      <c r="BY29" s="110" t="e">
        <f t="shared" si="19"/>
        <v>#DIV/0!</v>
      </c>
      <c r="BZ29" s="110" t="e">
        <f t="shared" si="19"/>
        <v>#DIV/0!</v>
      </c>
      <c r="CA29" s="110" t="e">
        <f t="shared" si="19"/>
        <v>#DIV/0!</v>
      </c>
      <c r="CB29" s="110" t="e">
        <f t="shared" si="19"/>
        <v>#DIV/0!</v>
      </c>
      <c r="CC29" s="110" t="e">
        <f t="shared" si="19"/>
        <v>#DIV/0!</v>
      </c>
      <c r="CD29" s="110" t="e">
        <f t="shared" si="19"/>
        <v>#DIV/0!</v>
      </c>
      <c r="CE29" s="110" t="e">
        <f t="shared" si="19"/>
        <v>#DIV/0!</v>
      </c>
      <c r="CF29" s="110" t="e">
        <f t="shared" si="19"/>
        <v>#DIV/0!</v>
      </c>
      <c r="CG29" s="110" t="e">
        <f t="shared" si="19"/>
        <v>#DIV/0!</v>
      </c>
      <c r="CH29" s="110" t="e">
        <f t="shared" si="19"/>
        <v>#DIV/0!</v>
      </c>
      <c r="CI29" s="110" t="e">
        <f t="shared" si="19"/>
        <v>#DIV/0!</v>
      </c>
      <c r="CJ29" s="110" t="e">
        <f t="shared" si="19"/>
        <v>#DIV/0!</v>
      </c>
      <c r="CK29" s="110" t="e">
        <f t="shared" si="19"/>
        <v>#DIV/0!</v>
      </c>
    </row>
    <row r="30" spans="1:90" s="110" customFormat="1">
      <c r="A30" s="147" t="s">
        <v>563</v>
      </c>
      <c r="E30" s="110">
        <f>(E5-I5)/I5</f>
        <v>0.42705590113421082</v>
      </c>
      <c r="F30" s="110">
        <f t="shared" ref="F30:BQ30" si="20">(F5-J5)/J5</f>
        <v>0.50420642595686838</v>
      </c>
      <c r="G30" s="110">
        <f t="shared" si="20"/>
        <v>0.3444916176689985</v>
      </c>
      <c r="H30" s="110">
        <f t="shared" si="20"/>
        <v>0.28624482234618875</v>
      </c>
      <c r="I30" s="110">
        <f t="shared" si="20"/>
        <v>5.7300606800630836E-2</v>
      </c>
      <c r="J30" s="110">
        <f t="shared" si="20"/>
        <v>-2.3947565917684964E-4</v>
      </c>
      <c r="K30" s="110">
        <f t="shared" si="20"/>
        <v>0.29689372445649842</v>
      </c>
      <c r="L30" s="110">
        <f t="shared" si="20"/>
        <v>0.33502983808152087</v>
      </c>
      <c r="M30" s="110">
        <f t="shared" si="20"/>
        <v>0.33546848892652392</v>
      </c>
      <c r="N30" s="110">
        <f t="shared" si="20"/>
        <v>0.62680009831767847</v>
      </c>
      <c r="O30" s="110">
        <f t="shared" si="20"/>
        <v>0.67726701336253747</v>
      </c>
      <c r="P30" s="110">
        <f t="shared" si="20"/>
        <v>1.1046214963869423</v>
      </c>
      <c r="Q30" s="110" t="e">
        <f t="shared" si="20"/>
        <v>#DIV/0!</v>
      </c>
      <c r="R30" s="110" t="e">
        <f t="shared" si="20"/>
        <v>#DIV/0!</v>
      </c>
      <c r="S30" s="110" t="e">
        <f t="shared" si="20"/>
        <v>#DIV/0!</v>
      </c>
      <c r="T30" s="110" t="e">
        <f t="shared" si="20"/>
        <v>#DIV/0!</v>
      </c>
      <c r="U30" s="110" t="e">
        <f t="shared" si="20"/>
        <v>#DIV/0!</v>
      </c>
      <c r="V30" s="110" t="e">
        <f t="shared" si="20"/>
        <v>#DIV/0!</v>
      </c>
      <c r="W30" s="110" t="e">
        <f t="shared" si="20"/>
        <v>#DIV/0!</v>
      </c>
      <c r="X30" s="110" t="e">
        <f t="shared" si="20"/>
        <v>#DIV/0!</v>
      </c>
      <c r="Y30" s="110" t="e">
        <f t="shared" si="20"/>
        <v>#DIV/0!</v>
      </c>
      <c r="Z30" s="110" t="e">
        <f t="shared" si="20"/>
        <v>#DIV/0!</v>
      </c>
      <c r="AA30" s="110" t="e">
        <f t="shared" si="20"/>
        <v>#DIV/0!</v>
      </c>
      <c r="AB30" s="110" t="e">
        <f t="shared" si="20"/>
        <v>#DIV/0!</v>
      </c>
      <c r="AC30" s="110" t="e">
        <f t="shared" si="20"/>
        <v>#DIV/0!</v>
      </c>
      <c r="AD30" s="110" t="e">
        <f t="shared" si="20"/>
        <v>#DIV/0!</v>
      </c>
      <c r="AE30" s="110" t="e">
        <f t="shared" si="20"/>
        <v>#DIV/0!</v>
      </c>
      <c r="AF30" s="110" t="e">
        <f t="shared" si="20"/>
        <v>#DIV/0!</v>
      </c>
      <c r="AG30" s="110" t="e">
        <f t="shared" si="20"/>
        <v>#DIV/0!</v>
      </c>
      <c r="AH30" s="110" t="e">
        <f t="shared" si="20"/>
        <v>#DIV/0!</v>
      </c>
      <c r="AI30" s="110" t="e">
        <f t="shared" si="20"/>
        <v>#DIV/0!</v>
      </c>
      <c r="AJ30" s="110" t="e">
        <f t="shared" si="20"/>
        <v>#DIV/0!</v>
      </c>
      <c r="AK30" s="110" t="e">
        <f t="shared" si="20"/>
        <v>#DIV/0!</v>
      </c>
      <c r="AL30" s="110" t="e">
        <f t="shared" si="20"/>
        <v>#DIV/0!</v>
      </c>
      <c r="AM30" s="110" t="e">
        <f t="shared" si="20"/>
        <v>#DIV/0!</v>
      </c>
      <c r="AN30" s="110" t="e">
        <f t="shared" si="20"/>
        <v>#DIV/0!</v>
      </c>
      <c r="AO30" s="110" t="e">
        <f t="shared" si="20"/>
        <v>#DIV/0!</v>
      </c>
      <c r="AP30" s="110" t="e">
        <f t="shared" si="20"/>
        <v>#DIV/0!</v>
      </c>
      <c r="AQ30" s="110" t="e">
        <f t="shared" si="20"/>
        <v>#DIV/0!</v>
      </c>
      <c r="AR30" s="110" t="e">
        <f t="shared" si="20"/>
        <v>#DIV/0!</v>
      </c>
      <c r="AS30" s="110" t="e">
        <f t="shared" si="20"/>
        <v>#DIV/0!</v>
      </c>
      <c r="AT30" s="110" t="e">
        <f t="shared" si="20"/>
        <v>#DIV/0!</v>
      </c>
      <c r="AU30" s="110" t="e">
        <f t="shared" si="20"/>
        <v>#DIV/0!</v>
      </c>
      <c r="AV30" s="110" t="e">
        <f t="shared" si="20"/>
        <v>#DIV/0!</v>
      </c>
      <c r="AW30" s="110" t="e">
        <f t="shared" si="20"/>
        <v>#DIV/0!</v>
      </c>
      <c r="AX30" s="110" t="e">
        <f t="shared" si="20"/>
        <v>#DIV/0!</v>
      </c>
      <c r="AY30" s="110" t="e">
        <f t="shared" si="20"/>
        <v>#DIV/0!</v>
      </c>
      <c r="AZ30" s="110" t="e">
        <f t="shared" si="20"/>
        <v>#DIV/0!</v>
      </c>
      <c r="BA30" s="110" t="e">
        <f t="shared" si="20"/>
        <v>#DIV/0!</v>
      </c>
      <c r="BB30" s="110" t="e">
        <f t="shared" si="20"/>
        <v>#DIV/0!</v>
      </c>
      <c r="BC30" s="110" t="e">
        <f t="shared" si="20"/>
        <v>#DIV/0!</v>
      </c>
      <c r="BD30" s="110" t="e">
        <f t="shared" si="20"/>
        <v>#DIV/0!</v>
      </c>
      <c r="BE30" s="110" t="e">
        <f t="shared" si="20"/>
        <v>#DIV/0!</v>
      </c>
      <c r="BF30" s="110" t="e">
        <f t="shared" si="20"/>
        <v>#DIV/0!</v>
      </c>
      <c r="BG30" s="110" t="e">
        <f t="shared" si="20"/>
        <v>#DIV/0!</v>
      </c>
      <c r="BH30" s="110" t="e">
        <f t="shared" si="20"/>
        <v>#DIV/0!</v>
      </c>
      <c r="BI30" s="110" t="e">
        <f t="shared" si="20"/>
        <v>#DIV/0!</v>
      </c>
      <c r="BJ30" s="110" t="e">
        <f t="shared" si="20"/>
        <v>#DIV/0!</v>
      </c>
      <c r="BK30" s="110" t="e">
        <f t="shared" si="20"/>
        <v>#DIV/0!</v>
      </c>
      <c r="BL30" s="110" t="e">
        <f t="shared" si="20"/>
        <v>#DIV/0!</v>
      </c>
      <c r="BM30" s="110" t="e">
        <f t="shared" si="20"/>
        <v>#DIV/0!</v>
      </c>
      <c r="BN30" s="110" t="e">
        <f t="shared" si="20"/>
        <v>#DIV/0!</v>
      </c>
      <c r="BO30" s="110" t="e">
        <f t="shared" si="20"/>
        <v>#DIV/0!</v>
      </c>
      <c r="BP30" s="110" t="e">
        <f t="shared" si="20"/>
        <v>#DIV/0!</v>
      </c>
      <c r="BQ30" s="110" t="e">
        <f t="shared" si="20"/>
        <v>#DIV/0!</v>
      </c>
      <c r="BR30" s="110" t="e">
        <f t="shared" ref="BR30:CK30" si="21">(BR5-BV5)/BV5</f>
        <v>#DIV/0!</v>
      </c>
      <c r="BS30" s="110" t="e">
        <f t="shared" si="21"/>
        <v>#DIV/0!</v>
      </c>
      <c r="BT30" s="110" t="e">
        <f t="shared" si="21"/>
        <v>#DIV/0!</v>
      </c>
      <c r="BU30" s="110" t="e">
        <f t="shared" si="21"/>
        <v>#DIV/0!</v>
      </c>
      <c r="BV30" s="110" t="e">
        <f t="shared" si="21"/>
        <v>#DIV/0!</v>
      </c>
      <c r="BW30" s="110" t="e">
        <f t="shared" si="21"/>
        <v>#DIV/0!</v>
      </c>
      <c r="BX30" s="110" t="e">
        <f t="shared" si="21"/>
        <v>#DIV/0!</v>
      </c>
      <c r="BY30" s="110" t="e">
        <f t="shared" si="21"/>
        <v>#DIV/0!</v>
      </c>
      <c r="BZ30" s="110" t="e">
        <f t="shared" si="21"/>
        <v>#DIV/0!</v>
      </c>
      <c r="CA30" s="110" t="e">
        <f t="shared" si="21"/>
        <v>#DIV/0!</v>
      </c>
      <c r="CB30" s="110" t="e">
        <f t="shared" si="21"/>
        <v>#DIV/0!</v>
      </c>
      <c r="CC30" s="110" t="e">
        <f t="shared" si="21"/>
        <v>#DIV/0!</v>
      </c>
      <c r="CD30" s="110" t="e">
        <f t="shared" si="21"/>
        <v>#DIV/0!</v>
      </c>
      <c r="CE30" s="110" t="e">
        <f t="shared" si="21"/>
        <v>#DIV/0!</v>
      </c>
      <c r="CF30" s="110" t="e">
        <f t="shared" si="21"/>
        <v>#DIV/0!</v>
      </c>
      <c r="CG30" s="110" t="e">
        <f t="shared" si="21"/>
        <v>#DIV/0!</v>
      </c>
      <c r="CH30" s="110" t="e">
        <f t="shared" si="21"/>
        <v>#DIV/0!</v>
      </c>
      <c r="CI30" s="110" t="e">
        <f t="shared" si="21"/>
        <v>#DIV/0!</v>
      </c>
      <c r="CJ30" s="110" t="e">
        <f t="shared" si="21"/>
        <v>#DIV/0!</v>
      </c>
      <c r="CK30" s="110" t="e">
        <f t="shared" si="21"/>
        <v>#DIV/0!</v>
      </c>
    </row>
    <row r="31" spans="1:90" s="110" customFormat="1">
      <c r="A31" s="147" t="s">
        <v>564</v>
      </c>
      <c r="E31" s="110">
        <f>(E6-I6)/I6</f>
        <v>1.0373443527545014</v>
      </c>
      <c r="F31" s="110">
        <f t="shared" ref="F31:BQ31" si="22">(F6-J6)/J6</f>
        <v>0.53989012849615803</v>
      </c>
      <c r="G31" s="110">
        <f t="shared" si="22"/>
        <v>0.49657279312574953</v>
      </c>
      <c r="H31" s="110">
        <f t="shared" si="22"/>
        <v>0.26061720995034499</v>
      </c>
      <c r="I31" s="110">
        <f t="shared" si="22"/>
        <v>-5.9474596545823814E-2</v>
      </c>
      <c r="J31" s="110">
        <f t="shared" si="22"/>
        <v>8.6414047556570825E-2</v>
      </c>
      <c r="K31" s="110">
        <f t="shared" si="22"/>
        <v>-5.6770488905430821E-2</v>
      </c>
      <c r="L31" s="110">
        <f t="shared" si="22"/>
        <v>-3.9185725963535673E-2</v>
      </c>
      <c r="M31" s="110">
        <f t="shared" si="22"/>
        <v>-6.502069437678433E-2</v>
      </c>
      <c r="N31" s="110">
        <f t="shared" si="22"/>
        <v>1.0175323109605972E-2</v>
      </c>
      <c r="O31" s="110">
        <f t="shared" si="22"/>
        <v>0.16577335672794635</v>
      </c>
      <c r="P31" s="110">
        <f t="shared" si="22"/>
        <v>0.26617950736179558</v>
      </c>
      <c r="Q31" s="110" t="e">
        <f t="shared" si="22"/>
        <v>#DIV/0!</v>
      </c>
      <c r="R31" s="110" t="e">
        <f t="shared" si="22"/>
        <v>#DIV/0!</v>
      </c>
      <c r="S31" s="110" t="e">
        <f t="shared" si="22"/>
        <v>#DIV/0!</v>
      </c>
      <c r="T31" s="110" t="e">
        <f t="shared" si="22"/>
        <v>#DIV/0!</v>
      </c>
      <c r="U31" s="110" t="e">
        <f t="shared" si="22"/>
        <v>#DIV/0!</v>
      </c>
      <c r="V31" s="110" t="e">
        <f t="shared" si="22"/>
        <v>#DIV/0!</v>
      </c>
      <c r="W31" s="110" t="e">
        <f t="shared" si="22"/>
        <v>#DIV/0!</v>
      </c>
      <c r="X31" s="110" t="e">
        <f t="shared" si="22"/>
        <v>#DIV/0!</v>
      </c>
      <c r="Y31" s="110" t="e">
        <f t="shared" si="22"/>
        <v>#DIV/0!</v>
      </c>
      <c r="Z31" s="110" t="e">
        <f t="shared" si="22"/>
        <v>#DIV/0!</v>
      </c>
      <c r="AA31" s="110" t="e">
        <f t="shared" si="22"/>
        <v>#DIV/0!</v>
      </c>
      <c r="AB31" s="110" t="e">
        <f t="shared" si="22"/>
        <v>#DIV/0!</v>
      </c>
      <c r="AC31" s="110" t="e">
        <f t="shared" si="22"/>
        <v>#DIV/0!</v>
      </c>
      <c r="AD31" s="110" t="e">
        <f t="shared" si="22"/>
        <v>#DIV/0!</v>
      </c>
      <c r="AE31" s="110" t="e">
        <f t="shared" si="22"/>
        <v>#DIV/0!</v>
      </c>
      <c r="AF31" s="110" t="e">
        <f t="shared" si="22"/>
        <v>#DIV/0!</v>
      </c>
      <c r="AG31" s="110" t="e">
        <f t="shared" si="22"/>
        <v>#DIV/0!</v>
      </c>
      <c r="AH31" s="110" t="e">
        <f t="shared" si="22"/>
        <v>#DIV/0!</v>
      </c>
      <c r="AI31" s="110" t="e">
        <f t="shared" si="22"/>
        <v>#DIV/0!</v>
      </c>
      <c r="AJ31" s="110" t="e">
        <f t="shared" si="22"/>
        <v>#DIV/0!</v>
      </c>
      <c r="AK31" s="110" t="e">
        <f t="shared" si="22"/>
        <v>#DIV/0!</v>
      </c>
      <c r="AL31" s="110" t="e">
        <f t="shared" si="22"/>
        <v>#DIV/0!</v>
      </c>
      <c r="AM31" s="110" t="e">
        <f t="shared" si="22"/>
        <v>#DIV/0!</v>
      </c>
      <c r="AN31" s="110" t="e">
        <f t="shared" si="22"/>
        <v>#DIV/0!</v>
      </c>
      <c r="AO31" s="110" t="e">
        <f t="shared" si="22"/>
        <v>#DIV/0!</v>
      </c>
      <c r="AP31" s="110" t="e">
        <f t="shared" si="22"/>
        <v>#DIV/0!</v>
      </c>
      <c r="AQ31" s="110" t="e">
        <f t="shared" si="22"/>
        <v>#DIV/0!</v>
      </c>
      <c r="AR31" s="110" t="e">
        <f t="shared" si="22"/>
        <v>#DIV/0!</v>
      </c>
      <c r="AS31" s="110" t="e">
        <f t="shared" si="22"/>
        <v>#DIV/0!</v>
      </c>
      <c r="AT31" s="110" t="e">
        <f t="shared" si="22"/>
        <v>#DIV/0!</v>
      </c>
      <c r="AU31" s="110" t="e">
        <f t="shared" si="22"/>
        <v>#DIV/0!</v>
      </c>
      <c r="AV31" s="110" t="e">
        <f t="shared" si="22"/>
        <v>#DIV/0!</v>
      </c>
      <c r="AW31" s="110" t="e">
        <f t="shared" si="22"/>
        <v>#DIV/0!</v>
      </c>
      <c r="AX31" s="110" t="e">
        <f t="shared" si="22"/>
        <v>#DIV/0!</v>
      </c>
      <c r="AY31" s="110" t="e">
        <f t="shared" si="22"/>
        <v>#DIV/0!</v>
      </c>
      <c r="AZ31" s="110" t="e">
        <f t="shared" si="22"/>
        <v>#DIV/0!</v>
      </c>
      <c r="BA31" s="110" t="e">
        <f t="shared" si="22"/>
        <v>#DIV/0!</v>
      </c>
      <c r="BB31" s="110" t="e">
        <f t="shared" si="22"/>
        <v>#DIV/0!</v>
      </c>
      <c r="BC31" s="110" t="e">
        <f t="shared" si="22"/>
        <v>#DIV/0!</v>
      </c>
      <c r="BD31" s="110" t="e">
        <f t="shared" si="22"/>
        <v>#DIV/0!</v>
      </c>
      <c r="BE31" s="110" t="e">
        <f t="shared" si="22"/>
        <v>#DIV/0!</v>
      </c>
      <c r="BF31" s="110" t="e">
        <f t="shared" si="22"/>
        <v>#DIV/0!</v>
      </c>
      <c r="BG31" s="110" t="e">
        <f t="shared" si="22"/>
        <v>#DIV/0!</v>
      </c>
      <c r="BH31" s="110" t="e">
        <f t="shared" si="22"/>
        <v>#DIV/0!</v>
      </c>
      <c r="BI31" s="110" t="e">
        <f t="shared" si="22"/>
        <v>#DIV/0!</v>
      </c>
      <c r="BJ31" s="110" t="e">
        <f t="shared" si="22"/>
        <v>#DIV/0!</v>
      </c>
      <c r="BK31" s="110" t="e">
        <f t="shared" si="22"/>
        <v>#DIV/0!</v>
      </c>
      <c r="BL31" s="110" t="e">
        <f t="shared" si="22"/>
        <v>#DIV/0!</v>
      </c>
      <c r="BM31" s="110" t="e">
        <f t="shared" si="22"/>
        <v>#DIV/0!</v>
      </c>
      <c r="BN31" s="110" t="e">
        <f t="shared" si="22"/>
        <v>#DIV/0!</v>
      </c>
      <c r="BO31" s="110" t="e">
        <f t="shared" si="22"/>
        <v>#DIV/0!</v>
      </c>
      <c r="BP31" s="110" t="e">
        <f t="shared" si="22"/>
        <v>#DIV/0!</v>
      </c>
      <c r="BQ31" s="110" t="e">
        <f t="shared" si="22"/>
        <v>#DIV/0!</v>
      </c>
      <c r="BR31" s="110" t="e">
        <f t="shared" ref="BR31:CK31" si="23">(BR6-BV6)/BV6</f>
        <v>#DIV/0!</v>
      </c>
      <c r="BS31" s="110" t="e">
        <f t="shared" si="23"/>
        <v>#DIV/0!</v>
      </c>
      <c r="BT31" s="110" t="e">
        <f t="shared" si="23"/>
        <v>#DIV/0!</v>
      </c>
      <c r="BU31" s="110" t="e">
        <f t="shared" si="23"/>
        <v>#DIV/0!</v>
      </c>
      <c r="BV31" s="110" t="e">
        <f t="shared" si="23"/>
        <v>#DIV/0!</v>
      </c>
      <c r="BW31" s="110" t="e">
        <f t="shared" si="23"/>
        <v>#DIV/0!</v>
      </c>
      <c r="BX31" s="110" t="e">
        <f t="shared" si="23"/>
        <v>#DIV/0!</v>
      </c>
      <c r="BY31" s="110" t="e">
        <f t="shared" si="23"/>
        <v>#DIV/0!</v>
      </c>
      <c r="BZ31" s="110" t="e">
        <f t="shared" si="23"/>
        <v>#DIV/0!</v>
      </c>
      <c r="CA31" s="110" t="e">
        <f t="shared" si="23"/>
        <v>#DIV/0!</v>
      </c>
      <c r="CB31" s="110" t="e">
        <f t="shared" si="23"/>
        <v>#DIV/0!</v>
      </c>
      <c r="CC31" s="110" t="e">
        <f t="shared" si="23"/>
        <v>#DIV/0!</v>
      </c>
      <c r="CD31" s="110" t="e">
        <f t="shared" si="23"/>
        <v>#DIV/0!</v>
      </c>
      <c r="CE31" s="110" t="e">
        <f t="shared" si="23"/>
        <v>#DIV/0!</v>
      </c>
      <c r="CF31" s="110" t="e">
        <f t="shared" si="23"/>
        <v>#DIV/0!</v>
      </c>
      <c r="CG31" s="110" t="e">
        <f t="shared" si="23"/>
        <v>#DIV/0!</v>
      </c>
      <c r="CH31" s="110" t="e">
        <f t="shared" si="23"/>
        <v>#DIV/0!</v>
      </c>
      <c r="CI31" s="110" t="e">
        <f t="shared" si="23"/>
        <v>#DIV/0!</v>
      </c>
      <c r="CJ31" s="110" t="e">
        <f t="shared" si="23"/>
        <v>#DIV/0!</v>
      </c>
      <c r="CK31" s="110" t="e">
        <f t="shared" si="23"/>
        <v>#DIV/0!</v>
      </c>
    </row>
    <row r="32" spans="1:90" s="111" customFormat="1">
      <c r="A32" s="148" t="s">
        <v>566</v>
      </c>
      <c r="E32" s="111">
        <f>(E7-I7)/I7</f>
        <v>-1.7136148594731629E-2</v>
      </c>
      <c r="F32" s="111">
        <f t="shared" ref="F32:BQ32" si="24">(F7-J7)/J7</f>
        <v>0.87663959213523956</v>
      </c>
      <c r="G32" s="111">
        <f t="shared" si="24"/>
        <v>0.81011316237772291</v>
      </c>
      <c r="H32" s="111">
        <f t="shared" si="24"/>
        <v>0.76481472250406224</v>
      </c>
      <c r="I32" s="111">
        <f t="shared" si="24"/>
        <v>0.94658391932348862</v>
      </c>
      <c r="J32" s="111">
        <f t="shared" si="24"/>
        <v>3.1048888519363837E-2</v>
      </c>
      <c r="K32" s="111">
        <f t="shared" si="24"/>
        <v>3.9273850098285171E-2</v>
      </c>
      <c r="L32" s="111">
        <f t="shared" si="24"/>
        <v>2.390372544996415E-2</v>
      </c>
      <c r="M32" s="111">
        <f t="shared" si="24"/>
        <v>1.1247056018882989E-2</v>
      </c>
      <c r="N32" s="111">
        <f t="shared" si="24"/>
        <v>7.4851603691161533E-2</v>
      </c>
      <c r="O32" s="111">
        <f t="shared" si="24"/>
        <v>0.27793007370022033</v>
      </c>
      <c r="P32" s="111">
        <f t="shared" si="24"/>
        <v>1.0782472902480327</v>
      </c>
      <c r="Q32" s="111" t="e">
        <f t="shared" si="24"/>
        <v>#DIV/0!</v>
      </c>
      <c r="R32" s="111" t="e">
        <f t="shared" si="24"/>
        <v>#DIV/0!</v>
      </c>
      <c r="S32" s="111" t="e">
        <f t="shared" si="24"/>
        <v>#DIV/0!</v>
      </c>
      <c r="T32" s="111" t="e">
        <f t="shared" si="24"/>
        <v>#DIV/0!</v>
      </c>
      <c r="U32" s="111" t="e">
        <f t="shared" si="24"/>
        <v>#DIV/0!</v>
      </c>
      <c r="V32" s="111" t="e">
        <f t="shared" si="24"/>
        <v>#DIV/0!</v>
      </c>
      <c r="W32" s="111" t="e">
        <f t="shared" si="24"/>
        <v>#DIV/0!</v>
      </c>
      <c r="X32" s="111" t="e">
        <f t="shared" si="24"/>
        <v>#DIV/0!</v>
      </c>
      <c r="Y32" s="111" t="e">
        <f t="shared" si="24"/>
        <v>#DIV/0!</v>
      </c>
      <c r="Z32" s="111" t="e">
        <f t="shared" si="24"/>
        <v>#DIV/0!</v>
      </c>
      <c r="AA32" s="111" t="e">
        <f t="shared" si="24"/>
        <v>#DIV/0!</v>
      </c>
      <c r="AB32" s="111" t="e">
        <f t="shared" si="24"/>
        <v>#DIV/0!</v>
      </c>
      <c r="AC32" s="111" t="e">
        <f t="shared" si="24"/>
        <v>#DIV/0!</v>
      </c>
      <c r="AD32" s="111" t="e">
        <f t="shared" si="24"/>
        <v>#DIV/0!</v>
      </c>
      <c r="AE32" s="111" t="e">
        <f t="shared" si="24"/>
        <v>#DIV/0!</v>
      </c>
      <c r="AF32" s="111" t="e">
        <f t="shared" si="24"/>
        <v>#DIV/0!</v>
      </c>
      <c r="AG32" s="111" t="e">
        <f t="shared" si="24"/>
        <v>#DIV/0!</v>
      </c>
      <c r="AH32" s="111" t="e">
        <f t="shared" si="24"/>
        <v>#DIV/0!</v>
      </c>
      <c r="AI32" s="111" t="e">
        <f t="shared" si="24"/>
        <v>#DIV/0!</v>
      </c>
      <c r="AJ32" s="111" t="e">
        <f t="shared" si="24"/>
        <v>#DIV/0!</v>
      </c>
      <c r="AK32" s="111" t="e">
        <f t="shared" si="24"/>
        <v>#DIV/0!</v>
      </c>
      <c r="AL32" s="111" t="e">
        <f t="shared" si="24"/>
        <v>#DIV/0!</v>
      </c>
      <c r="AM32" s="111" t="e">
        <f t="shared" si="24"/>
        <v>#DIV/0!</v>
      </c>
      <c r="AN32" s="111" t="e">
        <f t="shared" si="24"/>
        <v>#DIV/0!</v>
      </c>
      <c r="AO32" s="111" t="e">
        <f t="shared" si="24"/>
        <v>#DIV/0!</v>
      </c>
      <c r="AP32" s="111" t="e">
        <f t="shared" si="24"/>
        <v>#DIV/0!</v>
      </c>
      <c r="AQ32" s="111" t="e">
        <f t="shared" si="24"/>
        <v>#DIV/0!</v>
      </c>
      <c r="AR32" s="111" t="e">
        <f t="shared" si="24"/>
        <v>#DIV/0!</v>
      </c>
      <c r="AS32" s="111" t="e">
        <f t="shared" si="24"/>
        <v>#DIV/0!</v>
      </c>
      <c r="AT32" s="111" t="e">
        <f t="shared" si="24"/>
        <v>#DIV/0!</v>
      </c>
      <c r="AU32" s="111" t="e">
        <f t="shared" si="24"/>
        <v>#DIV/0!</v>
      </c>
      <c r="AV32" s="111" t="e">
        <f t="shared" si="24"/>
        <v>#DIV/0!</v>
      </c>
      <c r="AW32" s="111" t="e">
        <f t="shared" si="24"/>
        <v>#DIV/0!</v>
      </c>
      <c r="AX32" s="111" t="e">
        <f t="shared" si="24"/>
        <v>#DIV/0!</v>
      </c>
      <c r="AY32" s="111" t="e">
        <f t="shared" si="24"/>
        <v>#DIV/0!</v>
      </c>
      <c r="AZ32" s="111" t="e">
        <f t="shared" si="24"/>
        <v>#DIV/0!</v>
      </c>
      <c r="BA32" s="111" t="e">
        <f t="shared" si="24"/>
        <v>#DIV/0!</v>
      </c>
      <c r="BB32" s="111" t="e">
        <f t="shared" si="24"/>
        <v>#DIV/0!</v>
      </c>
      <c r="BC32" s="111" t="e">
        <f t="shared" si="24"/>
        <v>#DIV/0!</v>
      </c>
      <c r="BD32" s="111" t="e">
        <f t="shared" si="24"/>
        <v>#DIV/0!</v>
      </c>
      <c r="BE32" s="111" t="e">
        <f t="shared" si="24"/>
        <v>#DIV/0!</v>
      </c>
      <c r="BF32" s="111" t="e">
        <f t="shared" si="24"/>
        <v>#DIV/0!</v>
      </c>
      <c r="BG32" s="111" t="e">
        <f t="shared" si="24"/>
        <v>#DIV/0!</v>
      </c>
      <c r="BH32" s="111" t="e">
        <f t="shared" si="24"/>
        <v>#DIV/0!</v>
      </c>
      <c r="BI32" s="111" t="e">
        <f t="shared" si="24"/>
        <v>#DIV/0!</v>
      </c>
      <c r="BJ32" s="111" t="e">
        <f t="shared" si="24"/>
        <v>#DIV/0!</v>
      </c>
      <c r="BK32" s="111" t="e">
        <f t="shared" si="24"/>
        <v>#DIV/0!</v>
      </c>
      <c r="BL32" s="111" t="e">
        <f t="shared" si="24"/>
        <v>#DIV/0!</v>
      </c>
      <c r="BM32" s="111" t="e">
        <f t="shared" si="24"/>
        <v>#DIV/0!</v>
      </c>
      <c r="BN32" s="111" t="e">
        <f t="shared" si="24"/>
        <v>#DIV/0!</v>
      </c>
      <c r="BO32" s="111" t="e">
        <f t="shared" si="24"/>
        <v>#DIV/0!</v>
      </c>
      <c r="BP32" s="111" t="e">
        <f t="shared" si="24"/>
        <v>#DIV/0!</v>
      </c>
      <c r="BQ32" s="111" t="e">
        <f t="shared" si="24"/>
        <v>#DIV/0!</v>
      </c>
      <c r="BR32" s="111" t="e">
        <f t="shared" ref="BR32:CK32" si="25">(BR7-BV7)/BV7</f>
        <v>#DIV/0!</v>
      </c>
      <c r="BS32" s="111" t="e">
        <f t="shared" si="25"/>
        <v>#DIV/0!</v>
      </c>
      <c r="BT32" s="111" t="e">
        <f t="shared" si="25"/>
        <v>#DIV/0!</v>
      </c>
      <c r="BU32" s="111" t="e">
        <f t="shared" si="25"/>
        <v>#DIV/0!</v>
      </c>
      <c r="BV32" s="111" t="e">
        <f t="shared" si="25"/>
        <v>#DIV/0!</v>
      </c>
      <c r="BW32" s="111" t="e">
        <f t="shared" si="25"/>
        <v>#DIV/0!</v>
      </c>
      <c r="BX32" s="111" t="e">
        <f t="shared" si="25"/>
        <v>#DIV/0!</v>
      </c>
      <c r="BY32" s="111" t="e">
        <f t="shared" si="25"/>
        <v>#DIV/0!</v>
      </c>
      <c r="BZ32" s="111" t="e">
        <f t="shared" si="25"/>
        <v>#DIV/0!</v>
      </c>
      <c r="CA32" s="111" t="e">
        <f t="shared" si="25"/>
        <v>#DIV/0!</v>
      </c>
      <c r="CB32" s="111" t="e">
        <f t="shared" si="25"/>
        <v>#DIV/0!</v>
      </c>
      <c r="CC32" s="111" t="e">
        <f t="shared" si="25"/>
        <v>#DIV/0!</v>
      </c>
      <c r="CD32" s="111" t="e">
        <f t="shared" si="25"/>
        <v>#DIV/0!</v>
      </c>
      <c r="CE32" s="111" t="e">
        <f t="shared" si="25"/>
        <v>#DIV/0!</v>
      </c>
      <c r="CF32" s="111" t="e">
        <f t="shared" si="25"/>
        <v>#DIV/0!</v>
      </c>
      <c r="CG32" s="111" t="e">
        <f t="shared" si="25"/>
        <v>#DIV/0!</v>
      </c>
      <c r="CH32" s="111" t="e">
        <f t="shared" si="25"/>
        <v>#DIV/0!</v>
      </c>
      <c r="CI32" s="111" t="e">
        <f t="shared" si="25"/>
        <v>#DIV/0!</v>
      </c>
      <c r="CJ32" s="111" t="e">
        <f t="shared" si="25"/>
        <v>#DIV/0!</v>
      </c>
      <c r="CK32" s="111" t="e">
        <f t="shared" si="25"/>
        <v>#DIV/0!</v>
      </c>
    </row>
    <row r="33" spans="1:89" s="111" customFormat="1">
      <c r="A33" s="148" t="s">
        <v>573</v>
      </c>
      <c r="E33" s="111">
        <f>E7/E9</f>
        <v>0.25895171338453543</v>
      </c>
      <c r="F33" s="111">
        <f t="shared" ref="F33:BQ33" si="26">F7/F9</f>
        <v>0.22459850360438938</v>
      </c>
      <c r="G33" s="111">
        <f t="shared" si="26"/>
        <v>0.21905476739117372</v>
      </c>
      <c r="H33" s="111">
        <f t="shared" si="26"/>
        <v>0.21774017495254061</v>
      </c>
      <c r="I33" s="111">
        <f t="shared" si="26"/>
        <v>0.25282888927621505</v>
      </c>
      <c r="J33" s="111">
        <f t="shared" si="26"/>
        <v>0.16010567068182241</v>
      </c>
      <c r="K33" s="111">
        <f t="shared" si="26"/>
        <v>0.1608903685884969</v>
      </c>
      <c r="L33" s="111">
        <f t="shared" si="26"/>
        <v>0.16403016296050918</v>
      </c>
      <c r="M33" s="111">
        <f t="shared" si="26"/>
        <v>0.16782845639788457</v>
      </c>
      <c r="N33" s="111">
        <f t="shared" si="26"/>
        <v>0.16844262451717296</v>
      </c>
      <c r="O33" s="111">
        <f t="shared" si="26"/>
        <v>0.16683058284318</v>
      </c>
      <c r="P33" s="111">
        <f t="shared" si="26"/>
        <v>0.35555183646662214</v>
      </c>
      <c r="Q33" s="111">
        <f t="shared" si="26"/>
        <v>0.3626220017848108</v>
      </c>
      <c r="R33" s="111">
        <f t="shared" si="26"/>
        <v>0.45469122633877657</v>
      </c>
      <c r="S33" s="111">
        <f t="shared" si="26"/>
        <v>0.44162337188870604</v>
      </c>
      <c r="T33" s="111">
        <f t="shared" si="26"/>
        <v>0.38713969686122252</v>
      </c>
      <c r="U33" s="111" t="e">
        <f t="shared" si="26"/>
        <v>#DIV/0!</v>
      </c>
      <c r="V33" s="111" t="e">
        <f t="shared" si="26"/>
        <v>#DIV/0!</v>
      </c>
      <c r="W33" s="111" t="e">
        <f t="shared" si="26"/>
        <v>#DIV/0!</v>
      </c>
      <c r="X33" s="111" t="e">
        <f t="shared" si="26"/>
        <v>#DIV/0!</v>
      </c>
      <c r="Y33" s="111" t="e">
        <f t="shared" si="26"/>
        <v>#DIV/0!</v>
      </c>
      <c r="Z33" s="111" t="e">
        <f t="shared" si="26"/>
        <v>#DIV/0!</v>
      </c>
      <c r="AA33" s="111" t="e">
        <f t="shared" si="26"/>
        <v>#DIV/0!</v>
      </c>
      <c r="AB33" s="111" t="e">
        <f t="shared" si="26"/>
        <v>#DIV/0!</v>
      </c>
      <c r="AC33" s="111" t="e">
        <f t="shared" si="26"/>
        <v>#DIV/0!</v>
      </c>
      <c r="AD33" s="111" t="e">
        <f t="shared" si="26"/>
        <v>#DIV/0!</v>
      </c>
      <c r="AE33" s="111" t="e">
        <f t="shared" si="26"/>
        <v>#DIV/0!</v>
      </c>
      <c r="AF33" s="111" t="e">
        <f t="shared" si="26"/>
        <v>#DIV/0!</v>
      </c>
      <c r="AG33" s="111" t="e">
        <f t="shared" si="26"/>
        <v>#DIV/0!</v>
      </c>
      <c r="AH33" s="111" t="e">
        <f t="shared" si="26"/>
        <v>#DIV/0!</v>
      </c>
      <c r="AI33" s="111" t="e">
        <f t="shared" si="26"/>
        <v>#DIV/0!</v>
      </c>
      <c r="AJ33" s="111" t="e">
        <f t="shared" si="26"/>
        <v>#DIV/0!</v>
      </c>
      <c r="AK33" s="111" t="e">
        <f t="shared" si="26"/>
        <v>#DIV/0!</v>
      </c>
      <c r="AL33" s="111" t="e">
        <f t="shared" si="26"/>
        <v>#DIV/0!</v>
      </c>
      <c r="AM33" s="111" t="e">
        <f t="shared" si="26"/>
        <v>#DIV/0!</v>
      </c>
      <c r="AN33" s="111" t="e">
        <f t="shared" si="26"/>
        <v>#DIV/0!</v>
      </c>
      <c r="AO33" s="111" t="e">
        <f t="shared" si="26"/>
        <v>#DIV/0!</v>
      </c>
      <c r="AP33" s="111" t="e">
        <f t="shared" si="26"/>
        <v>#DIV/0!</v>
      </c>
      <c r="AQ33" s="111" t="e">
        <f t="shared" si="26"/>
        <v>#DIV/0!</v>
      </c>
      <c r="AR33" s="111" t="e">
        <f t="shared" si="26"/>
        <v>#DIV/0!</v>
      </c>
      <c r="AS33" s="111" t="e">
        <f t="shared" si="26"/>
        <v>#DIV/0!</v>
      </c>
      <c r="AT33" s="111" t="e">
        <f t="shared" si="26"/>
        <v>#DIV/0!</v>
      </c>
      <c r="AU33" s="111" t="e">
        <f t="shared" si="26"/>
        <v>#DIV/0!</v>
      </c>
      <c r="AV33" s="111" t="e">
        <f t="shared" si="26"/>
        <v>#DIV/0!</v>
      </c>
      <c r="AW33" s="111" t="e">
        <f t="shared" si="26"/>
        <v>#DIV/0!</v>
      </c>
      <c r="AX33" s="111" t="e">
        <f t="shared" si="26"/>
        <v>#DIV/0!</v>
      </c>
      <c r="AY33" s="111" t="e">
        <f t="shared" si="26"/>
        <v>#DIV/0!</v>
      </c>
      <c r="AZ33" s="111" t="e">
        <f t="shared" si="26"/>
        <v>#DIV/0!</v>
      </c>
      <c r="BA33" s="111" t="e">
        <f t="shared" si="26"/>
        <v>#DIV/0!</v>
      </c>
      <c r="BB33" s="111" t="e">
        <f t="shared" si="26"/>
        <v>#DIV/0!</v>
      </c>
      <c r="BC33" s="111" t="e">
        <f t="shared" si="26"/>
        <v>#DIV/0!</v>
      </c>
      <c r="BD33" s="111" t="e">
        <f t="shared" si="26"/>
        <v>#DIV/0!</v>
      </c>
      <c r="BE33" s="111" t="e">
        <f t="shared" si="26"/>
        <v>#DIV/0!</v>
      </c>
      <c r="BF33" s="111" t="e">
        <f t="shared" si="26"/>
        <v>#DIV/0!</v>
      </c>
      <c r="BG33" s="111" t="e">
        <f t="shared" si="26"/>
        <v>#DIV/0!</v>
      </c>
      <c r="BH33" s="111" t="e">
        <f t="shared" si="26"/>
        <v>#DIV/0!</v>
      </c>
      <c r="BI33" s="111" t="e">
        <f t="shared" si="26"/>
        <v>#DIV/0!</v>
      </c>
      <c r="BJ33" s="111" t="e">
        <f t="shared" si="26"/>
        <v>#DIV/0!</v>
      </c>
      <c r="BK33" s="111" t="e">
        <f t="shared" si="26"/>
        <v>#DIV/0!</v>
      </c>
      <c r="BL33" s="111" t="e">
        <f t="shared" si="26"/>
        <v>#DIV/0!</v>
      </c>
      <c r="BM33" s="111" t="e">
        <f t="shared" si="26"/>
        <v>#DIV/0!</v>
      </c>
      <c r="BN33" s="111" t="e">
        <f t="shared" si="26"/>
        <v>#DIV/0!</v>
      </c>
      <c r="BO33" s="111" t="e">
        <f t="shared" si="26"/>
        <v>#DIV/0!</v>
      </c>
      <c r="BP33" s="111" t="e">
        <f t="shared" si="26"/>
        <v>#DIV/0!</v>
      </c>
      <c r="BQ33" s="111" t="e">
        <f t="shared" si="26"/>
        <v>#DIV/0!</v>
      </c>
      <c r="BR33" s="111" t="e">
        <f t="shared" ref="BR33:CK33" si="27">BR7/BR9</f>
        <v>#DIV/0!</v>
      </c>
      <c r="BS33" s="111" t="e">
        <f t="shared" si="27"/>
        <v>#DIV/0!</v>
      </c>
      <c r="BT33" s="111" t="e">
        <f t="shared" si="27"/>
        <v>#DIV/0!</v>
      </c>
      <c r="BU33" s="111" t="e">
        <f t="shared" si="27"/>
        <v>#DIV/0!</v>
      </c>
      <c r="BV33" s="111" t="e">
        <f t="shared" si="27"/>
        <v>#DIV/0!</v>
      </c>
      <c r="BW33" s="111" t="e">
        <f t="shared" si="27"/>
        <v>#DIV/0!</v>
      </c>
      <c r="BX33" s="111" t="e">
        <f t="shared" si="27"/>
        <v>#DIV/0!</v>
      </c>
      <c r="BY33" s="111" t="e">
        <f t="shared" si="27"/>
        <v>#DIV/0!</v>
      </c>
      <c r="BZ33" s="111" t="e">
        <f t="shared" si="27"/>
        <v>#DIV/0!</v>
      </c>
      <c r="CA33" s="111" t="e">
        <f t="shared" si="27"/>
        <v>#DIV/0!</v>
      </c>
      <c r="CB33" s="111" t="e">
        <f t="shared" si="27"/>
        <v>#DIV/0!</v>
      </c>
      <c r="CC33" s="111" t="e">
        <f t="shared" si="27"/>
        <v>#DIV/0!</v>
      </c>
      <c r="CD33" s="111" t="e">
        <f t="shared" si="27"/>
        <v>#DIV/0!</v>
      </c>
      <c r="CE33" s="111" t="e">
        <f t="shared" si="27"/>
        <v>#DIV/0!</v>
      </c>
      <c r="CF33" s="111" t="e">
        <f t="shared" si="27"/>
        <v>#DIV/0!</v>
      </c>
      <c r="CG33" s="111" t="e">
        <f t="shared" si="27"/>
        <v>#DIV/0!</v>
      </c>
      <c r="CH33" s="111" t="e">
        <f t="shared" si="27"/>
        <v>#DIV/0!</v>
      </c>
      <c r="CI33" s="111" t="e">
        <f t="shared" si="27"/>
        <v>#DIV/0!</v>
      </c>
      <c r="CJ33" s="111" t="e">
        <f t="shared" si="27"/>
        <v>#DIV/0!</v>
      </c>
      <c r="CK33" s="111" t="e">
        <f t="shared" si="27"/>
        <v>#DIV/0!</v>
      </c>
    </row>
    <row r="34" spans="1:89" s="110" customFormat="1">
      <c r="A34" s="147" t="s">
        <v>567</v>
      </c>
      <c r="E34" s="110">
        <f>(E10-I10)/I10</f>
        <v>33.860176737173198</v>
      </c>
      <c r="F34" s="110" t="e">
        <f t="shared" ref="F34:BQ34" si="28">(F10-J10)/J10</f>
        <v>#DIV/0!</v>
      </c>
      <c r="G34" s="110" t="e">
        <f t="shared" si="28"/>
        <v>#DIV/0!</v>
      </c>
      <c r="H34" s="110" t="e">
        <f t="shared" si="28"/>
        <v>#DIV/0!</v>
      </c>
      <c r="I34" s="110" t="e">
        <f t="shared" si="28"/>
        <v>#DIV/0!</v>
      </c>
      <c r="J34" s="110" t="e">
        <f t="shared" si="28"/>
        <v>#DIV/0!</v>
      </c>
      <c r="K34" s="110" t="e">
        <f t="shared" si="28"/>
        <v>#DIV/0!</v>
      </c>
      <c r="L34" s="110">
        <f t="shared" si="28"/>
        <v>-1</v>
      </c>
      <c r="M34" s="110">
        <f t="shared" si="28"/>
        <v>-1</v>
      </c>
      <c r="N34" s="110" t="e">
        <f t="shared" si="28"/>
        <v>#DIV/0!</v>
      </c>
      <c r="O34" s="110">
        <f t="shared" si="28"/>
        <v>-1</v>
      </c>
      <c r="P34" s="110">
        <f t="shared" si="28"/>
        <v>-0.5161290322580645</v>
      </c>
      <c r="Q34" s="110" t="e">
        <f t="shared" si="28"/>
        <v>#DIV/0!</v>
      </c>
      <c r="R34" s="110" t="e">
        <f t="shared" si="28"/>
        <v>#DIV/0!</v>
      </c>
      <c r="S34" s="110" t="e">
        <f t="shared" si="28"/>
        <v>#DIV/0!</v>
      </c>
      <c r="T34" s="110" t="e">
        <f t="shared" si="28"/>
        <v>#DIV/0!</v>
      </c>
      <c r="U34" s="110" t="e">
        <f t="shared" si="28"/>
        <v>#DIV/0!</v>
      </c>
      <c r="V34" s="110" t="e">
        <f t="shared" si="28"/>
        <v>#DIV/0!</v>
      </c>
      <c r="W34" s="110" t="e">
        <f t="shared" si="28"/>
        <v>#DIV/0!</v>
      </c>
      <c r="X34" s="110" t="e">
        <f t="shared" si="28"/>
        <v>#DIV/0!</v>
      </c>
      <c r="Y34" s="110" t="e">
        <f t="shared" si="28"/>
        <v>#DIV/0!</v>
      </c>
      <c r="Z34" s="110" t="e">
        <f t="shared" si="28"/>
        <v>#DIV/0!</v>
      </c>
      <c r="AA34" s="110" t="e">
        <f t="shared" si="28"/>
        <v>#DIV/0!</v>
      </c>
      <c r="AB34" s="110" t="e">
        <f t="shared" si="28"/>
        <v>#DIV/0!</v>
      </c>
      <c r="AC34" s="110" t="e">
        <f t="shared" si="28"/>
        <v>#DIV/0!</v>
      </c>
      <c r="AD34" s="110" t="e">
        <f t="shared" si="28"/>
        <v>#DIV/0!</v>
      </c>
      <c r="AE34" s="110" t="e">
        <f t="shared" si="28"/>
        <v>#DIV/0!</v>
      </c>
      <c r="AF34" s="110" t="e">
        <f t="shared" si="28"/>
        <v>#DIV/0!</v>
      </c>
      <c r="AG34" s="110" t="e">
        <f t="shared" si="28"/>
        <v>#DIV/0!</v>
      </c>
      <c r="AH34" s="110" t="e">
        <f t="shared" si="28"/>
        <v>#DIV/0!</v>
      </c>
      <c r="AI34" s="110" t="e">
        <f t="shared" si="28"/>
        <v>#DIV/0!</v>
      </c>
      <c r="AJ34" s="110" t="e">
        <f t="shared" si="28"/>
        <v>#DIV/0!</v>
      </c>
      <c r="AK34" s="110" t="e">
        <f t="shared" si="28"/>
        <v>#DIV/0!</v>
      </c>
      <c r="AL34" s="110" t="e">
        <f t="shared" si="28"/>
        <v>#DIV/0!</v>
      </c>
      <c r="AM34" s="110" t="e">
        <f t="shared" si="28"/>
        <v>#DIV/0!</v>
      </c>
      <c r="AN34" s="110" t="e">
        <f t="shared" si="28"/>
        <v>#DIV/0!</v>
      </c>
      <c r="AO34" s="110" t="e">
        <f t="shared" si="28"/>
        <v>#DIV/0!</v>
      </c>
      <c r="AP34" s="110" t="e">
        <f t="shared" si="28"/>
        <v>#DIV/0!</v>
      </c>
      <c r="AQ34" s="110" t="e">
        <f t="shared" si="28"/>
        <v>#DIV/0!</v>
      </c>
      <c r="AR34" s="110" t="e">
        <f t="shared" si="28"/>
        <v>#DIV/0!</v>
      </c>
      <c r="AS34" s="110" t="e">
        <f t="shared" si="28"/>
        <v>#DIV/0!</v>
      </c>
      <c r="AT34" s="110" t="e">
        <f t="shared" si="28"/>
        <v>#DIV/0!</v>
      </c>
      <c r="AU34" s="110" t="e">
        <f t="shared" si="28"/>
        <v>#DIV/0!</v>
      </c>
      <c r="AV34" s="110" t="e">
        <f t="shared" si="28"/>
        <v>#DIV/0!</v>
      </c>
      <c r="AW34" s="110" t="e">
        <f t="shared" si="28"/>
        <v>#DIV/0!</v>
      </c>
      <c r="AX34" s="110" t="e">
        <f t="shared" si="28"/>
        <v>#DIV/0!</v>
      </c>
      <c r="AY34" s="110" t="e">
        <f t="shared" si="28"/>
        <v>#DIV/0!</v>
      </c>
      <c r="AZ34" s="110" t="e">
        <f t="shared" si="28"/>
        <v>#DIV/0!</v>
      </c>
      <c r="BA34" s="110" t="e">
        <f t="shared" si="28"/>
        <v>#DIV/0!</v>
      </c>
      <c r="BB34" s="110" t="e">
        <f t="shared" si="28"/>
        <v>#DIV/0!</v>
      </c>
      <c r="BC34" s="110" t="e">
        <f t="shared" si="28"/>
        <v>#DIV/0!</v>
      </c>
      <c r="BD34" s="110" t="e">
        <f t="shared" si="28"/>
        <v>#DIV/0!</v>
      </c>
      <c r="BE34" s="110" t="e">
        <f t="shared" si="28"/>
        <v>#DIV/0!</v>
      </c>
      <c r="BF34" s="110" t="e">
        <f t="shared" si="28"/>
        <v>#DIV/0!</v>
      </c>
      <c r="BG34" s="110" t="e">
        <f t="shared" si="28"/>
        <v>#DIV/0!</v>
      </c>
      <c r="BH34" s="110" t="e">
        <f t="shared" si="28"/>
        <v>#DIV/0!</v>
      </c>
      <c r="BI34" s="110" t="e">
        <f t="shared" si="28"/>
        <v>#DIV/0!</v>
      </c>
      <c r="BJ34" s="110" t="e">
        <f t="shared" si="28"/>
        <v>#DIV/0!</v>
      </c>
      <c r="BK34" s="110" t="e">
        <f t="shared" si="28"/>
        <v>#DIV/0!</v>
      </c>
      <c r="BL34" s="110" t="e">
        <f t="shared" si="28"/>
        <v>#DIV/0!</v>
      </c>
      <c r="BM34" s="110" t="e">
        <f t="shared" si="28"/>
        <v>#DIV/0!</v>
      </c>
      <c r="BN34" s="110" t="e">
        <f t="shared" si="28"/>
        <v>#DIV/0!</v>
      </c>
      <c r="BO34" s="110" t="e">
        <f t="shared" si="28"/>
        <v>#DIV/0!</v>
      </c>
      <c r="BP34" s="110" t="e">
        <f t="shared" si="28"/>
        <v>#DIV/0!</v>
      </c>
      <c r="BQ34" s="110" t="e">
        <f t="shared" si="28"/>
        <v>#DIV/0!</v>
      </c>
      <c r="BR34" s="110" t="e">
        <f t="shared" ref="BR34:CK34" si="29">(BR10-BV10)/BV10</f>
        <v>#DIV/0!</v>
      </c>
      <c r="BS34" s="110" t="e">
        <f t="shared" si="29"/>
        <v>#DIV/0!</v>
      </c>
      <c r="BT34" s="110" t="e">
        <f t="shared" si="29"/>
        <v>#DIV/0!</v>
      </c>
      <c r="BU34" s="110" t="e">
        <f t="shared" si="29"/>
        <v>#DIV/0!</v>
      </c>
      <c r="BV34" s="110" t="e">
        <f t="shared" si="29"/>
        <v>#DIV/0!</v>
      </c>
      <c r="BW34" s="110" t="e">
        <f t="shared" si="29"/>
        <v>#DIV/0!</v>
      </c>
      <c r="BX34" s="110" t="e">
        <f t="shared" si="29"/>
        <v>#DIV/0!</v>
      </c>
      <c r="BY34" s="110" t="e">
        <f t="shared" si="29"/>
        <v>#DIV/0!</v>
      </c>
      <c r="BZ34" s="110" t="e">
        <f t="shared" si="29"/>
        <v>#DIV/0!</v>
      </c>
      <c r="CA34" s="110" t="e">
        <f t="shared" si="29"/>
        <v>#DIV/0!</v>
      </c>
      <c r="CB34" s="110" t="e">
        <f t="shared" si="29"/>
        <v>#DIV/0!</v>
      </c>
      <c r="CC34" s="110" t="e">
        <f t="shared" si="29"/>
        <v>#DIV/0!</v>
      </c>
      <c r="CD34" s="110" t="e">
        <f t="shared" si="29"/>
        <v>#DIV/0!</v>
      </c>
      <c r="CE34" s="110" t="e">
        <f t="shared" si="29"/>
        <v>#DIV/0!</v>
      </c>
      <c r="CF34" s="110" t="e">
        <f t="shared" si="29"/>
        <v>#DIV/0!</v>
      </c>
      <c r="CG34" s="110" t="e">
        <f t="shared" si="29"/>
        <v>#DIV/0!</v>
      </c>
      <c r="CH34" s="110" t="e">
        <f t="shared" si="29"/>
        <v>#DIV/0!</v>
      </c>
      <c r="CI34" s="110" t="e">
        <f t="shared" si="29"/>
        <v>#DIV/0!</v>
      </c>
      <c r="CJ34" s="110" t="e">
        <f t="shared" si="29"/>
        <v>#DIV/0!</v>
      </c>
      <c r="CK34" s="110" t="e">
        <f t="shared" si="29"/>
        <v>#DIV/0!</v>
      </c>
    </row>
    <row r="35" spans="1:89" s="110" customFormat="1">
      <c r="A35" s="147" t="s">
        <v>571</v>
      </c>
      <c r="E35" s="110">
        <f>E10/E12</f>
        <v>0.9804463509895327</v>
      </c>
      <c r="F35" s="110">
        <f t="shared" ref="F35:BQ35" si="30">F10/F12</f>
        <v>5.488253226362394E-2</v>
      </c>
      <c r="G35" s="110">
        <f t="shared" si="30"/>
        <v>2.9833668384884604E-2</v>
      </c>
      <c r="H35" s="110">
        <f t="shared" si="30"/>
        <v>2.9866842244176919E-2</v>
      </c>
      <c r="I35" s="110">
        <f t="shared" si="30"/>
        <v>1.9090561799240833E-3</v>
      </c>
      <c r="J35" s="110">
        <f t="shared" si="30"/>
        <v>0</v>
      </c>
      <c r="K35" s="110">
        <f t="shared" si="30"/>
        <v>0</v>
      </c>
      <c r="L35" s="110">
        <f t="shared" si="30"/>
        <v>0</v>
      </c>
      <c r="M35" s="110">
        <f t="shared" si="30"/>
        <v>0</v>
      </c>
      <c r="N35" s="110">
        <f t="shared" si="30"/>
        <v>0</v>
      </c>
      <c r="O35" s="110">
        <f t="shared" si="30"/>
        <v>0</v>
      </c>
      <c r="P35" s="110">
        <f t="shared" si="30"/>
        <v>0.97402597402597402</v>
      </c>
      <c r="Q35" s="110">
        <f t="shared" si="30"/>
        <v>0.98684210526315785</v>
      </c>
      <c r="R35" s="110">
        <f t="shared" si="30"/>
        <v>0</v>
      </c>
      <c r="S35" s="110">
        <f t="shared" si="30"/>
        <v>0.98726114649681529</v>
      </c>
      <c r="T35" s="110">
        <f t="shared" si="30"/>
        <v>0.97484276729559749</v>
      </c>
      <c r="U35" s="110" t="e">
        <f t="shared" si="30"/>
        <v>#DIV/0!</v>
      </c>
      <c r="V35" s="110" t="e">
        <f t="shared" si="30"/>
        <v>#DIV/0!</v>
      </c>
      <c r="W35" s="110" t="e">
        <f t="shared" si="30"/>
        <v>#DIV/0!</v>
      </c>
      <c r="X35" s="110" t="e">
        <f t="shared" si="30"/>
        <v>#DIV/0!</v>
      </c>
      <c r="Y35" s="110" t="e">
        <f t="shared" si="30"/>
        <v>#DIV/0!</v>
      </c>
      <c r="Z35" s="110" t="e">
        <f t="shared" si="30"/>
        <v>#DIV/0!</v>
      </c>
      <c r="AA35" s="110" t="e">
        <f t="shared" si="30"/>
        <v>#DIV/0!</v>
      </c>
      <c r="AB35" s="110" t="e">
        <f t="shared" si="30"/>
        <v>#DIV/0!</v>
      </c>
      <c r="AC35" s="110" t="e">
        <f t="shared" si="30"/>
        <v>#DIV/0!</v>
      </c>
      <c r="AD35" s="110" t="e">
        <f t="shared" si="30"/>
        <v>#DIV/0!</v>
      </c>
      <c r="AE35" s="110" t="e">
        <f t="shared" si="30"/>
        <v>#DIV/0!</v>
      </c>
      <c r="AF35" s="110" t="e">
        <f t="shared" si="30"/>
        <v>#DIV/0!</v>
      </c>
      <c r="AG35" s="110" t="e">
        <f t="shared" si="30"/>
        <v>#DIV/0!</v>
      </c>
      <c r="AH35" s="110" t="e">
        <f t="shared" si="30"/>
        <v>#DIV/0!</v>
      </c>
      <c r="AI35" s="110" t="e">
        <f t="shared" si="30"/>
        <v>#DIV/0!</v>
      </c>
      <c r="AJ35" s="110" t="e">
        <f t="shared" si="30"/>
        <v>#DIV/0!</v>
      </c>
      <c r="AK35" s="110" t="e">
        <f t="shared" si="30"/>
        <v>#DIV/0!</v>
      </c>
      <c r="AL35" s="110" t="e">
        <f t="shared" si="30"/>
        <v>#DIV/0!</v>
      </c>
      <c r="AM35" s="110" t="e">
        <f t="shared" si="30"/>
        <v>#DIV/0!</v>
      </c>
      <c r="AN35" s="110" t="e">
        <f t="shared" si="30"/>
        <v>#DIV/0!</v>
      </c>
      <c r="AO35" s="110" t="e">
        <f t="shared" si="30"/>
        <v>#DIV/0!</v>
      </c>
      <c r="AP35" s="110" t="e">
        <f t="shared" si="30"/>
        <v>#DIV/0!</v>
      </c>
      <c r="AQ35" s="110" t="e">
        <f t="shared" si="30"/>
        <v>#DIV/0!</v>
      </c>
      <c r="AR35" s="110" t="e">
        <f t="shared" si="30"/>
        <v>#DIV/0!</v>
      </c>
      <c r="AS35" s="110" t="e">
        <f t="shared" si="30"/>
        <v>#DIV/0!</v>
      </c>
      <c r="AT35" s="110" t="e">
        <f t="shared" si="30"/>
        <v>#DIV/0!</v>
      </c>
      <c r="AU35" s="110" t="e">
        <f t="shared" si="30"/>
        <v>#DIV/0!</v>
      </c>
      <c r="AV35" s="110" t="e">
        <f t="shared" si="30"/>
        <v>#DIV/0!</v>
      </c>
      <c r="AW35" s="110" t="e">
        <f t="shared" si="30"/>
        <v>#DIV/0!</v>
      </c>
      <c r="AX35" s="110" t="e">
        <f t="shared" si="30"/>
        <v>#DIV/0!</v>
      </c>
      <c r="AY35" s="110" t="e">
        <f t="shared" si="30"/>
        <v>#DIV/0!</v>
      </c>
      <c r="AZ35" s="110" t="e">
        <f t="shared" si="30"/>
        <v>#DIV/0!</v>
      </c>
      <c r="BA35" s="110" t="e">
        <f t="shared" si="30"/>
        <v>#DIV/0!</v>
      </c>
      <c r="BB35" s="110" t="e">
        <f t="shared" si="30"/>
        <v>#DIV/0!</v>
      </c>
      <c r="BC35" s="110" t="e">
        <f t="shared" si="30"/>
        <v>#DIV/0!</v>
      </c>
      <c r="BD35" s="110" t="e">
        <f t="shared" si="30"/>
        <v>#DIV/0!</v>
      </c>
      <c r="BE35" s="110" t="e">
        <f t="shared" si="30"/>
        <v>#DIV/0!</v>
      </c>
      <c r="BF35" s="110" t="e">
        <f t="shared" si="30"/>
        <v>#DIV/0!</v>
      </c>
      <c r="BG35" s="110" t="e">
        <f t="shared" si="30"/>
        <v>#DIV/0!</v>
      </c>
      <c r="BH35" s="110" t="e">
        <f t="shared" si="30"/>
        <v>#DIV/0!</v>
      </c>
      <c r="BI35" s="110" t="e">
        <f t="shared" si="30"/>
        <v>#DIV/0!</v>
      </c>
      <c r="BJ35" s="110" t="e">
        <f t="shared" si="30"/>
        <v>#DIV/0!</v>
      </c>
      <c r="BK35" s="110" t="e">
        <f t="shared" si="30"/>
        <v>#DIV/0!</v>
      </c>
      <c r="BL35" s="110" t="e">
        <f t="shared" si="30"/>
        <v>#DIV/0!</v>
      </c>
      <c r="BM35" s="110" t="e">
        <f t="shared" si="30"/>
        <v>#DIV/0!</v>
      </c>
      <c r="BN35" s="110" t="e">
        <f t="shared" si="30"/>
        <v>#DIV/0!</v>
      </c>
      <c r="BO35" s="110" t="e">
        <f t="shared" si="30"/>
        <v>#DIV/0!</v>
      </c>
      <c r="BP35" s="110" t="e">
        <f t="shared" si="30"/>
        <v>#DIV/0!</v>
      </c>
      <c r="BQ35" s="110" t="e">
        <f t="shared" si="30"/>
        <v>#DIV/0!</v>
      </c>
      <c r="BR35" s="110" t="e">
        <f t="shared" ref="BR35:CK35" si="31">BR10/BR12</f>
        <v>#DIV/0!</v>
      </c>
      <c r="BS35" s="110" t="e">
        <f t="shared" si="31"/>
        <v>#DIV/0!</v>
      </c>
      <c r="BT35" s="110" t="e">
        <f t="shared" si="31"/>
        <v>#DIV/0!</v>
      </c>
      <c r="BU35" s="110" t="e">
        <f t="shared" si="31"/>
        <v>#DIV/0!</v>
      </c>
      <c r="BV35" s="110" t="e">
        <f t="shared" si="31"/>
        <v>#DIV/0!</v>
      </c>
      <c r="BW35" s="110" t="e">
        <f t="shared" si="31"/>
        <v>#DIV/0!</v>
      </c>
      <c r="BX35" s="110" t="e">
        <f t="shared" si="31"/>
        <v>#DIV/0!</v>
      </c>
      <c r="BY35" s="110" t="e">
        <f t="shared" si="31"/>
        <v>#DIV/0!</v>
      </c>
      <c r="BZ35" s="110" t="e">
        <f t="shared" si="31"/>
        <v>#DIV/0!</v>
      </c>
      <c r="CA35" s="110" t="e">
        <f t="shared" si="31"/>
        <v>#DIV/0!</v>
      </c>
      <c r="CB35" s="110" t="e">
        <f t="shared" si="31"/>
        <v>#DIV/0!</v>
      </c>
      <c r="CC35" s="110" t="e">
        <f t="shared" si="31"/>
        <v>#DIV/0!</v>
      </c>
      <c r="CD35" s="110" t="e">
        <f t="shared" si="31"/>
        <v>#DIV/0!</v>
      </c>
      <c r="CE35" s="110" t="e">
        <f t="shared" si="31"/>
        <v>#DIV/0!</v>
      </c>
      <c r="CF35" s="110" t="e">
        <f t="shared" si="31"/>
        <v>#DIV/0!</v>
      </c>
      <c r="CG35" s="110" t="e">
        <f t="shared" si="31"/>
        <v>#DIV/0!</v>
      </c>
      <c r="CH35" s="110" t="e">
        <f t="shared" si="31"/>
        <v>#DIV/0!</v>
      </c>
      <c r="CI35" s="110" t="e">
        <f t="shared" si="31"/>
        <v>#DIV/0!</v>
      </c>
      <c r="CJ35" s="110" t="e">
        <f t="shared" si="31"/>
        <v>#DIV/0!</v>
      </c>
      <c r="CK35" s="110" t="e">
        <f t="shared" si="31"/>
        <v>#DIV/0!</v>
      </c>
    </row>
    <row r="36" spans="1:89" s="110" customFormat="1">
      <c r="A36" s="147" t="s">
        <v>568</v>
      </c>
      <c r="E36" s="110">
        <f>(E11-I11)/I11</f>
        <v>-0.99867021276595747</v>
      </c>
      <c r="F36" s="110">
        <f t="shared" ref="F36:BQ36" si="32">(F11-J11)/J11</f>
        <v>446.00855172500002</v>
      </c>
      <c r="G36" s="110">
        <f t="shared" si="32"/>
        <v>446.50855172500002</v>
      </c>
      <c r="H36" s="110">
        <f t="shared" si="32"/>
        <v>448.22262972499999</v>
      </c>
      <c r="I36" s="110">
        <f t="shared" si="32"/>
        <v>375</v>
      </c>
      <c r="J36" s="110">
        <f t="shared" si="32"/>
        <v>-0.95217375788371217</v>
      </c>
      <c r="K36" s="110">
        <f t="shared" si="32"/>
        <v>0</v>
      </c>
      <c r="L36" s="110">
        <f t="shared" si="32"/>
        <v>0</v>
      </c>
      <c r="M36" s="110">
        <f t="shared" si="32"/>
        <v>0</v>
      </c>
      <c r="N36" s="110">
        <f t="shared" si="32"/>
        <v>19.909023075</v>
      </c>
      <c r="O36" s="110">
        <f t="shared" si="32"/>
        <v>0</v>
      </c>
      <c r="P36" s="110">
        <f t="shared" si="32"/>
        <v>-0.5</v>
      </c>
      <c r="Q36" s="110" t="e">
        <f t="shared" si="32"/>
        <v>#DIV/0!</v>
      </c>
      <c r="R36" s="110" t="e">
        <f t="shared" si="32"/>
        <v>#DIV/0!</v>
      </c>
      <c r="S36" s="110" t="e">
        <f t="shared" si="32"/>
        <v>#DIV/0!</v>
      </c>
      <c r="T36" s="110" t="e">
        <f t="shared" si="32"/>
        <v>#DIV/0!</v>
      </c>
      <c r="U36" s="110" t="e">
        <f t="shared" si="32"/>
        <v>#DIV/0!</v>
      </c>
      <c r="V36" s="110" t="e">
        <f t="shared" si="32"/>
        <v>#DIV/0!</v>
      </c>
      <c r="W36" s="110" t="e">
        <f t="shared" si="32"/>
        <v>#DIV/0!</v>
      </c>
      <c r="X36" s="110" t="e">
        <f t="shared" si="32"/>
        <v>#DIV/0!</v>
      </c>
      <c r="Y36" s="110" t="e">
        <f t="shared" si="32"/>
        <v>#DIV/0!</v>
      </c>
      <c r="Z36" s="110" t="e">
        <f t="shared" si="32"/>
        <v>#DIV/0!</v>
      </c>
      <c r="AA36" s="110" t="e">
        <f t="shared" si="32"/>
        <v>#DIV/0!</v>
      </c>
      <c r="AB36" s="110" t="e">
        <f t="shared" si="32"/>
        <v>#DIV/0!</v>
      </c>
      <c r="AC36" s="110" t="e">
        <f t="shared" si="32"/>
        <v>#DIV/0!</v>
      </c>
      <c r="AD36" s="110" t="e">
        <f t="shared" si="32"/>
        <v>#DIV/0!</v>
      </c>
      <c r="AE36" s="110" t="e">
        <f t="shared" si="32"/>
        <v>#DIV/0!</v>
      </c>
      <c r="AF36" s="110" t="e">
        <f t="shared" si="32"/>
        <v>#DIV/0!</v>
      </c>
      <c r="AG36" s="110" t="e">
        <f t="shared" si="32"/>
        <v>#DIV/0!</v>
      </c>
      <c r="AH36" s="110" t="e">
        <f t="shared" si="32"/>
        <v>#DIV/0!</v>
      </c>
      <c r="AI36" s="110" t="e">
        <f t="shared" si="32"/>
        <v>#DIV/0!</v>
      </c>
      <c r="AJ36" s="110" t="e">
        <f t="shared" si="32"/>
        <v>#DIV/0!</v>
      </c>
      <c r="AK36" s="110" t="e">
        <f t="shared" si="32"/>
        <v>#DIV/0!</v>
      </c>
      <c r="AL36" s="110" t="e">
        <f t="shared" si="32"/>
        <v>#DIV/0!</v>
      </c>
      <c r="AM36" s="110" t="e">
        <f t="shared" si="32"/>
        <v>#DIV/0!</v>
      </c>
      <c r="AN36" s="110" t="e">
        <f t="shared" si="32"/>
        <v>#DIV/0!</v>
      </c>
      <c r="AO36" s="110" t="e">
        <f t="shared" si="32"/>
        <v>#DIV/0!</v>
      </c>
      <c r="AP36" s="110" t="e">
        <f t="shared" si="32"/>
        <v>#DIV/0!</v>
      </c>
      <c r="AQ36" s="110" t="e">
        <f t="shared" si="32"/>
        <v>#DIV/0!</v>
      </c>
      <c r="AR36" s="110" t="e">
        <f t="shared" si="32"/>
        <v>#DIV/0!</v>
      </c>
      <c r="AS36" s="110" t="e">
        <f t="shared" si="32"/>
        <v>#DIV/0!</v>
      </c>
      <c r="AT36" s="110" t="e">
        <f t="shared" si="32"/>
        <v>#DIV/0!</v>
      </c>
      <c r="AU36" s="110" t="e">
        <f t="shared" si="32"/>
        <v>#DIV/0!</v>
      </c>
      <c r="AV36" s="110" t="e">
        <f t="shared" si="32"/>
        <v>#DIV/0!</v>
      </c>
      <c r="AW36" s="110" t="e">
        <f t="shared" si="32"/>
        <v>#DIV/0!</v>
      </c>
      <c r="AX36" s="110" t="e">
        <f t="shared" si="32"/>
        <v>#DIV/0!</v>
      </c>
      <c r="AY36" s="110" t="e">
        <f t="shared" si="32"/>
        <v>#DIV/0!</v>
      </c>
      <c r="AZ36" s="110" t="e">
        <f t="shared" si="32"/>
        <v>#DIV/0!</v>
      </c>
      <c r="BA36" s="110" t="e">
        <f t="shared" si="32"/>
        <v>#DIV/0!</v>
      </c>
      <c r="BB36" s="110" t="e">
        <f t="shared" si="32"/>
        <v>#DIV/0!</v>
      </c>
      <c r="BC36" s="110" t="e">
        <f t="shared" si="32"/>
        <v>#DIV/0!</v>
      </c>
      <c r="BD36" s="110" t="e">
        <f t="shared" si="32"/>
        <v>#DIV/0!</v>
      </c>
      <c r="BE36" s="110" t="e">
        <f t="shared" si="32"/>
        <v>#DIV/0!</v>
      </c>
      <c r="BF36" s="110" t="e">
        <f t="shared" si="32"/>
        <v>#DIV/0!</v>
      </c>
      <c r="BG36" s="110" t="e">
        <f t="shared" si="32"/>
        <v>#DIV/0!</v>
      </c>
      <c r="BH36" s="110" t="e">
        <f t="shared" si="32"/>
        <v>#DIV/0!</v>
      </c>
      <c r="BI36" s="110" t="e">
        <f t="shared" si="32"/>
        <v>#DIV/0!</v>
      </c>
      <c r="BJ36" s="110" t="e">
        <f t="shared" si="32"/>
        <v>#DIV/0!</v>
      </c>
      <c r="BK36" s="110" t="e">
        <f t="shared" si="32"/>
        <v>#DIV/0!</v>
      </c>
      <c r="BL36" s="110" t="e">
        <f t="shared" si="32"/>
        <v>#DIV/0!</v>
      </c>
      <c r="BM36" s="110" t="e">
        <f t="shared" si="32"/>
        <v>#DIV/0!</v>
      </c>
      <c r="BN36" s="110" t="e">
        <f t="shared" si="32"/>
        <v>#DIV/0!</v>
      </c>
      <c r="BO36" s="110" t="e">
        <f t="shared" si="32"/>
        <v>#DIV/0!</v>
      </c>
      <c r="BP36" s="110" t="e">
        <f t="shared" si="32"/>
        <v>#DIV/0!</v>
      </c>
      <c r="BQ36" s="110" t="e">
        <f t="shared" si="32"/>
        <v>#DIV/0!</v>
      </c>
      <c r="BR36" s="110" t="e">
        <f t="shared" ref="BR36:CK36" si="33">(BR11-BV11)/BV11</f>
        <v>#DIV/0!</v>
      </c>
      <c r="BS36" s="110" t="e">
        <f t="shared" si="33"/>
        <v>#DIV/0!</v>
      </c>
      <c r="BT36" s="110" t="e">
        <f t="shared" si="33"/>
        <v>#DIV/0!</v>
      </c>
      <c r="BU36" s="110" t="e">
        <f t="shared" si="33"/>
        <v>#DIV/0!</v>
      </c>
      <c r="BV36" s="110" t="e">
        <f t="shared" si="33"/>
        <v>#DIV/0!</v>
      </c>
      <c r="BW36" s="110" t="e">
        <f t="shared" si="33"/>
        <v>#DIV/0!</v>
      </c>
      <c r="BX36" s="110" t="e">
        <f t="shared" si="33"/>
        <v>#DIV/0!</v>
      </c>
      <c r="BY36" s="110" t="e">
        <f t="shared" si="33"/>
        <v>#DIV/0!</v>
      </c>
      <c r="BZ36" s="110" t="e">
        <f t="shared" si="33"/>
        <v>#DIV/0!</v>
      </c>
      <c r="CA36" s="110" t="e">
        <f t="shared" si="33"/>
        <v>#DIV/0!</v>
      </c>
      <c r="CB36" s="110" t="e">
        <f t="shared" si="33"/>
        <v>#DIV/0!</v>
      </c>
      <c r="CC36" s="110" t="e">
        <f t="shared" si="33"/>
        <v>#DIV/0!</v>
      </c>
      <c r="CD36" s="110" t="e">
        <f t="shared" si="33"/>
        <v>#DIV/0!</v>
      </c>
      <c r="CE36" s="110" t="e">
        <f t="shared" si="33"/>
        <v>#DIV/0!</v>
      </c>
      <c r="CF36" s="110" t="e">
        <f t="shared" si="33"/>
        <v>#DIV/0!</v>
      </c>
      <c r="CG36" s="110" t="e">
        <f t="shared" si="33"/>
        <v>#DIV/0!</v>
      </c>
      <c r="CH36" s="110" t="e">
        <f t="shared" si="33"/>
        <v>#DIV/0!</v>
      </c>
      <c r="CI36" s="110" t="e">
        <f t="shared" si="33"/>
        <v>#DIV/0!</v>
      </c>
      <c r="CJ36" s="110" t="e">
        <f t="shared" si="33"/>
        <v>#DIV/0!</v>
      </c>
      <c r="CK36" s="110" t="e">
        <f t="shared" si="33"/>
        <v>#DIV/0!</v>
      </c>
    </row>
    <row r="37" spans="1:89" s="112" customFormat="1">
      <c r="A37" s="147" t="s">
        <v>572</v>
      </c>
      <c r="B37" s="110"/>
      <c r="C37" s="110"/>
      <c r="D37" s="110"/>
      <c r="E37" s="110">
        <f>E11/E12</f>
        <v>1.9553649010467255E-2</v>
      </c>
      <c r="F37" s="110">
        <f t="shared" ref="F37:BQ37" si="34">F11/F12</f>
        <v>0.94511746773637606</v>
      </c>
      <c r="G37" s="110">
        <f t="shared" si="34"/>
        <v>0.97016633161511545</v>
      </c>
      <c r="H37" s="110">
        <f t="shared" si="34"/>
        <v>0.97013315775582309</v>
      </c>
      <c r="I37" s="110">
        <f t="shared" si="34"/>
        <v>0.99809094382007602</v>
      </c>
      <c r="J37" s="110">
        <f t="shared" si="34"/>
        <v>1</v>
      </c>
      <c r="K37" s="110">
        <f t="shared" si="34"/>
        <v>1</v>
      </c>
      <c r="L37" s="110">
        <f t="shared" si="34"/>
        <v>1</v>
      </c>
      <c r="M37" s="110">
        <f t="shared" si="34"/>
        <v>1</v>
      </c>
      <c r="N37" s="110">
        <f t="shared" si="34"/>
        <v>1</v>
      </c>
      <c r="O37" s="112">
        <f t="shared" si="34"/>
        <v>1</v>
      </c>
      <c r="P37" s="112">
        <f t="shared" si="34"/>
        <v>2.5974025974025976E-2</v>
      </c>
      <c r="Q37" s="112">
        <f t="shared" si="34"/>
        <v>1.3157894736842105E-2</v>
      </c>
      <c r="R37" s="112">
        <f t="shared" si="34"/>
        <v>1</v>
      </c>
      <c r="S37" s="112">
        <f t="shared" si="34"/>
        <v>1.2738853503184714E-2</v>
      </c>
      <c r="T37" s="112">
        <f t="shared" si="34"/>
        <v>2.5157232704402517E-2</v>
      </c>
      <c r="U37" s="112" t="e">
        <f t="shared" si="34"/>
        <v>#DIV/0!</v>
      </c>
      <c r="V37" s="112" t="e">
        <f t="shared" si="34"/>
        <v>#DIV/0!</v>
      </c>
      <c r="W37" s="112" t="e">
        <f t="shared" si="34"/>
        <v>#DIV/0!</v>
      </c>
      <c r="X37" s="112" t="e">
        <f t="shared" si="34"/>
        <v>#DIV/0!</v>
      </c>
      <c r="Y37" s="112" t="e">
        <f t="shared" si="34"/>
        <v>#DIV/0!</v>
      </c>
      <c r="Z37" s="112" t="e">
        <f t="shared" si="34"/>
        <v>#DIV/0!</v>
      </c>
      <c r="AA37" s="112" t="e">
        <f t="shared" si="34"/>
        <v>#DIV/0!</v>
      </c>
      <c r="AB37" s="112" t="e">
        <f t="shared" si="34"/>
        <v>#DIV/0!</v>
      </c>
      <c r="AC37" s="112" t="e">
        <f t="shared" si="34"/>
        <v>#DIV/0!</v>
      </c>
      <c r="AD37" s="112" t="e">
        <f t="shared" si="34"/>
        <v>#DIV/0!</v>
      </c>
      <c r="AE37" s="112" t="e">
        <f t="shared" si="34"/>
        <v>#DIV/0!</v>
      </c>
      <c r="AF37" s="112" t="e">
        <f t="shared" si="34"/>
        <v>#DIV/0!</v>
      </c>
      <c r="AG37" s="112" t="e">
        <f t="shared" si="34"/>
        <v>#DIV/0!</v>
      </c>
      <c r="AH37" s="112" t="e">
        <f t="shared" si="34"/>
        <v>#DIV/0!</v>
      </c>
      <c r="AI37" s="112" t="e">
        <f t="shared" si="34"/>
        <v>#DIV/0!</v>
      </c>
      <c r="AJ37" s="112" t="e">
        <f t="shared" si="34"/>
        <v>#DIV/0!</v>
      </c>
      <c r="AK37" s="112" t="e">
        <f t="shared" si="34"/>
        <v>#DIV/0!</v>
      </c>
      <c r="AL37" s="112" t="e">
        <f t="shared" si="34"/>
        <v>#DIV/0!</v>
      </c>
      <c r="AM37" s="112" t="e">
        <f t="shared" si="34"/>
        <v>#DIV/0!</v>
      </c>
      <c r="AN37" s="112" t="e">
        <f t="shared" si="34"/>
        <v>#DIV/0!</v>
      </c>
      <c r="AO37" s="112" t="e">
        <f t="shared" si="34"/>
        <v>#DIV/0!</v>
      </c>
      <c r="AP37" s="112" t="e">
        <f t="shared" si="34"/>
        <v>#DIV/0!</v>
      </c>
      <c r="AQ37" s="112" t="e">
        <f t="shared" si="34"/>
        <v>#DIV/0!</v>
      </c>
      <c r="AR37" s="112" t="e">
        <f t="shared" si="34"/>
        <v>#DIV/0!</v>
      </c>
      <c r="AS37" s="112" t="e">
        <f t="shared" si="34"/>
        <v>#DIV/0!</v>
      </c>
      <c r="AT37" s="112" t="e">
        <f t="shared" si="34"/>
        <v>#DIV/0!</v>
      </c>
      <c r="AU37" s="112" t="e">
        <f t="shared" si="34"/>
        <v>#DIV/0!</v>
      </c>
      <c r="AV37" s="112" t="e">
        <f t="shared" si="34"/>
        <v>#DIV/0!</v>
      </c>
      <c r="AW37" s="112" t="e">
        <f t="shared" si="34"/>
        <v>#DIV/0!</v>
      </c>
      <c r="AX37" s="112" t="e">
        <f t="shared" si="34"/>
        <v>#DIV/0!</v>
      </c>
      <c r="AY37" s="112" t="e">
        <f t="shared" si="34"/>
        <v>#DIV/0!</v>
      </c>
      <c r="AZ37" s="112" t="e">
        <f t="shared" si="34"/>
        <v>#DIV/0!</v>
      </c>
      <c r="BA37" s="112" t="e">
        <f t="shared" si="34"/>
        <v>#DIV/0!</v>
      </c>
      <c r="BB37" s="112" t="e">
        <f t="shared" si="34"/>
        <v>#DIV/0!</v>
      </c>
      <c r="BC37" s="112" t="e">
        <f t="shared" si="34"/>
        <v>#DIV/0!</v>
      </c>
      <c r="BD37" s="112" t="e">
        <f t="shared" si="34"/>
        <v>#DIV/0!</v>
      </c>
      <c r="BE37" s="112" t="e">
        <f t="shared" si="34"/>
        <v>#DIV/0!</v>
      </c>
      <c r="BF37" s="112" t="e">
        <f t="shared" si="34"/>
        <v>#DIV/0!</v>
      </c>
      <c r="BG37" s="112" t="e">
        <f t="shared" si="34"/>
        <v>#DIV/0!</v>
      </c>
      <c r="BH37" s="112" t="e">
        <f t="shared" si="34"/>
        <v>#DIV/0!</v>
      </c>
      <c r="BI37" s="112" t="e">
        <f t="shared" si="34"/>
        <v>#DIV/0!</v>
      </c>
      <c r="BJ37" s="112" t="e">
        <f t="shared" si="34"/>
        <v>#DIV/0!</v>
      </c>
      <c r="BK37" s="112" t="e">
        <f t="shared" si="34"/>
        <v>#DIV/0!</v>
      </c>
      <c r="BL37" s="112" t="e">
        <f t="shared" si="34"/>
        <v>#DIV/0!</v>
      </c>
      <c r="BM37" s="112" t="e">
        <f t="shared" si="34"/>
        <v>#DIV/0!</v>
      </c>
      <c r="BN37" s="112" t="e">
        <f t="shared" si="34"/>
        <v>#DIV/0!</v>
      </c>
      <c r="BO37" s="112" t="e">
        <f t="shared" si="34"/>
        <v>#DIV/0!</v>
      </c>
      <c r="BP37" s="112" t="e">
        <f t="shared" si="34"/>
        <v>#DIV/0!</v>
      </c>
      <c r="BQ37" s="112" t="e">
        <f t="shared" si="34"/>
        <v>#DIV/0!</v>
      </c>
      <c r="BR37" s="112" t="e">
        <f t="shared" ref="BR37:CK37" si="35">BR11/BR12</f>
        <v>#DIV/0!</v>
      </c>
      <c r="BS37" s="112" t="e">
        <f t="shared" si="35"/>
        <v>#DIV/0!</v>
      </c>
      <c r="BT37" s="112" t="e">
        <f t="shared" si="35"/>
        <v>#DIV/0!</v>
      </c>
      <c r="BU37" s="112" t="e">
        <f t="shared" si="35"/>
        <v>#DIV/0!</v>
      </c>
      <c r="BV37" s="112" t="e">
        <f t="shared" si="35"/>
        <v>#DIV/0!</v>
      </c>
      <c r="BW37" s="112" t="e">
        <f t="shared" si="35"/>
        <v>#DIV/0!</v>
      </c>
      <c r="BX37" s="112" t="e">
        <f t="shared" si="35"/>
        <v>#DIV/0!</v>
      </c>
      <c r="BY37" s="112" t="e">
        <f t="shared" si="35"/>
        <v>#DIV/0!</v>
      </c>
      <c r="BZ37" s="112" t="e">
        <f t="shared" si="35"/>
        <v>#DIV/0!</v>
      </c>
      <c r="CA37" s="112" t="e">
        <f t="shared" si="35"/>
        <v>#DIV/0!</v>
      </c>
      <c r="CB37" s="112" t="e">
        <f t="shared" si="35"/>
        <v>#DIV/0!</v>
      </c>
      <c r="CC37" s="112" t="e">
        <f t="shared" si="35"/>
        <v>#DIV/0!</v>
      </c>
      <c r="CD37" s="112" t="e">
        <f t="shared" si="35"/>
        <v>#DIV/0!</v>
      </c>
      <c r="CE37" s="112" t="e">
        <f t="shared" si="35"/>
        <v>#DIV/0!</v>
      </c>
      <c r="CF37" s="112" t="e">
        <f t="shared" si="35"/>
        <v>#DIV/0!</v>
      </c>
      <c r="CG37" s="112" t="e">
        <f t="shared" si="35"/>
        <v>#DIV/0!</v>
      </c>
      <c r="CH37" s="112" t="e">
        <f t="shared" si="35"/>
        <v>#DIV/0!</v>
      </c>
      <c r="CI37" s="112" t="e">
        <f t="shared" si="35"/>
        <v>#DIV/0!</v>
      </c>
      <c r="CJ37" s="112" t="e">
        <f t="shared" si="35"/>
        <v>#DIV/0!</v>
      </c>
      <c r="CK37" s="112" t="e">
        <f t="shared" si="35"/>
        <v>#DIV/0!</v>
      </c>
    </row>
    <row r="38" spans="1:89" s="201" customFormat="1">
      <c r="A38" s="198" t="s">
        <v>646</v>
      </c>
      <c r="B38" s="199"/>
      <c r="C38" s="199"/>
      <c r="D38" s="199"/>
      <c r="E38" s="200">
        <f>E1</f>
        <v>43100</v>
      </c>
      <c r="F38" s="200">
        <f t="shared" ref="F38:N38" si="36">F1</f>
        <v>43008</v>
      </c>
      <c r="G38" s="200">
        <f t="shared" si="36"/>
        <v>42916</v>
      </c>
      <c r="H38" s="200">
        <f t="shared" si="36"/>
        <v>42825</v>
      </c>
      <c r="I38" s="200">
        <f t="shared" si="36"/>
        <v>42735</v>
      </c>
      <c r="J38" s="200">
        <f t="shared" si="36"/>
        <v>42643</v>
      </c>
      <c r="K38" s="200">
        <f t="shared" si="36"/>
        <v>42551</v>
      </c>
      <c r="L38" s="200">
        <f t="shared" si="36"/>
        <v>42460</v>
      </c>
      <c r="M38" s="200">
        <f t="shared" si="36"/>
        <v>42369</v>
      </c>
      <c r="N38" s="200">
        <f t="shared" si="36"/>
        <v>42277</v>
      </c>
    </row>
    <row r="39" spans="1:89">
      <c r="A39" s="196" t="s">
        <v>559</v>
      </c>
      <c r="B39" s="64"/>
      <c r="C39" s="64"/>
      <c r="D39" s="64"/>
      <c r="E39" s="90">
        <f>E2/E9</f>
        <v>0.3942188731110568</v>
      </c>
      <c r="F39" s="90">
        <f t="shared" ref="F39:N39" si="37">F2/F9</f>
        <v>0.44365701060306756</v>
      </c>
      <c r="G39" s="90">
        <f t="shared" si="37"/>
        <v>0.45371176460759954</v>
      </c>
      <c r="H39" s="90">
        <f t="shared" si="37"/>
        <v>0.45461954703854424</v>
      </c>
      <c r="I39" s="90">
        <f t="shared" si="37"/>
        <v>0.4732313875816801</v>
      </c>
      <c r="J39" s="90">
        <f t="shared" si="37"/>
        <v>0.54156565224216913</v>
      </c>
      <c r="K39" s="90">
        <f t="shared" si="37"/>
        <v>0.50160549194605308</v>
      </c>
      <c r="L39" s="90">
        <f t="shared" si="37"/>
        <v>0.49992014263511297</v>
      </c>
      <c r="M39" s="90">
        <f t="shared" si="37"/>
        <v>0.51183046041482005</v>
      </c>
      <c r="N39" s="90">
        <f t="shared" si="37"/>
        <v>0.49586483213395399</v>
      </c>
    </row>
    <row r="40" spans="1:89">
      <c r="A40" s="196" t="s">
        <v>560</v>
      </c>
      <c r="B40" s="64"/>
      <c r="C40" s="64"/>
      <c r="D40" s="64"/>
      <c r="E40" s="90">
        <f>E3/E9</f>
        <v>0</v>
      </c>
      <c r="F40" s="90">
        <f t="shared" ref="F40:N40" si="38">F3/F9</f>
        <v>0</v>
      </c>
      <c r="G40" s="90">
        <f t="shared" si="38"/>
        <v>0</v>
      </c>
      <c r="H40" s="90">
        <f t="shared" si="38"/>
        <v>0</v>
      </c>
      <c r="I40" s="90">
        <f t="shared" si="38"/>
        <v>0</v>
      </c>
      <c r="J40" s="90">
        <f t="shared" si="38"/>
        <v>0</v>
      </c>
      <c r="K40" s="90">
        <f t="shared" si="38"/>
        <v>0</v>
      </c>
      <c r="L40" s="90">
        <f t="shared" si="38"/>
        <v>0</v>
      </c>
      <c r="M40" s="90">
        <f t="shared" si="38"/>
        <v>0</v>
      </c>
      <c r="N40" s="90">
        <f t="shared" si="38"/>
        <v>0</v>
      </c>
    </row>
    <row r="41" spans="1:89">
      <c r="A41" s="196" t="s">
        <v>565</v>
      </c>
      <c r="B41" s="64"/>
      <c r="C41" s="64"/>
      <c r="D41" s="64"/>
      <c r="E41" s="90">
        <f>E4/E9</f>
        <v>0.34682941350440771</v>
      </c>
      <c r="F41" s="90">
        <f t="shared" ref="F41:N41" si="39">F4/F9</f>
        <v>0.33174448579254318</v>
      </c>
      <c r="G41" s="90">
        <f t="shared" si="39"/>
        <v>0.32723346800122677</v>
      </c>
      <c r="H41" s="90">
        <f t="shared" si="39"/>
        <v>0.3276402780089151</v>
      </c>
      <c r="I41" s="90">
        <f t="shared" si="39"/>
        <v>0.27393972314210474</v>
      </c>
      <c r="J41" s="90">
        <f t="shared" si="39"/>
        <v>0.29832867707600852</v>
      </c>
      <c r="K41" s="90">
        <f t="shared" si="39"/>
        <v>0.33750413946544999</v>
      </c>
      <c r="L41" s="90">
        <f t="shared" si="39"/>
        <v>0.33604969440437776</v>
      </c>
      <c r="M41" s="90">
        <f t="shared" si="39"/>
        <v>0.32034108318729537</v>
      </c>
      <c r="N41" s="90">
        <f t="shared" si="39"/>
        <v>0.335692543348873</v>
      </c>
    </row>
    <row r="42" spans="1:89">
      <c r="A42" s="196" t="s">
        <v>336</v>
      </c>
      <c r="B42" s="64"/>
      <c r="C42" s="64"/>
      <c r="D42" s="64"/>
      <c r="E42" s="90">
        <f>E5/E9</f>
        <v>0.54895168185486387</v>
      </c>
      <c r="F42" s="90">
        <f t="shared" ref="F42:N42" si="40">F5/F9</f>
        <v>0.4914489801696405</v>
      </c>
      <c r="G42" s="90">
        <f t="shared" si="40"/>
        <v>0.46579489114246547</v>
      </c>
      <c r="H42" s="90">
        <f t="shared" si="40"/>
        <v>0.45164204160489235</v>
      </c>
      <c r="I42" s="90">
        <f t="shared" si="40"/>
        <v>0.36914280208210809</v>
      </c>
      <c r="J42" s="90">
        <f t="shared" si="40"/>
        <v>0.43707073549429387</v>
      </c>
      <c r="K42" s="90">
        <f t="shared" si="40"/>
        <v>0.46059549466999739</v>
      </c>
      <c r="L42" s="90">
        <f t="shared" si="40"/>
        <v>0.46682594956922607</v>
      </c>
      <c r="M42" s="90">
        <f t="shared" si="40"/>
        <v>0.45113649167396136</v>
      </c>
      <c r="N42" s="90">
        <f t="shared" si="40"/>
        <v>0.4742204606391674</v>
      </c>
    </row>
    <row r="43" spans="1:89">
      <c r="A43" s="196" t="s">
        <v>337</v>
      </c>
      <c r="B43" s="64"/>
      <c r="C43" s="64"/>
      <c r="D43" s="64"/>
      <c r="E43" s="90">
        <f>E6/E9</f>
        <v>0.20212226835045616</v>
      </c>
      <c r="F43" s="90">
        <f t="shared" ref="F43:N43" si="41">F6/F9</f>
        <v>0.15970449437709738</v>
      </c>
      <c r="G43" s="90">
        <f t="shared" si="41"/>
        <v>0.13856142314123873</v>
      </c>
      <c r="H43" s="90">
        <f t="shared" si="41"/>
        <v>0.12400176359597725</v>
      </c>
      <c r="I43" s="90">
        <f t="shared" si="41"/>
        <v>9.5203078940003363E-2</v>
      </c>
      <c r="J43" s="90">
        <f t="shared" si="41"/>
        <v>0.13874205841828538</v>
      </c>
      <c r="K43" s="90">
        <f t="shared" si="41"/>
        <v>0.12309135520454742</v>
      </c>
      <c r="L43" s="90">
        <f t="shared" si="41"/>
        <v>0.13077625516484831</v>
      </c>
      <c r="M43" s="90">
        <f t="shared" si="41"/>
        <v>0.13079540848666599</v>
      </c>
      <c r="N43" s="90">
        <f t="shared" si="41"/>
        <v>0.13852791729029437</v>
      </c>
    </row>
    <row r="44" spans="1:89">
      <c r="A44" s="196" t="s">
        <v>338</v>
      </c>
      <c r="B44" s="64"/>
      <c r="C44" s="64"/>
      <c r="D44" s="64"/>
      <c r="E44" s="90">
        <f>E7/E9</f>
        <v>0.25895171338453543</v>
      </c>
      <c r="F44" s="90">
        <f t="shared" ref="F44:N44" si="42">F7/F9</f>
        <v>0.22459850360438938</v>
      </c>
      <c r="G44" s="90">
        <f t="shared" si="42"/>
        <v>0.21905476739117372</v>
      </c>
      <c r="H44" s="90">
        <f t="shared" si="42"/>
        <v>0.21774017495254061</v>
      </c>
      <c r="I44" s="90">
        <f t="shared" si="42"/>
        <v>0.25282888927621505</v>
      </c>
      <c r="J44" s="90">
        <f t="shared" si="42"/>
        <v>0.16010567068182241</v>
      </c>
      <c r="K44" s="90">
        <f t="shared" si="42"/>
        <v>0.1608903685884969</v>
      </c>
      <c r="L44" s="90">
        <f t="shared" si="42"/>
        <v>0.16403016296050918</v>
      </c>
      <c r="M44" s="90">
        <f t="shared" si="42"/>
        <v>0.16782845639788457</v>
      </c>
      <c r="N44" s="90">
        <f t="shared" si="42"/>
        <v>0.16844262451717296</v>
      </c>
    </row>
    <row r="45" spans="1:89">
      <c r="A45" s="196" t="s">
        <v>339</v>
      </c>
      <c r="B45" s="64"/>
      <c r="C45" s="64"/>
      <c r="D45" s="64"/>
      <c r="E45" s="90">
        <f>E8/E9</f>
        <v>0.60578112688894326</v>
      </c>
      <c r="F45" s="90">
        <f t="shared" ref="F45:N45" si="43">F8/F9</f>
        <v>0.5563429893969325</v>
      </c>
      <c r="G45" s="90">
        <f t="shared" si="43"/>
        <v>0.54628823539240046</v>
      </c>
      <c r="H45" s="90">
        <f t="shared" si="43"/>
        <v>0.54538045296145576</v>
      </c>
      <c r="I45" s="90">
        <f t="shared" si="43"/>
        <v>0.52676861241831985</v>
      </c>
      <c r="J45" s="90">
        <f t="shared" si="43"/>
        <v>0.45843434775783087</v>
      </c>
      <c r="K45" s="90">
        <f t="shared" si="43"/>
        <v>0.49839450805394692</v>
      </c>
      <c r="L45" s="90">
        <f t="shared" si="43"/>
        <v>0.50007985736488691</v>
      </c>
      <c r="M45" s="90">
        <f t="shared" si="43"/>
        <v>0.48816953958517995</v>
      </c>
      <c r="N45" s="90">
        <f t="shared" si="43"/>
        <v>0.50413516786604595</v>
      </c>
    </row>
    <row r="46" spans="1:89">
      <c r="A46" s="197" t="s">
        <v>340</v>
      </c>
      <c r="B46" s="64"/>
      <c r="C46" s="64"/>
      <c r="D46" s="64"/>
      <c r="E46" s="90">
        <f>E9/E9</f>
        <v>1</v>
      </c>
      <c r="F46" s="90">
        <f t="shared" ref="F46:N46" si="44">F9/F9</f>
        <v>1</v>
      </c>
      <c r="G46" s="90">
        <f t="shared" si="44"/>
        <v>1</v>
      </c>
      <c r="H46" s="90">
        <f t="shared" si="44"/>
        <v>1</v>
      </c>
      <c r="I46" s="90">
        <f t="shared" si="44"/>
        <v>1</v>
      </c>
      <c r="J46" s="90">
        <f t="shared" si="44"/>
        <v>1</v>
      </c>
      <c r="K46" s="90">
        <f t="shared" si="44"/>
        <v>1</v>
      </c>
      <c r="L46" s="90">
        <f t="shared" si="44"/>
        <v>1</v>
      </c>
      <c r="M46" s="90">
        <f t="shared" si="44"/>
        <v>1</v>
      </c>
      <c r="N46" s="90">
        <f t="shared" si="44"/>
        <v>1</v>
      </c>
    </row>
    <row r="47" spans="1:89">
      <c r="A47" s="196" t="s">
        <v>341</v>
      </c>
      <c r="B47" s="64"/>
      <c r="C47" s="64"/>
      <c r="D47" s="64"/>
      <c r="E47" s="90">
        <f>E10/E14</f>
        <v>1.0013873519796693E-2</v>
      </c>
      <c r="F47" s="90">
        <f t="shared" ref="F47:N47" si="45">F10/F14</f>
        <v>9.1093274711918117E-3</v>
      </c>
      <c r="G47" s="90">
        <f t="shared" si="45"/>
        <v>4.9070367445795899E-3</v>
      </c>
      <c r="H47" s="90">
        <f t="shared" si="45"/>
        <v>5.0517778617270286E-3</v>
      </c>
      <c r="I47" s="90">
        <f t="shared" si="45"/>
        <v>2.7566002262403047E-4</v>
      </c>
      <c r="J47" s="90">
        <f t="shared" si="45"/>
        <v>0</v>
      </c>
      <c r="K47" s="90">
        <f t="shared" si="45"/>
        <v>0</v>
      </c>
      <c r="L47" s="90">
        <f t="shared" si="45"/>
        <v>0</v>
      </c>
      <c r="M47" s="90">
        <f t="shared" si="45"/>
        <v>0</v>
      </c>
      <c r="N47" s="90">
        <f t="shared" si="45"/>
        <v>0</v>
      </c>
    </row>
    <row r="48" spans="1:89">
      <c r="A48" s="196" t="s">
        <v>342</v>
      </c>
      <c r="B48" s="64"/>
      <c r="C48" s="64"/>
      <c r="D48" s="64"/>
      <c r="E48" s="90">
        <f>E11/E14</f>
        <v>1.9971288367149763E-4</v>
      </c>
      <c r="F48" s="90">
        <f t="shared" ref="F48:N48" si="46">F11/F14</f>
        <v>0.15686930171151192</v>
      </c>
      <c r="G48" s="90">
        <f t="shared" si="46"/>
        <v>0.15957279460816709</v>
      </c>
      <c r="H48" s="90">
        <f t="shared" si="46"/>
        <v>0.16409157584222755</v>
      </c>
      <c r="I48" s="90">
        <f t="shared" si="46"/>
        <v>0.14412031193614386</v>
      </c>
      <c r="J48" s="90">
        <f t="shared" si="46"/>
        <v>4.694646130832046E-4</v>
      </c>
      <c r="K48" s="90">
        <f t="shared" si="46"/>
        <v>4.7406792859175351E-4</v>
      </c>
      <c r="L48" s="90">
        <f t="shared" si="46"/>
        <v>4.8563382337123666E-4</v>
      </c>
      <c r="M48" s="90">
        <f t="shared" si="46"/>
        <v>4.9527839463636291E-4</v>
      </c>
      <c r="N48" s="90">
        <f t="shared" si="46"/>
        <v>1.064783095437708E-2</v>
      </c>
    </row>
    <row r="49" spans="1:14">
      <c r="A49" s="196" t="s">
        <v>343</v>
      </c>
      <c r="B49" s="64"/>
      <c r="C49" s="64"/>
      <c r="D49" s="64"/>
      <c r="E49" s="90">
        <f>E12/E14</f>
        <v>1.0213586403468191E-2</v>
      </c>
      <c r="F49" s="90">
        <f t="shared" ref="F49:N49" si="47">F12/F14</f>
        <v>0.16597862918270373</v>
      </c>
      <c r="G49" s="90">
        <f t="shared" si="47"/>
        <v>0.16447983135274666</v>
      </c>
      <c r="H49" s="90">
        <f t="shared" si="47"/>
        <v>0.16914335370395456</v>
      </c>
      <c r="I49" s="90">
        <f t="shared" si="47"/>
        <v>0.14439597195876788</v>
      </c>
      <c r="J49" s="90">
        <f t="shared" si="47"/>
        <v>4.694646130832046E-4</v>
      </c>
      <c r="K49" s="90">
        <f t="shared" si="47"/>
        <v>4.7406792859175351E-4</v>
      </c>
      <c r="L49" s="90">
        <f t="shared" si="47"/>
        <v>4.8563382337123666E-4</v>
      </c>
      <c r="M49" s="90">
        <f t="shared" si="47"/>
        <v>4.9527839463636291E-4</v>
      </c>
      <c r="N49" s="90">
        <f t="shared" si="47"/>
        <v>1.064783095437708E-2</v>
      </c>
    </row>
    <row r="50" spans="1:14">
      <c r="A50" s="196" t="s">
        <v>347</v>
      </c>
      <c r="B50" s="64"/>
      <c r="C50" s="64"/>
      <c r="D50" s="64"/>
      <c r="E50" s="90">
        <f>E13/E14</f>
        <v>0.98978641359653186</v>
      </c>
      <c r="F50" s="90">
        <f t="shared" ref="F50:N50" si="48">F13/F14</f>
        <v>0.83402137081729621</v>
      </c>
      <c r="G50" s="90">
        <f t="shared" si="48"/>
        <v>0.83552016864725331</v>
      </c>
      <c r="H50" s="90">
        <f t="shared" si="48"/>
        <v>0.8308566462960455</v>
      </c>
      <c r="I50" s="90">
        <f t="shared" si="48"/>
        <v>0.85560402804123215</v>
      </c>
      <c r="J50" s="90">
        <f t="shared" si="48"/>
        <v>0.99953053538691683</v>
      </c>
      <c r="K50" s="90">
        <f t="shared" si="48"/>
        <v>0.99952593207140827</v>
      </c>
      <c r="L50" s="90">
        <f t="shared" si="48"/>
        <v>0.99951436617662881</v>
      </c>
      <c r="M50" s="90">
        <f t="shared" si="48"/>
        <v>0.99950472160536363</v>
      </c>
      <c r="N50" s="90">
        <f t="shared" si="48"/>
        <v>0.98935216904562284</v>
      </c>
    </row>
    <row r="51" spans="1:14">
      <c r="A51" s="197" t="s">
        <v>344</v>
      </c>
      <c r="B51" s="64"/>
      <c r="C51" s="64"/>
      <c r="D51" s="64"/>
      <c r="E51" s="90">
        <f>E14/E14</f>
        <v>1</v>
      </c>
      <c r="F51" s="90">
        <f t="shared" ref="F51:N51" si="49">F14/F14</f>
        <v>1</v>
      </c>
      <c r="G51" s="90">
        <f t="shared" si="49"/>
        <v>1</v>
      </c>
      <c r="H51" s="90">
        <f t="shared" si="49"/>
        <v>1</v>
      </c>
      <c r="I51" s="90">
        <f t="shared" si="49"/>
        <v>1</v>
      </c>
      <c r="J51" s="90">
        <f t="shared" si="49"/>
        <v>1</v>
      </c>
      <c r="K51" s="90">
        <f t="shared" si="49"/>
        <v>1</v>
      </c>
      <c r="L51" s="90">
        <f t="shared" si="49"/>
        <v>1</v>
      </c>
      <c r="M51" s="90">
        <f t="shared" si="49"/>
        <v>1</v>
      </c>
      <c r="N51" s="90">
        <f t="shared" si="49"/>
        <v>1</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37" workbookViewId="0">
      <selection activeCell="A43" sqref="A43:AG43"/>
    </sheetView>
  </sheetViews>
  <sheetFormatPr defaultRowHeight="13.5"/>
  <cols>
    <col min="1" max="1" width="45.625" style="17" bestFit="1" customWidth="1"/>
    <col min="2" max="4" width="10.5" hidden="1" customWidth="1"/>
    <col min="5" max="5" width="17.25" bestFit="1" customWidth="1"/>
    <col min="6" max="8" width="17.25" hidden="1" customWidth="1"/>
    <col min="9" max="9" width="17.25" bestFit="1" customWidth="1"/>
    <col min="10" max="12" width="17.25" hidden="1" customWidth="1"/>
    <col min="13" max="13" width="17.25" bestFit="1" customWidth="1"/>
    <col min="14" max="16" width="17.25" hidden="1" customWidth="1"/>
    <col min="17" max="17" width="17.25" bestFit="1" customWidth="1"/>
    <col min="18" max="19" width="17.25" hidden="1" customWidth="1"/>
    <col min="20" max="20" width="16.125" hidden="1" customWidth="1"/>
    <col min="21" max="23" width="17.25" bestFit="1" customWidth="1"/>
    <col min="24" max="24" width="9.625" hidden="1" customWidth="1"/>
    <col min="25" max="33" width="18.375" bestFit="1" customWidth="1"/>
    <col min="34" max="40" width="17.25" bestFit="1" customWidth="1"/>
    <col min="41" max="41" width="15" bestFit="1" customWidth="1"/>
    <col min="42" max="44" width="17.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v>300470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41274</v>
      </c>
      <c r="W1" s="1">
        <v>40908</v>
      </c>
      <c r="X1" s="1">
        <v>25569</v>
      </c>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495877419.98000002</v>
      </c>
      <c r="F2" s="26">
        <f>股权价值增加表!F4</f>
        <v>353525103.44999999</v>
      </c>
      <c r="G2" s="26">
        <f>股权价值增加表!G4</f>
        <v>216615774.84999999</v>
      </c>
      <c r="H2" s="26">
        <f>股权价值增加表!H4</f>
        <v>96938491.230000004</v>
      </c>
      <c r="I2" s="26">
        <f>股权价值增加表!I4</f>
        <v>334060452.80000001</v>
      </c>
      <c r="J2" s="26">
        <f>股权价值增加表!J4</f>
        <v>249912116.02000001</v>
      </c>
      <c r="K2" s="26">
        <f>股权价值增加表!K4</f>
        <v>165029582.87</v>
      </c>
      <c r="L2" s="26">
        <f>股权价值增加表!L4</f>
        <v>80464922.310000002</v>
      </c>
      <c r="M2" s="26">
        <f>股权价值增加表!M4</f>
        <v>323570970.87</v>
      </c>
      <c r="N2" s="26">
        <f>股权价值增加表!N4</f>
        <v>248729217.63999999</v>
      </c>
      <c r="O2" s="26">
        <f>股权价值增加表!O4</f>
        <v>161936467.97</v>
      </c>
      <c r="P2" s="26">
        <f>股权价值增加表!P4</f>
        <v>83427219.010000005</v>
      </c>
      <c r="Q2" s="26">
        <f>股权价值增加表!Q4</f>
        <v>356983852.38</v>
      </c>
      <c r="R2" s="26">
        <f>股权价值增加表!R4</f>
        <v>265845775.84999999</v>
      </c>
      <c r="S2" s="26">
        <f>股权价值增加表!S4</f>
        <v>168265778.53</v>
      </c>
      <c r="T2" s="26">
        <f>股权价值增加表!T4</f>
        <v>82886156.019999996</v>
      </c>
      <c r="U2" s="26">
        <f>股权价值增加表!U4</f>
        <v>332811274.00999999</v>
      </c>
      <c r="V2" s="26">
        <f>股权价值增加表!V4</f>
        <v>309060512.23000002</v>
      </c>
      <c r="W2" s="26">
        <f>股权价值增加表!W4</f>
        <v>239745202.43000001</v>
      </c>
      <c r="X2" s="26">
        <f>股权价值增加表!X4</f>
        <v>0</v>
      </c>
      <c r="Y2" s="26">
        <f>股权价值增加表!Y4</f>
        <v>0</v>
      </c>
      <c r="Z2" s="26">
        <f>股权价值增加表!Z4</f>
        <v>0</v>
      </c>
      <c r="AA2" s="26">
        <f>股权价值增加表!AA4</f>
        <v>0</v>
      </c>
      <c r="AB2" s="26">
        <f>股权价值增加表!AB4</f>
        <v>0</v>
      </c>
      <c r="AC2" s="26">
        <f>股权价值增加表!AC4</f>
        <v>0</v>
      </c>
      <c r="AD2" s="26">
        <f>股权价值增加表!AD4</f>
        <v>0</v>
      </c>
      <c r="AE2" s="26">
        <f>股权价值增加表!AE4</f>
        <v>0</v>
      </c>
      <c r="AF2" s="26">
        <f>股权价值增加表!AF4</f>
        <v>0</v>
      </c>
      <c r="AG2" s="26">
        <f>股权价值增加表!AG4</f>
        <v>0</v>
      </c>
      <c r="AH2" s="26">
        <f>股权价值增加表!AH4</f>
        <v>0</v>
      </c>
      <c r="AI2" s="26">
        <f>股权价值增加表!AI4</f>
        <v>0</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c r="A3" s="20" t="s">
        <v>377</v>
      </c>
      <c r="E3" s="57">
        <f>(E2-I2)/I2</f>
        <v>0.4843942640432175</v>
      </c>
      <c r="F3" s="57">
        <f t="shared" ref="F3:BQ3" si="0">(F2-J2)/J2</f>
        <v>0.41459769570238852</v>
      </c>
      <c r="G3" s="57">
        <f t="shared" si="0"/>
        <v>0.31258754389894067</v>
      </c>
      <c r="H3" s="57">
        <f t="shared" si="0"/>
        <v>0.20472981824966857</v>
      </c>
      <c r="I3" s="57">
        <f t="shared" si="0"/>
        <v>3.2417870805271747E-2</v>
      </c>
      <c r="J3" s="57">
        <f t="shared" si="0"/>
        <v>4.7557677028201061E-3</v>
      </c>
      <c r="K3" s="57">
        <f t="shared" si="0"/>
        <v>1.9100792667486301E-2</v>
      </c>
      <c r="L3" s="57">
        <f t="shared" si="0"/>
        <v>-3.5507556588275188E-2</v>
      </c>
      <c r="M3" s="57">
        <f t="shared" si="0"/>
        <v>-9.359773918970668E-2</v>
      </c>
      <c r="N3" s="57">
        <f t="shared" si="0"/>
        <v>-6.4385293147022973E-2</v>
      </c>
      <c r="O3" s="57">
        <f t="shared" si="0"/>
        <v>-3.7614960185570673E-2</v>
      </c>
      <c r="P3" s="57">
        <f t="shared" si="0"/>
        <v>6.5277848072656892E-3</v>
      </c>
      <c r="Q3" s="57">
        <f t="shared" si="0"/>
        <v>7.2631488947918543E-2</v>
      </c>
      <c r="R3" s="57">
        <f t="shared" si="0"/>
        <v>-0.1398261332972878</v>
      </c>
      <c r="S3" s="57">
        <f t="shared" si="0"/>
        <v>-0.29814746312127072</v>
      </c>
      <c r="T3" s="57" t="e">
        <f t="shared" si="0"/>
        <v>#DIV/0!</v>
      </c>
      <c r="U3" s="57" t="e">
        <f t="shared" si="0"/>
        <v>#DIV/0!</v>
      </c>
      <c r="V3" s="57" t="e">
        <f t="shared" si="0"/>
        <v>#DIV/0!</v>
      </c>
      <c r="W3" s="57" t="e">
        <f t="shared" si="0"/>
        <v>#DIV/0!</v>
      </c>
      <c r="X3" s="57" t="e">
        <f t="shared" si="0"/>
        <v>#DIV/0!</v>
      </c>
      <c r="Y3" s="57" t="e">
        <f t="shared" si="0"/>
        <v>#DIV/0!</v>
      </c>
      <c r="Z3" s="57" t="e">
        <f t="shared" si="0"/>
        <v>#DIV/0!</v>
      </c>
      <c r="AA3" s="57" t="e">
        <f t="shared" si="0"/>
        <v>#DIV/0!</v>
      </c>
      <c r="AB3" s="57" t="e">
        <f t="shared" si="0"/>
        <v>#DIV/0!</v>
      </c>
      <c r="AC3" s="57" t="e">
        <f t="shared" si="0"/>
        <v>#DIV/0!</v>
      </c>
      <c r="AD3" s="57" t="e">
        <f t="shared" si="0"/>
        <v>#DIV/0!</v>
      </c>
      <c r="AE3" s="57" t="e">
        <f t="shared" si="0"/>
        <v>#DIV/0!</v>
      </c>
      <c r="AF3" s="57" t="e">
        <f t="shared" si="0"/>
        <v>#DIV/0!</v>
      </c>
      <c r="AG3" s="57" t="e">
        <f t="shared" si="0"/>
        <v>#DIV/0!</v>
      </c>
      <c r="AH3" s="57" t="e">
        <f t="shared" si="0"/>
        <v>#DIV/0!</v>
      </c>
      <c r="AI3" s="57" t="e">
        <f t="shared" si="0"/>
        <v>#DIV/0!</v>
      </c>
      <c r="AJ3" s="57" t="e">
        <f t="shared" si="0"/>
        <v>#DIV/0!</v>
      </c>
      <c r="AK3" s="57" t="e">
        <f t="shared" si="0"/>
        <v>#DIV/0!</v>
      </c>
      <c r="AL3" s="57" t="e">
        <f t="shared" si="0"/>
        <v>#DIV/0!</v>
      </c>
      <c r="AM3" s="57" t="e">
        <f t="shared" si="0"/>
        <v>#DIV/0!</v>
      </c>
      <c r="AN3" s="57" t="e">
        <f t="shared" si="0"/>
        <v>#DIV/0!</v>
      </c>
      <c r="AO3" s="57" t="e">
        <f t="shared" si="0"/>
        <v>#DIV/0!</v>
      </c>
      <c r="AP3" s="57" t="e">
        <f t="shared" si="0"/>
        <v>#DIV/0!</v>
      </c>
      <c r="AQ3" s="57" t="e">
        <f t="shared" si="0"/>
        <v>#DIV/0!</v>
      </c>
      <c r="AR3" s="57" t="e">
        <f t="shared" si="0"/>
        <v>#DIV/0!</v>
      </c>
      <c r="AS3" s="57" t="e">
        <f t="shared" si="0"/>
        <v>#DIV/0!</v>
      </c>
      <c r="AT3" s="57" t="e">
        <f t="shared" si="0"/>
        <v>#DIV/0!</v>
      </c>
      <c r="AU3" s="57" t="e">
        <f t="shared" si="0"/>
        <v>#DIV/0!</v>
      </c>
      <c r="AV3" s="57" t="e">
        <f t="shared" si="0"/>
        <v>#DIV/0!</v>
      </c>
      <c r="AW3" s="57" t="e">
        <f t="shared" si="0"/>
        <v>#DIV/0!</v>
      </c>
      <c r="AX3" s="57" t="e">
        <f t="shared" si="0"/>
        <v>#DIV/0!</v>
      </c>
      <c r="AY3" s="57" t="e">
        <f t="shared" si="0"/>
        <v>#DIV/0!</v>
      </c>
      <c r="AZ3" s="57" t="e">
        <f t="shared" si="0"/>
        <v>#DIV/0!</v>
      </c>
      <c r="BA3" s="57" t="e">
        <f t="shared" si="0"/>
        <v>#DIV/0!</v>
      </c>
      <c r="BB3" s="57" t="e">
        <f t="shared" si="0"/>
        <v>#DIV/0!</v>
      </c>
      <c r="BC3" s="57" t="e">
        <f t="shared" si="0"/>
        <v>#DIV/0!</v>
      </c>
      <c r="BD3" s="57" t="e">
        <f t="shared" si="0"/>
        <v>#DIV/0!</v>
      </c>
      <c r="BE3" s="57" t="e">
        <f t="shared" si="0"/>
        <v>#DIV/0!</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c r="A4" s="17" t="s">
        <v>356</v>
      </c>
      <c r="E4" s="26">
        <f>股权价值增加表!E5</f>
        <v>214116621.69999999</v>
      </c>
      <c r="F4" s="26">
        <f>股权价值增加表!F5</f>
        <v>157492142.66999999</v>
      </c>
      <c r="G4" s="26">
        <f>股权价值增加表!G5</f>
        <v>96950290.200000003</v>
      </c>
      <c r="H4" s="26">
        <f>股权价值增加表!H5</f>
        <v>44717243.670000002</v>
      </c>
      <c r="I4" s="26">
        <f>股权价值增加表!I5</f>
        <v>138615829.41</v>
      </c>
      <c r="J4" s="26">
        <f>股权价值增加表!J5</f>
        <v>109230042.2</v>
      </c>
      <c r="K4" s="26">
        <f>股权价值增加表!K5</f>
        <v>77408068.260000005</v>
      </c>
      <c r="L4" s="26">
        <f>股权价值增加表!L5</f>
        <v>39529935.93</v>
      </c>
      <c r="M4" s="26">
        <f>股权价值增加表!M5</f>
        <v>136442760.19</v>
      </c>
      <c r="N4" s="26">
        <f>股权价值增加表!N5</f>
        <v>111084460.58</v>
      </c>
      <c r="O4" s="26">
        <f>股权价值增加表!O5</f>
        <v>75563879.959999993</v>
      </c>
      <c r="P4" s="26">
        <f>股权价值增加表!P5</f>
        <v>39986034.390000001</v>
      </c>
      <c r="Q4" s="26">
        <f>股权价值增加表!Q5</f>
        <v>149560883.75999999</v>
      </c>
      <c r="R4" s="26">
        <f>股权价值增加表!R5</f>
        <v>114664823.17</v>
      </c>
      <c r="S4" s="26">
        <f>股权价值增加表!S5</f>
        <v>70547422.670000002</v>
      </c>
      <c r="T4" s="26">
        <f>股权价值增加表!T5</f>
        <v>35435974.409999996</v>
      </c>
      <c r="U4" s="26">
        <f>股权价值增加表!U5</f>
        <v>140229533.38999999</v>
      </c>
      <c r="V4" s="26">
        <f>股权价值增加表!V5</f>
        <v>123910315.51000001</v>
      </c>
      <c r="W4" s="26">
        <f>股权价值增加表!W5</f>
        <v>95674543.489999995</v>
      </c>
      <c r="X4" s="26">
        <f>股权价值增加表!X5</f>
        <v>0</v>
      </c>
      <c r="Y4" s="26">
        <f>股权价值增加表!Y5</f>
        <v>0</v>
      </c>
      <c r="Z4" s="26">
        <f>股权价值增加表!Z5</f>
        <v>0</v>
      </c>
      <c r="AA4" s="26">
        <f>股权价值增加表!AA5</f>
        <v>0</v>
      </c>
      <c r="AB4" s="26">
        <f>股权价值增加表!AB5</f>
        <v>0</v>
      </c>
      <c r="AC4" s="26">
        <f>股权价值增加表!AC5</f>
        <v>0</v>
      </c>
      <c r="AD4" s="26">
        <f>股权价值增加表!AD5</f>
        <v>0</v>
      </c>
      <c r="AE4" s="26">
        <f>股权价值增加表!AE5</f>
        <v>0</v>
      </c>
      <c r="AF4" s="26">
        <f>股权价值增加表!AF5</f>
        <v>0</v>
      </c>
      <c r="AG4" s="26">
        <f>股权价值增加表!AG5</f>
        <v>0</v>
      </c>
      <c r="AH4" s="26">
        <f>股权价值增加表!AH5</f>
        <v>0</v>
      </c>
      <c r="AI4" s="26">
        <f>股权价值增加表!AI5</f>
        <v>0</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c r="A5" s="20" t="s">
        <v>357</v>
      </c>
      <c r="E5" s="57">
        <f t="shared" ref="E5:AJ5" si="2">E4/E2</f>
        <v>0.43179344949531245</v>
      </c>
      <c r="F5" s="57">
        <f t="shared" si="2"/>
        <v>0.4454906911363779</v>
      </c>
      <c r="G5" s="57">
        <f t="shared" si="2"/>
        <v>0.44756800499472027</v>
      </c>
      <c r="H5" s="57">
        <f t="shared" si="2"/>
        <v>0.46129502432529246</v>
      </c>
      <c r="I5" s="57">
        <f t="shared" si="2"/>
        <v>0.41494235024876908</v>
      </c>
      <c r="J5" s="57">
        <f t="shared" si="2"/>
        <v>0.43707381594599648</v>
      </c>
      <c r="K5" s="57">
        <f t="shared" si="2"/>
        <v>0.4690557105811583</v>
      </c>
      <c r="L5" s="57">
        <f t="shared" si="2"/>
        <v>0.49126917413412213</v>
      </c>
      <c r="M5" s="57">
        <f t="shared" si="2"/>
        <v>0.42167800103680542</v>
      </c>
      <c r="N5" s="57">
        <f t="shared" si="2"/>
        <v>0.44660800863684175</v>
      </c>
      <c r="O5" s="57">
        <f t="shared" si="2"/>
        <v>0.466626701861861</v>
      </c>
      <c r="P5" s="57">
        <f t="shared" si="2"/>
        <v>0.47929242835251495</v>
      </c>
      <c r="Q5" s="57">
        <f t="shared" si="2"/>
        <v>0.4189569997715088</v>
      </c>
      <c r="R5" s="57">
        <f t="shared" si="2"/>
        <v>0.43132083932263843</v>
      </c>
      <c r="S5" s="57">
        <f t="shared" si="2"/>
        <v>0.41926185636981522</v>
      </c>
      <c r="T5" s="57">
        <f t="shared" si="2"/>
        <v>0.42752585125855613</v>
      </c>
      <c r="U5" s="57">
        <f t="shared" si="2"/>
        <v>0.42134850691922926</v>
      </c>
      <c r="V5" s="57">
        <f t="shared" si="2"/>
        <v>0.40092574303956074</v>
      </c>
      <c r="W5" s="57">
        <f t="shared" si="2"/>
        <v>0.39906760394062413</v>
      </c>
      <c r="X5" s="57" t="e">
        <f t="shared" si="2"/>
        <v>#DIV/0!</v>
      </c>
      <c r="Y5" s="57" t="e">
        <f t="shared" si="2"/>
        <v>#DIV/0!</v>
      </c>
      <c r="Z5" s="57" t="e">
        <f t="shared" si="2"/>
        <v>#DIV/0!</v>
      </c>
      <c r="AA5" s="57" t="e">
        <f t="shared" si="2"/>
        <v>#DIV/0!</v>
      </c>
      <c r="AB5" s="57" t="e">
        <f t="shared" si="2"/>
        <v>#DIV/0!</v>
      </c>
      <c r="AC5" s="57" t="e">
        <f t="shared" si="2"/>
        <v>#DIV/0!</v>
      </c>
      <c r="AD5" s="57" t="e">
        <f t="shared" si="2"/>
        <v>#DIV/0!</v>
      </c>
      <c r="AE5" s="57" t="e">
        <f t="shared" si="2"/>
        <v>#DIV/0!</v>
      </c>
      <c r="AF5" s="57" t="e">
        <f t="shared" si="2"/>
        <v>#DIV/0!</v>
      </c>
      <c r="AG5" s="57" t="e">
        <f t="shared" si="2"/>
        <v>#DIV/0!</v>
      </c>
      <c r="AH5" s="57" t="e">
        <f t="shared" si="2"/>
        <v>#DIV/0!</v>
      </c>
      <c r="AI5" s="57" t="e">
        <f t="shared" si="2"/>
        <v>#DIV/0!</v>
      </c>
      <c r="AJ5" s="57" t="e">
        <f t="shared" si="2"/>
        <v>#DIV/0!</v>
      </c>
      <c r="AK5" s="57" t="e">
        <f t="shared" ref="AK5:BP5" si="3">AK4/AK2</f>
        <v>#DIV/0!</v>
      </c>
      <c r="AL5" s="57" t="e">
        <f t="shared" si="3"/>
        <v>#DIV/0!</v>
      </c>
      <c r="AM5" s="57" t="e">
        <f t="shared" si="3"/>
        <v>#DIV/0!</v>
      </c>
      <c r="AN5" s="57" t="e">
        <f t="shared" si="3"/>
        <v>#DIV/0!</v>
      </c>
      <c r="AO5" s="57" t="e">
        <f t="shared" si="3"/>
        <v>#DIV/0!</v>
      </c>
      <c r="AP5" s="57" t="e">
        <f t="shared" si="3"/>
        <v>#DIV/0!</v>
      </c>
      <c r="AQ5" s="57" t="e">
        <f t="shared" si="3"/>
        <v>#DIV/0!</v>
      </c>
      <c r="AR5" s="57" t="e">
        <f t="shared" si="3"/>
        <v>#DIV/0!</v>
      </c>
      <c r="AS5" s="57" t="e">
        <f t="shared" si="3"/>
        <v>#DIV/0!</v>
      </c>
      <c r="AT5" s="57" t="e">
        <f t="shared" si="3"/>
        <v>#DIV/0!</v>
      </c>
      <c r="AU5" s="57" t="e">
        <f t="shared" si="3"/>
        <v>#DIV/0!</v>
      </c>
      <c r="AV5" s="57" t="e">
        <f t="shared" si="3"/>
        <v>#DIV/0!</v>
      </c>
      <c r="AW5" s="57" t="e">
        <f t="shared" si="3"/>
        <v>#DIV/0!</v>
      </c>
      <c r="AX5" s="57" t="e">
        <f t="shared" si="3"/>
        <v>#DIV/0!</v>
      </c>
      <c r="AY5" s="57" t="e">
        <f t="shared" si="3"/>
        <v>#DIV/0!</v>
      </c>
      <c r="AZ5" s="57" t="e">
        <f t="shared" si="3"/>
        <v>#DIV/0!</v>
      </c>
      <c r="BA5" s="57" t="e">
        <f t="shared" si="3"/>
        <v>#DIV/0!</v>
      </c>
      <c r="BB5" s="57" t="e">
        <f t="shared" si="3"/>
        <v>#DIV/0!</v>
      </c>
      <c r="BC5" s="57" t="e">
        <f t="shared" si="3"/>
        <v>#DIV/0!</v>
      </c>
      <c r="BD5" s="57" t="e">
        <f t="shared" si="3"/>
        <v>#DIV/0!</v>
      </c>
      <c r="BE5" s="57" t="e">
        <f t="shared" si="3"/>
        <v>#DIV/0!</v>
      </c>
      <c r="BF5" s="57" t="e">
        <f t="shared" si="3"/>
        <v>#DIV/0!</v>
      </c>
      <c r="BG5" s="57" t="e">
        <f t="shared" si="3"/>
        <v>#DIV/0!</v>
      </c>
      <c r="BH5" s="57" t="e">
        <f t="shared" si="3"/>
        <v>#DIV/0!</v>
      </c>
      <c r="BI5" s="57" t="e">
        <f t="shared" si="3"/>
        <v>#DIV/0!</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c r="A6" s="20" t="s">
        <v>358</v>
      </c>
      <c r="E6" s="57">
        <f>(E4-I4)/I4</f>
        <v>0.54467655397914627</v>
      </c>
      <c r="F6" s="57">
        <f t="shared" ref="F6:BQ6" si="5">(F4-J4)/J4</f>
        <v>0.44183907190690425</v>
      </c>
      <c r="G6" s="57">
        <f t="shared" si="5"/>
        <v>0.25245717118739008</v>
      </c>
      <c r="H6" s="57">
        <f t="shared" si="5"/>
        <v>0.1312247950309289</v>
      </c>
      <c r="I6" s="57">
        <f t="shared" si="5"/>
        <v>1.5926599674280593E-2</v>
      </c>
      <c r="J6" s="57">
        <f t="shared" si="5"/>
        <v>-1.6693769500410849E-2</v>
      </c>
      <c r="K6" s="57">
        <f t="shared" si="5"/>
        <v>2.4405685639438308E-2</v>
      </c>
      <c r="L6" s="57">
        <f t="shared" si="5"/>
        <v>-1.1406443948691879E-2</v>
      </c>
      <c r="M6" s="57">
        <f t="shared" si="5"/>
        <v>-8.771092574613705E-2</v>
      </c>
      <c r="N6" s="57">
        <f t="shared" si="5"/>
        <v>-3.122459435263614E-2</v>
      </c>
      <c r="O6" s="57">
        <f t="shared" si="5"/>
        <v>7.1107591179701862E-2</v>
      </c>
      <c r="P6" s="57">
        <f t="shared" si="5"/>
        <v>0.12840228202433687</v>
      </c>
      <c r="Q6" s="57">
        <f t="shared" si="5"/>
        <v>6.6543403122137468E-2</v>
      </c>
      <c r="R6" s="57">
        <f t="shared" si="5"/>
        <v>-7.4614387849362376E-2</v>
      </c>
      <c r="S6" s="57">
        <f t="shared" si="5"/>
        <v>-0.2626312068332608</v>
      </c>
      <c r="T6" s="57" t="e">
        <f t="shared" si="5"/>
        <v>#DIV/0!</v>
      </c>
      <c r="U6" s="57" t="e">
        <f t="shared" si="5"/>
        <v>#DIV/0!</v>
      </c>
      <c r="V6" s="57" t="e">
        <f t="shared" si="5"/>
        <v>#DIV/0!</v>
      </c>
      <c r="W6" s="57" t="e">
        <f t="shared" si="5"/>
        <v>#DIV/0!</v>
      </c>
      <c r="X6" s="57" t="e">
        <f t="shared" si="5"/>
        <v>#DIV/0!</v>
      </c>
      <c r="Y6" s="57" t="e">
        <f t="shared" si="5"/>
        <v>#DIV/0!</v>
      </c>
      <c r="Z6" s="57" t="e">
        <f t="shared" si="5"/>
        <v>#DIV/0!</v>
      </c>
      <c r="AA6" s="57" t="e">
        <f t="shared" si="5"/>
        <v>#DIV/0!</v>
      </c>
      <c r="AB6" s="57" t="e">
        <f t="shared" si="5"/>
        <v>#DIV/0!</v>
      </c>
      <c r="AC6" s="57" t="e">
        <f t="shared" si="5"/>
        <v>#DIV/0!</v>
      </c>
      <c r="AD6" s="57" t="e">
        <f t="shared" si="5"/>
        <v>#DIV/0!</v>
      </c>
      <c r="AE6" s="57" t="e">
        <f t="shared" si="5"/>
        <v>#DIV/0!</v>
      </c>
      <c r="AF6" s="57" t="e">
        <f t="shared" si="5"/>
        <v>#DIV/0!</v>
      </c>
      <c r="AG6" s="57" t="e">
        <f t="shared" si="5"/>
        <v>#DIV/0!</v>
      </c>
      <c r="AH6" s="57" t="e">
        <f t="shared" si="5"/>
        <v>#DIV/0!</v>
      </c>
      <c r="AI6" s="57" t="e">
        <f t="shared" si="5"/>
        <v>#DIV/0!</v>
      </c>
      <c r="AJ6" s="57" t="e">
        <f t="shared" si="5"/>
        <v>#DIV/0!</v>
      </c>
      <c r="AK6" s="57" t="e">
        <f t="shared" si="5"/>
        <v>#DIV/0!</v>
      </c>
      <c r="AL6" s="57" t="e">
        <f t="shared" si="5"/>
        <v>#DIV/0!</v>
      </c>
      <c r="AM6" s="57" t="e">
        <f t="shared" si="5"/>
        <v>#DIV/0!</v>
      </c>
      <c r="AN6" s="57" t="e">
        <f t="shared" si="5"/>
        <v>#DIV/0!</v>
      </c>
      <c r="AO6" s="57" t="e">
        <f t="shared" si="5"/>
        <v>#DIV/0!</v>
      </c>
      <c r="AP6" s="57" t="e">
        <f t="shared" si="5"/>
        <v>#DIV/0!</v>
      </c>
      <c r="AQ6" s="57" t="e">
        <f t="shared" si="5"/>
        <v>#DIV/0!</v>
      </c>
      <c r="AR6" s="57" t="e">
        <f t="shared" si="5"/>
        <v>#DIV/0!</v>
      </c>
      <c r="AS6" s="57" t="e">
        <f t="shared" si="5"/>
        <v>#DIV/0!</v>
      </c>
      <c r="AT6" s="57" t="e">
        <f t="shared" si="5"/>
        <v>#DIV/0!</v>
      </c>
      <c r="AU6" s="57" t="e">
        <f t="shared" si="5"/>
        <v>#DIV/0!</v>
      </c>
      <c r="AV6" s="57" t="e">
        <f t="shared" si="5"/>
        <v>#DIV/0!</v>
      </c>
      <c r="AW6" s="57" t="e">
        <f t="shared" si="5"/>
        <v>#DIV/0!</v>
      </c>
      <c r="AX6" s="57" t="e">
        <f t="shared" si="5"/>
        <v>#DIV/0!</v>
      </c>
      <c r="AY6" s="57" t="e">
        <f t="shared" si="5"/>
        <v>#DIV/0!</v>
      </c>
      <c r="AZ6" s="57" t="e">
        <f t="shared" si="5"/>
        <v>#DIV/0!</v>
      </c>
      <c r="BA6" s="57" t="e">
        <f t="shared" si="5"/>
        <v>#DIV/0!</v>
      </c>
      <c r="BB6" s="57" t="e">
        <f t="shared" si="5"/>
        <v>#DIV/0!</v>
      </c>
      <c r="BC6" s="57" t="e">
        <f t="shared" si="5"/>
        <v>#DIV/0!</v>
      </c>
      <c r="BD6" s="57" t="e">
        <f t="shared" si="5"/>
        <v>#DIV/0!</v>
      </c>
      <c r="BE6" s="57" t="e">
        <f t="shared" si="5"/>
        <v>#DIV/0!</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c r="A7" s="132" t="s">
        <v>359</v>
      </c>
      <c r="E7" s="27">
        <f>股权价值增加表!E6</f>
        <v>281760798.28000003</v>
      </c>
      <c r="F7" s="27">
        <f>股权价值增加表!F6</f>
        <v>196032960.78</v>
      </c>
      <c r="G7" s="27">
        <f>股权价值增加表!G6</f>
        <v>119665484.64999999</v>
      </c>
      <c r="H7" s="27">
        <f>股权价值增加表!H6</f>
        <v>52221247.560000002</v>
      </c>
      <c r="I7" s="27">
        <f>股权价值增加表!I6</f>
        <v>195444623.39000002</v>
      </c>
      <c r="J7" s="27">
        <f>股权价值增加表!J6</f>
        <v>140682073.81999999</v>
      </c>
      <c r="K7" s="27">
        <f>股权价值增加表!K6</f>
        <v>87621514.609999999</v>
      </c>
      <c r="L7" s="27">
        <f>股权价值增加表!L6</f>
        <v>40934986.380000003</v>
      </c>
      <c r="M7" s="27">
        <f>股权价值增加表!M6</f>
        <v>187128210.68000001</v>
      </c>
      <c r="N7" s="27">
        <f>股权价值增加表!N6</f>
        <v>137644757.06</v>
      </c>
      <c r="O7" s="27">
        <f>股权价值增加表!O6</f>
        <v>86372588.010000005</v>
      </c>
      <c r="P7" s="27">
        <f>股权价值增加表!P6</f>
        <v>43441184.620000005</v>
      </c>
      <c r="Q7" s="27">
        <f>股权价值增加表!Q6</f>
        <v>207422968.62</v>
      </c>
      <c r="R7" s="27">
        <f>股权价值增加表!R6</f>
        <v>151180952.68000001</v>
      </c>
      <c r="S7" s="27">
        <f>股权价值增加表!S6</f>
        <v>97718355.859999999</v>
      </c>
      <c r="T7" s="27">
        <f>股权价值增加表!T6</f>
        <v>47450181.609999999</v>
      </c>
      <c r="U7" s="27">
        <f>股权价值增加表!U6</f>
        <v>192581740.62</v>
      </c>
      <c r="V7" s="27">
        <f>股权价值增加表!V6</f>
        <v>185150196.72000003</v>
      </c>
      <c r="W7" s="27">
        <f>股权价值增加表!W6</f>
        <v>144070658.94</v>
      </c>
      <c r="X7" s="27">
        <f>股权价值增加表!X6</f>
        <v>0</v>
      </c>
      <c r="Y7" s="27">
        <f>股权价值增加表!Y6</f>
        <v>0</v>
      </c>
      <c r="Z7" s="27">
        <f>股权价值增加表!Z6</f>
        <v>0</v>
      </c>
      <c r="AA7" s="27">
        <f>股权价值增加表!AA6</f>
        <v>0</v>
      </c>
      <c r="AB7" s="27">
        <f>股权价值增加表!AB6</f>
        <v>0</v>
      </c>
      <c r="AC7" s="27">
        <f>股权价值增加表!AC6</f>
        <v>0</v>
      </c>
      <c r="AD7" s="27">
        <f>股权价值增加表!AD6</f>
        <v>0</v>
      </c>
      <c r="AE7" s="27">
        <f>股权价值增加表!AE6</f>
        <v>0</v>
      </c>
      <c r="AF7" s="27">
        <f>股权价值增加表!AF6</f>
        <v>0</v>
      </c>
      <c r="AG7" s="27">
        <f>股权价值增加表!AG6</f>
        <v>0</v>
      </c>
      <c r="AH7" s="27">
        <f>股权价值增加表!AH6</f>
        <v>0</v>
      </c>
      <c r="AI7" s="27">
        <f>股权价值增加表!AI6</f>
        <v>0</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c r="A8" s="20" t="s">
        <v>360</v>
      </c>
      <c r="E8" s="57">
        <f>E7/E2</f>
        <v>0.56820655050468749</v>
      </c>
      <c r="F8" s="57">
        <f t="shared" ref="F8:BQ8" si="7">F7/F2</f>
        <v>0.55450930886362215</v>
      </c>
      <c r="G8" s="57">
        <f t="shared" si="7"/>
        <v>0.55243199500527973</v>
      </c>
      <c r="H8" s="57">
        <f t="shared" si="7"/>
        <v>0.53870497567470754</v>
      </c>
      <c r="I8" s="57">
        <f t="shared" si="7"/>
        <v>0.58505764975123087</v>
      </c>
      <c r="J8" s="57">
        <f t="shared" si="7"/>
        <v>0.56292618405400341</v>
      </c>
      <c r="K8" s="57">
        <f t="shared" si="7"/>
        <v>0.53094428941884164</v>
      </c>
      <c r="L8" s="57">
        <f t="shared" si="7"/>
        <v>0.50873082586587792</v>
      </c>
      <c r="M8" s="57">
        <f t="shared" si="7"/>
        <v>0.57832199896319458</v>
      </c>
      <c r="N8" s="57">
        <f t="shared" si="7"/>
        <v>0.55339199136315831</v>
      </c>
      <c r="O8" s="57">
        <f t="shared" si="7"/>
        <v>0.53337329813813894</v>
      </c>
      <c r="P8" s="57">
        <f t="shared" si="7"/>
        <v>0.52070757164748505</v>
      </c>
      <c r="Q8" s="57">
        <f t="shared" si="7"/>
        <v>0.5810430002284912</v>
      </c>
      <c r="R8" s="57">
        <f t="shared" si="7"/>
        <v>0.56867916067736157</v>
      </c>
      <c r="S8" s="57">
        <f t="shared" si="7"/>
        <v>0.58073814363018472</v>
      </c>
      <c r="T8" s="57">
        <f t="shared" si="7"/>
        <v>0.57247414874144387</v>
      </c>
      <c r="U8" s="57">
        <f t="shared" si="7"/>
        <v>0.5786514930807708</v>
      </c>
      <c r="V8" s="57">
        <f t="shared" si="7"/>
        <v>0.59907425696043937</v>
      </c>
      <c r="W8" s="57">
        <f t="shared" si="7"/>
        <v>0.60093239605937587</v>
      </c>
      <c r="X8" s="57" t="e">
        <f t="shared" si="7"/>
        <v>#DIV/0!</v>
      </c>
      <c r="Y8" s="57" t="e">
        <f t="shared" si="7"/>
        <v>#DIV/0!</v>
      </c>
      <c r="Z8" s="57" t="e">
        <f t="shared" si="7"/>
        <v>#DIV/0!</v>
      </c>
      <c r="AA8" s="57" t="e">
        <f t="shared" si="7"/>
        <v>#DIV/0!</v>
      </c>
      <c r="AB8" s="57" t="e">
        <f t="shared" si="7"/>
        <v>#DIV/0!</v>
      </c>
      <c r="AC8" s="57" t="e">
        <f t="shared" si="7"/>
        <v>#DIV/0!</v>
      </c>
      <c r="AD8" s="57" t="e">
        <f t="shared" si="7"/>
        <v>#DIV/0!</v>
      </c>
      <c r="AE8" s="57" t="e">
        <f t="shared" si="7"/>
        <v>#DIV/0!</v>
      </c>
      <c r="AF8" s="57" t="e">
        <f t="shared" si="7"/>
        <v>#DIV/0!</v>
      </c>
      <c r="AG8" s="57" t="e">
        <f t="shared" si="7"/>
        <v>#DIV/0!</v>
      </c>
      <c r="AH8" s="57" t="e">
        <f t="shared" si="7"/>
        <v>#DIV/0!</v>
      </c>
      <c r="AI8" s="57" t="e">
        <f t="shared" si="7"/>
        <v>#DIV/0!</v>
      </c>
      <c r="AJ8" s="57" t="e">
        <f t="shared" si="7"/>
        <v>#DIV/0!</v>
      </c>
      <c r="AK8" s="57" t="e">
        <f t="shared" si="7"/>
        <v>#DIV/0!</v>
      </c>
      <c r="AL8" s="57" t="e">
        <f t="shared" si="7"/>
        <v>#DIV/0!</v>
      </c>
      <c r="AM8" s="57" t="e">
        <f t="shared" si="7"/>
        <v>#DIV/0!</v>
      </c>
      <c r="AN8" s="57" t="e">
        <f t="shared" si="7"/>
        <v>#DIV/0!</v>
      </c>
      <c r="AO8" s="57" t="e">
        <f t="shared" si="7"/>
        <v>#DIV/0!</v>
      </c>
      <c r="AP8" s="57" t="e">
        <f t="shared" si="7"/>
        <v>#DIV/0!</v>
      </c>
      <c r="AQ8" s="57" t="e">
        <f t="shared" si="7"/>
        <v>#DIV/0!</v>
      </c>
      <c r="AR8" s="57" t="e">
        <f t="shared" si="7"/>
        <v>#DIV/0!</v>
      </c>
      <c r="AS8" s="57" t="e">
        <f t="shared" si="7"/>
        <v>#DIV/0!</v>
      </c>
      <c r="AT8" s="57" t="e">
        <f t="shared" si="7"/>
        <v>#DIV/0!</v>
      </c>
      <c r="AU8" s="57" t="e">
        <f t="shared" si="7"/>
        <v>#DIV/0!</v>
      </c>
      <c r="AV8" s="57" t="e">
        <f t="shared" si="7"/>
        <v>#DIV/0!</v>
      </c>
      <c r="AW8" s="57" t="e">
        <f t="shared" si="7"/>
        <v>#DIV/0!</v>
      </c>
      <c r="AX8" s="57" t="e">
        <f t="shared" si="7"/>
        <v>#DIV/0!</v>
      </c>
      <c r="AY8" s="57" t="e">
        <f t="shared" si="7"/>
        <v>#DIV/0!</v>
      </c>
      <c r="AZ8" s="57" t="e">
        <f t="shared" si="7"/>
        <v>#DIV/0!</v>
      </c>
      <c r="BA8" s="57" t="e">
        <f t="shared" si="7"/>
        <v>#DIV/0!</v>
      </c>
      <c r="BB8" s="57" t="e">
        <f t="shared" si="7"/>
        <v>#DIV/0!</v>
      </c>
      <c r="BC8" s="57" t="e">
        <f t="shared" si="7"/>
        <v>#DIV/0!</v>
      </c>
      <c r="BD8" s="57" t="e">
        <f t="shared" si="7"/>
        <v>#DIV/0!</v>
      </c>
      <c r="BE8" s="57" t="e">
        <f t="shared" si="7"/>
        <v>#DIV/0!</v>
      </c>
      <c r="BF8" s="57" t="e">
        <f t="shared" si="7"/>
        <v>#DIV/0!</v>
      </c>
      <c r="BG8" s="57" t="e">
        <f t="shared" si="7"/>
        <v>#DIV/0!</v>
      </c>
      <c r="BH8" s="57" t="e">
        <f t="shared" si="7"/>
        <v>#DIV/0!</v>
      </c>
      <c r="BI8" s="57" t="e">
        <f t="shared" si="7"/>
        <v>#DIV/0!</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c r="A9" s="20" t="s">
        <v>361</v>
      </c>
      <c r="E9" s="57">
        <f>(E7-I7)/I7</f>
        <v>0.44164005841061377</v>
      </c>
      <c r="F9" s="57">
        <f t="shared" ref="F9:BQ9" si="9">(F7-J7)/J7</f>
        <v>0.39344662370289196</v>
      </c>
      <c r="G9" s="57">
        <f t="shared" si="9"/>
        <v>0.36570892642778974</v>
      </c>
      <c r="H9" s="57">
        <f t="shared" si="9"/>
        <v>0.27571185868316878</v>
      </c>
      <c r="I9" s="57">
        <f t="shared" si="9"/>
        <v>4.4442324755734196E-2</v>
      </c>
      <c r="J9" s="57">
        <f t="shared" si="9"/>
        <v>2.20663454596822E-2</v>
      </c>
      <c r="K9" s="57">
        <f t="shared" si="9"/>
        <v>1.445975660536415E-2</v>
      </c>
      <c r="L9" s="57">
        <f t="shared" si="9"/>
        <v>-5.7691756381021128E-2</v>
      </c>
      <c r="M9" s="57">
        <f t="shared" si="9"/>
        <v>-9.7842384934621704E-2</v>
      </c>
      <c r="N9" s="57">
        <f t="shared" si="9"/>
        <v>-8.9536382593458363E-2</v>
      </c>
      <c r="O9" s="57">
        <f t="shared" si="9"/>
        <v>-0.11610682302365943</v>
      </c>
      <c r="P9" s="57">
        <f t="shared" si="9"/>
        <v>-8.4488548915376743E-2</v>
      </c>
      <c r="Q9" s="57">
        <f t="shared" si="9"/>
        <v>7.706456464782159E-2</v>
      </c>
      <c r="R9" s="57">
        <f t="shared" si="9"/>
        <v>-0.18346858195009763</v>
      </c>
      <c r="S9" s="57">
        <f t="shared" si="9"/>
        <v>-0.32173312332321591</v>
      </c>
      <c r="T9" s="57" t="e">
        <f t="shared" si="9"/>
        <v>#DIV/0!</v>
      </c>
      <c r="U9" s="57" t="e">
        <f t="shared" si="9"/>
        <v>#DIV/0!</v>
      </c>
      <c r="V9" s="57" t="e">
        <f t="shared" si="9"/>
        <v>#DIV/0!</v>
      </c>
      <c r="W9" s="57" t="e">
        <f t="shared" si="9"/>
        <v>#DIV/0!</v>
      </c>
      <c r="X9" s="57" t="e">
        <f t="shared" si="9"/>
        <v>#DIV/0!</v>
      </c>
      <c r="Y9" s="57" t="e">
        <f t="shared" si="9"/>
        <v>#DIV/0!</v>
      </c>
      <c r="Z9" s="57" t="e">
        <f t="shared" si="9"/>
        <v>#DIV/0!</v>
      </c>
      <c r="AA9" s="57" t="e">
        <f t="shared" si="9"/>
        <v>#DIV/0!</v>
      </c>
      <c r="AB9" s="57" t="e">
        <f t="shared" si="9"/>
        <v>#DIV/0!</v>
      </c>
      <c r="AC9" s="57" t="e">
        <f t="shared" si="9"/>
        <v>#DIV/0!</v>
      </c>
      <c r="AD9" s="57" t="e">
        <f t="shared" si="9"/>
        <v>#DIV/0!</v>
      </c>
      <c r="AE9" s="57" t="e">
        <f t="shared" si="9"/>
        <v>#DIV/0!</v>
      </c>
      <c r="AF9" s="57" t="e">
        <f t="shared" si="9"/>
        <v>#DIV/0!</v>
      </c>
      <c r="AG9" s="57" t="e">
        <f t="shared" si="9"/>
        <v>#DIV/0!</v>
      </c>
      <c r="AH9" s="57" t="e">
        <f t="shared" si="9"/>
        <v>#DIV/0!</v>
      </c>
      <c r="AI9" s="57" t="e">
        <f t="shared" si="9"/>
        <v>#DIV/0!</v>
      </c>
      <c r="AJ9" s="57" t="e">
        <f t="shared" si="9"/>
        <v>#DIV/0!</v>
      </c>
      <c r="AK9" s="57" t="e">
        <f t="shared" si="9"/>
        <v>#DIV/0!</v>
      </c>
      <c r="AL9" s="57" t="e">
        <f t="shared" si="9"/>
        <v>#DIV/0!</v>
      </c>
      <c r="AM9" s="57" t="e">
        <f t="shared" si="9"/>
        <v>#DIV/0!</v>
      </c>
      <c r="AN9" s="57" t="e">
        <f t="shared" si="9"/>
        <v>#DIV/0!</v>
      </c>
      <c r="AO9" s="57" t="e">
        <f t="shared" si="9"/>
        <v>#DIV/0!</v>
      </c>
      <c r="AP9" s="57" t="e">
        <f t="shared" si="9"/>
        <v>#DIV/0!</v>
      </c>
      <c r="AQ9" s="57" t="e">
        <f t="shared" si="9"/>
        <v>#DIV/0!</v>
      </c>
      <c r="AR9" s="57" t="e">
        <f t="shared" si="9"/>
        <v>#DIV/0!</v>
      </c>
      <c r="AS9" s="57" t="e">
        <f t="shared" si="9"/>
        <v>#DIV/0!</v>
      </c>
      <c r="AT9" s="57" t="e">
        <f t="shared" si="9"/>
        <v>#DIV/0!</v>
      </c>
      <c r="AU9" s="57" t="e">
        <f t="shared" si="9"/>
        <v>#DIV/0!</v>
      </c>
      <c r="AV9" s="57" t="e">
        <f t="shared" si="9"/>
        <v>#DIV/0!</v>
      </c>
      <c r="AW9" s="57" t="e">
        <f t="shared" si="9"/>
        <v>#DIV/0!</v>
      </c>
      <c r="AX9" s="57" t="e">
        <f t="shared" si="9"/>
        <v>#DIV/0!</v>
      </c>
      <c r="AY9" s="57" t="e">
        <f t="shared" si="9"/>
        <v>#DIV/0!</v>
      </c>
      <c r="AZ9" s="57" t="e">
        <f t="shared" si="9"/>
        <v>#DIV/0!</v>
      </c>
      <c r="BA9" s="57" t="e">
        <f t="shared" si="9"/>
        <v>#DIV/0!</v>
      </c>
      <c r="BB9" s="57" t="e">
        <f t="shared" si="9"/>
        <v>#DIV/0!</v>
      </c>
      <c r="BC9" s="57" t="e">
        <f t="shared" si="9"/>
        <v>#DIV/0!</v>
      </c>
      <c r="BD9" s="57" t="e">
        <f t="shared" si="9"/>
        <v>#DIV/0!</v>
      </c>
      <c r="BE9" s="57" t="e">
        <f t="shared" si="9"/>
        <v>#DIV/0!</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c r="A10" s="132" t="s">
        <v>362</v>
      </c>
      <c r="E10" s="27">
        <f>股权价值增加表!E8</f>
        <v>8318679.7000000002</v>
      </c>
      <c r="F10" s="27">
        <f>股权价值增加表!F8</f>
        <v>6003756.8099999996</v>
      </c>
      <c r="G10" s="27">
        <f>股权价值增加表!G8</f>
        <v>3780206.84</v>
      </c>
      <c r="H10" s="27">
        <f>股权价值增加表!H8</f>
        <v>1692936.83</v>
      </c>
      <c r="I10" s="27">
        <f>股权价值增加表!I8</f>
        <v>5958238.5899999999</v>
      </c>
      <c r="J10" s="27">
        <f>股权价值增加表!J8</f>
        <v>3300173.98</v>
      </c>
      <c r="K10" s="27">
        <f>股权价值增加表!K8</f>
        <v>2205465.37</v>
      </c>
      <c r="L10" s="27">
        <f>股权价值增加表!L8</f>
        <v>1135096.21</v>
      </c>
      <c r="M10" s="27">
        <f>股权价值增加表!M8</f>
        <v>4122407.5</v>
      </c>
      <c r="N10" s="27">
        <f>股权价值增加表!N8</f>
        <v>3113328.9</v>
      </c>
      <c r="O10" s="27">
        <f>股权价值增加表!O8</f>
        <v>1967574.61</v>
      </c>
      <c r="P10" s="27">
        <f>股权价值增加表!P8</f>
        <v>1063270.46</v>
      </c>
      <c r="Q10" s="27">
        <f>股权价值增加表!Q8</f>
        <v>4348578.37</v>
      </c>
      <c r="R10" s="27">
        <f>股权价值增加表!R8</f>
        <v>3287164.73</v>
      </c>
      <c r="S10" s="27">
        <f>股权价值增加表!S8</f>
        <v>2058973.5</v>
      </c>
      <c r="T10" s="27">
        <f>股权价值增加表!T8</f>
        <v>1047306.76</v>
      </c>
      <c r="U10" s="27">
        <f>股权价值增加表!U8</f>
        <v>4524799.68</v>
      </c>
      <c r="V10" s="27">
        <f>股权价值增加表!V8</f>
        <v>4494976.3</v>
      </c>
      <c r="W10" s="27">
        <f>股权价值增加表!W8</f>
        <v>3312357.99</v>
      </c>
      <c r="X10" s="27">
        <f>股权价值增加表!X8</f>
        <v>0</v>
      </c>
      <c r="Y10" s="27">
        <f>股权价值增加表!Y8</f>
        <v>0</v>
      </c>
      <c r="Z10" s="27">
        <f>股权价值增加表!Z8</f>
        <v>0</v>
      </c>
      <c r="AA10" s="27">
        <f>股权价值增加表!AA8</f>
        <v>0</v>
      </c>
      <c r="AB10" s="27">
        <f>股权价值增加表!AB8</f>
        <v>0</v>
      </c>
      <c r="AC10" s="27">
        <f>股权价值增加表!AC8</f>
        <v>0</v>
      </c>
      <c r="AD10" s="27">
        <f>股权价值增加表!AD8</f>
        <v>0</v>
      </c>
      <c r="AE10" s="27">
        <f>股权价值增加表!AE8</f>
        <v>0</v>
      </c>
      <c r="AF10" s="27">
        <f>股权价值增加表!AF8</f>
        <v>0</v>
      </c>
      <c r="AG10" s="27">
        <f>股权价值增加表!AG8</f>
        <v>0</v>
      </c>
      <c r="AH10" s="27">
        <f>股权价值增加表!AH8</f>
        <v>0</v>
      </c>
      <c r="AI10" s="27">
        <f>股权价值增加表!AI8</f>
        <v>0</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363</v>
      </c>
      <c r="E11" s="57">
        <f>E10/E2</f>
        <v>1.6775677546147418E-2</v>
      </c>
      <c r="F11" s="57">
        <f t="shared" ref="F11:BQ11" si="11">F10/F2</f>
        <v>1.6982547353526556E-2</v>
      </c>
      <c r="G11" s="57">
        <f t="shared" si="11"/>
        <v>1.74512075245567E-2</v>
      </c>
      <c r="H11" s="57">
        <f t="shared" si="11"/>
        <v>1.7464031145102855E-2</v>
      </c>
      <c r="I11" s="57">
        <f t="shared" si="11"/>
        <v>1.7835809477176161E-2</v>
      </c>
      <c r="J11" s="57">
        <f t="shared" si="11"/>
        <v>1.3205338070667582E-2</v>
      </c>
      <c r="K11" s="57">
        <f t="shared" si="11"/>
        <v>1.3364060743808144E-2</v>
      </c>
      <c r="L11" s="57">
        <f t="shared" si="11"/>
        <v>1.4106721008527372E-2</v>
      </c>
      <c r="M11" s="57">
        <f t="shared" si="11"/>
        <v>1.2740350251185683E-2</v>
      </c>
      <c r="N11" s="57">
        <f t="shared" si="11"/>
        <v>1.2516940830433917E-2</v>
      </c>
      <c r="O11" s="57">
        <f t="shared" si="11"/>
        <v>1.2150287298871486E-2</v>
      </c>
      <c r="P11" s="57">
        <f t="shared" si="11"/>
        <v>1.2744886772176249E-2</v>
      </c>
      <c r="Q11" s="57">
        <f t="shared" si="11"/>
        <v>1.2181442776775943E-2</v>
      </c>
      <c r="R11" s="57">
        <f t="shared" si="11"/>
        <v>1.2364931206786374E-2</v>
      </c>
      <c r="S11" s="57">
        <f t="shared" si="11"/>
        <v>1.2236436416171854E-2</v>
      </c>
      <c r="T11" s="57">
        <f t="shared" si="11"/>
        <v>1.2635484745453635E-2</v>
      </c>
      <c r="U11" s="57">
        <f t="shared" si="11"/>
        <v>1.3595692313788753E-2</v>
      </c>
      <c r="V11" s="57">
        <f t="shared" si="11"/>
        <v>1.454400067988912E-2</v>
      </c>
      <c r="W11" s="57">
        <f t="shared" si="11"/>
        <v>1.3816159641263859E-2</v>
      </c>
      <c r="X11" s="57" t="e">
        <f t="shared" si="11"/>
        <v>#DIV/0!</v>
      </c>
      <c r="Y11" s="57" t="e">
        <f t="shared" si="11"/>
        <v>#DIV/0!</v>
      </c>
      <c r="Z11" s="57" t="e">
        <f t="shared" si="11"/>
        <v>#DIV/0!</v>
      </c>
      <c r="AA11" s="57" t="e">
        <f t="shared" si="11"/>
        <v>#DIV/0!</v>
      </c>
      <c r="AB11" s="57" t="e">
        <f t="shared" si="11"/>
        <v>#DIV/0!</v>
      </c>
      <c r="AC11" s="57" t="e">
        <f t="shared" si="11"/>
        <v>#DIV/0!</v>
      </c>
      <c r="AD11" s="57" t="e">
        <f t="shared" si="11"/>
        <v>#DIV/0!</v>
      </c>
      <c r="AE11" s="57" t="e">
        <f t="shared" si="11"/>
        <v>#DIV/0!</v>
      </c>
      <c r="AF11" s="57" t="e">
        <f t="shared" si="11"/>
        <v>#DIV/0!</v>
      </c>
      <c r="AG11" s="57" t="e">
        <f t="shared" si="11"/>
        <v>#DIV/0!</v>
      </c>
      <c r="AH11" s="57" t="e">
        <f t="shared" si="11"/>
        <v>#DIV/0!</v>
      </c>
      <c r="AI11" s="57" t="e">
        <f t="shared" si="11"/>
        <v>#DIV/0!</v>
      </c>
      <c r="AJ11" s="57" t="e">
        <f t="shared" si="11"/>
        <v>#DIV/0!</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32" t="s">
        <v>364</v>
      </c>
      <c r="E12" s="27">
        <f>股权价值增加表!E9</f>
        <v>65588452.350000001</v>
      </c>
      <c r="F12" s="27">
        <f>股权价值增加表!F9</f>
        <v>46938412.619999997</v>
      </c>
      <c r="G12" s="27">
        <f>股权价值增加表!G9</f>
        <v>29280870.300000001</v>
      </c>
      <c r="H12" s="27">
        <f>股权价值增加表!H9</f>
        <v>12944066.800000001</v>
      </c>
      <c r="I12" s="27">
        <f>股权价值增加表!I9</f>
        <v>48950284.439999998</v>
      </c>
      <c r="J12" s="27">
        <f>股权价值增加表!J9</f>
        <v>36486393.840000004</v>
      </c>
      <c r="K12" s="27">
        <f>股权价值增加表!K9</f>
        <v>23795431.43</v>
      </c>
      <c r="L12" s="27">
        <f>股权价值增加表!L9</f>
        <v>11018885.210000001</v>
      </c>
      <c r="M12" s="27">
        <f>股权价值增加表!M9</f>
        <v>50049292.490000002</v>
      </c>
      <c r="N12" s="27">
        <f>股权价值增加表!N9</f>
        <v>36714592.649999999</v>
      </c>
      <c r="O12" s="27">
        <f>股权价值增加表!O9</f>
        <v>22688371.300000001</v>
      </c>
      <c r="P12" s="27">
        <f>股权价值增加表!P9</f>
        <v>11355833.810000001</v>
      </c>
      <c r="Q12" s="27">
        <f>股权价值增加表!Q9</f>
        <v>51407274.880000003</v>
      </c>
      <c r="R12" s="27">
        <f>股权价值增加表!R9</f>
        <v>37566300.960000001</v>
      </c>
      <c r="S12" s="27">
        <f>股权价值增加表!S9</f>
        <v>24871663.809999999</v>
      </c>
      <c r="T12" s="27">
        <f>股权价值增加表!T9</f>
        <v>10823435.67</v>
      </c>
      <c r="U12" s="27">
        <f>股权价值增加表!U9</f>
        <v>48126080.049999997</v>
      </c>
      <c r="V12" s="27">
        <f>股权价值增加表!V9</f>
        <v>45606034.82</v>
      </c>
      <c r="W12" s="27">
        <f>股权价值增加表!W9</f>
        <v>40470613.049999997</v>
      </c>
      <c r="X12" s="27">
        <f>股权价值增加表!X9</f>
        <v>0</v>
      </c>
      <c r="Y12" s="27">
        <f>股权价值增加表!Y9</f>
        <v>0</v>
      </c>
      <c r="Z12" s="27">
        <f>股权价值增加表!Z9</f>
        <v>0</v>
      </c>
      <c r="AA12" s="27">
        <f>股权价值增加表!AA9</f>
        <v>0</v>
      </c>
      <c r="AB12" s="27">
        <f>股权价值增加表!AB9</f>
        <v>0</v>
      </c>
      <c r="AC12" s="27">
        <f>股权价值增加表!AC9</f>
        <v>0</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365</v>
      </c>
      <c r="E13" s="57">
        <f>E12/E2</f>
        <v>0.13226747116786514</v>
      </c>
      <c r="F13" s="57">
        <f t="shared" ref="F13:BQ13" si="13">F12/F2</f>
        <v>0.13277250232567608</v>
      </c>
      <c r="G13" s="57">
        <f t="shared" si="13"/>
        <v>0.13517422874800386</v>
      </c>
      <c r="H13" s="57">
        <f t="shared" si="13"/>
        <v>0.13352865962487911</v>
      </c>
      <c r="I13" s="57">
        <f t="shared" si="13"/>
        <v>0.14653121622063489</v>
      </c>
      <c r="J13" s="57">
        <f t="shared" si="13"/>
        <v>0.1459968985140363</v>
      </c>
      <c r="K13" s="57">
        <f t="shared" si="13"/>
        <v>0.14418888429685092</v>
      </c>
      <c r="L13" s="57">
        <f t="shared" si="13"/>
        <v>0.13694023300673216</v>
      </c>
      <c r="M13" s="57">
        <f t="shared" si="13"/>
        <v>0.15467794393121914</v>
      </c>
      <c r="N13" s="57">
        <f t="shared" si="13"/>
        <v>0.14760868465054688</v>
      </c>
      <c r="O13" s="57">
        <f t="shared" si="13"/>
        <v>0.14010662072858845</v>
      </c>
      <c r="P13" s="57">
        <f t="shared" si="13"/>
        <v>0.13611665287127495</v>
      </c>
      <c r="Q13" s="57">
        <f t="shared" si="13"/>
        <v>0.14400448237999935</v>
      </c>
      <c r="R13" s="57">
        <f t="shared" si="13"/>
        <v>0.14130862467115632</v>
      </c>
      <c r="S13" s="57">
        <f t="shared" si="13"/>
        <v>0.14781177745875193</v>
      </c>
      <c r="T13" s="57">
        <f t="shared" si="13"/>
        <v>0.13058194745318338</v>
      </c>
      <c r="U13" s="57">
        <f t="shared" si="13"/>
        <v>0.14460471687192289</v>
      </c>
      <c r="V13" s="57">
        <f t="shared" si="13"/>
        <v>0.14756344798283516</v>
      </c>
      <c r="W13" s="57">
        <f t="shared" si="13"/>
        <v>0.16880676918578369</v>
      </c>
      <c r="X13" s="57" t="e">
        <f t="shared" si="13"/>
        <v>#DIV/0!</v>
      </c>
      <c r="Y13" s="57" t="e">
        <f t="shared" si="13"/>
        <v>#DIV/0!</v>
      </c>
      <c r="Z13" s="57" t="e">
        <f t="shared" si="13"/>
        <v>#DIV/0!</v>
      </c>
      <c r="AA13" s="57" t="e">
        <f t="shared" si="13"/>
        <v>#DIV/0!</v>
      </c>
      <c r="AB13" s="57" t="e">
        <f t="shared" si="13"/>
        <v>#DIV/0!</v>
      </c>
      <c r="AC13" s="57" t="e">
        <f t="shared" si="13"/>
        <v>#DIV/0!</v>
      </c>
      <c r="AD13" s="57" t="e">
        <f t="shared" si="13"/>
        <v>#DIV/0!</v>
      </c>
      <c r="AE13" s="57" t="e">
        <f t="shared" si="13"/>
        <v>#DIV/0!</v>
      </c>
      <c r="AF13" s="57" t="e">
        <f t="shared" si="13"/>
        <v>#DIV/0!</v>
      </c>
      <c r="AG13" s="57" t="e">
        <f t="shared" si="13"/>
        <v>#DIV/0!</v>
      </c>
      <c r="AH13" s="57" t="e">
        <f t="shared" si="13"/>
        <v>#DIV/0!</v>
      </c>
      <c r="AI13" s="57" t="e">
        <f t="shared" si="13"/>
        <v>#DIV/0!</v>
      </c>
      <c r="AJ13" s="57" t="e">
        <f t="shared" si="13"/>
        <v>#DIV/0!</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32" t="s">
        <v>366</v>
      </c>
      <c r="E14" s="26">
        <f>股权价值增加表!E10</f>
        <v>65060980.670000002</v>
      </c>
      <c r="F14" s="26">
        <f>股权价值增加表!F10</f>
        <v>43708203.200000003</v>
      </c>
      <c r="G14" s="26">
        <f>股权价值增加表!G10</f>
        <v>27757611.77</v>
      </c>
      <c r="H14" s="26">
        <f>股权价值增加表!H10</f>
        <v>12221721.539999999</v>
      </c>
      <c r="I14" s="26">
        <f>股权价值增加表!I10</f>
        <v>45174955.509999998</v>
      </c>
      <c r="J14" s="26">
        <f>股权价值增加表!J10</f>
        <v>35137165.850000001</v>
      </c>
      <c r="K14" s="26">
        <f>股权价值增加表!K10</f>
        <v>22446016.440000001</v>
      </c>
      <c r="L14" s="26">
        <f>股权价值增加表!L10</f>
        <v>10588074.439999999</v>
      </c>
      <c r="M14" s="26">
        <f>股权价值增加表!M10</f>
        <v>49597425.009999998</v>
      </c>
      <c r="N14" s="26">
        <f>股权价值增加表!N10</f>
        <v>36534423.670000002</v>
      </c>
      <c r="O14" s="26">
        <f>股权价值增加表!O10</f>
        <v>23742826.359999999</v>
      </c>
      <c r="P14" s="26">
        <f>股权价值增加表!P10</f>
        <v>10972137.42</v>
      </c>
      <c r="Q14" s="26">
        <f>股权价值增加表!Q10</f>
        <v>48562243.770000003</v>
      </c>
      <c r="R14" s="26">
        <f>股权价值增加表!R10</f>
        <v>35988044.380000003</v>
      </c>
      <c r="S14" s="26">
        <f>股权价值增加表!S10</f>
        <v>24393897.57</v>
      </c>
      <c r="T14" s="26">
        <f>股权价值增加表!T10</f>
        <v>11016134.869999999</v>
      </c>
      <c r="U14" s="26">
        <f>股权价值增加表!U10</f>
        <v>46207556.340000004</v>
      </c>
      <c r="V14" s="26">
        <f>股权价值增加表!V10</f>
        <v>46619669.869999997</v>
      </c>
      <c r="W14" s="26">
        <f>股权价值增加表!W10</f>
        <v>42287706.340000004</v>
      </c>
      <c r="X14" s="26">
        <f>股权价值增加表!X10</f>
        <v>0</v>
      </c>
      <c r="Y14" s="26">
        <f>股权价值增加表!Y10</f>
        <v>0</v>
      </c>
      <c r="Z14" s="26">
        <f>股权价值增加表!Z10</f>
        <v>0</v>
      </c>
      <c r="AA14" s="26">
        <f>股权价值增加表!AA10</f>
        <v>0</v>
      </c>
      <c r="AB14" s="26">
        <f>股权价值增加表!AB10</f>
        <v>0</v>
      </c>
      <c r="AC14" s="26">
        <f>股权价值增加表!AC10</f>
        <v>0</v>
      </c>
      <c r="AD14" s="26">
        <f>股权价值增加表!AD10</f>
        <v>0</v>
      </c>
      <c r="AE14" s="26">
        <f>股权价值增加表!AE10</f>
        <v>0</v>
      </c>
      <c r="AF14" s="26">
        <f>股权价值增加表!AF10</f>
        <v>0</v>
      </c>
      <c r="AG14" s="26">
        <f>股权价值增加表!AG10</f>
        <v>0</v>
      </c>
      <c r="AH14" s="26">
        <f>股权价值增加表!AH10</f>
        <v>0</v>
      </c>
      <c r="AI14" s="26">
        <f>股权价值增加表!AI10</f>
        <v>0</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367</v>
      </c>
      <c r="E15" s="57">
        <f>E14/E2</f>
        <v>0.13120375731692738</v>
      </c>
      <c r="F15" s="57">
        <f t="shared" ref="F15:BQ15" si="15">F14/F2</f>
        <v>0.12363535933787449</v>
      </c>
      <c r="G15" s="57">
        <f t="shared" si="15"/>
        <v>0.12814215303212023</v>
      </c>
      <c r="H15" s="57">
        <f t="shared" si="15"/>
        <v>0.12607707614307995</v>
      </c>
      <c r="I15" s="57">
        <f t="shared" si="15"/>
        <v>0.13522988169164094</v>
      </c>
      <c r="J15" s="57">
        <f t="shared" si="15"/>
        <v>0.14059808867845383</v>
      </c>
      <c r="K15" s="57">
        <f t="shared" si="15"/>
        <v>0.13601207765083895</v>
      </c>
      <c r="L15" s="57">
        <f t="shared" si="15"/>
        <v>0.13158621342115107</v>
      </c>
      <c r="M15" s="57">
        <f t="shared" si="15"/>
        <v>0.15328144201763572</v>
      </c>
      <c r="N15" s="57">
        <f t="shared" si="15"/>
        <v>0.14688432672545274</v>
      </c>
      <c r="O15" s="57">
        <f t="shared" si="15"/>
        <v>0.14661815622901286</v>
      </c>
      <c r="P15" s="57">
        <f t="shared" si="15"/>
        <v>0.13151747775129391</v>
      </c>
      <c r="Q15" s="57">
        <f t="shared" si="15"/>
        <v>0.13603484708408256</v>
      </c>
      <c r="R15" s="57">
        <f t="shared" si="15"/>
        <v>0.1353718871963788</v>
      </c>
      <c r="S15" s="57">
        <f t="shared" si="15"/>
        <v>0.14497242269408231</v>
      </c>
      <c r="T15" s="57">
        <f t="shared" si="15"/>
        <v>0.13290681338077573</v>
      </c>
      <c r="U15" s="57">
        <f t="shared" si="15"/>
        <v>0.13884011735315074</v>
      </c>
      <c r="V15" s="57">
        <f t="shared" si="15"/>
        <v>0.15084317803532943</v>
      </c>
      <c r="W15" s="57">
        <f t="shared" si="15"/>
        <v>0.17638603780756373</v>
      </c>
      <c r="X15" s="57" t="e">
        <f t="shared" si="15"/>
        <v>#DIV/0!</v>
      </c>
      <c r="Y15" s="57" t="e">
        <f t="shared" si="15"/>
        <v>#DIV/0!</v>
      </c>
      <c r="Z15" s="57" t="e">
        <f t="shared" si="15"/>
        <v>#DIV/0!</v>
      </c>
      <c r="AA15" s="57" t="e">
        <f t="shared" si="15"/>
        <v>#DIV/0!</v>
      </c>
      <c r="AB15" s="57" t="e">
        <f t="shared" si="15"/>
        <v>#DIV/0!</v>
      </c>
      <c r="AC15" s="57" t="e">
        <f t="shared" si="15"/>
        <v>#DIV/0!</v>
      </c>
      <c r="AD15" s="57" t="e">
        <f t="shared" si="15"/>
        <v>#DIV/0!</v>
      </c>
      <c r="AE15" s="57" t="e">
        <f t="shared" si="15"/>
        <v>#DIV/0!</v>
      </c>
      <c r="AF15" s="57" t="e">
        <f t="shared" si="15"/>
        <v>#DIV/0!</v>
      </c>
      <c r="AG15" s="57" t="e">
        <f t="shared" si="15"/>
        <v>#DIV/0!</v>
      </c>
      <c r="AH15" s="57" t="e">
        <f t="shared" si="15"/>
        <v>#DIV/0!</v>
      </c>
      <c r="AI15" s="57" t="e">
        <f t="shared" si="15"/>
        <v>#DIV/0!</v>
      </c>
      <c r="AJ15" s="57" t="e">
        <f t="shared" si="15"/>
        <v>#DIV/0!</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32" t="s">
        <v>368</v>
      </c>
      <c r="E16" s="26">
        <f>股权价值增加表!E11</f>
        <v>6173766.71</v>
      </c>
      <c r="F16" s="26">
        <f>股权价值增加表!F11</f>
        <v>7222624.8300000001</v>
      </c>
      <c r="G16" s="26">
        <f>股权价值增加表!G11</f>
        <v>6591040.4000000004</v>
      </c>
      <c r="H16" s="26">
        <f>股权价值增加表!H11</f>
        <v>4034079.72</v>
      </c>
      <c r="I16" s="26">
        <f>股权价值增加表!I11</f>
        <v>3565087.95</v>
      </c>
      <c r="J16" s="26">
        <f>股权价值增加表!J11</f>
        <v>7750261.1900000004</v>
      </c>
      <c r="K16" s="26">
        <f>股权价值增加表!K11</f>
        <v>4744561.43</v>
      </c>
      <c r="L16" s="26">
        <f>股权价值增加表!L11</f>
        <v>2904630.26</v>
      </c>
      <c r="M16" s="26">
        <f>股权价值增加表!M11</f>
        <v>2270121.9900000002</v>
      </c>
      <c r="N16" s="26">
        <f>股权价值增加表!N11</f>
        <v>6187672.9299999997</v>
      </c>
      <c r="O16" s="26">
        <f>股权价值增加表!O11</f>
        <v>3886437.3</v>
      </c>
      <c r="P16" s="26">
        <f>股权价值增加表!P11</f>
        <v>2528025.8199999998</v>
      </c>
      <c r="Q16" s="26">
        <f>股权价值增加表!Q11</f>
        <v>2753668.2</v>
      </c>
      <c r="R16" s="26">
        <f>股权价值增加表!R11</f>
        <v>2954795.51</v>
      </c>
      <c r="S16" s="26">
        <f>股权价值增加表!S11</f>
        <v>2641771.19</v>
      </c>
      <c r="T16" s="26">
        <f>股权价值增加表!T11</f>
        <v>1270000</v>
      </c>
      <c r="U16" s="26">
        <f>股权价值增加表!U11</f>
        <v>2318302.7200000002</v>
      </c>
      <c r="V16" s="26">
        <f>股权价值增加表!V11</f>
        <v>1818325.97</v>
      </c>
      <c r="W16" s="26">
        <f>股权价值增加表!W11</f>
        <v>1550147.89</v>
      </c>
      <c r="X16" s="26">
        <f>股权价值增加表!X11</f>
        <v>0</v>
      </c>
      <c r="Y16" s="26">
        <f>股权价值增加表!Y11</f>
        <v>0</v>
      </c>
      <c r="Z16" s="26">
        <f>股权价值增加表!Z11</f>
        <v>0</v>
      </c>
      <c r="AA16" s="26">
        <f>股权价值增加表!AA11</f>
        <v>0</v>
      </c>
      <c r="AB16" s="26">
        <f>股权价值增加表!AB11</f>
        <v>0</v>
      </c>
      <c r="AC16" s="26">
        <f>股权价值增加表!AC11</f>
        <v>0</v>
      </c>
      <c r="AD16" s="26">
        <f>股权价值增加表!AD11</f>
        <v>0</v>
      </c>
      <c r="AE16" s="26">
        <f>股权价值增加表!AE11</f>
        <v>0</v>
      </c>
      <c r="AF16" s="26">
        <f>股权价值增加表!AF11</f>
        <v>0</v>
      </c>
      <c r="AG16" s="26">
        <f>股权价值增加表!AG11</f>
        <v>0</v>
      </c>
      <c r="AH16" s="26">
        <f>股权价值增加表!AH11</f>
        <v>0</v>
      </c>
      <c r="AI16" s="26">
        <f>股权价值增加表!AI11</f>
        <v>0</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369</v>
      </c>
      <c r="E17" s="57">
        <f>E16/E2</f>
        <v>1.2450187206041774E-2</v>
      </c>
      <c r="F17" s="57">
        <f t="shared" ref="F17:BQ17" si="17">F16/F2</f>
        <v>2.0430302571204862E-2</v>
      </c>
      <c r="G17" s="57">
        <f t="shared" si="17"/>
        <v>3.0427333395105231E-2</v>
      </c>
      <c r="H17" s="57">
        <f t="shared" si="17"/>
        <v>4.1614839150204919E-2</v>
      </c>
      <c r="I17" s="57">
        <f t="shared" si="17"/>
        <v>1.0671984427125221E-2</v>
      </c>
      <c r="J17" s="57">
        <f t="shared" si="17"/>
        <v>3.101194657316959E-2</v>
      </c>
      <c r="K17" s="57">
        <f t="shared" si="17"/>
        <v>2.8749763209045185E-2</v>
      </c>
      <c r="L17" s="57">
        <f t="shared" si="17"/>
        <v>3.6098093139388006E-2</v>
      </c>
      <c r="M17" s="57">
        <f t="shared" si="17"/>
        <v>7.0158394737828917E-3</v>
      </c>
      <c r="N17" s="57">
        <f t="shared" si="17"/>
        <v>2.4877145470524387E-2</v>
      </c>
      <c r="O17" s="57">
        <f t="shared" si="17"/>
        <v>2.3999765764435424E-2</v>
      </c>
      <c r="P17" s="57">
        <f t="shared" si="17"/>
        <v>3.0302170562547193E-2</v>
      </c>
      <c r="Q17" s="57">
        <f t="shared" si="17"/>
        <v>7.7137052044269844E-3</v>
      </c>
      <c r="R17" s="57">
        <f t="shared" si="17"/>
        <v>1.1114697988156879E-2</v>
      </c>
      <c r="S17" s="57">
        <f t="shared" si="17"/>
        <v>1.5699990889882581E-2</v>
      </c>
      <c r="T17" s="57">
        <f t="shared" si="17"/>
        <v>1.5322220995428425E-2</v>
      </c>
      <c r="U17" s="57">
        <f t="shared" si="17"/>
        <v>6.9658178704917976E-3</v>
      </c>
      <c r="V17" s="57">
        <f t="shared" si="17"/>
        <v>5.8833979044427987E-3</v>
      </c>
      <c r="W17" s="57">
        <f t="shared" si="17"/>
        <v>6.4658140154133298E-3</v>
      </c>
      <c r="X17" s="57" t="e">
        <f t="shared" si="17"/>
        <v>#DIV/0!</v>
      </c>
      <c r="Y17" s="57" t="e">
        <f t="shared" si="17"/>
        <v>#DIV/0!</v>
      </c>
      <c r="Z17" s="57" t="e">
        <f t="shared" si="17"/>
        <v>#DIV/0!</v>
      </c>
      <c r="AA17" s="57" t="e">
        <f t="shared" si="17"/>
        <v>#DIV/0!</v>
      </c>
      <c r="AB17" s="57" t="e">
        <f t="shared" si="17"/>
        <v>#DIV/0!</v>
      </c>
      <c r="AC17" s="57" t="e">
        <f t="shared" si="17"/>
        <v>#DIV/0!</v>
      </c>
      <c r="AD17" s="57" t="e">
        <f t="shared" si="17"/>
        <v>#DIV/0!</v>
      </c>
      <c r="AE17" s="57" t="e">
        <f t="shared" si="17"/>
        <v>#DIV/0!</v>
      </c>
      <c r="AF17" s="57" t="e">
        <f t="shared" si="17"/>
        <v>#DIV/0!</v>
      </c>
      <c r="AG17" s="57" t="e">
        <f t="shared" si="17"/>
        <v>#DIV/0!</v>
      </c>
      <c r="AH17" s="57" t="e">
        <f t="shared" si="17"/>
        <v>#DIV/0!</v>
      </c>
      <c r="AI17" s="57" t="e">
        <f t="shared" si="17"/>
        <v>#DIV/0!</v>
      </c>
      <c r="AJ17" s="57" t="e">
        <f t="shared" si="17"/>
        <v>#DIV/0!</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32" t="s">
        <v>370</v>
      </c>
      <c r="E18" s="26">
        <f>股权价值增加表!E12</f>
        <v>212282.74</v>
      </c>
      <c r="F18" s="26">
        <f>股权价值增加表!F12</f>
        <v>1204</v>
      </c>
      <c r="G18" s="26">
        <f>股权价值增加表!G12</f>
        <v>868</v>
      </c>
      <c r="H18" s="26">
        <f>股权价值增加表!H12</f>
        <v>644</v>
      </c>
      <c r="I18" s="26">
        <f>股权价值增加表!I12</f>
        <v>36716.18</v>
      </c>
      <c r="J18" s="26">
        <f>股权价值增加表!J12</f>
        <v>0</v>
      </c>
      <c r="K18" s="26">
        <f>股权价值增加表!K12</f>
        <v>0</v>
      </c>
      <c r="L18" s="26">
        <f>股权价值增加表!L12</f>
        <v>0</v>
      </c>
      <c r="M18" s="26">
        <f>股权价值增加表!M12</f>
        <v>54362.63</v>
      </c>
      <c r="N18" s="26">
        <f>股权价值增加表!N12</f>
        <v>0</v>
      </c>
      <c r="O18" s="26">
        <f>股权价值增加表!O12</f>
        <v>0</v>
      </c>
      <c r="P18" s="26">
        <f>股权价值增加表!P12</f>
        <v>0</v>
      </c>
      <c r="Q18" s="26">
        <f>股权价值增加表!Q12</f>
        <v>49001.31</v>
      </c>
      <c r="R18" s="26">
        <f>股权价值增加表!R12</f>
        <v>0</v>
      </c>
      <c r="S18" s="26">
        <f>股权价值增加表!S12</f>
        <v>0</v>
      </c>
      <c r="T18" s="26">
        <f>股权价值增加表!T12</f>
        <v>0</v>
      </c>
      <c r="U18" s="26">
        <f>股权价值增加表!U12</f>
        <v>0</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331430.78000000003</v>
      </c>
      <c r="AD18" s="26">
        <f>股权价值增加表!AD12</f>
        <v>0</v>
      </c>
      <c r="AE18" s="26">
        <f>股权价值增加表!AE12</f>
        <v>0</v>
      </c>
      <c r="AF18" s="26">
        <f>股权价值增加表!AF12</f>
        <v>0</v>
      </c>
      <c r="AG18" s="26">
        <f>股权价值增加表!AG12</f>
        <v>66967.98</v>
      </c>
      <c r="AH18" s="26">
        <f>股权价值增加表!AH12</f>
        <v>0</v>
      </c>
      <c r="AI18" s="26">
        <f>股权价值增加表!AI12</f>
        <v>0</v>
      </c>
      <c r="AJ18" s="26">
        <f>股权价值增加表!AJ12</f>
        <v>0</v>
      </c>
      <c r="AK18" s="26">
        <f>股权价值增加表!AK12</f>
        <v>350489.64</v>
      </c>
      <c r="AL18" s="26">
        <f>股权价值增加表!AL12</f>
        <v>0</v>
      </c>
      <c r="AM18" s="26">
        <f>股权价值增加表!AM12</f>
        <v>0</v>
      </c>
      <c r="AN18" s="26">
        <f>股权价值增加表!AN12</f>
        <v>0</v>
      </c>
      <c r="AO18" s="26">
        <f>股权价值增加表!AO12</f>
        <v>286174.01</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371</v>
      </c>
      <c r="E19" s="57">
        <f>E18/E2</f>
        <v>4.2809519338178755E-4</v>
      </c>
      <c r="F19" s="57">
        <f t="shared" ref="F19:BQ19" si="19">F18/F2</f>
        <v>3.4056987417593246E-6</v>
      </c>
      <c r="G19" s="57">
        <f t="shared" si="19"/>
        <v>4.0070950539085359E-6</v>
      </c>
      <c r="H19" s="57">
        <f t="shared" si="19"/>
        <v>6.6433879032841631E-6</v>
      </c>
      <c r="I19" s="57">
        <f t="shared" si="19"/>
        <v>1.099087895387059E-4</v>
      </c>
      <c r="J19" s="57">
        <f t="shared" si="19"/>
        <v>0</v>
      </c>
      <c r="K19" s="57">
        <f t="shared" si="19"/>
        <v>0</v>
      </c>
      <c r="L19" s="57">
        <f t="shared" si="19"/>
        <v>0</v>
      </c>
      <c r="M19" s="57">
        <f t="shared" si="19"/>
        <v>1.6800836568816021E-4</v>
      </c>
      <c r="N19" s="57">
        <f t="shared" si="19"/>
        <v>0</v>
      </c>
      <c r="O19" s="57">
        <f t="shared" si="19"/>
        <v>0</v>
      </c>
      <c r="P19" s="57">
        <f t="shared" si="19"/>
        <v>0</v>
      </c>
      <c r="Q19" s="57">
        <f t="shared" si="19"/>
        <v>1.3726478011066837E-4</v>
      </c>
      <c r="R19" s="57">
        <f t="shared" si="19"/>
        <v>0</v>
      </c>
      <c r="S19" s="57">
        <f t="shared" si="19"/>
        <v>0</v>
      </c>
      <c r="T19" s="57">
        <f t="shared" si="19"/>
        <v>0</v>
      </c>
      <c r="U19" s="57">
        <f t="shared" si="19"/>
        <v>0</v>
      </c>
      <c r="V19" s="57">
        <f t="shared" si="19"/>
        <v>0</v>
      </c>
      <c r="W19" s="57">
        <f t="shared" si="19"/>
        <v>0</v>
      </c>
      <c r="X19" s="57" t="e">
        <f t="shared" si="19"/>
        <v>#DIV/0!</v>
      </c>
      <c r="Y19" s="57" t="e">
        <f t="shared" si="19"/>
        <v>#DIV/0!</v>
      </c>
      <c r="Z19" s="57" t="e">
        <f t="shared" si="19"/>
        <v>#DIV/0!</v>
      </c>
      <c r="AA19" s="57" t="e">
        <f t="shared" si="19"/>
        <v>#DIV/0!</v>
      </c>
      <c r="AB19" s="57" t="e">
        <f t="shared" si="19"/>
        <v>#DIV/0!</v>
      </c>
      <c r="AC19" s="57" t="e">
        <f t="shared" si="19"/>
        <v>#DIV/0!</v>
      </c>
      <c r="AD19" s="57" t="e">
        <f t="shared" si="19"/>
        <v>#DIV/0!</v>
      </c>
      <c r="AE19" s="57" t="e">
        <f t="shared" si="19"/>
        <v>#DIV/0!</v>
      </c>
      <c r="AF19" s="57" t="e">
        <f t="shared" si="19"/>
        <v>#DIV/0!</v>
      </c>
      <c r="AG19" s="57" t="e">
        <f t="shared" si="19"/>
        <v>#DIV/0!</v>
      </c>
      <c r="AH19" s="57" t="e">
        <f t="shared" si="19"/>
        <v>#DIV/0!</v>
      </c>
      <c r="AI19" s="57" t="e">
        <f t="shared" si="19"/>
        <v>#DIV/0!</v>
      </c>
      <c r="AJ19" s="57" t="e">
        <f t="shared" si="19"/>
        <v>#DIV/0!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32" t="s">
        <v>372</v>
      </c>
      <c r="E20" s="26">
        <f>股权价值增加表!E13-股权价值增加表!E14</f>
        <v>310933.49999999994</v>
      </c>
      <c r="F20" s="26">
        <f>股权价值增加表!F13-股权价值增加表!F14</f>
        <v>209448.38000000003</v>
      </c>
      <c r="G20" s="26">
        <f>股权价值增加表!G13-股权价值增加表!G14</f>
        <v>228558.36000000002</v>
      </c>
      <c r="H20" s="26">
        <f>股权价值增加表!H13-股权价值增加表!H14</f>
        <v>510994.29</v>
      </c>
      <c r="I20" s="26">
        <f>股权价值增加表!I13-股权价值增加表!I14</f>
        <v>10272913.27</v>
      </c>
      <c r="J20" s="26">
        <f>股权价值增加表!J13-股权价值增加表!J14</f>
        <v>2799459.3800000004</v>
      </c>
      <c r="K20" s="26">
        <f>股权价值增加表!K13-股权价值增加表!K14</f>
        <v>1927710.68</v>
      </c>
      <c r="L20" s="26">
        <f>股权价值增加表!L13-股权价值增加表!L14</f>
        <v>1170332.3500000001</v>
      </c>
      <c r="M20" s="26">
        <f>股权价值增加表!M13-股权价值增加表!M14</f>
        <v>8872583.6000000015</v>
      </c>
      <c r="N20" s="26">
        <f>股权价值增加表!N13-股权价值增加表!N14</f>
        <v>5018882.01</v>
      </c>
      <c r="O20" s="26">
        <f>股权价值增加表!O13-股权价值增加表!O14</f>
        <v>4699926.0600000005</v>
      </c>
      <c r="P20" s="26">
        <f>股权价值增加表!P13-股权价值增加表!P14</f>
        <v>2395280.12</v>
      </c>
      <c r="Q20" s="26">
        <f>股权价值增加表!Q13-股权价值增加表!Q14</f>
        <v>5187576.41</v>
      </c>
      <c r="R20" s="26">
        <f>股权价值增加表!R13-股权价值增加表!R14</f>
        <v>3742507.1599999997</v>
      </c>
      <c r="S20" s="26">
        <f>股权价值增加表!S13-股权价值增加表!S14</f>
        <v>3680943.19</v>
      </c>
      <c r="T20" s="26">
        <f>股权价值增加表!T13-股权价值增加表!T14</f>
        <v>347000</v>
      </c>
      <c r="U20" s="26">
        <f>股权价值增加表!U13-股权价值增加表!U14</f>
        <v>4709048.1100000003</v>
      </c>
      <c r="V20" s="26">
        <f>股权价值增加表!V13-股权价值增加表!V14</f>
        <v>1265050.7200000002</v>
      </c>
      <c r="W20" s="26">
        <f>股权价值增加表!W13-股权价值增加表!W14</f>
        <v>716813.75</v>
      </c>
      <c r="X20" s="26">
        <f>股权价值增加表!X13-股权价值增加表!X14</f>
        <v>0</v>
      </c>
      <c r="Y20" s="26">
        <f>股权价值增加表!Y13-股权价值增加表!Y14</f>
        <v>0</v>
      </c>
      <c r="Z20" s="26">
        <f>股权价值增加表!Z13-股权价值增加表!Z14</f>
        <v>0</v>
      </c>
      <c r="AA20" s="26">
        <f>股权价值增加表!AA13-股权价值增加表!AA14</f>
        <v>0</v>
      </c>
      <c r="AB20" s="26">
        <f>股权价值增加表!AB13-股权价值增加表!AB14</f>
        <v>0</v>
      </c>
      <c r="AC20" s="26">
        <f>股权价值增加表!AC13-股权价值增加表!AC14</f>
        <v>0</v>
      </c>
      <c r="AD20" s="26">
        <f>股权价值增加表!AD13-股权价值增加表!AD14</f>
        <v>0</v>
      </c>
      <c r="AE20" s="26">
        <f>股权价值增加表!AE13-股权价值增加表!AE14</f>
        <v>0</v>
      </c>
      <c r="AF20" s="26">
        <f>股权价值增加表!AF13-股权价值增加表!AF14</f>
        <v>0</v>
      </c>
      <c r="AG20" s="26">
        <f>股权价值增加表!AG13-股权价值增加表!AG14</f>
        <v>0</v>
      </c>
      <c r="AH20" s="26">
        <f>股权价值增加表!AH13-股权价值增加表!AH14</f>
        <v>0</v>
      </c>
      <c r="AI20" s="26">
        <f>股权价值增加表!AI13-股权价值增加表!AI14</f>
        <v>0</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373</v>
      </c>
      <c r="E21" s="57">
        <f>E20/E2</f>
        <v>6.2703702058573396E-4</v>
      </c>
      <c r="F21" s="57">
        <f t="shared" ref="F21:BQ21" si="21">F20/F2</f>
        <v>5.924568805893098E-4</v>
      </c>
      <c r="G21" s="57">
        <f t="shared" si="21"/>
        <v>1.0551325736007449E-3</v>
      </c>
      <c r="H21" s="57">
        <f t="shared" si="21"/>
        <v>5.2713249764491923E-3</v>
      </c>
      <c r="I21" s="57">
        <f t="shared" si="21"/>
        <v>3.0751659419411524E-2</v>
      </c>
      <c r="J21" s="57">
        <f t="shared" si="21"/>
        <v>1.1201775346402031E-2</v>
      </c>
      <c r="K21" s="57">
        <f t="shared" si="21"/>
        <v>1.168100074226407E-2</v>
      </c>
      <c r="L21" s="57">
        <f t="shared" si="21"/>
        <v>1.4544627850272015E-2</v>
      </c>
      <c r="M21" s="57">
        <f t="shared" si="21"/>
        <v>2.7420826955347328E-2</v>
      </c>
      <c r="N21" s="57">
        <f t="shared" si="21"/>
        <v>2.0178095913380448E-2</v>
      </c>
      <c r="O21" s="57">
        <f t="shared" si="21"/>
        <v>2.9023271403391969E-2</v>
      </c>
      <c r="P21" s="57">
        <f t="shared" si="21"/>
        <v>2.8711014803368788E-2</v>
      </c>
      <c r="Q21" s="57">
        <f t="shared" si="21"/>
        <v>1.4531683647354335E-2</v>
      </c>
      <c r="R21" s="57">
        <f t="shared" si="21"/>
        <v>1.4077737921672528E-2</v>
      </c>
      <c r="S21" s="57">
        <f t="shared" si="21"/>
        <v>2.1875768336006164E-2</v>
      </c>
      <c r="T21" s="57">
        <f t="shared" si="21"/>
        <v>4.1864651066249314E-3</v>
      </c>
      <c r="U21" s="57">
        <f t="shared" si="21"/>
        <v>1.4149304659248135E-2</v>
      </c>
      <c r="V21" s="57">
        <f t="shared" si="21"/>
        <v>4.0932136909763517E-3</v>
      </c>
      <c r="W21" s="57">
        <f t="shared" si="21"/>
        <v>2.989898203319805E-3</v>
      </c>
      <c r="X21" s="57" t="e">
        <f t="shared" si="21"/>
        <v>#DIV/0!</v>
      </c>
      <c r="Y21" s="57" t="e">
        <f t="shared" si="21"/>
        <v>#DIV/0!</v>
      </c>
      <c r="Z21" s="57" t="e">
        <f t="shared" si="21"/>
        <v>#DIV/0!</v>
      </c>
      <c r="AA21" s="57" t="e">
        <f t="shared" si="21"/>
        <v>#DIV/0!</v>
      </c>
      <c r="AB21" s="57" t="e">
        <f t="shared" si="21"/>
        <v>#DIV/0!</v>
      </c>
      <c r="AC21" s="57" t="e">
        <f t="shared" si="21"/>
        <v>#DIV/0!</v>
      </c>
      <c r="AD21" s="57" t="e">
        <f t="shared" si="21"/>
        <v>#DIV/0!</v>
      </c>
      <c r="AE21" s="57" t="e">
        <f t="shared" si="21"/>
        <v>#DIV/0!</v>
      </c>
      <c r="AF21" s="57" t="e">
        <f t="shared" si="21"/>
        <v>#DIV/0!</v>
      </c>
      <c r="AG21" s="57" t="e">
        <f t="shared" si="21"/>
        <v>#DIV/0!</v>
      </c>
      <c r="AH21" s="57" t="e">
        <f t="shared" si="21"/>
        <v>#DIV/0!</v>
      </c>
      <c r="AI21" s="57" t="e">
        <f t="shared" si="21"/>
        <v>#DIV/0!</v>
      </c>
      <c r="AJ21" s="57" t="e">
        <f t="shared" si="21"/>
        <v>#DIV/0!</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c r="A22" s="20" t="s">
        <v>374</v>
      </c>
      <c r="E22" s="57">
        <f>E11+E13+E15+E17+E19+E21</f>
        <v>0.29375222545094926</v>
      </c>
      <c r="F22" s="57">
        <f t="shared" ref="F22:BQ22" si="23">F11+F13+F15+F17+F19+F21</f>
        <v>0.29441657416761302</v>
      </c>
      <c r="G22" s="57">
        <f t="shared" si="23"/>
        <v>0.31225406236844067</v>
      </c>
      <c r="H22" s="57">
        <f t="shared" si="23"/>
        <v>0.32396257442761933</v>
      </c>
      <c r="I22" s="57">
        <f t="shared" si="23"/>
        <v>0.34113046002552749</v>
      </c>
      <c r="J22" s="57">
        <f t="shared" si="23"/>
        <v>0.34201404718272932</v>
      </c>
      <c r="K22" s="57">
        <f t="shared" si="23"/>
        <v>0.33399578664280727</v>
      </c>
      <c r="L22" s="57">
        <f t="shared" si="23"/>
        <v>0.33327588842607059</v>
      </c>
      <c r="M22" s="57">
        <f t="shared" si="23"/>
        <v>0.35530441099485888</v>
      </c>
      <c r="N22" s="57">
        <f t="shared" si="23"/>
        <v>0.35206519359033839</v>
      </c>
      <c r="O22" s="57">
        <f t="shared" si="23"/>
        <v>0.35189810142430017</v>
      </c>
      <c r="P22" s="57">
        <f t="shared" si="23"/>
        <v>0.33939220276066112</v>
      </c>
      <c r="Q22" s="57">
        <f t="shared" si="23"/>
        <v>0.31460342587274986</v>
      </c>
      <c r="R22" s="57">
        <f t="shared" si="23"/>
        <v>0.3142378789841509</v>
      </c>
      <c r="S22" s="57">
        <f t="shared" si="23"/>
        <v>0.34259639579489493</v>
      </c>
      <c r="T22" s="57">
        <f t="shared" si="23"/>
        <v>0.29563293168146609</v>
      </c>
      <c r="U22" s="57">
        <f t="shared" si="23"/>
        <v>0.31815564906860228</v>
      </c>
      <c r="V22" s="57">
        <f t="shared" si="23"/>
        <v>0.32292723829347292</v>
      </c>
      <c r="W22" s="57">
        <f t="shared" si="23"/>
        <v>0.36846467885334444</v>
      </c>
      <c r="X22" s="57" t="e">
        <f t="shared" si="23"/>
        <v>#DIV/0!</v>
      </c>
      <c r="Y22" s="57" t="e">
        <f t="shared" si="23"/>
        <v>#DIV/0!</v>
      </c>
      <c r="Z22" s="57" t="e">
        <f t="shared" si="23"/>
        <v>#DIV/0!</v>
      </c>
      <c r="AA22" s="57" t="e">
        <f t="shared" si="23"/>
        <v>#DIV/0!</v>
      </c>
      <c r="AB22" s="57" t="e">
        <f t="shared" si="23"/>
        <v>#DIV/0!</v>
      </c>
      <c r="AC22" s="57" t="e">
        <f t="shared" si="23"/>
        <v>#DIV/0!</v>
      </c>
      <c r="AD22" s="57" t="e">
        <f t="shared" si="23"/>
        <v>#DIV/0!</v>
      </c>
      <c r="AE22" s="57" t="e">
        <f t="shared" si="23"/>
        <v>#DIV/0!</v>
      </c>
      <c r="AF22" s="57" t="e">
        <f t="shared" si="23"/>
        <v>#DIV/0!</v>
      </c>
      <c r="AG22" s="57" t="e">
        <f t="shared" si="23"/>
        <v>#DIV/0!</v>
      </c>
      <c r="AH22" s="57" t="e">
        <f t="shared" si="23"/>
        <v>#DIV/0!</v>
      </c>
      <c r="AI22" s="57" t="e">
        <f t="shared" si="23"/>
        <v>#DIV/0!</v>
      </c>
      <c r="AJ22" s="57" t="e">
        <f t="shared" si="23"/>
        <v>#DIV/0!</v>
      </c>
      <c r="AK22" s="57" t="e">
        <f t="shared" si="23"/>
        <v>#DIV/0!</v>
      </c>
      <c r="AL22" s="57" t="e">
        <f t="shared" si="23"/>
        <v>#DIV/0!</v>
      </c>
      <c r="AM22" s="57" t="e">
        <f t="shared" si="23"/>
        <v>#DIV/0!</v>
      </c>
      <c r="AN22" s="57" t="e">
        <f t="shared" si="23"/>
        <v>#DIV/0!</v>
      </c>
      <c r="AO22" s="57" t="e">
        <f t="shared" si="23"/>
        <v>#DIV/0!</v>
      </c>
      <c r="AP22" s="57" t="e">
        <f t="shared" si="23"/>
        <v>#DIV/0!</v>
      </c>
      <c r="AQ22" s="57" t="e">
        <f t="shared" si="23"/>
        <v>#DIV/0!</v>
      </c>
      <c r="AR22" s="57" t="e">
        <f t="shared" si="23"/>
        <v>#DIV/0!</v>
      </c>
      <c r="AS22" s="57" t="e">
        <f t="shared" si="23"/>
        <v>#DIV/0!</v>
      </c>
      <c r="AT22" s="57" t="e">
        <f t="shared" si="23"/>
        <v>#DIV/0!</v>
      </c>
      <c r="AU22" s="57" t="e">
        <f t="shared" si="23"/>
        <v>#DIV/0!</v>
      </c>
      <c r="AV22" s="57" t="e">
        <f t="shared" si="23"/>
        <v>#DIV/0!</v>
      </c>
      <c r="AW22" s="57" t="e">
        <f t="shared" si="23"/>
        <v>#DIV/0!</v>
      </c>
      <c r="AX22" s="57" t="e">
        <f t="shared" si="23"/>
        <v>#DIV/0!</v>
      </c>
      <c r="AY22" s="57" t="e">
        <f t="shared" si="23"/>
        <v>#DIV/0!</v>
      </c>
      <c r="AZ22" s="57" t="e">
        <f t="shared" si="23"/>
        <v>#DIV/0!</v>
      </c>
      <c r="BA22" s="57" t="e">
        <f t="shared" si="23"/>
        <v>#DIV/0!</v>
      </c>
      <c r="BB22" s="57" t="e">
        <f t="shared" si="23"/>
        <v>#DIV/0!</v>
      </c>
      <c r="BC22" s="57" t="e">
        <f t="shared" si="23"/>
        <v>#DIV/0!</v>
      </c>
      <c r="BD22" s="57" t="e">
        <f t="shared" si="23"/>
        <v>#DIV/0!</v>
      </c>
      <c r="BE22" s="57" t="e">
        <f t="shared" si="23"/>
        <v>#DIV/0!</v>
      </c>
      <c r="BF22" s="57" t="e">
        <f t="shared" si="23"/>
        <v>#DIV/0!</v>
      </c>
      <c r="BG22" s="57" t="e">
        <f t="shared" si="23"/>
        <v>#DIV/0!</v>
      </c>
      <c r="BH22" s="57" t="e">
        <f t="shared" si="23"/>
        <v>#DIV/0!</v>
      </c>
      <c r="BI22" s="57" t="e">
        <f t="shared" si="23"/>
        <v>#DIV/0!</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c r="A23" s="132" t="s">
        <v>375</v>
      </c>
      <c r="E23" s="27">
        <f>股权价值增加表!E17</f>
        <v>114221779.48928429</v>
      </c>
      <c r="F23" s="27">
        <f>股权价值增加表!F17</f>
        <v>76478594.036450818</v>
      </c>
      <c r="G23" s="27">
        <f>股权价值增加表!G17</f>
        <v>42950042.471858934</v>
      </c>
      <c r="H23" s="27">
        <f>股权价值增加表!H17</f>
        <v>18023586.026683956</v>
      </c>
      <c r="I23" s="27">
        <f>股权价值增加表!I17</f>
        <v>87183466.326891109</v>
      </c>
      <c r="J23" s="27">
        <f>股权价值增加表!J17</f>
        <v>52297590.93448659</v>
      </c>
      <c r="K23" s="27">
        <f>股权价值增加表!K17</f>
        <v>31483583.07826443</v>
      </c>
      <c r="L23" s="27">
        <f>股权价值增加表!L17</f>
        <v>14092147.46713385</v>
      </c>
      <c r="M23" s="27">
        <f>股权价值增加表!M17</f>
        <v>76685438.027861863</v>
      </c>
      <c r="N23" s="27">
        <f>股权价值增加表!N17</f>
        <v>51099925.984292358</v>
      </c>
      <c r="O23" s="27">
        <f>股权价值增加表!O17</f>
        <v>33540994.660019137</v>
      </c>
      <c r="P23" s="27">
        <f>股权价值增加表!P17</f>
        <v>16621984.485637883</v>
      </c>
      <c r="Q23" s="27">
        <f>股权价值增加表!Q17</f>
        <v>89822063.808564767</v>
      </c>
      <c r="R23" s="27">
        <f>股权价值增加表!R17</f>
        <v>64145615.643796824</v>
      </c>
      <c r="S23" s="27">
        <f>股权价值增加表!S17</f>
        <v>40331996.395532407</v>
      </c>
      <c r="T23" s="27">
        <f>股权价值增加表!T17</f>
        <v>20362091.205377877</v>
      </c>
      <c r="U23" s="27">
        <f>股权价值增加表!U17</f>
        <v>81822360.152254298</v>
      </c>
      <c r="V23" s="27">
        <f>股权价值增加表!V17</f>
        <v>74927934.110450357</v>
      </c>
      <c r="W23" s="27">
        <f>股权价值增加表!W17</f>
        <v>48988901.228711925</v>
      </c>
      <c r="X23" s="27" t="e">
        <f>股权价值增加表!X17</f>
        <v>#DIV/0!</v>
      </c>
      <c r="Y23" s="27">
        <f>股权价值增加表!Y17</f>
        <v>0</v>
      </c>
      <c r="Z23" s="27">
        <f>股权价值增加表!Z17</f>
        <v>0</v>
      </c>
      <c r="AA23" s="27">
        <f>股权价值增加表!AA17</f>
        <v>0</v>
      </c>
      <c r="AB23" s="27">
        <f>股权价值增加表!AB17</f>
        <v>0</v>
      </c>
      <c r="AC23" s="27">
        <f>股权价值增加表!AC17</f>
        <v>1610413.9297069919</v>
      </c>
      <c r="AD23" s="27">
        <f>股权价值增加表!AD17</f>
        <v>0</v>
      </c>
      <c r="AE23" s="27">
        <f>股权价值增加表!AE17</f>
        <v>0</v>
      </c>
      <c r="AF23" s="27">
        <f>股权价值增加表!AF17</f>
        <v>0</v>
      </c>
      <c r="AG23" s="27">
        <f>股权价值增加表!AG17</f>
        <v>-219717.24026850861</v>
      </c>
      <c r="AH23" s="27">
        <f>股权价值增加表!AH17</f>
        <v>0</v>
      </c>
      <c r="AI23" s="27">
        <f>股权价值增加表!AI17</f>
        <v>0</v>
      </c>
      <c r="AJ23" s="27">
        <f>股权价值增加表!AJ17</f>
        <v>0</v>
      </c>
      <c r="AK23" s="27">
        <f>股权价值增加表!AK17</f>
        <v>-945836.89967821585</v>
      </c>
      <c r="AL23" s="27">
        <f>股权价值增加表!AL17</f>
        <v>0</v>
      </c>
      <c r="AM23" s="27">
        <f>股权价值增加表!AM17</f>
        <v>0</v>
      </c>
      <c r="AN23" s="27">
        <f>股权价值增加表!AN17</f>
        <v>0</v>
      </c>
      <c r="AO23" s="27">
        <f>股权价值增加表!AO17</f>
        <v>-286174.01</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376</v>
      </c>
      <c r="E24" s="57">
        <f>E23/E2</f>
        <v>0.23034277199774722</v>
      </c>
      <c r="F24" s="57">
        <f t="shared" ref="F24:BQ24" si="25">F23/F2</f>
        <v>0.2163314381075272</v>
      </c>
      <c r="G24" s="57">
        <f t="shared" si="25"/>
        <v>0.19827753773519294</v>
      </c>
      <c r="H24" s="57">
        <f t="shared" si="25"/>
        <v>0.18592806426005229</v>
      </c>
      <c r="I24" s="57">
        <f t="shared" si="25"/>
        <v>0.26098110565361454</v>
      </c>
      <c r="J24" s="57">
        <f t="shared" si="25"/>
        <v>0.20926392752523174</v>
      </c>
      <c r="K24" s="57">
        <f t="shared" si="25"/>
        <v>0.19077539027087786</v>
      </c>
      <c r="L24" s="57">
        <f t="shared" si="25"/>
        <v>0.17513404676937727</v>
      </c>
      <c r="M24" s="57">
        <f t="shared" si="25"/>
        <v>0.23699727395716072</v>
      </c>
      <c r="N24" s="57">
        <f t="shared" si="25"/>
        <v>0.20544400239400987</v>
      </c>
      <c r="O24" s="57">
        <f t="shared" si="25"/>
        <v>0.20712440551829789</v>
      </c>
      <c r="P24" s="57">
        <f t="shared" si="25"/>
        <v>0.19923934517876579</v>
      </c>
      <c r="Q24" s="57">
        <f t="shared" si="25"/>
        <v>0.25161380048347826</v>
      </c>
      <c r="R24" s="57">
        <f t="shared" si="25"/>
        <v>0.24128882785028771</v>
      </c>
      <c r="S24" s="57">
        <f t="shared" si="25"/>
        <v>0.23969221042971398</v>
      </c>
      <c r="T24" s="57">
        <f t="shared" si="25"/>
        <v>0.24566335541564518</v>
      </c>
      <c r="U24" s="57">
        <f t="shared" si="25"/>
        <v>0.24585212864452355</v>
      </c>
      <c r="V24" s="57">
        <f t="shared" si="25"/>
        <v>0.24243774647823554</v>
      </c>
      <c r="W24" s="57">
        <f t="shared" si="25"/>
        <v>0.20433735787899882</v>
      </c>
      <c r="X24" s="57" t="e">
        <f t="shared" si="25"/>
        <v>#DIV/0!</v>
      </c>
      <c r="Y24" s="57" t="e">
        <f t="shared" si="25"/>
        <v>#DIV/0!</v>
      </c>
      <c r="Z24" s="57" t="e">
        <f t="shared" si="25"/>
        <v>#DIV/0!</v>
      </c>
      <c r="AA24" s="57" t="e">
        <f t="shared" si="25"/>
        <v>#DIV/0!</v>
      </c>
      <c r="AB24" s="57" t="e">
        <f t="shared" si="25"/>
        <v>#DIV/0!</v>
      </c>
      <c r="AC24" s="57" t="e">
        <f t="shared" si="25"/>
        <v>#DIV/0!</v>
      </c>
      <c r="AD24" s="57" t="e">
        <f t="shared" si="25"/>
        <v>#DIV/0!</v>
      </c>
      <c r="AE24" s="57" t="e">
        <f t="shared" si="25"/>
        <v>#DIV/0!</v>
      </c>
      <c r="AF24" s="57" t="e">
        <f t="shared" si="25"/>
        <v>#DIV/0!</v>
      </c>
      <c r="AG24" s="57" t="e">
        <f t="shared" si="25"/>
        <v>#DIV/0!</v>
      </c>
      <c r="AH24" s="57" t="e">
        <f t="shared" si="25"/>
        <v>#DIV/0!</v>
      </c>
      <c r="AI24" s="57" t="e">
        <f t="shared" si="25"/>
        <v>#DIV/0!</v>
      </c>
      <c r="AJ24" s="57" t="e">
        <f t="shared" si="25"/>
        <v>#DIV/0!</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108.75" customHeight="1" thickBot="1">
      <c r="A25" s="237" t="s">
        <v>649</v>
      </c>
      <c r="B25" s="238"/>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row>
    <row r="26" spans="1:89" s="63" customFormat="1" ht="14.25" thickBot="1">
      <c r="A26" s="158" t="s">
        <v>608</v>
      </c>
      <c r="B26" s="159"/>
      <c r="C26" s="159"/>
      <c r="D26" s="159"/>
      <c r="E26" s="160" t="e">
        <f>POWER(E2/Y2,1/6)-1</f>
        <v>#DIV/0!</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41274</v>
      </c>
      <c r="W27" s="1">
        <v>40908</v>
      </c>
      <c r="X27" s="1">
        <v>25569</v>
      </c>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136717569.61000001</v>
      </c>
      <c r="F28" s="26">
        <f>股权价值增加表!F15</f>
        <v>92368207.700000003</v>
      </c>
      <c r="G28" s="26">
        <f>股权价值增加表!G15</f>
        <v>52483445.699999988</v>
      </c>
      <c r="H28" s="26">
        <f>股权价值增加表!H15</f>
        <v>21838792.960000001</v>
      </c>
      <c r="I28" s="26">
        <f>股权价值增加表!I15</f>
        <v>102032253.99000001</v>
      </c>
      <c r="J28" s="26">
        <f>股权价值增加表!J15</f>
        <v>60807538.339999996</v>
      </c>
      <c r="K28" s="26">
        <f>股权价值增加表!K15</f>
        <v>36357750.619999997</v>
      </c>
      <c r="L28" s="26">
        <f>股权价值增加表!L15</f>
        <v>16458632.610000005</v>
      </c>
      <c r="M28" s="26">
        <f>股权价值增加表!M15</f>
        <v>89907184.660000011</v>
      </c>
      <c r="N28" s="26">
        <f>股权价值增加表!N15</f>
        <v>60113620.919999994</v>
      </c>
      <c r="O28" s="26">
        <f>股权价值增加表!O15</f>
        <v>38787304.500000015</v>
      </c>
      <c r="P28" s="26">
        <f>股权价值增加表!P15</f>
        <v>19917197.230000008</v>
      </c>
      <c r="Q28" s="26">
        <f>股权价值增加表!Q15</f>
        <v>105489778.49999999</v>
      </c>
      <c r="R28" s="26">
        <f>股权价值增加表!R15</f>
        <v>75127154.260000005</v>
      </c>
      <c r="S28" s="26">
        <f>股权价值增加表!S15</f>
        <v>47432992.980000004</v>
      </c>
      <c r="T28" s="26">
        <f>股权价值增加表!T15</f>
        <v>23640304.310000002</v>
      </c>
      <c r="U28" s="26">
        <f>股权价值增加表!U15</f>
        <v>96114049.940000013</v>
      </c>
      <c r="V28" s="26">
        <f>股权价值增加表!V15</f>
        <v>87876240.480000034</v>
      </c>
      <c r="W28" s="26">
        <f>股权价值增加表!W15</f>
        <v>57166647.420000002</v>
      </c>
      <c r="X28" s="26">
        <f>股权价值增加表!X15</f>
        <v>0</v>
      </c>
      <c r="Y28" s="26">
        <f>股权价值增加表!Y15</f>
        <v>0</v>
      </c>
      <c r="Z28" s="26">
        <f>股权价值增加表!Z15</f>
        <v>0</v>
      </c>
      <c r="AA28" s="26">
        <f>股权价值增加表!AA15</f>
        <v>0</v>
      </c>
      <c r="AB28" s="26">
        <f>股权价值增加表!AB15</f>
        <v>0</v>
      </c>
      <c r="AC28" s="26">
        <f>股权价值增加表!AC15</f>
        <v>-331430.78000000003</v>
      </c>
      <c r="AD28" s="26">
        <f>股权价值增加表!AD15</f>
        <v>0</v>
      </c>
      <c r="AE28" s="26">
        <f>股权价值增加表!AE15</f>
        <v>0</v>
      </c>
      <c r="AF28" s="26">
        <f>股权价值增加表!AF15</f>
        <v>0</v>
      </c>
      <c r="AG28" s="26">
        <f>股权价值增加表!AG15</f>
        <v>-66967.98</v>
      </c>
      <c r="AH28" s="26">
        <f>股权价值增加表!AH15</f>
        <v>0</v>
      </c>
      <c r="AI28" s="26">
        <f>股权价值增加表!AI15</f>
        <v>0</v>
      </c>
      <c r="AJ28" s="26">
        <f>股权价值增加表!AJ15</f>
        <v>0</v>
      </c>
      <c r="AK28" s="26">
        <f>股权价值增加表!AK15</f>
        <v>-350489.64</v>
      </c>
      <c r="AL28" s="26">
        <f>股权价值增加表!AL15</f>
        <v>0</v>
      </c>
      <c r="AM28" s="26">
        <f>股权价值增加表!AM15</f>
        <v>0</v>
      </c>
      <c r="AN28" s="26">
        <f>股权价值增加表!AN15</f>
        <v>0</v>
      </c>
      <c r="AO28" s="26">
        <f>股权价值增加表!AO15</f>
        <v>-286174.01</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50" t="s">
        <v>383</v>
      </c>
      <c r="E29" s="59">
        <f t="shared" ref="E29:AJ29" si="27">E28/E34</f>
        <v>0.90297116618452311</v>
      </c>
      <c r="F29" s="59">
        <f t="shared" si="27"/>
        <v>0.99704447980980526</v>
      </c>
      <c r="G29" s="59">
        <f t="shared" si="27"/>
        <v>0.99496179459534861</v>
      </c>
      <c r="H29" s="59">
        <f t="shared" si="27"/>
        <v>0.99234855071466133</v>
      </c>
      <c r="I29" s="59">
        <f t="shared" si="27"/>
        <v>0.88862244819446357</v>
      </c>
      <c r="J29" s="59">
        <f t="shared" si="27"/>
        <v>0.98573385762510912</v>
      </c>
      <c r="K29" s="59">
        <f t="shared" si="27"/>
        <v>0.984466508498691</v>
      </c>
      <c r="L29" s="59">
        <f t="shared" si="27"/>
        <v>0.9799494065340304</v>
      </c>
      <c r="M29" s="59">
        <f t="shared" si="27"/>
        <v>0.92949120564570986</v>
      </c>
      <c r="N29" s="59">
        <f t="shared" si="27"/>
        <v>0.99848371715632556</v>
      </c>
      <c r="O29" s="59">
        <f t="shared" si="27"/>
        <v>1</v>
      </c>
      <c r="P29" s="59">
        <f t="shared" si="27"/>
        <v>1</v>
      </c>
      <c r="Q29" s="59">
        <f t="shared" si="27"/>
        <v>0.99738189972936508</v>
      </c>
      <c r="R29" s="59">
        <f t="shared" si="27"/>
        <v>1</v>
      </c>
      <c r="S29" s="59">
        <f t="shared" si="27"/>
        <v>1</v>
      </c>
      <c r="T29" s="59">
        <f t="shared" si="27"/>
        <v>1</v>
      </c>
      <c r="U29" s="59">
        <f t="shared" si="27"/>
        <v>1</v>
      </c>
      <c r="V29" s="59">
        <f t="shared" si="27"/>
        <v>1</v>
      </c>
      <c r="W29" s="59">
        <f t="shared" si="27"/>
        <v>1</v>
      </c>
      <c r="X29" s="59" t="e">
        <f t="shared" si="27"/>
        <v>#DIV/0!</v>
      </c>
      <c r="Y29" s="59">
        <f t="shared" si="27"/>
        <v>0</v>
      </c>
      <c r="Z29" s="59" t="e">
        <f t="shared" si="27"/>
        <v>#DIV/0!</v>
      </c>
      <c r="AA29" s="59" t="e">
        <f t="shared" si="27"/>
        <v>#DIV/0!</v>
      </c>
      <c r="AB29" s="59" t="e">
        <f t="shared" si="27"/>
        <v>#DIV/0!</v>
      </c>
      <c r="AC29" s="59">
        <f t="shared" si="27"/>
        <v>-9.9988653488198801E-3</v>
      </c>
      <c r="AD29" s="59" t="e">
        <f t="shared" si="27"/>
        <v>#DIV/0!</v>
      </c>
      <c r="AE29" s="59" t="e">
        <f t="shared" si="27"/>
        <v>#DIV/0!</v>
      </c>
      <c r="AF29" s="59" t="e">
        <f t="shared" si="27"/>
        <v>#DIV/0!</v>
      </c>
      <c r="AG29" s="59">
        <f t="shared" si="27"/>
        <v>-6.6623966482826258E-2</v>
      </c>
      <c r="AH29" s="59" t="e">
        <f t="shared" si="27"/>
        <v>#DIV/0!</v>
      </c>
      <c r="AI29" s="59" t="e">
        <f t="shared" si="27"/>
        <v>#DIV/0!</v>
      </c>
      <c r="AJ29" s="59" t="e">
        <f t="shared" si="27"/>
        <v>#DIV/0!</v>
      </c>
      <c r="AK29" s="59">
        <f t="shared" ref="AK29:BP29" si="28">AK28/AK34</f>
        <v>-9.5203025910507028E-2</v>
      </c>
      <c r="AL29" s="59">
        <f t="shared" si="28"/>
        <v>0</v>
      </c>
      <c r="AM29" s="59" t="e">
        <f t="shared" si="28"/>
        <v>#DIV/0!</v>
      </c>
      <c r="AN29" s="59">
        <f t="shared" si="28"/>
        <v>0</v>
      </c>
      <c r="AO29" s="59">
        <f t="shared" si="28"/>
        <v>-0.29561690371142302</v>
      </c>
      <c r="AP29" s="59" t="e">
        <f t="shared" si="28"/>
        <v>#DIV/0!</v>
      </c>
      <c r="AQ29" s="59" t="e">
        <f t="shared" si="28"/>
        <v>#DIV/0!</v>
      </c>
      <c r="AR29" s="59" t="e">
        <f t="shared" si="28"/>
        <v>#DIV/0!</v>
      </c>
      <c r="AS29" s="59" t="e">
        <f t="shared" si="28"/>
        <v>#DIV/0!</v>
      </c>
      <c r="AT29" s="59">
        <f t="shared" si="28"/>
        <v>0</v>
      </c>
      <c r="AU29" s="59">
        <f t="shared" si="28"/>
        <v>0</v>
      </c>
      <c r="AV29" s="59" t="e">
        <f t="shared" si="28"/>
        <v>#DIV/0!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379</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50" t="s">
        <v>384</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t="e">
        <f t="shared" si="30"/>
        <v>#DIV/0!</v>
      </c>
      <c r="Y31" s="59">
        <f t="shared" si="30"/>
        <v>0</v>
      </c>
      <c r="Z31" s="59" t="e">
        <f t="shared" si="30"/>
        <v>#DIV/0!</v>
      </c>
      <c r="AA31" s="59" t="e">
        <f t="shared" si="30"/>
        <v>#DIV/0!</v>
      </c>
      <c r="AB31" s="59" t="e">
        <f t="shared" si="30"/>
        <v>#DIV/0!</v>
      </c>
      <c r="AC31" s="59">
        <f t="shared" si="30"/>
        <v>0</v>
      </c>
      <c r="AD31" s="59" t="e">
        <f t="shared" si="30"/>
        <v>#DIV/0!</v>
      </c>
      <c r="AE31" s="59" t="e">
        <f t="shared" si="30"/>
        <v>#DIV/0!</v>
      </c>
      <c r="AF31" s="59" t="e">
        <f t="shared" si="30"/>
        <v>#DIV/0!</v>
      </c>
      <c r="AG31" s="59">
        <f t="shared" si="30"/>
        <v>0</v>
      </c>
      <c r="AH31" s="59" t="e">
        <f t="shared" si="30"/>
        <v>#DIV/0!</v>
      </c>
      <c r="AI31" s="59" t="e">
        <f t="shared" si="30"/>
        <v>#DIV/0!</v>
      </c>
      <c r="AJ31" s="59" t="e">
        <f t="shared" si="30"/>
        <v>#DIV/0!</v>
      </c>
      <c r="AK31" s="59">
        <f t="shared" si="30"/>
        <v>0</v>
      </c>
      <c r="AL31" s="59">
        <f t="shared" si="30"/>
        <v>0</v>
      </c>
      <c r="AM31" s="59" t="e">
        <f t="shared" si="30"/>
        <v>#DIV/0!</v>
      </c>
      <c r="AN31" s="59">
        <f t="shared" si="30"/>
        <v>0</v>
      </c>
      <c r="AO31" s="59">
        <f t="shared" si="30"/>
        <v>0</v>
      </c>
      <c r="AP31" s="59" t="e">
        <f t="shared" si="30"/>
        <v>#DIV/0!</v>
      </c>
      <c r="AQ31" s="59" t="e">
        <f t="shared" si="30"/>
        <v>#DIV/0!</v>
      </c>
      <c r="AR31" s="59" t="e">
        <f t="shared" si="30"/>
        <v>#DIV/0!</v>
      </c>
      <c r="AS31" s="59" t="e">
        <f t="shared" si="30"/>
        <v>#DIV/0!</v>
      </c>
      <c r="AT31" s="59">
        <f t="shared" si="30"/>
        <v>0</v>
      </c>
      <c r="AU31" s="59">
        <f t="shared" si="30"/>
        <v>0</v>
      </c>
      <c r="AV31" s="59" t="e">
        <f t="shared" si="30"/>
        <v>#DIV/0!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380</v>
      </c>
      <c r="E32" s="26">
        <f>股权价值增加表!E27</f>
        <v>14690996.609999999</v>
      </c>
      <c r="F32" s="26">
        <f>股权价值增加表!F27</f>
        <v>273805.33999999997</v>
      </c>
      <c r="G32" s="26">
        <f>股权价值增加表!G27</f>
        <v>265761.33999999997</v>
      </c>
      <c r="H32" s="26">
        <f>股权价值增加表!H27</f>
        <v>168386.82</v>
      </c>
      <c r="I32" s="26">
        <f>股权价值增加表!I27</f>
        <v>12788448.77</v>
      </c>
      <c r="J32" s="26">
        <f>股权价值增加表!J27</f>
        <v>880043.83</v>
      </c>
      <c r="K32" s="26">
        <f>股权价值增加表!K27</f>
        <v>573673.97</v>
      </c>
      <c r="L32" s="26">
        <f>股权价值增加表!L27</f>
        <v>336757.54</v>
      </c>
      <c r="M32" s="26">
        <f>股权价值增加表!M27</f>
        <v>6820126.0599999996</v>
      </c>
      <c r="N32" s="26">
        <f>股权价值增加表!N27</f>
        <v>91287.67</v>
      </c>
      <c r="O32" s="26">
        <f>股权价值增加表!O27</f>
        <v>0</v>
      </c>
      <c r="P32" s="26">
        <f>股权价值增加表!P27</f>
        <v>0</v>
      </c>
      <c r="Q32" s="26">
        <f>股权价值增加表!Q27</f>
        <v>276907.78999999998</v>
      </c>
      <c r="R32" s="26">
        <f>股权价值增加表!R27</f>
        <v>0</v>
      </c>
      <c r="S32" s="26">
        <f>股权价值增加表!S27</f>
        <v>0</v>
      </c>
      <c r="T32" s="26">
        <f>股权价值增加表!T27</f>
        <v>0</v>
      </c>
      <c r="U32" s="26">
        <f>股权价值增加表!U27</f>
        <v>0</v>
      </c>
      <c r="V32" s="26">
        <f>股权价值增加表!V27</f>
        <v>0</v>
      </c>
      <c r="W32" s="26">
        <f>股权价值增加表!W27</f>
        <v>0</v>
      </c>
      <c r="X32" s="26">
        <f>股权价值增加表!X27</f>
        <v>0</v>
      </c>
      <c r="Y32" s="26">
        <f>股权价值增加表!Y27</f>
        <v>1100350.93</v>
      </c>
      <c r="Z32" s="26">
        <f>股权价值增加表!Z27</f>
        <v>0</v>
      </c>
      <c r="AA32" s="26">
        <f>股权价值增加表!AA27</f>
        <v>0</v>
      </c>
      <c r="AB32" s="26">
        <f>股权价值增加表!AB27</f>
        <v>0</v>
      </c>
      <c r="AC32" s="26">
        <f>股权价值增加表!AC27</f>
        <v>33478269.789999999</v>
      </c>
      <c r="AD32" s="26">
        <f>股权价值增加表!AD27</f>
        <v>0</v>
      </c>
      <c r="AE32" s="26">
        <f>股权价值增加表!AE27</f>
        <v>0</v>
      </c>
      <c r="AF32" s="26">
        <f>股权价值增加表!AF27</f>
        <v>0</v>
      </c>
      <c r="AG32" s="26">
        <f>股权价值增加表!AG27</f>
        <v>1072131.49</v>
      </c>
      <c r="AH32" s="26">
        <f>股权价值增加表!AH27</f>
        <v>0</v>
      </c>
      <c r="AI32" s="26">
        <f>股权价值增加表!AI27</f>
        <v>0</v>
      </c>
      <c r="AJ32" s="26">
        <f>股权价值增加表!AJ27</f>
        <v>0</v>
      </c>
      <c r="AK32" s="26">
        <f>股权价值增加表!AK27</f>
        <v>4031986.49</v>
      </c>
      <c r="AL32" s="26">
        <f>股权价值增加表!AL27</f>
        <v>666438.85</v>
      </c>
      <c r="AM32" s="26">
        <f>股权价值增加表!AM27</f>
        <v>0</v>
      </c>
      <c r="AN32" s="26">
        <f>股权价值增加表!AN27</f>
        <v>987723.72</v>
      </c>
      <c r="AO32" s="26">
        <f>股权价值增加表!AO27</f>
        <v>1254231</v>
      </c>
      <c r="AP32" s="26">
        <f>股权价值增加表!AP27</f>
        <v>0</v>
      </c>
      <c r="AQ32" s="26">
        <f>股权价值增加表!AQ27</f>
        <v>0</v>
      </c>
      <c r="AR32" s="26">
        <f>股权价值增加表!AR27</f>
        <v>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50" t="s">
        <v>385</v>
      </c>
      <c r="E33" s="59">
        <f>E32/E34</f>
        <v>9.702883381547682E-2</v>
      </c>
      <c r="F33" s="59">
        <f t="shared" ref="F33:BQ33" si="32">F32/F34</f>
        <v>2.9555201901946921E-3</v>
      </c>
      <c r="G33" s="59">
        <f t="shared" si="32"/>
        <v>5.0382054046513303E-3</v>
      </c>
      <c r="H33" s="59">
        <f t="shared" si="32"/>
        <v>7.651449285338641E-3</v>
      </c>
      <c r="I33" s="59">
        <f t="shared" si="32"/>
        <v>0.11137755180553642</v>
      </c>
      <c r="J33" s="59">
        <f t="shared" si="32"/>
        <v>1.426614237489088E-2</v>
      </c>
      <c r="K33" s="59">
        <f t="shared" si="32"/>
        <v>1.5533491501309022E-2</v>
      </c>
      <c r="L33" s="59">
        <f t="shared" si="32"/>
        <v>2.0050593465969581E-2</v>
      </c>
      <c r="M33" s="59">
        <f t="shared" si="32"/>
        <v>7.0508794354290083E-2</v>
      </c>
      <c r="N33" s="59">
        <f t="shared" si="32"/>
        <v>1.5162828436743583E-3</v>
      </c>
      <c r="O33" s="59">
        <f t="shared" si="32"/>
        <v>0</v>
      </c>
      <c r="P33" s="59">
        <f t="shared" si="32"/>
        <v>0</v>
      </c>
      <c r="Q33" s="59">
        <f t="shared" si="32"/>
        <v>2.6181002706348474E-3</v>
      </c>
      <c r="R33" s="59">
        <f t="shared" si="32"/>
        <v>0</v>
      </c>
      <c r="S33" s="59">
        <f t="shared" si="32"/>
        <v>0</v>
      </c>
      <c r="T33" s="59">
        <f t="shared" si="32"/>
        <v>0</v>
      </c>
      <c r="U33" s="59">
        <f t="shared" si="32"/>
        <v>0</v>
      </c>
      <c r="V33" s="59">
        <f t="shared" si="32"/>
        <v>0</v>
      </c>
      <c r="W33" s="59">
        <f t="shared" si="32"/>
        <v>0</v>
      </c>
      <c r="X33" s="59" t="e">
        <f t="shared" si="32"/>
        <v>#DIV/0!</v>
      </c>
      <c r="Y33" s="59">
        <f t="shared" si="32"/>
        <v>1</v>
      </c>
      <c r="Z33" s="59" t="e">
        <f t="shared" si="32"/>
        <v>#DIV/0!</v>
      </c>
      <c r="AA33" s="59" t="e">
        <f t="shared" si="32"/>
        <v>#DIV/0!</v>
      </c>
      <c r="AB33" s="59" t="e">
        <f t="shared" si="32"/>
        <v>#DIV/0!</v>
      </c>
      <c r="AC33" s="59">
        <f t="shared" si="32"/>
        <v>1.0099988653488199</v>
      </c>
      <c r="AD33" s="59" t="e">
        <f t="shared" si="32"/>
        <v>#DIV/0!</v>
      </c>
      <c r="AE33" s="59" t="e">
        <f t="shared" si="32"/>
        <v>#DIV/0!</v>
      </c>
      <c r="AF33" s="59" t="e">
        <f t="shared" si="32"/>
        <v>#DIV/0!</v>
      </c>
      <c r="AG33" s="59">
        <f t="shared" si="32"/>
        <v>1.0666239664828263</v>
      </c>
      <c r="AH33" s="59" t="e">
        <f t="shared" si="32"/>
        <v>#DIV/0!</v>
      </c>
      <c r="AI33" s="59" t="e">
        <f t="shared" si="32"/>
        <v>#DIV/0!</v>
      </c>
      <c r="AJ33" s="59" t="e">
        <f t="shared" si="32"/>
        <v>#DIV/0!</v>
      </c>
      <c r="AK33" s="59">
        <f t="shared" si="32"/>
        <v>1.095203025910507</v>
      </c>
      <c r="AL33" s="59">
        <f t="shared" si="32"/>
        <v>1</v>
      </c>
      <c r="AM33" s="59" t="e">
        <f t="shared" si="32"/>
        <v>#DIV/0!</v>
      </c>
      <c r="AN33" s="59">
        <f t="shared" si="32"/>
        <v>1</v>
      </c>
      <c r="AO33" s="59">
        <f t="shared" si="32"/>
        <v>1.2956169037114231</v>
      </c>
      <c r="AP33" s="59" t="e">
        <f t="shared" si="32"/>
        <v>#DIV/0!</v>
      </c>
      <c r="AQ33" s="59" t="e">
        <f t="shared" si="32"/>
        <v>#DIV/0!</v>
      </c>
      <c r="AR33" s="59" t="e">
        <f t="shared" si="32"/>
        <v>#DIV/0!</v>
      </c>
      <c r="AS33" s="59" t="e">
        <f t="shared" si="32"/>
        <v>#DIV/0!</v>
      </c>
      <c r="AT33" s="59">
        <f t="shared" si="32"/>
        <v>1</v>
      </c>
      <c r="AU33" s="59">
        <f t="shared" si="32"/>
        <v>1</v>
      </c>
      <c r="AV33" s="59" t="e">
        <f t="shared" si="32"/>
        <v>#DIV/0!</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c r="A34" s="150" t="s">
        <v>381</v>
      </c>
      <c r="E34" s="58">
        <f>股权价值增加表!E31</f>
        <v>151408566.22000003</v>
      </c>
      <c r="F34" s="58">
        <f>股权价值增加表!F31</f>
        <v>92642013.040000007</v>
      </c>
      <c r="G34" s="58">
        <f>股权价值增加表!G31</f>
        <v>52749207.039999992</v>
      </c>
      <c r="H34" s="58">
        <f>股权价值增加表!H31</f>
        <v>22007179.780000001</v>
      </c>
      <c r="I34" s="58">
        <f>股权价值增加表!I31</f>
        <v>114820702.76000001</v>
      </c>
      <c r="J34" s="58">
        <f>股权价值增加表!J31</f>
        <v>61687582.169999994</v>
      </c>
      <c r="K34" s="58">
        <f>股权价值增加表!K31</f>
        <v>36931424.589999996</v>
      </c>
      <c r="L34" s="58">
        <f>股权价值增加表!L31</f>
        <v>16795390.150000006</v>
      </c>
      <c r="M34" s="58">
        <f>股权价值增加表!M31</f>
        <v>96727310.720000014</v>
      </c>
      <c r="N34" s="58">
        <f>股权价值增加表!N31</f>
        <v>60204908.589999996</v>
      </c>
      <c r="O34" s="58">
        <f>股权价值增加表!O31</f>
        <v>38787304.500000015</v>
      </c>
      <c r="P34" s="58">
        <f>股权价值增加表!P31</f>
        <v>19917197.230000008</v>
      </c>
      <c r="Q34" s="58">
        <f>股权价值增加表!Q31</f>
        <v>105766686.28999999</v>
      </c>
      <c r="R34" s="58">
        <f>股权价值增加表!R31</f>
        <v>75127154.260000005</v>
      </c>
      <c r="S34" s="58">
        <f>股权价值增加表!S31</f>
        <v>47432992.980000004</v>
      </c>
      <c r="T34" s="58">
        <f>股权价值增加表!T31</f>
        <v>23640304.310000002</v>
      </c>
      <c r="U34" s="58">
        <f>股权价值增加表!U31</f>
        <v>96114049.940000013</v>
      </c>
      <c r="V34" s="58">
        <f>股权价值增加表!V31</f>
        <v>87876240.480000034</v>
      </c>
      <c r="W34" s="58">
        <f>股权价值增加表!W31</f>
        <v>57166647.420000002</v>
      </c>
      <c r="X34" s="58">
        <f>股权价值增加表!X31</f>
        <v>0</v>
      </c>
      <c r="Y34" s="58">
        <f>股权价值增加表!Y31</f>
        <v>1100350.93</v>
      </c>
      <c r="Z34" s="58">
        <f>股权价值增加表!Z31</f>
        <v>0</v>
      </c>
      <c r="AA34" s="58">
        <f>股权价值增加表!AA31</f>
        <v>0</v>
      </c>
      <c r="AB34" s="58">
        <f>股权价值增加表!AB31</f>
        <v>0</v>
      </c>
      <c r="AC34" s="58">
        <f>股权价值增加表!AC31</f>
        <v>33146839.009999998</v>
      </c>
      <c r="AD34" s="58">
        <f>股权价值增加表!AD31</f>
        <v>0</v>
      </c>
      <c r="AE34" s="58">
        <f>股权价值增加表!AE31</f>
        <v>0</v>
      </c>
      <c r="AF34" s="58">
        <f>股权价值增加表!AF31</f>
        <v>0</v>
      </c>
      <c r="AG34" s="58">
        <f>股权价值增加表!AG31</f>
        <v>1005163.51</v>
      </c>
      <c r="AH34" s="58">
        <f>股权价值增加表!AH31</f>
        <v>0</v>
      </c>
      <c r="AI34" s="58">
        <f>股权价值增加表!AI31</f>
        <v>0</v>
      </c>
      <c r="AJ34" s="58">
        <f>股权价值增加表!AJ31</f>
        <v>0</v>
      </c>
      <c r="AK34" s="58">
        <f>股权价值增加表!AK31</f>
        <v>3681496.85</v>
      </c>
      <c r="AL34" s="58">
        <f>股权价值增加表!AL31</f>
        <v>666438.85</v>
      </c>
      <c r="AM34" s="58">
        <f>股权价值增加表!AM31</f>
        <v>0</v>
      </c>
      <c r="AN34" s="58">
        <f>股权价值增加表!AN31</f>
        <v>987723.72</v>
      </c>
      <c r="AO34" s="58">
        <f>股权价值增加表!AO31</f>
        <v>968056.99</v>
      </c>
      <c r="AP34" s="58">
        <f>股权价值增加表!AP31</f>
        <v>0</v>
      </c>
      <c r="AQ34" s="58">
        <f>股权价值增加表!AQ31</f>
        <v>0</v>
      </c>
      <c r="AR34" s="58">
        <f>股权价值增加表!AR31</f>
        <v>0</v>
      </c>
      <c r="AS34" s="58">
        <f>股权价值增加表!AS31</f>
        <v>0</v>
      </c>
      <c r="AT34" s="58">
        <f>股权价值增加表!AT31</f>
        <v>3145948.9100000262</v>
      </c>
      <c r="AU34" s="58">
        <f>股权价值增加表!AU31</f>
        <v>3221938.3999999762</v>
      </c>
      <c r="AV34" s="58">
        <f>股权价值增加表!AV31</f>
        <v>0</v>
      </c>
      <c r="AW34" s="58">
        <f>股权价值增加表!AW31</f>
        <v>106002085.7</v>
      </c>
      <c r="AX34" s="58">
        <f>股权价值增加表!AX31</f>
        <v>78146813.989999995</v>
      </c>
      <c r="AY34" s="58">
        <f>股权价值增加表!AY31</f>
        <v>31508275.550000001</v>
      </c>
      <c r="AZ34" s="58">
        <f>股权价值增加表!AZ31</f>
        <v>6818330.1399999997</v>
      </c>
      <c r="BA34" s="58">
        <f>股权价值增加表!BA31</f>
        <v>-52414533.450000003</v>
      </c>
      <c r="BB34" s="58">
        <f>股权价值增加表!BB31</f>
        <v>-47415743.689999998</v>
      </c>
      <c r="BC34" s="58">
        <f>股权价值增加表!BC31</f>
        <v>-4476487.08</v>
      </c>
      <c r="BD34" s="58">
        <f>股权价值增加表!BD31</f>
        <v>13731417.210000001</v>
      </c>
      <c r="BE34" s="58">
        <f>股权价值增加表!BE31</f>
        <v>74080792.579999998</v>
      </c>
      <c r="BF34" s="58">
        <f>股权价值增加表!BF31</f>
        <v>53634658.140000001</v>
      </c>
      <c r="BG34" s="58">
        <f>股权价值增加表!BG31</f>
        <v>44718368.039999999</v>
      </c>
      <c r="BH34" s="58">
        <f>股权价值增加表!BH31</f>
        <v>13012623.23</v>
      </c>
      <c r="BI34" s="58">
        <f>股权价值增加表!BI31</f>
        <v>129351232.81999999</v>
      </c>
      <c r="BJ34" s="58">
        <f>股权价值增加表!BJ31</f>
        <v>126231548.87</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37" t="s">
        <v>650</v>
      </c>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41274</v>
      </c>
      <c r="W38" s="1">
        <v>40908</v>
      </c>
      <c r="X38" s="1">
        <v>25569</v>
      </c>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151408566.22000003</v>
      </c>
      <c r="F39" s="26">
        <f>股权价值增加表!F31</f>
        <v>92642013.040000007</v>
      </c>
      <c r="G39" s="26">
        <f>股权价值增加表!G31</f>
        <v>52749207.039999992</v>
      </c>
      <c r="H39" s="26">
        <f>股权价值增加表!H31</f>
        <v>22007179.780000001</v>
      </c>
      <c r="I39" s="26">
        <f>股权价值增加表!I31</f>
        <v>114820702.76000001</v>
      </c>
      <c r="J39" s="26">
        <f>股权价值增加表!J31</f>
        <v>61687582.169999994</v>
      </c>
      <c r="K39" s="26">
        <f>股权价值增加表!K31</f>
        <v>36931424.589999996</v>
      </c>
      <c r="L39" s="26">
        <f>股权价值增加表!L31</f>
        <v>16795390.150000006</v>
      </c>
      <c r="M39" s="26">
        <f>股权价值增加表!M31</f>
        <v>96727310.720000014</v>
      </c>
      <c r="N39" s="26">
        <f>股权价值增加表!N31</f>
        <v>60204908.589999996</v>
      </c>
      <c r="O39" s="26">
        <f>股权价值增加表!O31</f>
        <v>38787304.500000015</v>
      </c>
      <c r="P39" s="26">
        <f>股权价值增加表!P31</f>
        <v>19917197.230000008</v>
      </c>
      <c r="Q39" s="26">
        <f>股权价值增加表!Q31</f>
        <v>105766686.28999999</v>
      </c>
      <c r="R39" s="26">
        <f>股权价值增加表!R31</f>
        <v>75127154.260000005</v>
      </c>
      <c r="S39" s="26">
        <f>股权价值增加表!S31</f>
        <v>47432992.980000004</v>
      </c>
      <c r="T39" s="26">
        <f>股权价值增加表!T31</f>
        <v>23640304.310000002</v>
      </c>
      <c r="U39" s="26">
        <f>股权价值增加表!U31</f>
        <v>96114049.940000013</v>
      </c>
      <c r="V39" s="26">
        <f>股权价值增加表!V31</f>
        <v>87876240.480000034</v>
      </c>
      <c r="W39" s="26">
        <f>股权价值增加表!W31</f>
        <v>57166647.420000002</v>
      </c>
      <c r="X39" s="26">
        <f>股权价值增加表!X31</f>
        <v>0</v>
      </c>
      <c r="Y39" s="26">
        <f>股权价值增加表!Y31</f>
        <v>1100350.93</v>
      </c>
      <c r="Z39" s="26">
        <f>股权价值增加表!Z31</f>
        <v>0</v>
      </c>
      <c r="AA39" s="26">
        <f>股权价值增加表!AA31</f>
        <v>0</v>
      </c>
      <c r="AB39" s="26">
        <f>股权价值增加表!AB31</f>
        <v>0</v>
      </c>
      <c r="AC39" s="26">
        <f>股权价值增加表!AC31</f>
        <v>33146839.009999998</v>
      </c>
      <c r="AD39" s="26">
        <f>股权价值增加表!AD31</f>
        <v>0</v>
      </c>
      <c r="AE39" s="26">
        <f>股权价值增加表!AE31</f>
        <v>0</v>
      </c>
      <c r="AF39" s="26">
        <f>股权价值增加表!AF31</f>
        <v>0</v>
      </c>
      <c r="AG39" s="26">
        <f>股权价值增加表!AG31</f>
        <v>1005163.51</v>
      </c>
      <c r="AH39" s="26">
        <f>股权价值增加表!AH31</f>
        <v>0</v>
      </c>
      <c r="AI39" s="26">
        <f>股权价值增加表!AI31</f>
        <v>0</v>
      </c>
      <c r="AJ39" s="26">
        <f>股权价值增加表!AJ31</f>
        <v>0</v>
      </c>
      <c r="AK39" s="26">
        <f>股权价值增加表!AK31</f>
        <v>3681496.85</v>
      </c>
      <c r="AL39" s="26">
        <f>股权价值增加表!AL31</f>
        <v>666438.85</v>
      </c>
      <c r="AM39" s="26">
        <f>股权价值增加表!AM31</f>
        <v>0</v>
      </c>
      <c r="AN39" s="26">
        <f>股权价值增加表!AN31</f>
        <v>987723.72</v>
      </c>
      <c r="AO39" s="26">
        <f>股权价值增加表!AO31</f>
        <v>968056.99</v>
      </c>
      <c r="AP39" s="26">
        <f>股权价值增加表!AP31</f>
        <v>0</v>
      </c>
      <c r="AQ39" s="26">
        <f>股权价值增加表!AQ31</f>
        <v>0</v>
      </c>
      <c r="AR39" s="26">
        <f>股权价值增加表!AR31</f>
        <v>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139995994.77000004</v>
      </c>
      <c r="F40" s="26">
        <f>股权价值增加表!F38</f>
        <v>91562199.960000008</v>
      </c>
      <c r="G40" s="26">
        <f>股权价值增加表!G38</f>
        <v>52228104.479999989</v>
      </c>
      <c r="H40" s="26">
        <f>股权价值增加表!H38</f>
        <v>20533038.130000003</v>
      </c>
      <c r="I40" s="26">
        <f>股权价值增加表!I38</f>
        <v>114358386.34</v>
      </c>
      <c r="J40" s="26">
        <f>股权价值增加表!J38</f>
        <v>70239793.060000002</v>
      </c>
      <c r="K40" s="26">
        <f>股权价值增加表!K38</f>
        <v>41728531.109999999</v>
      </c>
      <c r="L40" s="26">
        <f>股权价值增加表!L38</f>
        <v>18732734.570000008</v>
      </c>
      <c r="M40" s="26">
        <f>股权价值增加表!M38</f>
        <v>96252723.190000013</v>
      </c>
      <c r="N40" s="26">
        <f>股权价值增加表!N38</f>
        <v>61142586.289999999</v>
      </c>
      <c r="O40" s="26">
        <f>股权价值增加表!O38</f>
        <v>38655971.760000013</v>
      </c>
      <c r="P40" s="26">
        <f>股权价值增加表!P38</f>
        <v>19759854.130000006</v>
      </c>
      <c r="Q40" s="26">
        <f>股权价值增加表!Q38</f>
        <v>104360413.89999999</v>
      </c>
      <c r="R40" s="26">
        <f>股权价值增加表!R38</f>
        <v>74383247.020000011</v>
      </c>
      <c r="S40" s="26">
        <f>股权价值增加表!S38</f>
        <v>47079665.010000005</v>
      </c>
      <c r="T40" s="26">
        <f>股权价值增加表!T38</f>
        <v>23479868.870000001</v>
      </c>
      <c r="U40" s="26">
        <f>股权价值增加表!U38</f>
        <v>94287964.690000013</v>
      </c>
      <c r="V40" s="26">
        <f>股权价值增加表!V38</f>
        <v>85438131.770000041</v>
      </c>
      <c r="W40" s="26">
        <f>股权价值增加表!W38</f>
        <v>57148962.25</v>
      </c>
      <c r="X40" s="26">
        <f>股权价值增加表!X38</f>
        <v>0</v>
      </c>
      <c r="Y40" s="26">
        <f>股权价值增加表!Y38</f>
        <v>14248413.879999999</v>
      </c>
      <c r="Z40" s="26">
        <f>股权价值增加表!Z38</f>
        <v>10178527.93</v>
      </c>
      <c r="AA40" s="26">
        <f>股权价值增加表!AA38</f>
        <v>6197878.7800000003</v>
      </c>
      <c r="AB40" s="26">
        <f>股权价值增加表!AB38</f>
        <v>3242186.46</v>
      </c>
      <c r="AC40" s="26">
        <f>股权价值增加表!AC38</f>
        <v>12833832.989999998</v>
      </c>
      <c r="AD40" s="26">
        <f>股权价值增加表!AD38</f>
        <v>8810880.1899999995</v>
      </c>
      <c r="AE40" s="26">
        <f>股权价值增加表!AE38</f>
        <v>5510384.21</v>
      </c>
      <c r="AF40" s="26">
        <f>股权价值增加表!AF38</f>
        <v>1621693.85</v>
      </c>
      <c r="AG40" s="26">
        <f>股权价值增加表!AG38</f>
        <v>-23957562.469999995</v>
      </c>
      <c r="AH40" s="26">
        <f>股权价值增加表!AH38</f>
        <v>-18279179.75</v>
      </c>
      <c r="AI40" s="26">
        <f>股权价值增加表!AI38</f>
        <v>-12063791.359999999</v>
      </c>
      <c r="AJ40" s="26">
        <f>股权价值增加表!AJ38</f>
        <v>-5378055.4400000004</v>
      </c>
      <c r="AK40" s="26">
        <f>股权价值增加表!AK38</f>
        <v>-17114867.199999996</v>
      </c>
      <c r="AL40" s="26">
        <f>股权价值增加表!AL38</f>
        <v>-11806444.9</v>
      </c>
      <c r="AM40" s="26">
        <f>股权价值增加表!AM38</f>
        <v>-12428777.24</v>
      </c>
      <c r="AN40" s="26">
        <f>股权价值增加表!AN38</f>
        <v>-8784689.2199999988</v>
      </c>
      <c r="AO40" s="26">
        <f>股权价值增加表!AO38</f>
        <v>-287177.33000000007</v>
      </c>
      <c r="AP40" s="26">
        <f>股权价值增加表!AP38</f>
        <v>-989032.06</v>
      </c>
      <c r="AQ40" s="26">
        <f>股权价值增加表!AQ38</f>
        <v>-342462.79</v>
      </c>
      <c r="AR40" s="26">
        <f>股权价值增加表!AR38</f>
        <v>229725.21</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388</v>
      </c>
      <c r="E41" s="59">
        <f>1-E40/E39</f>
        <v>7.5375995790206929E-2</v>
      </c>
      <c r="F41" s="59">
        <f t="shared" ref="F41:BQ41" si="34">1-F40/F39</f>
        <v>1.1655760108901903E-2</v>
      </c>
      <c r="G41" s="59">
        <f t="shared" si="34"/>
        <v>9.878870019881969E-3</v>
      </c>
      <c r="H41" s="59">
        <f t="shared" si="34"/>
        <v>6.6984577975760851E-2</v>
      </c>
      <c r="I41" s="59">
        <f t="shared" si="34"/>
        <v>4.0264204005643345E-3</v>
      </c>
      <c r="J41" s="59">
        <f t="shared" si="34"/>
        <v>-0.13863747920013525</v>
      </c>
      <c r="K41" s="59">
        <f t="shared" si="34"/>
        <v>-0.12989226852892455</v>
      </c>
      <c r="L41" s="59">
        <f t="shared" si="34"/>
        <v>-0.11534977173483529</v>
      </c>
      <c r="M41" s="59">
        <f t="shared" si="34"/>
        <v>4.9064481010312466E-3</v>
      </c>
      <c r="N41" s="59">
        <f t="shared" si="34"/>
        <v>-1.5574771591892356E-2</v>
      </c>
      <c r="O41" s="59">
        <f t="shared" si="34"/>
        <v>3.3859723353553139E-3</v>
      </c>
      <c r="P41" s="59">
        <f t="shared" si="34"/>
        <v>7.8998615208271117E-3</v>
      </c>
      <c r="Q41" s="59">
        <f t="shared" si="34"/>
        <v>1.3295986092862644E-2</v>
      </c>
      <c r="R41" s="59">
        <f t="shared" si="34"/>
        <v>9.9019754884562827E-3</v>
      </c>
      <c r="S41" s="59">
        <f t="shared" si="34"/>
        <v>7.4489916786186772E-3</v>
      </c>
      <c r="T41" s="59">
        <f t="shared" si="34"/>
        <v>6.7865217763772856E-3</v>
      </c>
      <c r="U41" s="59">
        <f t="shared" si="34"/>
        <v>1.8999149980049257E-2</v>
      </c>
      <c r="V41" s="59">
        <f t="shared" si="34"/>
        <v>2.7744799921827434E-2</v>
      </c>
      <c r="W41" s="59">
        <f t="shared" si="34"/>
        <v>3.0936167849882068E-4</v>
      </c>
      <c r="X41" s="59" t="e">
        <f t="shared" si="34"/>
        <v>#DIV/0!</v>
      </c>
      <c r="Y41" s="59">
        <f t="shared" si="34"/>
        <v>-11.948972451906775</v>
      </c>
      <c r="Z41" s="59" t="e">
        <f t="shared" si="34"/>
        <v>#DIV/0!</v>
      </c>
      <c r="AA41" s="59" t="e">
        <f t="shared" si="34"/>
        <v>#DIV/0!</v>
      </c>
      <c r="AB41" s="59" t="e">
        <f t="shared" si="34"/>
        <v>#DIV/0!</v>
      </c>
      <c r="AC41" s="59">
        <f t="shared" si="34"/>
        <v>0.61281879740845913</v>
      </c>
      <c r="AD41" s="59" t="e">
        <f t="shared" si="34"/>
        <v>#DIV/0!</v>
      </c>
      <c r="AE41" s="59" t="e">
        <f t="shared" si="34"/>
        <v>#DIV/0!</v>
      </c>
      <c r="AF41" s="59" t="e">
        <f t="shared" si="34"/>
        <v>#DIV/0!</v>
      </c>
      <c r="AG41" s="59">
        <f t="shared" si="34"/>
        <v>24.834492827938007</v>
      </c>
      <c r="AH41" s="59" t="e">
        <f t="shared" si="34"/>
        <v>#DIV/0!</v>
      </c>
      <c r="AI41" s="59" t="e">
        <f t="shared" si="34"/>
        <v>#DIV/0!</v>
      </c>
      <c r="AJ41" s="59" t="e">
        <f t="shared" si="34"/>
        <v>#DIV/0!</v>
      </c>
      <c r="AK41" s="59">
        <f t="shared" si="34"/>
        <v>5.6488881825336872</v>
      </c>
      <c r="AL41" s="59">
        <f t="shared" si="34"/>
        <v>18.715721254845814</v>
      </c>
      <c r="AM41" s="59" t="e">
        <f t="shared" si="34"/>
        <v>#DIV/0!</v>
      </c>
      <c r="AN41" s="59">
        <f t="shared" si="34"/>
        <v>9.8938728939302969</v>
      </c>
      <c r="AO41" s="59">
        <f t="shared" si="34"/>
        <v>1.2966533302961845</v>
      </c>
      <c r="AP41" s="59" t="e">
        <f t="shared" si="34"/>
        <v>#DIV/0!</v>
      </c>
      <c r="AQ41" s="59" t="e">
        <f t="shared" si="34"/>
        <v>#DIV/0!</v>
      </c>
      <c r="AR41" s="59" t="e">
        <f t="shared" si="34"/>
        <v>#DIV/0!</v>
      </c>
      <c r="AS41" s="59" t="e">
        <f t="shared" si="34"/>
        <v>#DIV/0!</v>
      </c>
      <c r="AT41" s="59">
        <f t="shared" si="34"/>
        <v>-7.1995451922325753</v>
      </c>
      <c r="AU41" s="59">
        <f t="shared" si="34"/>
        <v>-2.5901201152697588</v>
      </c>
      <c r="AV41" s="59" t="e">
        <f t="shared" si="34"/>
        <v>#DIV/0!</v>
      </c>
      <c r="AW41" s="59">
        <f t="shared" si="34"/>
        <v>-0.21368300661653872</v>
      </c>
      <c r="AX41" s="59">
        <f t="shared" si="34"/>
        <v>-0.17108713788012997</v>
      </c>
      <c r="AY41" s="59">
        <f t="shared" si="34"/>
        <v>-0.25584694494649995</v>
      </c>
      <c r="AZ41" s="59">
        <f t="shared" si="34"/>
        <v>-0.5172804084842979</v>
      </c>
      <c r="BA41" s="59">
        <f t="shared" si="34"/>
        <v>0.15898477676900891</v>
      </c>
      <c r="BB41" s="59">
        <f t="shared" si="34"/>
        <v>1.7332614149703329E-2</v>
      </c>
      <c r="BC41" s="59">
        <f t="shared" si="34"/>
        <v>0.46278491437084635</v>
      </c>
      <c r="BD41" s="59">
        <f t="shared" si="34"/>
        <v>-0.26461146321836937</v>
      </c>
      <c r="BE41" s="59">
        <f t="shared" si="34"/>
        <v>-0.16976287809581647</v>
      </c>
      <c r="BF41" s="59">
        <f t="shared" si="34"/>
        <v>-0.1329970999606338</v>
      </c>
      <c r="BG41" s="59">
        <f t="shared" si="34"/>
        <v>-6.5763125733244054E-2</v>
      </c>
      <c r="BH41" s="59">
        <f t="shared" si="34"/>
        <v>-0.1934183081699814</v>
      </c>
      <c r="BI41" s="59">
        <f t="shared" si="34"/>
        <v>6.7606241234431264E-2</v>
      </c>
      <c r="BJ41" s="59">
        <f t="shared" si="34"/>
        <v>0.11605968255279631</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433</v>
      </c>
      <c r="E42" s="157">
        <f>E39/(E39-E40)</f>
        <v>13.266823071675068</v>
      </c>
      <c r="F42" s="29">
        <f t="shared" ref="F42:BQ42" si="36">F39/(F39-F40)</f>
        <v>85.794490505708779</v>
      </c>
      <c r="G42" s="29">
        <f t="shared" si="36"/>
        <v>101.22615218010012</v>
      </c>
      <c r="H42" s="29">
        <f t="shared" si="36"/>
        <v>14.928809439717019</v>
      </c>
      <c r="I42" s="29">
        <f t="shared" si="36"/>
        <v>248.35956023365893</v>
      </c>
      <c r="J42" s="29">
        <f t="shared" si="36"/>
        <v>-7.2130567128706451</v>
      </c>
      <c r="K42" s="29">
        <f t="shared" si="36"/>
        <v>-7.6986876226379835</v>
      </c>
      <c r="L42" s="29">
        <f t="shared" si="36"/>
        <v>-8.6692846024766155</v>
      </c>
      <c r="M42" s="29">
        <f t="shared" si="36"/>
        <v>203.81342661911023</v>
      </c>
      <c r="N42" s="29">
        <f t="shared" si="36"/>
        <v>-64.206399053747148</v>
      </c>
      <c r="O42" s="29">
        <f t="shared" si="36"/>
        <v>295.33614009727808</v>
      </c>
      <c r="P42" s="29">
        <f t="shared" si="36"/>
        <v>126.58449738183511</v>
      </c>
      <c r="Q42" s="29">
        <f t="shared" si="36"/>
        <v>75.210668318674692</v>
      </c>
      <c r="R42" s="29">
        <f t="shared" si="36"/>
        <v>100.98994904257222</v>
      </c>
      <c r="S42" s="29">
        <f t="shared" si="36"/>
        <v>134.24635751310649</v>
      </c>
      <c r="T42" s="29">
        <f t="shared" si="36"/>
        <v>147.35088649988933</v>
      </c>
      <c r="U42" s="29">
        <f t="shared" si="36"/>
        <v>52.6339336786166</v>
      </c>
      <c r="V42" s="29">
        <f t="shared" si="36"/>
        <v>36.042790101840978</v>
      </c>
      <c r="W42" s="29">
        <f t="shared" si="36"/>
        <v>3232.4624202082437</v>
      </c>
      <c r="X42" s="29" t="e">
        <f t="shared" si="36"/>
        <v>#DIV/0!</v>
      </c>
      <c r="Y42" s="29">
        <f t="shared" si="36"/>
        <v>-8.3689204575948584E-2</v>
      </c>
      <c r="Z42" s="29">
        <f t="shared" si="36"/>
        <v>0</v>
      </c>
      <c r="AA42" s="29">
        <f t="shared" si="36"/>
        <v>0</v>
      </c>
      <c r="AB42" s="29">
        <f t="shared" si="36"/>
        <v>0</v>
      </c>
      <c r="AC42" s="29">
        <f t="shared" si="36"/>
        <v>1.6318037309378988</v>
      </c>
      <c r="AD42" s="29">
        <f t="shared" si="36"/>
        <v>0</v>
      </c>
      <c r="AE42" s="29">
        <f t="shared" si="36"/>
        <v>0</v>
      </c>
      <c r="AF42" s="29">
        <f t="shared" si="36"/>
        <v>0</v>
      </c>
      <c r="AG42" s="29">
        <f t="shared" si="36"/>
        <v>4.0266576286793823E-2</v>
      </c>
      <c r="AH42" s="29">
        <f t="shared" si="36"/>
        <v>0</v>
      </c>
      <c r="AI42" s="29">
        <f t="shared" si="36"/>
        <v>0</v>
      </c>
      <c r="AJ42" s="29">
        <f t="shared" si="36"/>
        <v>0</v>
      </c>
      <c r="AK42" s="29">
        <f t="shared" si="36"/>
        <v>0.17702598594392277</v>
      </c>
      <c r="AL42" s="29">
        <f t="shared" si="36"/>
        <v>5.3431015902797939E-2</v>
      </c>
      <c r="AM42" s="29">
        <f t="shared" si="36"/>
        <v>0</v>
      </c>
      <c r="AN42" s="29">
        <f t="shared" si="36"/>
        <v>0.10107265483605321</v>
      </c>
      <c r="AO42" s="29">
        <f t="shared" si="36"/>
        <v>0.77121615827075218</v>
      </c>
      <c r="AP42" s="29">
        <f t="shared" si="36"/>
        <v>0</v>
      </c>
      <c r="AQ42" s="29">
        <f t="shared" si="36"/>
        <v>0</v>
      </c>
      <c r="AR42" s="29">
        <f t="shared" si="36"/>
        <v>0</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237"/>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c r="AD43" s="238"/>
      <c r="AE43" s="238"/>
      <c r="AF43" s="238"/>
      <c r="AG43" s="238"/>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41274</v>
      </c>
      <c r="W46" s="1">
        <v>40908</v>
      </c>
      <c r="X46" s="1">
        <v>25569</v>
      </c>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429</v>
      </c>
      <c r="E47" s="26">
        <f>股权价值增加表!E42</f>
        <v>116960765.83000004</v>
      </c>
      <c r="F47" s="26">
        <f>股权价值增加表!F42</f>
        <v>75811239.540000007</v>
      </c>
      <c r="G47" s="26">
        <f>股权价值增加表!G42</f>
        <v>42741082.93999999</v>
      </c>
      <c r="H47" s="26">
        <f>股权价值增加表!H42</f>
        <v>16945944.760000002</v>
      </c>
      <c r="I47" s="26">
        <f>股权价值增加表!I42</f>
        <v>97715772.560000002</v>
      </c>
      <c r="J47" s="26">
        <f>股权价值增加表!J42</f>
        <v>60409812.090000004</v>
      </c>
      <c r="K47" s="26">
        <f>股权价值增加表!K42</f>
        <v>36134349.719999999</v>
      </c>
      <c r="L47" s="26">
        <f>股权价值增加表!L42</f>
        <v>16039270.350000007</v>
      </c>
      <c r="M47" s="26">
        <f>股权价值增加表!M42</f>
        <v>82097801.940000013</v>
      </c>
      <c r="N47" s="26">
        <f>股权价值增加表!N42</f>
        <v>51974603.859999999</v>
      </c>
      <c r="O47" s="26">
        <f>股权价值增加表!O42</f>
        <v>33427425.780000012</v>
      </c>
      <c r="P47" s="26">
        <f>股权价值增加表!P42</f>
        <v>16490673.110000007</v>
      </c>
      <c r="Q47" s="26">
        <f>股权价值增加表!Q42</f>
        <v>88860436.429999992</v>
      </c>
      <c r="R47" s="26">
        <f>股权价值增加表!R42</f>
        <v>63510447.330000013</v>
      </c>
      <c r="S47" s="26">
        <f>股权价值增加表!S42</f>
        <v>40031563.690000005</v>
      </c>
      <c r="T47" s="26">
        <f>股权价值增加表!T42</f>
        <v>20223903.43</v>
      </c>
      <c r="U47" s="26">
        <f>股权价值增加表!U42</f>
        <v>80267804.860000014</v>
      </c>
      <c r="V47" s="26">
        <f>股权价值增加表!V42</f>
        <v>72849073.570000038</v>
      </c>
      <c r="W47" s="26">
        <f>股权价值增加表!W42</f>
        <v>48973745.939999998</v>
      </c>
      <c r="X47" s="26">
        <f>股权价值增加表!X42</f>
        <v>0</v>
      </c>
      <c r="Y47" s="26">
        <f>股权价值增加表!Y42</f>
        <v>-70537286.090000004</v>
      </c>
      <c r="Z47" s="26">
        <f>股权价值增加表!Z42</f>
        <v>-63091413.130000003</v>
      </c>
      <c r="AA47" s="26">
        <f>股权价值增加表!AA42</f>
        <v>-36622980.57</v>
      </c>
      <c r="AB47" s="26">
        <f>股权价值增加表!AB42</f>
        <v>-10646044.530000001</v>
      </c>
      <c r="AC47" s="26">
        <f>股权价值增加表!AC42</f>
        <v>-62359275.800000012</v>
      </c>
      <c r="AD47" s="26">
        <f>股权价值增加表!AD42</f>
        <v>-54793381.890000001</v>
      </c>
      <c r="AE47" s="26">
        <f>股权价值增加表!AE42</f>
        <v>-29394152.939999998</v>
      </c>
      <c r="AF47" s="26">
        <f>股权价值增加表!AF42</f>
        <v>-9707939.5899999999</v>
      </c>
      <c r="AG47" s="26">
        <f>股权价值增加表!AG42</f>
        <v>-78603080.299999997</v>
      </c>
      <c r="AH47" s="26">
        <f>股权价值增加表!AH42</f>
        <v>-66045740.140000001</v>
      </c>
      <c r="AI47" s="26">
        <f>股权价值增加表!AI42</f>
        <v>-35683813.409999996</v>
      </c>
      <c r="AJ47" s="26">
        <f>股权价值增加表!AJ42</f>
        <v>-8294344.1100000003</v>
      </c>
      <c r="AK47" s="26">
        <f>股权价值增加表!AK42</f>
        <v>-46186451.989999995</v>
      </c>
      <c r="AL47" s="26">
        <f>股权价值增加表!AL42</f>
        <v>-35823249.020000003</v>
      </c>
      <c r="AM47" s="26">
        <f>股权价值增加表!AM42</f>
        <v>-35733277.469999999</v>
      </c>
      <c r="AN47" s="26">
        <f>股权价值增加表!AN42</f>
        <v>-19545940.589999996</v>
      </c>
      <c r="AO47" s="26">
        <f>股权价值增加表!AO42</f>
        <v>-287177.33000000007</v>
      </c>
      <c r="AP47" s="26">
        <f>股权价值增加表!AP42</f>
        <v>-27615171.18</v>
      </c>
      <c r="AQ47" s="26">
        <f>股权价值增加表!AQ42</f>
        <v>-31120172.960000001</v>
      </c>
      <c r="AR47" s="26">
        <f>股权价值增加表!AR42</f>
        <v>-16785423.550000001</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432</v>
      </c>
      <c r="E48" s="63">
        <f>股权价值增加表!E43</f>
        <v>0.23586628694389303</v>
      </c>
      <c r="F48" s="63">
        <f>股权价值增加表!F43</f>
        <v>0.2144437235154425</v>
      </c>
      <c r="G48" s="63">
        <f>股权价值增加表!G43</f>
        <v>0.19731288254328164</v>
      </c>
      <c r="H48" s="63">
        <f>股权价值增加表!H43</f>
        <v>0.17481131122407711</v>
      </c>
      <c r="I48" s="63">
        <f>股权价值增加表!I43</f>
        <v>0.29250925017006385</v>
      </c>
      <c r="J48" s="63">
        <f>股权价值增加表!J43</f>
        <v>0.24172422310715627</v>
      </c>
      <c r="K48" s="63">
        <f>股权价值增加表!K43</f>
        <v>0.21895680211749904</v>
      </c>
      <c r="L48" s="63">
        <f>股权价值增加表!L43</f>
        <v>0.19933245306826924</v>
      </c>
      <c r="M48" s="63">
        <f>股权价值增加表!M43</f>
        <v>0.25372425010581112</v>
      </c>
      <c r="N48" s="63">
        <f>股权价值增加表!N43</f>
        <v>0.20896058916257201</v>
      </c>
      <c r="O48" s="63">
        <f>股权价值增加表!O43</f>
        <v>0.20642308801123602</v>
      </c>
      <c r="P48" s="63">
        <f>股权价值增加表!P43</f>
        <v>0.19766538194235328</v>
      </c>
      <c r="Q48" s="63">
        <f>股权价值增加表!Q43</f>
        <v>0.24892004452742131</v>
      </c>
      <c r="R48" s="63">
        <f>股权价值增加表!R43</f>
        <v>0.23889959179127582</v>
      </c>
      <c r="S48" s="63">
        <f>股权价值增加表!S43</f>
        <v>0.23790674514879329</v>
      </c>
      <c r="T48" s="63">
        <f>股权价值增加表!T43</f>
        <v>0.24399615570445898</v>
      </c>
      <c r="U48" s="63">
        <f>股权价值增加表!U43</f>
        <v>0.24118114717949191</v>
      </c>
      <c r="V48" s="63">
        <f>股权价值增加表!V43</f>
        <v>0.23571135970869814</v>
      </c>
      <c r="W48" s="63">
        <f>股权价值增加表!W43</f>
        <v>0.20427414373098535</v>
      </c>
      <c r="X48" s="63" t="e">
        <f>股权价值增加表!X43</f>
        <v>#DIV/0!</v>
      </c>
      <c r="Y48" s="63" t="e">
        <f>股权价值增加表!Y43</f>
        <v>#DIV/0!</v>
      </c>
      <c r="Z48" s="63" t="e">
        <f>股权价值增加表!Z43</f>
        <v>#DIV/0!</v>
      </c>
      <c r="AA48" s="63" t="e">
        <f>股权价值增加表!AA43</f>
        <v>#DIV/0!</v>
      </c>
      <c r="AB48" s="63" t="e">
        <f>股权价值增加表!AB43</f>
        <v>#DIV/0!</v>
      </c>
      <c r="AC48" s="63" t="e">
        <f>股权价值增加表!AC43</f>
        <v>#DIV/0!</v>
      </c>
      <c r="AD48" s="63" t="e">
        <f>股权价值增加表!AD43</f>
        <v>#DIV/0!</v>
      </c>
      <c r="AE48" s="63" t="e">
        <f>股权价值增加表!AE43</f>
        <v>#DIV/0!</v>
      </c>
      <c r="AF48" s="63" t="e">
        <f>股权价值增加表!AF43</f>
        <v>#DIV/0!</v>
      </c>
      <c r="AG48" s="63" t="e">
        <f>股权价值增加表!AG43</f>
        <v>#DIV/0!</v>
      </c>
      <c r="AH48" s="63" t="e">
        <f>股权价值增加表!AH43</f>
        <v>#DIV/0!</v>
      </c>
      <c r="AI48" s="63" t="e">
        <f>股权价值增加表!AI43</f>
        <v>#DIV/0!</v>
      </c>
      <c r="AJ48" s="63" t="e">
        <f>股权价值增加表!AJ43</f>
        <v>#DIV/0!</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430</v>
      </c>
      <c r="E49" s="59">
        <f>(E47-I47)/I47</f>
        <v>0.19694868868977236</v>
      </c>
      <c r="F49" s="59">
        <f t="shared" ref="F49:BQ49" si="38">(F47-J47)/J47</f>
        <v>0.25494910374914892</v>
      </c>
      <c r="G49" s="59">
        <f t="shared" si="38"/>
        <v>0.18283802728413931</v>
      </c>
      <c r="H49" s="59">
        <f t="shared" si="38"/>
        <v>5.6528407478336082E-2</v>
      </c>
      <c r="I49" s="59">
        <f t="shared" si="38"/>
        <v>0.19023616042015543</v>
      </c>
      <c r="J49" s="59">
        <f t="shared" si="38"/>
        <v>0.1622948056077787</v>
      </c>
      <c r="K49" s="59">
        <f t="shared" si="38"/>
        <v>8.0979132458939396E-2</v>
      </c>
      <c r="L49" s="59">
        <f t="shared" si="38"/>
        <v>-2.7373216180379408E-2</v>
      </c>
      <c r="M49" s="59">
        <f t="shared" si="38"/>
        <v>-7.610399815363568E-2</v>
      </c>
      <c r="N49" s="59">
        <f t="shared" si="38"/>
        <v>-0.18163694250270071</v>
      </c>
      <c r="O49" s="59">
        <f t="shared" si="38"/>
        <v>-0.1649732686222728</v>
      </c>
      <c r="P49" s="59">
        <f t="shared" si="38"/>
        <v>-0.18459494394450798</v>
      </c>
      <c r="Q49" s="59">
        <f t="shared" si="38"/>
        <v>0.10704953978730217</v>
      </c>
      <c r="R49" s="59">
        <f t="shared" si="38"/>
        <v>-0.12819142073271009</v>
      </c>
      <c r="S49" s="59">
        <f t="shared" si="38"/>
        <v>-0.18259134722827766</v>
      </c>
      <c r="T49" s="59" t="e">
        <f t="shared" si="38"/>
        <v>#DIV/0!</v>
      </c>
      <c r="U49" s="59">
        <f t="shared" si="38"/>
        <v>-2.1379485844916779</v>
      </c>
      <c r="V49" s="59">
        <f t="shared" si="38"/>
        <v>-2.1546590883912264</v>
      </c>
      <c r="W49" s="59">
        <f t="shared" si="38"/>
        <v>-2.33724085745542</v>
      </c>
      <c r="X49" s="59">
        <f t="shared" si="38"/>
        <v>-1</v>
      </c>
      <c r="Y49" s="59">
        <f t="shared" si="38"/>
        <v>0.13114344554334914</v>
      </c>
      <c r="Z49" s="59">
        <f t="shared" si="38"/>
        <v>0.15144221717612988</v>
      </c>
      <c r="AA49" s="59">
        <f t="shared" si="38"/>
        <v>0.24592740075741074</v>
      </c>
      <c r="AB49" s="59">
        <f t="shared" si="38"/>
        <v>9.6632754180539904E-2</v>
      </c>
      <c r="AC49" s="59">
        <f t="shared" si="38"/>
        <v>-0.20665608062690624</v>
      </c>
      <c r="AD49" s="59">
        <f t="shared" si="38"/>
        <v>-0.1703722030542453</v>
      </c>
      <c r="AE49" s="59">
        <f t="shared" si="38"/>
        <v>-0.17626088326752068</v>
      </c>
      <c r="AF49" s="59">
        <f t="shared" si="38"/>
        <v>0.1704288441922383</v>
      </c>
      <c r="AG49" s="59">
        <f t="shared" si="38"/>
        <v>0.70186444104904722</v>
      </c>
      <c r="AH49" s="59">
        <f t="shared" si="38"/>
        <v>0.84365578072292879</v>
      </c>
      <c r="AI49" s="59">
        <f t="shared" si="38"/>
        <v>-1.3842575745124446E-3</v>
      </c>
      <c r="AJ49" s="59">
        <f t="shared" si="38"/>
        <v>-0.57564876083561245</v>
      </c>
      <c r="AK49" s="59">
        <f t="shared" si="38"/>
        <v>159.82903197825533</v>
      </c>
      <c r="AL49" s="59">
        <f t="shared" si="38"/>
        <v>0.29723074271379563</v>
      </c>
      <c r="AM49" s="59">
        <f t="shared" si="38"/>
        <v>0.14823518223788168</v>
      </c>
      <c r="AN49" s="59">
        <f t="shared" si="38"/>
        <v>0.1644591828009008</v>
      </c>
      <c r="AO49" s="59" t="e">
        <f t="shared" si="38"/>
        <v>#DIV/0!</v>
      </c>
      <c r="AP49" s="59">
        <f t="shared" si="38"/>
        <v>-0.74099406575678561</v>
      </c>
      <c r="AQ49" s="59">
        <f t="shared" si="38"/>
        <v>-0.57244045224629003</v>
      </c>
      <c r="AR49" s="59">
        <f t="shared" si="38"/>
        <v>-0.28148746282950399</v>
      </c>
      <c r="AS49" s="59">
        <f t="shared" si="38"/>
        <v>-1</v>
      </c>
      <c r="AT49" s="59">
        <f t="shared" si="38"/>
        <v>-5.5592836011449389</v>
      </c>
      <c r="AU49" s="59">
        <f t="shared" si="38"/>
        <v>39.72616376640179</v>
      </c>
      <c r="AV49" s="59">
        <f t="shared" si="38"/>
        <v>1.1400585430277277</v>
      </c>
      <c r="AW49" s="59">
        <f t="shared" si="38"/>
        <v>-1.1080165044491646</v>
      </c>
      <c r="AX49" s="59">
        <f t="shared" si="38"/>
        <v>-1.1663265416575401</v>
      </c>
      <c r="AY49" s="59">
        <f t="shared" si="38"/>
        <v>-0.97456580116843294</v>
      </c>
      <c r="AZ49" s="59">
        <f t="shared" si="38"/>
        <v>-5.9760977653465296E-2</v>
      </c>
      <c r="BA49" s="59">
        <f t="shared" si="38"/>
        <v>2.3330062025403997</v>
      </c>
      <c r="BB49" s="59">
        <f t="shared" si="38"/>
        <v>3.2774954889014039</v>
      </c>
      <c r="BC49" s="59">
        <f t="shared" si="38"/>
        <v>2.8590617695613814</v>
      </c>
      <c r="BD49" s="59">
        <f t="shared" si="38"/>
        <v>-0.33373716707879392</v>
      </c>
      <c r="BE49" s="59">
        <f t="shared" si="38"/>
        <v>0.29631749445936439</v>
      </c>
      <c r="BF49" s="59">
        <f t="shared" si="38"/>
        <v>-11.223671478994232</v>
      </c>
      <c r="BG49" s="59">
        <f t="shared" si="38"/>
        <v>-2.2694583054759923</v>
      </c>
      <c r="BH49" s="59">
        <f t="shared" si="38"/>
        <v>0.30613886412072078</v>
      </c>
      <c r="BI49" s="59">
        <f t="shared" si="38"/>
        <v>-0.49836587121600534</v>
      </c>
      <c r="BJ49" s="59">
        <f t="shared" si="38"/>
        <v>-1.0823451450371084</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431</v>
      </c>
      <c r="E50" s="26">
        <f>股权价值增加表!E47</f>
        <v>37664015.783600032</v>
      </c>
      <c r="F50" s="26">
        <f>股权价值增加表!F47</f>
        <v>-239777.40399998426</v>
      </c>
      <c r="G50" s="26">
        <f>股权价值增加表!G47</f>
        <v>-30532722.137600012</v>
      </c>
      <c r="H50" s="26">
        <f>股权价值增加表!H47</f>
        <v>-55840652.486399993</v>
      </c>
      <c r="I50" s="26">
        <f>股权价值增加表!I47</f>
        <v>26284983.054399997</v>
      </c>
      <c r="J50" s="26">
        <f>股权价值增加表!J47</f>
        <v>-7720939.9219999909</v>
      </c>
      <c r="K50" s="26">
        <f>股权价值增加表!K47</f>
        <v>-31334525.302399993</v>
      </c>
      <c r="L50" s="26">
        <f>股权价值增加表!L47</f>
        <v>-49821998.322799988</v>
      </c>
      <c r="M50" s="26">
        <f>股权价值增加表!M47</f>
        <v>17519674.895200014</v>
      </c>
      <c r="N50" s="26">
        <f>股权价值增加表!N47</f>
        <v>-10194339.040799998</v>
      </c>
      <c r="O50" s="26">
        <f>股权价值增加表!O47</f>
        <v>-27257742.874399986</v>
      </c>
      <c r="P50" s="26">
        <f>股权价值增加表!P47</f>
        <v>-11966815.597199991</v>
      </c>
      <c r="Q50" s="26">
        <f>股权价值增加表!Q47</f>
        <v>61722201.57159999</v>
      </c>
      <c r="R50" s="26">
        <f>股权价值增加表!R47</f>
        <v>41884889.177200012</v>
      </c>
      <c r="S50" s="26">
        <f>股权价值增加表!S47</f>
        <v>24027429.926000006</v>
      </c>
      <c r="T50" s="26">
        <f>股权价值增加表!T47</f>
        <v>9647695.5515999999</v>
      </c>
      <c r="U50" s="26">
        <f>股权价值增加表!U47</f>
        <v>80267804.860000014</v>
      </c>
      <c r="V50" s="26">
        <f>股权价值增加表!V47</f>
        <v>72849073.570000038</v>
      </c>
      <c r="W50" s="26">
        <f>股权价值增加表!W47</f>
        <v>48973745.939999998</v>
      </c>
      <c r="X50" s="26">
        <f>股权价值增加表!X47</f>
        <v>0</v>
      </c>
      <c r="Y50" s="26">
        <f>股权价值增加表!Y47</f>
        <v>-305136449.58360004</v>
      </c>
      <c r="Z50" s="26">
        <f>股权价值增加表!Z47</f>
        <v>-290941711.84200001</v>
      </c>
      <c r="AA50" s="26">
        <f>股权价值增加表!AA47</f>
        <v>-257253242.97080001</v>
      </c>
      <c r="AB50" s="26">
        <f>股权价值增加表!AB47</f>
        <v>-230274872.03080001</v>
      </c>
      <c r="AC50" s="26">
        <f>股权价值增加表!AC47</f>
        <v>-278715939.17919999</v>
      </c>
      <c r="AD50" s="26">
        <f>股权价值增加表!AD47</f>
        <v>-268605924.7852</v>
      </c>
      <c r="AE50" s="26">
        <f>股权价值增加表!AE47</f>
        <v>-236323036.25599998</v>
      </c>
      <c r="AF50" s="26">
        <f>股权价值增加表!AF47</f>
        <v>-214445650.69800001</v>
      </c>
      <c r="AG50" s="26">
        <f>股权价值增加表!AG47</f>
        <v>-281214258.09360003</v>
      </c>
      <c r="AH50" s="26">
        <f>股权价值增加表!AH47</f>
        <v>-96801167.886399999</v>
      </c>
      <c r="AI50" s="26">
        <f>股权价值增加表!AI47</f>
        <v>-60640981.471599996</v>
      </c>
      <c r="AJ50" s="26">
        <f>股权价值增加表!AJ47</f>
        <v>-29580807.5964</v>
      </c>
      <c r="AK50" s="26">
        <f>股权价值增加表!AK47</f>
        <v>-60231249.3116</v>
      </c>
      <c r="AL50" s="26">
        <f>股权价值增加表!AL47</f>
        <v>-46185636.591200002</v>
      </c>
      <c r="AM50" s="26">
        <f>股权价值增加表!AM47</f>
        <v>-35733277.469999999</v>
      </c>
      <c r="AN50" s="26">
        <f>股权价值增加表!AN47</f>
        <v>-19545940.589999996</v>
      </c>
      <c r="AO50" s="26">
        <f>股权价值增加表!AO47</f>
        <v>-287177.33000000007</v>
      </c>
      <c r="AP50" s="26">
        <f>股权价值增加表!AP47</f>
        <v>-36136129.286399998</v>
      </c>
      <c r="AQ50" s="26">
        <f>股权价值增加表!AQ47</f>
        <v>-31120172.960000001</v>
      </c>
      <c r="AR50" s="26">
        <f>股权价值增加表!AR47</f>
        <v>-16785423.550000001</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237"/>
      <c r="B51" s="238"/>
      <c r="C51" s="238"/>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c r="AD51" s="238"/>
      <c r="AE51" s="238"/>
      <c r="AF51" s="238"/>
      <c r="AG51" s="238"/>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88" workbookViewId="0">
      <selection activeCell="Q101" sqref="Q101"/>
    </sheetView>
  </sheetViews>
  <sheetFormatPr defaultRowHeight="13.5"/>
  <cols>
    <col min="1" max="1" width="48.875" style="17" bestFit="1" customWidth="1"/>
    <col min="2" max="4" width="11.625" hidden="1" customWidth="1"/>
    <col min="5" max="5" width="18.375" bestFit="1" customWidth="1"/>
    <col min="6" max="8" width="18.375" hidden="1" customWidth="1"/>
    <col min="9" max="9" width="18.375" bestFit="1" customWidth="1"/>
    <col min="10" max="12" width="18.375" hidden="1" customWidth="1"/>
    <col min="13" max="13" width="18.375" bestFit="1" customWidth="1"/>
    <col min="14" max="16" width="18.375" hidden="1" customWidth="1"/>
    <col min="17" max="17" width="18.375" bestFit="1" customWidth="1"/>
    <col min="18" max="19" width="18.375" hidden="1" customWidth="1"/>
    <col min="20" max="20" width="17.25" hidden="1" customWidth="1"/>
    <col min="21" max="21" width="17.25" bestFit="1" customWidth="1"/>
    <col min="22" max="23" width="19.375" bestFit="1" customWidth="1"/>
    <col min="24" max="24" width="19.375" hidden="1" customWidth="1"/>
    <col min="25" max="33" width="19.375" bestFit="1" customWidth="1"/>
    <col min="34" max="43" width="17.25" bestFit="1" customWidth="1"/>
    <col min="44" max="84" width="19.375" bestFit="1" customWidth="1"/>
    <col min="85" max="87" width="17.25" bestFit="1" customWidth="1"/>
    <col min="88" max="89" width="16.125" bestFit="1" customWidth="1"/>
  </cols>
  <sheetData>
    <row r="1" spans="1:89" s="26" customFormat="1">
      <c r="A1" s="17">
        <v>300470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41274</v>
      </c>
      <c r="W1" s="1">
        <v>40908</v>
      </c>
      <c r="X1" s="1">
        <v>25569</v>
      </c>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429</v>
      </c>
      <c r="E2" s="26">
        <f>股权价值增加表!E42</f>
        <v>116960765.83000004</v>
      </c>
      <c r="F2" s="26">
        <f>股权价值增加表!F42</f>
        <v>75811239.540000007</v>
      </c>
      <c r="G2" s="26">
        <f>股权价值增加表!G42</f>
        <v>42741082.93999999</v>
      </c>
      <c r="H2" s="26">
        <f>股权价值增加表!H42</f>
        <v>16945944.760000002</v>
      </c>
      <c r="I2" s="26">
        <f>股权价值增加表!I42</f>
        <v>97715772.560000002</v>
      </c>
      <c r="J2" s="26">
        <f>股权价值增加表!J42</f>
        <v>60409812.090000004</v>
      </c>
      <c r="K2" s="26">
        <f>股权价值增加表!K42</f>
        <v>36134349.719999999</v>
      </c>
      <c r="L2" s="26">
        <f>股权价值增加表!L42</f>
        <v>16039270.350000007</v>
      </c>
      <c r="M2" s="26">
        <f>股权价值增加表!M42</f>
        <v>82097801.940000013</v>
      </c>
      <c r="N2" s="26">
        <f>股权价值增加表!N42</f>
        <v>51974603.859999999</v>
      </c>
      <c r="O2" s="26">
        <f>股权价值增加表!O42</f>
        <v>33427425.780000012</v>
      </c>
      <c r="P2" s="26">
        <f>股权价值增加表!P42</f>
        <v>16490673.110000007</v>
      </c>
      <c r="Q2" s="26">
        <f>股权价值增加表!Q42</f>
        <v>88860436.429999992</v>
      </c>
      <c r="R2" s="26">
        <f>股权价值增加表!R42</f>
        <v>63510447.330000013</v>
      </c>
      <c r="S2" s="26">
        <f>股权价值增加表!S42</f>
        <v>40031563.690000005</v>
      </c>
      <c r="T2" s="26">
        <f>股权价值增加表!T42</f>
        <v>20223903.43</v>
      </c>
      <c r="U2" s="26">
        <f>股权价值增加表!U42</f>
        <v>80267804.860000014</v>
      </c>
      <c r="V2" s="26">
        <f>股权价值增加表!V42</f>
        <v>72849073.570000038</v>
      </c>
      <c r="W2" s="26">
        <f>股权价值增加表!W42</f>
        <v>48973745.939999998</v>
      </c>
      <c r="X2" s="26">
        <f>股权价值增加表!X42</f>
        <v>0</v>
      </c>
      <c r="Y2" s="26">
        <f>股权价值增加表!Y42</f>
        <v>-70537286.090000004</v>
      </c>
      <c r="Z2" s="26">
        <f>股权价值增加表!Z42</f>
        <v>-63091413.130000003</v>
      </c>
      <c r="AA2" s="26">
        <f>股权价值增加表!AA42</f>
        <v>-36622980.57</v>
      </c>
      <c r="AB2" s="26">
        <f>股权价值增加表!AB42</f>
        <v>-10646044.530000001</v>
      </c>
      <c r="AC2" s="26">
        <f>股权价值增加表!AC42</f>
        <v>-62359275.800000012</v>
      </c>
      <c r="AD2" s="26">
        <f>股权价值增加表!AD42</f>
        <v>-54793381.890000001</v>
      </c>
      <c r="AE2" s="26">
        <f>股权价值增加表!AE42</f>
        <v>-29394152.939999998</v>
      </c>
      <c r="AF2" s="26">
        <f>股权价值增加表!AF42</f>
        <v>-9707939.5899999999</v>
      </c>
      <c r="AG2" s="26">
        <f>股权价值增加表!AG42</f>
        <v>-78603080.299999997</v>
      </c>
      <c r="AH2" s="26">
        <f>股权价值增加表!AH42</f>
        <v>-66045740.140000001</v>
      </c>
      <c r="AI2" s="26">
        <f>股权价值增加表!AI42</f>
        <v>-35683813.409999996</v>
      </c>
      <c r="AJ2" s="26">
        <f>股权价值增加表!AJ42</f>
        <v>-8294344.1100000003</v>
      </c>
      <c r="AK2" s="26">
        <f>股权价值增加表!AK42</f>
        <v>-46186451.989999995</v>
      </c>
      <c r="AL2" s="26">
        <f>股权价值增加表!AL42</f>
        <v>-35823249.020000003</v>
      </c>
      <c r="AM2" s="26">
        <f>股权价值增加表!AM42</f>
        <v>-35733277.469999999</v>
      </c>
      <c r="AN2" s="26">
        <f>股权价值增加表!AN42</f>
        <v>-19545940.589999996</v>
      </c>
      <c r="AO2" s="26">
        <f>股权价值增加表!AO42</f>
        <v>-287177.33000000007</v>
      </c>
      <c r="AP2" s="26">
        <f>股权价值增加表!AP42</f>
        <v>-27615171.18</v>
      </c>
      <c r="AQ2" s="26">
        <f>股权价值增加表!AQ42</f>
        <v>-31120172.960000001</v>
      </c>
      <c r="AR2" s="26">
        <f>股权价值增加表!AR42</f>
        <v>-16785423.550000001</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434</v>
      </c>
      <c r="E3" s="26">
        <f>资产资本表!E107</f>
        <v>991209375.57999992</v>
      </c>
      <c r="F3" s="26">
        <f>资产资本表!F107</f>
        <v>950637711.79999995</v>
      </c>
      <c r="G3" s="26">
        <f>资产资本表!G107</f>
        <v>915922563.47000003</v>
      </c>
      <c r="H3" s="26">
        <f>资产资本表!H107</f>
        <v>909832465.58000004</v>
      </c>
      <c r="I3" s="26">
        <f>资产资本表!I107</f>
        <v>892884868.82000005</v>
      </c>
      <c r="J3" s="26">
        <f>资产资本表!J107</f>
        <v>851634400.14999998</v>
      </c>
      <c r="K3" s="26">
        <f>资产资本表!K107</f>
        <v>843360937.77999997</v>
      </c>
      <c r="L3" s="26">
        <f>资产资本表!L107</f>
        <v>823265858.40999997</v>
      </c>
      <c r="M3" s="26">
        <f>资产资本表!M107</f>
        <v>807226588.05999994</v>
      </c>
      <c r="N3" s="26">
        <f>资产资本表!N107</f>
        <v>777111786.25999999</v>
      </c>
      <c r="O3" s="26">
        <f>资产资本表!O107</f>
        <v>758564608.17999995</v>
      </c>
      <c r="P3" s="26">
        <f>资产资本表!P107</f>
        <v>355718608.83999997</v>
      </c>
      <c r="Q3" s="26">
        <f>资产资本表!Q107</f>
        <v>339227935.73000002</v>
      </c>
      <c r="R3" s="26">
        <f>资产资本表!R107</f>
        <v>270319476.91000003</v>
      </c>
      <c r="S3" s="26">
        <f>资产资本表!S107</f>
        <v>200051672.05000001</v>
      </c>
      <c r="T3" s="26">
        <f>资产资本表!T107</f>
        <v>132202598.48</v>
      </c>
      <c r="U3" s="26">
        <f>资产资本表!U107</f>
        <v>0</v>
      </c>
      <c r="V3" s="26">
        <f>资产资本表!V107</f>
        <v>3123425916.3600001</v>
      </c>
      <c r="W3" s="26">
        <f>资产资本表!W107</f>
        <v>3008332106.3799996</v>
      </c>
      <c r="X3" s="26">
        <f>资产资本表!X107</f>
        <v>2979772636.0699997</v>
      </c>
      <c r="Y3" s="26">
        <f>资产资本表!Y107</f>
        <v>2932489543.6699996</v>
      </c>
      <c r="Z3" s="26">
        <f>资产资本表!Z107</f>
        <v>2848128733.9000001</v>
      </c>
      <c r="AA3" s="26">
        <f>资产资本表!AA107</f>
        <v>2757878280.0100002</v>
      </c>
      <c r="AB3" s="26">
        <f>资产资本表!AB107</f>
        <v>2745360343.7600002</v>
      </c>
      <c r="AC3" s="26">
        <f>资产资本表!AC107</f>
        <v>2704458292.2399998</v>
      </c>
      <c r="AD3" s="26">
        <f>资产资本表!AD107</f>
        <v>2672656786.1900001</v>
      </c>
      <c r="AE3" s="26">
        <f>资产资本表!AE107</f>
        <v>2586611041.4499998</v>
      </c>
      <c r="AF3" s="26">
        <f>资产资本表!AF107</f>
        <v>2559221388.8499999</v>
      </c>
      <c r="AG3" s="26">
        <f>资产资本表!AG107</f>
        <v>2532639722.4200001</v>
      </c>
      <c r="AH3" s="26">
        <f>资产资本表!AH107</f>
        <v>384442846.82999998</v>
      </c>
      <c r="AI3" s="26">
        <f>资产资本表!AI107</f>
        <v>311964600.76999998</v>
      </c>
      <c r="AJ3" s="26">
        <f>资产资本表!AJ107</f>
        <v>266080793.58000001</v>
      </c>
      <c r="AK3" s="26">
        <f>资产资本表!AK107</f>
        <v>175559966.52000001</v>
      </c>
      <c r="AL3" s="26">
        <f>资产资本表!AL107</f>
        <v>129529844.64</v>
      </c>
      <c r="AM3" s="26">
        <f>资产资本表!AM107</f>
        <v>0</v>
      </c>
      <c r="AN3" s="26">
        <f>资产资本表!AN107</f>
        <v>238736715.93000001</v>
      </c>
      <c r="AO3" s="26">
        <f>资产资本表!AO107</f>
        <v>174139245.78</v>
      </c>
      <c r="AP3" s="26">
        <f>资产资本表!AP107</f>
        <v>106511976.33</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50" t="s">
        <v>435</v>
      </c>
      <c r="E4" s="59">
        <f>E2/E3</f>
        <v>0.11799804230217373</v>
      </c>
      <c r="F4" s="59">
        <f t="shared" ref="F4:BQ4" si="0">F2/F3</f>
        <v>7.9747772047096696E-2</v>
      </c>
      <c r="G4" s="59">
        <f t="shared" si="0"/>
        <v>4.6664515805871318E-2</v>
      </c>
      <c r="H4" s="59">
        <f t="shared" si="0"/>
        <v>1.8625346314936453E-2</v>
      </c>
      <c r="I4" s="59">
        <f t="shared" si="0"/>
        <v>0.10943826687211886</v>
      </c>
      <c r="J4" s="59">
        <f t="shared" si="0"/>
        <v>7.0933973638641082E-2</v>
      </c>
      <c r="K4" s="59">
        <f t="shared" si="0"/>
        <v>4.2845652556682726E-2</v>
      </c>
      <c r="L4" s="59">
        <f t="shared" si="0"/>
        <v>1.9482491817378617E-2</v>
      </c>
      <c r="M4" s="59">
        <f t="shared" si="0"/>
        <v>0.10170354043627934</v>
      </c>
      <c r="N4" s="59">
        <f t="shared" si="0"/>
        <v>6.6881759843249552E-2</v>
      </c>
      <c r="O4" s="59">
        <f t="shared" si="0"/>
        <v>4.4066682546924217E-2</v>
      </c>
      <c r="P4" s="59">
        <f t="shared" si="0"/>
        <v>4.6358758581048563E-2</v>
      </c>
      <c r="Q4" s="59">
        <f t="shared" si="0"/>
        <v>0.2619490527476081</v>
      </c>
      <c r="R4" s="59">
        <f t="shared" si="0"/>
        <v>0.23494587980112561</v>
      </c>
      <c r="S4" s="59">
        <f t="shared" si="0"/>
        <v>0.20010611898307301</v>
      </c>
      <c r="T4" s="59">
        <f t="shared" si="0"/>
        <v>0.15297659548696035</v>
      </c>
      <c r="U4" s="59" t="e">
        <f t="shared" si="0"/>
        <v>#DIV/0!</v>
      </c>
      <c r="V4" s="59">
        <f t="shared" si="0"/>
        <v>2.3323451722811278E-2</v>
      </c>
      <c r="W4" s="59">
        <f t="shared" si="0"/>
        <v>1.6279368170867052E-2</v>
      </c>
      <c r="X4" s="59">
        <f t="shared" si="0"/>
        <v>0</v>
      </c>
      <c r="Y4" s="59">
        <f t="shared" si="0"/>
        <v>-2.4053721262965819E-2</v>
      </c>
      <c r="Z4" s="59">
        <f t="shared" si="0"/>
        <v>-2.2151882525200207E-2</v>
      </c>
      <c r="AA4" s="59">
        <f t="shared" si="0"/>
        <v>-1.327940425632824E-2</v>
      </c>
      <c r="AB4" s="59">
        <f t="shared" si="0"/>
        <v>-3.8778313944097241E-3</v>
      </c>
      <c r="AC4" s="59">
        <f t="shared" si="0"/>
        <v>-2.3057954333749478E-2</v>
      </c>
      <c r="AD4" s="59">
        <f t="shared" si="0"/>
        <v>-2.0501465872133393E-2</v>
      </c>
      <c r="AE4" s="59">
        <f t="shared" si="0"/>
        <v>-1.1363963297520856E-2</v>
      </c>
      <c r="AF4" s="59">
        <f t="shared" si="0"/>
        <v>-3.7933176208574575E-3</v>
      </c>
      <c r="AG4" s="59">
        <f t="shared" si="0"/>
        <v>-3.1036029169159839E-2</v>
      </c>
      <c r="AH4" s="59">
        <f t="shared" si="0"/>
        <v>-0.17179599174387897</v>
      </c>
      <c r="AI4" s="59">
        <f t="shared" si="0"/>
        <v>-0.11438417474907148</v>
      </c>
      <c r="AJ4" s="59">
        <f t="shared" si="0"/>
        <v>-3.1172276654783119E-2</v>
      </c>
      <c r="AK4" s="59">
        <f t="shared" si="0"/>
        <v>-0.26308077465222335</v>
      </c>
      <c r="AL4" s="59">
        <f t="shared" si="0"/>
        <v>-0.2765636685472983</v>
      </c>
      <c r="AM4" s="59" t="e">
        <f t="shared" si="0"/>
        <v>#DIV/0!</v>
      </c>
      <c r="AN4" s="59">
        <f t="shared" si="0"/>
        <v>-8.1872369375019224E-2</v>
      </c>
      <c r="AO4" s="59">
        <f t="shared" si="0"/>
        <v>-1.6491246916436489E-3</v>
      </c>
      <c r="AP4" s="59">
        <f t="shared" si="0"/>
        <v>-0.25926822627383689</v>
      </c>
      <c r="AQ4" s="59" t="e">
        <f t="shared" si="0"/>
        <v>#DIV/0!</v>
      </c>
      <c r="AR4" s="59">
        <f t="shared" si="0"/>
        <v>-2.8661646503412735E-3</v>
      </c>
      <c r="AS4" s="59">
        <f t="shared" si="0"/>
        <v>0</v>
      </c>
      <c r="AT4" s="59">
        <f t="shared" si="0"/>
        <v>-1.9185211367010076E-2</v>
      </c>
      <c r="AU4" s="59">
        <f t="shared" si="0"/>
        <v>-1.3748213563233603E-2</v>
      </c>
      <c r="AV4" s="59">
        <f t="shared" si="0"/>
        <v>-4.4271810372361678E-3</v>
      </c>
      <c r="AW4" s="59">
        <f t="shared" si="0"/>
        <v>3.1828753696542824E-3</v>
      </c>
      <c r="AX4" s="59">
        <f t="shared" si="0"/>
        <v>4.6659277608925983E-3</v>
      </c>
      <c r="AY4" s="59">
        <f t="shared" si="0"/>
        <v>-3.7076605547490052E-4</v>
      </c>
      <c r="AZ4" s="59">
        <f t="shared" si="0"/>
        <v>-2.1787392956152747E-3</v>
      </c>
      <c r="BA4" s="59">
        <f t="shared" si="0"/>
        <v>-3.119137082095565E-2</v>
      </c>
      <c r="BB4" s="59">
        <f t="shared" si="0"/>
        <v>-2.8760603351231595E-2</v>
      </c>
      <c r="BC4" s="59">
        <f t="shared" si="0"/>
        <v>-1.4615893473537494E-2</v>
      </c>
      <c r="BD4" s="59">
        <f t="shared" si="0"/>
        <v>-2.2904829914345455E-3</v>
      </c>
      <c r="BE4" s="59">
        <f t="shared" si="0"/>
        <v>-9.2986020924422253E-3</v>
      </c>
      <c r="BF4" s="59">
        <f t="shared" si="0"/>
        <v>-6.8359485399077935E-3</v>
      </c>
      <c r="BG4" s="59">
        <f t="shared" si="0"/>
        <v>-3.8322216131953706E-3</v>
      </c>
      <c r="BH4" s="59">
        <f t="shared" si="0"/>
        <v>-3.6259173411665063E-3</v>
      </c>
      <c r="BI4" s="59">
        <f t="shared" si="0"/>
        <v>-7.6030616268109698E-3</v>
      </c>
      <c r="BJ4" s="59">
        <f t="shared" si="0"/>
        <v>7.1620833950357214E-4</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431</v>
      </c>
      <c r="E5" s="26">
        <f>股权价值增加表!E47</f>
        <v>37664015.783600032</v>
      </c>
      <c r="F5" s="26">
        <f>股权价值增加表!F47</f>
        <v>-239777.40399998426</v>
      </c>
      <c r="G5" s="26">
        <f>股权价值增加表!G47</f>
        <v>-30532722.137600012</v>
      </c>
      <c r="H5" s="26">
        <f>股权价值增加表!H47</f>
        <v>-55840652.486399993</v>
      </c>
      <c r="I5" s="26">
        <f>股权价值增加表!I47</f>
        <v>26284983.054399997</v>
      </c>
      <c r="J5" s="26">
        <f>股权价值增加表!J47</f>
        <v>-7720939.9219999909</v>
      </c>
      <c r="K5" s="26">
        <f>股权价值增加表!K47</f>
        <v>-31334525.302399993</v>
      </c>
      <c r="L5" s="26">
        <f>股权价值增加表!L47</f>
        <v>-49821998.322799988</v>
      </c>
      <c r="M5" s="26">
        <f>股权价值增加表!M47</f>
        <v>17519674.895200014</v>
      </c>
      <c r="N5" s="26">
        <f>股权价值增加表!N47</f>
        <v>-10194339.040799998</v>
      </c>
      <c r="O5" s="26">
        <f>股权价值增加表!O47</f>
        <v>-27257742.874399986</v>
      </c>
      <c r="P5" s="26">
        <f>股权价值增加表!P47</f>
        <v>-11966815.597199991</v>
      </c>
      <c r="Q5" s="26">
        <f>股权价值增加表!Q47</f>
        <v>61722201.57159999</v>
      </c>
      <c r="R5" s="26">
        <f>股权价值增加表!R47</f>
        <v>41884889.177200012</v>
      </c>
      <c r="S5" s="26">
        <f>股权价值增加表!S47</f>
        <v>24027429.926000006</v>
      </c>
      <c r="T5" s="26">
        <f>股权价值增加表!T47</f>
        <v>9647695.5515999999</v>
      </c>
      <c r="U5" s="26">
        <f>股权价值增加表!U47</f>
        <v>80267804.860000014</v>
      </c>
      <c r="V5" s="26">
        <f>股权价值增加表!V47</f>
        <v>72849073.570000038</v>
      </c>
      <c r="W5" s="26">
        <f>股权价值增加表!W47</f>
        <v>48973745.939999998</v>
      </c>
      <c r="X5" s="26">
        <f>股权价值增加表!X47</f>
        <v>0</v>
      </c>
      <c r="Y5" s="26">
        <f>股权价值增加表!Y47</f>
        <v>-305136449.58360004</v>
      </c>
      <c r="Z5" s="26">
        <f>股权价值增加表!Z47</f>
        <v>-290941711.84200001</v>
      </c>
      <c r="AA5" s="26">
        <f>股权价值增加表!AA47</f>
        <v>-257253242.97080001</v>
      </c>
      <c r="AB5" s="26">
        <f>股权价值增加表!AB47</f>
        <v>-230274872.03080001</v>
      </c>
      <c r="AC5" s="26">
        <f>股权价值增加表!AC47</f>
        <v>-278715939.17919999</v>
      </c>
      <c r="AD5" s="26">
        <f>股权价值增加表!AD47</f>
        <v>-268605924.7852</v>
      </c>
      <c r="AE5" s="26">
        <f>股权价值增加表!AE47</f>
        <v>-236323036.25599998</v>
      </c>
      <c r="AF5" s="26">
        <f>股权价值增加表!AF47</f>
        <v>-214445650.69800001</v>
      </c>
      <c r="AG5" s="26">
        <f>股权价值增加表!AG47</f>
        <v>-281214258.09360003</v>
      </c>
      <c r="AH5" s="26">
        <f>股权价值增加表!AH47</f>
        <v>-96801167.886399999</v>
      </c>
      <c r="AI5" s="26">
        <f>股权价值增加表!AI47</f>
        <v>-60640981.471599996</v>
      </c>
      <c r="AJ5" s="26">
        <f>股权价值增加表!AJ47</f>
        <v>-29580807.5964</v>
      </c>
      <c r="AK5" s="26">
        <f>股权价值增加表!AK47</f>
        <v>-60231249.3116</v>
      </c>
      <c r="AL5" s="26">
        <f>股权价值增加表!AL47</f>
        <v>-46185636.591200002</v>
      </c>
      <c r="AM5" s="26">
        <f>股权价值增加表!AM47</f>
        <v>-35733277.469999999</v>
      </c>
      <c r="AN5" s="26">
        <f>股权价值增加表!AN47</f>
        <v>-19545940.589999996</v>
      </c>
      <c r="AO5" s="26">
        <f>股权价值增加表!AO47</f>
        <v>-287177.33000000007</v>
      </c>
      <c r="AP5" s="26">
        <f>股权价值增加表!AP47</f>
        <v>-36136129.286399998</v>
      </c>
      <c r="AQ5" s="26">
        <f>股权价值增加表!AQ47</f>
        <v>-31120172.960000001</v>
      </c>
      <c r="AR5" s="26">
        <f>股权价值增加表!AR47</f>
        <v>-16785423.550000001</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65" customFormat="1">
      <c r="A6" s="165" t="s">
        <v>442</v>
      </c>
      <c r="E6" s="165">
        <f>股权价值增加表!E31/股权价值增加表!E4</f>
        <v>0.30533466562382838</v>
      </c>
      <c r="F6" s="165">
        <f>股权价值增加表!F31/股权价值增加表!F4</f>
        <v>0.26205214887406891</v>
      </c>
      <c r="G6" s="165">
        <f>股权价值增加表!G31/股权价值增加表!G4</f>
        <v>0.24351507675988629</v>
      </c>
      <c r="H6" s="165">
        <f>股权价值增加表!H31/股权价值增加表!H4</f>
        <v>0.22702209927927305</v>
      </c>
      <c r="I6" s="165">
        <f>股权价值增加表!I31/股权价值增加表!I4</f>
        <v>0.34371234846149978</v>
      </c>
      <c r="J6" s="165">
        <f>股权价值增加表!J31/股权价值增加表!J4</f>
        <v>0.24683710078731536</v>
      </c>
      <c r="K6" s="165">
        <f>股权价值增加表!K31/股权价值增加表!K4</f>
        <v>0.22378669295366435</v>
      </c>
      <c r="L6" s="165">
        <f>股权价值增加表!L31/股权价值增加表!L4</f>
        <v>0.20872934028686327</v>
      </c>
      <c r="M6" s="165">
        <f>股权价值增加表!M31/股权价值增加表!M4</f>
        <v>0.29893692397660054</v>
      </c>
      <c r="N6" s="165">
        <f>股权价值增加表!N31/股权价值增加表!N4</f>
        <v>0.242050005870794</v>
      </c>
      <c r="O6" s="165">
        <f>股权价值增加表!O31/股权价值增加表!O4</f>
        <v>0.23952173952062278</v>
      </c>
      <c r="P6" s="165">
        <f>股权价值增加表!P31/股权价值增加表!P4</f>
        <v>0.2387373984935616</v>
      </c>
      <c r="Q6" s="165">
        <f>股权价值增加表!Q31/股权价值增加表!Q4</f>
        <v>0.29627862880871741</v>
      </c>
      <c r="R6" s="165">
        <f>股权价值增加表!R31/股权价值增加表!R4</f>
        <v>0.28259675753655578</v>
      </c>
      <c r="S6" s="165">
        <f>股权价值增加表!S31/股权价值增加表!S4</f>
        <v>0.28189328450730228</v>
      </c>
      <c r="T6" s="165">
        <f>股权价值增加表!T31/股权价值增加表!T4</f>
        <v>0.28521414727322764</v>
      </c>
      <c r="U6" s="165">
        <f>股权价值增加表!U31/股权价值增加表!U4</f>
        <v>0.28879445333066472</v>
      </c>
      <c r="V6" s="165">
        <f>股权价值增加表!V31/股权价值增加表!V4</f>
        <v>0.28433344604891919</v>
      </c>
      <c r="W6" s="165">
        <f>股权价值增加表!W31/股权价值增加表!W4</f>
        <v>0.23844751361267105</v>
      </c>
      <c r="X6" s="165" t="e">
        <f>股权价值增加表!X31/股权价值增加表!X4</f>
        <v>#DIV/0!</v>
      </c>
      <c r="Y6" s="165" t="e">
        <f>股权价值增加表!Y31/股权价值增加表!Y4</f>
        <v>#DIV/0!</v>
      </c>
      <c r="Z6" s="165" t="e">
        <f>股权价值增加表!Z31/股权价值增加表!Z4</f>
        <v>#DIV/0!</v>
      </c>
      <c r="AA6" s="165" t="e">
        <f>股权价值增加表!AA31/股权价值增加表!AA4</f>
        <v>#DIV/0!</v>
      </c>
      <c r="AB6" s="165" t="e">
        <f>股权价值增加表!AB31/股权价值增加表!AB4</f>
        <v>#DIV/0!</v>
      </c>
      <c r="AC6" s="165" t="e">
        <f>股权价值增加表!AC31/股权价值增加表!AC4</f>
        <v>#DIV/0!</v>
      </c>
      <c r="AD6" s="165" t="e">
        <f>股权价值增加表!AD31/股权价值增加表!AD4</f>
        <v>#DIV/0!</v>
      </c>
      <c r="AE6" s="165" t="e">
        <f>股权价值增加表!AE31/股权价值增加表!AE4</f>
        <v>#DIV/0!</v>
      </c>
      <c r="AF6" s="165" t="e">
        <f>股权价值增加表!AF31/股权价值增加表!AF4</f>
        <v>#DIV/0!</v>
      </c>
      <c r="AG6" s="165" t="e">
        <f>股权价值增加表!AG31/股权价值增加表!AG4</f>
        <v>#DIV/0!</v>
      </c>
      <c r="AH6" s="165" t="e">
        <f>股权价值增加表!AH31/股权价值增加表!AH4</f>
        <v>#DIV/0!</v>
      </c>
      <c r="AI6" s="165" t="e">
        <f>股权价值增加表!AI31/股权价值增加表!AI4</f>
        <v>#DIV/0!</v>
      </c>
      <c r="AJ6" s="165" t="e">
        <f>股权价值增加表!AJ31/股权价值增加表!AJ4</f>
        <v>#DIV/0!</v>
      </c>
      <c r="AK6" s="165" t="e">
        <f>股权价值增加表!AK31/股权价值增加表!AK4</f>
        <v>#DIV/0!</v>
      </c>
      <c r="AL6" s="165" t="e">
        <f>股权价值增加表!AL31/股权价值增加表!AL4</f>
        <v>#DIV/0!</v>
      </c>
      <c r="AM6" s="165" t="e">
        <f>股权价值增加表!AM31/股权价值增加表!AM4</f>
        <v>#DIV/0!</v>
      </c>
      <c r="AN6" s="165" t="e">
        <f>股权价值增加表!AN31/股权价值增加表!AN4</f>
        <v>#DIV/0!</v>
      </c>
      <c r="AO6" s="165" t="e">
        <f>股权价值增加表!AO31/股权价值增加表!AO4</f>
        <v>#DIV/0!</v>
      </c>
      <c r="AP6" s="165" t="e">
        <f>股权价值增加表!AP31/股权价值增加表!AP4</f>
        <v>#DIV/0!</v>
      </c>
      <c r="AQ6" s="165" t="e">
        <f>股权价值增加表!AQ31/股权价值增加表!AQ4</f>
        <v>#DIV/0!</v>
      </c>
      <c r="AR6" s="165" t="e">
        <f>股权价值增加表!AR31/股权价值增加表!AR4</f>
        <v>#DIV/0!</v>
      </c>
      <c r="AS6" s="165" t="e">
        <f>股权价值增加表!AS31/股权价值增加表!AS4</f>
        <v>#DIV/0!</v>
      </c>
      <c r="AT6" s="165" t="e">
        <f>股权价值增加表!AT31/股权价值增加表!AT4</f>
        <v>#DIV/0!</v>
      </c>
      <c r="AU6" s="165" t="e">
        <f>股权价值增加表!AU31/股权价值增加表!AU4</f>
        <v>#DIV/0!</v>
      </c>
      <c r="AV6" s="165" t="e">
        <f>股权价值增加表!AV31/股权价值增加表!AV4</f>
        <v>#DIV/0!</v>
      </c>
      <c r="AW6" s="165" t="e">
        <f>股权价值增加表!AW31/股权价值增加表!AW4</f>
        <v>#DIV/0!</v>
      </c>
      <c r="AX6" s="165" t="e">
        <f>股权价值增加表!AX31/股权价值增加表!AX4</f>
        <v>#DIV/0!</v>
      </c>
      <c r="AY6" s="165" t="e">
        <f>股权价值增加表!AY31/股权价值增加表!AY4</f>
        <v>#DIV/0!</v>
      </c>
      <c r="AZ6" s="165" t="e">
        <f>股权价值增加表!AZ31/股权价值增加表!AZ4</f>
        <v>#DIV/0!</v>
      </c>
      <c r="BA6" s="165" t="e">
        <f>股权价值增加表!BA31/股权价值增加表!BA4</f>
        <v>#DIV/0!</v>
      </c>
      <c r="BB6" s="165" t="e">
        <f>股权价值增加表!BB31/股权价值增加表!BB4</f>
        <v>#DIV/0!</v>
      </c>
      <c r="BC6" s="165" t="e">
        <f>股权价值增加表!BC31/股权价值增加表!BC4</f>
        <v>#DIV/0!</v>
      </c>
      <c r="BD6" s="165" t="e">
        <f>股权价值增加表!BD31/股权价值增加表!BD4</f>
        <v>#DIV/0!</v>
      </c>
      <c r="BE6" s="165" t="e">
        <f>股权价值增加表!BE31/股权价值增加表!BE4</f>
        <v>#DIV/0!</v>
      </c>
      <c r="BF6" s="165" t="e">
        <f>股权价值增加表!BF31/股权价值增加表!BF4</f>
        <v>#DIV/0!</v>
      </c>
      <c r="BG6" s="165" t="e">
        <f>股权价值增加表!BG31/股权价值增加表!BG4</f>
        <v>#DIV/0!</v>
      </c>
      <c r="BH6" s="165" t="e">
        <f>股权价值增加表!BH31/股权价值增加表!BH4</f>
        <v>#DIV/0!</v>
      </c>
      <c r="BI6" s="165" t="e">
        <f>股权价值增加表!BI31/股权价值增加表!BI4</f>
        <v>#DIV/0!</v>
      </c>
      <c r="BJ6" s="165" t="e">
        <f>股权价值增加表!BJ31/股权价值增加表!BJ4</f>
        <v>#DIV/0!</v>
      </c>
      <c r="BK6" s="165" t="e">
        <f>股权价值增加表!BK31/股权价值增加表!BK4</f>
        <v>#DIV/0!</v>
      </c>
      <c r="BL6" s="165" t="e">
        <f>股权价值增加表!BL31/股权价值增加表!BL4</f>
        <v>#DIV/0!</v>
      </c>
      <c r="BM6" s="165" t="e">
        <f>股权价值增加表!BM31/股权价值增加表!BM4</f>
        <v>#DIV/0!</v>
      </c>
      <c r="BN6" s="165" t="e">
        <f>股权价值增加表!BN31/股权价值增加表!BN4</f>
        <v>#DIV/0!</v>
      </c>
      <c r="BO6" s="165" t="e">
        <f>股权价值增加表!BO31/股权价值增加表!BO4</f>
        <v>#DIV/0!</v>
      </c>
      <c r="BP6" s="165" t="e">
        <f>股权价值增加表!BP31/股权价值增加表!BP4</f>
        <v>#DIV/0!</v>
      </c>
      <c r="BQ6" s="165" t="e">
        <f>股权价值增加表!BQ31/股权价值增加表!BQ4</f>
        <v>#DIV/0!</v>
      </c>
      <c r="BR6" s="165" t="e">
        <f>股权价值增加表!BR31/股权价值增加表!BR4</f>
        <v>#DIV/0!</v>
      </c>
      <c r="BS6" s="165" t="e">
        <f>股权价值增加表!BS31/股权价值增加表!BS4</f>
        <v>#DIV/0!</v>
      </c>
      <c r="BT6" s="165" t="e">
        <f>股权价值增加表!BT31/股权价值增加表!BT4</f>
        <v>#DIV/0!</v>
      </c>
      <c r="BU6" s="165" t="e">
        <f>股权价值增加表!BU31/股权价值增加表!BU4</f>
        <v>#DIV/0!</v>
      </c>
      <c r="BV6" s="165" t="e">
        <f>股权价值增加表!BV31/股权价值增加表!BV4</f>
        <v>#DIV/0!</v>
      </c>
      <c r="BW6" s="165" t="e">
        <f>股权价值增加表!BW31/股权价值增加表!BW4</f>
        <v>#DIV/0!</v>
      </c>
      <c r="BX6" s="165" t="e">
        <f>股权价值增加表!BX31/股权价值增加表!BX4</f>
        <v>#DIV/0!</v>
      </c>
      <c r="BY6" s="165" t="e">
        <f>股权价值增加表!BY31/股权价值增加表!BY4</f>
        <v>#DIV/0!</v>
      </c>
      <c r="BZ6" s="165" t="e">
        <f>股权价值增加表!BZ31/股权价值增加表!BZ4</f>
        <v>#DIV/0!</v>
      </c>
      <c r="CA6" s="165" t="e">
        <f>股权价值增加表!CA31/股权价值增加表!CA4</f>
        <v>#DIV/0!</v>
      </c>
      <c r="CB6" s="165" t="e">
        <f>股权价值增加表!CB31/股权价值增加表!CB4</f>
        <v>#DIV/0!</v>
      </c>
      <c r="CC6" s="165" t="e">
        <f>股权价值增加表!CC31/股权价值增加表!CC4</f>
        <v>#DIV/0!</v>
      </c>
      <c r="CD6" s="165" t="e">
        <f>股权价值增加表!CD31/股权价值增加表!CD4</f>
        <v>#DIV/0!</v>
      </c>
      <c r="CE6" s="165" t="e">
        <f>股权价值增加表!CE31/股权价值增加表!CE4</f>
        <v>#DIV/0!</v>
      </c>
      <c r="CF6" s="165" t="e">
        <f>股权价值增加表!CF31/股权价值增加表!CF4</f>
        <v>#DIV/0!</v>
      </c>
      <c r="CG6" s="165" t="e">
        <f>股权价值增加表!CG31/股权价值增加表!CG4</f>
        <v>#DIV/0!</v>
      </c>
      <c r="CH6" s="165" t="e">
        <f>股权价值增加表!CH31/股权价值增加表!CH4</f>
        <v>#DIV/0!</v>
      </c>
      <c r="CI6" s="165" t="e">
        <f>股权价值增加表!CI31/股权价值增加表!CI4</f>
        <v>#DIV/0!</v>
      </c>
      <c r="CJ6" s="165" t="e">
        <f>股权价值增加表!CJ31/股权价值增加表!CJ4</f>
        <v>#DIV/0!</v>
      </c>
    </row>
    <row r="7" spans="1:89" s="61" customFormat="1">
      <c r="A7" s="151" t="s">
        <v>436</v>
      </c>
      <c r="E7" s="61">
        <f>股权价值增加表!E4/资产资本表!E70</f>
        <v>0.49516554745894059</v>
      </c>
      <c r="F7" s="61">
        <f>股权价值增加表!F4/资产资本表!F70</f>
        <v>0.31015757921007764</v>
      </c>
      <c r="G7" s="61">
        <f>股权价值增加表!G4/资产资本表!G70</f>
        <v>0.19310236874685063</v>
      </c>
      <c r="H7" s="61">
        <f>股权价值增加表!H4/资产资本表!H70</f>
        <v>8.8523978608537016E-2</v>
      </c>
      <c r="I7" s="61">
        <f>股权价值增加表!I4/资产资本表!I70</f>
        <v>0.32011234483421186</v>
      </c>
      <c r="J7" s="61">
        <f>股权价值增加表!J4/资产资本表!J70</f>
        <v>0.29331223713033561</v>
      </c>
      <c r="K7" s="61">
        <f>股权价值增加表!K4/资产资本表!K70</f>
        <v>0.19558808126885507</v>
      </c>
      <c r="L7" s="61">
        <f>股权价值增加表!L4/资产资本表!L70</f>
        <v>9.7691219671687049E-2</v>
      </c>
      <c r="M7" s="61">
        <f>股权价值增加表!M4/资产资本表!M70</f>
        <v>0.40064427750855736</v>
      </c>
      <c r="N7" s="61">
        <f>股权价值增加表!N4/资产资本表!N70</f>
        <v>0.31666073701116537</v>
      </c>
      <c r="O7" s="61">
        <f>股权价值增加表!O4/资产资本表!O70</f>
        <v>0.20682396855014173</v>
      </c>
      <c r="P7" s="61">
        <f>股权价值增加表!P4/资产资本表!P70</f>
        <v>0.22479934183512718</v>
      </c>
      <c r="Q7" s="61">
        <f>股权价值增加表!Q4/资产资本表!Q70</f>
        <v>0.96579240331218885</v>
      </c>
      <c r="R7" s="61">
        <f>股权价值增加表!R4/资产资本表!R70</f>
        <v>0.98199722784770216</v>
      </c>
      <c r="S7" s="61">
        <f>股权价值增加表!S4/资产资本表!S70</f>
        <v>0.72700178417224781</v>
      </c>
      <c r="T7" s="61">
        <f>股权价值增加表!T4/资产资本表!T70</f>
        <v>0.50539538268418283</v>
      </c>
      <c r="U7" s="61" t="e">
        <f>股权价值增加表!U4/资产资本表!U70</f>
        <v>#DIV/0!</v>
      </c>
      <c r="V7" s="61" t="e">
        <f>股权价值增加表!V4/资产资本表!V70</f>
        <v>#DIV/0!</v>
      </c>
      <c r="W7" s="61" t="e">
        <f>股权价值增加表!W4/资产资本表!W70</f>
        <v>#DIV/0!</v>
      </c>
      <c r="X7" s="61" t="e">
        <f>股权价值增加表!X4/资产资本表!X70</f>
        <v>#DIV/0!</v>
      </c>
      <c r="Y7" s="61" t="e">
        <f>股权价值增加表!Y4/资产资本表!Y70</f>
        <v>#DIV/0!</v>
      </c>
      <c r="Z7" s="61" t="e">
        <f>股权价值增加表!Z4/资产资本表!Z70</f>
        <v>#DIV/0!</v>
      </c>
      <c r="AA7" s="61" t="e">
        <f>股权价值增加表!AA4/资产资本表!AA70</f>
        <v>#DIV/0!</v>
      </c>
      <c r="AB7" s="61" t="e">
        <f>股权价值增加表!AB4/资产资本表!AB70</f>
        <v>#DIV/0!</v>
      </c>
      <c r="AC7" s="61" t="e">
        <f>股权价值增加表!AC4/资产资本表!AC70</f>
        <v>#DIV/0!</v>
      </c>
      <c r="AD7" s="61" t="e">
        <f>股权价值增加表!AD4/资产资本表!AD70</f>
        <v>#DIV/0!</v>
      </c>
      <c r="AE7" s="61" t="e">
        <f>股权价值增加表!AE4/资产资本表!AE70</f>
        <v>#DIV/0!</v>
      </c>
      <c r="AF7" s="61" t="e">
        <f>股权价值增加表!AF4/资产资本表!AF70</f>
        <v>#DIV/0!</v>
      </c>
      <c r="AG7" s="61" t="e">
        <f>股权价值增加表!AG4/资产资本表!AG70</f>
        <v>#DIV/0!</v>
      </c>
      <c r="AH7" s="61" t="e">
        <f>股权价值增加表!AH4/资产资本表!AH70</f>
        <v>#DIV/0!</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443</v>
      </c>
      <c r="E8" s="63">
        <f>股权价值增加表!E31/资产资本表!E70</f>
        <v>0.15119120686181556</v>
      </c>
      <c r="F8" s="63">
        <f>股权价值增加表!F31/资产资本表!F70</f>
        <v>8.1277460121580089E-2</v>
      </c>
      <c r="G8" s="63">
        <f>股权价值增加表!G31/资产资本表!G70</f>
        <v>4.70233381479052E-2</v>
      </c>
      <c r="H8" s="63">
        <f>股权价值增加表!H31/资产资本表!H70</f>
        <v>2.0096899460263534E-2</v>
      </c>
      <c r="I8" s="63">
        <f>股权价值增加表!I31/资产资本表!I70</f>
        <v>0.1100265658144844</v>
      </c>
      <c r="J8" s="63">
        <f>股权价值增加表!J31/资产资本表!J70</f>
        <v>7.2400342238693599E-2</v>
      </c>
      <c r="K8" s="63">
        <f>股权价值增加表!K31/资产资本表!K70</f>
        <v>4.3770009888309619E-2</v>
      </c>
      <c r="L8" s="63">
        <f>股权价值增加表!L31/资产资本表!L70</f>
        <v>2.0391023833890277E-2</v>
      </c>
      <c r="M8" s="63">
        <f>股权价值增加表!M31/资产资本表!M70</f>
        <v>0.11976736792723565</v>
      </c>
      <c r="N8" s="63">
        <f>股权价值增加表!N31/资产资本表!N70</f>
        <v>7.6647733252602532E-2</v>
      </c>
      <c r="O8" s="63">
        <f>股权价值增加表!O31/资产资本表!O70</f>
        <v>4.9538836721688524E-2</v>
      </c>
      <c r="P8" s="63">
        <f>股权价值增加表!P31/资产资本表!P70</f>
        <v>5.3668010052783127E-2</v>
      </c>
      <c r="Q8" s="63">
        <f>股权价值增加表!Q31/资产资本表!Q70</f>
        <v>0.28614364896721112</v>
      </c>
      <c r="R8" s="63">
        <f>股权价值增加表!R31/资产资本表!R70</f>
        <v>0.27750923249964704</v>
      </c>
      <c r="S8" s="63">
        <f>股权价值增加表!S31/资产资本表!S70</f>
        <v>0.20493692078298384</v>
      </c>
      <c r="T8" s="63">
        <f>股权价值增加表!T31/资产资本表!T70</f>
        <v>0.14414591310809577</v>
      </c>
      <c r="U8" s="63" t="e">
        <f>股权价值增加表!U31/资产资本表!U70</f>
        <v>#DIV/0!</v>
      </c>
      <c r="V8" s="63" t="e">
        <f>股权价值增加表!V31/资产资本表!V70</f>
        <v>#DIV/0!</v>
      </c>
      <c r="W8" s="63" t="e">
        <f>股权价值增加表!W31/资产资本表!W70</f>
        <v>#DIV/0!</v>
      </c>
      <c r="X8" s="63" t="e">
        <f>股权价值增加表!X31/资产资本表!X70</f>
        <v>#DIV/0!</v>
      </c>
      <c r="Y8" s="63" t="e">
        <f>股权价值增加表!Y31/资产资本表!Y70</f>
        <v>#DIV/0!</v>
      </c>
      <c r="Z8" s="63" t="e">
        <f>股权价值增加表!Z31/资产资本表!Z70</f>
        <v>#DIV/0!</v>
      </c>
      <c r="AA8" s="63" t="e">
        <f>股权价值增加表!AA31/资产资本表!AA70</f>
        <v>#DIV/0!</v>
      </c>
      <c r="AB8" s="63" t="e">
        <f>股权价值增加表!AB31/资产资本表!AB70</f>
        <v>#DIV/0!</v>
      </c>
      <c r="AC8" s="63" t="e">
        <f>股权价值增加表!AC31/资产资本表!AC70</f>
        <v>#DIV/0!</v>
      </c>
      <c r="AD8" s="63" t="e">
        <f>股权价值增加表!AD31/资产资本表!AD70</f>
        <v>#DIV/0!</v>
      </c>
      <c r="AE8" s="63" t="e">
        <f>股权价值增加表!AE31/资产资本表!AE70</f>
        <v>#DIV/0!</v>
      </c>
      <c r="AF8" s="63" t="e">
        <f>股权价值增加表!AF31/资产资本表!AF70</f>
        <v>#DIV/0!</v>
      </c>
      <c r="AG8" s="63" t="e">
        <f>股权价值增加表!AG31/资产资本表!AG70</f>
        <v>#DIV/0!</v>
      </c>
      <c r="AH8" s="63" t="e">
        <f>股权价值增加表!AH31/资产资本表!AH70</f>
        <v>#DIV/0!</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65" customFormat="1">
      <c r="A9" s="165" t="s">
        <v>437</v>
      </c>
      <c r="E9" s="165">
        <f>股权价值增加表!E38/股权价值增加表!E31</f>
        <v>0.92462400420979307</v>
      </c>
      <c r="F9" s="165">
        <f>股权价值增加表!F38/股权价值增加表!F31</f>
        <v>0.9883442398910981</v>
      </c>
      <c r="G9" s="165">
        <f>股权价值增加表!G38/股权价值增加表!G31</f>
        <v>0.99012112998011803</v>
      </c>
      <c r="H9" s="165">
        <f>股权价值增加表!H38/股权价值增加表!H31</f>
        <v>0.93301542202423915</v>
      </c>
      <c r="I9" s="165">
        <f>股权价值增加表!I38/股权价值增加表!I31</f>
        <v>0.99597357959943567</v>
      </c>
      <c r="J9" s="165">
        <f>股权价值增加表!J38/股权价值增加表!J31</f>
        <v>1.1386374792001352</v>
      </c>
      <c r="K9" s="165">
        <f>股权价值增加表!K38/股权价值增加表!K31</f>
        <v>1.1298922685289245</v>
      </c>
      <c r="L9" s="165">
        <f>股权价值增加表!L38/股权价值增加表!L31</f>
        <v>1.1153497717348353</v>
      </c>
      <c r="M9" s="165">
        <f>股权价值增加表!M38/股权价值增加表!M31</f>
        <v>0.99509355189896875</v>
      </c>
      <c r="N9" s="165">
        <f>股权价值增加表!N38/股权价值增加表!N31</f>
        <v>1.0155747715918924</v>
      </c>
      <c r="O9" s="165">
        <f>股权价值增加表!O38/股权价值增加表!O31</f>
        <v>0.99661402766464469</v>
      </c>
      <c r="P9" s="165">
        <f>股权价值增加表!P38/股权价值增加表!P31</f>
        <v>0.99210013847917289</v>
      </c>
      <c r="Q9" s="165">
        <f>股权价值增加表!Q38/股权价值增加表!Q31</f>
        <v>0.98670401390713736</v>
      </c>
      <c r="R9" s="165">
        <f>股权价值增加表!R38/股权价值增加表!R31</f>
        <v>0.99009802451154372</v>
      </c>
      <c r="S9" s="165">
        <f>股权价值增加表!S38/股权价值增加表!S31</f>
        <v>0.99255100832138132</v>
      </c>
      <c r="T9" s="165">
        <f>股权价值增加表!T38/股权价值增加表!T31</f>
        <v>0.99321347822362271</v>
      </c>
      <c r="U9" s="165">
        <f>股权价值增加表!U38/股权价值增加表!U31</f>
        <v>0.98100085001995074</v>
      </c>
      <c r="V9" s="165">
        <f>股权价值增加表!V38/股权价值增加表!V31</f>
        <v>0.97225520007817257</v>
      </c>
      <c r="W9" s="165">
        <f>股权价值增加表!W38/股权价值增加表!W31</f>
        <v>0.99969063832150118</v>
      </c>
      <c r="X9" s="165" t="e">
        <f>股权价值增加表!X38/股权价值增加表!X31</f>
        <v>#DIV/0!</v>
      </c>
      <c r="Y9" s="165">
        <f>股权价值增加表!Y38/股权价值增加表!Y31</f>
        <v>12.948972451906775</v>
      </c>
      <c r="Z9" s="165" t="e">
        <f>股权价值增加表!Z38/股权价值增加表!Z31</f>
        <v>#DIV/0!</v>
      </c>
      <c r="AA9" s="165" t="e">
        <f>股权价值增加表!AA38/股权价值增加表!AA31</f>
        <v>#DIV/0!</v>
      </c>
      <c r="AB9" s="165" t="e">
        <f>股权价值增加表!AB38/股权价值增加表!AB31</f>
        <v>#DIV/0!</v>
      </c>
      <c r="AC9" s="165">
        <f>股权价值增加表!AC38/股权价值增加表!AC31</f>
        <v>0.38718120259154082</v>
      </c>
      <c r="AD9" s="165" t="e">
        <f>股权价值增加表!AD38/股权价值增加表!AD31</f>
        <v>#DIV/0!</v>
      </c>
      <c r="AE9" s="165" t="e">
        <f>股权价值增加表!AE38/股权价值增加表!AE31</f>
        <v>#DIV/0!</v>
      </c>
      <c r="AF9" s="165" t="e">
        <f>股权价值增加表!AF38/股权价值增加表!AF31</f>
        <v>#DIV/0!</v>
      </c>
      <c r="AG9" s="165">
        <f>股权价值增加表!AG38/股权价值增加表!AG31</f>
        <v>-23.834492827938007</v>
      </c>
      <c r="AH9" s="165" t="e">
        <f>股权价值增加表!AH38/股权价值增加表!AH31</f>
        <v>#DIV/0!</v>
      </c>
      <c r="AI9" s="165" t="e">
        <f>股权价值增加表!AI38/股权价值增加表!AI31</f>
        <v>#DIV/0!</v>
      </c>
      <c r="AJ9" s="165" t="e">
        <f>股权价值增加表!AJ38/股权价值增加表!AJ31</f>
        <v>#DIV/0!</v>
      </c>
      <c r="AK9" s="165">
        <f>股权价值增加表!AK38/股权价值增加表!AK31</f>
        <v>-4.6488881825336872</v>
      </c>
      <c r="AL9" s="165">
        <f>股权价值增加表!AL38/股权价值增加表!AL31</f>
        <v>-17.715721254845814</v>
      </c>
      <c r="AM9" s="165" t="e">
        <f>股权价值增加表!AM38/股权价值增加表!AM31</f>
        <v>#DIV/0!</v>
      </c>
      <c r="AN9" s="165">
        <f>股权价值增加表!AN38/股权价值增加表!AN31</f>
        <v>-8.8938728939302969</v>
      </c>
      <c r="AO9" s="165">
        <f>股权价值增加表!AO38/股权价值增加表!AO31</f>
        <v>-0.2966533302961844</v>
      </c>
      <c r="AP9" s="165" t="e">
        <f>股权价值增加表!AP38/股权价值增加表!AP31</f>
        <v>#DIV/0!</v>
      </c>
      <c r="AQ9" s="165" t="e">
        <f>股权价值增加表!AQ38/股权价值增加表!AQ31</f>
        <v>#DIV/0!</v>
      </c>
      <c r="AR9" s="165" t="e">
        <f>股权价值增加表!AR38/股权价值增加表!AR31</f>
        <v>#DIV/0!</v>
      </c>
      <c r="AS9" s="165" t="e">
        <f>股权价值增加表!AS38/股权价值增加表!AS31</f>
        <v>#DIV/0!</v>
      </c>
      <c r="AT9" s="165">
        <f>股权价值增加表!AT38/股权价值增加表!AT31</f>
        <v>8.1995451922325753</v>
      </c>
      <c r="AU9" s="165">
        <f>股权价值增加表!AU38/股权价值增加表!AU31</f>
        <v>3.5901201152697588</v>
      </c>
      <c r="AV9" s="165" t="e">
        <f>股权价值增加表!AV38/股权价值增加表!AV31</f>
        <v>#DIV/0!</v>
      </c>
      <c r="AW9" s="165">
        <f>股权价值增加表!AW38/股权价值增加表!AW31</f>
        <v>1.2136830066165387</v>
      </c>
      <c r="AX9" s="165">
        <f>股权价值增加表!AX38/股权价值增加表!AX31</f>
        <v>1.17108713788013</v>
      </c>
      <c r="AY9" s="165">
        <f>股权价值增加表!AY38/股权价值增加表!AY31</f>
        <v>1.2558469449465</v>
      </c>
      <c r="AZ9" s="165">
        <f>股权价值增加表!AZ38/股权价值增加表!AZ31</f>
        <v>1.5172804084842979</v>
      </c>
      <c r="BA9" s="165">
        <f>股权价值增加表!BA38/股权价值增加表!BA31</f>
        <v>0.84101522323099109</v>
      </c>
      <c r="BB9" s="165">
        <f>股权价值增加表!BB38/股权价值增加表!BB31</f>
        <v>0.98266738585029667</v>
      </c>
      <c r="BC9" s="165">
        <f>股权价值增加表!BC38/股权价值增加表!BC31</f>
        <v>0.53721508562915365</v>
      </c>
      <c r="BD9" s="165">
        <f>股权价值增加表!BD38/股权价值增加表!BD31</f>
        <v>1.2646114632183694</v>
      </c>
      <c r="BE9" s="165">
        <f>股权价值增加表!BE38/股权价值增加表!BE31</f>
        <v>1.1697628780958165</v>
      </c>
      <c r="BF9" s="165">
        <f>股权价值增加表!BF38/股权价值增加表!BF31</f>
        <v>1.1329970999606338</v>
      </c>
      <c r="BG9" s="165">
        <f>股权价值增加表!BG38/股权价值增加表!BG31</f>
        <v>1.0657631257332441</v>
      </c>
      <c r="BH9" s="165">
        <f>股权价值增加表!BH38/股权价值增加表!BH31</f>
        <v>1.1934183081699814</v>
      </c>
      <c r="BI9" s="165">
        <f>股权价值增加表!BI38/股权价值增加表!BI31</f>
        <v>0.93239375876556874</v>
      </c>
      <c r="BJ9" s="165">
        <f>股权价值增加表!BJ38/股权价值增加表!BJ31</f>
        <v>0.88394031744720369</v>
      </c>
      <c r="BK9" s="165">
        <f>股权价值增加表!BK38/股权价值增加表!BK31</f>
        <v>0.83934441206942911</v>
      </c>
      <c r="BL9" s="165">
        <f>股权价值增加表!BL38/股权价值增加表!BL31</f>
        <v>0.6964109970745368</v>
      </c>
      <c r="BM9" s="165">
        <f>股权价值增加表!BM38/股权价值增加表!BM31</f>
        <v>0.90865102033009715</v>
      </c>
      <c r="BN9" s="165">
        <f>股权价值增加表!BN38/股权价值增加表!BN31</f>
        <v>0.87805546990787986</v>
      </c>
      <c r="BO9" s="165">
        <f>股权价值增加表!BO38/股权价值增加表!BO31</f>
        <v>0.89787043461825633</v>
      </c>
      <c r="BP9" s="165">
        <f>股权价值增加表!BP38/股权价值增加表!BP31</f>
        <v>0.64573122475441636</v>
      </c>
      <c r="BQ9" s="165">
        <f>股权价值增加表!BQ38/股权价值增加表!BQ31</f>
        <v>0.8830843674664075</v>
      </c>
      <c r="BR9" s="165">
        <f>股权价值增加表!BR38/股权价值增加表!BR31</f>
        <v>0.9126209421137772</v>
      </c>
      <c r="BS9" s="165">
        <f>股权价值增加表!BS38/股权价值增加表!BS31</f>
        <v>0.96917120614172025</v>
      </c>
      <c r="BT9" s="165">
        <f>股权价值增加表!BT38/股权价值增加表!BT31</f>
        <v>1.0015755342387331</v>
      </c>
      <c r="BU9" s="165">
        <f>股权价值增加表!BU38/股权价值增加表!BU31</f>
        <v>1.155461047513072</v>
      </c>
      <c r="BV9" s="165">
        <f>股权价值增加表!BV38/股权价值增加表!BV31</f>
        <v>1.7005889990298568</v>
      </c>
      <c r="BW9" s="165">
        <f>股权价值增加表!BW38/股权价值增加表!BW31</f>
        <v>0.98044726391169423</v>
      </c>
      <c r="BX9" s="165">
        <f>股权价值增加表!BX38/股权价值增加表!BX31</f>
        <v>8.2490079874227398</v>
      </c>
      <c r="BY9" s="165">
        <f>股权价值增加表!BY38/股权价值增加表!BY31</f>
        <v>0.47499676649646466</v>
      </c>
      <c r="BZ9" s="165">
        <f>股权价值增加表!BZ38/股权价值增加表!BZ31</f>
        <v>1</v>
      </c>
      <c r="CA9" s="165">
        <f>股权价值增加表!CA38/股权价值增加表!CA31</f>
        <v>-8.4222826859939399</v>
      </c>
      <c r="CB9" s="165">
        <f>股权价值增加表!CB38/股权价值增加表!CB31</f>
        <v>1</v>
      </c>
      <c r="CC9" s="165">
        <f>股权价值增加表!CC38/股权价值增加表!CC31</f>
        <v>-1.2626486558086338</v>
      </c>
      <c r="CD9" s="165">
        <f>股权价值增加表!CD38/股权价值增加表!CD31</f>
        <v>1</v>
      </c>
      <c r="CE9" s="165">
        <f>股权价值增加表!CE38/股权价值增加表!CE31</f>
        <v>1</v>
      </c>
      <c r="CF9" s="165">
        <f>股权价值增加表!CF38/股权价值增加表!CF31</f>
        <v>1</v>
      </c>
      <c r="CG9" s="165" t="e">
        <f>股权价值增加表!CG38/股权价值增加表!CG31</f>
        <v>#DIV/0!</v>
      </c>
      <c r="CH9" s="165" t="e">
        <f>股权价值增加表!CH38/股权价值增加表!CH31</f>
        <v>#DIV/0!</v>
      </c>
      <c r="CI9" s="165" t="e">
        <f>股权价值增加表!CI38/股权价值增加表!CI31</f>
        <v>#DIV/0!</v>
      </c>
      <c r="CJ9" s="165" t="e">
        <f>股权价值增加表!CJ38/股权价值增加表!CJ31</f>
        <v>#DIV/0!</v>
      </c>
    </row>
    <row r="10" spans="1:89" s="61" customFormat="1">
      <c r="A10" s="151" t="s">
        <v>438</v>
      </c>
      <c r="E10" s="61">
        <f>资产资本表!E70/资产资本表!E107</f>
        <v>1.01031898019933</v>
      </c>
      <c r="F10" s="61">
        <f>资产资本表!F70/资产资本表!F107</f>
        <v>1.1990100433758113</v>
      </c>
      <c r="G10" s="61">
        <f>资产资本表!G70/资产资本表!G107</f>
        <v>1.2247394905418139</v>
      </c>
      <c r="H10" s="61">
        <f>资产资本表!H70/资产资本表!H107</f>
        <v>1.2035770604447769</v>
      </c>
      <c r="I10" s="61">
        <f>资产资本表!I70/资产资本表!I107</f>
        <v>1.1687649511063423</v>
      </c>
      <c r="J10" s="61">
        <f>资产资本表!J70/资产资本表!J107</f>
        <v>1.0004696851136232</v>
      </c>
      <c r="K10" s="61">
        <f>资产资本表!K70/资产资本表!K107</f>
        <v>1.0004742927755854</v>
      </c>
      <c r="L10" s="61">
        <f>资产资本表!L70/资产资本表!L107</f>
        <v>1.0004858697781693</v>
      </c>
      <c r="M10" s="61">
        <f>资产资本表!M70/资产资本表!M107</f>
        <v>1.0004955238168771</v>
      </c>
      <c r="N10" s="61">
        <f>资产资本表!N70/资产资本表!N107</f>
        <v>1.0107624274626583</v>
      </c>
      <c r="O10" s="61">
        <f>资产资本表!O70/资产资本表!O107</f>
        <v>1.0321699690927439</v>
      </c>
      <c r="P10" s="61">
        <f>资产资本表!P70/资产资本表!P107</f>
        <v>1.0432926465394079</v>
      </c>
      <c r="Q10" s="61">
        <f>资产资本表!Q70/资产资本表!Q107</f>
        <v>1.0896152610031389</v>
      </c>
      <c r="R10" s="61">
        <f>资产资本表!R70/资产资本表!R107</f>
        <v>1.0014797305934899</v>
      </c>
      <c r="S10" s="61">
        <f>资产资本表!S70/资产资本表!S107</f>
        <v>1.156959447917796</v>
      </c>
      <c r="T10" s="61">
        <f>资产资本表!T70/资产资本表!T107</f>
        <v>1.2405399013757723</v>
      </c>
      <c r="U10" s="61" t="e">
        <f>资产资本表!U70/资产资本表!U107</f>
        <v>#DIV/0!</v>
      </c>
      <c r="V10" s="61">
        <f>资产资本表!V70/资产资本表!V107</f>
        <v>0</v>
      </c>
      <c r="W10" s="61">
        <f>资产资本表!W70/资产资本表!W107</f>
        <v>0</v>
      </c>
      <c r="X10" s="61">
        <f>资产资本表!X70/资产资本表!X107</f>
        <v>0</v>
      </c>
      <c r="Y10" s="61">
        <f>资产资本表!Y70/资产资本表!Y107</f>
        <v>0</v>
      </c>
      <c r="Z10" s="61">
        <f>资产资本表!Z70/资产资本表!Z107</f>
        <v>0</v>
      </c>
      <c r="AA10" s="61">
        <f>资产资本表!AA70/资产资本表!AA107</f>
        <v>0</v>
      </c>
      <c r="AB10" s="61">
        <f>资产资本表!AB70/资产资本表!AB107</f>
        <v>0</v>
      </c>
      <c r="AC10" s="61">
        <f>资产资本表!AC70/资产资本表!AC107</f>
        <v>0</v>
      </c>
      <c r="AD10" s="61">
        <f>资产资本表!AD70/资产资本表!AD107</f>
        <v>0</v>
      </c>
      <c r="AE10" s="61">
        <f>资产资本表!AE70/资产资本表!AE107</f>
        <v>0</v>
      </c>
      <c r="AF10" s="61">
        <f>资产资本表!AF70/资产资本表!AF107</f>
        <v>0</v>
      </c>
      <c r="AG10" s="61">
        <f>资产资本表!AG70/资产资本表!AG107</f>
        <v>0</v>
      </c>
      <c r="AH10" s="61">
        <f>资产资本表!AH70/资产资本表!AH107</f>
        <v>0</v>
      </c>
      <c r="AI10" s="61">
        <f>资产资本表!AI70/资产资本表!AI107</f>
        <v>0</v>
      </c>
      <c r="AJ10" s="61">
        <f>资产资本表!AJ70/资产资本表!AJ107</f>
        <v>0</v>
      </c>
      <c r="AK10" s="61">
        <f>资产资本表!AK70/资产资本表!AK107</f>
        <v>0</v>
      </c>
      <c r="AL10" s="61">
        <f>资产资本表!AL70/资产资本表!AL107</f>
        <v>0</v>
      </c>
      <c r="AM10" s="61" t="e">
        <f>资产资本表!AM70/资产资本表!AM107</f>
        <v>#DIV/0!</v>
      </c>
      <c r="AN10" s="61">
        <f>资产资本表!AN70/资产资本表!AN107</f>
        <v>0</v>
      </c>
      <c r="AO10" s="61">
        <f>资产资本表!AO70/资产资本表!AO107</f>
        <v>0</v>
      </c>
      <c r="AP10" s="61">
        <f>资产资本表!AP70/资产资本表!AP107</f>
        <v>0</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444</v>
      </c>
      <c r="E11" s="28">
        <f>E9*E10</f>
        <v>0.93416518100105916</v>
      </c>
      <c r="F11" s="28">
        <f t="shared" ref="F11:BQ11" si="2">F9*F10</f>
        <v>1.1850346699420589</v>
      </c>
      <c r="G11" s="28">
        <f t="shared" si="2"/>
        <v>1.2126404483065347</v>
      </c>
      <c r="H11" s="28">
        <f t="shared" si="2"/>
        <v>1.1229559589895766</v>
      </c>
      <c r="I11" s="28">
        <f t="shared" si="2"/>
        <v>1.1640590120637431</v>
      </c>
      <c r="J11" s="28">
        <f t="shared" si="2"/>
        <v>1.139172280273929</v>
      </c>
      <c r="K11" s="28">
        <f t="shared" si="2"/>
        <v>1.1304281682690775</v>
      </c>
      <c r="L11" s="28">
        <f t="shared" si="2"/>
        <v>1.1158916864810093</v>
      </c>
      <c r="M11" s="28">
        <f t="shared" si="2"/>
        <v>0.9955866444539555</v>
      </c>
      <c r="N11" s="28">
        <f t="shared" si="2"/>
        <v>1.026504821404056</v>
      </c>
      <c r="O11" s="28">
        <f t="shared" si="2"/>
        <v>1.0286750701320113</v>
      </c>
      <c r="P11" s="28">
        <f t="shared" si="2"/>
        <v>1.0350507791060493</v>
      </c>
      <c r="Q11" s="28">
        <f t="shared" si="2"/>
        <v>1.0751277516462703</v>
      </c>
      <c r="R11" s="28">
        <f t="shared" si="2"/>
        <v>0.99156310284896743</v>
      </c>
      <c r="S11" s="28">
        <f t="shared" si="2"/>
        <v>1.148341266617757</v>
      </c>
      <c r="T11" s="28">
        <f t="shared" si="2"/>
        <v>1.2321209503206207</v>
      </c>
      <c r="U11" s="28" t="e">
        <f t="shared" si="2"/>
        <v>#DIV/0!</v>
      </c>
      <c r="V11" s="28">
        <f t="shared" si="2"/>
        <v>0</v>
      </c>
      <c r="W11" s="28">
        <f t="shared" si="2"/>
        <v>0</v>
      </c>
      <c r="X11" s="28" t="e">
        <f t="shared" si="2"/>
        <v>#DIV/0!</v>
      </c>
      <c r="Y11" s="28">
        <f t="shared" si="2"/>
        <v>0</v>
      </c>
      <c r="Z11" s="28" t="e">
        <f t="shared" si="2"/>
        <v>#DIV/0!</v>
      </c>
      <c r="AA11" s="28" t="e">
        <f t="shared" si="2"/>
        <v>#DIV/0!</v>
      </c>
      <c r="AB11" s="28" t="e">
        <f t="shared" si="2"/>
        <v>#DIV/0!</v>
      </c>
      <c r="AC11" s="28">
        <f t="shared" si="2"/>
        <v>0</v>
      </c>
      <c r="AD11" s="28" t="e">
        <f t="shared" si="2"/>
        <v>#DIV/0!</v>
      </c>
      <c r="AE11" s="28" t="e">
        <f t="shared" si="2"/>
        <v>#DIV/0!</v>
      </c>
      <c r="AF11" s="28" t="e">
        <f t="shared" si="2"/>
        <v>#DIV/0!</v>
      </c>
      <c r="AG11" s="28">
        <f t="shared" si="2"/>
        <v>0</v>
      </c>
      <c r="AH11" s="28" t="e">
        <f t="shared" si="2"/>
        <v>#DIV/0!</v>
      </c>
      <c r="AI11" s="28" t="e">
        <f t="shared" si="2"/>
        <v>#DIV/0!</v>
      </c>
      <c r="AJ11" s="28" t="e">
        <f t="shared" si="2"/>
        <v>#DIV/0!</v>
      </c>
      <c r="AK11" s="28">
        <f t="shared" si="2"/>
        <v>0</v>
      </c>
      <c r="AL11" s="28">
        <f t="shared" si="2"/>
        <v>0</v>
      </c>
      <c r="AM11" s="28" t="e">
        <f t="shared" si="2"/>
        <v>#DIV/0!</v>
      </c>
      <c r="AN11" s="28">
        <f t="shared" si="2"/>
        <v>0</v>
      </c>
      <c r="AO11" s="28">
        <f t="shared" si="2"/>
        <v>0</v>
      </c>
      <c r="AP11" s="28" t="e">
        <f t="shared" si="2"/>
        <v>#DIV/0!</v>
      </c>
      <c r="AQ11" s="28" t="e">
        <f t="shared" si="2"/>
        <v>#DIV/0!</v>
      </c>
      <c r="AR11" s="28" t="e">
        <f t="shared" si="2"/>
        <v>#DIV/0!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65" customFormat="1">
      <c r="A12" s="165" t="s">
        <v>439</v>
      </c>
      <c r="E12" s="165">
        <f>E2/股权价值增加表!E38</f>
        <v>0.83545794308012411</v>
      </c>
      <c r="F12" s="165">
        <f>F2/股权价值增加表!F38</f>
        <v>0.82797529518861512</v>
      </c>
      <c r="G12" s="165">
        <f>G2/股权价值增加表!G38</f>
        <v>0.81835409049484231</v>
      </c>
      <c r="H12" s="165">
        <f>H2/股权价值增加表!H38</f>
        <v>0.82530138271359643</v>
      </c>
      <c r="I12" s="165">
        <f>I2/股权价值增加表!I38</f>
        <v>0.85446966932079915</v>
      </c>
      <c r="J12" s="165">
        <f>J2/股权价值增加表!J38</f>
        <v>0.86005111146037883</v>
      </c>
      <c r="K12" s="165">
        <f>K2/股权价值增加表!K38</f>
        <v>0.86593869371406207</v>
      </c>
      <c r="L12" s="165">
        <f>L2/股权价值增加表!L38</f>
        <v>0.85621617549028239</v>
      </c>
      <c r="M12" s="165">
        <f>M2/股权价值增加表!M38</f>
        <v>0.85294004386703315</v>
      </c>
      <c r="N12" s="165">
        <f>N2/股权价值增加表!N38</f>
        <v>0.85005569789743352</v>
      </c>
      <c r="O12" s="165">
        <f>O2/股权价值增加表!O38</f>
        <v>0.86474157182072608</v>
      </c>
      <c r="P12" s="165">
        <f>P2/股权价值增加表!P38</f>
        <v>0.83455439506323936</v>
      </c>
      <c r="Q12" s="165">
        <f>Q2/股权价值增加表!Q38</f>
        <v>0.85147646611623873</v>
      </c>
      <c r="R12" s="165">
        <f>R2/股权价值增加表!R38</f>
        <v>0.85382730486239</v>
      </c>
      <c r="S12" s="165">
        <f>S2/股权价值增加表!S38</f>
        <v>0.85029414889628163</v>
      </c>
      <c r="T12" s="165">
        <f>T2/股权价值增加表!T38</f>
        <v>0.86132948791038111</v>
      </c>
      <c r="U12" s="165">
        <f>U2/股权价值增加表!U38</f>
        <v>0.85130488418012329</v>
      </c>
      <c r="V12" s="165">
        <f>V2/股权价值增加表!V38</f>
        <v>0.85265293213702498</v>
      </c>
      <c r="W12" s="165">
        <f>W2/股权价值增加表!W38</f>
        <v>0.85694899805464098</v>
      </c>
      <c r="X12" s="165" t="e">
        <f>X2/股权价值增加表!X38</f>
        <v>#DIV/0!</v>
      </c>
      <c r="Y12" s="165">
        <f>Y2/股权价值增加表!Y38</f>
        <v>-4.9505360164341328</v>
      </c>
      <c r="Z12" s="165">
        <f>Z2/股权价值增加表!Z38</f>
        <v>-6.1984811127791444</v>
      </c>
      <c r="AA12" s="165">
        <f>AA2/股权价值增加表!AA38</f>
        <v>-5.9089539937726885</v>
      </c>
      <c r="AB12" s="165">
        <f>AB2/股权价值增加表!AB38</f>
        <v>-3.2836003300069305</v>
      </c>
      <c r="AC12" s="165">
        <f>AC2/股权价值增加表!AC38</f>
        <v>-4.8589751673245063</v>
      </c>
      <c r="AD12" s="165">
        <f>AD2/股权价值增加表!AD38</f>
        <v>-6.2188317975527942</v>
      </c>
      <c r="AE12" s="165">
        <f>AE2/股权价值增加表!AE38</f>
        <v>-5.3343200437197824</v>
      </c>
      <c r="AF12" s="165">
        <f>AF2/股权价值增加表!AF38</f>
        <v>-5.9862961125492333</v>
      </c>
      <c r="AG12" s="165">
        <f>AG2/股权价值增加表!AG38</f>
        <v>3.2809297856753128</v>
      </c>
      <c r="AH12" s="165">
        <f>AH2/股权价值增加表!AH38</f>
        <v>3.6131676061667921</v>
      </c>
      <c r="AI12" s="165">
        <f>AI2/股权价值增加表!AI38</f>
        <v>2.957926935666102</v>
      </c>
      <c r="AJ12" s="165">
        <f>AJ2/股权价值增加表!AJ38</f>
        <v>1.5422570857692757</v>
      </c>
      <c r="AK12" s="165">
        <f>AK2/股权价值增加表!AK38</f>
        <v>2.6986158554592818</v>
      </c>
      <c r="AL12" s="165">
        <f>AL2/股权价值增加表!AL38</f>
        <v>3.034211341637651</v>
      </c>
      <c r="AM12" s="165">
        <f>AM2/股权价值增加表!AM38</f>
        <v>2.8750436812881519</v>
      </c>
      <c r="AN12" s="165">
        <f>AN2/股权价值增加表!AN38</f>
        <v>2.2250008054354367</v>
      </c>
      <c r="AO12" s="165">
        <f>AO2/股权价值增加表!AO38</f>
        <v>1</v>
      </c>
      <c r="AP12" s="165">
        <f>AP2/股权价值增加表!AP38</f>
        <v>27.921411546557952</v>
      </c>
      <c r="AQ12" s="165">
        <f>AQ2/股权价值增加表!AQ38</f>
        <v>90.871691374119806</v>
      </c>
      <c r="AR12" s="165">
        <f>AR2/股权价值增加表!AR38</f>
        <v>-73.067398871895691</v>
      </c>
      <c r="AS12" s="165" t="e">
        <f>AS2/股权价值增加表!AS38</f>
        <v>#DIV/0!</v>
      </c>
      <c r="AT12" s="165">
        <f>AT2/股权价值增加表!AT38</f>
        <v>-4.133296837815446</v>
      </c>
      <c r="AU12" s="165">
        <f>AU2/股权价值增加表!AU38</f>
        <v>-6.2924414182151729</v>
      </c>
      <c r="AV12" s="165">
        <f>AV2/股权价值增加表!AV38</f>
        <v>-3.7146615153439262</v>
      </c>
      <c r="AW12" s="165">
        <f>AW2/股权价值增加表!AW38</f>
        <v>0.1281991249615852</v>
      </c>
      <c r="AX12" s="165">
        <f>AX2/股权价值增加表!AX38</f>
        <v>0.25552943209970863</v>
      </c>
      <c r="AY12" s="165">
        <f>AY2/股权价值增加表!AY38</f>
        <v>-4.5165886770724042E-2</v>
      </c>
      <c r="AZ12" s="165">
        <f>AZ2/股权价值增加表!AZ38</f>
        <v>-1.0551845510368489</v>
      </c>
      <c r="BA12" s="165">
        <f>BA2/股权价值增加表!BA38</f>
        <v>3.4638497240987842</v>
      </c>
      <c r="BB12" s="165">
        <f>BB2/股权价值增加表!BB38</f>
        <v>3.0175241262081895</v>
      </c>
      <c r="BC12" s="165">
        <f>BC2/股权价值增加表!BC38</f>
        <v>29.219198084406898</v>
      </c>
      <c r="BD12" s="165">
        <f>BD2/股权价值增加表!BD38</f>
        <v>-0.66859257824752694</v>
      </c>
      <c r="BE12" s="165">
        <f>BE2/股权价值增加表!BE38</f>
        <v>-0.52865828973609919</v>
      </c>
      <c r="BF12" s="165">
        <f>BF2/股权价值增加表!BF38</f>
        <v>-0.54089875870151938</v>
      </c>
      <c r="BG12" s="165">
        <f>BG2/股权价值增加表!BG38</f>
        <v>-0.38205462511481275</v>
      </c>
      <c r="BH12" s="165">
        <f>BH2/股权价值增加表!BH38</f>
        <v>-1.1220982625406397</v>
      </c>
      <c r="BI12" s="165">
        <f>BI2/股权价值增加表!BI38</f>
        <v>-0.29301994990763941</v>
      </c>
      <c r="BJ12" s="165">
        <f>BJ2/股权价值增加表!BJ38</f>
        <v>2.8813270744965522E-2</v>
      </c>
      <c r="BK12" s="165">
        <f>BK2/股权价值增加表!BK38</f>
        <v>0.17237500756568541</v>
      </c>
      <c r="BL12" s="165">
        <f>BL2/股权价值增加表!BL38</f>
        <v>-0.90970606211028981</v>
      </c>
      <c r="BM12" s="165">
        <f>BM2/股权价值增加表!BM38</f>
        <v>-0.96218756176366538</v>
      </c>
      <c r="BN12" s="165">
        <f>BN2/股权价值增加表!BN38</f>
        <v>-0.65374054993431974</v>
      </c>
      <c r="BO12" s="165">
        <f>BO2/股权价值增加表!BO38</f>
        <v>-0.50335098445535309</v>
      </c>
      <c r="BP12" s="165">
        <f>BP2/股权价值增加表!BP38</f>
        <v>-0.66609923408099037</v>
      </c>
      <c r="BQ12" s="165">
        <f>BQ2/股权价值增加表!BQ38</f>
        <v>-1.7271567271639192</v>
      </c>
      <c r="BR12" s="165">
        <f>BR2/股权价值增加表!BR38</f>
        <v>-0.33203395096035015</v>
      </c>
      <c r="BS12" s="165">
        <f>BS2/股权价值增加表!BS38</f>
        <v>6.0007400717286184E-2</v>
      </c>
      <c r="BT12" s="165">
        <f>BT2/股权价值增加表!BT38</f>
        <v>0.15022707175783542</v>
      </c>
      <c r="BU12" s="165">
        <f>BU2/股权价值增加表!BU38</f>
        <v>-0.99616523232812748</v>
      </c>
      <c r="BV12" s="165">
        <f>BV2/股权价值增加表!BV38</f>
        <v>3.7244503664361717</v>
      </c>
      <c r="BW12" s="165">
        <f>BW2/股权价值增加表!BW38</f>
        <v>0.93578276968567697</v>
      </c>
      <c r="BX12" s="165">
        <f>BX2/股权价值增加表!BX38</f>
        <v>1</v>
      </c>
      <c r="BY12" s="165">
        <f>BY2/股权价值增加表!BY38</f>
        <v>0.60507835898872442</v>
      </c>
      <c r="BZ12" s="165">
        <f>BZ2/股权价值增加表!BZ38</f>
        <v>0.22637357142857142</v>
      </c>
      <c r="CA12" s="165">
        <f>CA2/股权价值增加表!CA38</f>
        <v>1.0403277752162126</v>
      </c>
      <c r="CB12" s="165">
        <f>CB2/股权价值增加表!CB38</f>
        <v>-2.1966168493593825</v>
      </c>
      <c r="CC12" s="165">
        <f>CC2/股权价值增加表!CC38</f>
        <v>3.1089259931778246</v>
      </c>
      <c r="CD12" s="165">
        <f>CD2/股权价值增加表!CD38</f>
        <v>-2.4075993091537131</v>
      </c>
      <c r="CE12" s="165">
        <f>CE2/股权价值增加表!CE38</f>
        <v>-2.5981368870487773</v>
      </c>
      <c r="CF12" s="165">
        <f>CF2/股权价值增加表!CF38</f>
        <v>-6.859739633359264</v>
      </c>
      <c r="CG12" s="165" t="e">
        <f>CG2/股权价值增加表!CG38</f>
        <v>#DIV/0!</v>
      </c>
      <c r="CH12" s="165" t="e">
        <f>CH2/股权价值增加表!CH38</f>
        <v>#DIV/0!</v>
      </c>
      <c r="CI12" s="165" t="e">
        <f>CI2/股权价值增加表!CI38</f>
        <v>#DIV/0!</v>
      </c>
      <c r="CJ12" s="165" t="e">
        <f>CJ2/股权价值增加表!CJ38</f>
        <v>#DIV/0!</v>
      </c>
    </row>
    <row r="13" spans="1:89" s="63" customFormat="1">
      <c r="A13" s="17" t="s">
        <v>440</v>
      </c>
      <c r="E13" s="63">
        <f>1-E2/股权价值增加表!E38</f>
        <v>0.16454205691987589</v>
      </c>
      <c r="F13" s="63">
        <f>1-F2/股权价值增加表!F38</f>
        <v>0.17202470481138488</v>
      </c>
      <c r="G13" s="63">
        <f>1-G2/股权价值增加表!G38</f>
        <v>0.18164590950515769</v>
      </c>
      <c r="H13" s="63">
        <f>1-H2/股权价值增加表!H38</f>
        <v>0.17469861728640357</v>
      </c>
      <c r="I13" s="63">
        <f>1-I2/股权价值增加表!I38</f>
        <v>0.14553033067920085</v>
      </c>
      <c r="J13" s="63">
        <f>1-J2/股权价值增加表!J38</f>
        <v>0.13994888853962117</v>
      </c>
      <c r="K13" s="63">
        <f>1-K2/股权价值增加表!K38</f>
        <v>0.13406130628593793</v>
      </c>
      <c r="L13" s="63">
        <f>1-L2/股权价值增加表!L38</f>
        <v>0.14378382450971761</v>
      </c>
      <c r="M13" s="63">
        <f>1-M2/股权价值增加表!M38</f>
        <v>0.14705995613296685</v>
      </c>
      <c r="N13" s="63">
        <f>1-N2/股权价值增加表!N38</f>
        <v>0.14994430210256648</v>
      </c>
      <c r="O13" s="63">
        <f>1-O2/股权价值增加表!O38</f>
        <v>0.13525842817927392</v>
      </c>
      <c r="P13" s="63">
        <f>1-P2/股权价值增加表!P38</f>
        <v>0.16544560493676064</v>
      </c>
      <c r="Q13" s="63">
        <f>1-Q2/股权价值增加表!Q38</f>
        <v>0.14852353388376127</v>
      </c>
      <c r="R13" s="63">
        <f>1-R2/股权价值增加表!R38</f>
        <v>0.14617269513761</v>
      </c>
      <c r="S13" s="63">
        <f>1-S2/股权价值增加表!S38</f>
        <v>0.14970585110371837</v>
      </c>
      <c r="T13" s="63">
        <f>1-T2/股权价值增加表!T38</f>
        <v>0.13867051208961889</v>
      </c>
      <c r="U13" s="63">
        <f>1-U2/股权价值增加表!U38</f>
        <v>0.14869511581987671</v>
      </c>
      <c r="V13" s="63">
        <f>1-V2/股权价值增加表!V38</f>
        <v>0.14734706786297502</v>
      </c>
      <c r="W13" s="63">
        <f>1-W2/股权价值增加表!W38</f>
        <v>0.14305100194535902</v>
      </c>
      <c r="X13" s="63" t="e">
        <f>1-X2/股权价值增加表!X38</f>
        <v>#DIV/0!</v>
      </c>
      <c r="Y13" s="63">
        <f>1-Y2/股权价值增加表!Y38</f>
        <v>5.9505360164341328</v>
      </c>
      <c r="Z13" s="63">
        <f>1-Z2/股权价值增加表!Z38</f>
        <v>7.1984811127791444</v>
      </c>
      <c r="AA13" s="63">
        <f>1-AA2/股权价值增加表!AA38</f>
        <v>6.9089539937726885</v>
      </c>
      <c r="AB13" s="63">
        <f>1-AB2/股权价值增加表!AB38</f>
        <v>4.2836003300069301</v>
      </c>
      <c r="AC13" s="63">
        <f>1-AC2/股权价值增加表!AC38</f>
        <v>5.8589751673245063</v>
      </c>
      <c r="AD13" s="63">
        <f>1-AD2/股权价值增加表!AD38</f>
        <v>7.2188317975527942</v>
      </c>
      <c r="AE13" s="63">
        <f>1-AE2/股权价值增加表!AE38</f>
        <v>6.3343200437197824</v>
      </c>
      <c r="AF13" s="63">
        <f>1-AF2/股权价值增加表!AF38</f>
        <v>6.9862961125492333</v>
      </c>
      <c r="AG13" s="63">
        <f>1-AG2/股权价值增加表!AG38</f>
        <v>-2.2809297856753128</v>
      </c>
      <c r="AH13" s="63">
        <f>1-AH2/股权价值增加表!AH38</f>
        <v>-2.6131676061667921</v>
      </c>
      <c r="AI13" s="63">
        <f>1-AI2/股权价值增加表!AI38</f>
        <v>-1.957926935666102</v>
      </c>
      <c r="AJ13" s="63">
        <f>1-AJ2/股权价值增加表!AJ38</f>
        <v>-0.54225708576927567</v>
      </c>
      <c r="AK13" s="63">
        <f>1-AK2/股权价值增加表!AK38</f>
        <v>-1.6986158554592818</v>
      </c>
      <c r="AL13" s="63">
        <f>1-AL2/股权价值增加表!AL38</f>
        <v>-2.034211341637651</v>
      </c>
      <c r="AM13" s="63">
        <f>1-AM2/股权价值增加表!AM38</f>
        <v>-1.8750436812881519</v>
      </c>
      <c r="AN13" s="63">
        <f>1-AN2/股权价值增加表!AN38</f>
        <v>-1.2250008054354367</v>
      </c>
      <c r="AO13" s="63">
        <f>1-AO2/股权价值增加表!AO38</f>
        <v>0</v>
      </c>
      <c r="AP13" s="63">
        <f>1-AP2/股权价值增加表!AP38</f>
        <v>-26.921411546557952</v>
      </c>
      <c r="AQ13" s="63">
        <f>1-AQ2/股权价值增加表!AQ38</f>
        <v>-89.871691374119806</v>
      </c>
      <c r="AR13" s="63">
        <f>1-AR2/股权价值增加表!AR38</f>
        <v>74.067398871895691</v>
      </c>
      <c r="AS13" s="63" t="e">
        <f>1-AS2/股权价值增加表!AS38</f>
        <v>#DIV/0!</v>
      </c>
      <c r="AT13" s="63">
        <f>1-AT2/股权价值增加表!AT38</f>
        <v>5.133296837815446</v>
      </c>
      <c r="AU13" s="63">
        <f>1-AU2/股权价值增加表!AU38</f>
        <v>7.2924414182151729</v>
      </c>
      <c r="AV13" s="63">
        <f>1-AV2/股权价值增加表!AV38</f>
        <v>4.7146615153439262</v>
      </c>
      <c r="AW13" s="63">
        <f>1-AW2/股权价值增加表!AW38</f>
        <v>0.87180087503841475</v>
      </c>
      <c r="AX13" s="63">
        <f>1-AX2/股权价值增加表!AX38</f>
        <v>0.74447056790029142</v>
      </c>
      <c r="AY13" s="63">
        <f>1-AY2/股权价值增加表!AY38</f>
        <v>1.0451658867707241</v>
      </c>
      <c r="AZ13" s="63">
        <f>1-AZ2/股权价值增加表!AZ38</f>
        <v>2.0551845510368487</v>
      </c>
      <c r="BA13" s="63">
        <f>1-BA2/股权价值增加表!BA38</f>
        <v>-2.4638497240987842</v>
      </c>
      <c r="BB13" s="63">
        <f>1-BB2/股权价值增加表!BB38</f>
        <v>-2.0175241262081895</v>
      </c>
      <c r="BC13" s="63">
        <f>1-BC2/股权价值增加表!BC38</f>
        <v>-28.219198084406898</v>
      </c>
      <c r="BD13" s="63">
        <f>1-BD2/股权价值增加表!BD38</f>
        <v>1.668592578247527</v>
      </c>
      <c r="BE13" s="63">
        <f>1-BE2/股权价值增加表!BE38</f>
        <v>1.5286582897360992</v>
      </c>
      <c r="BF13" s="63">
        <f>1-BF2/股权价值增加表!BF38</f>
        <v>1.5408987587015193</v>
      </c>
      <c r="BG13" s="63">
        <f>1-BG2/股权价值增加表!BG38</f>
        <v>1.3820546251148127</v>
      </c>
      <c r="BH13" s="63">
        <f>1-BH2/股权价值增加表!BH38</f>
        <v>2.1220982625406397</v>
      </c>
      <c r="BI13" s="63">
        <f>1-BI2/股权价值增加表!BI38</f>
        <v>1.2930199499076394</v>
      </c>
      <c r="BJ13" s="63">
        <f>1-BJ2/股权价值增加表!BJ38</f>
        <v>0.97118672925503446</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50" t="s">
        <v>441</v>
      </c>
      <c r="E14" s="59">
        <f>E6*E7*E9*E10*E12</f>
        <v>0.11799804230217376</v>
      </c>
      <c r="F14" s="59">
        <f t="shared" ref="F14:BQ14" si="4">F6*F7*F9*F10*F12</f>
        <v>7.974777204709671E-2</v>
      </c>
      <c r="G14" s="59">
        <f t="shared" si="4"/>
        <v>4.6664515805871318E-2</v>
      </c>
      <c r="H14" s="59">
        <f t="shared" si="4"/>
        <v>1.8625346314936453E-2</v>
      </c>
      <c r="I14" s="59">
        <f t="shared" si="4"/>
        <v>0.10943826687211886</v>
      </c>
      <c r="J14" s="59">
        <f t="shared" si="4"/>
        <v>7.0933973638641068E-2</v>
      </c>
      <c r="K14" s="59">
        <f t="shared" si="4"/>
        <v>4.2845652556682733E-2</v>
      </c>
      <c r="L14" s="59">
        <f t="shared" si="4"/>
        <v>1.9482491817378614E-2</v>
      </c>
      <c r="M14" s="59">
        <f t="shared" si="4"/>
        <v>0.10170354043627935</v>
      </c>
      <c r="N14" s="59">
        <f t="shared" si="4"/>
        <v>6.688175984324958E-2</v>
      </c>
      <c r="O14" s="59">
        <f t="shared" si="4"/>
        <v>4.406668254692421E-2</v>
      </c>
      <c r="P14" s="59">
        <f t="shared" si="4"/>
        <v>4.635875858104857E-2</v>
      </c>
      <c r="Q14" s="59">
        <f t="shared" si="4"/>
        <v>0.2619490527476081</v>
      </c>
      <c r="R14" s="59">
        <f t="shared" si="4"/>
        <v>0.23494587980112558</v>
      </c>
      <c r="S14" s="59">
        <f t="shared" si="4"/>
        <v>0.20010611898307298</v>
      </c>
      <c r="T14" s="59">
        <f t="shared" si="4"/>
        <v>0.15297659548696035</v>
      </c>
      <c r="U14" s="59" t="e">
        <f t="shared" si="4"/>
        <v>#DIV/0!</v>
      </c>
      <c r="V14" s="59" t="e">
        <f t="shared" si="4"/>
        <v>#DIV/0!</v>
      </c>
      <c r="W14" s="59" t="e">
        <f t="shared" si="4"/>
        <v>#DIV/0!</v>
      </c>
      <c r="X14" s="59" t="e">
        <f t="shared" si="4"/>
        <v>#DIV/0!</v>
      </c>
      <c r="Y14" s="59" t="e">
        <f t="shared" si="4"/>
        <v>#DIV/0!</v>
      </c>
      <c r="Z14" s="59" t="e">
        <f t="shared" si="4"/>
        <v>#DIV/0!</v>
      </c>
      <c r="AA14" s="59" t="e">
        <f t="shared" si="4"/>
        <v>#DIV/0!</v>
      </c>
      <c r="AB14" s="59" t="e">
        <f t="shared" si="4"/>
        <v>#DIV/0!</v>
      </c>
      <c r="AC14" s="59" t="e">
        <f t="shared" si="4"/>
        <v>#DIV/0!</v>
      </c>
      <c r="AD14" s="59" t="e">
        <f t="shared" si="4"/>
        <v>#DIV/0!</v>
      </c>
      <c r="AE14" s="59" t="e">
        <f t="shared" si="4"/>
        <v>#DIV/0!</v>
      </c>
      <c r="AF14" s="59" t="e">
        <f t="shared" si="4"/>
        <v>#DIV/0!</v>
      </c>
      <c r="AG14" s="59" t="e">
        <f t="shared" si="4"/>
        <v>#DIV/0!</v>
      </c>
      <c r="AH14" s="59" t="e">
        <f t="shared" si="4"/>
        <v>#DIV/0!</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79.5" customHeight="1">
      <c r="A15" s="235" t="s">
        <v>651</v>
      </c>
      <c r="B15" s="236"/>
      <c r="C15" s="236"/>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row>
    <row r="17" spans="1:89" ht="14.25" thickBot="1"/>
    <row r="18" spans="1:89" s="115" customFormat="1">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41274</v>
      </c>
      <c r="W18" s="1">
        <v>40908</v>
      </c>
      <c r="X18" s="1">
        <v>25569</v>
      </c>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9" customFormat="1">
      <c r="A19" s="166" t="s">
        <v>451</v>
      </c>
      <c r="B19" s="76">
        <v>43373</v>
      </c>
      <c r="C19" s="76">
        <v>43281</v>
      </c>
      <c r="D19" s="76">
        <v>43190</v>
      </c>
      <c r="E19" s="76">
        <f>股权价值增加表!E4</f>
        <v>495877419.98000002</v>
      </c>
      <c r="F19" s="76">
        <f>股权价值增加表!F4</f>
        <v>353525103.44999999</v>
      </c>
      <c r="G19" s="76">
        <f>股权价值增加表!G4</f>
        <v>216615774.84999999</v>
      </c>
      <c r="H19" s="76">
        <f>股权价值增加表!H4</f>
        <v>96938491.230000004</v>
      </c>
      <c r="I19" s="76">
        <f>股权价值增加表!I4</f>
        <v>334060452.80000001</v>
      </c>
      <c r="J19" s="76">
        <f>股权价值增加表!J4</f>
        <v>249912116.02000001</v>
      </c>
      <c r="K19" s="76">
        <f>股权价值增加表!K4</f>
        <v>165029582.87</v>
      </c>
      <c r="L19" s="76">
        <f>股权价值增加表!L4</f>
        <v>80464922.310000002</v>
      </c>
      <c r="M19" s="76">
        <f>股权价值增加表!M4</f>
        <v>323570970.87</v>
      </c>
      <c r="N19" s="76">
        <f>股权价值增加表!N4</f>
        <v>248729217.63999999</v>
      </c>
      <c r="O19" s="76">
        <f>股权价值增加表!O4</f>
        <v>161936467.97</v>
      </c>
      <c r="P19" s="76">
        <f>股权价值增加表!P4</f>
        <v>83427219.010000005</v>
      </c>
      <c r="Q19" s="76">
        <f>股权价值增加表!Q4</f>
        <v>356983852.38</v>
      </c>
      <c r="R19" s="76">
        <f>股权价值增加表!R4</f>
        <v>265845775.84999999</v>
      </c>
      <c r="S19" s="76">
        <f>股权价值增加表!S4</f>
        <v>168265778.53</v>
      </c>
      <c r="T19" s="76">
        <f>股权价值增加表!T4</f>
        <v>82886156.019999996</v>
      </c>
      <c r="U19" s="76">
        <f>股权价值增加表!U4</f>
        <v>332811274.00999999</v>
      </c>
      <c r="V19" s="76">
        <f>股权价值增加表!V4</f>
        <v>309060512.23000002</v>
      </c>
      <c r="W19" s="76">
        <f>股权价值增加表!W4</f>
        <v>239745202.43000001</v>
      </c>
      <c r="X19" s="76">
        <f>股权价值增加表!X4</f>
        <v>0</v>
      </c>
      <c r="Y19" s="76">
        <f>股权价值增加表!Y4</f>
        <v>0</v>
      </c>
      <c r="Z19" s="76">
        <f>股权价值增加表!Z4</f>
        <v>0</v>
      </c>
      <c r="AA19" s="76">
        <f>股权价值增加表!AA4</f>
        <v>0</v>
      </c>
      <c r="AB19" s="76">
        <f>股权价值增加表!AB4</f>
        <v>0</v>
      </c>
      <c r="AC19" s="76">
        <f>股权价值增加表!AC4</f>
        <v>0</v>
      </c>
      <c r="AD19" s="76">
        <f>股权价值增加表!AD4</f>
        <v>0</v>
      </c>
      <c r="AE19" s="76">
        <f>股权价值增加表!AE4</f>
        <v>0</v>
      </c>
      <c r="AF19" s="76">
        <f>股权价值增加表!AF4</f>
        <v>0</v>
      </c>
      <c r="AG19" s="76">
        <f>股权价值增加表!AG4</f>
        <v>0</v>
      </c>
      <c r="AH19" s="76">
        <f>股权价值增加表!AH4</f>
        <v>0</v>
      </c>
      <c r="AI19" s="76">
        <f>股权价值增加表!AI4</f>
        <v>0</v>
      </c>
      <c r="AJ19" s="76">
        <f>股权价值增加表!AJ4</f>
        <v>0</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66" t="s">
        <v>452</v>
      </c>
      <c r="E20" s="76">
        <f>股权价值增加表!E15</f>
        <v>136717569.61000001</v>
      </c>
      <c r="F20" s="76">
        <f>股权价值增加表!F15</f>
        <v>92368207.700000003</v>
      </c>
      <c r="G20" s="76">
        <f>股权价值增加表!G15</f>
        <v>52483445.699999988</v>
      </c>
      <c r="H20" s="76">
        <f>股权价值增加表!H15</f>
        <v>21838792.960000001</v>
      </c>
      <c r="I20" s="76">
        <f>股权价值增加表!I15</f>
        <v>102032253.99000001</v>
      </c>
      <c r="J20" s="76">
        <f>股权价值增加表!J15</f>
        <v>60807538.339999996</v>
      </c>
      <c r="K20" s="76">
        <f>股权价值增加表!K15</f>
        <v>36357750.619999997</v>
      </c>
      <c r="L20" s="76">
        <f>股权价值增加表!L15</f>
        <v>16458632.610000005</v>
      </c>
      <c r="M20" s="76">
        <f>股权价值增加表!M15</f>
        <v>89907184.660000011</v>
      </c>
      <c r="N20" s="76">
        <f>股权价值增加表!N15</f>
        <v>60113620.919999994</v>
      </c>
      <c r="O20" s="76">
        <f>股权价值增加表!O15</f>
        <v>38787304.500000015</v>
      </c>
      <c r="P20" s="76">
        <f>股权价值增加表!P15</f>
        <v>19917197.230000008</v>
      </c>
      <c r="Q20" s="76">
        <f>股权价值增加表!Q15</f>
        <v>105489778.49999999</v>
      </c>
      <c r="R20" s="76">
        <f>股权价值增加表!R15</f>
        <v>75127154.260000005</v>
      </c>
      <c r="S20" s="76">
        <f>股权价值增加表!S15</f>
        <v>47432992.980000004</v>
      </c>
      <c r="T20" s="76">
        <f>股权价值增加表!T15</f>
        <v>23640304.310000002</v>
      </c>
      <c r="U20" s="76">
        <f>股权价值增加表!U15</f>
        <v>96114049.940000013</v>
      </c>
      <c r="V20" s="76">
        <f>股权价值增加表!V15</f>
        <v>87876240.480000034</v>
      </c>
      <c r="W20" s="76">
        <f>股权价值增加表!W15</f>
        <v>57166647.420000002</v>
      </c>
      <c r="X20" s="76">
        <f>股权价值增加表!X15</f>
        <v>0</v>
      </c>
      <c r="Y20" s="76">
        <f>股权价值增加表!Y15</f>
        <v>0</v>
      </c>
      <c r="Z20" s="76">
        <f>股权价值增加表!Z15</f>
        <v>0</v>
      </c>
      <c r="AA20" s="76">
        <f>股权价值增加表!AA15</f>
        <v>0</v>
      </c>
      <c r="AB20" s="76">
        <f>股权价值增加表!AB15</f>
        <v>0</v>
      </c>
      <c r="AC20" s="76">
        <f>股权价值增加表!AC15</f>
        <v>-331430.78000000003</v>
      </c>
      <c r="AD20" s="76">
        <f>股权价值增加表!AD15</f>
        <v>0</v>
      </c>
      <c r="AE20" s="76">
        <f>股权价值增加表!AE15</f>
        <v>0</v>
      </c>
      <c r="AF20" s="76">
        <f>股权价值增加表!AF15</f>
        <v>0</v>
      </c>
      <c r="AG20" s="76">
        <f>股权价值增加表!AG15</f>
        <v>-66967.98</v>
      </c>
      <c r="AH20" s="76">
        <f>股权价值增加表!AH15</f>
        <v>0</v>
      </c>
      <c r="AI20" s="76">
        <f>股权价值增加表!AI15</f>
        <v>0</v>
      </c>
      <c r="AJ20" s="76">
        <f>股权价值增加表!AJ15</f>
        <v>0</v>
      </c>
      <c r="AK20" s="76">
        <f>股权价值增加表!AK15</f>
        <v>-350489.64</v>
      </c>
      <c r="AL20" s="76">
        <f>股权价值增加表!AL15</f>
        <v>0</v>
      </c>
      <c r="AM20" s="76">
        <f>股权价值增加表!AM15</f>
        <v>0</v>
      </c>
      <c r="AN20" s="76">
        <f>股权价值增加表!AN15</f>
        <v>0</v>
      </c>
      <c r="AO20" s="76">
        <f>股权价值增加表!AO15</f>
        <v>-286174.01</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167" customFormat="1">
      <c r="A21" s="57" t="s">
        <v>453</v>
      </c>
      <c r="E21" s="167">
        <f>E20/E19</f>
        <v>0.27570839909490974</v>
      </c>
      <c r="F21" s="167">
        <f t="shared" ref="F21:BQ21" si="6">F20/F19</f>
        <v>0.26127764845718765</v>
      </c>
      <c r="G21" s="167">
        <f t="shared" si="6"/>
        <v>0.24228819778404051</v>
      </c>
      <c r="H21" s="167">
        <f t="shared" si="6"/>
        <v>0.22528505119998657</v>
      </c>
      <c r="I21" s="167">
        <f t="shared" si="6"/>
        <v>0.30543050856452653</v>
      </c>
      <c r="J21" s="167">
        <f t="shared" si="6"/>
        <v>0.24331568756407823</v>
      </c>
      <c r="K21" s="167">
        <f t="shared" si="6"/>
        <v>0.22031050426056256</v>
      </c>
      <c r="L21" s="167">
        <f t="shared" si="6"/>
        <v>0.20454419314035133</v>
      </c>
      <c r="M21" s="167">
        <f t="shared" si="6"/>
        <v>0.27785924187903033</v>
      </c>
      <c r="N21" s="167">
        <f t="shared" si="6"/>
        <v>0.24168298959958084</v>
      </c>
      <c r="O21" s="167">
        <f t="shared" si="6"/>
        <v>0.23952173952062278</v>
      </c>
      <c r="P21" s="167">
        <f t="shared" si="6"/>
        <v>0.2387373984935616</v>
      </c>
      <c r="Q21" s="167">
        <f t="shared" si="6"/>
        <v>0.29550294165044999</v>
      </c>
      <c r="R21" s="167">
        <f t="shared" si="6"/>
        <v>0.28259675753655578</v>
      </c>
      <c r="S21" s="167">
        <f t="shared" si="6"/>
        <v>0.28189328450730228</v>
      </c>
      <c r="T21" s="167">
        <f t="shared" si="6"/>
        <v>0.28521414727322764</v>
      </c>
      <c r="U21" s="167">
        <f t="shared" si="6"/>
        <v>0.28879445333066472</v>
      </c>
      <c r="V21" s="167">
        <f t="shared" si="6"/>
        <v>0.28433344604891919</v>
      </c>
      <c r="W21" s="167">
        <f t="shared" si="6"/>
        <v>0.23844751361267105</v>
      </c>
      <c r="X21" s="167" t="e">
        <f t="shared" si="6"/>
        <v>#DIV/0!</v>
      </c>
      <c r="Y21" s="167" t="e">
        <f t="shared" si="6"/>
        <v>#DIV/0!</v>
      </c>
      <c r="Z21" s="167" t="e">
        <f t="shared" si="6"/>
        <v>#DIV/0!</v>
      </c>
      <c r="AA21" s="167" t="e">
        <f t="shared" si="6"/>
        <v>#DIV/0!</v>
      </c>
      <c r="AB21" s="167" t="e">
        <f t="shared" si="6"/>
        <v>#DIV/0!</v>
      </c>
      <c r="AC21" s="167" t="e">
        <f t="shared" si="6"/>
        <v>#DIV/0!</v>
      </c>
      <c r="AD21" s="167" t="e">
        <f t="shared" si="6"/>
        <v>#DIV/0!</v>
      </c>
      <c r="AE21" s="167" t="e">
        <f t="shared" si="6"/>
        <v>#DIV/0!</v>
      </c>
      <c r="AF21" s="167" t="e">
        <f t="shared" si="6"/>
        <v>#DIV/0!</v>
      </c>
      <c r="AG21" s="167" t="e">
        <f t="shared" si="6"/>
        <v>#DIV/0!</v>
      </c>
      <c r="AH21" s="167" t="e">
        <f t="shared" si="6"/>
        <v>#DIV/0!</v>
      </c>
      <c r="AI21" s="167" t="e">
        <f t="shared" si="6"/>
        <v>#DIV/0!</v>
      </c>
      <c r="AJ21" s="167" t="e">
        <f t="shared" si="6"/>
        <v>#DIV/0!</v>
      </c>
      <c r="AK21" s="167" t="e">
        <f t="shared" si="6"/>
        <v>#DIV/0!</v>
      </c>
      <c r="AL21" s="167" t="e">
        <f t="shared" si="6"/>
        <v>#DIV/0!</v>
      </c>
      <c r="AM21" s="167" t="e">
        <f t="shared" si="6"/>
        <v>#DIV/0!</v>
      </c>
      <c r="AN21" s="167" t="e">
        <f t="shared" si="6"/>
        <v>#DIV/0!</v>
      </c>
      <c r="AO21" s="167" t="e">
        <f t="shared" si="6"/>
        <v>#DIV/0!</v>
      </c>
      <c r="AP21" s="167" t="e">
        <f t="shared" si="6"/>
        <v>#DIV/0!</v>
      </c>
      <c r="AQ21" s="167" t="e">
        <f t="shared" si="6"/>
        <v>#DIV/0!</v>
      </c>
      <c r="AR21" s="167" t="e">
        <f t="shared" si="6"/>
        <v>#DIV/0!</v>
      </c>
      <c r="AS21" s="167" t="e">
        <f t="shared" si="6"/>
        <v>#DIV/0!</v>
      </c>
      <c r="AT21" s="167" t="e">
        <f t="shared" si="6"/>
        <v>#DIV/0!</v>
      </c>
      <c r="AU21" s="167" t="e">
        <f t="shared" si="6"/>
        <v>#DIV/0!</v>
      </c>
      <c r="AV21" s="167" t="e">
        <f t="shared" si="6"/>
        <v>#DIV/0!</v>
      </c>
      <c r="AW21" s="167" t="e">
        <f t="shared" si="6"/>
        <v>#DIV/0!</v>
      </c>
      <c r="AX21" s="167" t="e">
        <f t="shared" si="6"/>
        <v>#DIV/0!</v>
      </c>
      <c r="AY21" s="167" t="e">
        <f t="shared" si="6"/>
        <v>#DIV/0!</v>
      </c>
      <c r="AZ21" s="167" t="e">
        <f t="shared" si="6"/>
        <v>#DIV/0!</v>
      </c>
      <c r="BA21" s="167" t="e">
        <f t="shared" si="6"/>
        <v>#DIV/0!</v>
      </c>
      <c r="BB21" s="167" t="e">
        <f t="shared" si="6"/>
        <v>#DIV/0!</v>
      </c>
      <c r="BC21" s="167" t="e">
        <f t="shared" si="6"/>
        <v>#DIV/0!</v>
      </c>
      <c r="BD21" s="167" t="e">
        <f t="shared" si="6"/>
        <v>#DIV/0!</v>
      </c>
      <c r="BE21" s="167" t="e">
        <f t="shared" si="6"/>
        <v>#DIV/0!</v>
      </c>
      <c r="BF21" s="167" t="e">
        <f t="shared" si="6"/>
        <v>#DIV/0!</v>
      </c>
      <c r="BG21" s="167" t="e">
        <f t="shared" si="6"/>
        <v>#DIV/0!</v>
      </c>
      <c r="BH21" s="167" t="e">
        <f t="shared" si="6"/>
        <v>#DIV/0!</v>
      </c>
      <c r="BI21" s="167" t="e">
        <f t="shared" si="6"/>
        <v>#DIV/0!</v>
      </c>
      <c r="BJ21" s="167" t="e">
        <f t="shared" si="6"/>
        <v>#DIV/0!</v>
      </c>
      <c r="BK21" s="167" t="e">
        <f t="shared" si="6"/>
        <v>#DIV/0!</v>
      </c>
      <c r="BL21" s="167" t="e">
        <f t="shared" si="6"/>
        <v>#DIV/0!</v>
      </c>
      <c r="BM21" s="167" t="e">
        <f t="shared" si="6"/>
        <v>#DIV/0!</v>
      </c>
      <c r="BN21" s="167" t="e">
        <f t="shared" si="6"/>
        <v>#DIV/0!</v>
      </c>
      <c r="BO21" s="167" t="e">
        <f t="shared" si="6"/>
        <v>#DIV/0!</v>
      </c>
      <c r="BP21" s="167" t="e">
        <f t="shared" si="6"/>
        <v>#DIV/0!</v>
      </c>
      <c r="BQ21" s="167" t="e">
        <f t="shared" si="6"/>
        <v>#DIV/0!</v>
      </c>
      <c r="BR21" s="167" t="e">
        <f t="shared" ref="BR21:CK21" si="7">BR20/BR19</f>
        <v>#DIV/0!</v>
      </c>
      <c r="BS21" s="167" t="e">
        <f t="shared" si="7"/>
        <v>#DIV/0!</v>
      </c>
      <c r="BT21" s="167" t="e">
        <f t="shared" si="7"/>
        <v>#DIV/0!</v>
      </c>
      <c r="BU21" s="167" t="e">
        <f t="shared" si="7"/>
        <v>#DIV/0!</v>
      </c>
      <c r="BV21" s="167" t="e">
        <f t="shared" si="7"/>
        <v>#DIV/0!</v>
      </c>
      <c r="BW21" s="167" t="e">
        <f t="shared" si="7"/>
        <v>#DIV/0!</v>
      </c>
      <c r="BX21" s="167" t="e">
        <f t="shared" si="7"/>
        <v>#DIV/0!</v>
      </c>
      <c r="BY21" s="167" t="e">
        <f t="shared" si="7"/>
        <v>#DIV/0!</v>
      </c>
      <c r="BZ21" s="167" t="e">
        <f t="shared" si="7"/>
        <v>#DIV/0!</v>
      </c>
      <c r="CA21" s="167" t="e">
        <f t="shared" si="7"/>
        <v>#DIV/0!</v>
      </c>
      <c r="CB21" s="167" t="e">
        <f t="shared" si="7"/>
        <v>#DIV/0!</v>
      </c>
      <c r="CC21" s="167" t="e">
        <f t="shared" si="7"/>
        <v>#DIV/0!</v>
      </c>
      <c r="CD21" s="167" t="e">
        <f t="shared" si="7"/>
        <v>#DIV/0!</v>
      </c>
      <c r="CE21" s="167" t="e">
        <f t="shared" si="7"/>
        <v>#DIV/0!</v>
      </c>
      <c r="CF21" s="167" t="e">
        <f t="shared" si="7"/>
        <v>#DIV/0!</v>
      </c>
      <c r="CG21" s="167" t="e">
        <f t="shared" si="7"/>
        <v>#DIV/0!</v>
      </c>
      <c r="CH21" s="167" t="e">
        <f t="shared" si="7"/>
        <v>#DIV/0!</v>
      </c>
      <c r="CI21" s="167" t="e">
        <f t="shared" si="7"/>
        <v>#DIV/0!</v>
      </c>
      <c r="CJ21" s="167" t="e">
        <f t="shared" si="7"/>
        <v>#DIV/0!</v>
      </c>
      <c r="CK21" s="167" t="e">
        <f t="shared" si="7"/>
        <v>#DIV/0!</v>
      </c>
    </row>
    <row r="22" spans="1:89" s="26" customFormat="1">
      <c r="A22" s="26" t="s">
        <v>618</v>
      </c>
      <c r="E22" s="26">
        <f>资产资本表!E50</f>
        <v>347328031.25</v>
      </c>
      <c r="F22" s="26">
        <f>资产资本表!F50</f>
        <v>378130381.20000005</v>
      </c>
      <c r="G22" s="26">
        <f>资产资本表!G50</f>
        <v>367079553.13</v>
      </c>
      <c r="H22" s="26">
        <f>资产资本表!H50</f>
        <v>358783628.06999999</v>
      </c>
      <c r="I22" s="26">
        <f>资产资本表!I50</f>
        <v>285875972.70000005</v>
      </c>
      <c r="J22" s="26">
        <f>资产资本表!J50</f>
        <v>254186295.41999993</v>
      </c>
      <c r="K22" s="26">
        <f>资产资本表!K50</f>
        <v>284772809.21999997</v>
      </c>
      <c r="L22" s="26">
        <f>资产资本表!L50</f>
        <v>276792660.00999999</v>
      </c>
      <c r="M22" s="26">
        <f>资产资本表!M50</f>
        <v>258715976.03000003</v>
      </c>
      <c r="N22" s="26">
        <f>资产资本表!N50</f>
        <v>263678233.25</v>
      </c>
      <c r="O22" s="26">
        <f>资产资本表!O50</f>
        <v>189553380.24000001</v>
      </c>
      <c r="P22" s="26">
        <f>资产资本表!P50</f>
        <v>175905973.88</v>
      </c>
      <c r="Q22" s="26">
        <f>资产资本表!Q50</f>
        <v>159845595.78999999</v>
      </c>
      <c r="R22" s="26">
        <f>资产资本表!R50</f>
        <v>121255809.08</v>
      </c>
      <c r="S22" s="26">
        <f>资产资本表!S50</f>
        <v>84209193.520000026</v>
      </c>
      <c r="T22" s="26">
        <f>资产资本表!T50</f>
        <v>48307661.540000021</v>
      </c>
      <c r="U22" s="26">
        <f>资产资本表!U50</f>
        <v>0</v>
      </c>
      <c r="V22" s="26">
        <f>资产资本表!V50</f>
        <v>0</v>
      </c>
      <c r="W22" s="26">
        <f>资产资本表!W50</f>
        <v>0</v>
      </c>
      <c r="X22" s="26">
        <f>资产资本表!X50</f>
        <v>0</v>
      </c>
      <c r="Y22" s="26">
        <f>资产资本表!Y50</f>
        <v>0</v>
      </c>
      <c r="Z22" s="26">
        <f>资产资本表!Z50</f>
        <v>0</v>
      </c>
      <c r="AA22" s="26">
        <f>资产资本表!AA50</f>
        <v>0</v>
      </c>
      <c r="AB22" s="26">
        <f>资产资本表!AB50</f>
        <v>0</v>
      </c>
      <c r="AC22" s="26">
        <f>资产资本表!AC50</f>
        <v>0</v>
      </c>
      <c r="AD22" s="26">
        <f>资产资本表!AD50</f>
        <v>0</v>
      </c>
      <c r="AE22" s="26">
        <f>资产资本表!AE50</f>
        <v>0</v>
      </c>
      <c r="AF22" s="26">
        <f>资产资本表!AF50</f>
        <v>0</v>
      </c>
      <c r="AG22" s="26">
        <f>资产资本表!AG50</f>
        <v>0</v>
      </c>
      <c r="AH22" s="26">
        <f>资产资本表!AH50</f>
        <v>0</v>
      </c>
      <c r="AI22" s="26">
        <f>资产资本表!AI50</f>
        <v>0</v>
      </c>
      <c r="AJ22" s="26">
        <f>资产资本表!AJ50</f>
        <v>0</v>
      </c>
      <c r="AK22" s="26">
        <f>资产资本表!AK50</f>
        <v>0</v>
      </c>
      <c r="AL22" s="26">
        <f>资产资本表!AL50</f>
        <v>0</v>
      </c>
      <c r="AM22" s="26">
        <f>资产资本表!AM50</f>
        <v>0</v>
      </c>
      <c r="AN22" s="26">
        <f>资产资本表!AN50</f>
        <v>0</v>
      </c>
      <c r="AO22" s="26">
        <f>资产资本表!AO50</f>
        <v>0</v>
      </c>
      <c r="AP22" s="26">
        <f>资产资本表!AP50</f>
        <v>0</v>
      </c>
      <c r="AQ22" s="26">
        <f>资产资本表!AQ50</f>
        <v>0</v>
      </c>
      <c r="AR22" s="26">
        <f>资产资本表!AR50</f>
        <v>0</v>
      </c>
      <c r="AS22" s="26">
        <f>资产资本表!AS50</f>
        <v>0</v>
      </c>
      <c r="AT22" s="26">
        <f>资产资本表!AT50</f>
        <v>0</v>
      </c>
      <c r="AU22" s="26">
        <f>资产资本表!AU50</f>
        <v>0</v>
      </c>
      <c r="AV22" s="26">
        <f>资产资本表!AV50</f>
        <v>0</v>
      </c>
      <c r="AW22" s="26">
        <f>资产资本表!AW50</f>
        <v>0</v>
      </c>
      <c r="AX22" s="26">
        <f>资产资本表!AX50</f>
        <v>0</v>
      </c>
      <c r="AY22" s="26">
        <f>资产资本表!AY50</f>
        <v>0</v>
      </c>
      <c r="AZ22" s="26">
        <f>资产资本表!AZ50</f>
        <v>0</v>
      </c>
      <c r="BA22" s="26">
        <f>资产资本表!BA50</f>
        <v>0</v>
      </c>
      <c r="BB22" s="26">
        <f>资产资本表!BB50</f>
        <v>0</v>
      </c>
      <c r="BC22" s="26">
        <f>资产资本表!BC50</f>
        <v>0</v>
      </c>
      <c r="BD22" s="26">
        <f>资产资本表!BD50</f>
        <v>0</v>
      </c>
      <c r="BE22" s="26">
        <f>资产资本表!BE50</f>
        <v>0</v>
      </c>
      <c r="BF22" s="26">
        <f>资产资本表!BF50</f>
        <v>0</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c r="A23" s="170" t="s">
        <v>619</v>
      </c>
      <c r="E23" s="83">
        <f>E19/E22</f>
        <v>1.4276919089869744</v>
      </c>
      <c r="F23" s="83">
        <f t="shared" ref="F23:BQ23" si="8">F19/F22</f>
        <v>0.93492911711586091</v>
      </c>
      <c r="G23" s="83">
        <f t="shared" si="8"/>
        <v>0.59010580404974566</v>
      </c>
      <c r="H23" s="83">
        <f t="shared" si="8"/>
        <v>0.27018649583165194</v>
      </c>
      <c r="I23" s="83">
        <f t="shared" si="8"/>
        <v>1.1685502969868862</v>
      </c>
      <c r="J23" s="83">
        <f t="shared" si="8"/>
        <v>0.98318485505704567</v>
      </c>
      <c r="K23" s="83">
        <f t="shared" si="8"/>
        <v>0.57951313302003893</v>
      </c>
      <c r="L23" s="83">
        <f t="shared" si="8"/>
        <v>0.2907046823679969</v>
      </c>
      <c r="M23" s="83">
        <f t="shared" si="8"/>
        <v>1.2506802859073518</v>
      </c>
      <c r="N23" s="83">
        <f t="shared" si="8"/>
        <v>0.94330584126818506</v>
      </c>
      <c r="O23" s="83">
        <f t="shared" si="8"/>
        <v>0.85430535591065015</v>
      </c>
      <c r="P23" s="83">
        <f t="shared" si="8"/>
        <v>0.4742716644001676</v>
      </c>
      <c r="Q23" s="83">
        <f t="shared" si="8"/>
        <v>2.2333042747639662</v>
      </c>
      <c r="R23" s="83">
        <f t="shared" si="8"/>
        <v>2.1924374416948966</v>
      </c>
      <c r="S23" s="83">
        <f t="shared" si="8"/>
        <v>1.9981877452612842</v>
      </c>
      <c r="T23" s="83">
        <f t="shared" si="8"/>
        <v>1.7157973161538376</v>
      </c>
      <c r="U23" s="83" t="e">
        <f t="shared" si="8"/>
        <v>#DIV/0!</v>
      </c>
      <c r="V23" s="83" t="e">
        <f t="shared" si="8"/>
        <v>#DIV/0!</v>
      </c>
      <c r="W23" s="83" t="e">
        <f t="shared" si="8"/>
        <v>#DIV/0!</v>
      </c>
      <c r="X23" s="83" t="e">
        <f t="shared" si="8"/>
        <v>#DIV/0!</v>
      </c>
      <c r="Y23" s="83" t="e">
        <f t="shared" si="8"/>
        <v>#DIV/0!</v>
      </c>
      <c r="Z23" s="83" t="e">
        <f t="shared" si="8"/>
        <v>#DIV/0!</v>
      </c>
      <c r="AA23" s="83" t="e">
        <f t="shared" si="8"/>
        <v>#DIV/0!</v>
      </c>
      <c r="AB23" s="83" t="e">
        <f t="shared" si="8"/>
        <v>#DIV/0!</v>
      </c>
      <c r="AC23" s="83" t="e">
        <f t="shared" si="8"/>
        <v>#DIV/0!</v>
      </c>
      <c r="AD23" s="83" t="e">
        <f t="shared" si="8"/>
        <v>#DIV/0!</v>
      </c>
      <c r="AE23" s="83" t="e">
        <f t="shared" si="8"/>
        <v>#DIV/0!</v>
      </c>
      <c r="AF23" s="83" t="e">
        <f t="shared" si="8"/>
        <v>#DIV/0!</v>
      </c>
      <c r="AG23" s="83" t="e">
        <f t="shared" si="8"/>
        <v>#DIV/0!</v>
      </c>
      <c r="AH23" s="83" t="e">
        <f t="shared" si="8"/>
        <v>#DIV/0!</v>
      </c>
      <c r="AI23" s="83" t="e">
        <f t="shared" si="8"/>
        <v>#DIV/0!</v>
      </c>
      <c r="AJ23" s="83" t="e">
        <f t="shared" si="8"/>
        <v>#DIV/0!</v>
      </c>
      <c r="AK23" s="83" t="e">
        <f t="shared" si="8"/>
        <v>#DIV/0!</v>
      </c>
      <c r="AL23" s="83" t="e">
        <f t="shared" si="8"/>
        <v>#DIV/0!</v>
      </c>
      <c r="AM23" s="83" t="e">
        <f t="shared" si="8"/>
        <v>#DIV/0!</v>
      </c>
      <c r="AN23" s="83" t="e">
        <f t="shared" si="8"/>
        <v>#DIV/0!</v>
      </c>
      <c r="AO23" s="83" t="e">
        <f t="shared" si="8"/>
        <v>#DIV/0!</v>
      </c>
      <c r="AP23" s="83" t="e">
        <f t="shared" si="8"/>
        <v>#DIV/0!</v>
      </c>
      <c r="AQ23" s="83" t="e">
        <f t="shared" si="8"/>
        <v>#DIV/0!</v>
      </c>
      <c r="AR23" s="83" t="e">
        <f t="shared" si="8"/>
        <v>#DIV/0!</v>
      </c>
      <c r="AS23" s="83" t="e">
        <f t="shared" si="8"/>
        <v>#DIV/0!</v>
      </c>
      <c r="AT23" s="83" t="e">
        <f t="shared" si="8"/>
        <v>#DIV/0!</v>
      </c>
      <c r="AU23" s="83" t="e">
        <f t="shared" si="8"/>
        <v>#DIV/0!</v>
      </c>
      <c r="AV23" s="83" t="e">
        <f t="shared" si="8"/>
        <v>#DIV/0!</v>
      </c>
      <c r="AW23" s="83" t="e">
        <f t="shared" si="8"/>
        <v>#DIV/0!</v>
      </c>
      <c r="AX23" s="83" t="e">
        <f t="shared" si="8"/>
        <v>#DIV/0!</v>
      </c>
      <c r="AY23" s="83" t="e">
        <f t="shared" si="8"/>
        <v>#DIV/0!</v>
      </c>
      <c r="AZ23" s="83" t="e">
        <f t="shared" si="8"/>
        <v>#DIV/0!</v>
      </c>
      <c r="BA23" s="83" t="e">
        <f t="shared" si="8"/>
        <v>#DIV/0!</v>
      </c>
      <c r="BB23" s="83" t="e">
        <f t="shared" si="8"/>
        <v>#DIV/0!</v>
      </c>
      <c r="BC23" s="83" t="e">
        <f t="shared" si="8"/>
        <v>#DIV/0!</v>
      </c>
      <c r="BD23" s="83" t="e">
        <f t="shared" si="8"/>
        <v>#DIV/0!</v>
      </c>
      <c r="BE23" s="83" t="e">
        <f t="shared" si="8"/>
        <v>#DIV/0!</v>
      </c>
      <c r="BF23" s="83" t="e">
        <f t="shared" si="8"/>
        <v>#DIV/0!</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169" customFormat="1" ht="14.25" thickBot="1">
      <c r="A24" s="168" t="s">
        <v>620</v>
      </c>
      <c r="E24" s="169">
        <f>E21*E23</f>
        <v>0.39362665062755431</v>
      </c>
      <c r="F24" s="169">
        <f t="shared" ref="F24:BQ24" si="10">F21*F23</f>
        <v>0.24427608119418673</v>
      </c>
      <c r="G24" s="169">
        <f t="shared" si="10"/>
        <v>0.14297567176511503</v>
      </c>
      <c r="H24" s="169">
        <f t="shared" si="10"/>
        <v>6.0868978546978668E-2</v>
      </c>
      <c r="I24" s="169">
        <f t="shared" si="10"/>
        <v>0.35691091149193316</v>
      </c>
      <c r="J24" s="169">
        <f t="shared" si="10"/>
        <v>0.23922429901079367</v>
      </c>
      <c r="K24" s="169">
        <f t="shared" si="10"/>
        <v>0.12767283056126325</v>
      </c>
      <c r="L24" s="169">
        <f t="shared" si="10"/>
        <v>5.9461954697084041E-2</v>
      </c>
      <c r="M24" s="169">
        <f t="shared" si="10"/>
        <v>0.34751307607526566</v>
      </c>
      <c r="N24" s="169">
        <f t="shared" si="10"/>
        <v>0.22798097582444263</v>
      </c>
      <c r="O24" s="169">
        <f t="shared" si="10"/>
        <v>0.20462470492950369</v>
      </c>
      <c r="P24" s="169">
        <f t="shared" si="10"/>
        <v>0.11322638333810753</v>
      </c>
      <c r="Q24" s="169">
        <f t="shared" si="10"/>
        <v>0.65994798279327682</v>
      </c>
      <c r="R24" s="169">
        <f t="shared" si="10"/>
        <v>0.61957571212471929</v>
      </c>
      <c r="S24" s="169">
        <f t="shared" si="10"/>
        <v>0.56327570657394399</v>
      </c>
      <c r="T24" s="169">
        <f t="shared" si="10"/>
        <v>0.48936966842050933</v>
      </c>
      <c r="U24" s="169" t="e">
        <f t="shared" si="10"/>
        <v>#DIV/0!</v>
      </c>
      <c r="V24" s="169" t="e">
        <f t="shared" si="10"/>
        <v>#DIV/0!</v>
      </c>
      <c r="W24" s="169" t="e">
        <f t="shared" si="10"/>
        <v>#DIV/0!</v>
      </c>
      <c r="X24" s="169" t="e">
        <f t="shared" si="10"/>
        <v>#DIV/0!</v>
      </c>
      <c r="Y24" s="169" t="e">
        <f t="shared" si="10"/>
        <v>#DIV/0!</v>
      </c>
      <c r="Z24" s="169" t="e">
        <f t="shared" si="10"/>
        <v>#DIV/0!</v>
      </c>
      <c r="AA24" s="169" t="e">
        <f t="shared" si="10"/>
        <v>#DIV/0!</v>
      </c>
      <c r="AB24" s="169" t="e">
        <f t="shared" si="10"/>
        <v>#DIV/0!</v>
      </c>
      <c r="AC24" s="169" t="e">
        <f t="shared" si="10"/>
        <v>#DIV/0!</v>
      </c>
      <c r="AD24" s="169" t="e">
        <f t="shared" si="10"/>
        <v>#DIV/0!</v>
      </c>
      <c r="AE24" s="169" t="e">
        <f t="shared" si="10"/>
        <v>#DIV/0!</v>
      </c>
      <c r="AF24" s="169" t="e">
        <f t="shared" si="10"/>
        <v>#DIV/0!</v>
      </c>
      <c r="AG24" s="169" t="e">
        <f t="shared" si="10"/>
        <v>#DIV/0!</v>
      </c>
      <c r="AH24" s="169" t="e">
        <f t="shared" si="10"/>
        <v>#DIV/0!</v>
      </c>
      <c r="AI24" s="169" t="e">
        <f t="shared" si="10"/>
        <v>#DIV/0!</v>
      </c>
      <c r="AJ24" s="169" t="e">
        <f t="shared" si="10"/>
        <v>#DIV/0!</v>
      </c>
      <c r="AK24" s="169" t="e">
        <f t="shared" si="10"/>
        <v>#DIV/0!</v>
      </c>
      <c r="AL24" s="169" t="e">
        <f t="shared" si="10"/>
        <v>#DIV/0!</v>
      </c>
      <c r="AM24" s="169" t="e">
        <f t="shared" si="10"/>
        <v>#DIV/0!</v>
      </c>
      <c r="AN24" s="169" t="e">
        <f t="shared" si="10"/>
        <v>#DIV/0!</v>
      </c>
      <c r="AO24" s="169" t="e">
        <f t="shared" si="10"/>
        <v>#DIV/0!</v>
      </c>
      <c r="AP24" s="169" t="e">
        <f t="shared" si="10"/>
        <v>#DIV/0!</v>
      </c>
      <c r="AQ24" s="169" t="e">
        <f t="shared" si="10"/>
        <v>#DIV/0!</v>
      </c>
      <c r="AR24" s="169" t="e">
        <f t="shared" si="10"/>
        <v>#DIV/0!</v>
      </c>
      <c r="AS24" s="169" t="e">
        <f t="shared" si="10"/>
        <v>#DIV/0!</v>
      </c>
      <c r="AT24" s="169" t="e">
        <f t="shared" si="10"/>
        <v>#DIV/0!</v>
      </c>
      <c r="AU24" s="169" t="e">
        <f t="shared" si="10"/>
        <v>#DIV/0!</v>
      </c>
      <c r="AV24" s="169" t="e">
        <f t="shared" si="10"/>
        <v>#DIV/0!</v>
      </c>
      <c r="AW24" s="169" t="e">
        <f t="shared" si="10"/>
        <v>#DIV/0!</v>
      </c>
      <c r="AX24" s="169" t="e">
        <f t="shared" si="10"/>
        <v>#DIV/0!</v>
      </c>
      <c r="AY24" s="169" t="e">
        <f t="shared" si="10"/>
        <v>#DIV/0!</v>
      </c>
      <c r="AZ24" s="169" t="e">
        <f t="shared" si="10"/>
        <v>#DIV/0!</v>
      </c>
      <c r="BA24" s="169" t="e">
        <f t="shared" si="10"/>
        <v>#DIV/0!</v>
      </c>
      <c r="BB24" s="169" t="e">
        <f t="shared" si="10"/>
        <v>#DIV/0!</v>
      </c>
      <c r="BC24" s="169" t="e">
        <f t="shared" si="10"/>
        <v>#DIV/0!</v>
      </c>
      <c r="BD24" s="169" t="e">
        <f t="shared" si="10"/>
        <v>#DIV/0!</v>
      </c>
      <c r="BE24" s="169" t="e">
        <f t="shared" si="10"/>
        <v>#DIV/0!</v>
      </c>
      <c r="BF24" s="169" t="e">
        <f t="shared" si="10"/>
        <v>#DIV/0!</v>
      </c>
      <c r="BG24" s="169" t="e">
        <f t="shared" si="10"/>
        <v>#DIV/0!</v>
      </c>
      <c r="BH24" s="169" t="e">
        <f t="shared" si="10"/>
        <v>#DIV/0!</v>
      </c>
      <c r="BI24" s="169" t="e">
        <f t="shared" si="10"/>
        <v>#DIV/0!</v>
      </c>
      <c r="BJ24" s="169" t="e">
        <f t="shared" si="10"/>
        <v>#DIV/0!</v>
      </c>
      <c r="BK24" s="169" t="e">
        <f t="shared" si="10"/>
        <v>#DIV/0!</v>
      </c>
      <c r="BL24" s="169" t="e">
        <f t="shared" si="10"/>
        <v>#DIV/0!</v>
      </c>
      <c r="BM24" s="169" t="e">
        <f t="shared" si="10"/>
        <v>#DIV/0!</v>
      </c>
      <c r="BN24" s="169" t="e">
        <f t="shared" si="10"/>
        <v>#DIV/0!</v>
      </c>
      <c r="BO24" s="169" t="e">
        <f t="shared" si="10"/>
        <v>#DIV/0!</v>
      </c>
      <c r="BP24" s="169" t="e">
        <f t="shared" si="10"/>
        <v>#DIV/0!</v>
      </c>
      <c r="BQ24" s="169" t="e">
        <f t="shared" si="10"/>
        <v>#DIV/0!</v>
      </c>
      <c r="BR24" s="169" t="e">
        <f t="shared" ref="BR24:CK24" si="11">BR21*BR23</f>
        <v>#DIV/0!</v>
      </c>
      <c r="BS24" s="169" t="e">
        <f t="shared" si="11"/>
        <v>#DIV/0!</v>
      </c>
      <c r="BT24" s="169" t="e">
        <f t="shared" si="11"/>
        <v>#DIV/0!</v>
      </c>
      <c r="BU24" s="169" t="e">
        <f t="shared" si="11"/>
        <v>#DIV/0!</v>
      </c>
      <c r="BV24" s="169" t="e">
        <f t="shared" si="11"/>
        <v>#DIV/0!</v>
      </c>
      <c r="BW24" s="169" t="e">
        <f t="shared" si="11"/>
        <v>#DIV/0!</v>
      </c>
      <c r="BX24" s="169" t="e">
        <f t="shared" si="11"/>
        <v>#DIV/0!</v>
      </c>
      <c r="BY24" s="169" t="e">
        <f t="shared" si="11"/>
        <v>#DIV/0!</v>
      </c>
      <c r="BZ24" s="169" t="e">
        <f t="shared" si="11"/>
        <v>#DIV/0!</v>
      </c>
      <c r="CA24" s="169" t="e">
        <f t="shared" si="11"/>
        <v>#DIV/0!</v>
      </c>
      <c r="CB24" s="169" t="e">
        <f t="shared" si="11"/>
        <v>#DIV/0!</v>
      </c>
      <c r="CC24" s="169" t="e">
        <f t="shared" si="11"/>
        <v>#DIV/0!</v>
      </c>
      <c r="CD24" s="169" t="e">
        <f t="shared" si="11"/>
        <v>#DIV/0!</v>
      </c>
      <c r="CE24" s="169" t="e">
        <f t="shared" si="11"/>
        <v>#DIV/0!</v>
      </c>
      <c r="CF24" s="169" t="e">
        <f t="shared" si="11"/>
        <v>#DIV/0!</v>
      </c>
      <c r="CG24" s="169" t="e">
        <f t="shared" si="11"/>
        <v>#DIV/0!</v>
      </c>
      <c r="CH24" s="169" t="e">
        <f t="shared" si="11"/>
        <v>#DIV/0!</v>
      </c>
      <c r="CI24" s="169" t="e">
        <f t="shared" si="11"/>
        <v>#DIV/0!</v>
      </c>
      <c r="CJ24" s="169" t="e">
        <f t="shared" si="11"/>
        <v>#DIV/0!</v>
      </c>
      <c r="CK24" s="169" t="e">
        <f t="shared" si="11"/>
        <v>#DIV/0!</v>
      </c>
    </row>
    <row r="25" spans="1:89" s="76" customFormat="1">
      <c r="A25" s="153"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41274</v>
      </c>
      <c r="W25" s="1">
        <v>40908</v>
      </c>
      <c r="X25" s="1">
        <v>25569</v>
      </c>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52" t="s">
        <v>447</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52" t="s">
        <v>448</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0</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2" customFormat="1">
      <c r="A28" s="149" t="s">
        <v>449</v>
      </c>
      <c r="E28" s="112" t="e">
        <f>E26/E27</f>
        <v>#DIV/0!</v>
      </c>
      <c r="F28" s="112" t="e">
        <f t="shared" ref="F28:BQ28" si="12">F26/F27</f>
        <v>#DIV/0!</v>
      </c>
      <c r="G28" s="112" t="e">
        <f t="shared" si="12"/>
        <v>#DIV/0!</v>
      </c>
      <c r="H28" s="112" t="e">
        <f t="shared" si="12"/>
        <v>#DIV/0!</v>
      </c>
      <c r="I28" s="112" t="e">
        <f t="shared" si="12"/>
        <v>#DIV/0!</v>
      </c>
      <c r="J28" s="112" t="e">
        <f t="shared" si="12"/>
        <v>#DIV/0!</v>
      </c>
      <c r="K28" s="112" t="e">
        <f t="shared" si="12"/>
        <v>#DIV/0!</v>
      </c>
      <c r="L28" s="112" t="e">
        <f t="shared" si="12"/>
        <v>#DIV/0!</v>
      </c>
      <c r="M28" s="112" t="e">
        <f t="shared" si="12"/>
        <v>#DIV/0!</v>
      </c>
      <c r="N28" s="112" t="e">
        <f t="shared" si="12"/>
        <v>#DIV/0!</v>
      </c>
      <c r="O28" s="112" t="e">
        <f t="shared" si="12"/>
        <v>#DIV/0!</v>
      </c>
      <c r="P28" s="112" t="e">
        <f t="shared" si="12"/>
        <v>#DIV/0!</v>
      </c>
      <c r="Q28" s="112" t="e">
        <f t="shared" si="12"/>
        <v>#DIV/0!</v>
      </c>
      <c r="R28" s="112" t="e">
        <f t="shared" si="12"/>
        <v>#DIV/0!</v>
      </c>
      <c r="S28" s="112" t="e">
        <f t="shared" si="12"/>
        <v>#DIV/0!</v>
      </c>
      <c r="T28" s="112" t="e">
        <f t="shared" si="12"/>
        <v>#DIV/0!</v>
      </c>
      <c r="U28" s="112" t="e">
        <f t="shared" si="12"/>
        <v>#DIV/0!</v>
      </c>
      <c r="V28" s="112" t="e">
        <f t="shared" si="12"/>
        <v>#DIV/0!</v>
      </c>
      <c r="W28" s="112" t="e">
        <f t="shared" si="12"/>
        <v>#DIV/0!</v>
      </c>
      <c r="X28" s="112" t="e">
        <f t="shared" si="12"/>
        <v>#DIV/0!</v>
      </c>
      <c r="Y28" s="112" t="e">
        <f t="shared" si="12"/>
        <v>#DIV/0!</v>
      </c>
      <c r="Z28" s="112" t="e">
        <f t="shared" si="12"/>
        <v>#DIV/0!</v>
      </c>
      <c r="AA28" s="112" t="e">
        <f t="shared" si="12"/>
        <v>#DIV/0!</v>
      </c>
      <c r="AB28" s="112" t="e">
        <f t="shared" si="12"/>
        <v>#DIV/0!</v>
      </c>
      <c r="AC28" s="112" t="e">
        <f t="shared" si="12"/>
        <v>#DIV/0!</v>
      </c>
      <c r="AD28" s="112" t="e">
        <f t="shared" si="12"/>
        <v>#DIV/0!</v>
      </c>
      <c r="AE28" s="112" t="e">
        <f t="shared" si="12"/>
        <v>#DIV/0!</v>
      </c>
      <c r="AF28" s="112" t="e">
        <f t="shared" si="12"/>
        <v>#DIV/0!</v>
      </c>
      <c r="AG28" s="112" t="e">
        <f t="shared" si="12"/>
        <v>#DIV/0!</v>
      </c>
      <c r="AH28" s="112" t="e">
        <f t="shared" si="12"/>
        <v>#DIV/0!</v>
      </c>
      <c r="AI28" s="112" t="e">
        <f t="shared" si="12"/>
        <v>#DIV/0!</v>
      </c>
      <c r="AJ28" s="112" t="e">
        <f t="shared" si="12"/>
        <v>#DIV/0!</v>
      </c>
      <c r="AK28" s="112" t="e">
        <f t="shared" si="12"/>
        <v>#DIV/0!</v>
      </c>
      <c r="AL28" s="112" t="e">
        <f t="shared" si="12"/>
        <v>#DIV/0!</v>
      </c>
      <c r="AM28" s="112" t="e">
        <f t="shared" si="12"/>
        <v>#DIV/0!</v>
      </c>
      <c r="AN28" s="112" t="e">
        <f t="shared" si="12"/>
        <v>#DIV/0!</v>
      </c>
      <c r="AO28" s="112" t="e">
        <f t="shared" si="12"/>
        <v>#DIV/0!</v>
      </c>
      <c r="AP28" s="112" t="e">
        <f t="shared" si="12"/>
        <v>#DIV/0!</v>
      </c>
      <c r="AQ28" s="112" t="e">
        <f t="shared" si="12"/>
        <v>#DIV/0!</v>
      </c>
      <c r="AR28" s="112" t="e">
        <f t="shared" si="12"/>
        <v>#DIV/0!</v>
      </c>
      <c r="AS28" s="112" t="e">
        <f t="shared" si="12"/>
        <v>#DIV/0!</v>
      </c>
      <c r="AT28" s="112" t="e">
        <f t="shared" si="12"/>
        <v>#DIV/0!</v>
      </c>
      <c r="AU28" s="112" t="e">
        <f t="shared" si="12"/>
        <v>#DIV/0!</v>
      </c>
      <c r="AV28" s="112" t="e">
        <f t="shared" si="12"/>
        <v>#DIV/0!</v>
      </c>
      <c r="AW28" s="112" t="e">
        <f t="shared" si="12"/>
        <v>#DIV/0!</v>
      </c>
      <c r="AX28" s="112" t="e">
        <f t="shared" si="12"/>
        <v>#DIV/0!</v>
      </c>
      <c r="AY28" s="112" t="e">
        <f t="shared" si="12"/>
        <v>#DIV/0!</v>
      </c>
      <c r="AZ28" s="112" t="e">
        <f t="shared" si="12"/>
        <v>#DIV/0!</v>
      </c>
      <c r="BA28" s="112" t="e">
        <f t="shared" si="12"/>
        <v>#DIV/0!</v>
      </c>
      <c r="BB28" s="112" t="e">
        <f t="shared" si="12"/>
        <v>#DIV/0!</v>
      </c>
      <c r="BC28" s="112" t="e">
        <f t="shared" si="12"/>
        <v>#DIV/0!</v>
      </c>
      <c r="BD28" s="112" t="e">
        <f t="shared" si="12"/>
        <v>#DIV/0!</v>
      </c>
      <c r="BE28" s="112" t="e">
        <f t="shared" si="12"/>
        <v>#DIV/0!</v>
      </c>
      <c r="BF28" s="112" t="e">
        <f t="shared" si="12"/>
        <v>#DIV/0!</v>
      </c>
      <c r="BG28" s="112" t="e">
        <f t="shared" si="12"/>
        <v>#DIV/0!</v>
      </c>
      <c r="BH28" s="112" t="e">
        <f t="shared" si="12"/>
        <v>#DIV/0!</v>
      </c>
      <c r="BI28" s="112" t="e">
        <f t="shared" si="12"/>
        <v>#DIV/0!</v>
      </c>
      <c r="BJ28" s="112" t="e">
        <f t="shared" si="12"/>
        <v>#DIV/0!</v>
      </c>
      <c r="BK28" s="112" t="e">
        <f t="shared" si="12"/>
        <v>#DIV/0!</v>
      </c>
      <c r="BL28" s="112" t="e">
        <f t="shared" si="12"/>
        <v>#DIV/0!</v>
      </c>
      <c r="BM28" s="112" t="e">
        <f t="shared" si="12"/>
        <v>#DIV/0!</v>
      </c>
      <c r="BN28" s="112" t="e">
        <f t="shared" si="12"/>
        <v>#DIV/0!</v>
      </c>
      <c r="BO28" s="112" t="e">
        <f t="shared" si="12"/>
        <v>#DIV/0!</v>
      </c>
      <c r="BP28" s="112" t="e">
        <f t="shared" si="12"/>
        <v>#DIV/0!</v>
      </c>
      <c r="BQ28" s="112" t="e">
        <f t="shared" si="12"/>
        <v>#DIV/0!</v>
      </c>
      <c r="BR28" s="112" t="e">
        <f t="shared" ref="BR28:CJ28" si="13">BR26/BR27</f>
        <v>#DIV/0!</v>
      </c>
      <c r="BS28" s="112" t="e">
        <f t="shared" si="13"/>
        <v>#DIV/0!</v>
      </c>
      <c r="BT28" s="112" t="e">
        <f t="shared" si="13"/>
        <v>#DIV/0!</v>
      </c>
      <c r="BU28" s="112" t="e">
        <f t="shared" si="13"/>
        <v>#DIV/0!</v>
      </c>
      <c r="BV28" s="112" t="e">
        <f t="shared" si="13"/>
        <v>#DIV/0!</v>
      </c>
      <c r="BW28" s="112" t="e">
        <f t="shared" si="13"/>
        <v>#DIV/0!</v>
      </c>
      <c r="BX28" s="112" t="e">
        <f t="shared" si="13"/>
        <v>#DIV/0!</v>
      </c>
      <c r="BY28" s="112" t="e">
        <f t="shared" si="13"/>
        <v>#DIV/0!</v>
      </c>
      <c r="BZ28" s="112" t="e">
        <f t="shared" si="13"/>
        <v>#DIV/0!</v>
      </c>
      <c r="CA28" s="112" t="e">
        <f t="shared" si="13"/>
        <v>#DIV/0!</v>
      </c>
      <c r="CB28" s="112" t="e">
        <f t="shared" si="13"/>
        <v>#DIV/0!</v>
      </c>
      <c r="CC28" s="112" t="e">
        <f t="shared" si="13"/>
        <v>#DIV/0!</v>
      </c>
      <c r="CD28" s="112" t="e">
        <f t="shared" si="13"/>
        <v>#DIV/0!</v>
      </c>
      <c r="CE28" s="112" t="e">
        <f t="shared" si="13"/>
        <v>#DIV/0!</v>
      </c>
      <c r="CF28" s="112" t="e">
        <f t="shared" si="13"/>
        <v>#DIV/0!</v>
      </c>
      <c r="CG28" s="112" t="e">
        <f t="shared" si="13"/>
        <v>#DIV/0!</v>
      </c>
      <c r="CH28" s="112" t="e">
        <f t="shared" si="13"/>
        <v>#DIV/0!</v>
      </c>
      <c r="CI28" s="112" t="e">
        <f t="shared" si="13"/>
        <v>#DIV/0!</v>
      </c>
      <c r="CJ28" s="112" t="e">
        <f t="shared" si="13"/>
        <v>#DIV/0!</v>
      </c>
    </row>
    <row r="29" spans="1:89" s="26" customFormat="1">
      <c r="A29" s="17"/>
    </row>
    <row r="30" spans="1:89" s="26" customFormat="1">
      <c r="A30" s="17"/>
    </row>
    <row r="31" spans="1:89" s="119" customFormat="1">
      <c r="A31" s="12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41274</v>
      </c>
      <c r="W31" s="1">
        <v>40908</v>
      </c>
      <c r="X31" s="1">
        <v>25569</v>
      </c>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52" t="s">
        <v>454</v>
      </c>
      <c r="E32" s="76">
        <f>股权价值增加表!E29</f>
        <v>12273709.809587676</v>
      </c>
      <c r="F32" s="76">
        <f>股权价值增加表!F29</f>
        <v>226704.0572107191</v>
      </c>
      <c r="G32" s="76">
        <f>股权价值增加表!G29</f>
        <v>217486.87968439053</v>
      </c>
      <c r="H32" s="76">
        <f>股权价值增加表!H29</f>
        <v>138969.87537674551</v>
      </c>
      <c r="I32" s="76">
        <f>股权价值增加表!I29</f>
        <v>10927341.591627881</v>
      </c>
      <c r="J32" s="76">
        <f>股权价值增加表!J29</f>
        <v>756882.67412534857</v>
      </c>
      <c r="K32" s="76">
        <f>股权价值增加表!K29</f>
        <v>496766.48819955997</v>
      </c>
      <c r="L32" s="76">
        <f>股权价值增加表!L29</f>
        <v>288337.25296631578</v>
      </c>
      <c r="M32" s="76">
        <f>股权价值增加表!M29</f>
        <v>5817158.6207950953</v>
      </c>
      <c r="N32" s="76">
        <f>股权价值增加表!N29</f>
        <v>77599.6040312806</v>
      </c>
      <c r="O32" s="76">
        <f>股权价值增加表!O29</f>
        <v>0</v>
      </c>
      <c r="P32" s="76">
        <f>股权价值增加表!P29</f>
        <v>0</v>
      </c>
      <c r="Q32" s="76">
        <f>股权价值增加表!Q29</f>
        <v>235780.46646925755</v>
      </c>
      <c r="R32" s="76">
        <f>股权价值增加表!R29</f>
        <v>0</v>
      </c>
      <c r="S32" s="76">
        <f>股权价值增加表!S29</f>
        <v>0</v>
      </c>
      <c r="T32" s="76">
        <f>股权价值增加表!T29</f>
        <v>0</v>
      </c>
      <c r="U32" s="76">
        <f>股权价值增加表!U29</f>
        <v>0</v>
      </c>
      <c r="V32" s="76">
        <f>股权价值增加表!V29</f>
        <v>0</v>
      </c>
      <c r="W32" s="76">
        <f>股权价值增加表!W29</f>
        <v>0</v>
      </c>
      <c r="X32" s="76" t="e">
        <f>股权价值增加表!X29</f>
        <v>#DIV/0!</v>
      </c>
      <c r="Y32" s="76">
        <f>股权价值增加表!Y29</f>
        <v>-5447326.9096817933</v>
      </c>
      <c r="Z32" s="76">
        <f>股权价值增加表!Z29</f>
        <v>0</v>
      </c>
      <c r="AA32" s="76">
        <f>股权价值增加表!AA29</f>
        <v>0</v>
      </c>
      <c r="AB32" s="76">
        <f>股权价值增加表!AB29</f>
        <v>0</v>
      </c>
      <c r="AC32" s="76">
        <f>股权价值增加表!AC29</f>
        <v>-162670081.55460021</v>
      </c>
      <c r="AD32" s="76">
        <f>股权价值增加表!AD29</f>
        <v>0</v>
      </c>
      <c r="AE32" s="76">
        <f>股权价值增加表!AE29</f>
        <v>0</v>
      </c>
      <c r="AF32" s="76">
        <f>股权价值增加表!AF29</f>
        <v>0</v>
      </c>
      <c r="AG32" s="76">
        <f>股权价值增加表!AG29</f>
        <v>3517588.139701453</v>
      </c>
      <c r="AH32" s="76">
        <f>股权价值增加表!AH29</f>
        <v>0</v>
      </c>
      <c r="AI32" s="76">
        <f>股权价值增加表!AI29</f>
        <v>0</v>
      </c>
      <c r="AJ32" s="76">
        <f>股权价值增加表!AJ29</f>
        <v>0</v>
      </c>
      <c r="AK32" s="76">
        <f>股权价值增加表!AK29</f>
        <v>10880782.670911618</v>
      </c>
      <c r="AL32" s="76">
        <f>股权价值增加表!AL29</f>
        <v>2022116.3171779532</v>
      </c>
      <c r="AM32" s="76">
        <f>股权价值增加表!AM29</f>
        <v>0</v>
      </c>
      <c r="AN32" s="76">
        <f>股权价值增加表!AN29</f>
        <v>2197686.0725476858</v>
      </c>
      <c r="AO32" s="76">
        <f>股权价值增加表!AO29</f>
        <v>1254231</v>
      </c>
      <c r="AP32" s="76">
        <f>股权价值增加表!AP29</f>
        <v>0</v>
      </c>
      <c r="AQ32" s="76">
        <f>股权价值增加表!AQ29</f>
        <v>0</v>
      </c>
      <c r="AR32" s="76">
        <f>股权价值增加表!AR29</f>
        <v>0</v>
      </c>
      <c r="AS32" s="76" t="e">
        <f>股权价值增加表!AS29</f>
        <v>#DIV/0!</v>
      </c>
      <c r="AT32" s="76">
        <f>股权价值增加表!AT29</f>
        <v>-13003140.681632061</v>
      </c>
      <c r="AU32" s="76">
        <f>股权价值增加表!AU29</f>
        <v>-20273858.635097776</v>
      </c>
      <c r="AV32" s="76">
        <f>股权价值增加表!AV29</f>
        <v>0</v>
      </c>
      <c r="AW32" s="76">
        <f>股权价值增加表!AW29</f>
        <v>13589374.630842954</v>
      </c>
      <c r="AX32" s="76">
        <f>股权价值增加表!AX29</f>
        <v>19968810.999266259</v>
      </c>
      <c r="AY32" s="76">
        <f>股权价值增加表!AY29</f>
        <v>-1423099.2058320753</v>
      </c>
      <c r="AZ32" s="76">
        <f>股权价值增加表!AZ29</f>
        <v>-7194596.6275969138</v>
      </c>
      <c r="BA32" s="76">
        <f>股权价值增加表!BA29</f>
        <v>-181556067.22954905</v>
      </c>
      <c r="BB32" s="76">
        <f>股权价值增加表!BB29</f>
        <v>-143078150.54667872</v>
      </c>
      <c r="BC32" s="76">
        <f>股权价值增加表!BC29</f>
        <v>-130799362.71280822</v>
      </c>
      <c r="BD32" s="76">
        <f>股权价值增加表!BD29</f>
        <v>-9180723.6354263648</v>
      </c>
      <c r="BE32" s="76">
        <f>股权价值增加表!BE29</f>
        <v>-39163425.10763751</v>
      </c>
      <c r="BF32" s="76">
        <f>股权价值增加表!BF29</f>
        <v>-29010920.011306331</v>
      </c>
      <c r="BG32" s="76">
        <f>股权价值增加表!BG29</f>
        <v>-17084859.33726842</v>
      </c>
      <c r="BH32" s="76">
        <f>股权价值增加表!BH29</f>
        <v>-14601441.917478967</v>
      </c>
      <c r="BI32" s="76">
        <f>股权价值增加表!BI29</f>
        <v>-37902491.761407793</v>
      </c>
      <c r="BJ32" s="76">
        <f>股权价值增加表!BJ29</f>
        <v>3637143.7941476554</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53" t="s">
        <v>455</v>
      </c>
    </row>
    <row r="34" spans="1:89" s="76" customFormat="1">
      <c r="A34" s="152" t="s">
        <v>456</v>
      </c>
      <c r="E34" s="76">
        <f>资产资本表!E4</f>
        <v>390275136.37</v>
      </c>
      <c r="F34" s="76">
        <f>资产资本表!F4</f>
        <v>505690981.24000001</v>
      </c>
      <c r="G34" s="76">
        <f>资产资本表!G4</f>
        <v>508958673.50999999</v>
      </c>
      <c r="H34" s="76">
        <f>资产资本表!H4</f>
        <v>497832719.06999999</v>
      </c>
      <c r="I34" s="76">
        <f>资产资本表!I4</f>
        <v>493851281.17000002</v>
      </c>
      <c r="J34" s="76">
        <f>资产资本表!J4</f>
        <v>461432565.64999998</v>
      </c>
      <c r="K34" s="76">
        <f>资产资本表!K4</f>
        <v>423235120.27999997</v>
      </c>
      <c r="L34" s="76">
        <f>资产资本表!L4</f>
        <v>411767153.42000002</v>
      </c>
      <c r="M34" s="76">
        <f>资产资本表!M4</f>
        <v>413367888.41000003</v>
      </c>
      <c r="N34" s="76">
        <f>资产资本表!N4</f>
        <v>389489625.13</v>
      </c>
      <c r="O34" s="76">
        <f>资产资本表!O4</f>
        <v>462791285.51999998</v>
      </c>
      <c r="P34" s="76">
        <f>资产资本表!P4</f>
        <v>63260732.039999999</v>
      </c>
      <c r="Q34" s="76">
        <f>资产资本表!Q4</f>
        <v>75747117.969999999</v>
      </c>
      <c r="R34" s="76">
        <f>资产资本表!R4</f>
        <v>26369896.879999999</v>
      </c>
      <c r="S34" s="76">
        <f>资产资本表!S4</f>
        <v>45028010.689999998</v>
      </c>
      <c r="T34" s="76">
        <f>资产资本表!T4</f>
        <v>52203020.68</v>
      </c>
      <c r="U34" s="76">
        <f>资产资本表!U4</f>
        <v>0</v>
      </c>
      <c r="V34" s="76">
        <f>资产资本表!V4</f>
        <v>0</v>
      </c>
      <c r="W34" s="76">
        <f>资产资本表!W4</f>
        <v>0</v>
      </c>
      <c r="X34" s="76">
        <f>资产资本表!X4</f>
        <v>0</v>
      </c>
      <c r="Y34" s="76">
        <f>资产资本表!Y4</f>
        <v>0</v>
      </c>
      <c r="Z34" s="76">
        <f>资产资本表!Z4</f>
        <v>0</v>
      </c>
      <c r="AA34" s="76">
        <f>资产资本表!AA4</f>
        <v>0</v>
      </c>
      <c r="AB34" s="76">
        <f>资产资本表!AB4</f>
        <v>0</v>
      </c>
      <c r="AC34" s="76">
        <f>资产资本表!AC4</f>
        <v>0</v>
      </c>
      <c r="AD34" s="76">
        <f>资产资本表!AD4</f>
        <v>0</v>
      </c>
      <c r="AE34" s="76">
        <f>资产资本表!AE4</f>
        <v>0</v>
      </c>
      <c r="AF34" s="76">
        <f>资产资本表!AF4</f>
        <v>0</v>
      </c>
      <c r="AG34" s="76">
        <f>资产资本表!AG4</f>
        <v>0</v>
      </c>
      <c r="AH34" s="76">
        <f>资产资本表!AH4</f>
        <v>0</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52" t="s">
        <v>457</v>
      </c>
      <c r="E35" s="76">
        <f>利润表!E12</f>
        <v>-477275</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52" t="s">
        <v>458</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52"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52" t="s">
        <v>460</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52" t="s">
        <v>461</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52" t="s">
        <v>462</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52"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52" t="s">
        <v>464</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53" t="s">
        <v>465</v>
      </c>
      <c r="E43" s="76">
        <f>SUM(E34:E42)</f>
        <v>389797861.37</v>
      </c>
      <c r="F43" s="76">
        <f t="shared" ref="F43:BQ43" si="14">SUM(F34:F42)</f>
        <v>505690981.24000001</v>
      </c>
      <c r="G43" s="76">
        <f t="shared" si="14"/>
        <v>508958673.50999999</v>
      </c>
      <c r="H43" s="76">
        <f t="shared" si="14"/>
        <v>497832719.06999999</v>
      </c>
      <c r="I43" s="76">
        <f t="shared" si="14"/>
        <v>493851281.17000002</v>
      </c>
      <c r="J43" s="76">
        <f t="shared" si="14"/>
        <v>461432565.64999998</v>
      </c>
      <c r="K43" s="76">
        <f t="shared" si="14"/>
        <v>423235120.27999997</v>
      </c>
      <c r="L43" s="76">
        <f t="shared" si="14"/>
        <v>411767153.42000002</v>
      </c>
      <c r="M43" s="76">
        <f t="shared" si="14"/>
        <v>413367888.41000003</v>
      </c>
      <c r="N43" s="76">
        <f t="shared" si="14"/>
        <v>389489625.13</v>
      </c>
      <c r="O43" s="76">
        <f t="shared" si="14"/>
        <v>462791285.51999998</v>
      </c>
      <c r="P43" s="76">
        <f t="shared" si="14"/>
        <v>63260732.039999999</v>
      </c>
      <c r="Q43" s="76">
        <f t="shared" si="14"/>
        <v>75747117.969999999</v>
      </c>
      <c r="R43" s="76">
        <f t="shared" si="14"/>
        <v>26369896.879999999</v>
      </c>
      <c r="S43" s="76">
        <f t="shared" si="14"/>
        <v>45028010.689999998</v>
      </c>
      <c r="T43" s="76">
        <f t="shared" si="14"/>
        <v>52203020.68</v>
      </c>
      <c r="U43" s="76">
        <f t="shared" si="14"/>
        <v>0</v>
      </c>
      <c r="V43" s="76">
        <f t="shared" si="14"/>
        <v>0</v>
      </c>
      <c r="W43" s="76">
        <f t="shared" si="14"/>
        <v>0</v>
      </c>
      <c r="X43" s="76">
        <f t="shared" si="14"/>
        <v>0</v>
      </c>
      <c r="Y43" s="76">
        <f t="shared" si="14"/>
        <v>0</v>
      </c>
      <c r="Z43" s="76">
        <f t="shared" si="14"/>
        <v>0</v>
      </c>
      <c r="AA43" s="76">
        <f t="shared" si="14"/>
        <v>0</v>
      </c>
      <c r="AB43" s="76">
        <f t="shared" si="14"/>
        <v>0</v>
      </c>
      <c r="AC43" s="76">
        <f t="shared" si="14"/>
        <v>0</v>
      </c>
      <c r="AD43" s="76">
        <f t="shared" si="14"/>
        <v>0</v>
      </c>
      <c r="AE43" s="76">
        <f t="shared" si="14"/>
        <v>0</v>
      </c>
      <c r="AF43" s="76">
        <f t="shared" si="14"/>
        <v>0</v>
      </c>
      <c r="AG43" s="76">
        <f t="shared" si="14"/>
        <v>0</v>
      </c>
      <c r="AH43" s="76">
        <f t="shared" si="14"/>
        <v>0</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2" customFormat="1">
      <c r="A44" s="149" t="s">
        <v>466</v>
      </c>
      <c r="E44" s="112">
        <f>E32/E43</f>
        <v>3.1487370829716657E-2</v>
      </c>
      <c r="F44" s="112">
        <f t="shared" ref="F44:BQ44" si="16">F32/F43</f>
        <v>4.4830551783783102E-4</v>
      </c>
      <c r="G44" s="112">
        <f t="shared" si="16"/>
        <v>4.2731736583740006E-4</v>
      </c>
      <c r="H44" s="112">
        <f t="shared" si="16"/>
        <v>2.7914974258091106E-4</v>
      </c>
      <c r="I44" s="112">
        <f t="shared" si="16"/>
        <v>2.2126785954142997E-2</v>
      </c>
      <c r="J44" s="112">
        <f t="shared" si="16"/>
        <v>1.6402888102601968E-3</v>
      </c>
      <c r="K44" s="112">
        <f t="shared" si="16"/>
        <v>1.1737364514336943E-3</v>
      </c>
      <c r="L44" s="112">
        <f t="shared" si="16"/>
        <v>7.0024345208568282E-4</v>
      </c>
      <c r="M44" s="112">
        <f t="shared" si="16"/>
        <v>1.4072594373913562E-2</v>
      </c>
      <c r="N44" s="112">
        <f t="shared" si="16"/>
        <v>1.9923407203819657E-4</v>
      </c>
      <c r="O44" s="112">
        <f t="shared" si="16"/>
        <v>0</v>
      </c>
      <c r="P44" s="112">
        <f t="shared" si="16"/>
        <v>0</v>
      </c>
      <c r="Q44" s="112">
        <f t="shared" si="16"/>
        <v>3.1127318476016409E-3</v>
      </c>
      <c r="R44" s="112">
        <f t="shared" si="16"/>
        <v>0</v>
      </c>
      <c r="S44" s="112">
        <f t="shared" si="16"/>
        <v>0</v>
      </c>
      <c r="T44" s="112">
        <f t="shared" si="16"/>
        <v>0</v>
      </c>
      <c r="U44" s="112" t="e">
        <f t="shared" si="16"/>
        <v>#DIV/0!</v>
      </c>
      <c r="V44" s="112" t="e">
        <f t="shared" si="16"/>
        <v>#DIV/0!</v>
      </c>
      <c r="W44" s="112" t="e">
        <f t="shared" si="16"/>
        <v>#DIV/0!</v>
      </c>
      <c r="X44" s="112" t="e">
        <f t="shared" si="16"/>
        <v>#DIV/0!</v>
      </c>
      <c r="Y44" s="112" t="e">
        <f t="shared" si="16"/>
        <v>#DIV/0!</v>
      </c>
      <c r="Z44" s="112" t="e">
        <f t="shared" si="16"/>
        <v>#DIV/0!</v>
      </c>
      <c r="AA44" s="112" t="e">
        <f t="shared" si="16"/>
        <v>#DIV/0!</v>
      </c>
      <c r="AB44" s="112" t="e">
        <f t="shared" si="16"/>
        <v>#DIV/0!</v>
      </c>
      <c r="AC44" s="112" t="e">
        <f t="shared" si="16"/>
        <v>#DIV/0!</v>
      </c>
      <c r="AD44" s="112" t="e">
        <f t="shared" si="16"/>
        <v>#DIV/0!</v>
      </c>
      <c r="AE44" s="112" t="e">
        <f t="shared" si="16"/>
        <v>#DIV/0!</v>
      </c>
      <c r="AF44" s="112" t="e">
        <f t="shared" si="16"/>
        <v>#DIV/0!</v>
      </c>
      <c r="AG44" s="112" t="e">
        <f t="shared" si="16"/>
        <v>#DIV/0!</v>
      </c>
      <c r="AH44" s="112" t="e">
        <f t="shared" si="16"/>
        <v>#DIV/0!</v>
      </c>
      <c r="AI44" s="112" t="e">
        <f t="shared" si="16"/>
        <v>#DIV/0!</v>
      </c>
      <c r="AJ44" s="112" t="e">
        <f t="shared" si="16"/>
        <v>#DIV/0!</v>
      </c>
      <c r="AK44" s="112" t="e">
        <f t="shared" si="16"/>
        <v>#DIV/0!</v>
      </c>
      <c r="AL44" s="112" t="e">
        <f t="shared" si="16"/>
        <v>#DIV/0!</v>
      </c>
      <c r="AM44" s="112" t="e">
        <f t="shared" si="16"/>
        <v>#DIV/0!</v>
      </c>
      <c r="AN44" s="112" t="e">
        <f t="shared" si="16"/>
        <v>#DIV/0!</v>
      </c>
      <c r="AO44" s="112" t="e">
        <f t="shared" si="16"/>
        <v>#DIV/0!</v>
      </c>
      <c r="AP44" s="112" t="e">
        <f t="shared" si="16"/>
        <v>#DIV/0!</v>
      </c>
      <c r="AQ44" s="112" t="e">
        <f t="shared" si="16"/>
        <v>#DIV/0!</v>
      </c>
      <c r="AR44" s="112" t="e">
        <f t="shared" si="16"/>
        <v>#DIV/0!</v>
      </c>
      <c r="AS44" s="112" t="e">
        <f t="shared" si="16"/>
        <v>#DIV/0!</v>
      </c>
      <c r="AT44" s="112" t="e">
        <f t="shared" si="16"/>
        <v>#DIV/0!</v>
      </c>
      <c r="AU44" s="112" t="e">
        <f t="shared" si="16"/>
        <v>#DIV/0!</v>
      </c>
      <c r="AV44" s="112" t="e">
        <f t="shared" si="16"/>
        <v>#DIV/0!</v>
      </c>
      <c r="AW44" s="112" t="e">
        <f t="shared" si="16"/>
        <v>#DIV/0!</v>
      </c>
      <c r="AX44" s="112" t="e">
        <f t="shared" si="16"/>
        <v>#DIV/0!</v>
      </c>
      <c r="AY44" s="112" t="e">
        <f t="shared" si="16"/>
        <v>#DIV/0!</v>
      </c>
      <c r="AZ44" s="112" t="e">
        <f t="shared" si="16"/>
        <v>#DIV/0!</v>
      </c>
      <c r="BA44" s="112" t="e">
        <f t="shared" si="16"/>
        <v>#DIV/0!</v>
      </c>
      <c r="BB44" s="112" t="e">
        <f t="shared" si="16"/>
        <v>#DIV/0!</v>
      </c>
      <c r="BC44" s="112" t="e">
        <f t="shared" si="16"/>
        <v>#DIV/0!</v>
      </c>
      <c r="BD44" s="112" t="e">
        <f t="shared" si="16"/>
        <v>#DIV/0!</v>
      </c>
      <c r="BE44" s="112" t="e">
        <f t="shared" si="16"/>
        <v>#DIV/0!</v>
      </c>
      <c r="BF44" s="112" t="e">
        <f t="shared" si="16"/>
        <v>#DIV/0!</v>
      </c>
      <c r="BG44" s="112" t="e">
        <f t="shared" si="16"/>
        <v>#DIV/0!</v>
      </c>
      <c r="BH44" s="112" t="e">
        <f t="shared" si="16"/>
        <v>#DIV/0!</v>
      </c>
      <c r="BI44" s="112" t="e">
        <f t="shared" si="16"/>
        <v>#DIV/0!</v>
      </c>
      <c r="BJ44" s="112" t="e">
        <f t="shared" si="16"/>
        <v>#DIV/0!</v>
      </c>
      <c r="BK44" s="112" t="e">
        <f t="shared" si="16"/>
        <v>#DIV/0!</v>
      </c>
      <c r="BL44" s="112" t="e">
        <f t="shared" si="16"/>
        <v>#DIV/0!</v>
      </c>
      <c r="BM44" s="112" t="e">
        <f t="shared" si="16"/>
        <v>#DIV/0!</v>
      </c>
      <c r="BN44" s="112" t="e">
        <f t="shared" si="16"/>
        <v>#DIV/0!</v>
      </c>
      <c r="BO44" s="112" t="e">
        <f t="shared" si="16"/>
        <v>#DIV/0!</v>
      </c>
      <c r="BP44" s="112" t="e">
        <f t="shared" si="16"/>
        <v>#DIV/0!</v>
      </c>
      <c r="BQ44" s="112" t="e">
        <f t="shared" si="16"/>
        <v>#DIV/0!</v>
      </c>
      <c r="BR44" s="112" t="e">
        <f t="shared" ref="BR44:CK44" si="17">BR32/BR43</f>
        <v>#DIV/0!</v>
      </c>
      <c r="BS44" s="112" t="e">
        <f t="shared" si="17"/>
        <v>#DIV/0!</v>
      </c>
      <c r="BT44" s="112" t="e">
        <f t="shared" si="17"/>
        <v>#DIV/0!</v>
      </c>
      <c r="BU44" s="112" t="e">
        <f t="shared" si="17"/>
        <v>#DIV/0!</v>
      </c>
      <c r="BV44" s="112" t="e">
        <f t="shared" si="17"/>
        <v>#DIV/0!</v>
      </c>
      <c r="BW44" s="112" t="e">
        <f t="shared" si="17"/>
        <v>#DIV/0!</v>
      </c>
      <c r="BX44" s="112" t="e">
        <f t="shared" si="17"/>
        <v>#DIV/0!</v>
      </c>
      <c r="BY44" s="112" t="e">
        <f t="shared" si="17"/>
        <v>#DIV/0!</v>
      </c>
      <c r="BZ44" s="112" t="e">
        <f t="shared" si="17"/>
        <v>#DIV/0!</v>
      </c>
      <c r="CA44" s="112" t="e">
        <f t="shared" si="17"/>
        <v>#DIV/0!</v>
      </c>
      <c r="CB44" s="112" t="e">
        <f t="shared" si="17"/>
        <v>#DIV/0!</v>
      </c>
      <c r="CC44" s="112" t="e">
        <f t="shared" si="17"/>
        <v>#DIV/0!</v>
      </c>
      <c r="CD44" s="112" t="e">
        <f t="shared" si="17"/>
        <v>#DIV/0!</v>
      </c>
      <c r="CE44" s="112" t="e">
        <f t="shared" si="17"/>
        <v>#DIV/0!</v>
      </c>
      <c r="CF44" s="112" t="e">
        <f t="shared" si="17"/>
        <v>#DIV/0!</v>
      </c>
      <c r="CG44" s="112" t="e">
        <f t="shared" si="17"/>
        <v>#DIV/0!</v>
      </c>
      <c r="CH44" s="112" t="e">
        <f t="shared" si="17"/>
        <v>#DIV/0!</v>
      </c>
      <c r="CI44" s="112" t="e">
        <f t="shared" si="17"/>
        <v>#DIV/0!</v>
      </c>
      <c r="CJ44" s="112" t="e">
        <f t="shared" si="17"/>
        <v>#DIV/0!</v>
      </c>
      <c r="CK44" s="112" t="e">
        <f t="shared" si="17"/>
        <v>#DIV/0!</v>
      </c>
    </row>
    <row r="45" spans="1:89" s="16" customFormat="1" ht="28.5" customHeight="1">
      <c r="A45" s="235"/>
      <c r="B45" s="236"/>
      <c r="C45" s="236"/>
      <c r="D45" s="236"/>
      <c r="E45" s="236"/>
      <c r="F45" s="236"/>
      <c r="G45" s="236"/>
      <c r="H45" s="236"/>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row>
    <row r="48" spans="1:89" s="119" customFormat="1">
      <c r="A48" s="12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41274</v>
      </c>
      <c r="W48" s="1">
        <v>40908</v>
      </c>
      <c r="X48" s="1">
        <v>25569</v>
      </c>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52" t="s">
        <v>468</v>
      </c>
      <c r="E49" s="76">
        <f>利润表!E4</f>
        <v>495877419.98000002</v>
      </c>
      <c r="F49" s="76">
        <f>利润表!F4</f>
        <v>353525103.44999999</v>
      </c>
      <c r="G49" s="76">
        <f>利润表!G4</f>
        <v>216615774.84999999</v>
      </c>
      <c r="H49" s="76">
        <f>利润表!H4</f>
        <v>96938491.230000004</v>
      </c>
      <c r="I49" s="76">
        <f>利润表!I4</f>
        <v>334060452.80000001</v>
      </c>
      <c r="J49" s="76">
        <f>利润表!J4</f>
        <v>249912116.02000001</v>
      </c>
      <c r="K49" s="76">
        <f>利润表!K4</f>
        <v>165029582.87</v>
      </c>
      <c r="L49" s="76">
        <f>利润表!L4</f>
        <v>80464922.310000002</v>
      </c>
      <c r="M49" s="76">
        <f>利润表!M4</f>
        <v>323570970.87</v>
      </c>
      <c r="N49" s="76">
        <f>利润表!N4</f>
        <v>248729217.63999999</v>
      </c>
      <c r="O49" s="76">
        <f>利润表!O4</f>
        <v>161936467.97</v>
      </c>
      <c r="P49" s="76">
        <f>利润表!P4</f>
        <v>83427219.010000005</v>
      </c>
      <c r="Q49" s="76">
        <f>利润表!Q4</f>
        <v>356983852.38</v>
      </c>
      <c r="R49" s="76">
        <f>利润表!R4</f>
        <v>265845775.84999999</v>
      </c>
      <c r="S49" s="76">
        <f>利润表!S4</f>
        <v>168265778.53</v>
      </c>
      <c r="T49" s="76">
        <f>利润表!T4</f>
        <v>82886156.019999996</v>
      </c>
      <c r="U49" s="76">
        <f>利润表!U4</f>
        <v>332811274.00999999</v>
      </c>
      <c r="V49" s="76">
        <f>利润表!V4</f>
        <v>309060512.23000002</v>
      </c>
      <c r="W49" s="76">
        <f>利润表!W4</f>
        <v>239745202.43000001</v>
      </c>
      <c r="X49" s="76">
        <f>利润表!X4</f>
        <v>0</v>
      </c>
      <c r="Y49" s="76">
        <f>利润表!Y4</f>
        <v>0</v>
      </c>
      <c r="Z49" s="76">
        <f>利润表!Z4</f>
        <v>0</v>
      </c>
      <c r="AA49" s="76">
        <f>利润表!AA4</f>
        <v>0</v>
      </c>
      <c r="AB49" s="76">
        <f>利润表!AB4</f>
        <v>0</v>
      </c>
      <c r="AC49" s="76">
        <f>利润表!AC4</f>
        <v>0</v>
      </c>
      <c r="AD49" s="76">
        <f>利润表!AD4</f>
        <v>0</v>
      </c>
      <c r="AE49" s="76">
        <f>利润表!AE4</f>
        <v>0</v>
      </c>
      <c r="AF49" s="76">
        <f>利润表!AF4</f>
        <v>0</v>
      </c>
      <c r="AG49" s="76">
        <f>利润表!AG4</f>
        <v>0</v>
      </c>
      <c r="AH49" s="76">
        <f>利润表!AH4</f>
        <v>0</v>
      </c>
      <c r="AI49" s="76">
        <f>利润表!AI4</f>
        <v>0</v>
      </c>
      <c r="AJ49" s="76">
        <f>利润表!AJ4</f>
        <v>0</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52" t="s">
        <v>469</v>
      </c>
      <c r="E50" s="76">
        <f>资产资本表!E50</f>
        <v>347328031.25</v>
      </c>
      <c r="F50" s="76">
        <f>资产资本表!F50</f>
        <v>378130381.20000005</v>
      </c>
      <c r="G50" s="76">
        <f>资产资本表!G50</f>
        <v>367079553.13</v>
      </c>
      <c r="H50" s="76">
        <f>资产资本表!H50</f>
        <v>358783628.06999999</v>
      </c>
      <c r="I50" s="76">
        <f>资产资本表!I50</f>
        <v>285875972.70000005</v>
      </c>
      <c r="J50" s="76">
        <f>资产资本表!J50</f>
        <v>254186295.41999993</v>
      </c>
      <c r="K50" s="76">
        <f>资产资本表!K50</f>
        <v>284772809.21999997</v>
      </c>
      <c r="L50" s="76">
        <f>资产资本表!L50</f>
        <v>276792660.00999999</v>
      </c>
      <c r="M50" s="76">
        <f>资产资本表!M50</f>
        <v>258715976.03000003</v>
      </c>
      <c r="N50" s="76">
        <f>资产资本表!N50</f>
        <v>263678233.25</v>
      </c>
      <c r="O50" s="76">
        <f>资产资本表!O50</f>
        <v>189553380.24000001</v>
      </c>
      <c r="P50" s="76">
        <f>资产资本表!P50</f>
        <v>175905973.88</v>
      </c>
      <c r="Q50" s="76">
        <f>资产资本表!Q50</f>
        <v>159845595.78999999</v>
      </c>
      <c r="R50" s="76">
        <f>资产资本表!R50</f>
        <v>121255809.08</v>
      </c>
      <c r="S50" s="76">
        <f>资产资本表!S50</f>
        <v>84209193.520000026</v>
      </c>
      <c r="T50" s="76">
        <f>资产资本表!T50</f>
        <v>48307661.540000021</v>
      </c>
      <c r="U50" s="76">
        <f>资产资本表!U50</f>
        <v>0</v>
      </c>
      <c r="V50" s="76">
        <f>资产资本表!V50</f>
        <v>0</v>
      </c>
      <c r="W50" s="76">
        <f>资产资本表!W50</f>
        <v>0</v>
      </c>
      <c r="X50" s="76">
        <f>资产资本表!X50</f>
        <v>0</v>
      </c>
      <c r="Y50" s="76">
        <f>资产资本表!Y50</f>
        <v>0</v>
      </c>
      <c r="Z50" s="76">
        <f>资产资本表!Z50</f>
        <v>0</v>
      </c>
      <c r="AA50" s="76">
        <f>资产资本表!AA50</f>
        <v>0</v>
      </c>
      <c r="AB50" s="76">
        <f>资产资本表!AB50</f>
        <v>0</v>
      </c>
      <c r="AC50" s="76">
        <f>资产资本表!AC50</f>
        <v>0</v>
      </c>
      <c r="AD50" s="76">
        <f>资产资本表!AD50</f>
        <v>0</v>
      </c>
      <c r="AE50" s="76">
        <f>资产资本表!AE50</f>
        <v>0</v>
      </c>
      <c r="AF50" s="76">
        <f>资产资本表!AF50</f>
        <v>0</v>
      </c>
      <c r="AG50" s="76">
        <f>资产资本表!AG50</f>
        <v>0</v>
      </c>
      <c r="AH50" s="76">
        <f>资产资本表!AH50</f>
        <v>0</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7" t="s">
        <v>470</v>
      </c>
      <c r="E51" s="44">
        <f>E49/E50</f>
        <v>1.4276919089869744</v>
      </c>
      <c r="F51" s="44">
        <f t="shared" ref="F51:BQ51" si="18">F49/F50</f>
        <v>0.93492911711586091</v>
      </c>
      <c r="G51" s="44">
        <f t="shared" si="18"/>
        <v>0.59010580404974566</v>
      </c>
      <c r="H51" s="44">
        <f t="shared" si="18"/>
        <v>0.27018649583165194</v>
      </c>
      <c r="I51" s="44">
        <f t="shared" si="18"/>
        <v>1.1685502969868862</v>
      </c>
      <c r="J51" s="44">
        <f t="shared" si="18"/>
        <v>0.98318485505704567</v>
      </c>
      <c r="K51" s="44">
        <f t="shared" si="18"/>
        <v>0.57951313302003893</v>
      </c>
      <c r="L51" s="44">
        <f t="shared" si="18"/>
        <v>0.2907046823679969</v>
      </c>
      <c r="M51" s="44">
        <f t="shared" si="18"/>
        <v>1.2506802859073518</v>
      </c>
      <c r="N51" s="44">
        <f t="shared" si="18"/>
        <v>0.94330584126818506</v>
      </c>
      <c r="O51" s="44">
        <f t="shared" si="18"/>
        <v>0.85430535591065015</v>
      </c>
      <c r="P51" s="44">
        <f t="shared" si="18"/>
        <v>0.4742716644001676</v>
      </c>
      <c r="Q51" s="44">
        <f t="shared" si="18"/>
        <v>2.2333042747639662</v>
      </c>
      <c r="R51" s="44">
        <f t="shared" si="18"/>
        <v>2.1924374416948966</v>
      </c>
      <c r="S51" s="44">
        <f t="shared" si="18"/>
        <v>1.9981877452612842</v>
      </c>
      <c r="T51" s="44">
        <f t="shared" si="18"/>
        <v>1.7157973161538376</v>
      </c>
      <c r="U51" s="44" t="e">
        <f t="shared" si="18"/>
        <v>#DIV/0!</v>
      </c>
      <c r="V51" s="44" t="e">
        <f t="shared" si="18"/>
        <v>#DIV/0!</v>
      </c>
      <c r="W51" s="44" t="e">
        <f t="shared" si="18"/>
        <v>#DIV/0!</v>
      </c>
      <c r="X51" s="44" t="e">
        <f t="shared" si="18"/>
        <v>#DIV/0!</v>
      </c>
      <c r="Y51" s="44" t="e">
        <f t="shared" si="18"/>
        <v>#DIV/0!</v>
      </c>
      <c r="Z51" s="44" t="e">
        <f t="shared" si="18"/>
        <v>#DIV/0!</v>
      </c>
      <c r="AA51" s="44" t="e">
        <f t="shared" si="18"/>
        <v>#DIV/0!</v>
      </c>
      <c r="AB51" s="44" t="e">
        <f t="shared" si="18"/>
        <v>#DIV/0!</v>
      </c>
      <c r="AC51" s="44" t="e">
        <f t="shared" si="18"/>
        <v>#DIV/0!</v>
      </c>
      <c r="AD51" s="44" t="e">
        <f t="shared" si="18"/>
        <v>#DIV/0!</v>
      </c>
      <c r="AE51" s="44" t="e">
        <f t="shared" si="18"/>
        <v>#DIV/0!</v>
      </c>
      <c r="AF51" s="44" t="e">
        <f t="shared" si="18"/>
        <v>#DIV/0!</v>
      </c>
      <c r="AG51" s="44" t="e">
        <f t="shared" si="18"/>
        <v>#DIV/0!</v>
      </c>
      <c r="AH51" s="44" t="e">
        <f t="shared" si="18"/>
        <v>#DIV/0!</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52" t="s">
        <v>471</v>
      </c>
      <c r="E52" s="76">
        <f>资产资本表!E68</f>
        <v>259323994.15000004</v>
      </c>
      <c r="F52" s="76">
        <f>资产资本表!F68</f>
        <v>256002801.62</v>
      </c>
      <c r="G52" s="76">
        <f>资产资本表!G68</f>
        <v>245728307.12</v>
      </c>
      <c r="H52" s="76">
        <f>资产资本表!H68</f>
        <v>238437137.28000003</v>
      </c>
      <c r="I52" s="76">
        <f>资产资本表!I68</f>
        <v>263845286.18000001</v>
      </c>
      <c r="J52" s="76">
        <f>资产资本表!J68</f>
        <v>136415539.07999998</v>
      </c>
      <c r="K52" s="76">
        <f>资产资本表!K68</f>
        <v>135753008.28</v>
      </c>
      <c r="L52" s="76">
        <f>资产资本表!L68</f>
        <v>135106044.97999999</v>
      </c>
      <c r="M52" s="76">
        <f>资产资本表!M68</f>
        <v>135542723.62</v>
      </c>
      <c r="N52" s="76">
        <f>资产资本表!N68</f>
        <v>132307537.11</v>
      </c>
      <c r="O52" s="76">
        <f>资产资本表!O68</f>
        <v>130622942.41999999</v>
      </c>
      <c r="P52" s="76">
        <f>资产资本表!P68</f>
        <v>131951902.91999999</v>
      </c>
      <c r="Q52" s="76">
        <f>资产资本表!Q68</f>
        <v>134035221.97</v>
      </c>
      <c r="R52" s="76">
        <f>资产资本表!R68</f>
        <v>123093770.94999999</v>
      </c>
      <c r="S52" s="76">
        <f>资产资本表!S68</f>
        <v>102214467.83999999</v>
      </c>
      <c r="T52" s="76">
        <f>资产资本表!T68</f>
        <v>63491916.259999998</v>
      </c>
      <c r="U52" s="76">
        <f>资产资本表!U68</f>
        <v>0</v>
      </c>
      <c r="V52" s="76">
        <f>资产资本表!V68</f>
        <v>0</v>
      </c>
      <c r="W52" s="76">
        <f>资产资本表!W68</f>
        <v>0</v>
      </c>
      <c r="X52" s="76">
        <f>资产资本表!X68</f>
        <v>0</v>
      </c>
      <c r="Y52" s="76">
        <f>资产资本表!Y68</f>
        <v>0</v>
      </c>
      <c r="Z52" s="76">
        <f>资产资本表!Z68</f>
        <v>0</v>
      </c>
      <c r="AA52" s="76">
        <f>资产资本表!AA68</f>
        <v>0</v>
      </c>
      <c r="AB52" s="76">
        <f>资产资本表!AB68</f>
        <v>0</v>
      </c>
      <c r="AC52" s="76">
        <f>资产资本表!AC68</f>
        <v>0</v>
      </c>
      <c r="AD52" s="76">
        <f>资产资本表!AD68</f>
        <v>0</v>
      </c>
      <c r="AE52" s="76">
        <f>资产资本表!AE68</f>
        <v>0</v>
      </c>
      <c r="AF52" s="76">
        <f>资产资本表!AF68</f>
        <v>0</v>
      </c>
      <c r="AG52" s="76">
        <f>资产资本表!AG68</f>
        <v>0</v>
      </c>
      <c r="AH52" s="76">
        <f>资产资本表!AH68</f>
        <v>0</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7" t="s">
        <v>472</v>
      </c>
      <c r="E53" s="44">
        <f>E49/E52</f>
        <v>1.9121925898348267</v>
      </c>
      <c r="F53" s="44">
        <f t="shared" ref="F53:BQ53" si="20">F49/F52</f>
        <v>1.3809423225561339</v>
      </c>
      <c r="G53" s="44">
        <f t="shared" si="20"/>
        <v>0.88152552462837308</v>
      </c>
      <c r="H53" s="44">
        <f t="shared" si="20"/>
        <v>0.40655785560855728</v>
      </c>
      <c r="I53" s="44">
        <f t="shared" si="20"/>
        <v>1.2661224979099985</v>
      </c>
      <c r="J53" s="44">
        <f t="shared" si="20"/>
        <v>1.8319915583329602</v>
      </c>
      <c r="K53" s="44">
        <f t="shared" si="20"/>
        <v>1.2156605953778574</v>
      </c>
      <c r="L53" s="44">
        <f t="shared" si="20"/>
        <v>0.5955686314547316</v>
      </c>
      <c r="M53" s="44">
        <f t="shared" si="20"/>
        <v>2.3872249444916385</v>
      </c>
      <c r="N53" s="44">
        <f t="shared" si="20"/>
        <v>1.8799323384971443</v>
      </c>
      <c r="O53" s="44">
        <f t="shared" si="20"/>
        <v>1.2397245458559316</v>
      </c>
      <c r="P53" s="44">
        <f t="shared" si="20"/>
        <v>0.63225476225667165</v>
      </c>
      <c r="Q53" s="44">
        <f t="shared" si="20"/>
        <v>2.663358534668602</v>
      </c>
      <c r="R53" s="44">
        <f t="shared" si="20"/>
        <v>2.1597012894989227</v>
      </c>
      <c r="S53" s="44">
        <f t="shared" si="20"/>
        <v>1.6462031460496622</v>
      </c>
      <c r="T53" s="44">
        <f t="shared" si="20"/>
        <v>1.3054599845526855</v>
      </c>
      <c r="U53" s="44" t="e">
        <f t="shared" si="20"/>
        <v>#DIV/0!</v>
      </c>
      <c r="V53" s="44" t="e">
        <f t="shared" si="20"/>
        <v>#DIV/0!</v>
      </c>
      <c r="W53" s="44" t="e">
        <f t="shared" si="20"/>
        <v>#DIV/0!</v>
      </c>
      <c r="X53" s="44" t="e">
        <f t="shared" si="20"/>
        <v>#DIV/0!</v>
      </c>
      <c r="Y53" s="44" t="e">
        <f t="shared" si="20"/>
        <v>#DIV/0!</v>
      </c>
      <c r="Z53" s="44" t="e">
        <f t="shared" si="20"/>
        <v>#DIV/0!</v>
      </c>
      <c r="AA53" s="44" t="e">
        <f t="shared" si="20"/>
        <v>#DIV/0!</v>
      </c>
      <c r="AB53" s="44" t="e">
        <f t="shared" si="20"/>
        <v>#DIV/0!</v>
      </c>
      <c r="AC53" s="44" t="e">
        <f t="shared" si="20"/>
        <v>#DIV/0!</v>
      </c>
      <c r="AD53" s="44" t="e">
        <f t="shared" si="20"/>
        <v>#DIV/0!</v>
      </c>
      <c r="AE53" s="44" t="e">
        <f t="shared" si="20"/>
        <v>#DIV/0!</v>
      </c>
      <c r="AF53" s="44" t="e">
        <f t="shared" si="20"/>
        <v>#DIV/0!</v>
      </c>
      <c r="AG53" s="44" t="e">
        <f t="shared" si="20"/>
        <v>#DIV/0!</v>
      </c>
      <c r="AH53" s="44" t="e">
        <f t="shared" si="20"/>
        <v>#DIV/0!</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52" t="s">
        <v>473</v>
      </c>
      <c r="E54" s="76">
        <f>资产资本表!E17</f>
        <v>394785620.10000002</v>
      </c>
      <c r="F54" s="76">
        <f>资产资本表!F17</f>
        <v>505690981.24000001</v>
      </c>
      <c r="G54" s="76">
        <f>资产资本表!G17</f>
        <v>508958673.50999999</v>
      </c>
      <c r="H54" s="76">
        <f>资产资本表!H17</f>
        <v>497832719.06999999</v>
      </c>
      <c r="I54" s="76">
        <f>资产资本表!I17</f>
        <v>493851281.17000002</v>
      </c>
      <c r="J54" s="76">
        <f>资产资本表!J17</f>
        <v>461432565.64999998</v>
      </c>
      <c r="K54" s="76">
        <f>资产资本表!K17</f>
        <v>423235120.27999997</v>
      </c>
      <c r="L54" s="76">
        <f>资产资本表!L17</f>
        <v>411767153.42000002</v>
      </c>
      <c r="M54" s="76">
        <f>资产资本表!M17</f>
        <v>413367888.41000003</v>
      </c>
      <c r="N54" s="76">
        <f>资产资本表!N17</f>
        <v>389489625.13</v>
      </c>
      <c r="O54" s="76">
        <f>资产资本表!O17</f>
        <v>462791285.51999998</v>
      </c>
      <c r="P54" s="76">
        <f>资产资本表!P17</f>
        <v>63260732.039999999</v>
      </c>
      <c r="Q54" s="76">
        <f>资产资本表!Q17</f>
        <v>75747117.969999999</v>
      </c>
      <c r="R54" s="76">
        <f>资产资本表!R17</f>
        <v>26369896.879999999</v>
      </c>
      <c r="S54" s="76">
        <f>资产资本表!S17</f>
        <v>45028010.689999998</v>
      </c>
      <c r="T54" s="76">
        <f>资产资本表!T17</f>
        <v>52203020.68</v>
      </c>
      <c r="U54" s="76">
        <f>资产资本表!U17</f>
        <v>0</v>
      </c>
      <c r="V54" s="76">
        <f>资产资本表!V17</f>
        <v>0</v>
      </c>
      <c r="W54" s="76">
        <f>资产资本表!W17</f>
        <v>0</v>
      </c>
      <c r="X54" s="76">
        <f>资产资本表!X17</f>
        <v>0</v>
      </c>
      <c r="Y54" s="76">
        <f>资产资本表!Y17</f>
        <v>0</v>
      </c>
      <c r="Z54" s="76">
        <f>资产资本表!Z17</f>
        <v>0</v>
      </c>
      <c r="AA54" s="76">
        <f>资产资本表!AA17</f>
        <v>0</v>
      </c>
      <c r="AB54" s="76">
        <f>资产资本表!AB17</f>
        <v>0</v>
      </c>
      <c r="AC54" s="76">
        <f>资产资本表!AC17</f>
        <v>0</v>
      </c>
      <c r="AD54" s="76">
        <f>资产资本表!AD17</f>
        <v>0</v>
      </c>
      <c r="AE54" s="76">
        <f>资产资本表!AE17</f>
        <v>0</v>
      </c>
      <c r="AF54" s="76">
        <f>资产资本表!AF17</f>
        <v>0</v>
      </c>
      <c r="AG54" s="76">
        <f>资产资本表!AG17</f>
        <v>0</v>
      </c>
      <c r="AH54" s="76">
        <f>资产资本表!AH17</f>
        <v>0</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7" t="s">
        <v>474</v>
      </c>
      <c r="E55" s="44">
        <f>E49/E54</f>
        <v>1.2560675838557473</v>
      </c>
      <c r="F55" s="44">
        <f t="shared" ref="F55:BQ55" si="22">F49/F54</f>
        <v>0.69909315484156842</v>
      </c>
      <c r="G55" s="44">
        <f t="shared" si="22"/>
        <v>0.42560582248480716</v>
      </c>
      <c r="H55" s="44">
        <f t="shared" si="22"/>
        <v>0.19472101273514233</v>
      </c>
      <c r="I55" s="44">
        <f t="shared" si="22"/>
        <v>0.67643937666531095</v>
      </c>
      <c r="J55" s="44">
        <f t="shared" si="22"/>
        <v>0.54160051679048637</v>
      </c>
      <c r="K55" s="44">
        <f t="shared" si="22"/>
        <v>0.38992412246134317</v>
      </c>
      <c r="L55" s="44">
        <f t="shared" si="22"/>
        <v>0.19541364978164313</v>
      </c>
      <c r="M55" s="44">
        <f t="shared" si="22"/>
        <v>0.78276755389636188</v>
      </c>
      <c r="N55" s="44">
        <f t="shared" si="22"/>
        <v>0.63860293469173046</v>
      </c>
      <c r="O55" s="44">
        <f t="shared" si="22"/>
        <v>0.34991252652487931</v>
      </c>
      <c r="P55" s="44">
        <f t="shared" si="22"/>
        <v>1.3187836485554525</v>
      </c>
      <c r="Q55" s="44">
        <f t="shared" si="22"/>
        <v>4.7128374246711955</v>
      </c>
      <c r="R55" s="44">
        <f t="shared" si="22"/>
        <v>10.081411279678846</v>
      </c>
      <c r="S55" s="44">
        <f t="shared" si="22"/>
        <v>3.736913444576603</v>
      </c>
      <c r="T55" s="44">
        <f t="shared" si="22"/>
        <v>1.587765515104671</v>
      </c>
      <c r="U55" s="44" t="e">
        <f t="shared" si="22"/>
        <v>#DIV/0!</v>
      </c>
      <c r="V55" s="44" t="e">
        <f t="shared" si="22"/>
        <v>#DIV/0!</v>
      </c>
      <c r="W55" s="44" t="e">
        <f t="shared" si="22"/>
        <v>#DIV/0!</v>
      </c>
      <c r="X55" s="44" t="e">
        <f t="shared" si="22"/>
        <v>#DIV/0!</v>
      </c>
      <c r="Y55" s="44" t="e">
        <f t="shared" si="22"/>
        <v>#DIV/0!</v>
      </c>
      <c r="Z55" s="44" t="e">
        <f t="shared" si="22"/>
        <v>#DIV/0!</v>
      </c>
      <c r="AA55" s="44" t="e">
        <f t="shared" si="22"/>
        <v>#DIV/0!</v>
      </c>
      <c r="AB55" s="44" t="e">
        <f t="shared" si="22"/>
        <v>#DIV/0!</v>
      </c>
      <c r="AC55" s="44" t="e">
        <f t="shared" si="22"/>
        <v>#DIV/0!</v>
      </c>
      <c r="AD55" s="44" t="e">
        <f t="shared" si="22"/>
        <v>#DIV/0!</v>
      </c>
      <c r="AE55" s="44" t="e">
        <f t="shared" si="22"/>
        <v>#DIV/0!</v>
      </c>
      <c r="AF55" s="44" t="e">
        <f t="shared" si="22"/>
        <v>#DIV/0!</v>
      </c>
      <c r="AG55" s="44" t="e">
        <f t="shared" si="22"/>
        <v>#DIV/0!</v>
      </c>
      <c r="AH55" s="44" t="e">
        <f t="shared" si="22"/>
        <v>#DIV/0!</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52" t="s">
        <v>448</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0</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20" customFormat="1">
      <c r="A57" s="149" t="s">
        <v>475</v>
      </c>
      <c r="E57" s="120" t="e">
        <f>E49/E56</f>
        <v>#DIV/0!</v>
      </c>
      <c r="F57" s="120" t="e">
        <f t="shared" ref="F57:BQ57" si="24">F49/F56</f>
        <v>#DIV/0!</v>
      </c>
      <c r="G57" s="120" t="e">
        <f t="shared" si="24"/>
        <v>#DIV/0!</v>
      </c>
      <c r="H57" s="120" t="e">
        <f t="shared" si="24"/>
        <v>#DIV/0!</v>
      </c>
      <c r="I57" s="120" t="e">
        <f t="shared" si="24"/>
        <v>#DIV/0!</v>
      </c>
      <c r="J57" s="120" t="e">
        <f t="shared" si="24"/>
        <v>#DIV/0!</v>
      </c>
      <c r="K57" s="120" t="e">
        <f t="shared" si="24"/>
        <v>#DIV/0!</v>
      </c>
      <c r="L57" s="120" t="e">
        <f t="shared" si="24"/>
        <v>#DIV/0!</v>
      </c>
      <c r="M57" s="120" t="e">
        <f t="shared" si="24"/>
        <v>#DIV/0!</v>
      </c>
      <c r="N57" s="120" t="e">
        <f t="shared" si="24"/>
        <v>#DIV/0!</v>
      </c>
      <c r="O57" s="120" t="e">
        <f t="shared" si="24"/>
        <v>#DIV/0!</v>
      </c>
      <c r="P57" s="120" t="e">
        <f t="shared" si="24"/>
        <v>#DIV/0!</v>
      </c>
      <c r="Q57" s="120" t="e">
        <f t="shared" si="24"/>
        <v>#DIV/0!</v>
      </c>
      <c r="R57" s="120" t="e">
        <f t="shared" si="24"/>
        <v>#DIV/0!</v>
      </c>
      <c r="S57" s="120" t="e">
        <f t="shared" si="24"/>
        <v>#DIV/0!</v>
      </c>
      <c r="T57" s="120" t="e">
        <f t="shared" si="24"/>
        <v>#DIV/0!</v>
      </c>
      <c r="U57" s="120" t="e">
        <f t="shared" si="24"/>
        <v>#DIV/0!</v>
      </c>
      <c r="V57" s="120" t="e">
        <f t="shared" si="24"/>
        <v>#DIV/0!</v>
      </c>
      <c r="W57" s="120" t="e">
        <f t="shared" si="24"/>
        <v>#DIV/0!</v>
      </c>
      <c r="X57" s="120" t="e">
        <f t="shared" si="24"/>
        <v>#DIV/0!</v>
      </c>
      <c r="Y57" s="120" t="e">
        <f t="shared" si="24"/>
        <v>#DIV/0!</v>
      </c>
      <c r="Z57" s="120" t="e">
        <f t="shared" si="24"/>
        <v>#DIV/0!</v>
      </c>
      <c r="AA57" s="120" t="e">
        <f t="shared" si="24"/>
        <v>#DIV/0!</v>
      </c>
      <c r="AB57" s="120" t="e">
        <f t="shared" si="24"/>
        <v>#DIV/0!</v>
      </c>
      <c r="AC57" s="120" t="e">
        <f t="shared" si="24"/>
        <v>#DIV/0!</v>
      </c>
      <c r="AD57" s="120" t="e">
        <f t="shared" si="24"/>
        <v>#DIV/0!</v>
      </c>
      <c r="AE57" s="120" t="e">
        <f t="shared" si="24"/>
        <v>#DIV/0!</v>
      </c>
      <c r="AF57" s="120" t="e">
        <f t="shared" si="24"/>
        <v>#DIV/0!</v>
      </c>
      <c r="AG57" s="120" t="e">
        <f t="shared" si="24"/>
        <v>#DIV/0!</v>
      </c>
      <c r="AH57" s="120" t="e">
        <f t="shared" si="24"/>
        <v>#DIV/0!</v>
      </c>
      <c r="AI57" s="120" t="e">
        <f t="shared" si="24"/>
        <v>#DIV/0!</v>
      </c>
      <c r="AJ57" s="120" t="e">
        <f t="shared" si="24"/>
        <v>#DIV/0!</v>
      </c>
      <c r="AK57" s="120" t="e">
        <f t="shared" si="24"/>
        <v>#DIV/0!</v>
      </c>
      <c r="AL57" s="120" t="e">
        <f t="shared" si="24"/>
        <v>#DIV/0!</v>
      </c>
      <c r="AM57" s="120" t="e">
        <f t="shared" si="24"/>
        <v>#DIV/0!</v>
      </c>
      <c r="AN57" s="120" t="e">
        <f t="shared" si="24"/>
        <v>#DIV/0!</v>
      </c>
      <c r="AO57" s="120" t="e">
        <f t="shared" si="24"/>
        <v>#DIV/0!</v>
      </c>
      <c r="AP57" s="120" t="e">
        <f t="shared" si="24"/>
        <v>#DIV/0!</v>
      </c>
      <c r="AQ57" s="120" t="e">
        <f t="shared" si="24"/>
        <v>#DIV/0!</v>
      </c>
      <c r="AR57" s="120" t="e">
        <f t="shared" si="24"/>
        <v>#DIV/0!</v>
      </c>
      <c r="AS57" s="120" t="e">
        <f t="shared" si="24"/>
        <v>#DIV/0!</v>
      </c>
      <c r="AT57" s="120" t="e">
        <f t="shared" si="24"/>
        <v>#DIV/0!</v>
      </c>
      <c r="AU57" s="120" t="e">
        <f t="shared" si="24"/>
        <v>#DIV/0!</v>
      </c>
      <c r="AV57" s="120" t="e">
        <f t="shared" si="24"/>
        <v>#DIV/0!</v>
      </c>
      <c r="AW57" s="120" t="e">
        <f t="shared" si="24"/>
        <v>#DIV/0!</v>
      </c>
      <c r="AX57" s="120" t="e">
        <f t="shared" si="24"/>
        <v>#DIV/0!</v>
      </c>
      <c r="AY57" s="120" t="e">
        <f t="shared" si="24"/>
        <v>#DIV/0!</v>
      </c>
      <c r="AZ57" s="120" t="e">
        <f t="shared" si="24"/>
        <v>#DIV/0!</v>
      </c>
      <c r="BA57" s="120" t="e">
        <f t="shared" si="24"/>
        <v>#DIV/0!</v>
      </c>
      <c r="BB57" s="120" t="e">
        <f t="shared" si="24"/>
        <v>#DIV/0!</v>
      </c>
      <c r="BC57" s="120" t="e">
        <f t="shared" si="24"/>
        <v>#DIV/0!</v>
      </c>
      <c r="BD57" s="120" t="e">
        <f t="shared" si="24"/>
        <v>#DIV/0!</v>
      </c>
      <c r="BE57" s="120" t="e">
        <f t="shared" si="24"/>
        <v>#DIV/0!</v>
      </c>
      <c r="BF57" s="120" t="e">
        <f t="shared" si="24"/>
        <v>#DIV/0!</v>
      </c>
      <c r="BG57" s="120" t="e">
        <f t="shared" si="24"/>
        <v>#DIV/0!</v>
      </c>
      <c r="BH57" s="120" t="e">
        <f t="shared" si="24"/>
        <v>#DIV/0!</v>
      </c>
      <c r="BI57" s="120" t="e">
        <f t="shared" si="24"/>
        <v>#DIV/0!</v>
      </c>
      <c r="BJ57" s="120" t="e">
        <f t="shared" si="24"/>
        <v>#DIV/0!</v>
      </c>
      <c r="BK57" s="120" t="e">
        <f t="shared" si="24"/>
        <v>#DIV/0!</v>
      </c>
      <c r="BL57" s="120" t="e">
        <f t="shared" si="24"/>
        <v>#DIV/0!</v>
      </c>
      <c r="BM57" s="120" t="e">
        <f t="shared" si="24"/>
        <v>#DIV/0!</v>
      </c>
      <c r="BN57" s="120" t="e">
        <f t="shared" si="24"/>
        <v>#DIV/0!</v>
      </c>
      <c r="BO57" s="120" t="e">
        <f t="shared" si="24"/>
        <v>#DIV/0!</v>
      </c>
      <c r="BP57" s="120" t="e">
        <f t="shared" si="24"/>
        <v>#DIV/0!</v>
      </c>
      <c r="BQ57" s="120" t="e">
        <f t="shared" si="24"/>
        <v>#DIV/0!</v>
      </c>
      <c r="BR57" s="120" t="e">
        <f t="shared" ref="BR57:CK57" si="25">BR49/BR56</f>
        <v>#DIV/0!</v>
      </c>
      <c r="BS57" s="120" t="e">
        <f t="shared" si="25"/>
        <v>#DIV/0!</v>
      </c>
      <c r="BT57" s="120" t="e">
        <f t="shared" si="25"/>
        <v>#DIV/0!</v>
      </c>
      <c r="BU57" s="120" t="e">
        <f t="shared" si="25"/>
        <v>#DIV/0!</v>
      </c>
      <c r="BV57" s="120" t="e">
        <f t="shared" si="25"/>
        <v>#DIV/0!</v>
      </c>
      <c r="BW57" s="120" t="e">
        <f t="shared" si="25"/>
        <v>#DIV/0!</v>
      </c>
      <c r="BX57" s="120" t="e">
        <f t="shared" si="25"/>
        <v>#DIV/0!</v>
      </c>
      <c r="BY57" s="120" t="e">
        <f t="shared" si="25"/>
        <v>#DIV/0!</v>
      </c>
      <c r="BZ57" s="120" t="e">
        <f t="shared" si="25"/>
        <v>#DIV/0!</v>
      </c>
      <c r="CA57" s="120" t="e">
        <f t="shared" si="25"/>
        <v>#DIV/0!</v>
      </c>
      <c r="CB57" s="120" t="e">
        <f t="shared" si="25"/>
        <v>#DIV/0!</v>
      </c>
      <c r="CC57" s="120" t="e">
        <f t="shared" si="25"/>
        <v>#DIV/0!</v>
      </c>
      <c r="CD57" s="120" t="e">
        <f t="shared" si="25"/>
        <v>#DIV/0!</v>
      </c>
      <c r="CE57" s="120" t="e">
        <f t="shared" si="25"/>
        <v>#DIV/0!</v>
      </c>
      <c r="CF57" s="120" t="e">
        <f t="shared" si="25"/>
        <v>#DIV/0!</v>
      </c>
      <c r="CG57" s="120" t="e">
        <f t="shared" si="25"/>
        <v>#DIV/0!</v>
      </c>
      <c r="CH57" s="120" t="e">
        <f t="shared" si="25"/>
        <v>#DIV/0!</v>
      </c>
      <c r="CI57" s="120" t="e">
        <f t="shared" si="25"/>
        <v>#DIV/0!</v>
      </c>
      <c r="CJ57" s="120" t="e">
        <f t="shared" si="25"/>
        <v>#DIV/0!</v>
      </c>
      <c r="CK57" s="120" t="e">
        <f t="shared" si="25"/>
        <v>#DIV/0!</v>
      </c>
    </row>
    <row r="58" spans="1:89" s="16" customFormat="1" ht="28.5" customHeight="1">
      <c r="A58" s="235" t="s">
        <v>652</v>
      </c>
      <c r="B58" s="236"/>
      <c r="C58" s="236"/>
      <c r="D58" s="236"/>
      <c r="E58" s="236"/>
      <c r="F58" s="236"/>
      <c r="G58" s="236"/>
      <c r="H58" s="236"/>
      <c r="I58" s="236"/>
      <c r="J58" s="236"/>
      <c r="K58" s="236"/>
      <c r="L58" s="236"/>
      <c r="M58" s="236"/>
      <c r="N58" s="236"/>
      <c r="O58" s="236"/>
      <c r="P58" s="236"/>
      <c r="Q58" s="236"/>
      <c r="R58" s="236"/>
      <c r="S58" s="236"/>
      <c r="T58" s="236"/>
      <c r="U58" s="236"/>
      <c r="V58" s="236"/>
      <c r="W58" s="236"/>
      <c r="X58" s="236"/>
      <c r="Y58" s="236"/>
      <c r="Z58" s="236"/>
      <c r="AA58" s="236"/>
      <c r="AB58" s="236"/>
      <c r="AC58" s="236"/>
      <c r="AD58" s="236"/>
      <c r="AE58" s="236"/>
      <c r="AF58" s="236"/>
      <c r="AG58" s="236"/>
    </row>
    <row r="61" spans="1:89" s="122" customFormat="1">
      <c r="A61" s="12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41274</v>
      </c>
      <c r="W61" s="1">
        <v>40908</v>
      </c>
      <c r="X61" s="1">
        <v>25569</v>
      </c>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52"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52" t="s">
        <v>468</v>
      </c>
      <c r="E63" s="76">
        <f>E49</f>
        <v>495877419.98000002</v>
      </c>
      <c r="F63" s="76">
        <f t="shared" ref="F63:BQ63" si="26">F49</f>
        <v>353525103.44999999</v>
      </c>
      <c r="G63" s="76">
        <f t="shared" si="26"/>
        <v>216615774.84999999</v>
      </c>
      <c r="H63" s="76">
        <f t="shared" si="26"/>
        <v>96938491.230000004</v>
      </c>
      <c r="I63" s="76">
        <f t="shared" si="26"/>
        <v>334060452.80000001</v>
      </c>
      <c r="J63" s="76">
        <f t="shared" si="26"/>
        <v>249912116.02000001</v>
      </c>
      <c r="K63" s="76">
        <f t="shared" si="26"/>
        <v>165029582.87</v>
      </c>
      <c r="L63" s="76">
        <f t="shared" si="26"/>
        <v>80464922.310000002</v>
      </c>
      <c r="M63" s="76">
        <f t="shared" si="26"/>
        <v>323570970.87</v>
      </c>
      <c r="N63" s="76">
        <f t="shared" si="26"/>
        <v>248729217.63999999</v>
      </c>
      <c r="O63" s="76">
        <f t="shared" si="26"/>
        <v>161936467.97</v>
      </c>
      <c r="P63" s="76">
        <f t="shared" si="26"/>
        <v>83427219.010000005</v>
      </c>
      <c r="Q63" s="76">
        <f t="shared" si="26"/>
        <v>356983852.38</v>
      </c>
      <c r="R63" s="76">
        <f t="shared" si="26"/>
        <v>265845775.84999999</v>
      </c>
      <c r="S63" s="76">
        <f t="shared" si="26"/>
        <v>168265778.53</v>
      </c>
      <c r="T63" s="76">
        <f t="shared" si="26"/>
        <v>82886156.019999996</v>
      </c>
      <c r="U63" s="76">
        <f t="shared" si="26"/>
        <v>332811274.00999999</v>
      </c>
      <c r="V63" s="76">
        <f t="shared" si="26"/>
        <v>309060512.23000002</v>
      </c>
      <c r="W63" s="76">
        <f t="shared" si="26"/>
        <v>239745202.43000001</v>
      </c>
      <c r="X63" s="76">
        <f t="shared" si="26"/>
        <v>0</v>
      </c>
      <c r="Y63" s="76">
        <f t="shared" si="26"/>
        <v>0</v>
      </c>
      <c r="Z63" s="76">
        <f t="shared" si="26"/>
        <v>0</v>
      </c>
      <c r="AA63" s="76">
        <f t="shared" si="26"/>
        <v>0</v>
      </c>
      <c r="AB63" s="76">
        <f t="shared" si="26"/>
        <v>0</v>
      </c>
      <c r="AC63" s="76">
        <f t="shared" si="26"/>
        <v>0</v>
      </c>
      <c r="AD63" s="76">
        <f t="shared" si="26"/>
        <v>0</v>
      </c>
      <c r="AE63" s="76">
        <f t="shared" si="26"/>
        <v>0</v>
      </c>
      <c r="AF63" s="76">
        <f t="shared" si="26"/>
        <v>0</v>
      </c>
      <c r="AG63" s="76">
        <f t="shared" si="26"/>
        <v>0</v>
      </c>
      <c r="AH63" s="76">
        <f t="shared" si="26"/>
        <v>0</v>
      </c>
      <c r="AI63" s="76">
        <f t="shared" si="26"/>
        <v>0</v>
      </c>
      <c r="AJ63" s="76">
        <f t="shared" si="26"/>
        <v>0</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52" t="s">
        <v>478</v>
      </c>
      <c r="E64" s="76">
        <f>资产资本表!E22+资产资本表!E23-资产资本表!E37</f>
        <v>333456221.22999996</v>
      </c>
      <c r="F64" s="76">
        <f>资产资本表!F22+资产资本表!F23-资产资本表!F37</f>
        <v>349717948.96000004</v>
      </c>
      <c r="G64" s="76">
        <f>资产资本表!G22+资产资本表!G23-资产资本表!G37</f>
        <v>325690984.19</v>
      </c>
      <c r="H64" s="76">
        <f>资产资本表!H22+资产资本表!H23-资产资本表!H37</f>
        <v>307644796.86000001</v>
      </c>
      <c r="I64" s="76">
        <f>资产资本表!I22+资产资本表!I23-资产资本表!I37</f>
        <v>228020791.13999999</v>
      </c>
      <c r="J64" s="76">
        <f>资产资本表!J22+资产资本表!J23-资产资本表!J37</f>
        <v>251493693.40000001</v>
      </c>
      <c r="K64" s="76">
        <f>资产资本表!K22+资产资本表!K23-资产资本表!K37</f>
        <v>230366818.41000003</v>
      </c>
      <c r="L64" s="76">
        <f>资产资本表!L22+资产资本表!L23-资产资本表!L37</f>
        <v>235351090.78000003</v>
      </c>
      <c r="M64" s="76">
        <f>资产资本表!M22+资产资本表!M23-资产资本表!M37</f>
        <v>204379658.06</v>
      </c>
      <c r="N64" s="76">
        <f>资产资本表!N22+资产资本表!N23-资产资本表!N37</f>
        <v>215244388.52000001</v>
      </c>
      <c r="O64" s="76">
        <f>资产资本表!O22+资产资本表!O23-资产资本表!O37</f>
        <v>192598108.25</v>
      </c>
      <c r="P64" s="76">
        <f>资产资本表!P22+资产资本表!P23-资产资本表!P37</f>
        <v>183015964.44999999</v>
      </c>
      <c r="Q64" s="76">
        <f>资产资本表!Q22+资产资本表!Q23-资产资本表!Q37</f>
        <v>171163180.53999999</v>
      </c>
      <c r="R64" s="76">
        <f>资产资本表!R22+资产资本表!R23-资产资本表!R37</f>
        <v>139525836.44999999</v>
      </c>
      <c r="S64" s="76">
        <f>资产资本表!S22+资产资本表!S23-资产资本表!S37</f>
        <v>115270867.37</v>
      </c>
      <c r="T64" s="76">
        <f>资产资本表!T22+资产资本表!T23-资产资本表!T37</f>
        <v>78679428.200000003</v>
      </c>
      <c r="U64" s="76">
        <f>资产资本表!U22+资产资本表!U23-资产资本表!U37</f>
        <v>0</v>
      </c>
      <c r="V64" s="76">
        <f>资产资本表!V22+资产资本表!V23-资产资本表!V37</f>
        <v>0</v>
      </c>
      <c r="W64" s="76">
        <f>资产资本表!W22+资产资本表!W23-资产资本表!W37</f>
        <v>0</v>
      </c>
      <c r="X64" s="76">
        <f>资产资本表!X22+资产资本表!X23-资产资本表!X37</f>
        <v>0</v>
      </c>
      <c r="Y64" s="76">
        <f>资产资本表!Y22+资产资本表!Y23-资产资本表!Y37</f>
        <v>0</v>
      </c>
      <c r="Z64" s="76">
        <f>资产资本表!Z22+资产资本表!Z23-资产资本表!Z37</f>
        <v>0</v>
      </c>
      <c r="AA64" s="76">
        <f>资产资本表!AA22+资产资本表!AA23-资产资本表!AA37</f>
        <v>0</v>
      </c>
      <c r="AB64" s="76">
        <f>资产资本表!AB22+资产资本表!AB23-资产资本表!AB37</f>
        <v>0</v>
      </c>
      <c r="AC64" s="76">
        <f>资产资本表!AC22+资产资本表!AC23-资产资本表!AC37</f>
        <v>0</v>
      </c>
      <c r="AD64" s="76">
        <f>资产资本表!AD22+资产资本表!AD23-资产资本表!AD37</f>
        <v>0</v>
      </c>
      <c r="AE64" s="76">
        <f>资产资本表!AE22+资产资本表!AE23-资产资本表!AE37</f>
        <v>0</v>
      </c>
      <c r="AF64" s="76">
        <f>资产资本表!AF22+资产资本表!AF23-资产资本表!AF37</f>
        <v>0</v>
      </c>
      <c r="AG64" s="76">
        <f>资产资本表!AG22+资产资本表!AG23-资产资本表!AG37</f>
        <v>0</v>
      </c>
      <c r="AH64" s="76">
        <f>资产资本表!AH22+资产资本表!AH23-资产资本表!AH37</f>
        <v>0</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62" customFormat="1">
      <c r="A65" s="161" t="s">
        <v>490</v>
      </c>
      <c r="E65" s="162">
        <f>E63/(E64+I64)*2</f>
        <v>1.7663320458549021</v>
      </c>
      <c r="F65" s="162">
        <f t="shared" ref="F65:BQ65" si="28">F63/(F64+J64)*2</f>
        <v>1.176042107442465</v>
      </c>
      <c r="G65" s="162">
        <f t="shared" si="28"/>
        <v>0.7791124370062027</v>
      </c>
      <c r="H65" s="162">
        <f t="shared" si="28"/>
        <v>0.35705055392341789</v>
      </c>
      <c r="I65" s="162">
        <f t="shared" si="28"/>
        <v>1.5451438749337914</v>
      </c>
      <c r="J65" s="162">
        <f t="shared" si="28"/>
        <v>1.0708880449263856</v>
      </c>
      <c r="K65" s="162">
        <f t="shared" si="28"/>
        <v>0.78034641866491627</v>
      </c>
      <c r="L65" s="162">
        <f t="shared" si="28"/>
        <v>0.3846618480308584</v>
      </c>
      <c r="M65" s="162">
        <f t="shared" si="28"/>
        <v>1.7232173675645215</v>
      </c>
      <c r="N65" s="162">
        <f t="shared" si="28"/>
        <v>1.4021989453090826</v>
      </c>
      <c r="O65" s="162">
        <f t="shared" si="28"/>
        <v>1.051983023907396</v>
      </c>
      <c r="P65" s="162">
        <f t="shared" si="28"/>
        <v>0.63759027749929331</v>
      </c>
      <c r="Q65" s="162">
        <f t="shared" si="28"/>
        <v>4.1712692093446417</v>
      </c>
      <c r="R65" s="162">
        <f t="shared" si="28"/>
        <v>3.8107032018441629</v>
      </c>
      <c r="S65" s="162">
        <f t="shared" si="28"/>
        <v>2.9194849031524206</v>
      </c>
      <c r="T65" s="162">
        <f t="shared" si="28"/>
        <v>2.1069333602503226</v>
      </c>
      <c r="U65" s="162" t="e">
        <f t="shared" si="28"/>
        <v>#DIV/0!</v>
      </c>
      <c r="V65" s="162" t="e">
        <f t="shared" si="28"/>
        <v>#DIV/0!</v>
      </c>
      <c r="W65" s="162" t="e">
        <f t="shared" si="28"/>
        <v>#DIV/0!</v>
      </c>
      <c r="X65" s="162" t="e">
        <f t="shared" si="28"/>
        <v>#DIV/0!</v>
      </c>
      <c r="Y65" s="162" t="e">
        <f t="shared" si="28"/>
        <v>#DIV/0!</v>
      </c>
      <c r="Z65" s="162" t="e">
        <f t="shared" si="28"/>
        <v>#DIV/0!</v>
      </c>
      <c r="AA65" s="162" t="e">
        <f t="shared" si="28"/>
        <v>#DIV/0!</v>
      </c>
      <c r="AB65" s="162" t="e">
        <f t="shared" si="28"/>
        <v>#DIV/0!</v>
      </c>
      <c r="AC65" s="162" t="e">
        <f t="shared" si="28"/>
        <v>#DIV/0!</v>
      </c>
      <c r="AD65" s="162" t="e">
        <f t="shared" si="28"/>
        <v>#DIV/0!</v>
      </c>
      <c r="AE65" s="162" t="e">
        <f t="shared" si="28"/>
        <v>#DIV/0!</v>
      </c>
      <c r="AF65" s="162" t="e">
        <f t="shared" si="28"/>
        <v>#DIV/0!</v>
      </c>
      <c r="AG65" s="162" t="e">
        <f t="shared" si="28"/>
        <v>#DIV/0!</v>
      </c>
      <c r="AH65" s="162" t="e">
        <f t="shared" si="28"/>
        <v>#DIV/0!</v>
      </c>
      <c r="AI65" s="162" t="e">
        <f t="shared" si="28"/>
        <v>#DIV/0!</v>
      </c>
      <c r="AJ65" s="162" t="e">
        <f t="shared" si="28"/>
        <v>#DIV/0!</v>
      </c>
      <c r="AK65" s="162" t="e">
        <f t="shared" si="28"/>
        <v>#DIV/0!</v>
      </c>
      <c r="AL65" s="162" t="e">
        <f t="shared" si="28"/>
        <v>#DIV/0!</v>
      </c>
      <c r="AM65" s="162" t="e">
        <f t="shared" si="28"/>
        <v>#DIV/0!</v>
      </c>
      <c r="AN65" s="162" t="e">
        <f t="shared" si="28"/>
        <v>#DIV/0!</v>
      </c>
      <c r="AO65" s="162" t="e">
        <f t="shared" si="28"/>
        <v>#DIV/0!</v>
      </c>
      <c r="AP65" s="162" t="e">
        <f t="shared" si="28"/>
        <v>#DIV/0!</v>
      </c>
      <c r="AQ65" s="162" t="e">
        <f t="shared" si="28"/>
        <v>#DIV/0!</v>
      </c>
      <c r="AR65" s="162" t="e">
        <f t="shared" si="28"/>
        <v>#DIV/0!</v>
      </c>
      <c r="AS65" s="162" t="e">
        <f t="shared" si="28"/>
        <v>#DIV/0!</v>
      </c>
      <c r="AT65" s="162" t="e">
        <f t="shared" si="28"/>
        <v>#DIV/0!</v>
      </c>
      <c r="AU65" s="162" t="e">
        <f t="shared" si="28"/>
        <v>#DIV/0!</v>
      </c>
      <c r="AV65" s="162" t="e">
        <f t="shared" si="28"/>
        <v>#DIV/0!</v>
      </c>
      <c r="AW65" s="162" t="e">
        <f t="shared" si="28"/>
        <v>#DIV/0!</v>
      </c>
      <c r="AX65" s="162" t="e">
        <f t="shared" si="28"/>
        <v>#DIV/0!</v>
      </c>
      <c r="AY65" s="162" t="e">
        <f t="shared" si="28"/>
        <v>#DIV/0!</v>
      </c>
      <c r="AZ65" s="162" t="e">
        <f t="shared" si="28"/>
        <v>#DIV/0!</v>
      </c>
      <c r="BA65" s="162" t="e">
        <f t="shared" si="28"/>
        <v>#DIV/0!</v>
      </c>
      <c r="BB65" s="162" t="e">
        <f t="shared" si="28"/>
        <v>#DIV/0!</v>
      </c>
      <c r="BC65" s="162" t="e">
        <f t="shared" si="28"/>
        <v>#DIV/0!</v>
      </c>
      <c r="BD65" s="162" t="e">
        <f t="shared" si="28"/>
        <v>#DIV/0!</v>
      </c>
      <c r="BE65" s="162" t="e">
        <f t="shared" si="28"/>
        <v>#DIV/0!</v>
      </c>
      <c r="BF65" s="162" t="e">
        <f t="shared" si="28"/>
        <v>#DIV/0!</v>
      </c>
      <c r="BG65" s="162" t="e">
        <f t="shared" si="28"/>
        <v>#DIV/0!</v>
      </c>
      <c r="BH65" s="162" t="e">
        <f t="shared" si="28"/>
        <v>#DIV/0!</v>
      </c>
      <c r="BI65" s="162" t="e">
        <f t="shared" si="28"/>
        <v>#DIV/0!</v>
      </c>
      <c r="BJ65" s="162" t="e">
        <f t="shared" si="28"/>
        <v>#DIV/0!</v>
      </c>
      <c r="BK65" s="162" t="e">
        <f t="shared" si="28"/>
        <v>#DIV/0!</v>
      </c>
      <c r="BL65" s="162" t="e">
        <f t="shared" si="28"/>
        <v>#DIV/0!</v>
      </c>
      <c r="BM65" s="162" t="e">
        <f t="shared" si="28"/>
        <v>#DIV/0!</v>
      </c>
      <c r="BN65" s="162" t="e">
        <f t="shared" si="28"/>
        <v>#DIV/0!</v>
      </c>
      <c r="BO65" s="162" t="e">
        <f t="shared" si="28"/>
        <v>#DIV/0!</v>
      </c>
      <c r="BP65" s="162" t="e">
        <f t="shared" si="28"/>
        <v>#DIV/0!</v>
      </c>
      <c r="BQ65" s="162" t="e">
        <f t="shared" si="28"/>
        <v>#DIV/0!</v>
      </c>
      <c r="BR65" s="162" t="e">
        <f t="shared" ref="BR65:CK65" si="29">BR63/(BR64+BV64)*2</f>
        <v>#DIV/0!</v>
      </c>
      <c r="BS65" s="162" t="e">
        <f t="shared" si="29"/>
        <v>#DIV/0!</v>
      </c>
      <c r="BT65" s="162" t="e">
        <f t="shared" si="29"/>
        <v>#DIV/0!</v>
      </c>
      <c r="BU65" s="162" t="e">
        <f t="shared" si="29"/>
        <v>#DIV/0!</v>
      </c>
      <c r="BV65" s="162" t="e">
        <f t="shared" si="29"/>
        <v>#DIV/0!</v>
      </c>
      <c r="BW65" s="162" t="e">
        <f t="shared" si="29"/>
        <v>#DIV/0!</v>
      </c>
      <c r="BX65" s="162" t="e">
        <f t="shared" si="29"/>
        <v>#DIV/0!</v>
      </c>
      <c r="BY65" s="162" t="e">
        <f t="shared" si="29"/>
        <v>#DIV/0!</v>
      </c>
      <c r="BZ65" s="162" t="e">
        <f t="shared" si="29"/>
        <v>#DIV/0!</v>
      </c>
      <c r="CA65" s="162" t="e">
        <f t="shared" si="29"/>
        <v>#DIV/0!</v>
      </c>
      <c r="CB65" s="162" t="e">
        <f t="shared" si="29"/>
        <v>#DIV/0!</v>
      </c>
      <c r="CC65" s="162" t="e">
        <f t="shared" si="29"/>
        <v>#DIV/0!</v>
      </c>
      <c r="CD65" s="162" t="e">
        <f t="shared" si="29"/>
        <v>#DIV/0!</v>
      </c>
      <c r="CE65" s="162" t="e">
        <f t="shared" si="29"/>
        <v>#DIV/0!</v>
      </c>
      <c r="CF65" s="162" t="e">
        <f t="shared" si="29"/>
        <v>#DIV/0!</v>
      </c>
      <c r="CG65" s="162" t="e">
        <f t="shared" si="29"/>
        <v>#DIV/0!</v>
      </c>
      <c r="CH65" s="162" t="e">
        <f t="shared" si="29"/>
        <v>#DIV/0!</v>
      </c>
      <c r="CI65" s="162" t="e">
        <f t="shared" si="29"/>
        <v>#DIV/0!</v>
      </c>
      <c r="CJ65" s="162" t="e">
        <f t="shared" si="29"/>
        <v>#DIV/0!</v>
      </c>
      <c r="CK65" s="162" t="e">
        <f t="shared" si="29"/>
        <v>#DIV/0!</v>
      </c>
    </row>
    <row r="66" spans="1:89" s="83" customFormat="1">
      <c r="A66" s="153" t="s">
        <v>479</v>
      </c>
      <c r="E66" s="83">
        <f>E62/E65</f>
        <v>206.64291340722437</v>
      </c>
      <c r="F66" s="83">
        <f t="shared" ref="F66:BQ66" si="30">F62/F65</f>
        <v>310.3630369101021</v>
      </c>
      <c r="G66" s="83">
        <f t="shared" si="30"/>
        <v>468.48180399037085</v>
      </c>
      <c r="H66" s="83">
        <f t="shared" si="30"/>
        <v>1022.2642031757978</v>
      </c>
      <c r="I66" s="83">
        <f t="shared" si="30"/>
        <v>236.22395682449965</v>
      </c>
      <c r="J66" s="83">
        <f t="shared" si="30"/>
        <v>340.8386168183348</v>
      </c>
      <c r="K66" s="83">
        <f t="shared" si="30"/>
        <v>467.74098178661905</v>
      </c>
      <c r="L66" s="83">
        <f t="shared" si="30"/>
        <v>948.88537001652139</v>
      </c>
      <c r="M66" s="83">
        <f t="shared" si="30"/>
        <v>211.81309268944187</v>
      </c>
      <c r="N66" s="83">
        <f t="shared" si="30"/>
        <v>260.30543042488461</v>
      </c>
      <c r="O66" s="83">
        <f t="shared" si="30"/>
        <v>346.96377384900677</v>
      </c>
      <c r="P66" s="83">
        <f t="shared" si="30"/>
        <v>572.4679514116408</v>
      </c>
      <c r="Q66" s="83">
        <f t="shared" si="30"/>
        <v>87.503342911148621</v>
      </c>
      <c r="R66" s="83">
        <f t="shared" si="30"/>
        <v>95.782846542171228</v>
      </c>
      <c r="S66" s="83">
        <f t="shared" si="30"/>
        <v>125.02205426918903</v>
      </c>
      <c r="T66" s="83">
        <f t="shared" si="30"/>
        <v>173.23756265202175</v>
      </c>
      <c r="U66" s="83" t="e">
        <f t="shared" si="30"/>
        <v>#DIV/0!</v>
      </c>
      <c r="V66" s="83" t="e">
        <f t="shared" si="30"/>
        <v>#DIV/0!</v>
      </c>
      <c r="W66" s="83" t="e">
        <f t="shared" si="30"/>
        <v>#DIV/0!</v>
      </c>
      <c r="X66" s="83" t="e">
        <f t="shared" si="30"/>
        <v>#DIV/0!</v>
      </c>
      <c r="Y66" s="83" t="e">
        <f t="shared" si="30"/>
        <v>#DIV/0!</v>
      </c>
      <c r="Z66" s="83" t="e">
        <f t="shared" si="30"/>
        <v>#DIV/0!</v>
      </c>
      <c r="AA66" s="83" t="e">
        <f t="shared" si="30"/>
        <v>#DIV/0!</v>
      </c>
      <c r="AB66" s="83" t="e">
        <f t="shared" si="30"/>
        <v>#DIV/0!</v>
      </c>
      <c r="AC66" s="83" t="e">
        <f t="shared" si="30"/>
        <v>#DIV/0!</v>
      </c>
      <c r="AD66" s="83" t="e">
        <f t="shared" si="30"/>
        <v>#DIV/0!</v>
      </c>
      <c r="AE66" s="83" t="e">
        <f t="shared" si="30"/>
        <v>#DIV/0!</v>
      </c>
      <c r="AF66" s="83" t="e">
        <f t="shared" si="30"/>
        <v>#DIV/0!</v>
      </c>
      <c r="AG66" s="83" t="e">
        <f t="shared" si="30"/>
        <v>#DIV/0!</v>
      </c>
      <c r="AH66" s="83" t="e">
        <f t="shared" si="30"/>
        <v>#DIV/0!</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52" t="s">
        <v>480</v>
      </c>
      <c r="E67" s="76">
        <f>股权价值增加表!E5</f>
        <v>214116621.69999999</v>
      </c>
      <c r="F67" s="76">
        <f>股权价值增加表!F5</f>
        <v>157492142.66999999</v>
      </c>
      <c r="G67" s="76">
        <f>股权价值增加表!G5</f>
        <v>96950290.200000003</v>
      </c>
      <c r="H67" s="76">
        <f>股权价值增加表!H5</f>
        <v>44717243.670000002</v>
      </c>
      <c r="I67" s="76">
        <f>股权价值增加表!I5</f>
        <v>138615829.41</v>
      </c>
      <c r="J67" s="76">
        <f>股权价值增加表!J5</f>
        <v>109230042.2</v>
      </c>
      <c r="K67" s="76">
        <f>股权价值增加表!K5</f>
        <v>77408068.260000005</v>
      </c>
      <c r="L67" s="76">
        <f>股权价值增加表!L5</f>
        <v>39529935.93</v>
      </c>
      <c r="M67" s="76">
        <f>股权价值增加表!M5</f>
        <v>136442760.19</v>
      </c>
      <c r="N67" s="76">
        <f>股权价值增加表!N5</f>
        <v>111084460.58</v>
      </c>
      <c r="O67" s="76">
        <f>股权价值增加表!O5</f>
        <v>75563879.959999993</v>
      </c>
      <c r="P67" s="76">
        <f>股权价值增加表!P5</f>
        <v>39986034.390000001</v>
      </c>
      <c r="Q67" s="76">
        <f>股权价值增加表!Q5</f>
        <v>149560883.75999999</v>
      </c>
      <c r="R67" s="76">
        <f>股权价值增加表!R5</f>
        <v>114664823.17</v>
      </c>
      <c r="S67" s="76">
        <f>股权价值增加表!S5</f>
        <v>70547422.670000002</v>
      </c>
      <c r="T67" s="76">
        <f>股权价值增加表!T5</f>
        <v>35435974.409999996</v>
      </c>
      <c r="U67" s="76">
        <f>股权价值增加表!U5</f>
        <v>140229533.38999999</v>
      </c>
      <c r="V67" s="76">
        <f>股权价值增加表!V5</f>
        <v>123910315.51000001</v>
      </c>
      <c r="W67" s="76">
        <f>股权价值增加表!W5</f>
        <v>95674543.489999995</v>
      </c>
      <c r="X67" s="76">
        <f>股权价值增加表!X5</f>
        <v>0</v>
      </c>
      <c r="Y67" s="76">
        <f>股权价值增加表!Y5</f>
        <v>0</v>
      </c>
      <c r="Z67" s="76">
        <f>股权价值增加表!Z5</f>
        <v>0</v>
      </c>
      <c r="AA67" s="76">
        <f>股权价值增加表!AA5</f>
        <v>0</v>
      </c>
      <c r="AB67" s="76">
        <f>股权价值增加表!AB5</f>
        <v>0</v>
      </c>
      <c r="AC67" s="76">
        <f>股权价值增加表!AC5</f>
        <v>0</v>
      </c>
      <c r="AD67" s="76">
        <f>股权价值增加表!AD5</f>
        <v>0</v>
      </c>
      <c r="AE67" s="76">
        <f>股权价值增加表!AE5</f>
        <v>0</v>
      </c>
      <c r="AF67" s="76">
        <f>股权价值增加表!AF5</f>
        <v>0</v>
      </c>
      <c r="AG67" s="76">
        <f>股权价值增加表!AG5</f>
        <v>0</v>
      </c>
      <c r="AH67" s="76">
        <f>股权价值增加表!AH5</f>
        <v>0</v>
      </c>
      <c r="AI67" s="76">
        <f>股权价值增加表!AI5</f>
        <v>0</v>
      </c>
      <c r="AJ67" s="76">
        <f>股权价值增加表!AJ5</f>
        <v>0</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52" t="s">
        <v>481</v>
      </c>
      <c r="E68" s="76">
        <f>资产资本表!E26</f>
        <v>132985519.61</v>
      </c>
      <c r="F68" s="76">
        <f>资产资本表!F26</f>
        <v>127759736.88</v>
      </c>
      <c r="G68" s="76">
        <f>资产资本表!G26</f>
        <v>119370712.45</v>
      </c>
      <c r="H68" s="76">
        <f>资产资本表!H26</f>
        <v>110889989.73</v>
      </c>
      <c r="I68" s="76">
        <f>资产资本表!I26</f>
        <v>89295703.730000004</v>
      </c>
      <c r="J68" s="76">
        <f>资产资本表!J26</f>
        <v>85478291.719999999</v>
      </c>
      <c r="K68" s="76">
        <f>资产资本表!K26</f>
        <v>80511522.379999995</v>
      </c>
      <c r="L68" s="76">
        <f>资产资本表!L26</f>
        <v>84688756.269999996</v>
      </c>
      <c r="M68" s="76">
        <f>资产资本表!M26</f>
        <v>91468232.560000002</v>
      </c>
      <c r="N68" s="76">
        <f>资产资本表!N26</f>
        <v>88403246.680000007</v>
      </c>
      <c r="O68" s="76">
        <f>资产资本表!O26</f>
        <v>84720609.189999998</v>
      </c>
      <c r="P68" s="76">
        <f>资产资本表!P26</f>
        <v>82930264.079999998</v>
      </c>
      <c r="Q68" s="76">
        <f>资产资本表!Q26</f>
        <v>79783866.409999996</v>
      </c>
      <c r="R68" s="76">
        <f>资产资本表!R26</f>
        <v>63389168.479999997</v>
      </c>
      <c r="S68" s="76">
        <f>资产资本表!S26</f>
        <v>44546726.210000001</v>
      </c>
      <c r="T68" s="76">
        <f>资产资本表!T26</f>
        <v>34165890.25</v>
      </c>
      <c r="U68" s="76">
        <f>资产资本表!U26</f>
        <v>0</v>
      </c>
      <c r="V68" s="76">
        <f>资产资本表!V26</f>
        <v>0</v>
      </c>
      <c r="W68" s="76">
        <f>资产资本表!W26</f>
        <v>0</v>
      </c>
      <c r="X68" s="76">
        <f>资产资本表!X26</f>
        <v>0</v>
      </c>
      <c r="Y68" s="76">
        <f>资产资本表!Y26</f>
        <v>0</v>
      </c>
      <c r="Z68" s="76">
        <f>资产资本表!Z26</f>
        <v>0</v>
      </c>
      <c r="AA68" s="76">
        <f>资产资本表!AA26</f>
        <v>0</v>
      </c>
      <c r="AB68" s="76">
        <f>资产资本表!AB26</f>
        <v>0</v>
      </c>
      <c r="AC68" s="76">
        <f>资产资本表!AC26</f>
        <v>0</v>
      </c>
      <c r="AD68" s="76">
        <f>资产资本表!AD26</f>
        <v>0</v>
      </c>
      <c r="AE68" s="76">
        <f>资产资本表!AE26</f>
        <v>0</v>
      </c>
      <c r="AF68" s="76">
        <f>资产资本表!AF26</f>
        <v>0</v>
      </c>
      <c r="AG68" s="76">
        <f>资产资本表!AG26</f>
        <v>0</v>
      </c>
      <c r="AH68" s="76">
        <f>资产资本表!AH26</f>
        <v>0</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62" customFormat="1">
      <c r="A69" s="161" t="s">
        <v>482</v>
      </c>
      <c r="E69" s="162">
        <f>E67/(E68+I68)*2</f>
        <v>1.9265380897466855</v>
      </c>
      <c r="F69" s="162">
        <f t="shared" ref="F69:BQ69" si="32">F67/(F68+J68)*2</f>
        <v>1.4771487403443382</v>
      </c>
      <c r="G69" s="162">
        <f t="shared" si="32"/>
        <v>0.97007410671044692</v>
      </c>
      <c r="H69" s="162">
        <f t="shared" si="32"/>
        <v>0.45728121878846695</v>
      </c>
      <c r="I69" s="162">
        <f t="shared" si="32"/>
        <v>1.533666861376799</v>
      </c>
      <c r="J69" s="162">
        <f t="shared" si="32"/>
        <v>1.2563730825606727</v>
      </c>
      <c r="K69" s="162">
        <f t="shared" si="32"/>
        <v>0.93696144357014921</v>
      </c>
      <c r="L69" s="162">
        <f t="shared" si="32"/>
        <v>0.47166408498819268</v>
      </c>
      <c r="M69" s="162">
        <f t="shared" si="32"/>
        <v>1.5934725590008925</v>
      </c>
      <c r="N69" s="162">
        <f t="shared" si="32"/>
        <v>1.4636365125742163</v>
      </c>
      <c r="O69" s="162">
        <f t="shared" si="32"/>
        <v>1.1691101967280126</v>
      </c>
      <c r="P69" s="162">
        <f t="shared" si="32"/>
        <v>0.68296067652762515</v>
      </c>
      <c r="Q69" s="162">
        <f t="shared" si="32"/>
        <v>3.7491510624823325</v>
      </c>
      <c r="R69" s="162">
        <f t="shared" si="32"/>
        <v>3.6178049316478433</v>
      </c>
      <c r="S69" s="162">
        <f t="shared" si="32"/>
        <v>3.1673448835467184</v>
      </c>
      <c r="T69" s="162">
        <f t="shared" si="32"/>
        <v>2.0743480793684279</v>
      </c>
      <c r="U69" s="162" t="e">
        <f t="shared" si="32"/>
        <v>#DIV/0!</v>
      </c>
      <c r="V69" s="162" t="e">
        <f t="shared" si="32"/>
        <v>#DIV/0!</v>
      </c>
      <c r="W69" s="162" t="e">
        <f t="shared" si="32"/>
        <v>#DIV/0!</v>
      </c>
      <c r="X69" s="162" t="e">
        <f t="shared" si="32"/>
        <v>#DIV/0!</v>
      </c>
      <c r="Y69" s="162" t="e">
        <f t="shared" si="32"/>
        <v>#DIV/0!</v>
      </c>
      <c r="Z69" s="162" t="e">
        <f t="shared" si="32"/>
        <v>#DIV/0!</v>
      </c>
      <c r="AA69" s="162" t="e">
        <f t="shared" si="32"/>
        <v>#DIV/0!</v>
      </c>
      <c r="AB69" s="162" t="e">
        <f t="shared" si="32"/>
        <v>#DIV/0!</v>
      </c>
      <c r="AC69" s="162" t="e">
        <f t="shared" si="32"/>
        <v>#DIV/0!</v>
      </c>
      <c r="AD69" s="162" t="e">
        <f t="shared" si="32"/>
        <v>#DIV/0!</v>
      </c>
      <c r="AE69" s="162" t="e">
        <f t="shared" si="32"/>
        <v>#DIV/0!</v>
      </c>
      <c r="AF69" s="162" t="e">
        <f t="shared" si="32"/>
        <v>#DIV/0!</v>
      </c>
      <c r="AG69" s="162" t="e">
        <f t="shared" si="32"/>
        <v>#DIV/0!</v>
      </c>
      <c r="AH69" s="162" t="e">
        <f t="shared" si="32"/>
        <v>#DIV/0!</v>
      </c>
      <c r="AI69" s="162" t="e">
        <f t="shared" si="32"/>
        <v>#DIV/0!</v>
      </c>
      <c r="AJ69" s="162" t="e">
        <f t="shared" si="32"/>
        <v>#DIV/0!</v>
      </c>
      <c r="AK69" s="162" t="e">
        <f t="shared" si="32"/>
        <v>#DIV/0!</v>
      </c>
      <c r="AL69" s="162" t="e">
        <f t="shared" si="32"/>
        <v>#DIV/0!</v>
      </c>
      <c r="AM69" s="162" t="e">
        <f t="shared" si="32"/>
        <v>#DIV/0!</v>
      </c>
      <c r="AN69" s="162" t="e">
        <f t="shared" si="32"/>
        <v>#DIV/0!</v>
      </c>
      <c r="AO69" s="162" t="e">
        <f t="shared" si="32"/>
        <v>#DIV/0!</v>
      </c>
      <c r="AP69" s="162" t="e">
        <f t="shared" si="32"/>
        <v>#DIV/0!</v>
      </c>
      <c r="AQ69" s="162" t="e">
        <f t="shared" si="32"/>
        <v>#DIV/0!</v>
      </c>
      <c r="AR69" s="162" t="e">
        <f t="shared" si="32"/>
        <v>#DIV/0!</v>
      </c>
      <c r="AS69" s="162" t="e">
        <f t="shared" si="32"/>
        <v>#DIV/0!</v>
      </c>
      <c r="AT69" s="162" t="e">
        <f t="shared" si="32"/>
        <v>#DIV/0!</v>
      </c>
      <c r="AU69" s="162" t="e">
        <f t="shared" si="32"/>
        <v>#DIV/0!</v>
      </c>
      <c r="AV69" s="162" t="e">
        <f t="shared" si="32"/>
        <v>#DIV/0!</v>
      </c>
      <c r="AW69" s="162" t="e">
        <f t="shared" si="32"/>
        <v>#DIV/0!</v>
      </c>
      <c r="AX69" s="162" t="e">
        <f t="shared" si="32"/>
        <v>#DIV/0!</v>
      </c>
      <c r="AY69" s="162" t="e">
        <f t="shared" si="32"/>
        <v>#DIV/0!</v>
      </c>
      <c r="AZ69" s="162" t="e">
        <f t="shared" si="32"/>
        <v>#DIV/0!</v>
      </c>
      <c r="BA69" s="162" t="e">
        <f t="shared" si="32"/>
        <v>#DIV/0!</v>
      </c>
      <c r="BB69" s="162" t="e">
        <f t="shared" si="32"/>
        <v>#DIV/0!</v>
      </c>
      <c r="BC69" s="162" t="e">
        <f t="shared" si="32"/>
        <v>#DIV/0!</v>
      </c>
      <c r="BD69" s="162" t="e">
        <f t="shared" si="32"/>
        <v>#DIV/0!</v>
      </c>
      <c r="BE69" s="162" t="e">
        <f t="shared" si="32"/>
        <v>#DIV/0!</v>
      </c>
      <c r="BF69" s="162" t="e">
        <f t="shared" si="32"/>
        <v>#DIV/0!</v>
      </c>
      <c r="BG69" s="162" t="e">
        <f t="shared" si="32"/>
        <v>#DIV/0!</v>
      </c>
      <c r="BH69" s="162" t="e">
        <f t="shared" si="32"/>
        <v>#DIV/0!</v>
      </c>
      <c r="BI69" s="162" t="e">
        <f t="shared" si="32"/>
        <v>#DIV/0!</v>
      </c>
      <c r="BJ69" s="162" t="e">
        <f t="shared" si="32"/>
        <v>#DIV/0!</v>
      </c>
      <c r="BK69" s="162" t="e">
        <f t="shared" si="32"/>
        <v>#DIV/0!</v>
      </c>
      <c r="BL69" s="162" t="e">
        <f t="shared" si="32"/>
        <v>#DIV/0!</v>
      </c>
      <c r="BM69" s="162" t="e">
        <f t="shared" si="32"/>
        <v>#DIV/0!</v>
      </c>
      <c r="BN69" s="162" t="e">
        <f t="shared" si="32"/>
        <v>#DIV/0!</v>
      </c>
      <c r="BO69" s="162" t="e">
        <f t="shared" si="32"/>
        <v>#DIV/0!</v>
      </c>
      <c r="BP69" s="162" t="e">
        <f t="shared" si="32"/>
        <v>#DIV/0!</v>
      </c>
      <c r="BQ69" s="162" t="e">
        <f t="shared" si="32"/>
        <v>#DIV/0!</v>
      </c>
      <c r="BR69" s="162" t="e">
        <f t="shared" ref="BR69:CJ69" si="33">BR67/(BR68+BV68)*2</f>
        <v>#DIV/0!</v>
      </c>
      <c r="BS69" s="162" t="e">
        <f t="shared" si="33"/>
        <v>#DIV/0!</v>
      </c>
      <c r="BT69" s="162" t="e">
        <f t="shared" si="33"/>
        <v>#DIV/0!</v>
      </c>
      <c r="BU69" s="162" t="e">
        <f t="shared" si="33"/>
        <v>#DIV/0!</v>
      </c>
      <c r="BV69" s="162" t="e">
        <f t="shared" si="33"/>
        <v>#DIV/0!</v>
      </c>
      <c r="BW69" s="162" t="e">
        <f t="shared" si="33"/>
        <v>#DIV/0!</v>
      </c>
      <c r="BX69" s="162" t="e">
        <f t="shared" si="33"/>
        <v>#DIV/0!</v>
      </c>
      <c r="BY69" s="162" t="e">
        <f t="shared" si="33"/>
        <v>#DIV/0!</v>
      </c>
      <c r="BZ69" s="162" t="e">
        <f t="shared" si="33"/>
        <v>#DIV/0!</v>
      </c>
      <c r="CA69" s="162" t="e">
        <f t="shared" si="33"/>
        <v>#DIV/0!</v>
      </c>
      <c r="CB69" s="162" t="e">
        <f t="shared" si="33"/>
        <v>#DIV/0!</v>
      </c>
      <c r="CC69" s="162" t="e">
        <f t="shared" si="33"/>
        <v>#DIV/0!</v>
      </c>
      <c r="CD69" s="162" t="e">
        <f t="shared" si="33"/>
        <v>#DIV/0!</v>
      </c>
      <c r="CE69" s="162" t="e">
        <f t="shared" si="33"/>
        <v>#DIV/0!</v>
      </c>
      <c r="CF69" s="162" t="e">
        <f t="shared" si="33"/>
        <v>#DIV/0!</v>
      </c>
      <c r="CG69" s="162" t="e">
        <f t="shared" si="33"/>
        <v>#DIV/0!</v>
      </c>
      <c r="CH69" s="162" t="e">
        <f t="shared" si="33"/>
        <v>#DIV/0!</v>
      </c>
      <c r="CI69" s="162" t="e">
        <f t="shared" si="33"/>
        <v>#DIV/0!</v>
      </c>
      <c r="CJ69" s="162" t="e">
        <f t="shared" si="33"/>
        <v>#DIV/0!</v>
      </c>
    </row>
    <row r="70" spans="1:89" s="83" customFormat="1">
      <c r="A70" s="153" t="s">
        <v>483</v>
      </c>
      <c r="E70" s="83">
        <f>E62/E69</f>
        <v>189.45901040969957</v>
      </c>
      <c r="F70" s="83">
        <f t="shared" ref="F70:BQ70" si="34">F62/F69</f>
        <v>247.09766188807421</v>
      </c>
      <c r="G70" s="83">
        <f t="shared" si="34"/>
        <v>376.2599140365956</v>
      </c>
      <c r="H70" s="83">
        <f t="shared" si="34"/>
        <v>798.19591315611149</v>
      </c>
      <c r="I70" s="83">
        <f t="shared" si="34"/>
        <v>237.99171071110791</v>
      </c>
      <c r="J70" s="83">
        <f t="shared" si="34"/>
        <v>290.51879976294657</v>
      </c>
      <c r="K70" s="83">
        <f t="shared" si="34"/>
        <v>389.55711839029681</v>
      </c>
      <c r="L70" s="83">
        <f t="shared" si="34"/>
        <v>773.85582582387451</v>
      </c>
      <c r="M70" s="83">
        <f t="shared" si="34"/>
        <v>229.05948266147431</v>
      </c>
      <c r="N70" s="83">
        <f t="shared" si="34"/>
        <v>249.37885661108911</v>
      </c>
      <c r="O70" s="83">
        <f t="shared" si="34"/>
        <v>312.20324741117224</v>
      </c>
      <c r="P70" s="83">
        <f t="shared" si="34"/>
        <v>534.4377978769852</v>
      </c>
      <c r="Q70" s="83">
        <f t="shared" si="34"/>
        <v>97.355372967642325</v>
      </c>
      <c r="R70" s="83">
        <f t="shared" si="34"/>
        <v>100.88990614365414</v>
      </c>
      <c r="S70" s="83">
        <f t="shared" si="34"/>
        <v>115.23847683782436</v>
      </c>
      <c r="T70" s="83">
        <f t="shared" si="34"/>
        <v>175.9588969808436</v>
      </c>
      <c r="U70" s="83" t="e">
        <f t="shared" si="34"/>
        <v>#DIV/0!</v>
      </c>
      <c r="V70" s="83" t="e">
        <f t="shared" si="34"/>
        <v>#DIV/0!</v>
      </c>
      <c r="W70" s="83" t="e">
        <f t="shared" si="34"/>
        <v>#DIV/0!</v>
      </c>
      <c r="X70" s="83" t="e">
        <f t="shared" si="34"/>
        <v>#DIV/0!</v>
      </c>
      <c r="Y70" s="83" t="e">
        <f t="shared" si="34"/>
        <v>#DIV/0!</v>
      </c>
      <c r="Z70" s="83" t="e">
        <f t="shared" si="34"/>
        <v>#DIV/0!</v>
      </c>
      <c r="AA70" s="83" t="e">
        <f t="shared" si="34"/>
        <v>#DIV/0!</v>
      </c>
      <c r="AB70" s="83" t="e">
        <f t="shared" si="34"/>
        <v>#DIV/0!</v>
      </c>
      <c r="AC70" s="83" t="e">
        <f t="shared" si="34"/>
        <v>#DIV/0!</v>
      </c>
      <c r="AD70" s="83" t="e">
        <f t="shared" si="34"/>
        <v>#DIV/0!</v>
      </c>
      <c r="AE70" s="83" t="e">
        <f t="shared" si="34"/>
        <v>#DIV/0!</v>
      </c>
      <c r="AF70" s="83" t="e">
        <f t="shared" si="34"/>
        <v>#DIV/0!</v>
      </c>
      <c r="AG70" s="83" t="e">
        <f t="shared" si="34"/>
        <v>#DIV/0!</v>
      </c>
      <c r="AH70" s="83" t="e">
        <f t="shared" si="34"/>
        <v>#DIV/0!</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52" t="s">
        <v>484</v>
      </c>
      <c r="E71" s="76">
        <f>资产资本表!E35+资产资本表!E36-资产资本表!E24</f>
        <v>60587931.989999995</v>
      </c>
      <c r="F71" s="76">
        <f>资产资本表!F35+资产资本表!F36-资产资本表!F24</f>
        <v>63955692.889999993</v>
      </c>
      <c r="G71" s="76">
        <f>资产资本表!G35+资产资本表!G36-资产资本表!G24</f>
        <v>61970895.980000004</v>
      </c>
      <c r="H71" s="76">
        <f>资产资本表!H35+资产资本表!H36-资产资本表!H24</f>
        <v>54427535.709999993</v>
      </c>
      <c r="I71" s="76">
        <f>资产资本表!I35+资产资本表!I36-资产资本表!I24</f>
        <v>32190034.640000004</v>
      </c>
      <c r="J71" s="76">
        <f>资产资本表!J35+资产资本表!J36-资产资本表!J24</f>
        <v>43151848.859999999</v>
      </c>
      <c r="K71" s="76">
        <f>资产资本表!K35+资产资本表!K36-资产资本表!K24</f>
        <v>26236210.419999998</v>
      </c>
      <c r="L71" s="76">
        <f>资产资本表!L35+资产资本表!L36-资产资本表!L24</f>
        <v>43480529.5</v>
      </c>
      <c r="M71" s="76">
        <f>资产资本表!M35+资产资本表!M36-资产资本表!M24</f>
        <v>38750189.360000007</v>
      </c>
      <c r="N71" s="76">
        <f>资产资本表!N35+资产资本表!N36-资产资本表!N24</f>
        <v>45083149.719999999</v>
      </c>
      <c r="O71" s="76">
        <f>资产资本表!O35+资产资本表!O36-资产资本表!O24</f>
        <v>44429576.619999997</v>
      </c>
      <c r="P71" s="76">
        <f>资产资本表!P35+资产资本表!P36-资产资本表!P24</f>
        <v>48584122.909999996</v>
      </c>
      <c r="Q71" s="76">
        <f>资产资本表!Q35+资产资本表!Q36-资产资本表!Q24</f>
        <v>47475398.049999997</v>
      </c>
      <c r="R71" s="76">
        <f>资产资本表!R35+资产资本表!R36-资产资本表!R24</f>
        <v>44502163.310000002</v>
      </c>
      <c r="S71" s="76">
        <f>资产资本表!S35+资产资本表!S36-资产资本表!S24</f>
        <v>50054451.740000002</v>
      </c>
      <c r="T71" s="76">
        <f>资产资本表!T35+资产资本表!T36-资产资本表!T24</f>
        <v>52573859.010000005</v>
      </c>
      <c r="U71" s="76">
        <f>资产资本表!U35+资产资本表!U36-资产资本表!U24</f>
        <v>0</v>
      </c>
      <c r="V71" s="76">
        <f>资产资本表!V35+资产资本表!V36-资产资本表!V24</f>
        <v>0</v>
      </c>
      <c r="W71" s="76">
        <f>资产资本表!W35+资产资本表!W36-资产资本表!W24</f>
        <v>0</v>
      </c>
      <c r="X71" s="76">
        <f>资产资本表!X35+资产资本表!X36-资产资本表!X24</f>
        <v>0</v>
      </c>
      <c r="Y71" s="76">
        <f>资产资本表!Y35+资产资本表!Y36-资产资本表!Y24</f>
        <v>0</v>
      </c>
      <c r="Z71" s="76">
        <f>资产资本表!Z35+资产资本表!Z36-资产资本表!Z24</f>
        <v>0</v>
      </c>
      <c r="AA71" s="76">
        <f>资产资本表!AA35+资产资本表!AA36-资产资本表!AA24</f>
        <v>0</v>
      </c>
      <c r="AB71" s="76">
        <f>资产资本表!AB35+资产资本表!AB36-资产资本表!AB24</f>
        <v>0</v>
      </c>
      <c r="AC71" s="76">
        <f>资产资本表!AC35+资产资本表!AC36-资产资本表!AC24</f>
        <v>0</v>
      </c>
      <c r="AD71" s="76">
        <f>资产资本表!AD35+资产资本表!AD36-资产资本表!AD24</f>
        <v>0</v>
      </c>
      <c r="AE71" s="76">
        <f>资产资本表!AE35+资产资本表!AE36-资产资本表!AE24</f>
        <v>0</v>
      </c>
      <c r="AF71" s="76">
        <f>资产资本表!AF35+资产资本表!AF36-资产资本表!AF24</f>
        <v>0</v>
      </c>
      <c r="AG71" s="76">
        <f>资产资本表!AG35+资产资本表!AG36-资产资本表!AG24</f>
        <v>0</v>
      </c>
      <c r="AH71" s="76">
        <f>资产资本表!AH35+资产资本表!AH36-资产资本表!AH24</f>
        <v>0</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62" customFormat="1">
      <c r="A72" s="161" t="s">
        <v>485</v>
      </c>
      <c r="E72" s="162">
        <f>E67/(E71+I71)*2</f>
        <v>4.6156782580480664</v>
      </c>
      <c r="F72" s="162">
        <f t="shared" ref="F72:BQ72" si="36">F67/(F71+J71)*2</f>
        <v>2.9408226553757122</v>
      </c>
      <c r="G72" s="162">
        <f t="shared" si="36"/>
        <v>2.1982421634001135</v>
      </c>
      <c r="H72" s="162">
        <f t="shared" si="36"/>
        <v>0.91345372976347483</v>
      </c>
      <c r="I72" s="162">
        <f t="shared" si="36"/>
        <v>3.9079614242548759</v>
      </c>
      <c r="J72" s="162">
        <f t="shared" si="36"/>
        <v>2.4758892493428091</v>
      </c>
      <c r="K72" s="162">
        <f t="shared" si="36"/>
        <v>2.1908216550728739</v>
      </c>
      <c r="L72" s="162">
        <f t="shared" si="36"/>
        <v>0.85874295715488491</v>
      </c>
      <c r="M72" s="162">
        <f t="shared" si="36"/>
        <v>3.1647858666643556</v>
      </c>
      <c r="N72" s="162">
        <f t="shared" si="36"/>
        <v>2.4799703617221374</v>
      </c>
      <c r="O72" s="162">
        <f t="shared" si="36"/>
        <v>1.5995058905001158</v>
      </c>
      <c r="P72" s="162">
        <f t="shared" si="36"/>
        <v>0.79056607557914005</v>
      </c>
      <c r="Q72" s="162">
        <f t="shared" si="36"/>
        <v>6.3005636562535363</v>
      </c>
      <c r="R72" s="162">
        <f t="shared" si="36"/>
        <v>5.1532246812924649</v>
      </c>
      <c r="S72" s="162">
        <f t="shared" si="36"/>
        <v>2.8188271059863976</v>
      </c>
      <c r="T72" s="162">
        <f t="shared" si="36"/>
        <v>1.3480454004055424</v>
      </c>
      <c r="U72" s="162" t="e">
        <f t="shared" si="36"/>
        <v>#DIV/0!</v>
      </c>
      <c r="V72" s="162" t="e">
        <f t="shared" si="36"/>
        <v>#DIV/0!</v>
      </c>
      <c r="W72" s="162" t="e">
        <f t="shared" si="36"/>
        <v>#DIV/0!</v>
      </c>
      <c r="X72" s="162" t="e">
        <f t="shared" si="36"/>
        <v>#DIV/0!</v>
      </c>
      <c r="Y72" s="162" t="e">
        <f t="shared" si="36"/>
        <v>#DIV/0!</v>
      </c>
      <c r="Z72" s="162" t="e">
        <f t="shared" si="36"/>
        <v>#DIV/0!</v>
      </c>
      <c r="AA72" s="162" t="e">
        <f t="shared" si="36"/>
        <v>#DIV/0!</v>
      </c>
      <c r="AB72" s="162" t="e">
        <f t="shared" si="36"/>
        <v>#DIV/0!</v>
      </c>
      <c r="AC72" s="162" t="e">
        <f t="shared" si="36"/>
        <v>#DIV/0!</v>
      </c>
      <c r="AD72" s="162" t="e">
        <f t="shared" si="36"/>
        <v>#DIV/0!</v>
      </c>
      <c r="AE72" s="162" t="e">
        <f t="shared" si="36"/>
        <v>#DIV/0!</v>
      </c>
      <c r="AF72" s="162" t="e">
        <f t="shared" si="36"/>
        <v>#DIV/0!</v>
      </c>
      <c r="AG72" s="162" t="e">
        <f t="shared" si="36"/>
        <v>#DIV/0!</v>
      </c>
      <c r="AH72" s="162" t="e">
        <f t="shared" si="36"/>
        <v>#DIV/0!</v>
      </c>
      <c r="AI72" s="162" t="e">
        <f t="shared" si="36"/>
        <v>#DIV/0!</v>
      </c>
      <c r="AJ72" s="162" t="e">
        <f t="shared" si="36"/>
        <v>#DIV/0!</v>
      </c>
      <c r="AK72" s="162" t="e">
        <f t="shared" si="36"/>
        <v>#DIV/0!</v>
      </c>
      <c r="AL72" s="162" t="e">
        <f t="shared" si="36"/>
        <v>#DIV/0!</v>
      </c>
      <c r="AM72" s="162" t="e">
        <f t="shared" si="36"/>
        <v>#DIV/0!</v>
      </c>
      <c r="AN72" s="162" t="e">
        <f t="shared" si="36"/>
        <v>#DIV/0!</v>
      </c>
      <c r="AO72" s="162" t="e">
        <f t="shared" si="36"/>
        <v>#DIV/0!</v>
      </c>
      <c r="AP72" s="162" t="e">
        <f t="shared" si="36"/>
        <v>#DIV/0!</v>
      </c>
      <c r="AQ72" s="162" t="e">
        <f t="shared" si="36"/>
        <v>#DIV/0!</v>
      </c>
      <c r="AR72" s="162" t="e">
        <f t="shared" si="36"/>
        <v>#DIV/0!</v>
      </c>
      <c r="AS72" s="162" t="e">
        <f t="shared" si="36"/>
        <v>#DIV/0!</v>
      </c>
      <c r="AT72" s="162" t="e">
        <f t="shared" si="36"/>
        <v>#DIV/0!</v>
      </c>
      <c r="AU72" s="162" t="e">
        <f t="shared" si="36"/>
        <v>#DIV/0!</v>
      </c>
      <c r="AV72" s="162" t="e">
        <f t="shared" si="36"/>
        <v>#DIV/0!</v>
      </c>
      <c r="AW72" s="162" t="e">
        <f t="shared" si="36"/>
        <v>#DIV/0!</v>
      </c>
      <c r="AX72" s="162" t="e">
        <f t="shared" si="36"/>
        <v>#DIV/0!</v>
      </c>
      <c r="AY72" s="162" t="e">
        <f t="shared" si="36"/>
        <v>#DIV/0!</v>
      </c>
      <c r="AZ72" s="162" t="e">
        <f t="shared" si="36"/>
        <v>#DIV/0!</v>
      </c>
      <c r="BA72" s="162" t="e">
        <f t="shared" si="36"/>
        <v>#DIV/0!</v>
      </c>
      <c r="BB72" s="162" t="e">
        <f t="shared" si="36"/>
        <v>#DIV/0!</v>
      </c>
      <c r="BC72" s="162" t="e">
        <f t="shared" si="36"/>
        <v>#DIV/0!</v>
      </c>
      <c r="BD72" s="162" t="e">
        <f t="shared" si="36"/>
        <v>#DIV/0!</v>
      </c>
      <c r="BE72" s="162" t="e">
        <f t="shared" si="36"/>
        <v>#DIV/0!</v>
      </c>
      <c r="BF72" s="162" t="e">
        <f t="shared" si="36"/>
        <v>#DIV/0!</v>
      </c>
      <c r="BG72" s="162" t="e">
        <f t="shared" si="36"/>
        <v>#DIV/0!</v>
      </c>
      <c r="BH72" s="162" t="e">
        <f t="shared" si="36"/>
        <v>#DIV/0!</v>
      </c>
      <c r="BI72" s="162" t="e">
        <f t="shared" si="36"/>
        <v>#DIV/0!</v>
      </c>
      <c r="BJ72" s="162" t="e">
        <f t="shared" si="36"/>
        <v>#DIV/0!</v>
      </c>
      <c r="BK72" s="162" t="e">
        <f t="shared" si="36"/>
        <v>#DIV/0!</v>
      </c>
      <c r="BL72" s="162" t="e">
        <f t="shared" si="36"/>
        <v>#DIV/0!</v>
      </c>
      <c r="BM72" s="162" t="e">
        <f t="shared" si="36"/>
        <v>#DIV/0!</v>
      </c>
      <c r="BN72" s="162" t="e">
        <f t="shared" si="36"/>
        <v>#DIV/0!</v>
      </c>
      <c r="BO72" s="162" t="e">
        <f t="shared" si="36"/>
        <v>#DIV/0!</v>
      </c>
      <c r="BP72" s="162" t="e">
        <f t="shared" si="36"/>
        <v>#DIV/0!</v>
      </c>
      <c r="BQ72" s="162" t="e">
        <f t="shared" si="36"/>
        <v>#DIV/0!</v>
      </c>
      <c r="BR72" s="162" t="e">
        <f t="shared" ref="BR72:CJ72" si="37">BR67/(BR71+BV71)*2</f>
        <v>#DIV/0!</v>
      </c>
      <c r="BS72" s="162" t="e">
        <f t="shared" si="37"/>
        <v>#DIV/0!</v>
      </c>
      <c r="BT72" s="162" t="e">
        <f t="shared" si="37"/>
        <v>#DIV/0!</v>
      </c>
      <c r="BU72" s="162" t="e">
        <f t="shared" si="37"/>
        <v>#DIV/0!</v>
      </c>
      <c r="BV72" s="162" t="e">
        <f t="shared" si="37"/>
        <v>#DIV/0!</v>
      </c>
      <c r="BW72" s="162" t="e">
        <f t="shared" si="37"/>
        <v>#DIV/0!</v>
      </c>
      <c r="BX72" s="162" t="e">
        <f t="shared" si="37"/>
        <v>#DIV/0!</v>
      </c>
      <c r="BY72" s="162" t="e">
        <f t="shared" si="37"/>
        <v>#DIV/0!</v>
      </c>
      <c r="BZ72" s="162" t="e">
        <f t="shared" si="37"/>
        <v>#DIV/0!</v>
      </c>
      <c r="CA72" s="162" t="e">
        <f t="shared" si="37"/>
        <v>#DIV/0!</v>
      </c>
      <c r="CB72" s="162" t="e">
        <f t="shared" si="37"/>
        <v>#DIV/0!</v>
      </c>
      <c r="CC72" s="162" t="e">
        <f t="shared" si="37"/>
        <v>#DIV/0!</v>
      </c>
      <c r="CD72" s="162" t="e">
        <f t="shared" si="37"/>
        <v>#DIV/0!</v>
      </c>
      <c r="CE72" s="162" t="e">
        <f t="shared" si="37"/>
        <v>#DIV/0!</v>
      </c>
      <c r="CF72" s="162" t="e">
        <f t="shared" si="37"/>
        <v>#DIV/0!</v>
      </c>
      <c r="CG72" s="162" t="e">
        <f t="shared" si="37"/>
        <v>#DIV/0!</v>
      </c>
      <c r="CH72" s="162" t="e">
        <f t="shared" si="37"/>
        <v>#DIV/0!</v>
      </c>
      <c r="CI72" s="162" t="e">
        <f t="shared" si="37"/>
        <v>#DIV/0!</v>
      </c>
      <c r="CJ72" s="162" t="e">
        <f t="shared" si="37"/>
        <v>#DIV/0!</v>
      </c>
    </row>
    <row r="73" spans="1:89" s="83" customFormat="1">
      <c r="A73" s="153" t="s">
        <v>486</v>
      </c>
      <c r="E73" s="83">
        <f>E62/E72</f>
        <v>79.078302167958213</v>
      </c>
      <c r="F73" s="83">
        <f t="shared" ref="F73:BQ73" si="38">F62/F72</f>
        <v>124.11493067519521</v>
      </c>
      <c r="G73" s="83">
        <f t="shared" si="38"/>
        <v>166.0417610384832</v>
      </c>
      <c r="H73" s="83">
        <f t="shared" si="38"/>
        <v>399.58236318604918</v>
      </c>
      <c r="I73" s="83">
        <f t="shared" si="38"/>
        <v>93.39907956476155</v>
      </c>
      <c r="J73" s="83">
        <f t="shared" si="38"/>
        <v>147.42177991074692</v>
      </c>
      <c r="K73" s="83">
        <f t="shared" si="38"/>
        <v>166.60415929103044</v>
      </c>
      <c r="L73" s="83">
        <f t="shared" si="38"/>
        <v>425.03987597090446</v>
      </c>
      <c r="M73" s="83">
        <f t="shared" si="38"/>
        <v>115.33165761533984</v>
      </c>
      <c r="N73" s="83">
        <f t="shared" si="38"/>
        <v>147.17917828120221</v>
      </c>
      <c r="O73" s="83">
        <f t="shared" si="38"/>
        <v>228.19547096877264</v>
      </c>
      <c r="P73" s="83">
        <f t="shared" si="38"/>
        <v>461.69448863918711</v>
      </c>
      <c r="Q73" s="83">
        <f t="shared" si="38"/>
        <v>57.931324864518167</v>
      </c>
      <c r="R73" s="83">
        <f t="shared" si="38"/>
        <v>70.829436435217772</v>
      </c>
      <c r="S73" s="83">
        <f t="shared" si="38"/>
        <v>129.4864801125413</v>
      </c>
      <c r="T73" s="83">
        <f t="shared" si="38"/>
        <v>270.76239412277533</v>
      </c>
      <c r="U73" s="83" t="e">
        <f t="shared" si="38"/>
        <v>#DIV/0!</v>
      </c>
      <c r="V73" s="83" t="e">
        <f t="shared" si="38"/>
        <v>#DIV/0!</v>
      </c>
      <c r="W73" s="83" t="e">
        <f t="shared" si="38"/>
        <v>#DIV/0!</v>
      </c>
      <c r="X73" s="83" t="e">
        <f t="shared" si="38"/>
        <v>#DIV/0!</v>
      </c>
      <c r="Y73" s="83" t="e">
        <f t="shared" si="38"/>
        <v>#DIV/0!</v>
      </c>
      <c r="Z73" s="83" t="e">
        <f t="shared" si="38"/>
        <v>#DIV/0!</v>
      </c>
      <c r="AA73" s="83" t="e">
        <f t="shared" si="38"/>
        <v>#DIV/0!</v>
      </c>
      <c r="AB73" s="83" t="e">
        <f t="shared" si="38"/>
        <v>#DIV/0!</v>
      </c>
      <c r="AC73" s="83" t="e">
        <f t="shared" si="38"/>
        <v>#DIV/0!</v>
      </c>
      <c r="AD73" s="83" t="e">
        <f t="shared" si="38"/>
        <v>#DIV/0!</v>
      </c>
      <c r="AE73" s="83" t="e">
        <f t="shared" si="38"/>
        <v>#DIV/0!</v>
      </c>
      <c r="AF73" s="83" t="e">
        <f t="shared" si="38"/>
        <v>#DIV/0!</v>
      </c>
      <c r="AG73" s="83" t="e">
        <f t="shared" si="38"/>
        <v>#DIV/0!</v>
      </c>
      <c r="AH73" s="83" t="e">
        <f t="shared" si="38"/>
        <v>#DIV/0!</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c r="A74" s="152" t="s">
        <v>487</v>
      </c>
      <c r="E74" s="76">
        <f>E66+E70</f>
        <v>396.10192381692394</v>
      </c>
      <c r="F74" s="76">
        <f t="shared" ref="F74:BQ74" si="40">F66+F70</f>
        <v>557.46069879817628</v>
      </c>
      <c r="G74" s="76">
        <f t="shared" si="40"/>
        <v>844.74171802696651</v>
      </c>
      <c r="H74" s="76">
        <f t="shared" si="40"/>
        <v>1820.4601163319094</v>
      </c>
      <c r="I74" s="76">
        <f t="shared" si="40"/>
        <v>474.21566753560757</v>
      </c>
      <c r="J74" s="76">
        <f t="shared" si="40"/>
        <v>631.35741658128131</v>
      </c>
      <c r="K74" s="76">
        <f t="shared" si="40"/>
        <v>857.2981001769158</v>
      </c>
      <c r="L74" s="76">
        <f t="shared" si="40"/>
        <v>1722.7411958403959</v>
      </c>
      <c r="M74" s="76">
        <f t="shared" si="40"/>
        <v>440.87257535091618</v>
      </c>
      <c r="N74" s="76">
        <f t="shared" si="40"/>
        <v>509.68428703597374</v>
      </c>
      <c r="O74" s="76">
        <f t="shared" si="40"/>
        <v>659.16702126017901</v>
      </c>
      <c r="P74" s="76">
        <f t="shared" si="40"/>
        <v>1106.9057492886259</v>
      </c>
      <c r="Q74" s="76">
        <f t="shared" si="40"/>
        <v>184.85871587879095</v>
      </c>
      <c r="R74" s="76">
        <f t="shared" si="40"/>
        <v>196.67275268582537</v>
      </c>
      <c r="S74" s="76">
        <f t="shared" si="40"/>
        <v>240.26053110701338</v>
      </c>
      <c r="T74" s="76">
        <f t="shared" si="40"/>
        <v>349.19645963286536</v>
      </c>
      <c r="U74" s="76" t="e">
        <f t="shared" si="40"/>
        <v>#DIV/0!</v>
      </c>
      <c r="V74" s="76" t="e">
        <f t="shared" si="40"/>
        <v>#DIV/0!</v>
      </c>
      <c r="W74" s="76" t="e">
        <f t="shared" si="40"/>
        <v>#DIV/0!</v>
      </c>
      <c r="X74" s="76" t="e">
        <f t="shared" si="40"/>
        <v>#DIV/0!</v>
      </c>
      <c r="Y74" s="76" t="e">
        <f t="shared" si="40"/>
        <v>#DIV/0!</v>
      </c>
      <c r="Z74" s="76" t="e">
        <f t="shared" si="40"/>
        <v>#DIV/0!</v>
      </c>
      <c r="AA74" s="76" t="e">
        <f t="shared" si="40"/>
        <v>#DIV/0!</v>
      </c>
      <c r="AB74" s="76" t="e">
        <f t="shared" si="40"/>
        <v>#DIV/0!</v>
      </c>
      <c r="AC74" s="76" t="e">
        <f t="shared" si="40"/>
        <v>#DIV/0!</v>
      </c>
      <c r="AD74" s="76" t="e">
        <f t="shared" si="40"/>
        <v>#DIV/0!</v>
      </c>
      <c r="AE74" s="76" t="e">
        <f t="shared" si="40"/>
        <v>#DIV/0!</v>
      </c>
      <c r="AF74" s="76" t="e">
        <f t="shared" si="40"/>
        <v>#DIV/0!</v>
      </c>
      <c r="AG74" s="76" t="e">
        <f t="shared" si="40"/>
        <v>#DIV/0!</v>
      </c>
      <c r="AH74" s="76" t="e">
        <f t="shared" si="40"/>
        <v>#DIV/0!</v>
      </c>
      <c r="AI74" s="76" t="e">
        <f t="shared" si="40"/>
        <v>#DIV/0!</v>
      </c>
      <c r="AJ74" s="76" t="e">
        <f t="shared" si="40"/>
        <v>#DIV/0!</v>
      </c>
      <c r="AK74" s="76" t="e">
        <f t="shared" si="40"/>
        <v>#DIV/0!</v>
      </c>
      <c r="AL74" s="76" t="e">
        <f t="shared" si="40"/>
        <v>#DIV/0!</v>
      </c>
      <c r="AM74" s="76" t="e">
        <f t="shared" si="40"/>
        <v>#DIV/0!</v>
      </c>
      <c r="AN74" s="76" t="e">
        <f t="shared" si="40"/>
        <v>#DIV/0!</v>
      </c>
      <c r="AO74" s="76" t="e">
        <f t="shared" si="40"/>
        <v>#DIV/0!</v>
      </c>
      <c r="AP74" s="76" t="e">
        <f t="shared" si="40"/>
        <v>#DIV/0!</v>
      </c>
      <c r="AQ74" s="76" t="e">
        <f t="shared" si="40"/>
        <v>#DIV/0!</v>
      </c>
      <c r="AR74" s="76" t="e">
        <f t="shared" si="40"/>
        <v>#DIV/0!</v>
      </c>
      <c r="AS74" s="76" t="e">
        <f t="shared" si="40"/>
        <v>#DIV/0!</v>
      </c>
      <c r="AT74" s="76" t="e">
        <f t="shared" si="40"/>
        <v>#DIV/0!</v>
      </c>
      <c r="AU74" s="76" t="e">
        <f t="shared" si="40"/>
        <v>#DIV/0!</v>
      </c>
      <c r="AV74" s="76" t="e">
        <f t="shared" si="40"/>
        <v>#DIV/0!</v>
      </c>
      <c r="AW74" s="76" t="e">
        <f t="shared" si="40"/>
        <v>#DIV/0!</v>
      </c>
      <c r="AX74" s="76" t="e">
        <f t="shared" si="40"/>
        <v>#DIV/0!</v>
      </c>
      <c r="AY74" s="76" t="e">
        <f t="shared" si="40"/>
        <v>#DIV/0!</v>
      </c>
      <c r="AZ74" s="76" t="e">
        <f t="shared" si="40"/>
        <v>#DIV/0!</v>
      </c>
      <c r="BA74" s="76" t="e">
        <f t="shared" si="40"/>
        <v>#DIV/0!</v>
      </c>
      <c r="BB74" s="76" t="e">
        <f t="shared" si="40"/>
        <v>#DIV/0!</v>
      </c>
      <c r="BC74" s="76" t="e">
        <f t="shared" si="40"/>
        <v>#DIV/0!</v>
      </c>
      <c r="BD74" s="76" t="e">
        <f t="shared" si="40"/>
        <v>#DIV/0!</v>
      </c>
      <c r="BE74" s="76" t="e">
        <f t="shared" si="40"/>
        <v>#DIV/0!</v>
      </c>
      <c r="BF74" s="76" t="e">
        <f t="shared" si="40"/>
        <v>#DIV/0!</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c r="A75" s="152" t="s">
        <v>488</v>
      </c>
      <c r="E75" s="76">
        <f>E74-E73</f>
        <v>317.02362164896573</v>
      </c>
      <c r="F75" s="76">
        <f t="shared" ref="F75:BQ75" si="42">F74-F73</f>
        <v>433.3457681229811</v>
      </c>
      <c r="G75" s="76">
        <f t="shared" si="42"/>
        <v>678.69995698848334</v>
      </c>
      <c r="H75" s="76">
        <f t="shared" si="42"/>
        <v>1420.8777531458602</v>
      </c>
      <c r="I75" s="76">
        <f t="shared" si="42"/>
        <v>380.816587970846</v>
      </c>
      <c r="J75" s="76">
        <f t="shared" si="42"/>
        <v>483.93563667053439</v>
      </c>
      <c r="K75" s="76">
        <f t="shared" si="42"/>
        <v>690.69394088588535</v>
      </c>
      <c r="L75" s="76">
        <f t="shared" si="42"/>
        <v>1297.7013198694915</v>
      </c>
      <c r="M75" s="76">
        <f t="shared" si="42"/>
        <v>325.54091773557633</v>
      </c>
      <c r="N75" s="76">
        <f t="shared" si="42"/>
        <v>362.50510875477153</v>
      </c>
      <c r="O75" s="76">
        <f t="shared" si="42"/>
        <v>430.9715502914064</v>
      </c>
      <c r="P75" s="76">
        <f t="shared" si="42"/>
        <v>645.21126064943883</v>
      </c>
      <c r="Q75" s="76">
        <f t="shared" si="42"/>
        <v>126.92739101427279</v>
      </c>
      <c r="R75" s="76">
        <f t="shared" si="42"/>
        <v>125.8433162506076</v>
      </c>
      <c r="S75" s="76">
        <f t="shared" si="42"/>
        <v>110.77405099447208</v>
      </c>
      <c r="T75" s="76">
        <f t="shared" si="42"/>
        <v>78.434065510090022</v>
      </c>
      <c r="U75" s="76" t="e">
        <f t="shared" si="42"/>
        <v>#DIV/0!</v>
      </c>
      <c r="V75" s="76" t="e">
        <f t="shared" si="42"/>
        <v>#DIV/0!</v>
      </c>
      <c r="W75" s="76" t="e">
        <f t="shared" si="42"/>
        <v>#DIV/0!</v>
      </c>
      <c r="X75" s="76" t="e">
        <f t="shared" si="42"/>
        <v>#DIV/0!</v>
      </c>
      <c r="Y75" s="76" t="e">
        <f t="shared" si="42"/>
        <v>#DIV/0!</v>
      </c>
      <c r="Z75" s="76" t="e">
        <f t="shared" si="42"/>
        <v>#DIV/0!</v>
      </c>
      <c r="AA75" s="76" t="e">
        <f t="shared" si="42"/>
        <v>#DIV/0!</v>
      </c>
      <c r="AB75" s="76" t="e">
        <f t="shared" si="42"/>
        <v>#DIV/0!</v>
      </c>
      <c r="AC75" s="76" t="e">
        <f t="shared" si="42"/>
        <v>#DIV/0!</v>
      </c>
      <c r="AD75" s="76" t="e">
        <f t="shared" si="42"/>
        <v>#DIV/0!</v>
      </c>
      <c r="AE75" s="76" t="e">
        <f t="shared" si="42"/>
        <v>#DIV/0!</v>
      </c>
      <c r="AF75" s="76" t="e">
        <f t="shared" si="42"/>
        <v>#DIV/0!</v>
      </c>
      <c r="AG75" s="76" t="e">
        <f t="shared" si="42"/>
        <v>#DIV/0!</v>
      </c>
      <c r="AH75" s="76" t="e">
        <f t="shared" si="42"/>
        <v>#DIV/0!</v>
      </c>
      <c r="AI75" s="76" t="e">
        <f t="shared" si="42"/>
        <v>#DIV/0!</v>
      </c>
      <c r="AJ75" s="76" t="e">
        <f t="shared" si="42"/>
        <v>#DIV/0!</v>
      </c>
      <c r="AK75" s="76" t="e">
        <f t="shared" si="42"/>
        <v>#DIV/0!</v>
      </c>
      <c r="AL75" s="76" t="e">
        <f t="shared" si="42"/>
        <v>#DIV/0!</v>
      </c>
      <c r="AM75" s="76" t="e">
        <f t="shared" si="42"/>
        <v>#DIV/0!</v>
      </c>
      <c r="AN75" s="76" t="e">
        <f t="shared" si="42"/>
        <v>#DIV/0!</v>
      </c>
      <c r="AO75" s="76" t="e">
        <f t="shared" si="42"/>
        <v>#DIV/0!</v>
      </c>
      <c r="AP75" s="76" t="e">
        <f t="shared" si="42"/>
        <v>#DIV/0!</v>
      </c>
      <c r="AQ75" s="76" t="e">
        <f t="shared" si="42"/>
        <v>#DIV/0!</v>
      </c>
      <c r="AR75" s="76" t="e">
        <f t="shared" si="42"/>
        <v>#DIV/0!</v>
      </c>
      <c r="AS75" s="76" t="e">
        <f t="shared" si="42"/>
        <v>#DIV/0!</v>
      </c>
      <c r="AT75" s="76" t="e">
        <f t="shared" si="42"/>
        <v>#DIV/0!</v>
      </c>
      <c r="AU75" s="76" t="e">
        <f t="shared" si="42"/>
        <v>#DIV/0!</v>
      </c>
      <c r="AV75" s="76" t="e">
        <f t="shared" si="42"/>
        <v>#DIV/0!</v>
      </c>
      <c r="AW75" s="76" t="e">
        <f t="shared" si="42"/>
        <v>#DIV/0!</v>
      </c>
      <c r="AX75" s="76" t="e">
        <f t="shared" si="42"/>
        <v>#DIV/0!</v>
      </c>
      <c r="AY75" s="76" t="e">
        <f t="shared" si="42"/>
        <v>#DIV/0!</v>
      </c>
      <c r="AZ75" s="76" t="e">
        <f t="shared" si="42"/>
        <v>#DIV/0!</v>
      </c>
      <c r="BA75" s="76" t="e">
        <f t="shared" si="42"/>
        <v>#DIV/0!</v>
      </c>
      <c r="BB75" s="76" t="e">
        <f t="shared" si="42"/>
        <v>#DIV/0!</v>
      </c>
      <c r="BC75" s="76" t="e">
        <f t="shared" si="42"/>
        <v>#DIV/0!</v>
      </c>
      <c r="BD75" s="76" t="e">
        <f t="shared" si="42"/>
        <v>#DIV/0!</v>
      </c>
      <c r="BE75" s="76" t="e">
        <f t="shared" si="42"/>
        <v>#DIV/0!</v>
      </c>
      <c r="BF75" s="76" t="e">
        <f t="shared" si="42"/>
        <v>#DIV/0!</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23" customFormat="1">
      <c r="A76" s="154" t="s">
        <v>489</v>
      </c>
      <c r="E76" s="123">
        <f>E71-E64-E68</f>
        <v>-405853808.84999996</v>
      </c>
      <c r="F76" s="123">
        <f t="shared" ref="F76:BQ76" si="44">F71-F64-F68</f>
        <v>-413521992.95000005</v>
      </c>
      <c r="G76" s="123">
        <f t="shared" si="44"/>
        <v>-383090800.65999997</v>
      </c>
      <c r="H76" s="123">
        <f t="shared" si="44"/>
        <v>-364107250.88000005</v>
      </c>
      <c r="I76" s="123">
        <f t="shared" si="44"/>
        <v>-285126460.22999996</v>
      </c>
      <c r="J76" s="123">
        <f t="shared" si="44"/>
        <v>-293820136.25999999</v>
      </c>
      <c r="K76" s="123">
        <f t="shared" si="44"/>
        <v>-284642130.37</v>
      </c>
      <c r="L76" s="123">
        <f t="shared" si="44"/>
        <v>-276559317.55000001</v>
      </c>
      <c r="M76" s="123">
        <f t="shared" si="44"/>
        <v>-257097701.25999999</v>
      </c>
      <c r="N76" s="123">
        <f t="shared" si="44"/>
        <v>-258564485.48000002</v>
      </c>
      <c r="O76" s="123">
        <f t="shared" si="44"/>
        <v>-232889140.81999999</v>
      </c>
      <c r="P76" s="123">
        <f t="shared" si="44"/>
        <v>-217362105.62</v>
      </c>
      <c r="Q76" s="123">
        <f t="shared" si="44"/>
        <v>-203471648.89999998</v>
      </c>
      <c r="R76" s="123">
        <f t="shared" si="44"/>
        <v>-158412841.61999997</v>
      </c>
      <c r="S76" s="123">
        <f t="shared" si="44"/>
        <v>-109763141.84</v>
      </c>
      <c r="T76" s="123">
        <f t="shared" si="44"/>
        <v>-60271459.439999998</v>
      </c>
      <c r="U76" s="123">
        <f t="shared" si="44"/>
        <v>0</v>
      </c>
      <c r="V76" s="123">
        <f t="shared" si="44"/>
        <v>0</v>
      </c>
      <c r="W76" s="123">
        <f t="shared" si="44"/>
        <v>0</v>
      </c>
      <c r="X76" s="123">
        <f t="shared" si="44"/>
        <v>0</v>
      </c>
      <c r="Y76" s="123">
        <f t="shared" si="44"/>
        <v>0</v>
      </c>
      <c r="Z76" s="123">
        <f t="shared" si="44"/>
        <v>0</v>
      </c>
      <c r="AA76" s="123">
        <f t="shared" si="44"/>
        <v>0</v>
      </c>
      <c r="AB76" s="123">
        <f t="shared" si="44"/>
        <v>0</v>
      </c>
      <c r="AC76" s="123">
        <f t="shared" si="44"/>
        <v>0</v>
      </c>
      <c r="AD76" s="123">
        <f t="shared" si="44"/>
        <v>0</v>
      </c>
      <c r="AE76" s="123">
        <f t="shared" si="44"/>
        <v>0</v>
      </c>
      <c r="AF76" s="123">
        <f t="shared" si="44"/>
        <v>0</v>
      </c>
      <c r="AG76" s="123">
        <f t="shared" si="44"/>
        <v>0</v>
      </c>
      <c r="AH76" s="123">
        <f t="shared" si="44"/>
        <v>0</v>
      </c>
      <c r="AI76" s="123">
        <f t="shared" si="44"/>
        <v>0</v>
      </c>
      <c r="AJ76" s="123">
        <f t="shared" si="44"/>
        <v>0</v>
      </c>
      <c r="AK76" s="123">
        <f t="shared" si="44"/>
        <v>0</v>
      </c>
      <c r="AL76" s="123">
        <f t="shared" si="44"/>
        <v>0</v>
      </c>
      <c r="AM76" s="123">
        <f t="shared" si="44"/>
        <v>0</v>
      </c>
      <c r="AN76" s="123">
        <f t="shared" si="44"/>
        <v>0</v>
      </c>
      <c r="AO76" s="123">
        <f t="shared" si="44"/>
        <v>0</v>
      </c>
      <c r="AP76" s="123">
        <f t="shared" si="44"/>
        <v>0</v>
      </c>
      <c r="AQ76" s="123">
        <f t="shared" si="44"/>
        <v>0</v>
      </c>
      <c r="AR76" s="123">
        <f t="shared" si="44"/>
        <v>0</v>
      </c>
      <c r="AS76" s="123">
        <f t="shared" si="44"/>
        <v>0</v>
      </c>
      <c r="AT76" s="123">
        <f t="shared" si="44"/>
        <v>0</v>
      </c>
      <c r="AU76" s="123">
        <f t="shared" si="44"/>
        <v>0</v>
      </c>
      <c r="AV76" s="123">
        <f t="shared" si="44"/>
        <v>0</v>
      </c>
      <c r="AW76" s="123">
        <f t="shared" si="44"/>
        <v>0</v>
      </c>
      <c r="AX76" s="123">
        <f t="shared" si="44"/>
        <v>0</v>
      </c>
      <c r="AY76" s="123">
        <f t="shared" si="44"/>
        <v>0</v>
      </c>
      <c r="AZ76" s="123">
        <f t="shared" si="44"/>
        <v>0</v>
      </c>
      <c r="BA76" s="123">
        <f t="shared" si="44"/>
        <v>0</v>
      </c>
      <c r="BB76" s="123">
        <f t="shared" si="44"/>
        <v>0</v>
      </c>
      <c r="BC76" s="123">
        <f t="shared" si="44"/>
        <v>0</v>
      </c>
      <c r="BD76" s="123">
        <f t="shared" si="44"/>
        <v>0</v>
      </c>
      <c r="BE76" s="123">
        <f t="shared" si="44"/>
        <v>0</v>
      </c>
      <c r="BF76" s="123">
        <f t="shared" si="44"/>
        <v>0</v>
      </c>
      <c r="BG76" s="123">
        <f t="shared" si="44"/>
        <v>0</v>
      </c>
      <c r="BH76" s="123">
        <f t="shared" si="44"/>
        <v>0</v>
      </c>
      <c r="BI76" s="123">
        <f t="shared" si="44"/>
        <v>0</v>
      </c>
      <c r="BJ76" s="123">
        <f t="shared" si="44"/>
        <v>0</v>
      </c>
      <c r="BK76" s="123">
        <f t="shared" si="44"/>
        <v>0</v>
      </c>
      <c r="BL76" s="123">
        <f t="shared" si="44"/>
        <v>0</v>
      </c>
      <c r="BM76" s="123">
        <f t="shared" si="44"/>
        <v>0</v>
      </c>
      <c r="BN76" s="123">
        <f t="shared" si="44"/>
        <v>0</v>
      </c>
      <c r="BO76" s="123">
        <f t="shared" si="44"/>
        <v>0</v>
      </c>
      <c r="BP76" s="123">
        <f t="shared" si="44"/>
        <v>0</v>
      </c>
      <c r="BQ76" s="123">
        <f t="shared" si="44"/>
        <v>0</v>
      </c>
      <c r="BR76" s="123">
        <f t="shared" ref="BR76:CJ76" si="45">BR71-BR64-BR68</f>
        <v>0</v>
      </c>
      <c r="BS76" s="123">
        <f t="shared" si="45"/>
        <v>0</v>
      </c>
      <c r="BT76" s="123">
        <f t="shared" si="45"/>
        <v>0</v>
      </c>
      <c r="BU76" s="123">
        <f t="shared" si="45"/>
        <v>0</v>
      </c>
      <c r="BV76" s="123">
        <f t="shared" si="45"/>
        <v>0</v>
      </c>
      <c r="BW76" s="123">
        <f t="shared" si="45"/>
        <v>0</v>
      </c>
      <c r="BX76" s="123">
        <f t="shared" si="45"/>
        <v>0</v>
      </c>
      <c r="BY76" s="123">
        <f t="shared" si="45"/>
        <v>0</v>
      </c>
      <c r="BZ76" s="123">
        <f t="shared" si="45"/>
        <v>0</v>
      </c>
      <c r="CA76" s="123">
        <f t="shared" si="45"/>
        <v>0</v>
      </c>
      <c r="CB76" s="123">
        <f t="shared" si="45"/>
        <v>0</v>
      </c>
      <c r="CC76" s="123">
        <f t="shared" si="45"/>
        <v>0</v>
      </c>
      <c r="CD76" s="123">
        <f t="shared" si="45"/>
        <v>0</v>
      </c>
      <c r="CE76" s="123">
        <f t="shared" si="45"/>
        <v>0</v>
      </c>
      <c r="CF76" s="123">
        <f t="shared" si="45"/>
        <v>0</v>
      </c>
      <c r="CG76" s="123">
        <f t="shared" si="45"/>
        <v>0</v>
      </c>
      <c r="CH76" s="123">
        <f t="shared" si="45"/>
        <v>0</v>
      </c>
      <c r="CI76" s="123">
        <f t="shared" si="45"/>
        <v>0</v>
      </c>
      <c r="CJ76" s="123">
        <f t="shared" si="45"/>
        <v>0</v>
      </c>
    </row>
    <row r="77" spans="1:89" s="16" customFormat="1" ht="59.25" customHeight="1">
      <c r="A77" s="235" t="s">
        <v>653</v>
      </c>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c r="AE77" s="236"/>
      <c r="AF77" s="236"/>
      <c r="AG77" s="236"/>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15" customFormat="1">
      <c r="A80" s="124" t="s">
        <v>586</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41274</v>
      </c>
      <c r="W80" s="1">
        <v>40908</v>
      </c>
      <c r="X80" s="1">
        <v>25569</v>
      </c>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587</v>
      </c>
      <c r="E81" s="76">
        <f>股权价值增加表!E4</f>
        <v>495877419.98000002</v>
      </c>
      <c r="F81" s="76">
        <f>股权价值增加表!F4</f>
        <v>353525103.44999999</v>
      </c>
      <c r="G81" s="76">
        <f>股权价值增加表!G4</f>
        <v>216615774.84999999</v>
      </c>
      <c r="H81" s="76">
        <f>股权价值增加表!H4</f>
        <v>96938491.230000004</v>
      </c>
      <c r="I81" s="76">
        <f>股权价值增加表!I4</f>
        <v>334060452.80000001</v>
      </c>
      <c r="J81" s="76">
        <f>股权价值增加表!J4</f>
        <v>249912116.02000001</v>
      </c>
      <c r="K81" s="76">
        <f>股权价值增加表!K4</f>
        <v>165029582.87</v>
      </c>
      <c r="L81" s="76">
        <f>股权价值增加表!L4</f>
        <v>80464922.310000002</v>
      </c>
      <c r="M81" s="76">
        <f>股权价值增加表!M4</f>
        <v>323570970.87</v>
      </c>
      <c r="N81" s="76">
        <f>股权价值增加表!N4</f>
        <v>248729217.63999999</v>
      </c>
      <c r="O81" s="76">
        <f>股权价值增加表!O4</f>
        <v>161936467.97</v>
      </c>
      <c r="P81" s="76">
        <f>股权价值增加表!P4</f>
        <v>83427219.010000005</v>
      </c>
      <c r="Q81" s="76">
        <f>股权价值增加表!Q4</f>
        <v>356983852.38</v>
      </c>
      <c r="R81" s="76">
        <f>股权价值增加表!R4</f>
        <v>265845775.84999999</v>
      </c>
      <c r="S81" s="76">
        <f>股权价值增加表!S4</f>
        <v>168265778.53</v>
      </c>
      <c r="T81" s="76">
        <f>股权价值增加表!T4</f>
        <v>82886156.019999996</v>
      </c>
      <c r="U81" s="76">
        <f>股权价值增加表!U4</f>
        <v>332811274.00999999</v>
      </c>
      <c r="V81" s="76">
        <f>股权价值增加表!V4</f>
        <v>309060512.23000002</v>
      </c>
      <c r="W81" s="76">
        <f>股权价值增加表!W4</f>
        <v>239745202.43000001</v>
      </c>
      <c r="X81" s="76">
        <f>股权价值增加表!X4</f>
        <v>0</v>
      </c>
      <c r="Y81" s="76">
        <f>股权价值增加表!Y4</f>
        <v>0</v>
      </c>
      <c r="Z81" s="76">
        <f>股权价值增加表!Z4</f>
        <v>0</v>
      </c>
      <c r="AA81" s="76">
        <f>股权价值增加表!AA4</f>
        <v>0</v>
      </c>
      <c r="AB81" s="76">
        <f>股权价值增加表!AB4</f>
        <v>0</v>
      </c>
      <c r="AC81" s="76">
        <f>股权价值增加表!AC4</f>
        <v>0</v>
      </c>
      <c r="AD81" s="76">
        <f>股权价值增加表!AD4</f>
        <v>0</v>
      </c>
      <c r="AE81" s="76">
        <f>股权价值增加表!AE4</f>
        <v>0</v>
      </c>
      <c r="AF81" s="76">
        <f>股权价值增加表!AF4</f>
        <v>0</v>
      </c>
      <c r="AG81" s="76">
        <f>股权价值增加表!AG4</f>
        <v>0</v>
      </c>
      <c r="AH81" s="76">
        <f>股权价值增加表!AH4</f>
        <v>0</v>
      </c>
      <c r="AI81" s="76">
        <f>股权价值增加表!AI4</f>
        <v>0</v>
      </c>
      <c r="AJ81" s="76">
        <f>股权价值增加表!AJ4</f>
        <v>0</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588</v>
      </c>
      <c r="E82" s="76">
        <f>投资和筹资活动现金流表!E34</f>
        <v>214254560.29000002</v>
      </c>
      <c r="F82" s="76">
        <f>投资和筹资活动现金流表!F34</f>
        <v>169541513.67000002</v>
      </c>
      <c r="G82" s="76">
        <f>投资和筹资活动现金流表!G34</f>
        <v>159903767.39000002</v>
      </c>
      <c r="H82" s="76">
        <f>投资和筹资活动现金流表!H34</f>
        <v>152151164.74000001</v>
      </c>
      <c r="I82" s="76">
        <f>投资和筹资活动现金流表!I34</f>
        <v>263845286.18000001</v>
      </c>
      <c r="J82" s="76">
        <f>投资和筹资活动现金流表!J34</f>
        <v>136415539.08000001</v>
      </c>
      <c r="K82" s="76">
        <f>投资和筹资活动现金流表!K34</f>
        <v>135753008.28</v>
      </c>
      <c r="L82" s="76">
        <f>投资和筹资活动现金流表!L34</f>
        <v>135106044.97999999</v>
      </c>
      <c r="M82" s="76">
        <f>投资和筹资活动现金流表!M34</f>
        <v>135542723.62</v>
      </c>
      <c r="N82" s="76">
        <f>投资和筹资活动现金流表!N34</f>
        <v>132307537.11</v>
      </c>
      <c r="O82" s="76">
        <f>投资和筹资活动现金流表!O34</f>
        <v>130622942.42</v>
      </c>
      <c r="P82" s="76">
        <f>投资和筹资活动现金流表!P34</f>
        <v>131951902.92</v>
      </c>
      <c r="Q82" s="76">
        <f>投资和筹资活动现金流表!Q34</f>
        <v>134035221.97</v>
      </c>
      <c r="R82" s="76">
        <f>投资和筹资活动现金流表!R34</f>
        <v>123093770.95</v>
      </c>
      <c r="S82" s="76">
        <f>投资和筹资活动现金流表!S34</f>
        <v>102214467.84</v>
      </c>
      <c r="T82" s="76">
        <f>投资和筹资活动现金流表!T34</f>
        <v>63491916.259999998</v>
      </c>
      <c r="U82" s="76">
        <f>投资和筹资活动现金流表!U34</f>
        <v>0</v>
      </c>
      <c r="V82" s="76">
        <f>投资和筹资活动现金流表!V34</f>
        <v>0</v>
      </c>
      <c r="W82" s="76">
        <f>投资和筹资活动现金流表!W34</f>
        <v>0</v>
      </c>
      <c r="X82" s="76">
        <f>投资和筹资活动现金流表!X34</f>
        <v>0</v>
      </c>
      <c r="Y82" s="76">
        <f>投资和筹资活动现金流表!Y34</f>
        <v>1692988956.96</v>
      </c>
      <c r="Z82" s="76">
        <f>投资和筹资活动现金流表!Z34</f>
        <v>1564687134.1800001</v>
      </c>
      <c r="AA82" s="76">
        <f>投资和筹资活动现金流表!AA34</f>
        <v>1478062969.8499999</v>
      </c>
      <c r="AB82" s="76">
        <f>投资和筹资活动现金流表!AB34</f>
        <v>1099582577.6300001</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c r="A83" s="155" t="s">
        <v>589</v>
      </c>
      <c r="E83" s="44">
        <f>E81/E82</f>
        <v>2.3144311108655748</v>
      </c>
      <c r="F83" s="44">
        <f t="shared" ref="F83:BQ83" si="46">F81/F82</f>
        <v>2.0851831259340434</v>
      </c>
      <c r="G83" s="44">
        <f t="shared" si="46"/>
        <v>1.3546633602551794</v>
      </c>
      <c r="H83" s="44">
        <f t="shared" si="46"/>
        <v>0.63711961321920274</v>
      </c>
      <c r="I83" s="44">
        <f t="shared" si="46"/>
        <v>1.2661224979099985</v>
      </c>
      <c r="J83" s="44">
        <f t="shared" si="46"/>
        <v>1.8319915583329598</v>
      </c>
      <c r="K83" s="44">
        <f t="shared" si="46"/>
        <v>1.2156605953778574</v>
      </c>
      <c r="L83" s="44">
        <f t="shared" si="46"/>
        <v>0.5955686314547316</v>
      </c>
      <c r="M83" s="44">
        <f t="shared" si="46"/>
        <v>2.3872249444916385</v>
      </c>
      <c r="N83" s="44">
        <f t="shared" si="46"/>
        <v>1.8799323384971443</v>
      </c>
      <c r="O83" s="44">
        <f t="shared" si="46"/>
        <v>1.2397245458559316</v>
      </c>
      <c r="P83" s="44">
        <f t="shared" si="46"/>
        <v>0.63225476225667154</v>
      </c>
      <c r="Q83" s="44">
        <f t="shared" si="46"/>
        <v>2.663358534668602</v>
      </c>
      <c r="R83" s="44">
        <f t="shared" si="46"/>
        <v>2.1597012894989223</v>
      </c>
      <c r="S83" s="44">
        <f t="shared" si="46"/>
        <v>1.646203146049662</v>
      </c>
      <c r="T83" s="44">
        <f t="shared" si="46"/>
        <v>1.3054599845526855</v>
      </c>
      <c r="U83" s="44" t="e">
        <f t="shared" si="46"/>
        <v>#DIV/0!</v>
      </c>
      <c r="V83" s="44" t="e">
        <f t="shared" si="46"/>
        <v>#DIV/0!</v>
      </c>
      <c r="W83" s="44" t="e">
        <f t="shared" si="46"/>
        <v>#DIV/0!</v>
      </c>
      <c r="X83" s="44" t="e">
        <f t="shared" si="46"/>
        <v>#DIV/0!</v>
      </c>
      <c r="Y83" s="44">
        <f t="shared" si="46"/>
        <v>0</v>
      </c>
      <c r="Z83" s="44">
        <f t="shared" si="46"/>
        <v>0</v>
      </c>
      <c r="AA83" s="44">
        <f t="shared" si="46"/>
        <v>0</v>
      </c>
      <c r="AB83" s="44">
        <f t="shared" si="46"/>
        <v>0</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c r="A84" s="70" t="s">
        <v>590</v>
      </c>
      <c r="E84" s="76">
        <f>资产资本表!E52</f>
        <v>78530986.829999998</v>
      </c>
      <c r="F84" s="76">
        <f>资产资本表!F52</f>
        <v>53583557.289999999</v>
      </c>
      <c r="G84" s="76">
        <f>资产资本表!G52</f>
        <v>53466789.990000002</v>
      </c>
      <c r="H84" s="76">
        <f>资产资本表!H52</f>
        <v>55371639.969999999</v>
      </c>
      <c r="I84" s="76">
        <f>资产资本表!I52</f>
        <v>48741114.240000002</v>
      </c>
      <c r="J84" s="76">
        <f>资产资本表!J52</f>
        <v>46319339.630000003</v>
      </c>
      <c r="K84" s="76">
        <f>资产资本表!K52</f>
        <v>45862427.969999999</v>
      </c>
      <c r="L84" s="76">
        <f>资产资本表!L52</f>
        <v>45589508.130000003</v>
      </c>
      <c r="M84" s="76">
        <f>资产资本表!M52</f>
        <v>46446745.649999999</v>
      </c>
      <c r="N84" s="76">
        <f>资产资本表!N52</f>
        <v>44245387</v>
      </c>
      <c r="O84" s="76">
        <f>资产资本表!O52</f>
        <v>44983895.810000002</v>
      </c>
      <c r="P84" s="76">
        <f>资产资本表!P52</f>
        <v>46249125.369999997</v>
      </c>
      <c r="Q84" s="76">
        <f>资产资本表!Q52</f>
        <v>47197355.270000003</v>
      </c>
      <c r="R84" s="76">
        <f>资产资本表!R52</f>
        <v>38456071.32</v>
      </c>
      <c r="S84" s="76">
        <f>资产资本表!S52</f>
        <v>39867347.079999998</v>
      </c>
      <c r="T84" s="76">
        <f>资产资本表!T52</f>
        <v>38151534.119999997</v>
      </c>
      <c r="U84" s="76">
        <f>资产资本表!U52</f>
        <v>0</v>
      </c>
      <c r="V84" s="76">
        <f>资产资本表!V52</f>
        <v>0</v>
      </c>
      <c r="W84" s="76">
        <f>资产资本表!W52</f>
        <v>0</v>
      </c>
      <c r="X84" s="76">
        <f>资产资本表!X52</f>
        <v>0</v>
      </c>
      <c r="Y84" s="76">
        <f>资产资本表!Y52</f>
        <v>0</v>
      </c>
      <c r="Z84" s="76">
        <f>资产资本表!Z52</f>
        <v>0</v>
      </c>
      <c r="AA84" s="76">
        <f>资产资本表!AA52</f>
        <v>0</v>
      </c>
      <c r="AB84" s="76">
        <f>资产资本表!AB52</f>
        <v>0</v>
      </c>
      <c r="AC84" s="76">
        <f>资产资本表!AC52</f>
        <v>0</v>
      </c>
      <c r="AD84" s="76">
        <f>资产资本表!AD52</f>
        <v>0</v>
      </c>
      <c r="AE84" s="76">
        <f>资产资本表!AE52</f>
        <v>0</v>
      </c>
      <c r="AF84" s="76">
        <f>资产资本表!AF52</f>
        <v>0</v>
      </c>
      <c r="AG84" s="76">
        <f>资产资本表!AG52</f>
        <v>0</v>
      </c>
      <c r="AH84" s="76">
        <f>资产资本表!AH52</f>
        <v>0</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c r="A85" s="155" t="s">
        <v>591</v>
      </c>
      <c r="E85" s="44">
        <f>E81/E84</f>
        <v>6.3144172765006887</v>
      </c>
      <c r="F85" s="44">
        <f t="shared" ref="F85:BQ85" si="48">F81/F84</f>
        <v>6.5976415402337691</v>
      </c>
      <c r="G85" s="44">
        <f t="shared" si="48"/>
        <v>4.0514078905899167</v>
      </c>
      <c r="H85" s="44">
        <f t="shared" si="48"/>
        <v>1.7506884622258012</v>
      </c>
      <c r="I85" s="44">
        <f t="shared" si="48"/>
        <v>6.8537713593311569</v>
      </c>
      <c r="J85" s="44">
        <f t="shared" si="48"/>
        <v>5.3954162131045909</v>
      </c>
      <c r="K85" s="44">
        <f t="shared" si="48"/>
        <v>3.5983612332506874</v>
      </c>
      <c r="L85" s="44">
        <f t="shared" si="48"/>
        <v>1.7649877265740967</v>
      </c>
      <c r="M85" s="44">
        <f t="shared" si="48"/>
        <v>6.9664939134438582</v>
      </c>
      <c r="N85" s="44">
        <f t="shared" si="48"/>
        <v>5.6215853110291469</v>
      </c>
      <c r="O85" s="44">
        <f t="shared" si="48"/>
        <v>3.5998764681026412</v>
      </c>
      <c r="P85" s="44">
        <f t="shared" si="48"/>
        <v>1.8038658751396839</v>
      </c>
      <c r="Q85" s="44">
        <f t="shared" si="48"/>
        <v>7.5636410205151732</v>
      </c>
      <c r="R85" s="44">
        <f t="shared" si="48"/>
        <v>6.9129728213225086</v>
      </c>
      <c r="S85" s="44">
        <f t="shared" si="48"/>
        <v>4.2206414736437994</v>
      </c>
      <c r="T85" s="44">
        <f t="shared" si="48"/>
        <v>2.1725510633279876</v>
      </c>
      <c r="U85" s="44" t="e">
        <f t="shared" si="48"/>
        <v>#DIV/0!</v>
      </c>
      <c r="V85" s="44" t="e">
        <f t="shared" si="48"/>
        <v>#DIV/0!</v>
      </c>
      <c r="W85" s="44" t="e">
        <f t="shared" si="48"/>
        <v>#DIV/0!</v>
      </c>
      <c r="X85" s="44" t="e">
        <f t="shared" si="48"/>
        <v>#DIV/0!</v>
      </c>
      <c r="Y85" s="44" t="e">
        <f t="shared" si="48"/>
        <v>#DIV/0!</v>
      </c>
      <c r="Z85" s="44" t="e">
        <f t="shared" si="48"/>
        <v>#DIV/0!</v>
      </c>
      <c r="AA85" s="44" t="e">
        <f t="shared" si="48"/>
        <v>#DIV/0!</v>
      </c>
      <c r="AB85" s="44" t="e">
        <f t="shared" si="48"/>
        <v>#DIV/0!</v>
      </c>
      <c r="AC85" s="44" t="e">
        <f t="shared" si="48"/>
        <v>#DIV/0!</v>
      </c>
      <c r="AD85" s="44" t="e">
        <f t="shared" si="48"/>
        <v>#DIV/0!</v>
      </c>
      <c r="AE85" s="44" t="e">
        <f t="shared" si="48"/>
        <v>#DIV/0!</v>
      </c>
      <c r="AF85" s="44" t="e">
        <f t="shared" si="48"/>
        <v>#DIV/0!</v>
      </c>
      <c r="AG85" s="44" t="e">
        <f t="shared" si="48"/>
        <v>#DIV/0!</v>
      </c>
      <c r="AH85" s="44" t="e">
        <f t="shared" si="48"/>
        <v>#DIV/0!</v>
      </c>
      <c r="AI85" s="44" t="e">
        <f t="shared" si="48"/>
        <v>#DIV/0!</v>
      </c>
      <c r="AJ85" s="44" t="e">
        <f t="shared" si="48"/>
        <v>#DIV/0!</v>
      </c>
      <c r="AK85" s="44" t="e">
        <f t="shared" si="48"/>
        <v>#DIV/0!</v>
      </c>
      <c r="AL85" s="44" t="e">
        <f t="shared" si="48"/>
        <v>#DIV/0!</v>
      </c>
      <c r="AM85" s="44" t="e">
        <f t="shared" si="48"/>
        <v>#DIV/0!</v>
      </c>
      <c r="AN85" s="44" t="e">
        <f t="shared" si="48"/>
        <v>#DIV/0!</v>
      </c>
      <c r="AO85" s="44" t="e">
        <f t="shared" si="48"/>
        <v>#DIV/0!</v>
      </c>
      <c r="AP85" s="44" t="e">
        <f t="shared" si="48"/>
        <v>#DIV/0!</v>
      </c>
      <c r="AQ85" s="44" t="e">
        <f t="shared" si="48"/>
        <v>#DIV/0!</v>
      </c>
      <c r="AR85" s="44" t="e">
        <f t="shared" si="48"/>
        <v>#DIV/0!</v>
      </c>
      <c r="AS85" s="44" t="e">
        <f t="shared" si="48"/>
        <v>#DIV/0!</v>
      </c>
      <c r="AT85" s="44" t="e">
        <f t="shared" si="48"/>
        <v>#DIV/0!</v>
      </c>
      <c r="AU85" s="44" t="e">
        <f t="shared" si="48"/>
        <v>#DIV/0!</v>
      </c>
      <c r="AV85" s="44" t="e">
        <f t="shared" si="48"/>
        <v>#DIV/0!</v>
      </c>
      <c r="AW85" s="44" t="e">
        <f t="shared" si="48"/>
        <v>#DIV/0!</v>
      </c>
      <c r="AX85" s="44" t="e">
        <f t="shared" si="48"/>
        <v>#DIV/0!</v>
      </c>
      <c r="AY85" s="44" t="e">
        <f t="shared" si="48"/>
        <v>#DIV/0!</v>
      </c>
      <c r="AZ85" s="44" t="e">
        <f t="shared" si="48"/>
        <v>#DIV/0!</v>
      </c>
      <c r="BA85" s="44" t="e">
        <f t="shared" si="48"/>
        <v>#DIV/0!</v>
      </c>
      <c r="BB85" s="44" t="e">
        <f t="shared" si="48"/>
        <v>#DIV/0!</v>
      </c>
      <c r="BC85" s="44" t="e">
        <f t="shared" si="48"/>
        <v>#DIV/0!</v>
      </c>
      <c r="BD85" s="44" t="e">
        <f t="shared" si="48"/>
        <v>#DIV/0!</v>
      </c>
      <c r="BE85" s="44" t="e">
        <f t="shared" si="48"/>
        <v>#DIV/0!</v>
      </c>
      <c r="BF85" s="44" t="e">
        <f t="shared" si="48"/>
        <v>#DIV/0!</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c r="A86" s="70" t="s">
        <v>592</v>
      </c>
      <c r="E86" s="76">
        <f>资产资本表!E53</f>
        <v>33759206.789999999</v>
      </c>
      <c r="F86" s="76">
        <f>资产资本表!F53</f>
        <v>51524917.649999999</v>
      </c>
      <c r="G86" s="76">
        <f>资产资本表!G53</f>
        <v>41433154.460000001</v>
      </c>
      <c r="H86" s="76">
        <f>资产资本表!H53</f>
        <v>31466238.920000002</v>
      </c>
      <c r="I86" s="76">
        <f>资产资本表!I53</f>
        <v>30407601.129999999</v>
      </c>
      <c r="J86" s="76">
        <f>资产资本表!J53</f>
        <v>29460934.789999999</v>
      </c>
      <c r="K86" s="76">
        <f>资产资本表!K53</f>
        <v>29253913.109999999</v>
      </c>
      <c r="L86" s="76">
        <f>资产资本表!L53</f>
        <v>29224856.43</v>
      </c>
      <c r="M86" s="76">
        <f>资产资本表!M53</f>
        <v>28474617.109999999</v>
      </c>
      <c r="N86" s="76">
        <f>资产资本表!N53</f>
        <v>27038874.239999998</v>
      </c>
      <c r="O86" s="76">
        <f>资产资本表!O53</f>
        <v>25197245.739999998</v>
      </c>
      <c r="P86" s="76">
        <f>资产资本表!P53</f>
        <v>24805524.559999999</v>
      </c>
      <c r="Q86" s="76">
        <f>资产资本表!Q53</f>
        <v>25706776.059999999</v>
      </c>
      <c r="R86" s="76">
        <f>资产资本表!R53</f>
        <v>22306687.870000001</v>
      </c>
      <c r="S86" s="76">
        <f>资产资本表!S53</f>
        <v>224282.06</v>
      </c>
      <c r="T86" s="76">
        <f>资产资本表!T53</f>
        <v>0</v>
      </c>
      <c r="U86" s="76">
        <f>资产资本表!U53</f>
        <v>0</v>
      </c>
      <c r="V86" s="76">
        <f>资产资本表!V53</f>
        <v>0</v>
      </c>
      <c r="W86" s="76">
        <f>资产资本表!W53</f>
        <v>0</v>
      </c>
      <c r="X86" s="76">
        <f>资产资本表!X53</f>
        <v>0</v>
      </c>
      <c r="Y86" s="76">
        <f>资产资本表!Y53</f>
        <v>0</v>
      </c>
      <c r="Z86" s="76">
        <f>资产资本表!Z53</f>
        <v>0</v>
      </c>
      <c r="AA86" s="76">
        <f>资产资本表!AA53</f>
        <v>0</v>
      </c>
      <c r="AB86" s="76">
        <f>资产资本表!AB53</f>
        <v>0</v>
      </c>
      <c r="AC86" s="76">
        <f>资产资本表!AC53</f>
        <v>0</v>
      </c>
      <c r="AD86" s="76">
        <f>资产资本表!AD53</f>
        <v>0</v>
      </c>
      <c r="AE86" s="76">
        <f>资产资本表!AE53</f>
        <v>0</v>
      </c>
      <c r="AF86" s="76">
        <f>资产资本表!AF53</f>
        <v>0</v>
      </c>
      <c r="AG86" s="76">
        <f>资产资本表!AG53</f>
        <v>0</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c r="A87" s="155" t="s">
        <v>593</v>
      </c>
      <c r="E87" s="44">
        <f>E81/E86</f>
        <v>14.688657321382522</v>
      </c>
      <c r="F87" s="44">
        <f t="shared" ref="F87:BQ87" si="50">F81/F86</f>
        <v>6.8612453852218822</v>
      </c>
      <c r="G87" s="44">
        <f t="shared" si="50"/>
        <v>5.2280782786915996</v>
      </c>
      <c r="H87" s="44">
        <f t="shared" si="50"/>
        <v>3.0807142689171445</v>
      </c>
      <c r="I87" s="44">
        <f t="shared" si="50"/>
        <v>10.986083754907503</v>
      </c>
      <c r="J87" s="44">
        <f t="shared" si="50"/>
        <v>8.4828304940557526</v>
      </c>
      <c r="K87" s="44">
        <f t="shared" si="50"/>
        <v>5.6412823217686796</v>
      </c>
      <c r="L87" s="44">
        <f t="shared" si="50"/>
        <v>2.7533042806465553</v>
      </c>
      <c r="M87" s="44">
        <f t="shared" si="50"/>
        <v>11.363488036380483</v>
      </c>
      <c r="N87" s="44">
        <f t="shared" si="50"/>
        <v>9.1989487222083408</v>
      </c>
      <c r="O87" s="44">
        <f t="shared" si="50"/>
        <v>6.4267527348407727</v>
      </c>
      <c r="P87" s="44">
        <f t="shared" si="50"/>
        <v>3.3632515534273391</v>
      </c>
      <c r="Q87" s="44">
        <f t="shared" si="50"/>
        <v>13.886760889299941</v>
      </c>
      <c r="R87" s="44">
        <f t="shared" si="50"/>
        <v>11.917761049928565</v>
      </c>
      <c r="S87" s="44">
        <f t="shared" si="50"/>
        <v>750.24180948757112</v>
      </c>
      <c r="T87" s="44" t="e">
        <f t="shared" si="50"/>
        <v>#DIV/0!</v>
      </c>
      <c r="U87" s="44" t="e">
        <f t="shared" si="50"/>
        <v>#DIV/0!</v>
      </c>
      <c r="V87" s="44" t="e">
        <f t="shared" si="50"/>
        <v>#DIV/0!</v>
      </c>
      <c r="W87" s="44" t="e">
        <f t="shared" si="50"/>
        <v>#DIV/0!</v>
      </c>
      <c r="X87" s="44" t="e">
        <f t="shared" si="50"/>
        <v>#DIV/0!</v>
      </c>
      <c r="Y87" s="44" t="e">
        <f t="shared" si="50"/>
        <v>#DIV/0!</v>
      </c>
      <c r="Z87" s="44" t="e">
        <f t="shared" si="50"/>
        <v>#DIV/0!</v>
      </c>
      <c r="AA87" s="44" t="e">
        <f t="shared" si="50"/>
        <v>#DIV/0!</v>
      </c>
      <c r="AB87" s="44" t="e">
        <f t="shared" si="50"/>
        <v>#DIV/0!</v>
      </c>
      <c r="AC87" s="44" t="e">
        <f t="shared" si="50"/>
        <v>#DIV/0!</v>
      </c>
      <c r="AD87" s="44" t="e">
        <f t="shared" si="50"/>
        <v>#DIV/0!</v>
      </c>
      <c r="AE87" s="44" t="e">
        <f t="shared" si="50"/>
        <v>#DIV/0!</v>
      </c>
      <c r="AF87" s="44" t="e">
        <f t="shared" si="50"/>
        <v>#DIV/0!</v>
      </c>
      <c r="AG87" s="44" t="e">
        <f t="shared" si="50"/>
        <v>#DIV/0!</v>
      </c>
      <c r="AH87" s="44" t="e">
        <f t="shared" si="50"/>
        <v>#DIV/0!</v>
      </c>
      <c r="AI87" s="44" t="e">
        <f t="shared" si="50"/>
        <v>#DIV/0!</v>
      </c>
      <c r="AJ87" s="44" t="e">
        <f t="shared" si="50"/>
        <v>#DIV/0!</v>
      </c>
      <c r="AK87" s="44" t="e">
        <f t="shared" si="50"/>
        <v>#DIV/0!</v>
      </c>
      <c r="AL87" s="44" t="e">
        <f t="shared" si="50"/>
        <v>#DIV/0!</v>
      </c>
      <c r="AM87" s="44" t="e">
        <f t="shared" si="50"/>
        <v>#DIV/0!</v>
      </c>
      <c r="AN87" s="44" t="e">
        <f t="shared" si="50"/>
        <v>#DIV/0!</v>
      </c>
      <c r="AO87" s="44" t="e">
        <f t="shared" si="50"/>
        <v>#DIV/0!</v>
      </c>
      <c r="AP87" s="44" t="e">
        <f t="shared" si="50"/>
        <v>#DIV/0!</v>
      </c>
      <c r="AQ87" s="44" t="e">
        <f t="shared" si="50"/>
        <v>#DIV/0!</v>
      </c>
      <c r="AR87" s="44" t="e">
        <f t="shared" si="50"/>
        <v>#DIV/0!</v>
      </c>
      <c r="AS87" s="44" t="e">
        <f t="shared" si="50"/>
        <v>#DIV/0!</v>
      </c>
      <c r="AT87" s="44" t="e">
        <f t="shared" si="50"/>
        <v>#DIV/0!</v>
      </c>
      <c r="AU87" s="44" t="e">
        <f t="shared" si="50"/>
        <v>#DIV/0!</v>
      </c>
      <c r="AV87" s="44" t="e">
        <f t="shared" si="50"/>
        <v>#DIV/0!</v>
      </c>
      <c r="AW87" s="44" t="e">
        <f t="shared" si="50"/>
        <v>#DIV/0!</v>
      </c>
      <c r="AX87" s="44" t="e">
        <f t="shared" si="50"/>
        <v>#DIV/0!</v>
      </c>
      <c r="AY87" s="44" t="e">
        <f t="shared" si="50"/>
        <v>#DIV/0!</v>
      </c>
      <c r="AZ87" s="44" t="e">
        <f t="shared" si="50"/>
        <v>#DIV/0!</v>
      </c>
      <c r="BA87" s="44" t="e">
        <f t="shared" si="50"/>
        <v>#DIV/0!</v>
      </c>
      <c r="BB87" s="44" t="e">
        <f t="shared" si="50"/>
        <v>#DIV/0!</v>
      </c>
      <c r="BC87" s="44" t="e">
        <f t="shared" si="50"/>
        <v>#DIV/0!</v>
      </c>
      <c r="BD87" s="44" t="e">
        <f t="shared" si="50"/>
        <v>#DIV/0!</v>
      </c>
      <c r="BE87" s="44" t="e">
        <f t="shared" si="50"/>
        <v>#DIV/0!</v>
      </c>
      <c r="BF87" s="44" t="e">
        <f t="shared" si="50"/>
        <v>#DIV/0!</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c r="A88" s="70" t="s">
        <v>594</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595</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596</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597</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598</v>
      </c>
      <c r="E92" s="76">
        <f>资产资本表!E58</f>
        <v>95243432.670000002</v>
      </c>
      <c r="F92" s="76">
        <f>资产资本表!F58</f>
        <v>57481271.969999999</v>
      </c>
      <c r="G92" s="76">
        <f>资产资本表!G58</f>
        <v>58072062.700000003</v>
      </c>
      <c r="H92" s="76">
        <f>资产资本表!H58</f>
        <v>58380584.729999997</v>
      </c>
      <c r="I92" s="76">
        <f>资产资本表!I58</f>
        <v>53948526.890000001</v>
      </c>
      <c r="J92" s="76">
        <f>资产资本表!J58</f>
        <v>54554465.619999997</v>
      </c>
      <c r="K92" s="76">
        <f>资产资本表!K58</f>
        <v>54981860.560000002</v>
      </c>
      <c r="L92" s="76">
        <f>资产资本表!L58</f>
        <v>54818591.469999999</v>
      </c>
      <c r="M92" s="76">
        <f>资产资本表!M58</f>
        <v>55471061.369999997</v>
      </c>
      <c r="N92" s="76">
        <f>资产资本表!N58</f>
        <v>55763338.780000001</v>
      </c>
      <c r="O92" s="76">
        <f>资产资本表!O58</f>
        <v>55478452.520000003</v>
      </c>
      <c r="P92" s="76">
        <f>资产资本表!P58</f>
        <v>55818073.719999999</v>
      </c>
      <c r="Q92" s="76">
        <f>资产资本表!Q58</f>
        <v>56401444.32</v>
      </c>
      <c r="R92" s="76">
        <f>资产资本表!R58</f>
        <v>58186886.659999996</v>
      </c>
      <c r="S92" s="76">
        <f>资产资本表!S58</f>
        <v>59901831.460000001</v>
      </c>
      <c r="T92" s="76">
        <f>资产资本表!T58</f>
        <v>24072011.399999999</v>
      </c>
      <c r="U92" s="76">
        <f>资产资本表!U58</f>
        <v>0</v>
      </c>
      <c r="V92" s="76">
        <f>资产资本表!V58</f>
        <v>0</v>
      </c>
      <c r="W92" s="76">
        <f>资产资本表!W58</f>
        <v>0</v>
      </c>
      <c r="X92" s="76">
        <f>资产资本表!X58</f>
        <v>0</v>
      </c>
      <c r="Y92" s="76">
        <f>资产资本表!Y58</f>
        <v>0</v>
      </c>
      <c r="Z92" s="76">
        <f>资产资本表!Z58</f>
        <v>0</v>
      </c>
      <c r="AA92" s="76">
        <f>资产资本表!AA58</f>
        <v>0</v>
      </c>
      <c r="AB92" s="76">
        <f>资产资本表!AB58</f>
        <v>0</v>
      </c>
      <c r="AC92" s="76">
        <f>资产资本表!AC58</f>
        <v>0</v>
      </c>
      <c r="AD92" s="76">
        <f>资产资本表!AD58</f>
        <v>0</v>
      </c>
      <c r="AE92" s="76">
        <f>资产资本表!AE58</f>
        <v>0</v>
      </c>
      <c r="AF92" s="76">
        <f>资产资本表!AF58</f>
        <v>0</v>
      </c>
      <c r="AG92" s="76">
        <f>资产资本表!AG58</f>
        <v>0</v>
      </c>
      <c r="AH92" s="76">
        <f>资产资本表!AH58</f>
        <v>0</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c r="A93" s="155" t="s">
        <v>599</v>
      </c>
      <c r="E93" s="44">
        <f>E81/E92</f>
        <v>5.2064211261486024</v>
      </c>
      <c r="F93" s="44">
        <f t="shared" ref="F93:BQ93" si="52">F81/F92</f>
        <v>6.1502658402289354</v>
      </c>
      <c r="G93" s="44">
        <f t="shared" si="52"/>
        <v>3.730120212347821</v>
      </c>
      <c r="H93" s="44">
        <f t="shared" si="52"/>
        <v>1.6604576963098878</v>
      </c>
      <c r="I93" s="44">
        <f t="shared" si="52"/>
        <v>6.1922071288645713</v>
      </c>
      <c r="J93" s="44">
        <f t="shared" si="52"/>
        <v>4.5809653376639572</v>
      </c>
      <c r="K93" s="44">
        <f t="shared" si="52"/>
        <v>3.0015277982437194</v>
      </c>
      <c r="L93" s="44">
        <f t="shared" si="52"/>
        <v>1.4678400183637554</v>
      </c>
      <c r="M93" s="44">
        <f t="shared" si="52"/>
        <v>5.8331490849207812</v>
      </c>
      <c r="N93" s="44">
        <f t="shared" si="52"/>
        <v>4.4604434218205178</v>
      </c>
      <c r="O93" s="44">
        <f t="shared" si="52"/>
        <v>2.918907442698079</v>
      </c>
      <c r="P93" s="44">
        <f t="shared" si="52"/>
        <v>1.494627339318366</v>
      </c>
      <c r="Q93" s="44">
        <f t="shared" si="52"/>
        <v>6.3293388437822902</v>
      </c>
      <c r="R93" s="44">
        <f t="shared" si="52"/>
        <v>4.5688262615492894</v>
      </c>
      <c r="S93" s="44">
        <f t="shared" si="52"/>
        <v>2.8090256078791351</v>
      </c>
      <c r="T93" s="44">
        <f t="shared" si="52"/>
        <v>3.443258423348869</v>
      </c>
      <c r="U93" s="44" t="e">
        <f t="shared" si="52"/>
        <v>#DIV/0!</v>
      </c>
      <c r="V93" s="44" t="e">
        <f t="shared" si="52"/>
        <v>#DIV/0!</v>
      </c>
      <c r="W93" s="44" t="e">
        <f t="shared" si="52"/>
        <v>#DIV/0!</v>
      </c>
      <c r="X93" s="44" t="e">
        <f t="shared" si="52"/>
        <v>#DIV/0!</v>
      </c>
      <c r="Y93" s="44" t="e">
        <f t="shared" si="52"/>
        <v>#DIV/0!</v>
      </c>
      <c r="Z93" s="44" t="e">
        <f t="shared" si="52"/>
        <v>#DIV/0!</v>
      </c>
      <c r="AA93" s="44" t="e">
        <f t="shared" si="52"/>
        <v>#DIV/0!</v>
      </c>
      <c r="AB93" s="44" t="e">
        <f t="shared" si="52"/>
        <v>#DIV/0!</v>
      </c>
      <c r="AC93" s="44" t="e">
        <f t="shared" si="52"/>
        <v>#DIV/0!</v>
      </c>
      <c r="AD93" s="44" t="e">
        <f t="shared" si="52"/>
        <v>#DIV/0!</v>
      </c>
      <c r="AE93" s="44" t="e">
        <f t="shared" si="52"/>
        <v>#DIV/0!</v>
      </c>
      <c r="AF93" s="44" t="e">
        <f t="shared" si="52"/>
        <v>#DIV/0!</v>
      </c>
      <c r="AG93" s="44" t="e">
        <f t="shared" si="52"/>
        <v>#DIV/0!</v>
      </c>
      <c r="AH93" s="44" t="e">
        <f t="shared" si="52"/>
        <v>#DIV/0!</v>
      </c>
      <c r="AI93" s="44" t="e">
        <f t="shared" si="52"/>
        <v>#DIV/0!</v>
      </c>
      <c r="AJ93" s="44" t="e">
        <f t="shared" si="52"/>
        <v>#DIV/0!</v>
      </c>
      <c r="AK93" s="44" t="e">
        <f t="shared" si="52"/>
        <v>#DIV/0!</v>
      </c>
      <c r="AL93" s="44" t="e">
        <f t="shared" si="52"/>
        <v>#DIV/0!</v>
      </c>
      <c r="AM93" s="44" t="e">
        <f t="shared" si="52"/>
        <v>#DIV/0!</v>
      </c>
      <c r="AN93" s="44" t="e">
        <f t="shared" si="52"/>
        <v>#DIV/0!</v>
      </c>
      <c r="AO93" s="44" t="e">
        <f t="shared" si="52"/>
        <v>#DIV/0!</v>
      </c>
      <c r="AP93" s="44" t="e">
        <f t="shared" si="52"/>
        <v>#DIV/0!</v>
      </c>
      <c r="AQ93" s="44" t="e">
        <f t="shared" si="52"/>
        <v>#DIV/0!</v>
      </c>
      <c r="AR93" s="44" t="e">
        <f t="shared" si="52"/>
        <v>#DIV/0!</v>
      </c>
      <c r="AS93" s="44" t="e">
        <f t="shared" si="52"/>
        <v>#DIV/0!</v>
      </c>
      <c r="AT93" s="44" t="e">
        <f t="shared" si="52"/>
        <v>#DIV/0!</v>
      </c>
      <c r="AU93" s="44" t="e">
        <f t="shared" si="52"/>
        <v>#DIV/0!</v>
      </c>
      <c r="AV93" s="44" t="e">
        <f t="shared" si="52"/>
        <v>#DIV/0!</v>
      </c>
      <c r="AW93" s="44" t="e">
        <f t="shared" si="52"/>
        <v>#DIV/0!</v>
      </c>
      <c r="AX93" s="44" t="e">
        <f t="shared" si="52"/>
        <v>#DIV/0!</v>
      </c>
      <c r="AY93" s="44" t="e">
        <f t="shared" si="52"/>
        <v>#DIV/0!</v>
      </c>
      <c r="AZ93" s="44" t="e">
        <f t="shared" si="52"/>
        <v>#DIV/0!</v>
      </c>
      <c r="BA93" s="44" t="e">
        <f t="shared" si="52"/>
        <v>#DIV/0!</v>
      </c>
      <c r="BB93" s="44" t="e">
        <f t="shared" si="52"/>
        <v>#DIV/0!</v>
      </c>
      <c r="BC93" s="44" t="e">
        <f t="shared" si="52"/>
        <v>#DIV/0!</v>
      </c>
      <c r="BD93" s="44" t="e">
        <f t="shared" si="52"/>
        <v>#DIV/0!</v>
      </c>
      <c r="BE93" s="44" t="e">
        <f t="shared" si="52"/>
        <v>#DIV/0!</v>
      </c>
      <c r="BF93" s="44" t="e">
        <f t="shared" si="52"/>
        <v>#DIV/0!</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c r="A94" s="70" t="s">
        <v>600</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601</v>
      </c>
      <c r="E95" s="76">
        <f>资产资本表!E60</f>
        <v>51057902.170000002</v>
      </c>
      <c r="F95" s="76">
        <f>资产资本表!F60</f>
        <v>86712210.659999996</v>
      </c>
      <c r="G95" s="76">
        <f>资产资本表!G60</f>
        <v>86125931.659999996</v>
      </c>
      <c r="H95" s="76">
        <f>资产资本表!H60</f>
        <v>86285972.540000007</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602</v>
      </c>
      <c r="E96" s="76">
        <f>资产资本表!E61</f>
        <v>0</v>
      </c>
      <c r="F96" s="76">
        <f>资产资本表!F61</f>
        <v>28388.89</v>
      </c>
      <c r="G96" s="76">
        <f>资产资本表!G61</f>
        <v>0</v>
      </c>
      <c r="H96" s="76">
        <f>资产资本表!H61</f>
        <v>22198.37</v>
      </c>
      <c r="I96" s="76">
        <f>资产资本表!I61</f>
        <v>0</v>
      </c>
      <c r="J96" s="76">
        <f>资产资本表!J61</f>
        <v>0</v>
      </c>
      <c r="K96" s="76">
        <f>资产资本表!K61</f>
        <v>0</v>
      </c>
      <c r="L96" s="76">
        <f>资产资本表!L61</f>
        <v>0</v>
      </c>
      <c r="M96" s="76">
        <f>资产资本表!M61</f>
        <v>0</v>
      </c>
      <c r="N96" s="76">
        <f>资产资本表!N61</f>
        <v>0</v>
      </c>
      <c r="O96" s="76">
        <f>资产资本表!O61</f>
        <v>0</v>
      </c>
      <c r="P96" s="76">
        <f>资产资本表!P61</f>
        <v>0</v>
      </c>
      <c r="Q96" s="76">
        <f>资产资本表!Q61</f>
        <v>0</v>
      </c>
      <c r="R96" s="76">
        <f>资产资本表!R61</f>
        <v>0</v>
      </c>
      <c r="S96" s="76">
        <f>资产资本表!S61</f>
        <v>0</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603</v>
      </c>
      <c r="E97" s="76">
        <f>资产资本表!E62</f>
        <v>6720934</v>
      </c>
      <c r="F97" s="76">
        <f>资产资本表!F62</f>
        <v>6923377.8700000001</v>
      </c>
      <c r="G97" s="76">
        <f>资产资本表!G62</f>
        <v>6931760.2400000002</v>
      </c>
      <c r="H97" s="76">
        <f>资产资本表!H62</f>
        <v>6910502.75</v>
      </c>
      <c r="I97" s="76">
        <f>资产资本表!I62</f>
        <v>5348043.92</v>
      </c>
      <c r="J97" s="76">
        <f>资产资本表!J62</f>
        <v>6080799.04</v>
      </c>
      <c r="K97" s="76">
        <f>资产资本表!K62</f>
        <v>5654806.6399999997</v>
      </c>
      <c r="L97" s="76">
        <f>资产资本表!L62</f>
        <v>5473088.9500000002</v>
      </c>
      <c r="M97" s="76">
        <f>资产资本表!M62</f>
        <v>5150299.49</v>
      </c>
      <c r="N97" s="76">
        <f>资产资本表!N62</f>
        <v>5259937.09</v>
      </c>
      <c r="O97" s="76">
        <f>资产资本表!O62</f>
        <v>4963348.3499999996</v>
      </c>
      <c r="P97" s="76">
        <f>资产资本表!P62</f>
        <v>5079179.2699999996</v>
      </c>
      <c r="Q97" s="76">
        <f>资产资本表!Q62</f>
        <v>4729646.32</v>
      </c>
      <c r="R97" s="76">
        <f>资产资本表!R62</f>
        <v>4144125.1</v>
      </c>
      <c r="S97" s="76">
        <f>资产资本表!S62</f>
        <v>2221007.2400000002</v>
      </c>
      <c r="T97" s="76">
        <f>资产资本表!T62</f>
        <v>1268370.74</v>
      </c>
      <c r="U97" s="76">
        <f>资产资本表!U62</f>
        <v>0</v>
      </c>
      <c r="V97" s="76">
        <f>资产资本表!V62</f>
        <v>0</v>
      </c>
      <c r="W97" s="76">
        <f>资产资本表!W62</f>
        <v>0</v>
      </c>
      <c r="X97" s="76">
        <f>资产资本表!X62</f>
        <v>0</v>
      </c>
      <c r="Y97" s="76">
        <f>资产资本表!Y62</f>
        <v>0</v>
      </c>
      <c r="Z97" s="76">
        <f>资产资本表!Z62</f>
        <v>0</v>
      </c>
      <c r="AA97" s="76">
        <f>资产资本表!AA62</f>
        <v>0</v>
      </c>
      <c r="AB97" s="76">
        <f>资产资本表!AB62</f>
        <v>0</v>
      </c>
      <c r="AC97" s="76">
        <f>资产资本表!AC62</f>
        <v>0</v>
      </c>
      <c r="AD97" s="76">
        <f>资产资本表!AD62</f>
        <v>0</v>
      </c>
      <c r="AE97" s="76">
        <f>资产资本表!AE62</f>
        <v>0</v>
      </c>
      <c r="AF97" s="76">
        <f>资产资本表!AF62</f>
        <v>0</v>
      </c>
      <c r="AG97" s="76">
        <f>资产资本表!AG62</f>
        <v>0</v>
      </c>
      <c r="AH97" s="76">
        <f>资产资本表!AH62</f>
        <v>0</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604</v>
      </c>
      <c r="E98" s="76">
        <f>资产资本表!E63</f>
        <v>5988468.3099999996</v>
      </c>
      <c r="F98" s="76">
        <f>资产资本表!F63</f>
        <v>250922.71</v>
      </c>
      <c r="G98" s="76">
        <f>资产资本表!G63</f>
        <v>301391.93</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605</v>
      </c>
      <c r="E99" s="93">
        <f>资产资本表!E64</f>
        <v>0</v>
      </c>
      <c r="F99" s="93">
        <f>资产资本表!F64</f>
        <v>0</v>
      </c>
      <c r="G99" s="93">
        <f>资产资本表!G64</f>
        <v>0</v>
      </c>
      <c r="H99" s="93">
        <f>资产资本表!H64</f>
        <v>0</v>
      </c>
      <c r="I99" s="93">
        <f>资产资本表!I64</f>
        <v>125400000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ht="204.75" customHeight="1">
      <c r="A100" s="239" t="s">
        <v>654</v>
      </c>
      <c r="B100" s="240"/>
      <c r="C100" s="240"/>
      <c r="D100" s="240"/>
      <c r="E100" s="240"/>
      <c r="F100" s="240"/>
      <c r="G100" s="240"/>
      <c r="H100" s="240"/>
      <c r="I100" s="240"/>
      <c r="J100" s="240"/>
      <c r="K100" s="240"/>
      <c r="L100" s="240"/>
      <c r="M100" s="240"/>
      <c r="N100" s="240"/>
      <c r="O100" s="240"/>
      <c r="P100" s="240"/>
      <c r="Q100" s="240"/>
      <c r="R100" s="240"/>
      <c r="S100" s="240"/>
      <c r="T100" s="240"/>
      <c r="U100" s="240"/>
      <c r="V100" s="240"/>
      <c r="W100" s="240"/>
      <c r="X100" s="240"/>
      <c r="Y100" s="240"/>
      <c r="Z100" s="240"/>
      <c r="AA100" s="240"/>
      <c r="AB100" s="240"/>
      <c r="AC100" s="240"/>
      <c r="AD100" s="240"/>
      <c r="AE100" s="240"/>
      <c r="AF100" s="240"/>
      <c r="AG100" s="240"/>
      <c r="AH100" s="240"/>
      <c r="AI100" s="240"/>
      <c r="AJ100" s="240"/>
      <c r="AK100" s="240"/>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28" workbookViewId="0">
      <selection activeCell="V39" sqref="V39"/>
    </sheetView>
  </sheetViews>
  <sheetFormatPr defaultRowHeight="13.5"/>
  <cols>
    <col min="1" max="1" width="60.75" style="17" bestFit="1" customWidth="1"/>
    <col min="2" max="4" width="9.5" hidden="1" customWidth="1"/>
    <col min="5" max="5" width="18.25" bestFit="1" customWidth="1"/>
    <col min="6" max="7" width="18.25" hidden="1" customWidth="1"/>
    <col min="8" max="8" width="17" hidden="1" customWidth="1"/>
    <col min="9" max="9" width="18.25" bestFit="1" customWidth="1"/>
    <col min="10" max="12" width="18.25" hidden="1" customWidth="1"/>
    <col min="13" max="13" width="18.25" bestFit="1" customWidth="1"/>
    <col min="14" max="14" width="17.25" hidden="1" customWidth="1"/>
    <col min="15" max="15" width="18.25" hidden="1" customWidth="1"/>
    <col min="16" max="16" width="17" hidden="1" customWidth="1"/>
    <col min="17" max="17" width="18.25" bestFit="1" customWidth="1"/>
    <col min="18" max="18" width="18.25" hidden="1" customWidth="1"/>
    <col min="19" max="19" width="17.25" hidden="1" customWidth="1"/>
    <col min="20" max="20" width="17" hidden="1" customWidth="1"/>
    <col min="21" max="22" width="18.25" bestFit="1" customWidth="1"/>
    <col min="23" max="23" width="17.25" bestFit="1" customWidth="1"/>
    <col min="24" max="24" width="9.625" hidden="1" customWidth="1"/>
    <col min="25" max="25" width="17.25" bestFit="1" customWidth="1"/>
    <col min="26" max="28" width="17.25" hidden="1" customWidth="1"/>
    <col min="29" max="29" width="17.25" bestFit="1" customWidth="1"/>
    <col min="30" max="31" width="17.25" hidden="1" customWidth="1"/>
    <col min="32" max="32" width="16.125" hidden="1" customWidth="1"/>
    <col min="33" max="33" width="17.25" bestFit="1" customWidth="1"/>
    <col min="34" max="35" width="17.25" hidden="1" customWidth="1"/>
    <col min="36" max="36" width="16.125" hidden="1" customWidth="1"/>
    <col min="37" max="37" width="17.25" bestFit="1" customWidth="1"/>
    <col min="38" max="38" width="17.25" hidden="1" customWidth="1"/>
    <col min="39" max="40" width="17.25" bestFit="1" customWidth="1"/>
    <col min="41" max="41" width="13.875" hidden="1" customWidth="1"/>
    <col min="42" max="42" width="17.25" hidden="1" customWidth="1"/>
    <col min="43" max="44" width="17.25" bestFit="1" customWidth="1"/>
    <col min="45" max="45" width="9.625" hidden="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v>300470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41274</v>
      </c>
      <c r="W1" s="1">
        <v>40908</v>
      </c>
      <c r="X1" s="1">
        <v>25569</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c r="A2" s="17" t="s">
        <v>491</v>
      </c>
      <c r="E2" s="26">
        <f>现金流量表!E4</f>
        <v>330663802.33999997</v>
      </c>
      <c r="F2" s="26">
        <f>现金流量表!F4</f>
        <v>213672704.11000001</v>
      </c>
      <c r="G2" s="26">
        <f>现金流量表!G4</f>
        <v>127926039.33</v>
      </c>
      <c r="H2" s="26">
        <f>现金流量表!H4</f>
        <v>61003874.939999998</v>
      </c>
      <c r="I2" s="26">
        <f>现金流量表!I4</f>
        <v>249633546.12</v>
      </c>
      <c r="J2" s="26">
        <f>现金流量表!J4</f>
        <v>158399231.25</v>
      </c>
      <c r="K2" s="26">
        <f>现金流量表!K4</f>
        <v>111581631.38</v>
      </c>
      <c r="L2" s="26">
        <f>现金流量表!L4</f>
        <v>42245632.170000002</v>
      </c>
      <c r="M2" s="26">
        <f>现金流量表!M4</f>
        <v>203813689.06999999</v>
      </c>
      <c r="N2" s="26">
        <f>现金流量表!N4</f>
        <v>129627500.56999999</v>
      </c>
      <c r="O2" s="26">
        <f>现金流量表!O4</f>
        <v>90935866</v>
      </c>
      <c r="P2" s="26">
        <f>现金流量表!P4</f>
        <v>46572994.350000001</v>
      </c>
      <c r="Q2" s="26">
        <f>现金流量表!Q4</f>
        <v>238730113.52000001</v>
      </c>
      <c r="R2" s="26">
        <f>现金流量表!R4</f>
        <v>161729627.22999999</v>
      </c>
      <c r="S2" s="26">
        <f>现金流量表!S4</f>
        <v>104873361.88</v>
      </c>
      <c r="T2" s="26">
        <f>现金流量表!T4</f>
        <v>39743913.130000003</v>
      </c>
      <c r="U2" s="26">
        <f>现金流量表!U4</f>
        <v>226389504.93000001</v>
      </c>
      <c r="V2" s="26">
        <f>现金流量表!V4</f>
        <v>205328063.47999999</v>
      </c>
      <c r="W2" s="26">
        <f>现金流量表!W4</f>
        <v>155520434.87</v>
      </c>
      <c r="X2" s="26">
        <f>现金流量表!X4</f>
        <v>0</v>
      </c>
      <c r="Y2" s="26">
        <f>现金流量表!Y4</f>
        <v>0</v>
      </c>
      <c r="Z2" s="26">
        <f>现金流量表!Z4</f>
        <v>0</v>
      </c>
      <c r="AA2" s="26">
        <f>现金流量表!AA4</f>
        <v>0</v>
      </c>
      <c r="AB2" s="26">
        <f>现金流量表!AB4</f>
        <v>0</v>
      </c>
      <c r="AC2" s="26">
        <f>现金流量表!AC4</f>
        <v>0</v>
      </c>
      <c r="AD2" s="26">
        <f>现金流量表!AD4</f>
        <v>0</v>
      </c>
      <c r="AE2" s="26">
        <f>现金流量表!AE4</f>
        <v>0</v>
      </c>
      <c r="AF2" s="26">
        <f>现金流量表!AF4</f>
        <v>0</v>
      </c>
      <c r="AG2" s="26">
        <f>现金流量表!AG4</f>
        <v>0</v>
      </c>
      <c r="AH2" s="26">
        <f>现金流量表!AH4</f>
        <v>0</v>
      </c>
      <c r="AI2" s="26">
        <f>现金流量表!AI4</f>
        <v>0</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492</v>
      </c>
      <c r="E3" s="26">
        <f>利润表!E3</f>
        <v>495877419.98000002</v>
      </c>
      <c r="F3" s="26">
        <f>利润表!F3</f>
        <v>353525103.44999999</v>
      </c>
      <c r="G3" s="26">
        <f>利润表!G3</f>
        <v>216615774.84999999</v>
      </c>
      <c r="H3" s="26">
        <f>利润表!H3</f>
        <v>96938491.230000004</v>
      </c>
      <c r="I3" s="26">
        <f>利润表!I3</f>
        <v>334060452.80000001</v>
      </c>
      <c r="J3" s="26">
        <f>利润表!J3</f>
        <v>249912116.02000001</v>
      </c>
      <c r="K3" s="26">
        <f>利润表!K3</f>
        <v>165029582.87</v>
      </c>
      <c r="L3" s="26">
        <f>利润表!L3</f>
        <v>80464922.310000002</v>
      </c>
      <c r="M3" s="26">
        <f>利润表!M3</f>
        <v>323570970.87</v>
      </c>
      <c r="N3" s="26">
        <f>利润表!N3</f>
        <v>248729217.63999999</v>
      </c>
      <c r="O3" s="26">
        <f>利润表!O3</f>
        <v>161936467.97</v>
      </c>
      <c r="P3" s="26">
        <f>利润表!P3</f>
        <v>83427219.010000005</v>
      </c>
      <c r="Q3" s="26">
        <f>利润表!Q3</f>
        <v>356983852.38</v>
      </c>
      <c r="R3" s="26">
        <f>利润表!R3</f>
        <v>265845775.84999999</v>
      </c>
      <c r="S3" s="26">
        <f>利润表!S3</f>
        <v>168265778.53</v>
      </c>
      <c r="T3" s="26">
        <f>利润表!T3</f>
        <v>82886156.019999996</v>
      </c>
      <c r="U3" s="26">
        <f>利润表!U3</f>
        <v>332811274.00999999</v>
      </c>
      <c r="V3" s="26">
        <f>利润表!V3</f>
        <v>309060512.23000002</v>
      </c>
      <c r="W3" s="26">
        <f>利润表!W3</f>
        <v>239745202.43000001</v>
      </c>
      <c r="X3" s="26">
        <f>利润表!X3</f>
        <v>0</v>
      </c>
      <c r="Y3" s="26">
        <f>利润表!Y3</f>
        <v>0</v>
      </c>
      <c r="Z3" s="26">
        <f>利润表!Z3</f>
        <v>0</v>
      </c>
      <c r="AA3" s="26">
        <f>利润表!AA3</f>
        <v>0</v>
      </c>
      <c r="AB3" s="26">
        <f>利润表!AB3</f>
        <v>0</v>
      </c>
      <c r="AC3" s="26">
        <f>利润表!AC3</f>
        <v>0</v>
      </c>
      <c r="AD3" s="26">
        <f>利润表!AD3</f>
        <v>0</v>
      </c>
      <c r="AE3" s="26">
        <f>利润表!AE3</f>
        <v>0</v>
      </c>
      <c r="AF3" s="26">
        <f>利润表!AF3</f>
        <v>0</v>
      </c>
      <c r="AG3" s="26">
        <f>利润表!AG3</f>
        <v>0</v>
      </c>
      <c r="AH3" s="26">
        <f>利润表!AH3</f>
        <v>0</v>
      </c>
      <c r="AI3" s="26">
        <f>利润表!AI3</f>
        <v>0</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493</v>
      </c>
      <c r="E5" s="28">
        <f>(E2/(1+E4))/E3</f>
        <v>0.56993648650110174</v>
      </c>
      <c r="F5" s="28">
        <f t="shared" ref="F5:BQ5" si="2">(F2/(1+F4))/F3</f>
        <v>0.51658635001259301</v>
      </c>
      <c r="G5" s="28">
        <f t="shared" si="2"/>
        <v>0.50475776858615129</v>
      </c>
      <c r="H5" s="28">
        <f t="shared" si="2"/>
        <v>0.53786750123408178</v>
      </c>
      <c r="I5" s="28">
        <f t="shared" si="2"/>
        <v>0.63869279779282284</v>
      </c>
      <c r="J5" s="28">
        <f t="shared" si="2"/>
        <v>0.54172626957589687</v>
      </c>
      <c r="K5" s="28">
        <f t="shared" si="2"/>
        <v>0.57788981860620336</v>
      </c>
      <c r="L5" s="28">
        <f t="shared" si="2"/>
        <v>0.4487343911669891</v>
      </c>
      <c r="M5" s="28">
        <f t="shared" si="2"/>
        <v>0.53836638614238019</v>
      </c>
      <c r="N5" s="28">
        <f t="shared" si="2"/>
        <v>0.445435146627089</v>
      </c>
      <c r="O5" s="28">
        <f t="shared" si="2"/>
        <v>0.47995960000536253</v>
      </c>
      <c r="P5" s="28">
        <f t="shared" si="2"/>
        <v>0.47713418413421804</v>
      </c>
      <c r="Q5" s="28">
        <f t="shared" si="2"/>
        <v>0.57157440233789014</v>
      </c>
      <c r="R5" s="28">
        <f t="shared" si="2"/>
        <v>0.51996481863201149</v>
      </c>
      <c r="S5" s="28">
        <f t="shared" si="2"/>
        <v>0.53270102107070449</v>
      </c>
      <c r="T5" s="28">
        <f t="shared" si="2"/>
        <v>0.40982907342416686</v>
      </c>
      <c r="U5" s="28">
        <f t="shared" si="2"/>
        <v>0.58139648043641823</v>
      </c>
      <c r="V5" s="28">
        <f t="shared" si="2"/>
        <v>0.56783077878233201</v>
      </c>
      <c r="W5" s="28">
        <f t="shared" si="2"/>
        <v>0.55443632347824834</v>
      </c>
      <c r="X5" s="28" t="e">
        <f t="shared" si="2"/>
        <v>#DIV/0!</v>
      </c>
      <c r="Y5" s="28" t="e">
        <f t="shared" si="2"/>
        <v>#DIV/0!</v>
      </c>
      <c r="Z5" s="28" t="e">
        <f t="shared" si="2"/>
        <v>#DIV/0!</v>
      </c>
      <c r="AA5" s="28" t="e">
        <f t="shared" si="2"/>
        <v>#DIV/0!</v>
      </c>
      <c r="AB5" s="28" t="e">
        <f t="shared" si="2"/>
        <v>#DIV/0!</v>
      </c>
      <c r="AC5" s="28" t="e">
        <f t="shared" si="2"/>
        <v>#DIV/0!</v>
      </c>
      <c r="AD5" s="28" t="e">
        <f t="shared" si="2"/>
        <v>#DIV/0!</v>
      </c>
      <c r="AE5" s="28" t="e">
        <f t="shared" si="2"/>
        <v>#DIV/0!</v>
      </c>
      <c r="AF5" s="28" t="e">
        <f t="shared" si="2"/>
        <v>#DIV/0!</v>
      </c>
      <c r="AG5" s="28" t="e">
        <f t="shared" si="2"/>
        <v>#DIV/0!</v>
      </c>
      <c r="AH5" s="28" t="e">
        <f t="shared" si="2"/>
        <v>#DIV/0!</v>
      </c>
      <c r="AI5" s="28" t="e">
        <f t="shared" si="2"/>
        <v>#DIV/0!</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494</v>
      </c>
      <c r="E6" s="26">
        <f>现金流量表!E8</f>
        <v>44519322.18</v>
      </c>
      <c r="F6" s="26">
        <f>现金流量表!F8</f>
        <v>38693285.450000003</v>
      </c>
      <c r="G6" s="26">
        <f>现金流量表!G8</f>
        <v>13916188.390000001</v>
      </c>
      <c r="H6" s="26">
        <f>现金流量表!H8</f>
        <v>10887684.18</v>
      </c>
      <c r="I6" s="26">
        <f>现金流量表!I8</f>
        <v>24171510.760000002</v>
      </c>
      <c r="J6" s="26">
        <f>现金流量表!J8</f>
        <v>16339912.42</v>
      </c>
      <c r="K6" s="26">
        <f>现金流量表!K8</f>
        <v>11747041.1</v>
      </c>
      <c r="L6" s="26">
        <f>现金流量表!L8</f>
        <v>6310055.2000000002</v>
      </c>
      <c r="M6" s="26">
        <f>现金流量表!M8</f>
        <v>24414302.350000001</v>
      </c>
      <c r="N6" s="26">
        <f>现金流量表!N8</f>
        <v>16663563.34</v>
      </c>
      <c r="O6" s="26">
        <f>现金流量表!O8</f>
        <v>10359265.210000001</v>
      </c>
      <c r="P6" s="26">
        <f>现金流量表!P8</f>
        <v>4245077.54</v>
      </c>
      <c r="Q6" s="26">
        <f>现金流量表!Q8</f>
        <v>27000002.190000001</v>
      </c>
      <c r="R6" s="26">
        <f>现金流量表!R8</f>
        <v>19351191.98</v>
      </c>
      <c r="S6" s="26">
        <f>现金流量表!S8</f>
        <v>10688389.050000001</v>
      </c>
      <c r="T6" s="26">
        <f>现金流量表!T8</f>
        <v>2793023.05</v>
      </c>
      <c r="U6" s="26">
        <f>现金流量表!U8</f>
        <v>31521754.690000001</v>
      </c>
      <c r="V6" s="26">
        <f>现金流量表!V8</f>
        <v>26603903.449999999</v>
      </c>
      <c r="W6" s="26">
        <f>现金流量表!W8</f>
        <v>11388802.48</v>
      </c>
      <c r="X6" s="26">
        <f>现金流量表!X8</f>
        <v>0</v>
      </c>
      <c r="Y6" s="26">
        <f>现金流量表!Y8</f>
        <v>0</v>
      </c>
      <c r="Z6" s="26">
        <f>现金流量表!Z8</f>
        <v>0</v>
      </c>
      <c r="AA6" s="26">
        <f>现金流量表!AA8</f>
        <v>0</v>
      </c>
      <c r="AB6" s="26">
        <f>现金流量表!AB8</f>
        <v>0</v>
      </c>
      <c r="AC6" s="26">
        <f>现金流量表!AC8</f>
        <v>0</v>
      </c>
      <c r="AD6" s="26">
        <f>现金流量表!AD8</f>
        <v>0</v>
      </c>
      <c r="AE6" s="26">
        <f>现金流量表!AE8</f>
        <v>0</v>
      </c>
      <c r="AF6" s="26">
        <f>现金流量表!AF8</f>
        <v>0</v>
      </c>
      <c r="AG6" s="26">
        <f>现金流量表!AG8</f>
        <v>0</v>
      </c>
      <c r="AH6" s="26">
        <f>现金流量表!AH8</f>
        <v>0</v>
      </c>
      <c r="AI6" s="26">
        <f>现金流量表!AI8</f>
        <v>0</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495</v>
      </c>
      <c r="E7" s="26">
        <f>现金流量表!E9</f>
        <v>113781448.29000001</v>
      </c>
      <c r="F7" s="26">
        <f>现金流量表!F9</f>
        <v>67831184.189999998</v>
      </c>
      <c r="G7" s="26">
        <f>现金流量表!G9</f>
        <v>46260785.609999999</v>
      </c>
      <c r="H7" s="26">
        <f>现金流量表!H9</f>
        <v>24502787.760000002</v>
      </c>
      <c r="I7" s="26">
        <f>现金流量表!I9</f>
        <v>85704584.010000005</v>
      </c>
      <c r="J7" s="26">
        <f>现金流量表!J9</f>
        <v>56808244.43</v>
      </c>
      <c r="K7" s="26">
        <f>现金流量表!K9</f>
        <v>40063389.299999997</v>
      </c>
      <c r="L7" s="26">
        <f>现金流量表!L9</f>
        <v>21269483.210000001</v>
      </c>
      <c r="M7" s="26">
        <f>现金流量表!M9</f>
        <v>84976611</v>
      </c>
      <c r="N7" s="26">
        <f>现金流量表!N9</f>
        <v>57823270.640000001</v>
      </c>
      <c r="O7" s="26">
        <f>现金流量表!O9</f>
        <v>40624701.670000002</v>
      </c>
      <c r="P7" s="26">
        <f>现金流量表!P9</f>
        <v>24001699.440000001</v>
      </c>
      <c r="Q7" s="26">
        <f>现金流量表!Q9</f>
        <v>94105038.849999994</v>
      </c>
      <c r="R7" s="26">
        <f>现金流量表!R9</f>
        <v>60124018.25</v>
      </c>
      <c r="S7" s="26">
        <f>现金流量表!S9</f>
        <v>41967406.869999997</v>
      </c>
      <c r="T7" s="26">
        <f>现金流量表!T9</f>
        <v>16754670.189999999</v>
      </c>
      <c r="U7" s="26">
        <f>现金流量表!U9</f>
        <v>82315277.349999994</v>
      </c>
      <c r="V7" s="26">
        <f>现金流量表!V9</f>
        <v>70584052.189999998</v>
      </c>
      <c r="W7" s="26">
        <f>现金流量表!W9</f>
        <v>55008309.920000002</v>
      </c>
      <c r="X7" s="26">
        <f>现金流量表!X9</f>
        <v>0</v>
      </c>
      <c r="Y7" s="26">
        <f>现金流量表!Y9</f>
        <v>0</v>
      </c>
      <c r="Z7" s="26">
        <f>现金流量表!Z9</f>
        <v>0</v>
      </c>
      <c r="AA7" s="26">
        <f>现金流量表!AA9</f>
        <v>0</v>
      </c>
      <c r="AB7" s="26">
        <f>现金流量表!AB9</f>
        <v>0</v>
      </c>
      <c r="AC7" s="26">
        <f>现金流量表!AC9</f>
        <v>0</v>
      </c>
      <c r="AD7" s="26">
        <f>现金流量表!AD9</f>
        <v>0</v>
      </c>
      <c r="AE7" s="26">
        <f>现金流量表!AE9</f>
        <v>0</v>
      </c>
      <c r="AF7" s="26">
        <f>现金流量表!AF9</f>
        <v>0</v>
      </c>
      <c r="AG7" s="26">
        <f>现金流量表!AG9</f>
        <v>0</v>
      </c>
      <c r="AH7" s="26">
        <f>现金流量表!AH9</f>
        <v>0</v>
      </c>
      <c r="AI7" s="26">
        <f>现金流量表!AI9</f>
        <v>0</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50" t="s">
        <v>496</v>
      </c>
      <c r="E8" s="58">
        <f>利润表!E6</f>
        <v>214116621.69999999</v>
      </c>
      <c r="F8" s="58">
        <f>利润表!F6</f>
        <v>157492142.66999999</v>
      </c>
      <c r="G8" s="58">
        <f>利润表!G6</f>
        <v>96950290.200000003</v>
      </c>
      <c r="H8" s="58">
        <f>利润表!H6</f>
        <v>44717243.670000002</v>
      </c>
      <c r="I8" s="58">
        <f>利润表!I6</f>
        <v>138615829.41</v>
      </c>
      <c r="J8" s="58">
        <f>利润表!J6</f>
        <v>109230042.2</v>
      </c>
      <c r="K8" s="58">
        <f>利润表!K6</f>
        <v>77408068.260000005</v>
      </c>
      <c r="L8" s="58">
        <f>利润表!L6</f>
        <v>39529935.93</v>
      </c>
      <c r="M8" s="58">
        <f>利润表!M6</f>
        <v>136442760.19</v>
      </c>
      <c r="N8" s="58">
        <f>利润表!N6</f>
        <v>111084460.58</v>
      </c>
      <c r="O8" s="58">
        <f>利润表!O6</f>
        <v>75563879.959999993</v>
      </c>
      <c r="P8" s="58">
        <f>利润表!P6</f>
        <v>39986034.390000001</v>
      </c>
      <c r="Q8" s="58">
        <f>利润表!Q6</f>
        <v>149560883.75999999</v>
      </c>
      <c r="R8" s="58">
        <f>利润表!R6</f>
        <v>114664823.17</v>
      </c>
      <c r="S8" s="58">
        <f>利润表!S6</f>
        <v>70547422.670000002</v>
      </c>
      <c r="T8" s="58">
        <f>利润表!T6</f>
        <v>35435974.409999996</v>
      </c>
      <c r="U8" s="58">
        <f>利润表!U6</f>
        <v>140229533.38999999</v>
      </c>
      <c r="V8" s="58">
        <f>利润表!V6</f>
        <v>123910315.51000001</v>
      </c>
      <c r="W8" s="58">
        <f>利润表!W6</f>
        <v>95674543.489999995</v>
      </c>
      <c r="X8" s="58">
        <f>利润表!X6</f>
        <v>0</v>
      </c>
      <c r="Y8" s="58">
        <f>利润表!Y6</f>
        <v>0</v>
      </c>
      <c r="Z8" s="58">
        <f>利润表!Z6</f>
        <v>0</v>
      </c>
      <c r="AA8" s="58">
        <f>利润表!AA6</f>
        <v>0</v>
      </c>
      <c r="AB8" s="58">
        <f>利润表!AB6</f>
        <v>0</v>
      </c>
      <c r="AC8" s="58">
        <f>利润表!AC6</f>
        <v>0</v>
      </c>
      <c r="AD8" s="58">
        <f>利润表!AD6</f>
        <v>0</v>
      </c>
      <c r="AE8" s="58">
        <f>利润表!AE6</f>
        <v>0</v>
      </c>
      <c r="AF8" s="58">
        <f>利润表!AF6</f>
        <v>0</v>
      </c>
      <c r="AG8" s="58">
        <f>利润表!AG6</f>
        <v>0</v>
      </c>
      <c r="AH8" s="58">
        <f>利润表!AH6</f>
        <v>0</v>
      </c>
      <c r="AI8" s="58">
        <f>利润表!AI6</f>
        <v>0</v>
      </c>
      <c r="AJ8" s="58">
        <f>利润表!AJ6</f>
        <v>0</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50" t="s">
        <v>497</v>
      </c>
      <c r="E9" s="58">
        <f>利润表!E7</f>
        <v>8318679.7000000002</v>
      </c>
      <c r="F9" s="58">
        <f>利润表!F7</f>
        <v>6003756.8099999996</v>
      </c>
      <c r="G9" s="58">
        <f>利润表!G7</f>
        <v>3780206.84</v>
      </c>
      <c r="H9" s="58">
        <f>利润表!H7</f>
        <v>1692936.83</v>
      </c>
      <c r="I9" s="58">
        <f>利润表!I7</f>
        <v>5958238.5899999999</v>
      </c>
      <c r="J9" s="58">
        <f>利润表!J7</f>
        <v>3300173.98</v>
      </c>
      <c r="K9" s="58">
        <f>利润表!K7</f>
        <v>2205465.37</v>
      </c>
      <c r="L9" s="58">
        <f>利润表!L7</f>
        <v>1135096.21</v>
      </c>
      <c r="M9" s="58">
        <f>利润表!M7</f>
        <v>4122407.5</v>
      </c>
      <c r="N9" s="58">
        <f>利润表!N7</f>
        <v>3113328.9</v>
      </c>
      <c r="O9" s="58">
        <f>利润表!O7</f>
        <v>1967574.61</v>
      </c>
      <c r="P9" s="58">
        <f>利润表!P7</f>
        <v>1063270.46</v>
      </c>
      <c r="Q9" s="58">
        <f>利润表!Q7</f>
        <v>4348578.37</v>
      </c>
      <c r="R9" s="58">
        <f>利润表!R7</f>
        <v>3287164.73</v>
      </c>
      <c r="S9" s="58">
        <f>利润表!S7</f>
        <v>2058973.5</v>
      </c>
      <c r="T9" s="58">
        <f>利润表!T7</f>
        <v>1047306.76</v>
      </c>
      <c r="U9" s="58">
        <f>利润表!U7</f>
        <v>4524799.68</v>
      </c>
      <c r="V9" s="58">
        <f>利润表!V7</f>
        <v>4494976.3</v>
      </c>
      <c r="W9" s="58">
        <f>利润表!W7</f>
        <v>3312357.99</v>
      </c>
      <c r="X9" s="58">
        <f>利润表!X7</f>
        <v>0</v>
      </c>
      <c r="Y9" s="58">
        <f>利润表!Y7</f>
        <v>0</v>
      </c>
      <c r="Z9" s="58">
        <f>利润表!Z7</f>
        <v>0</v>
      </c>
      <c r="AA9" s="58">
        <f>利润表!AA7</f>
        <v>0</v>
      </c>
      <c r="AB9" s="58">
        <f>利润表!AB7</f>
        <v>0</v>
      </c>
      <c r="AC9" s="58">
        <f>利润表!AC7</f>
        <v>0</v>
      </c>
      <c r="AD9" s="58">
        <f>利润表!AD7</f>
        <v>0</v>
      </c>
      <c r="AE9" s="58">
        <f>利润表!AE7</f>
        <v>0</v>
      </c>
      <c r="AF9" s="58">
        <f>利润表!AF7</f>
        <v>0</v>
      </c>
      <c r="AG9" s="58">
        <f>利润表!AG7</f>
        <v>0</v>
      </c>
      <c r="AH9" s="58">
        <f>利润表!AH7</f>
        <v>0</v>
      </c>
      <c r="AI9" s="58">
        <f>利润表!AI7</f>
        <v>0</v>
      </c>
      <c r="AJ9" s="58">
        <f>利润表!AJ7</f>
        <v>0</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50" t="s">
        <v>498</v>
      </c>
      <c r="E10" s="58">
        <f>利润表!E8</f>
        <v>65588452.350000001</v>
      </c>
      <c r="F10" s="58">
        <f>利润表!F8</f>
        <v>46938412.619999997</v>
      </c>
      <c r="G10" s="58">
        <f>利润表!G8</f>
        <v>29280870.300000001</v>
      </c>
      <c r="H10" s="58">
        <f>利润表!H8</f>
        <v>12944066.800000001</v>
      </c>
      <c r="I10" s="58">
        <f>利润表!I8</f>
        <v>48950284.439999998</v>
      </c>
      <c r="J10" s="58">
        <f>利润表!J8</f>
        <v>36486393.840000004</v>
      </c>
      <c r="K10" s="58">
        <f>利润表!K8</f>
        <v>23795431.43</v>
      </c>
      <c r="L10" s="58">
        <f>利润表!L8</f>
        <v>11018885.210000001</v>
      </c>
      <c r="M10" s="58">
        <f>利润表!M8</f>
        <v>50049292.490000002</v>
      </c>
      <c r="N10" s="58">
        <f>利润表!N8</f>
        <v>36714592.649999999</v>
      </c>
      <c r="O10" s="58">
        <f>利润表!O8</f>
        <v>22688371.300000001</v>
      </c>
      <c r="P10" s="58">
        <f>利润表!P8</f>
        <v>11355833.810000001</v>
      </c>
      <c r="Q10" s="58">
        <f>利润表!Q8</f>
        <v>51407274.880000003</v>
      </c>
      <c r="R10" s="58">
        <f>利润表!R8</f>
        <v>37566300.960000001</v>
      </c>
      <c r="S10" s="58">
        <f>利润表!S8</f>
        <v>24871663.809999999</v>
      </c>
      <c r="T10" s="58">
        <f>利润表!T8</f>
        <v>10823435.67</v>
      </c>
      <c r="U10" s="58">
        <f>利润表!U8</f>
        <v>48126080.049999997</v>
      </c>
      <c r="V10" s="58">
        <f>利润表!V8</f>
        <v>45606034.82</v>
      </c>
      <c r="W10" s="58">
        <f>利润表!W8</f>
        <v>40470613.049999997</v>
      </c>
      <c r="X10" s="58">
        <f>利润表!X8</f>
        <v>0</v>
      </c>
      <c r="Y10" s="58">
        <f>利润表!Y8</f>
        <v>0</v>
      </c>
      <c r="Z10" s="58">
        <f>利润表!Z8</f>
        <v>0</v>
      </c>
      <c r="AA10" s="58">
        <f>利润表!AA8</f>
        <v>0</v>
      </c>
      <c r="AB10" s="58">
        <f>利润表!AB8</f>
        <v>0</v>
      </c>
      <c r="AC10" s="58">
        <f>利润表!AC8</f>
        <v>0</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50" t="s">
        <v>499</v>
      </c>
      <c r="E11" s="58">
        <f>利润表!E9</f>
        <v>65060980.670000002</v>
      </c>
      <c r="F11" s="58">
        <f>利润表!F9</f>
        <v>43708203.200000003</v>
      </c>
      <c r="G11" s="58">
        <f>利润表!G9</f>
        <v>27757611.77</v>
      </c>
      <c r="H11" s="58">
        <f>利润表!H9</f>
        <v>12221721.539999999</v>
      </c>
      <c r="I11" s="58">
        <f>利润表!I9</f>
        <v>45174955.509999998</v>
      </c>
      <c r="J11" s="58">
        <f>利润表!J9</f>
        <v>35137165.850000001</v>
      </c>
      <c r="K11" s="58">
        <f>利润表!K9</f>
        <v>22446016.440000001</v>
      </c>
      <c r="L11" s="58">
        <f>利润表!L9</f>
        <v>10588074.439999999</v>
      </c>
      <c r="M11" s="58">
        <f>利润表!M9</f>
        <v>49597425.009999998</v>
      </c>
      <c r="N11" s="58">
        <f>利润表!N9</f>
        <v>36534423.670000002</v>
      </c>
      <c r="O11" s="58">
        <f>利润表!O9</f>
        <v>23742826.359999999</v>
      </c>
      <c r="P11" s="58">
        <f>利润表!P9</f>
        <v>10972137.42</v>
      </c>
      <c r="Q11" s="58">
        <f>利润表!Q9</f>
        <v>48562243.770000003</v>
      </c>
      <c r="R11" s="58">
        <f>利润表!R9</f>
        <v>35988044.380000003</v>
      </c>
      <c r="S11" s="58">
        <f>利润表!S9</f>
        <v>24393897.57</v>
      </c>
      <c r="T11" s="58">
        <f>利润表!T9</f>
        <v>11016134.869999999</v>
      </c>
      <c r="U11" s="58">
        <f>利润表!U9</f>
        <v>46207556.340000004</v>
      </c>
      <c r="V11" s="58">
        <f>利润表!V9</f>
        <v>46619669.869999997</v>
      </c>
      <c r="W11" s="58">
        <f>利润表!W9</f>
        <v>42287706.340000004</v>
      </c>
      <c r="X11" s="58">
        <f>利润表!X9</f>
        <v>0</v>
      </c>
      <c r="Y11" s="58">
        <f>利润表!Y9</f>
        <v>0</v>
      </c>
      <c r="Z11" s="58">
        <f>利润表!Z9</f>
        <v>0</v>
      </c>
      <c r="AA11" s="58">
        <f>利润表!AA9</f>
        <v>0</v>
      </c>
      <c r="AB11" s="58">
        <f>利润表!AB9</f>
        <v>0</v>
      </c>
      <c r="AC11" s="58">
        <f>利润表!AC9</f>
        <v>0</v>
      </c>
      <c r="AD11" s="58">
        <f>利润表!AD9</f>
        <v>0</v>
      </c>
      <c r="AE11" s="58">
        <f>利润表!AE9</f>
        <v>0</v>
      </c>
      <c r="AF11" s="58">
        <f>利润表!AF9</f>
        <v>0</v>
      </c>
      <c r="AG11" s="58">
        <f>利润表!AG9</f>
        <v>0</v>
      </c>
      <c r="AH11" s="58">
        <f>利润表!AH9</f>
        <v>0</v>
      </c>
      <c r="AI11" s="58">
        <f>利润表!AI9</f>
        <v>0</v>
      </c>
      <c r="AJ11" s="58">
        <f>利润表!AJ9</f>
        <v>0</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50" t="s">
        <v>500</v>
      </c>
      <c r="E12" s="58">
        <f>SUM(E8:E11)</f>
        <v>353084734.42000002</v>
      </c>
      <c r="F12" s="58">
        <f t="shared" ref="F12:BQ12" si="4">SUM(F8:F11)</f>
        <v>254142515.30000001</v>
      </c>
      <c r="G12" s="58">
        <f t="shared" si="4"/>
        <v>157768979.11000001</v>
      </c>
      <c r="H12" s="58">
        <f t="shared" si="4"/>
        <v>71575968.840000004</v>
      </c>
      <c r="I12" s="58">
        <f t="shared" si="4"/>
        <v>238699307.94999999</v>
      </c>
      <c r="J12" s="58">
        <f t="shared" si="4"/>
        <v>184153775.87</v>
      </c>
      <c r="K12" s="58">
        <f t="shared" si="4"/>
        <v>125854981.5</v>
      </c>
      <c r="L12" s="58">
        <f t="shared" si="4"/>
        <v>62271991.789999999</v>
      </c>
      <c r="M12" s="58">
        <f t="shared" si="4"/>
        <v>240211885.19</v>
      </c>
      <c r="N12" s="58">
        <f t="shared" si="4"/>
        <v>187446805.80000001</v>
      </c>
      <c r="O12" s="58">
        <f t="shared" si="4"/>
        <v>123962652.22999999</v>
      </c>
      <c r="P12" s="58">
        <f t="shared" si="4"/>
        <v>63377276.080000006</v>
      </c>
      <c r="Q12" s="58">
        <f t="shared" si="4"/>
        <v>253878980.78</v>
      </c>
      <c r="R12" s="58">
        <f t="shared" si="4"/>
        <v>191506333.24000001</v>
      </c>
      <c r="S12" s="58">
        <f t="shared" si="4"/>
        <v>121871957.55000001</v>
      </c>
      <c r="T12" s="58">
        <f t="shared" si="4"/>
        <v>58322851.709999993</v>
      </c>
      <c r="U12" s="58">
        <f t="shared" si="4"/>
        <v>239087969.46000001</v>
      </c>
      <c r="V12" s="58">
        <f t="shared" si="4"/>
        <v>220630996.5</v>
      </c>
      <c r="W12" s="58">
        <f t="shared" si="4"/>
        <v>181745220.86999997</v>
      </c>
      <c r="X12" s="58">
        <f t="shared" si="4"/>
        <v>0</v>
      </c>
      <c r="Y12" s="58">
        <f t="shared" si="4"/>
        <v>0</v>
      </c>
      <c r="Z12" s="58">
        <f t="shared" si="4"/>
        <v>0</v>
      </c>
      <c r="AA12" s="58">
        <f t="shared" si="4"/>
        <v>0</v>
      </c>
      <c r="AB12" s="58">
        <f t="shared" si="4"/>
        <v>0</v>
      </c>
      <c r="AC12" s="58">
        <f t="shared" si="4"/>
        <v>0</v>
      </c>
      <c r="AD12" s="58">
        <f t="shared" si="4"/>
        <v>0</v>
      </c>
      <c r="AE12" s="58">
        <f t="shared" si="4"/>
        <v>0</v>
      </c>
      <c r="AF12" s="58">
        <f t="shared" si="4"/>
        <v>0</v>
      </c>
      <c r="AG12" s="58">
        <f t="shared" si="4"/>
        <v>0</v>
      </c>
      <c r="AH12" s="58">
        <f t="shared" si="4"/>
        <v>0</v>
      </c>
      <c r="AI12" s="58">
        <f t="shared" si="4"/>
        <v>0</v>
      </c>
      <c r="AJ12" s="58">
        <f t="shared" si="4"/>
        <v>0</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501</v>
      </c>
      <c r="E13" s="28">
        <f>(E6/(1+E4)+E7)/E12</f>
        <v>0.43001618650366774</v>
      </c>
      <c r="F13" s="28">
        <f t="shared" ref="F13:BQ13" si="6">(F6/(1+F4)+F7)/F12</f>
        <v>0.39703065115331038</v>
      </c>
      <c r="G13" s="28">
        <f t="shared" si="6"/>
        <v>0.36860835412114945</v>
      </c>
      <c r="H13" s="28">
        <f t="shared" si="6"/>
        <v>0.47234429770603681</v>
      </c>
      <c r="I13" s="28">
        <f t="shared" si="6"/>
        <v>0.44559825426164551</v>
      </c>
      <c r="J13" s="28">
        <f t="shared" si="6"/>
        <v>0.38432001302581331</v>
      </c>
      <c r="K13" s="28">
        <f t="shared" si="6"/>
        <v>0.39810577834279892</v>
      </c>
      <c r="L13" s="28">
        <f t="shared" si="6"/>
        <v>0.42816508700354794</v>
      </c>
      <c r="M13" s="28">
        <f t="shared" si="6"/>
        <v>0.44062572508329967</v>
      </c>
      <c r="N13" s="28">
        <f t="shared" si="6"/>
        <v>0.38445911180770742</v>
      </c>
      <c r="O13" s="28">
        <f t="shared" si="6"/>
        <v>0.39914259342609937</v>
      </c>
      <c r="P13" s="28">
        <f t="shared" si="6"/>
        <v>0.43596021398635981</v>
      </c>
      <c r="Q13" s="28">
        <f t="shared" si="6"/>
        <v>0.46156622906983591</v>
      </c>
      <c r="R13" s="28">
        <f t="shared" si="6"/>
        <v>0.4003183460189273</v>
      </c>
      <c r="S13" s="28">
        <f t="shared" si="6"/>
        <v>0.4193153466452238</v>
      </c>
      <c r="T13" s="28">
        <f t="shared" si="6"/>
        <v>0.32820530575585932</v>
      </c>
      <c r="U13" s="28">
        <f t="shared" si="6"/>
        <v>0.45697384218862852</v>
      </c>
      <c r="V13" s="28">
        <f t="shared" si="6"/>
        <v>0.42297969318691814</v>
      </c>
      <c r="W13" s="28">
        <f t="shared" si="6"/>
        <v>0.35622575836524789</v>
      </c>
      <c r="X13" s="28" t="e">
        <f t="shared" si="6"/>
        <v>#DIV/0!</v>
      </c>
      <c r="Y13" s="28" t="e">
        <f t="shared" si="6"/>
        <v>#DIV/0!</v>
      </c>
      <c r="Z13" s="28" t="e">
        <f t="shared" si="6"/>
        <v>#DIV/0!</v>
      </c>
      <c r="AA13" s="28" t="e">
        <f t="shared" si="6"/>
        <v>#DIV/0!</v>
      </c>
      <c r="AB13" s="28" t="e">
        <f t="shared" si="6"/>
        <v>#DIV/0!</v>
      </c>
      <c r="AC13" s="28" t="e">
        <f t="shared" si="6"/>
        <v>#DIV/0!</v>
      </c>
      <c r="AD13" s="28" t="e">
        <f t="shared" si="6"/>
        <v>#DIV/0!</v>
      </c>
      <c r="AE13" s="28" t="e">
        <f t="shared" si="6"/>
        <v>#DIV/0!</v>
      </c>
      <c r="AF13" s="28" t="e">
        <f t="shared" si="6"/>
        <v>#DIV/0!</v>
      </c>
      <c r="AG13" s="28" t="e">
        <f t="shared" si="6"/>
        <v>#DIV/0!</v>
      </c>
      <c r="AH13" s="28" t="e">
        <f t="shared" si="6"/>
        <v>#DIV/0!</v>
      </c>
      <c r="AI13" s="28" t="e">
        <f t="shared" si="6"/>
        <v>#DIV/0!</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502</v>
      </c>
      <c r="E14" s="26">
        <f>现金流量表!E13</f>
        <v>72202714.969999999</v>
      </c>
      <c r="F14" s="26">
        <f>现金流量表!F13</f>
        <v>32546261.690000001</v>
      </c>
      <c r="G14" s="26">
        <f>现金流量表!G13</f>
        <v>19253786.199999999</v>
      </c>
      <c r="H14" s="26">
        <f>现金流量表!H13</f>
        <v>3316123.84</v>
      </c>
      <c r="I14" s="26">
        <f>现金流量表!I13</f>
        <v>69961461.189999998</v>
      </c>
      <c r="J14" s="26">
        <f>现金流量表!J13</f>
        <v>35292871.390000001</v>
      </c>
      <c r="K14" s="26">
        <f>现金流量表!K13</f>
        <v>23404106.48</v>
      </c>
      <c r="L14" s="26">
        <f>现金流量表!L13</f>
        <v>-1003658.93</v>
      </c>
      <c r="M14" s="26">
        <f>现金流量表!M13</f>
        <v>25286050.879999999</v>
      </c>
      <c r="N14" s="26">
        <f>现金流量表!N13</f>
        <v>-990862.54</v>
      </c>
      <c r="O14" s="26">
        <f>现金流量表!O13</f>
        <v>4571174.9000000004</v>
      </c>
      <c r="P14" s="26">
        <f>现金流量表!P13</f>
        <v>5179884.62</v>
      </c>
      <c r="Q14" s="26">
        <f>现金流量表!Q13</f>
        <v>38535259.909999996</v>
      </c>
      <c r="R14" s="26">
        <f>现金流量表!R13</f>
        <v>23626517.34</v>
      </c>
      <c r="S14" s="26">
        <f>现金流量表!S13</f>
        <v>13958199.140000001</v>
      </c>
      <c r="T14" s="26">
        <f>现金流量表!T13</f>
        <v>4913653.6500000004</v>
      </c>
      <c r="U14" s="26">
        <f>现金流量表!U13</f>
        <v>35251184.609999999</v>
      </c>
      <c r="V14" s="26">
        <f>现金流量表!V13</f>
        <v>32455696.800000001</v>
      </c>
      <c r="W14" s="26">
        <f>现金流量表!W13</f>
        <v>10428794.039999999</v>
      </c>
      <c r="X14" s="26">
        <f>现金流量表!X13</f>
        <v>0</v>
      </c>
      <c r="Y14" s="26">
        <f>现金流量表!Y13</f>
        <v>0</v>
      </c>
      <c r="Z14" s="26">
        <f>现金流量表!Z13</f>
        <v>0</v>
      </c>
      <c r="AA14" s="26">
        <f>现金流量表!AA13</f>
        <v>0</v>
      </c>
      <c r="AB14" s="26">
        <f>现金流量表!AB13</f>
        <v>0</v>
      </c>
      <c r="AC14" s="26">
        <f>现金流量表!AC13</f>
        <v>0</v>
      </c>
      <c r="AD14" s="26">
        <f>现金流量表!AD13</f>
        <v>0</v>
      </c>
      <c r="AE14" s="26">
        <f>现金流量表!AE13</f>
        <v>0</v>
      </c>
      <c r="AF14" s="26">
        <f>现金流量表!AF13</f>
        <v>0</v>
      </c>
      <c r="AG14" s="26">
        <f>现金流量表!AG13</f>
        <v>0</v>
      </c>
      <c r="AH14" s="26">
        <f>现金流量表!AH13</f>
        <v>0</v>
      </c>
      <c r="AI14" s="26">
        <f>现金流量表!AI13</f>
        <v>0</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503</v>
      </c>
      <c r="E15" s="26">
        <f>股权价值增加表!E17</f>
        <v>114221779.48928429</v>
      </c>
      <c r="F15" s="26">
        <f>股权价值增加表!F17</f>
        <v>76478594.036450818</v>
      </c>
      <c r="G15" s="26">
        <f>股权价值增加表!G17</f>
        <v>42950042.471858934</v>
      </c>
      <c r="H15" s="26">
        <f>股权价值增加表!H17</f>
        <v>18023586.026683956</v>
      </c>
      <c r="I15" s="26">
        <f>股权价值增加表!I17</f>
        <v>87183466.326891109</v>
      </c>
      <c r="J15" s="26">
        <f>股权价值增加表!J17</f>
        <v>52297590.93448659</v>
      </c>
      <c r="K15" s="26">
        <f>股权价值增加表!K17</f>
        <v>31483583.07826443</v>
      </c>
      <c r="L15" s="26">
        <f>股权价值增加表!L17</f>
        <v>14092147.46713385</v>
      </c>
      <c r="M15" s="26">
        <f>股权价值增加表!M17</f>
        <v>76685438.027861863</v>
      </c>
      <c r="N15" s="26">
        <f>股权价值增加表!N17</f>
        <v>51099925.984292358</v>
      </c>
      <c r="O15" s="26">
        <f>股权价值增加表!O17</f>
        <v>33540994.660019137</v>
      </c>
      <c r="P15" s="26">
        <f>股权价值增加表!P17</f>
        <v>16621984.485637883</v>
      </c>
      <c r="Q15" s="26">
        <f>股权价值增加表!Q17</f>
        <v>89822063.808564767</v>
      </c>
      <c r="R15" s="26">
        <f>股权价值增加表!R17</f>
        <v>64145615.643796824</v>
      </c>
      <c r="S15" s="26">
        <f>股权价值增加表!S17</f>
        <v>40331996.395532407</v>
      </c>
      <c r="T15" s="26">
        <f>股权价值增加表!T17</f>
        <v>20362091.205377877</v>
      </c>
      <c r="U15" s="26">
        <f>股权价值增加表!U17</f>
        <v>81822360.152254298</v>
      </c>
      <c r="V15" s="26">
        <f>股权价值增加表!V17</f>
        <v>74927934.110450357</v>
      </c>
      <c r="W15" s="26">
        <f>股权价值增加表!W17</f>
        <v>48988901.228711925</v>
      </c>
      <c r="X15" s="26" t="e">
        <f>股权价值增加表!X17</f>
        <v>#DIV/0!</v>
      </c>
      <c r="Y15" s="26">
        <f>股权价值增加表!Y17</f>
        <v>0</v>
      </c>
      <c r="Z15" s="26">
        <f>股权价值增加表!Z17</f>
        <v>0</v>
      </c>
      <c r="AA15" s="26">
        <f>股权价值增加表!AA17</f>
        <v>0</v>
      </c>
      <c r="AB15" s="26">
        <f>股权价值增加表!AB17</f>
        <v>0</v>
      </c>
      <c r="AC15" s="26">
        <f>股权价值增加表!AC17</f>
        <v>1610413.9297069919</v>
      </c>
      <c r="AD15" s="26">
        <f>股权价值增加表!AD17</f>
        <v>0</v>
      </c>
      <c r="AE15" s="26">
        <f>股权价值增加表!AE17</f>
        <v>0</v>
      </c>
      <c r="AF15" s="26">
        <f>股权价值增加表!AF17</f>
        <v>0</v>
      </c>
      <c r="AG15" s="26">
        <f>股权价值增加表!AG17</f>
        <v>-219717.24026850861</v>
      </c>
      <c r="AH15" s="26">
        <f>股权价值增加表!AH17</f>
        <v>0</v>
      </c>
      <c r="AI15" s="26">
        <f>股权价值增加表!AI17</f>
        <v>0</v>
      </c>
      <c r="AJ15" s="26">
        <f>股权价值增加表!AJ17</f>
        <v>0</v>
      </c>
      <c r="AK15" s="26">
        <f>股权价值增加表!AK17</f>
        <v>-945836.89967821585</v>
      </c>
      <c r="AL15" s="26">
        <f>股权价值增加表!AL17</f>
        <v>0</v>
      </c>
      <c r="AM15" s="26">
        <f>股权价值增加表!AM17</f>
        <v>0</v>
      </c>
      <c r="AN15" s="26">
        <f>股权价值增加表!AN17</f>
        <v>0</v>
      </c>
      <c r="AO15" s="26">
        <f>股权价值增加表!AO17</f>
        <v>-286174.01</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504</v>
      </c>
      <c r="E16" s="28">
        <f>E14/E15</f>
        <v>0.63212738667561807</v>
      </c>
      <c r="F16" s="28">
        <f t="shared" ref="F16:BQ16" si="8">F14/F15</f>
        <v>0.42556040811220952</v>
      </c>
      <c r="G16" s="28">
        <f t="shared" si="8"/>
        <v>0.44828328662573896</v>
      </c>
      <c r="H16" s="28">
        <f t="shared" si="8"/>
        <v>0.1839880163187543</v>
      </c>
      <c r="I16" s="28">
        <f t="shared" si="8"/>
        <v>0.80246248672520248</v>
      </c>
      <c r="J16" s="28">
        <f t="shared" si="8"/>
        <v>0.67484698165564694</v>
      </c>
      <c r="K16" s="28">
        <f t="shared" si="8"/>
        <v>0.74337493359063311</v>
      </c>
      <c r="L16" s="28">
        <f t="shared" si="8"/>
        <v>-7.1221148681616123E-2</v>
      </c>
      <c r="M16" s="28">
        <f t="shared" si="8"/>
        <v>0.32973732080415191</v>
      </c>
      <c r="N16" s="28">
        <f t="shared" si="8"/>
        <v>-1.9390684446482016E-2</v>
      </c>
      <c r="O16" s="28">
        <f t="shared" si="8"/>
        <v>0.13628620577101849</v>
      </c>
      <c r="P16" s="28">
        <f t="shared" si="8"/>
        <v>0.31162853174815835</v>
      </c>
      <c r="Q16" s="28">
        <f t="shared" si="8"/>
        <v>0.42901775216531551</v>
      </c>
      <c r="R16" s="28">
        <f t="shared" si="8"/>
        <v>0.36832630107097264</v>
      </c>
      <c r="S16" s="28">
        <f t="shared" si="8"/>
        <v>0.34608252473081536</v>
      </c>
      <c r="T16" s="28">
        <f t="shared" si="8"/>
        <v>0.2413138022239211</v>
      </c>
      <c r="U16" s="28">
        <f t="shared" si="8"/>
        <v>0.43082581026023836</v>
      </c>
      <c r="V16" s="28">
        <f t="shared" si="8"/>
        <v>0.43315883702542035</v>
      </c>
      <c r="W16" s="28">
        <f t="shared" si="8"/>
        <v>0.21288075009708082</v>
      </c>
      <c r="X16" s="28" t="e">
        <f t="shared" si="8"/>
        <v>#DIV/0!</v>
      </c>
      <c r="Y16" s="28" t="e">
        <f t="shared" si="8"/>
        <v>#DIV/0!</v>
      </c>
      <c r="Z16" s="28" t="e">
        <f t="shared" si="8"/>
        <v>#DIV/0!</v>
      </c>
      <c r="AA16" s="28" t="e">
        <f t="shared" si="8"/>
        <v>#DIV/0!</v>
      </c>
      <c r="AB16" s="28" t="e">
        <f t="shared" si="8"/>
        <v>#DIV/0!</v>
      </c>
      <c r="AC16" s="28">
        <f t="shared" si="8"/>
        <v>0</v>
      </c>
      <c r="AD16" s="28" t="e">
        <f t="shared" si="8"/>
        <v>#DIV/0!</v>
      </c>
      <c r="AE16" s="28" t="e">
        <f t="shared" si="8"/>
        <v>#DIV/0!</v>
      </c>
      <c r="AF16" s="28" t="e">
        <f t="shared" si="8"/>
        <v>#DIV/0!</v>
      </c>
      <c r="AG16" s="28">
        <f t="shared" si="8"/>
        <v>0</v>
      </c>
      <c r="AH16" s="28" t="e">
        <f t="shared" si="8"/>
        <v>#DIV/0!</v>
      </c>
      <c r="AI16" s="28" t="e">
        <f t="shared" si="8"/>
        <v>#DIV/0!</v>
      </c>
      <c r="AJ16" s="28" t="e">
        <f t="shared" si="8"/>
        <v>#DIV/0!</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505</v>
      </c>
      <c r="E17" s="26">
        <f>股权价值增加表!E42</f>
        <v>116960765.83000004</v>
      </c>
      <c r="F17" s="26">
        <f>股权价值增加表!F42</f>
        <v>75811239.540000007</v>
      </c>
      <c r="G17" s="26">
        <f>股权价值增加表!G42</f>
        <v>42741082.93999999</v>
      </c>
      <c r="H17" s="26">
        <f>股权价值增加表!H42</f>
        <v>16945944.760000002</v>
      </c>
      <c r="I17" s="26">
        <f>股权价值增加表!I42</f>
        <v>97715772.560000002</v>
      </c>
      <c r="J17" s="26">
        <f>股权价值增加表!J42</f>
        <v>60409812.090000004</v>
      </c>
      <c r="K17" s="26">
        <f>股权价值增加表!K42</f>
        <v>36134349.719999999</v>
      </c>
      <c r="L17" s="26">
        <f>股权价值增加表!L42</f>
        <v>16039270.350000007</v>
      </c>
      <c r="M17" s="26">
        <f>股权价值增加表!M42</f>
        <v>82097801.940000013</v>
      </c>
      <c r="N17" s="26">
        <f>股权价值增加表!N42</f>
        <v>51974603.859999999</v>
      </c>
      <c r="O17" s="26">
        <f>股权价值增加表!O42</f>
        <v>33427425.780000012</v>
      </c>
      <c r="P17" s="26">
        <f>股权价值增加表!P42</f>
        <v>16490673.110000007</v>
      </c>
      <c r="Q17" s="26">
        <f>股权价值增加表!Q42</f>
        <v>88860436.429999992</v>
      </c>
      <c r="R17" s="26">
        <f>股权价值增加表!R42</f>
        <v>63510447.330000013</v>
      </c>
      <c r="S17" s="26">
        <f>股权价值增加表!S42</f>
        <v>40031563.690000005</v>
      </c>
      <c r="T17" s="26">
        <f>股权价值增加表!T42</f>
        <v>20223903.43</v>
      </c>
      <c r="U17" s="26">
        <f>股权价值增加表!U42</f>
        <v>80267804.860000014</v>
      </c>
      <c r="V17" s="26">
        <f>股权价值增加表!V42</f>
        <v>72849073.570000038</v>
      </c>
      <c r="W17" s="26">
        <f>股权价值增加表!W42</f>
        <v>48973745.939999998</v>
      </c>
      <c r="X17" s="26">
        <f>股权价值增加表!X42</f>
        <v>0</v>
      </c>
      <c r="Y17" s="26">
        <f>股权价值增加表!Y42</f>
        <v>-70537286.090000004</v>
      </c>
      <c r="Z17" s="26">
        <f>股权价值增加表!Z42</f>
        <v>-63091413.130000003</v>
      </c>
      <c r="AA17" s="26">
        <f>股权价值增加表!AA42</f>
        <v>-36622980.57</v>
      </c>
      <c r="AB17" s="26">
        <f>股权价值增加表!AB42</f>
        <v>-10646044.530000001</v>
      </c>
      <c r="AC17" s="26">
        <f>股权价值增加表!AC42</f>
        <v>-62359275.800000012</v>
      </c>
      <c r="AD17" s="26">
        <f>股权价值增加表!AD42</f>
        <v>-54793381.890000001</v>
      </c>
      <c r="AE17" s="26">
        <f>股权价值增加表!AE42</f>
        <v>-29394152.939999998</v>
      </c>
      <c r="AF17" s="26">
        <f>股权价值增加表!AF42</f>
        <v>-9707939.5899999999</v>
      </c>
      <c r="AG17" s="26">
        <f>股权价值增加表!AG42</f>
        <v>-78603080.299999997</v>
      </c>
      <c r="AH17" s="26">
        <f>股权价值增加表!AH42</f>
        <v>-66045740.140000001</v>
      </c>
      <c r="AI17" s="26">
        <f>股权价值增加表!AI42</f>
        <v>-35683813.409999996</v>
      </c>
      <c r="AJ17" s="26">
        <f>股权价值增加表!AJ42</f>
        <v>-8294344.1100000003</v>
      </c>
      <c r="AK17" s="26">
        <f>股权价值增加表!AK42</f>
        <v>-46186451.989999995</v>
      </c>
      <c r="AL17" s="26">
        <f>股权价值增加表!AL42</f>
        <v>-35823249.020000003</v>
      </c>
      <c r="AM17" s="26">
        <f>股权价值增加表!AM42</f>
        <v>-35733277.469999999</v>
      </c>
      <c r="AN17" s="26">
        <f>股权价值增加表!AN42</f>
        <v>-19545940.589999996</v>
      </c>
      <c r="AO17" s="26">
        <f>股权价值增加表!AO42</f>
        <v>-287177.33000000007</v>
      </c>
      <c r="AP17" s="26">
        <f>股权价值增加表!AP42</f>
        <v>-27615171.18</v>
      </c>
      <c r="AQ17" s="26">
        <f>股权价值增加表!AQ42</f>
        <v>-31120172.960000001</v>
      </c>
      <c r="AR17" s="26">
        <f>股权价值增加表!AR42</f>
        <v>-16785423.550000001</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506</v>
      </c>
      <c r="E18" s="28">
        <f>E14/E17</f>
        <v>0.61732423225532818</v>
      </c>
      <c r="F18" s="28">
        <f t="shared" ref="F18:BQ18" si="10">F14/F17</f>
        <v>0.42930654989261502</v>
      </c>
      <c r="G18" s="28">
        <f t="shared" si="10"/>
        <v>0.45047492659529709</v>
      </c>
      <c r="H18" s="28">
        <f t="shared" si="10"/>
        <v>0.19568834237129895</v>
      </c>
      <c r="I18" s="28">
        <f t="shared" si="10"/>
        <v>0.71596897161143414</v>
      </c>
      <c r="J18" s="28">
        <f t="shared" si="10"/>
        <v>0.58422415447046627</v>
      </c>
      <c r="K18" s="28">
        <f t="shared" si="10"/>
        <v>0.64769690506000899</v>
      </c>
      <c r="L18" s="28">
        <f t="shared" si="10"/>
        <v>-6.2575098997567524E-2</v>
      </c>
      <c r="M18" s="28">
        <f t="shared" si="10"/>
        <v>0.30799912156576303</v>
      </c>
      <c r="N18" s="28">
        <f t="shared" si="10"/>
        <v>-1.9064359637430049E-2</v>
      </c>
      <c r="O18" s="28">
        <f t="shared" si="10"/>
        <v>0.13674923489726162</v>
      </c>
      <c r="P18" s="28">
        <f t="shared" si="10"/>
        <v>0.31410995691006077</v>
      </c>
      <c r="Q18" s="28">
        <f t="shared" si="10"/>
        <v>0.43366048444243499</v>
      </c>
      <c r="R18" s="28">
        <f t="shared" si="10"/>
        <v>0.37200993432209217</v>
      </c>
      <c r="S18" s="28">
        <f t="shared" si="10"/>
        <v>0.34867983794214857</v>
      </c>
      <c r="T18" s="28">
        <f t="shared" si="10"/>
        <v>0.24296267369983188</v>
      </c>
      <c r="U18" s="28">
        <f t="shared" si="10"/>
        <v>0.43916966050689621</v>
      </c>
      <c r="V18" s="28">
        <f t="shared" si="10"/>
        <v>0.44551969173380918</v>
      </c>
      <c r="W18" s="28">
        <f t="shared" si="10"/>
        <v>0.21294662762323302</v>
      </c>
      <c r="X18" s="28" t="e">
        <f t="shared" si="10"/>
        <v>#DIV/0!</v>
      </c>
      <c r="Y18" s="28">
        <f t="shared" si="10"/>
        <v>0</v>
      </c>
      <c r="Z18" s="28">
        <f t="shared" si="10"/>
        <v>0</v>
      </c>
      <c r="AA18" s="28">
        <f t="shared" si="10"/>
        <v>0</v>
      </c>
      <c r="AB18" s="28">
        <f t="shared" si="10"/>
        <v>0</v>
      </c>
      <c r="AC18" s="28">
        <f t="shared" si="10"/>
        <v>0</v>
      </c>
      <c r="AD18" s="28">
        <f t="shared" si="10"/>
        <v>0</v>
      </c>
      <c r="AE18" s="28">
        <f t="shared" si="10"/>
        <v>0</v>
      </c>
      <c r="AF18" s="28">
        <f t="shared" si="10"/>
        <v>0</v>
      </c>
      <c r="AG18" s="28">
        <f t="shared" si="10"/>
        <v>0</v>
      </c>
      <c r="AH18" s="28">
        <f t="shared" si="10"/>
        <v>0</v>
      </c>
      <c r="AI18" s="28">
        <f t="shared" si="10"/>
        <v>0</v>
      </c>
      <c r="AJ18" s="28">
        <f t="shared" si="10"/>
        <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507</v>
      </c>
      <c r="E19" s="26">
        <f>现金流量表!E48</f>
        <v>6173766.71</v>
      </c>
      <c r="F19" s="26">
        <f>现金流量表!F48</f>
        <v>0</v>
      </c>
      <c r="G19" s="26">
        <f>现金流量表!G48</f>
        <v>6591040.4000000004</v>
      </c>
      <c r="H19" s="26">
        <f>现金流量表!H48</f>
        <v>0</v>
      </c>
      <c r="I19" s="26">
        <f>现金流量表!I48</f>
        <v>3565087.95</v>
      </c>
      <c r="J19" s="26">
        <f>现金流量表!J48</f>
        <v>0</v>
      </c>
      <c r="K19" s="26">
        <f>现金流量表!K48</f>
        <v>4744561.43</v>
      </c>
      <c r="L19" s="26">
        <f>现金流量表!L48</f>
        <v>0</v>
      </c>
      <c r="M19" s="26">
        <f>现金流量表!M48</f>
        <v>2270121.9900000002</v>
      </c>
      <c r="N19" s="26">
        <f>现金流量表!N48</f>
        <v>0</v>
      </c>
      <c r="O19" s="26">
        <f>现金流量表!O48</f>
        <v>3886437.3</v>
      </c>
      <c r="P19" s="26">
        <f>现金流量表!P48</f>
        <v>2528025.8199999998</v>
      </c>
      <c r="Q19" s="26">
        <f>现金流量表!Q48</f>
        <v>2753668.2</v>
      </c>
      <c r="R19" s="26">
        <f>现金流量表!R48</f>
        <v>0</v>
      </c>
      <c r="S19" s="26">
        <f>现金流量表!S48</f>
        <v>2641771.19</v>
      </c>
      <c r="T19" s="26">
        <f>现金流量表!T48</f>
        <v>1270000</v>
      </c>
      <c r="U19" s="26">
        <f>现金流量表!U48</f>
        <v>2318302.7200000002</v>
      </c>
      <c r="V19" s="26">
        <f>现金流量表!V48</f>
        <v>1818325.97</v>
      </c>
      <c r="W19" s="26">
        <f>现金流量表!W48</f>
        <v>1550100</v>
      </c>
      <c r="X19" s="26">
        <f>现金流量表!X48</f>
        <v>0</v>
      </c>
      <c r="Y19" s="26">
        <f>现金流量表!Y48</f>
        <v>0</v>
      </c>
      <c r="Z19" s="26">
        <f>现金流量表!Z48</f>
        <v>0</v>
      </c>
      <c r="AA19" s="26">
        <f>现金流量表!AA48</f>
        <v>0</v>
      </c>
      <c r="AB19" s="26">
        <f>现金流量表!AB48</f>
        <v>0</v>
      </c>
      <c r="AC19" s="26">
        <f>现金流量表!AC48</f>
        <v>0</v>
      </c>
      <c r="AD19" s="26">
        <f>现金流量表!AD48</f>
        <v>0</v>
      </c>
      <c r="AE19" s="26">
        <f>现金流量表!AE48</f>
        <v>0</v>
      </c>
      <c r="AF19" s="26">
        <f>现金流量表!AF48</f>
        <v>0</v>
      </c>
      <c r="AG19" s="26">
        <f>现金流量表!AG48</f>
        <v>0</v>
      </c>
      <c r="AH19" s="26">
        <f>现金流量表!AH48</f>
        <v>0</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508</v>
      </c>
      <c r="E20" s="26">
        <f>现金流量表!E49</f>
        <v>6749134.6600000001</v>
      </c>
      <c r="F20" s="26">
        <f>现金流量表!F49</f>
        <v>0</v>
      </c>
      <c r="G20" s="26">
        <f>现金流量表!G49</f>
        <v>3289358.39</v>
      </c>
      <c r="H20" s="26">
        <f>现金流量表!H49</f>
        <v>0</v>
      </c>
      <c r="I20" s="26">
        <f>现金流量表!I49</f>
        <v>5369461.0599999996</v>
      </c>
      <c r="J20" s="26">
        <f>现金流量表!J49</f>
        <v>0</v>
      </c>
      <c r="K20" s="26">
        <f>现金流量表!K49</f>
        <v>2620334.87</v>
      </c>
      <c r="L20" s="26">
        <f>现金流量表!L49</f>
        <v>0</v>
      </c>
      <c r="M20" s="26">
        <f>现金流量表!M49</f>
        <v>5805645.7199999997</v>
      </c>
      <c r="N20" s="26">
        <f>现金流量表!N49</f>
        <v>0</v>
      </c>
      <c r="O20" s="26">
        <f>现金流量表!O49</f>
        <v>3326442.48</v>
      </c>
      <c r="P20" s="26">
        <f>现金流量表!P49</f>
        <v>2137057.7000000002</v>
      </c>
      <c r="Q20" s="26">
        <f>现金流量表!Q49</f>
        <v>4660523.91</v>
      </c>
      <c r="R20" s="26">
        <f>现金流量表!R49</f>
        <v>0</v>
      </c>
      <c r="S20" s="26">
        <f>现金流量表!S49</f>
        <v>2064970.37</v>
      </c>
      <c r="T20" s="26">
        <f>现金流量表!T49</f>
        <v>1019284.69</v>
      </c>
      <c r="U20" s="26">
        <f>现金流量表!U49</f>
        <v>3969089.5</v>
      </c>
      <c r="V20" s="26">
        <f>现金流量表!V49</f>
        <v>3682818.23</v>
      </c>
      <c r="W20" s="26">
        <f>现金流量表!W49</f>
        <v>3385200</v>
      </c>
      <c r="X20" s="26">
        <f>现金流量表!X49</f>
        <v>0</v>
      </c>
      <c r="Y20" s="26">
        <f>现金流量表!Y49</f>
        <v>0</v>
      </c>
      <c r="Z20" s="26">
        <f>现金流量表!Z49</f>
        <v>0</v>
      </c>
      <c r="AA20" s="26">
        <f>现金流量表!AA49</f>
        <v>0</v>
      </c>
      <c r="AB20" s="26">
        <f>现金流量表!AB49</f>
        <v>0</v>
      </c>
      <c r="AC20" s="26">
        <f>现金流量表!AC49</f>
        <v>0</v>
      </c>
      <c r="AD20" s="26">
        <f>现金流量表!AD49</f>
        <v>0</v>
      </c>
      <c r="AE20" s="26">
        <f>现金流量表!AE49</f>
        <v>0</v>
      </c>
      <c r="AF20" s="26">
        <f>现金流量表!AF49</f>
        <v>0</v>
      </c>
      <c r="AG20" s="26">
        <f>现金流量表!AG49</f>
        <v>0</v>
      </c>
      <c r="AH20" s="26">
        <f>现金流量表!AH49</f>
        <v>0</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509</v>
      </c>
      <c r="E21" s="26">
        <f>现金流量表!E50</f>
        <v>4827459.5</v>
      </c>
      <c r="F21" s="26">
        <f>现金流量表!F50</f>
        <v>0</v>
      </c>
      <c r="G21" s="26">
        <f>现金流量表!G50</f>
        <v>1261761.18</v>
      </c>
      <c r="H21" s="26">
        <f>现金流量表!H50</f>
        <v>0</v>
      </c>
      <c r="I21" s="26">
        <f>现金流量表!I50</f>
        <v>2529712.2599999998</v>
      </c>
      <c r="J21" s="26">
        <f>现金流量表!J50</f>
        <v>0</v>
      </c>
      <c r="K21" s="26">
        <f>现金流量表!K50</f>
        <v>1328018.6499999999</v>
      </c>
      <c r="L21" s="26">
        <f>现金流量表!L50</f>
        <v>0</v>
      </c>
      <c r="M21" s="26">
        <f>现金流量表!M50</f>
        <v>2425249.0499999998</v>
      </c>
      <c r="N21" s="26">
        <f>现金流量表!N50</f>
        <v>0</v>
      </c>
      <c r="O21" s="26">
        <f>现金流量表!O50</f>
        <v>1149487.52</v>
      </c>
      <c r="P21" s="26">
        <f>现金流量表!P50</f>
        <v>583370.6</v>
      </c>
      <c r="Q21" s="26">
        <f>现金流量表!Q50</f>
        <v>2262485.08</v>
      </c>
      <c r="R21" s="26">
        <f>现金流量表!R50</f>
        <v>0</v>
      </c>
      <c r="S21" s="26">
        <f>现金流量表!S50</f>
        <v>1095744.42</v>
      </c>
      <c r="T21" s="26">
        <f>现金流量表!T50</f>
        <v>544617.19999999995</v>
      </c>
      <c r="U21" s="26">
        <f>现金流量表!U50</f>
        <v>2107666.17</v>
      </c>
      <c r="V21" s="26">
        <f>现金流量表!V50</f>
        <v>2103350.33</v>
      </c>
      <c r="W21" s="26">
        <f>现金流量表!W50</f>
        <v>1237500</v>
      </c>
      <c r="X21" s="26">
        <f>现金流量表!X50</f>
        <v>0</v>
      </c>
      <c r="Y21" s="26">
        <f>现金流量表!Y50</f>
        <v>0</v>
      </c>
      <c r="Z21" s="26">
        <f>现金流量表!Z50</f>
        <v>0</v>
      </c>
      <c r="AA21" s="26">
        <f>现金流量表!AA50</f>
        <v>0</v>
      </c>
      <c r="AB21" s="26">
        <f>现金流量表!AB50</f>
        <v>0</v>
      </c>
      <c r="AC21" s="26">
        <f>现金流量表!AC50</f>
        <v>0</v>
      </c>
      <c r="AD21" s="26">
        <f>现金流量表!AD50</f>
        <v>0</v>
      </c>
      <c r="AE21" s="26">
        <f>现金流量表!AE50</f>
        <v>0</v>
      </c>
      <c r="AF21" s="26">
        <f>现金流量表!AF50</f>
        <v>0</v>
      </c>
      <c r="AG21" s="26">
        <f>现金流量表!AG50</f>
        <v>0</v>
      </c>
      <c r="AH21" s="26">
        <f>现金流量表!AH50</f>
        <v>0</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510</v>
      </c>
      <c r="E22" s="26">
        <f>现金流量表!E51</f>
        <v>0</v>
      </c>
      <c r="F22" s="26">
        <f>现金流量表!F51</f>
        <v>0</v>
      </c>
      <c r="G22" s="26">
        <f>现金流量表!G51</f>
        <v>8072.17</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511</v>
      </c>
      <c r="E23" s="26">
        <f>现金流量表!E54</f>
        <v>30884.45</v>
      </c>
      <c r="F23" s="26">
        <f>现金流量表!F54</f>
        <v>0</v>
      </c>
      <c r="G23" s="26">
        <f>现金流量表!G54</f>
        <v>-205.13</v>
      </c>
      <c r="H23" s="26">
        <f>现金流量表!H54</f>
        <v>0</v>
      </c>
      <c r="I23" s="26">
        <f>现金流量表!I54</f>
        <v>-66401.63</v>
      </c>
      <c r="J23" s="26">
        <f>现金流量表!J54</f>
        <v>0</v>
      </c>
      <c r="K23" s="26">
        <f>现金流量表!K54</f>
        <v>-70937.08</v>
      </c>
      <c r="L23" s="26">
        <f>现金流量表!L54</f>
        <v>0</v>
      </c>
      <c r="M23" s="26">
        <f>现金流量表!M54</f>
        <v>2903.24</v>
      </c>
      <c r="N23" s="26">
        <f>现金流量表!N54</f>
        <v>0</v>
      </c>
      <c r="O23" s="26">
        <f>现金流量表!O54</f>
        <v>1240</v>
      </c>
      <c r="P23" s="26">
        <f>现金流量表!P54</f>
        <v>-350</v>
      </c>
      <c r="Q23" s="26">
        <f>现金流量表!Q54</f>
        <v>-637.02</v>
      </c>
      <c r="R23" s="26">
        <f>现金流量表!R54</f>
        <v>0</v>
      </c>
      <c r="S23" s="26">
        <f>现金流量表!S54</f>
        <v>1326.95</v>
      </c>
      <c r="T23" s="26">
        <f>现金流量表!T54</f>
        <v>0</v>
      </c>
      <c r="U23" s="26">
        <f>现金流量表!U54</f>
        <v>1887.22</v>
      </c>
      <c r="V23" s="26">
        <f>现金流量表!V54</f>
        <v>11149.28</v>
      </c>
      <c r="W23" s="26">
        <f>现金流量表!W54</f>
        <v>2200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512</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513</v>
      </c>
      <c r="E25" s="28">
        <f>SUM(E19:E24)</f>
        <v>17781245.32</v>
      </c>
      <c r="F25" s="28">
        <f t="shared" ref="F25:BQ25" si="12">SUM(F19:F24)</f>
        <v>0</v>
      </c>
      <c r="G25" s="28">
        <f t="shared" si="12"/>
        <v>11150027.01</v>
      </c>
      <c r="H25" s="28">
        <f t="shared" si="12"/>
        <v>0</v>
      </c>
      <c r="I25" s="28">
        <f t="shared" si="12"/>
        <v>11397859.639999999</v>
      </c>
      <c r="J25" s="28">
        <f t="shared" si="12"/>
        <v>0</v>
      </c>
      <c r="K25" s="28">
        <f t="shared" si="12"/>
        <v>8621977.8699999992</v>
      </c>
      <c r="L25" s="28">
        <f t="shared" si="12"/>
        <v>0</v>
      </c>
      <c r="M25" s="28">
        <f t="shared" si="12"/>
        <v>10503920</v>
      </c>
      <c r="N25" s="28">
        <f t="shared" si="12"/>
        <v>0</v>
      </c>
      <c r="O25" s="28">
        <f t="shared" si="12"/>
        <v>8363607.2999999989</v>
      </c>
      <c r="P25" s="28">
        <f t="shared" si="12"/>
        <v>5248104.1199999992</v>
      </c>
      <c r="Q25" s="28">
        <f t="shared" si="12"/>
        <v>9676040.1700000018</v>
      </c>
      <c r="R25" s="28">
        <f t="shared" si="12"/>
        <v>0</v>
      </c>
      <c r="S25" s="28">
        <f t="shared" si="12"/>
        <v>5803812.9300000006</v>
      </c>
      <c r="T25" s="28">
        <f t="shared" si="12"/>
        <v>2833901.8899999997</v>
      </c>
      <c r="U25" s="28">
        <f t="shared" si="12"/>
        <v>8396945.6100000013</v>
      </c>
      <c r="V25" s="28">
        <f t="shared" si="12"/>
        <v>7615643.8100000005</v>
      </c>
      <c r="W25" s="28">
        <f t="shared" si="12"/>
        <v>6175000</v>
      </c>
      <c r="X25" s="28">
        <f t="shared" si="12"/>
        <v>0</v>
      </c>
      <c r="Y25" s="28">
        <f t="shared" si="12"/>
        <v>0</v>
      </c>
      <c r="Z25" s="28">
        <f t="shared" si="12"/>
        <v>0</v>
      </c>
      <c r="AA25" s="28">
        <f t="shared" si="12"/>
        <v>0</v>
      </c>
      <c r="AB25" s="28">
        <f t="shared" si="12"/>
        <v>0</v>
      </c>
      <c r="AC25" s="28">
        <f t="shared" si="12"/>
        <v>0</v>
      </c>
      <c r="AD25" s="28">
        <f t="shared" si="12"/>
        <v>0</v>
      </c>
      <c r="AE25" s="28">
        <f t="shared" si="12"/>
        <v>0</v>
      </c>
      <c r="AF25" s="28">
        <f t="shared" si="12"/>
        <v>0</v>
      </c>
      <c r="AG25" s="28">
        <f t="shared" si="12"/>
        <v>0</v>
      </c>
      <c r="AH25" s="28">
        <f t="shared" si="12"/>
        <v>0</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514</v>
      </c>
      <c r="E26" s="28">
        <f>E14-E25</f>
        <v>54421469.649999999</v>
      </c>
      <c r="F26" s="28">
        <f t="shared" ref="F26:BQ26" si="14">F14-F25</f>
        <v>32546261.690000001</v>
      </c>
      <c r="G26" s="28">
        <f t="shared" si="14"/>
        <v>8103759.1899999995</v>
      </c>
      <c r="H26" s="28">
        <f t="shared" si="14"/>
        <v>3316123.84</v>
      </c>
      <c r="I26" s="28">
        <f t="shared" si="14"/>
        <v>58563601.549999997</v>
      </c>
      <c r="J26" s="28">
        <f t="shared" si="14"/>
        <v>35292871.390000001</v>
      </c>
      <c r="K26" s="28">
        <f t="shared" si="14"/>
        <v>14782128.610000001</v>
      </c>
      <c r="L26" s="28">
        <f t="shared" si="14"/>
        <v>-1003658.93</v>
      </c>
      <c r="M26" s="28">
        <f t="shared" si="14"/>
        <v>14782130.879999999</v>
      </c>
      <c r="N26" s="28">
        <f t="shared" si="14"/>
        <v>-990862.54</v>
      </c>
      <c r="O26" s="28">
        <f t="shared" si="14"/>
        <v>-3792432.3999999985</v>
      </c>
      <c r="P26" s="28">
        <f t="shared" si="14"/>
        <v>-68219.499999999069</v>
      </c>
      <c r="Q26" s="28">
        <f t="shared" si="14"/>
        <v>28859219.739999995</v>
      </c>
      <c r="R26" s="28">
        <f t="shared" si="14"/>
        <v>23626517.34</v>
      </c>
      <c r="S26" s="28">
        <f t="shared" si="14"/>
        <v>8154386.21</v>
      </c>
      <c r="T26" s="28">
        <f t="shared" si="14"/>
        <v>2079751.7600000007</v>
      </c>
      <c r="U26" s="28">
        <f t="shared" si="14"/>
        <v>26854239</v>
      </c>
      <c r="V26" s="28">
        <f t="shared" si="14"/>
        <v>24840052.990000002</v>
      </c>
      <c r="W26" s="28">
        <f t="shared" si="14"/>
        <v>4253794.0399999991</v>
      </c>
      <c r="X26" s="28">
        <f t="shared" si="14"/>
        <v>0</v>
      </c>
      <c r="Y26" s="28">
        <f t="shared" si="14"/>
        <v>0</v>
      </c>
      <c r="Z26" s="28">
        <f t="shared" si="14"/>
        <v>0</v>
      </c>
      <c r="AA26" s="28">
        <f t="shared" si="14"/>
        <v>0</v>
      </c>
      <c r="AB26" s="28">
        <f t="shared" si="14"/>
        <v>0</v>
      </c>
      <c r="AC26" s="28">
        <f t="shared" si="14"/>
        <v>0</v>
      </c>
      <c r="AD26" s="28">
        <f t="shared" si="14"/>
        <v>0</v>
      </c>
      <c r="AE26" s="28">
        <f t="shared" si="14"/>
        <v>0</v>
      </c>
      <c r="AF26" s="28">
        <f t="shared" si="14"/>
        <v>0</v>
      </c>
      <c r="AG26" s="28">
        <f t="shared" si="14"/>
        <v>0</v>
      </c>
      <c r="AH26" s="28">
        <f t="shared" si="14"/>
        <v>0</v>
      </c>
      <c r="AI26" s="28">
        <f t="shared" si="14"/>
        <v>0</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515</v>
      </c>
      <c r="E27" s="26">
        <f>E26-E24</f>
        <v>54421469.649999999</v>
      </c>
      <c r="F27" s="26">
        <f t="shared" ref="F27:BQ27" si="16">F26-F24</f>
        <v>32546261.690000001</v>
      </c>
      <c r="G27" s="26">
        <f t="shared" si="16"/>
        <v>8103759.1899999995</v>
      </c>
      <c r="H27" s="26">
        <f t="shared" si="16"/>
        <v>3316123.84</v>
      </c>
      <c r="I27" s="26">
        <f t="shared" si="16"/>
        <v>58563601.549999997</v>
      </c>
      <c r="J27" s="26">
        <f t="shared" si="16"/>
        <v>35292871.390000001</v>
      </c>
      <c r="K27" s="26">
        <f t="shared" si="16"/>
        <v>14782128.610000001</v>
      </c>
      <c r="L27" s="26">
        <f t="shared" si="16"/>
        <v>-1003658.93</v>
      </c>
      <c r="M27" s="26">
        <f t="shared" si="16"/>
        <v>14782130.879999999</v>
      </c>
      <c r="N27" s="26">
        <f t="shared" si="16"/>
        <v>-990862.54</v>
      </c>
      <c r="O27" s="26">
        <f t="shared" si="16"/>
        <v>-3792432.3999999985</v>
      </c>
      <c r="P27" s="26">
        <f t="shared" si="16"/>
        <v>-68219.499999999069</v>
      </c>
      <c r="Q27" s="26">
        <f t="shared" si="16"/>
        <v>28859219.739999995</v>
      </c>
      <c r="R27" s="26">
        <f t="shared" si="16"/>
        <v>23626517.34</v>
      </c>
      <c r="S27" s="26">
        <f t="shared" si="16"/>
        <v>8154386.21</v>
      </c>
      <c r="T27" s="26">
        <f t="shared" si="16"/>
        <v>2079751.7600000007</v>
      </c>
      <c r="U27" s="26">
        <f t="shared" si="16"/>
        <v>26854239</v>
      </c>
      <c r="V27" s="26">
        <f t="shared" si="16"/>
        <v>24840052.990000002</v>
      </c>
      <c r="W27" s="26">
        <f t="shared" si="16"/>
        <v>4253794.0399999991</v>
      </c>
      <c r="X27" s="26">
        <f t="shared" si="16"/>
        <v>0</v>
      </c>
      <c r="Y27" s="26">
        <f t="shared" si="16"/>
        <v>0</v>
      </c>
      <c r="Z27" s="26">
        <f t="shared" si="16"/>
        <v>0</v>
      </c>
      <c r="AA27" s="26">
        <f t="shared" si="16"/>
        <v>0</v>
      </c>
      <c r="AB27" s="26">
        <f t="shared" si="16"/>
        <v>0</v>
      </c>
      <c r="AC27" s="26">
        <f t="shared" si="16"/>
        <v>0</v>
      </c>
      <c r="AD27" s="26">
        <f t="shared" si="16"/>
        <v>0</v>
      </c>
      <c r="AE27" s="26">
        <f t="shared" si="16"/>
        <v>0</v>
      </c>
      <c r="AF27" s="26">
        <f t="shared" si="16"/>
        <v>0</v>
      </c>
      <c r="AG27" s="26">
        <f t="shared" si="16"/>
        <v>0</v>
      </c>
      <c r="AH27" s="26">
        <f t="shared" si="16"/>
        <v>0</v>
      </c>
      <c r="AI27" s="26">
        <f t="shared" si="16"/>
        <v>0</v>
      </c>
      <c r="AJ27" s="26">
        <f t="shared" si="16"/>
        <v>0</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c r="A28" s="17" t="s">
        <v>516</v>
      </c>
      <c r="E28" s="63">
        <f>(E27-I27)/I27</f>
        <v>-7.0728776755021802E-2</v>
      </c>
      <c r="F28" s="63">
        <f t="shared" ref="F28:BQ28" si="18">(F27-J27)/J27</f>
        <v>-7.7823356157363632E-2</v>
      </c>
      <c r="G28" s="63">
        <f t="shared" si="18"/>
        <v>-0.45178672139830617</v>
      </c>
      <c r="H28" s="63">
        <f t="shared" si="18"/>
        <v>-4.3040346086493741</v>
      </c>
      <c r="I28" s="63">
        <f t="shared" si="18"/>
        <v>2.9617834549980664</v>
      </c>
      <c r="J28" s="63">
        <f t="shared" si="18"/>
        <v>-36.618332478287044</v>
      </c>
      <c r="K28" s="63">
        <f t="shared" si="18"/>
        <v>-4.8977962033021356</v>
      </c>
      <c r="L28" s="63">
        <f t="shared" si="18"/>
        <v>13.712200030783189</v>
      </c>
      <c r="M28" s="63">
        <f t="shared" si="18"/>
        <v>-0.48778480453817002</v>
      </c>
      <c r="N28" s="63">
        <f t="shared" si="18"/>
        <v>-1.0419385779859505</v>
      </c>
      <c r="O28" s="63">
        <f t="shared" si="18"/>
        <v>-1.4650788302556985</v>
      </c>
      <c r="P28" s="63">
        <f t="shared" si="18"/>
        <v>-1.0328017513013183</v>
      </c>
      <c r="Q28" s="63">
        <f t="shared" si="18"/>
        <v>7.4661610779586593E-2</v>
      </c>
      <c r="R28" s="63">
        <f t="shared" si="18"/>
        <v>-4.8853987972108673E-2</v>
      </c>
      <c r="S28" s="63">
        <f t="shared" si="18"/>
        <v>0.91696780176033199</v>
      </c>
      <c r="T28" s="63" t="e">
        <f t="shared" si="18"/>
        <v>#DIV/0!</v>
      </c>
      <c r="U28" s="63" t="e">
        <f t="shared" si="18"/>
        <v>#DIV/0!</v>
      </c>
      <c r="V28" s="63" t="e">
        <f t="shared" si="18"/>
        <v>#DIV/0!</v>
      </c>
      <c r="W28" s="63" t="e">
        <f t="shared" si="18"/>
        <v>#DIV/0!</v>
      </c>
      <c r="X28" s="63" t="e">
        <f t="shared" si="18"/>
        <v>#DIV/0!</v>
      </c>
      <c r="Y28" s="63" t="e">
        <f t="shared" si="18"/>
        <v>#DIV/0!</v>
      </c>
      <c r="Z28" s="63" t="e">
        <f t="shared" si="18"/>
        <v>#DIV/0!</v>
      </c>
      <c r="AA28" s="63" t="e">
        <f t="shared" si="18"/>
        <v>#DIV/0!</v>
      </c>
      <c r="AB28" s="63" t="e">
        <f t="shared" si="18"/>
        <v>#DIV/0!</v>
      </c>
      <c r="AC28" s="63" t="e">
        <f t="shared" si="18"/>
        <v>#DIV/0!</v>
      </c>
      <c r="AD28" s="63" t="e">
        <f t="shared" si="18"/>
        <v>#DIV/0!</v>
      </c>
      <c r="AE28" s="63" t="e">
        <f t="shared" si="18"/>
        <v>#DIV/0!</v>
      </c>
      <c r="AF28" s="63" t="e">
        <f t="shared" si="18"/>
        <v>#DIV/0!</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c r="A29" s="235" t="s">
        <v>655</v>
      </c>
      <c r="B29" s="236"/>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row>
    <row r="30" spans="1:90">
      <c r="A30" s="113" t="s">
        <v>575</v>
      </c>
      <c r="B30" s="96"/>
      <c r="C30" s="96"/>
      <c r="D30" s="96"/>
      <c r="E30" s="96" t="s">
        <v>574</v>
      </c>
      <c r="F30" s="96"/>
      <c r="G30" s="96"/>
      <c r="H30" s="96"/>
      <c r="I30" s="96" t="s">
        <v>609</v>
      </c>
      <c r="M30" s="96" t="s">
        <v>576</v>
      </c>
      <c r="Q30" s="117" t="s">
        <v>615</v>
      </c>
      <c r="R30" s="117"/>
      <c r="S30" s="117"/>
      <c r="T30" s="117"/>
      <c r="U30" s="117" t="s">
        <v>612</v>
      </c>
      <c r="V30" s="117"/>
      <c r="W30" s="117"/>
      <c r="X30" s="117"/>
      <c r="Y30" s="117" t="s">
        <v>613</v>
      </c>
      <c r="Z30" s="117"/>
      <c r="AA30" s="117"/>
      <c r="AB30" s="117"/>
      <c r="AC30" s="117" t="s">
        <v>614</v>
      </c>
    </row>
    <row r="31" spans="1:90" s="63" customFormat="1">
      <c r="A31" s="113" t="s">
        <v>577</v>
      </c>
      <c r="B31" s="114"/>
      <c r="C31" s="114"/>
      <c r="D31" s="114"/>
      <c r="E31" s="114">
        <f>POWER(E27/U27,1/5)-1</f>
        <v>0.15173213164237298</v>
      </c>
      <c r="F31" s="114"/>
      <c r="G31" s="114"/>
      <c r="H31" s="114"/>
      <c r="I31" s="114" t="e">
        <f>POWER(E27/Y27,1/6)-1</f>
        <v>#DIV/0!</v>
      </c>
      <c r="M31" s="114" t="e">
        <f>POWER(E27/AC27,1/7)-1</f>
        <v>#DIV/0!</v>
      </c>
      <c r="Q31" s="118" t="s">
        <v>611</v>
      </c>
      <c r="R31" s="118"/>
      <c r="S31" s="118"/>
      <c r="T31" s="118"/>
      <c r="U31" s="118">
        <f>POWER(E14/U14,1/5)-1</f>
        <v>0.15418642611757161</v>
      </c>
      <c r="V31" s="118"/>
      <c r="W31" s="118"/>
      <c r="X31" s="118"/>
      <c r="Y31" s="118" t="e">
        <f>POWER(E14/Y14,1/6)-1</f>
        <v>#DIV/0!</v>
      </c>
      <c r="Z31" s="118"/>
      <c r="AA31" s="118"/>
      <c r="AB31" s="118"/>
      <c r="AC31" s="118" t="e">
        <f>POWER(E14/AC14,1/7)-1</f>
        <v>#DIV/0!</v>
      </c>
    </row>
    <row r="32" spans="1:90" s="66" customFormat="1">
      <c r="A32" s="46" t="s">
        <v>518</v>
      </c>
      <c r="E32" s="66">
        <v>0.17</v>
      </c>
    </row>
    <row r="39" spans="1:1" ht="40.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abSelected="1" topLeftCell="A43" workbookViewId="0">
      <selection activeCell="A57" sqref="A57:I57"/>
    </sheetView>
  </sheetViews>
  <sheetFormatPr defaultRowHeight="13.5"/>
  <cols>
    <col min="1" max="1" width="42.5" style="17" bestFit="1" customWidth="1"/>
    <col min="2" max="2" width="22" style="26" bestFit="1" customWidth="1"/>
    <col min="3" max="3" width="37.125" bestFit="1" customWidth="1"/>
    <col min="4" max="4" width="16.125" bestFit="1" customWidth="1"/>
    <col min="5" max="5" width="17.25" bestFit="1" customWidth="1"/>
    <col min="6" max="8" width="16.125" bestFit="1" customWidth="1"/>
    <col min="9" max="9" width="19.375" bestFit="1" customWidth="1"/>
    <col min="10" max="11" width="15" bestFit="1" customWidth="1"/>
    <col min="12" max="12" width="38.25" bestFit="1" customWidth="1"/>
    <col min="13" max="18" width="15" bestFit="1" customWidth="1"/>
    <col min="19" max="19" width="19.375" bestFit="1" customWidth="1"/>
    <col min="20" max="74" width="9.5" bestFit="1" customWidth="1"/>
  </cols>
  <sheetData>
    <row r="1" spans="1:10">
      <c r="A1" s="68" t="s">
        <v>520</v>
      </c>
      <c r="B1" s="69">
        <f>自由现金流分析表!E1</f>
        <v>43100</v>
      </c>
    </row>
    <row r="2" spans="1:10">
      <c r="A2" s="70" t="s">
        <v>521</v>
      </c>
      <c r="B2" s="71">
        <f>自由现金流分析表!E27</f>
        <v>54421469.649999999</v>
      </c>
      <c r="C2" t="s">
        <v>554</v>
      </c>
    </row>
    <row r="3" spans="1:10" s="63" customFormat="1">
      <c r="A3" s="72" t="s">
        <v>522</v>
      </c>
      <c r="B3" s="98">
        <v>0</v>
      </c>
    </row>
    <row r="4" spans="1:10" s="63" customFormat="1">
      <c r="A4" s="72" t="s">
        <v>523</v>
      </c>
      <c r="B4" s="98">
        <v>0.08</v>
      </c>
      <c r="F4" s="23"/>
    </row>
    <row r="5" spans="1:10">
      <c r="A5" s="70" t="s">
        <v>524</v>
      </c>
      <c r="B5" s="71">
        <f>B2*(1+B3)/(B4-B3)</f>
        <v>680268370.625</v>
      </c>
    </row>
    <row r="6" spans="1:10">
      <c r="A6" s="70" t="s">
        <v>525</v>
      </c>
      <c r="B6" s="71">
        <f>资产资本表!E17</f>
        <v>394785620.10000002</v>
      </c>
    </row>
    <row r="7" spans="1:10">
      <c r="A7" s="70" t="s">
        <v>526</v>
      </c>
      <c r="B7" s="71">
        <f>资产资本表!E19</f>
        <v>0</v>
      </c>
    </row>
    <row r="8" spans="1:10">
      <c r="A8" s="70" t="s">
        <v>527</v>
      </c>
      <c r="B8" s="71">
        <f>资产资本表!E89</f>
        <v>10228269.92</v>
      </c>
    </row>
    <row r="9" spans="1:10">
      <c r="A9" s="70" t="s">
        <v>528</v>
      </c>
      <c r="B9" s="71">
        <f>B5+B6+B7-B8</f>
        <v>1064825720.8049999</v>
      </c>
    </row>
    <row r="10" spans="1:10">
      <c r="A10" s="70" t="s">
        <v>529</v>
      </c>
      <c r="B10" s="73">
        <f>资产资本表!E103/资产资本表!E107</f>
        <v>4.1851264245484224E-3</v>
      </c>
    </row>
    <row r="11" spans="1:10">
      <c r="A11" s="70" t="s">
        <v>555</v>
      </c>
      <c r="B11" s="71">
        <f>B9*(1-B10)</f>
        <v>1060369290.5433202</v>
      </c>
    </row>
    <row r="12" spans="1:10">
      <c r="A12" s="70" t="s">
        <v>530</v>
      </c>
      <c r="B12" s="102">
        <f>B55</f>
        <v>106680000</v>
      </c>
    </row>
    <row r="13" spans="1:10" ht="14.25" thickBot="1">
      <c r="A13" s="74" t="s">
        <v>531</v>
      </c>
      <c r="B13" s="75">
        <f>B11/B12</f>
        <v>9.9397196338893909</v>
      </c>
    </row>
    <row r="14" spans="1:10" s="16" customFormat="1" ht="53.25" customHeight="1">
      <c r="A14" s="235"/>
      <c r="B14" s="236"/>
      <c r="C14" s="236"/>
      <c r="D14" s="236"/>
      <c r="E14" s="236"/>
      <c r="F14" s="236"/>
      <c r="G14" s="236"/>
      <c r="H14" s="236"/>
      <c r="I14" s="236"/>
    </row>
    <row r="16" spans="1:10">
      <c r="A16" s="88"/>
      <c r="B16" s="76"/>
      <c r="C16" s="77"/>
      <c r="D16" s="77"/>
      <c r="E16" s="77"/>
      <c r="F16" s="77"/>
      <c r="G16" s="77"/>
      <c r="H16" s="77"/>
      <c r="I16" s="78"/>
      <c r="J16" s="77"/>
    </row>
    <row r="17" spans="1:10" s="63" customFormat="1">
      <c r="A17" s="90"/>
      <c r="B17" s="90"/>
      <c r="C17" s="90" t="s">
        <v>547</v>
      </c>
      <c r="D17" s="90">
        <v>0.09</v>
      </c>
      <c r="E17" s="90"/>
      <c r="F17" s="90"/>
      <c r="G17" s="90"/>
      <c r="H17" s="90" t="s">
        <v>548</v>
      </c>
      <c r="I17" s="90">
        <v>0.05</v>
      </c>
      <c r="J17" s="78"/>
    </row>
    <row r="18" spans="1:10" s="2" customFormat="1">
      <c r="A18" s="250" t="s">
        <v>532</v>
      </c>
      <c r="B18" s="250"/>
      <c r="C18" s="65" t="s">
        <v>546</v>
      </c>
      <c r="D18" s="97">
        <v>1</v>
      </c>
      <c r="E18" s="97">
        <v>2</v>
      </c>
      <c r="F18" s="97">
        <v>3</v>
      </c>
      <c r="G18" s="97">
        <v>4</v>
      </c>
      <c r="H18" s="97">
        <v>5</v>
      </c>
      <c r="I18" s="96">
        <v>6</v>
      </c>
      <c r="J18" s="80"/>
    </row>
    <row r="19" spans="1:10" s="26" customFormat="1">
      <c r="A19" s="99" t="s">
        <v>533</v>
      </c>
      <c r="B19" s="94"/>
      <c r="C19" s="89">
        <f>B2</f>
        <v>54421469.649999999</v>
      </c>
      <c r="D19" s="89">
        <f>C19*(1+$D$17)</f>
        <v>59319401.918500006</v>
      </c>
      <c r="E19" s="89">
        <f>D19*(1+$D$17)</f>
        <v>64658148.091165014</v>
      </c>
      <c r="F19" s="89">
        <f>E19*(1+$D$17)</f>
        <v>70477381.419369876</v>
      </c>
      <c r="G19" s="89">
        <f>F19*(1+$D$17)</f>
        <v>76820345.747113168</v>
      </c>
      <c r="H19" s="89">
        <f>G19*(1+$D$17)</f>
        <v>83734176.864353359</v>
      </c>
      <c r="I19" s="89">
        <f>H19*(1+I17)</f>
        <v>87920885.70757103</v>
      </c>
      <c r="J19" s="76"/>
    </row>
    <row r="20" spans="1:10" s="26" customFormat="1">
      <c r="A20" s="99" t="s">
        <v>534</v>
      </c>
      <c r="B20" s="95">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c r="A21" s="251" t="s">
        <v>535</v>
      </c>
      <c r="B21" s="251"/>
      <c r="C21" s="89"/>
      <c r="D21" s="89">
        <f>D19/D20</f>
        <v>54925372.146759264</v>
      </c>
      <c r="E21" s="89">
        <f>E19/E20</f>
        <v>55433940.407377407</v>
      </c>
      <c r="F21" s="89">
        <f>F19/F20</f>
        <v>55947217.633371651</v>
      </c>
      <c r="G21" s="89">
        <f>G19/G20</f>
        <v>56465247.426273234</v>
      </c>
      <c r="H21" s="89">
        <f>H19/H20</f>
        <v>56988073.791331328</v>
      </c>
      <c r="I21" s="89">
        <f>I19/((B20-I17)*I20)</f>
        <v>1846835724.7190707</v>
      </c>
      <c r="J21" s="76"/>
    </row>
    <row r="22" spans="1:10" s="26" customFormat="1">
      <c r="A22" s="251" t="s">
        <v>553</v>
      </c>
      <c r="B22" s="251"/>
      <c r="C22" s="89"/>
      <c r="D22" s="247">
        <f>SUM(D21:H21)</f>
        <v>279759851.40511286</v>
      </c>
      <c r="E22" s="248"/>
      <c r="F22" s="248"/>
      <c r="G22" s="248"/>
      <c r="H22" s="249"/>
      <c r="I22" s="89">
        <f>I21</f>
        <v>1846835724.7190707</v>
      </c>
      <c r="J22" s="76"/>
    </row>
    <row r="23" spans="1:10">
      <c r="A23" s="92" t="s">
        <v>536</v>
      </c>
      <c r="B23" s="76">
        <f>D22+I22</f>
        <v>2126595576.1241837</v>
      </c>
      <c r="C23" s="77"/>
      <c r="D23" s="77"/>
      <c r="E23" s="77"/>
      <c r="F23" s="77"/>
      <c r="G23" s="77"/>
      <c r="H23" s="77"/>
      <c r="I23" s="79"/>
      <c r="J23" s="77"/>
    </row>
    <row r="24" spans="1:10">
      <c r="A24" s="92" t="s">
        <v>537</v>
      </c>
      <c r="B24" s="76">
        <f>B23</f>
        <v>2126595576.1241837</v>
      </c>
      <c r="C24" s="77"/>
      <c r="D24" s="77"/>
      <c r="E24" s="77"/>
      <c r="F24" s="77"/>
      <c r="G24" s="77"/>
      <c r="H24" s="77"/>
      <c r="I24" s="79"/>
      <c r="J24" s="77"/>
    </row>
    <row r="25" spans="1:10">
      <c r="A25" s="70" t="s">
        <v>538</v>
      </c>
      <c r="B25" s="71">
        <f>资产资本表!E17</f>
        <v>394785620.10000002</v>
      </c>
      <c r="C25" s="77"/>
      <c r="D25" s="77"/>
      <c r="E25" s="77"/>
      <c r="F25" s="77"/>
      <c r="G25" s="77"/>
      <c r="H25" s="77"/>
      <c r="I25" s="79"/>
      <c r="J25" s="77"/>
    </row>
    <row r="26" spans="1:10">
      <c r="A26" s="70" t="s">
        <v>539</v>
      </c>
      <c r="B26" s="71">
        <f>资产资本表!E19</f>
        <v>0</v>
      </c>
      <c r="C26" s="77"/>
      <c r="D26" s="77"/>
      <c r="E26" s="77"/>
      <c r="F26" s="77"/>
      <c r="G26" s="77"/>
      <c r="H26" s="77"/>
      <c r="I26" s="79"/>
      <c r="J26" s="77"/>
    </row>
    <row r="27" spans="1:10">
      <c r="A27" s="70" t="s">
        <v>540</v>
      </c>
      <c r="B27" s="71">
        <f>资产资本表!E89</f>
        <v>10228269.92</v>
      </c>
      <c r="C27" s="77"/>
      <c r="D27" s="77"/>
      <c r="E27" s="77"/>
      <c r="F27" s="77"/>
      <c r="G27" s="77"/>
      <c r="H27" s="77"/>
      <c r="I27" s="79"/>
      <c r="J27" s="77"/>
    </row>
    <row r="28" spans="1:10" s="2" customFormat="1">
      <c r="A28" s="82" t="s">
        <v>541</v>
      </c>
      <c r="B28" s="83">
        <f>B24+B25+B26-B27</f>
        <v>2511152926.3041835</v>
      </c>
      <c r="C28" s="80"/>
      <c r="D28" s="80"/>
      <c r="E28" s="80"/>
      <c r="F28" s="80"/>
      <c r="G28" s="80"/>
      <c r="H28" s="80"/>
      <c r="I28" s="81"/>
      <c r="J28" s="80"/>
    </row>
    <row r="29" spans="1:10">
      <c r="A29" s="70" t="s">
        <v>542</v>
      </c>
      <c r="B29" s="78">
        <f>资产资本表!E103/资产资本表!E107</f>
        <v>4.1851264245484224E-3</v>
      </c>
      <c r="C29" s="252" t="s">
        <v>549</v>
      </c>
      <c r="D29" s="252"/>
      <c r="E29" s="252"/>
      <c r="F29" s="77"/>
      <c r="G29" s="77"/>
      <c r="H29" s="77"/>
      <c r="I29" s="79"/>
      <c r="J29" s="77"/>
    </row>
    <row r="30" spans="1:10" s="2" customFormat="1">
      <c r="A30" s="82" t="s">
        <v>543</v>
      </c>
      <c r="B30" s="83">
        <f>B28*(1-B29)</f>
        <v>2500643433.836226</v>
      </c>
      <c r="C30" s="91">
        <v>0.4</v>
      </c>
      <c r="D30" s="91">
        <v>0.3</v>
      </c>
      <c r="E30" s="91">
        <v>0.2</v>
      </c>
      <c r="F30" s="80"/>
      <c r="G30" s="80"/>
      <c r="H30" s="80"/>
      <c r="I30" s="81"/>
      <c r="J30" s="80"/>
    </row>
    <row r="31" spans="1:10">
      <c r="A31" s="70" t="s">
        <v>545</v>
      </c>
      <c r="B31" s="101">
        <f>B55</f>
        <v>106680000</v>
      </c>
      <c r="C31" s="64">
        <f>$B$32*(1-C30)</f>
        <v>14.06436127017</v>
      </c>
      <c r="D31" s="64">
        <f>$B$32*(1-D30)</f>
        <v>16.408421481864998</v>
      </c>
      <c r="E31" s="64">
        <f>$B$32*(1-E30)</f>
        <v>18.75248169356</v>
      </c>
      <c r="F31" s="77"/>
      <c r="G31" s="77"/>
      <c r="H31" s="77"/>
      <c r="I31" s="79"/>
      <c r="J31" s="77"/>
    </row>
    <row r="32" spans="1:10" s="2" customFormat="1" ht="14.25" thickBot="1">
      <c r="A32" s="84" t="s">
        <v>544</v>
      </c>
      <c r="B32" s="85">
        <f>B30/B31</f>
        <v>23.44060211695</v>
      </c>
      <c r="C32" s="86"/>
      <c r="D32" s="86"/>
      <c r="E32" s="86"/>
      <c r="F32" s="86"/>
      <c r="G32" s="86"/>
      <c r="H32" s="86"/>
      <c r="I32" s="87"/>
      <c r="J32" s="80"/>
    </row>
    <row r="33" spans="1:19" ht="63" customHeight="1">
      <c r="A33" s="253"/>
      <c r="B33" s="254"/>
      <c r="C33" s="254"/>
      <c r="D33" s="254"/>
      <c r="E33" s="254"/>
      <c r="F33" s="254"/>
      <c r="G33" s="254"/>
      <c r="H33" s="254"/>
      <c r="I33" s="254"/>
    </row>
    <row r="37" spans="1:19" s="63" customFormat="1">
      <c r="A37" s="216"/>
      <c r="B37" s="216"/>
      <c r="C37" s="227" t="s">
        <v>547</v>
      </c>
      <c r="D37" s="227">
        <v>0.15</v>
      </c>
      <c r="E37" s="227"/>
      <c r="F37" s="227"/>
      <c r="G37" s="227"/>
      <c r="H37" s="227" t="s">
        <v>647</v>
      </c>
      <c r="I37" s="227">
        <v>0.09</v>
      </c>
      <c r="J37" s="227"/>
      <c r="K37" s="227"/>
      <c r="L37" s="227"/>
      <c r="M37" s="227"/>
      <c r="N37" s="227"/>
      <c r="O37" s="227"/>
      <c r="P37" s="227"/>
      <c r="Q37" s="227"/>
      <c r="R37" s="227" t="s">
        <v>552</v>
      </c>
      <c r="S37" s="227">
        <v>0.02</v>
      </c>
    </row>
    <row r="38" spans="1:19" s="24" customFormat="1">
      <c r="A38" s="261" t="s">
        <v>550</v>
      </c>
      <c r="B38" s="262"/>
      <c r="C38" s="229" t="s">
        <v>546</v>
      </c>
      <c r="D38" s="230">
        <v>1</v>
      </c>
      <c r="E38" s="230">
        <v>2</v>
      </c>
      <c r="F38" s="230">
        <v>3</v>
      </c>
      <c r="G38" s="230">
        <v>4</v>
      </c>
      <c r="H38" s="230">
        <v>5</v>
      </c>
      <c r="I38" s="231">
        <v>6</v>
      </c>
      <c r="J38" s="231">
        <v>7</v>
      </c>
      <c r="K38" s="231">
        <v>8</v>
      </c>
      <c r="L38" s="231">
        <v>9</v>
      </c>
      <c r="M38" s="231">
        <v>10</v>
      </c>
      <c r="N38" s="231">
        <v>11</v>
      </c>
      <c r="O38" s="231">
        <v>12</v>
      </c>
      <c r="P38" s="231">
        <v>13</v>
      </c>
      <c r="Q38" s="231">
        <v>14</v>
      </c>
      <c r="R38" s="231">
        <v>15</v>
      </c>
      <c r="S38" s="232">
        <v>16</v>
      </c>
    </row>
    <row r="39" spans="1:19" s="23" customFormat="1">
      <c r="A39" s="222" t="s">
        <v>533</v>
      </c>
      <c r="B39" s="223"/>
      <c r="C39" s="228">
        <f>B2</f>
        <v>54421469.649999999</v>
      </c>
      <c r="D39" s="228">
        <f>$C$39*(1+$D$37)^D38</f>
        <v>62584690.097499996</v>
      </c>
      <c r="E39" s="228">
        <f>$C$39*(1+$D$37)^E38</f>
        <v>71972393.612124979</v>
      </c>
      <c r="F39" s="228">
        <f>$C$39*(1+$D$37)^F38</f>
        <v>82768252.653943717</v>
      </c>
      <c r="G39" s="228">
        <f>$C$39*(1+$D$37)^G38</f>
        <v>95183490.552035272</v>
      </c>
      <c r="H39" s="228">
        <f>$C$39*(1+$D$37)^H38</f>
        <v>109461014.13484058</v>
      </c>
      <c r="I39" s="228">
        <f>H39*(1+$I$37)</f>
        <v>119312505.40697624</v>
      </c>
      <c r="J39" s="228">
        <f t="shared" ref="J39:N39" si="1">I39*(1+$I$37)</f>
        <v>130050630.89360411</v>
      </c>
      <c r="K39" s="228">
        <f t="shared" si="1"/>
        <v>141755187.67402849</v>
      </c>
      <c r="L39" s="228">
        <f t="shared" si="1"/>
        <v>154513154.56469107</v>
      </c>
      <c r="M39" s="228">
        <f t="shared" si="1"/>
        <v>168419338.47551328</v>
      </c>
      <c r="N39" s="228">
        <f t="shared" si="1"/>
        <v>183577078.93830949</v>
      </c>
      <c r="O39" s="228">
        <f t="shared" ref="O39" si="2">N39*(1+$I$37)</f>
        <v>200099016.04275736</v>
      </c>
      <c r="P39" s="228">
        <f t="shared" ref="P39" si="3">O39*(1+$I$37)</f>
        <v>218107927.48660555</v>
      </c>
      <c r="Q39" s="228">
        <f t="shared" ref="Q39" si="4">P39*(1+$I$37)</f>
        <v>237737640.96040007</v>
      </c>
      <c r="R39" s="228">
        <f t="shared" ref="R39" si="5">Q39*(1+$I$37)</f>
        <v>259134028.6468361</v>
      </c>
      <c r="S39" s="228">
        <f>R39*(1+S37)</f>
        <v>264316709.21977282</v>
      </c>
    </row>
    <row r="40" spans="1:19" s="23" customFormat="1">
      <c r="A40" s="222" t="s">
        <v>534</v>
      </c>
      <c r="B40" s="221">
        <v>0.09</v>
      </c>
      <c r="C40" s="228"/>
      <c r="D40" s="228">
        <f>(1+$B$40)^D38</f>
        <v>1.0900000000000001</v>
      </c>
      <c r="E40" s="228">
        <f t="shared" ref="E40:R40" si="6">(1+$B$40)^E38</f>
        <v>1.1881000000000002</v>
      </c>
      <c r="F40" s="228">
        <f t="shared" si="6"/>
        <v>1.2950290000000002</v>
      </c>
      <c r="G40" s="228">
        <f t="shared" si="6"/>
        <v>1.4115816100000003</v>
      </c>
      <c r="H40" s="228">
        <f t="shared" si="6"/>
        <v>1.5386239549000005</v>
      </c>
      <c r="I40" s="228">
        <f t="shared" si="6"/>
        <v>1.6771001108410006</v>
      </c>
      <c r="J40" s="228">
        <f t="shared" si="6"/>
        <v>1.8280391208166906</v>
      </c>
      <c r="K40" s="228">
        <f t="shared" si="6"/>
        <v>1.9925626416901929</v>
      </c>
      <c r="L40" s="228">
        <f t="shared" si="6"/>
        <v>2.1718932794423105</v>
      </c>
      <c r="M40" s="228">
        <f t="shared" si="6"/>
        <v>2.3673636745921187</v>
      </c>
      <c r="N40" s="228">
        <f t="shared" si="6"/>
        <v>2.5804264053054093</v>
      </c>
      <c r="O40" s="228">
        <f t="shared" si="6"/>
        <v>2.812664781782896</v>
      </c>
      <c r="P40" s="228">
        <f t="shared" si="6"/>
        <v>3.0658046121433573</v>
      </c>
      <c r="Q40" s="228">
        <f t="shared" si="6"/>
        <v>3.3417270272362596</v>
      </c>
      <c r="R40" s="228">
        <f t="shared" si="6"/>
        <v>3.6424824596875229</v>
      </c>
      <c r="S40" s="195">
        <f>(1+$B$40)^S38</f>
        <v>3.9703058810594003</v>
      </c>
    </row>
    <row r="41" spans="1:19" s="23" customFormat="1">
      <c r="A41" s="263" t="s">
        <v>535</v>
      </c>
      <c r="B41" s="264"/>
      <c r="C41" s="228"/>
      <c r="D41" s="228">
        <f t="shared" ref="D41:R41" si="7">D39/D40</f>
        <v>57417146.878440358</v>
      </c>
      <c r="E41" s="228">
        <f t="shared" si="7"/>
        <v>60577723.770831555</v>
      </c>
      <c r="F41" s="228">
        <f t="shared" si="7"/>
        <v>63912277.372895665</v>
      </c>
      <c r="G41" s="228">
        <f t="shared" si="7"/>
        <v>67430384.38424772</v>
      </c>
      <c r="H41" s="228">
        <f t="shared" si="7"/>
        <v>71142148.66227971</v>
      </c>
      <c r="I41" s="228">
        <f t="shared" si="7"/>
        <v>71142148.66227971</v>
      </c>
      <c r="J41" s="228">
        <f t="shared" si="7"/>
        <v>71142148.66227971</v>
      </c>
      <c r="K41" s="228">
        <f t="shared" si="7"/>
        <v>71142148.66227971</v>
      </c>
      <c r="L41" s="228">
        <f t="shared" si="7"/>
        <v>71142148.66227971</v>
      </c>
      <c r="M41" s="228">
        <f t="shared" si="7"/>
        <v>71142148.66227971</v>
      </c>
      <c r="N41" s="228">
        <f t="shared" si="7"/>
        <v>71142148.662279725</v>
      </c>
      <c r="O41" s="228">
        <f t="shared" si="7"/>
        <v>71142148.662279725</v>
      </c>
      <c r="P41" s="228">
        <f t="shared" si="7"/>
        <v>71142148.662279725</v>
      </c>
      <c r="Q41" s="228">
        <f t="shared" si="7"/>
        <v>71142148.662279725</v>
      </c>
      <c r="R41" s="228">
        <f t="shared" si="7"/>
        <v>71142148.66227974</v>
      </c>
      <c r="S41" s="228">
        <f>S39/((B40-S37)*S40)</f>
        <v>951048383.16546953</v>
      </c>
    </row>
    <row r="42" spans="1:19" s="23" customFormat="1">
      <c r="A42" s="263" t="s">
        <v>553</v>
      </c>
      <c r="B42" s="264"/>
      <c r="C42" s="228"/>
      <c r="D42" s="258">
        <f>SUM(D41:H41)</f>
        <v>320479681.06869501</v>
      </c>
      <c r="E42" s="259"/>
      <c r="F42" s="259"/>
      <c r="G42" s="259"/>
      <c r="H42" s="260"/>
      <c r="I42" s="258">
        <f>SUM(I41:R41)</f>
        <v>711421486.62279725</v>
      </c>
      <c r="J42" s="259"/>
      <c r="K42" s="259"/>
      <c r="L42" s="259"/>
      <c r="M42" s="259"/>
      <c r="N42" s="259"/>
      <c r="O42" s="259"/>
      <c r="P42" s="259"/>
      <c r="Q42" s="259"/>
      <c r="R42" s="260"/>
      <c r="S42" s="228">
        <f>S41</f>
        <v>951048383.16546953</v>
      </c>
    </row>
    <row r="43" spans="1:19">
      <c r="A43" s="218" t="s">
        <v>551</v>
      </c>
      <c r="B43" s="209">
        <f>D42+I42+S42</f>
        <v>1982949550.8569617</v>
      </c>
      <c r="C43" s="210"/>
      <c r="D43" s="210"/>
      <c r="E43" s="210"/>
      <c r="F43" s="210"/>
      <c r="G43" s="210"/>
      <c r="H43" s="210"/>
      <c r="I43" s="210"/>
      <c r="J43" s="210"/>
      <c r="K43" s="210"/>
      <c r="L43" s="210"/>
      <c r="M43" s="210"/>
      <c r="N43" s="210"/>
      <c r="O43" s="210"/>
      <c r="P43" s="210"/>
      <c r="Q43" s="210"/>
      <c r="R43" s="210"/>
      <c r="S43" s="212"/>
    </row>
    <row r="44" spans="1:19">
      <c r="A44" s="218" t="s">
        <v>537</v>
      </c>
      <c r="B44" s="209">
        <f>B43</f>
        <v>1982949550.8569617</v>
      </c>
      <c r="C44" s="210"/>
      <c r="D44" s="210"/>
      <c r="E44" s="210"/>
      <c r="F44" s="210"/>
      <c r="G44" s="210"/>
      <c r="H44" s="210"/>
      <c r="I44" s="210"/>
      <c r="J44" s="210"/>
      <c r="K44" s="210"/>
      <c r="L44" s="210"/>
      <c r="M44" s="210"/>
      <c r="N44" s="210"/>
      <c r="O44" s="210"/>
      <c r="P44" s="210"/>
      <c r="Q44" s="210"/>
      <c r="R44" s="210"/>
      <c r="S44" s="212"/>
    </row>
    <row r="45" spans="1:19">
      <c r="A45" s="208" t="s">
        <v>538</v>
      </c>
      <c r="B45" s="209">
        <f>资产资本表!E17</f>
        <v>394785620.10000002</v>
      </c>
      <c r="C45" s="210"/>
      <c r="D45" s="210"/>
      <c r="E45" s="210"/>
      <c r="F45" s="210"/>
      <c r="G45" s="210"/>
      <c r="H45" s="210"/>
      <c r="I45" s="210"/>
      <c r="J45" s="210"/>
      <c r="K45" s="210"/>
      <c r="L45" s="210"/>
      <c r="M45" s="210"/>
      <c r="N45" s="210"/>
      <c r="O45" s="210"/>
      <c r="P45" s="210"/>
      <c r="Q45" s="210"/>
      <c r="R45" s="210"/>
      <c r="S45" s="212"/>
    </row>
    <row r="46" spans="1:19">
      <c r="A46" s="208" t="s">
        <v>539</v>
      </c>
      <c r="B46" s="209">
        <f>资产资本表!E19</f>
        <v>0</v>
      </c>
      <c r="C46" s="210"/>
      <c r="D46" s="210"/>
      <c r="E46" s="210"/>
      <c r="F46" s="210"/>
      <c r="G46" s="210"/>
      <c r="H46" s="210"/>
      <c r="I46" s="210"/>
      <c r="J46" s="210"/>
      <c r="K46" s="210"/>
      <c r="L46" s="210"/>
      <c r="M46" s="210"/>
      <c r="N46" s="210"/>
      <c r="O46" s="210"/>
      <c r="P46" s="210"/>
      <c r="Q46" s="210"/>
      <c r="R46" s="210"/>
      <c r="S46" s="212"/>
    </row>
    <row r="47" spans="1:19">
      <c r="A47" s="208" t="s">
        <v>540</v>
      </c>
      <c r="B47" s="209">
        <f>资产资本表!E89</f>
        <v>10228269.92</v>
      </c>
      <c r="C47" s="210"/>
      <c r="D47" s="210"/>
      <c r="E47" s="210"/>
      <c r="F47" s="210"/>
      <c r="G47" s="210"/>
      <c r="H47" s="210"/>
      <c r="I47" s="210"/>
      <c r="J47" s="210"/>
      <c r="K47" s="210"/>
      <c r="L47" s="210"/>
      <c r="M47" s="210"/>
      <c r="N47" s="210"/>
      <c r="O47" s="210"/>
      <c r="P47" s="210"/>
      <c r="Q47" s="210"/>
      <c r="R47" s="210"/>
      <c r="S47" s="212"/>
    </row>
    <row r="48" spans="1:19">
      <c r="A48" s="213" t="s">
        <v>541</v>
      </c>
      <c r="B48" s="209">
        <f>B44+B45+B46-B47</f>
        <v>2367506901.0369616</v>
      </c>
      <c r="C48" s="210"/>
      <c r="D48" s="210"/>
      <c r="E48" s="210"/>
      <c r="F48" s="210"/>
      <c r="G48" s="210"/>
      <c r="H48" s="210"/>
      <c r="I48" s="210"/>
      <c r="J48" s="210"/>
      <c r="K48" s="210"/>
      <c r="L48" s="210"/>
      <c r="M48" s="210"/>
      <c r="N48" s="210"/>
      <c r="O48" s="210"/>
      <c r="P48" s="210"/>
      <c r="Q48" s="210"/>
      <c r="R48" s="210"/>
      <c r="S48" s="212"/>
    </row>
    <row r="49" spans="1:74">
      <c r="A49" s="208" t="s">
        <v>542</v>
      </c>
      <c r="B49" s="211">
        <f>资产资本表!E103/资产资本表!E107</f>
        <v>4.1851264245484224E-3</v>
      </c>
      <c r="C49" s="210"/>
      <c r="D49" s="210"/>
      <c r="E49" s="210"/>
      <c r="F49" s="210"/>
      <c r="G49" s="210"/>
      <c r="H49" s="210"/>
      <c r="I49" s="210"/>
      <c r="J49" s="210"/>
      <c r="K49" s="210"/>
      <c r="L49" s="210"/>
      <c r="M49" s="210"/>
      <c r="N49" s="210"/>
      <c r="O49" s="210"/>
      <c r="P49" s="210"/>
      <c r="Q49" s="210"/>
      <c r="R49" s="210"/>
      <c r="S49" s="212"/>
      <c r="T49" s="202"/>
      <c r="U49" s="202"/>
      <c r="V49" s="202"/>
      <c r="W49" s="202"/>
      <c r="X49" s="202"/>
      <c r="Y49" s="202"/>
      <c r="Z49" s="202"/>
      <c r="AA49" s="202"/>
      <c r="AB49" s="202"/>
      <c r="AC49" s="202"/>
      <c r="AD49" s="202"/>
      <c r="AE49" s="202"/>
      <c r="AF49" s="202"/>
      <c r="AG49" s="202"/>
      <c r="AH49" s="202"/>
      <c r="AI49" s="202"/>
      <c r="AJ49" s="202"/>
      <c r="AK49" s="202"/>
      <c r="AL49" s="202"/>
      <c r="AM49" s="202"/>
      <c r="AN49" s="202"/>
      <c r="AO49" s="202"/>
      <c r="AP49" s="202"/>
      <c r="AQ49" s="202"/>
      <c r="AR49" s="202"/>
      <c r="AS49" s="202"/>
      <c r="AT49" s="202"/>
      <c r="AU49" s="202"/>
      <c r="AV49" s="202"/>
      <c r="AW49" s="202"/>
      <c r="AX49" s="202"/>
      <c r="AY49" s="202"/>
      <c r="AZ49" s="202"/>
      <c r="BA49" s="202"/>
      <c r="BB49" s="202"/>
      <c r="BC49" s="202"/>
      <c r="BD49" s="202"/>
      <c r="BE49" s="202"/>
      <c r="BF49" s="202"/>
      <c r="BG49" s="202"/>
      <c r="BH49" s="202"/>
      <c r="BI49" s="202"/>
      <c r="BJ49" s="202"/>
      <c r="BK49" s="202"/>
      <c r="BL49" s="202"/>
      <c r="BM49" s="202"/>
      <c r="BN49" s="202"/>
      <c r="BO49" s="202"/>
      <c r="BP49" s="202"/>
      <c r="BQ49" s="202"/>
      <c r="BR49" s="202"/>
      <c r="BS49" s="202"/>
      <c r="BT49" s="202"/>
      <c r="BU49" s="202"/>
      <c r="BV49" s="202"/>
    </row>
    <row r="50" spans="1:74">
      <c r="A50" s="213" t="s">
        <v>543</v>
      </c>
      <c r="B50" s="209">
        <f>B48*(1-B49)</f>
        <v>2357598585.3451309</v>
      </c>
      <c r="C50" s="255" t="s">
        <v>549</v>
      </c>
      <c r="D50" s="256"/>
      <c r="E50" s="257"/>
      <c r="F50" s="210"/>
      <c r="G50" s="210"/>
      <c r="H50" s="210"/>
      <c r="I50" s="210"/>
      <c r="J50" s="210"/>
      <c r="K50" s="210"/>
      <c r="L50" s="210"/>
      <c r="M50" s="210"/>
      <c r="N50" s="210"/>
      <c r="O50" s="210"/>
      <c r="P50" s="210"/>
      <c r="Q50" s="210"/>
      <c r="R50" s="210"/>
      <c r="S50" s="212"/>
      <c r="T50" s="202"/>
      <c r="U50" s="202"/>
      <c r="V50" s="202"/>
      <c r="W50" s="202"/>
      <c r="X50" s="202"/>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c r="BA50" s="202"/>
      <c r="BB50" s="202"/>
      <c r="BC50" s="202"/>
      <c r="BD50" s="202"/>
      <c r="BE50" s="202"/>
      <c r="BF50" s="202"/>
      <c r="BG50" s="202"/>
      <c r="BH50" s="202"/>
      <c r="BI50" s="202"/>
      <c r="BJ50" s="202"/>
      <c r="BK50" s="202"/>
      <c r="BL50" s="202"/>
      <c r="BM50" s="202"/>
      <c r="BN50" s="202"/>
      <c r="BO50" s="202"/>
      <c r="BP50" s="202"/>
      <c r="BQ50" s="202"/>
      <c r="BR50" s="202"/>
      <c r="BS50" s="202"/>
      <c r="BT50" s="202"/>
      <c r="BU50" s="202"/>
      <c r="BV50" s="202"/>
    </row>
    <row r="51" spans="1:74">
      <c r="A51" s="208" t="s">
        <v>545</v>
      </c>
      <c r="B51" s="224">
        <f>B55</f>
        <v>106680000</v>
      </c>
      <c r="C51" s="217">
        <v>0.4</v>
      </c>
      <c r="D51" s="217">
        <v>0.3</v>
      </c>
      <c r="E51" s="217">
        <v>0.2</v>
      </c>
      <c r="F51" s="210"/>
      <c r="G51" s="210"/>
      <c r="H51" s="210"/>
      <c r="I51" s="210"/>
      <c r="J51" s="210"/>
      <c r="K51" s="210"/>
      <c r="L51" s="210"/>
      <c r="M51" s="210"/>
      <c r="N51" s="210"/>
      <c r="O51" s="210"/>
      <c r="P51" s="210"/>
      <c r="Q51" s="210"/>
      <c r="R51" s="210"/>
      <c r="S51" s="212"/>
      <c r="T51" s="202"/>
      <c r="U51" s="202"/>
      <c r="V51" s="202"/>
      <c r="W51" s="202"/>
      <c r="X51" s="202"/>
      <c r="Y51" s="202"/>
      <c r="Z51" s="202"/>
      <c r="AA51" s="202"/>
      <c r="AB51" s="202"/>
      <c r="AC51" s="202"/>
      <c r="AD51" s="202"/>
      <c r="AE51" s="202"/>
      <c r="AF51" s="202"/>
      <c r="AG51" s="202"/>
      <c r="AH51" s="202"/>
      <c r="AI51" s="202"/>
      <c r="AJ51" s="202"/>
      <c r="AK51" s="202"/>
      <c r="AL51" s="202"/>
      <c r="AM51" s="202"/>
      <c r="AN51" s="202"/>
      <c r="AO51" s="202"/>
      <c r="AP51" s="202"/>
      <c r="AQ51" s="202"/>
      <c r="AR51" s="202"/>
      <c r="AS51" s="202"/>
      <c r="AT51" s="202"/>
      <c r="AU51" s="202"/>
      <c r="AV51" s="202"/>
      <c r="AW51" s="202"/>
      <c r="AX51" s="202"/>
      <c r="AY51" s="202"/>
      <c r="AZ51" s="202"/>
      <c r="BA51" s="202"/>
      <c r="BB51" s="202"/>
      <c r="BC51" s="202"/>
      <c r="BD51" s="202"/>
      <c r="BE51" s="202"/>
      <c r="BF51" s="202"/>
      <c r="BG51" s="202"/>
      <c r="BH51" s="202"/>
      <c r="BI51" s="202"/>
      <c r="BJ51" s="202"/>
      <c r="BK51" s="202"/>
      <c r="BL51" s="202"/>
      <c r="BM51" s="202"/>
      <c r="BN51" s="202"/>
      <c r="BO51" s="202"/>
      <c r="BP51" s="202"/>
      <c r="BQ51" s="202"/>
      <c r="BR51" s="202"/>
      <c r="BS51" s="202"/>
      <c r="BT51" s="202"/>
      <c r="BU51" s="202"/>
      <c r="BV51" s="202"/>
    </row>
    <row r="52" spans="1:74" ht="14.25" thickBot="1">
      <c r="A52" s="214" t="s">
        <v>544</v>
      </c>
      <c r="B52" s="219">
        <f>B50/B51</f>
        <v>22.099724272076593</v>
      </c>
      <c r="C52" s="220">
        <f>$B$52*(1-C51)</f>
        <v>13.259834563245954</v>
      </c>
      <c r="D52" s="220">
        <f>$B$52*(1-D51)</f>
        <v>15.469806990453614</v>
      </c>
      <c r="E52" s="220">
        <f>$B$52*(1-E51)</f>
        <v>17.679779417661276</v>
      </c>
      <c r="F52" s="206"/>
      <c r="G52" s="206"/>
      <c r="H52" s="206"/>
      <c r="I52" s="206"/>
      <c r="J52" s="206"/>
      <c r="K52" s="206"/>
      <c r="L52" s="206"/>
      <c r="M52" s="206"/>
      <c r="N52" s="206"/>
      <c r="O52" s="206"/>
      <c r="P52" s="206"/>
      <c r="Q52" s="206"/>
      <c r="R52" s="206"/>
      <c r="S52" s="215"/>
      <c r="T52" s="202"/>
      <c r="U52" s="202"/>
      <c r="V52" s="202"/>
      <c r="W52" s="202"/>
      <c r="X52" s="202"/>
      <c r="Y52" s="202"/>
      <c r="Z52" s="202"/>
      <c r="AA52" s="202"/>
      <c r="AB52" s="202"/>
      <c r="AC52" s="202"/>
      <c r="AD52" s="202"/>
      <c r="AE52" s="202"/>
      <c r="AF52" s="202"/>
      <c r="AG52" s="202"/>
      <c r="AH52" s="202"/>
      <c r="AI52" s="202"/>
      <c r="AJ52" s="202"/>
      <c r="AK52" s="202"/>
      <c r="AL52" s="202"/>
      <c r="AM52" s="202"/>
      <c r="AN52" s="202"/>
      <c r="AO52" s="202"/>
      <c r="AP52" s="202"/>
      <c r="AQ52" s="202"/>
      <c r="AR52" s="202"/>
      <c r="AS52" s="202"/>
      <c r="AT52" s="202"/>
      <c r="AU52" s="202"/>
      <c r="AV52" s="202"/>
      <c r="AW52" s="202"/>
      <c r="AX52" s="202"/>
      <c r="AY52" s="202"/>
      <c r="AZ52" s="202"/>
      <c r="BA52" s="202"/>
      <c r="BB52" s="202"/>
      <c r="BC52" s="202"/>
      <c r="BD52" s="202"/>
      <c r="BE52" s="202"/>
      <c r="BF52" s="202"/>
      <c r="BG52" s="202"/>
      <c r="BH52" s="202"/>
      <c r="BI52" s="202"/>
      <c r="BJ52" s="202"/>
      <c r="BK52" s="202"/>
      <c r="BL52" s="202"/>
      <c r="BM52" s="202"/>
      <c r="BN52" s="202"/>
      <c r="BO52" s="202"/>
      <c r="BP52" s="202"/>
      <c r="BQ52" s="202"/>
      <c r="BR52" s="202"/>
      <c r="BS52" s="202"/>
      <c r="BT52" s="202"/>
      <c r="BU52" s="202"/>
      <c r="BV52" s="202"/>
    </row>
    <row r="53" spans="1:74" ht="12.75" customHeight="1" thickBot="1">
      <c r="A53" s="204"/>
      <c r="B53" s="205"/>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2"/>
      <c r="AH53" s="202"/>
      <c r="AI53" s="202"/>
      <c r="AJ53" s="202"/>
      <c r="AK53" s="202"/>
      <c r="AL53" s="202"/>
      <c r="AM53" s="202"/>
      <c r="AN53" s="202"/>
      <c r="AO53" s="202"/>
      <c r="AP53" s="202"/>
      <c r="AQ53" s="202"/>
      <c r="AR53" s="202"/>
      <c r="AS53" s="202"/>
      <c r="AT53" s="202"/>
      <c r="AU53" s="202"/>
      <c r="AV53" s="202"/>
      <c r="AW53" s="202"/>
      <c r="AX53" s="202"/>
      <c r="AY53" s="202"/>
      <c r="AZ53" s="202"/>
      <c r="BA53" s="202"/>
      <c r="BB53" s="202"/>
      <c r="BC53" s="202"/>
      <c r="BD53" s="202"/>
      <c r="BE53" s="202"/>
      <c r="BF53" s="202"/>
      <c r="BG53" s="202"/>
      <c r="BH53" s="202"/>
      <c r="BI53" s="202"/>
      <c r="BJ53" s="202"/>
      <c r="BK53" s="202"/>
      <c r="BL53" s="202"/>
      <c r="BM53" s="202"/>
      <c r="BN53" s="202"/>
      <c r="BO53" s="202"/>
      <c r="BP53" s="202"/>
      <c r="BQ53" s="202"/>
      <c r="BR53" s="202"/>
      <c r="BS53" s="202"/>
      <c r="BT53" s="202"/>
      <c r="BU53" s="202"/>
      <c r="BV53" s="202"/>
    </row>
    <row r="54" spans="1:74" s="104" customFormat="1">
      <c r="A54" s="207">
        <v>300470</v>
      </c>
      <c r="B54" s="192">
        <f>自由现金流分析表!E1</f>
        <v>43100</v>
      </c>
      <c r="C54" s="203"/>
      <c r="D54" s="203"/>
      <c r="E54" s="203"/>
      <c r="F54" s="203"/>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c r="AG54" s="203"/>
      <c r="AH54" s="203"/>
      <c r="AI54" s="203"/>
      <c r="AJ54" s="203"/>
      <c r="AK54" s="203"/>
      <c r="AL54" s="203"/>
      <c r="AM54" s="203"/>
      <c r="AN54" s="203"/>
      <c r="AO54" s="203"/>
      <c r="AP54" s="203"/>
      <c r="AQ54" s="203"/>
      <c r="AR54" s="203"/>
      <c r="AS54" s="203"/>
      <c r="AT54" s="203"/>
      <c r="AU54" s="203"/>
      <c r="AV54" s="203"/>
      <c r="AW54" s="203"/>
      <c r="AX54" s="203"/>
      <c r="AY54" s="203"/>
      <c r="AZ54" s="203"/>
      <c r="BA54" s="203"/>
      <c r="BB54" s="203"/>
      <c r="BC54" s="203"/>
      <c r="BD54" s="203"/>
      <c r="BE54" s="203"/>
      <c r="BF54" s="203"/>
      <c r="BG54" s="203"/>
      <c r="BH54" s="203"/>
      <c r="BI54" s="203"/>
      <c r="BJ54" s="203"/>
      <c r="BK54" s="203"/>
      <c r="BL54" s="203"/>
      <c r="BM54" s="203"/>
      <c r="BN54" s="203"/>
      <c r="BO54" s="203"/>
      <c r="BP54" s="203"/>
      <c r="BQ54" s="203"/>
      <c r="BR54" s="203"/>
      <c r="BS54" s="203"/>
      <c r="BT54" s="203"/>
      <c r="BU54" s="203"/>
      <c r="BV54" s="203"/>
    </row>
    <row r="55" spans="1:74" s="103" customFormat="1">
      <c r="A55" s="225" t="s">
        <v>556</v>
      </c>
      <c r="B55" s="100">
        <v>106680000</v>
      </c>
      <c r="C55" s="226"/>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c r="AG55" s="226"/>
      <c r="AH55" s="226"/>
      <c r="AI55" s="226"/>
      <c r="AJ55" s="226"/>
      <c r="AK55" s="226"/>
      <c r="AL55" s="226"/>
      <c r="AM55" s="226"/>
      <c r="AN55" s="226"/>
      <c r="AO55" s="226"/>
      <c r="AP55" s="226"/>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26"/>
      <c r="BP55" s="226"/>
      <c r="BQ55" s="226"/>
      <c r="BR55" s="226"/>
      <c r="BS55" s="226"/>
      <c r="BT55" s="226"/>
      <c r="BU55" s="226"/>
      <c r="BV55" s="226"/>
    </row>
    <row r="56" spans="1:74" s="62" customFormat="1" ht="14.25" thickBot="1">
      <c r="A56" s="74"/>
      <c r="B56" s="93"/>
    </row>
    <row r="57" spans="1:74" ht="96.75" customHeight="1">
      <c r="A57" s="245" t="s">
        <v>656</v>
      </c>
      <c r="B57" s="246"/>
      <c r="C57" s="246"/>
      <c r="D57" s="246"/>
      <c r="E57" s="246"/>
      <c r="F57" s="246"/>
      <c r="G57" s="246"/>
      <c r="H57" s="246"/>
      <c r="I57" s="246"/>
    </row>
    <row r="60" spans="1:74" s="163" customFormat="1" ht="51" customHeight="1">
      <c r="A60" s="243" t="s">
        <v>616</v>
      </c>
      <c r="B60" s="244"/>
      <c r="C60" s="244"/>
      <c r="D60" s="244"/>
      <c r="E60" s="244"/>
      <c r="F60" s="244"/>
      <c r="G60" s="244"/>
      <c r="H60" s="244"/>
      <c r="I60" s="244"/>
    </row>
    <row r="63" spans="1:74" s="4" customFormat="1">
      <c r="A63" s="190" t="s">
        <v>621</v>
      </c>
      <c r="B63" s="189" t="s">
        <v>622</v>
      </c>
      <c r="C63" s="96" t="s">
        <v>623</v>
      </c>
      <c r="D63" s="96" t="s">
        <v>624</v>
      </c>
      <c r="E63" s="96" t="s">
        <v>639</v>
      </c>
      <c r="F63" s="96" t="s">
        <v>625</v>
      </c>
      <c r="G63" s="96" t="s">
        <v>626</v>
      </c>
      <c r="H63" s="96" t="s">
        <v>635</v>
      </c>
      <c r="I63" s="96" t="s">
        <v>628</v>
      </c>
      <c r="J63" s="96" t="s">
        <v>634</v>
      </c>
      <c r="K63" s="96" t="s">
        <v>630</v>
      </c>
      <c r="L63" s="96" t="s">
        <v>636</v>
      </c>
    </row>
    <row r="64" spans="1:74" s="26" customFormat="1">
      <c r="A64" s="191">
        <f>股权价值增加表!M1</f>
        <v>42369</v>
      </c>
      <c r="B64" s="177">
        <v>42356</v>
      </c>
      <c r="C64" s="176">
        <v>143.44</v>
      </c>
      <c r="D64" s="176">
        <v>0.53</v>
      </c>
      <c r="E64" s="178">
        <f>股权价值增加表!M42/100000000</f>
        <v>0.82097801940000015</v>
      </c>
      <c r="F64" s="178">
        <v>0</v>
      </c>
      <c r="G64" s="176">
        <v>112.9</v>
      </c>
      <c r="H64" s="178">
        <f>G64*D64</f>
        <v>59.837000000000003</v>
      </c>
      <c r="I64" s="178">
        <f>C64*D64</f>
        <v>76.023200000000003</v>
      </c>
      <c r="J64" s="178">
        <f>H64/E64</f>
        <v>72.885020775259008</v>
      </c>
      <c r="K64" s="178">
        <f>I64/E64</f>
        <v>92.600773959283899</v>
      </c>
      <c r="L64" s="178">
        <v>0</v>
      </c>
    </row>
    <row r="65" spans="1:12" s="26" customFormat="1">
      <c r="A65" s="191">
        <f>股权价值增加表!I1</f>
        <v>42735</v>
      </c>
      <c r="B65" s="177">
        <v>42473</v>
      </c>
      <c r="C65" s="176">
        <v>57.31</v>
      </c>
      <c r="D65" s="176">
        <v>1.07</v>
      </c>
      <c r="E65" s="178">
        <f>股权价值增加表!I42/100000000</f>
        <v>0.97715772560000003</v>
      </c>
      <c r="F65" s="178">
        <f>(E65-E64)/E64*100</f>
        <v>19.02361604201554</v>
      </c>
      <c r="G65" s="176">
        <v>43.97</v>
      </c>
      <c r="H65" s="178">
        <f t="shared" ref="H65:H66" si="8">G65*D65</f>
        <v>47.047899999999998</v>
      </c>
      <c r="I65" s="178">
        <f t="shared" ref="I65:I66" si="9">C65*D65</f>
        <v>61.321700000000007</v>
      </c>
      <c r="J65" s="178">
        <f t="shared" ref="J65:J66" si="10">H65/E65</f>
        <v>48.147703044676206</v>
      </c>
      <c r="K65" s="178">
        <f t="shared" ref="K65:K66" si="11">I65/E65</f>
        <v>62.755170832167245</v>
      </c>
      <c r="L65" s="178">
        <f>K65/F65</f>
        <v>3.2988034816076102</v>
      </c>
    </row>
    <row r="66" spans="1:12" s="26" customFormat="1">
      <c r="A66" s="191">
        <f>股权价值增加表!E1</f>
        <v>43100</v>
      </c>
      <c r="B66" s="177">
        <v>42740</v>
      </c>
      <c r="C66" s="176">
        <v>44.52</v>
      </c>
      <c r="D66" s="176">
        <v>1.07</v>
      </c>
      <c r="E66" s="178">
        <f>股权价值增加表!E42/100000000</f>
        <v>1.1696076583000004</v>
      </c>
      <c r="F66" s="178">
        <f t="shared" ref="F66" si="12">(E66-E65)/E65*100</f>
        <v>19.694868868977228</v>
      </c>
      <c r="G66" s="176">
        <v>38.700000000000003</v>
      </c>
      <c r="H66" s="178">
        <f t="shared" si="8"/>
        <v>41.409000000000006</v>
      </c>
      <c r="I66" s="178">
        <f t="shared" si="9"/>
        <v>47.636400000000009</v>
      </c>
      <c r="J66" s="178">
        <f t="shared" si="10"/>
        <v>35.404179945424687</v>
      </c>
      <c r="K66" s="178">
        <f t="shared" si="11"/>
        <v>40.728529487604838</v>
      </c>
      <c r="L66" s="178">
        <f t="shared" ref="L66" si="13">K66/F66</f>
        <v>2.067976677507064</v>
      </c>
    </row>
    <row r="67" spans="1:12" s="26" customFormat="1">
      <c r="A67" s="170"/>
      <c r="B67" s="171"/>
      <c r="C67" s="83"/>
      <c r="D67" s="83"/>
      <c r="E67" s="83"/>
      <c r="F67" s="174"/>
      <c r="G67" s="83"/>
      <c r="H67" s="174"/>
      <c r="I67" s="174"/>
      <c r="J67" s="174"/>
      <c r="K67" s="174"/>
      <c r="L67" s="175"/>
    </row>
    <row r="68" spans="1:12" s="164" customFormat="1" ht="14.25" thickBot="1">
      <c r="A68" s="172" t="s">
        <v>633</v>
      </c>
      <c r="B68" s="44" t="s">
        <v>622</v>
      </c>
      <c r="C68" s="44" t="s">
        <v>623</v>
      </c>
      <c r="D68" s="44" t="s">
        <v>624</v>
      </c>
      <c r="E68" s="44" t="s">
        <v>632</v>
      </c>
      <c r="F68" s="44" t="s">
        <v>625</v>
      </c>
      <c r="G68" s="44" t="s">
        <v>626</v>
      </c>
      <c r="H68" s="44" t="s">
        <v>627</v>
      </c>
      <c r="I68" s="44" t="s">
        <v>628</v>
      </c>
      <c r="J68" s="44" t="s">
        <v>629</v>
      </c>
      <c r="K68" s="44" t="s">
        <v>630</v>
      </c>
      <c r="L68" s="173" t="s">
        <v>631</v>
      </c>
    </row>
    <row r="69" spans="1:12" s="26" customFormat="1">
      <c r="A69" s="179" t="s">
        <v>638</v>
      </c>
      <c r="B69" s="180">
        <v>43305</v>
      </c>
      <c r="C69" s="181">
        <v>51.65</v>
      </c>
      <c r="D69" s="181">
        <v>1.07</v>
      </c>
      <c r="E69" s="181">
        <v>1.85</v>
      </c>
      <c r="F69" s="182">
        <f>(E69-E66)/E66*100</f>
        <v>58.172698927855471</v>
      </c>
      <c r="G69" s="181">
        <v>46.05</v>
      </c>
      <c r="H69" s="182">
        <f>G69*D69</f>
        <v>49.273499999999999</v>
      </c>
      <c r="I69" s="182">
        <f>C69*D69</f>
        <v>55.265500000000003</v>
      </c>
      <c r="J69" s="182">
        <f>H69/E69</f>
        <v>26.634324324324322</v>
      </c>
      <c r="K69" s="182">
        <f>I69/E69</f>
        <v>29.873243243243245</v>
      </c>
      <c r="L69" s="183">
        <f>K69/F69</f>
        <v>0.51352685699337064</v>
      </c>
    </row>
    <row r="70" spans="1:12" s="26" customFormat="1" ht="14.25" thickBot="1">
      <c r="A70" s="184" t="s">
        <v>637</v>
      </c>
      <c r="B70" s="185">
        <v>43305</v>
      </c>
      <c r="C70" s="186">
        <v>51.65</v>
      </c>
      <c r="D70" s="186">
        <v>1.07</v>
      </c>
      <c r="E70" s="186">
        <v>1.4</v>
      </c>
      <c r="F70" s="187">
        <f>(E70-E66)/E66*100</f>
        <v>19.698258648106826</v>
      </c>
      <c r="G70" s="186">
        <v>46.05</v>
      </c>
      <c r="H70" s="187">
        <f t="shared" ref="H70" si="14">G70*D70</f>
        <v>49.273499999999999</v>
      </c>
      <c r="I70" s="187">
        <f t="shared" ref="I70" si="15">C70*D70</f>
        <v>55.265500000000003</v>
      </c>
      <c r="J70" s="187">
        <f t="shared" ref="J70" si="16">H70/E70</f>
        <v>35.195357142857141</v>
      </c>
      <c r="K70" s="187">
        <f t="shared" ref="K70" si="17">I70/E70</f>
        <v>39.475357142857149</v>
      </c>
      <c r="L70" s="188">
        <f t="shared" ref="L70" si="18">K70/F70</f>
        <v>2.0040023764563104</v>
      </c>
    </row>
    <row r="71" spans="1:12" s="88" customFormat="1" ht="138" customHeight="1">
      <c r="A71" s="241" t="s">
        <v>640</v>
      </c>
      <c r="B71" s="242"/>
      <c r="C71" s="242"/>
      <c r="D71" s="242"/>
      <c r="E71" s="242"/>
      <c r="F71" s="242"/>
      <c r="G71" s="242"/>
      <c r="H71" s="24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2018-12-28T08:52:41Z</dcterms:modified>
</cp:coreProperties>
</file>