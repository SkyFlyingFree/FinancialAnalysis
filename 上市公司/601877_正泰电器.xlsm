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3EAF1DE5-97DB-4629-855A-0E0A0BA1D3B4}"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BE100" i="11"/>
  <c r="BE101" i="11" s="1"/>
  <c r="AW100" i="11"/>
  <c r="AW101" i="11" s="1"/>
  <c r="AO100" i="11"/>
  <c r="AO101" i="11" s="1"/>
  <c r="AG100" i="11"/>
  <c r="AG101" i="11" s="1"/>
  <c r="Y100" i="11"/>
  <c r="Y101" i="11" s="1"/>
  <c r="Q100" i="11"/>
  <c r="Q101" i="11" s="1"/>
  <c r="I100" i="11"/>
  <c r="I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B3" i="10" l="1"/>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C26" i="12" s="1"/>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Y26"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I9" i="10" l="1"/>
  <c r="M9" i="10"/>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13" i="8"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<sst xmlns="http://schemas.openxmlformats.org/spreadsheetml/2006/main" count="922" uniqueCount="752">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</sst>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0.29319779455674883</c:v>
                </c:pt>
                <c:pt idx="1">
                  <c:v>0.29909610721359542</c:v>
                </c:pt>
                <c:pt idx="2">
                  <c:v>0.34853556127966684</c:v>
                </c:pt>
                <c:pt idx="3">
                  <c:v>0.33184967480685984</c:v>
                </c:pt>
                <c:pt idx="4">
                  <c:v>0.31596077133098321</c:v>
                </c:pt>
                <c:pt idx="5">
                  <c:v>0.29939108407580367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0.1283358430942845</c:v>
                </c:pt>
                <c:pt idx="1">
                  <c:v>0.14053197286722197</c:v>
                </c:pt>
                <c:pt idx="2">
                  <c:v>0.15719840493517859</c:v>
                </c:pt>
                <c:pt idx="3">
                  <c:v>0.15708300523322624</c:v>
                </c:pt>
                <c:pt idx="4">
                  <c:v>0.14243596857984628</c:v>
                </c:pt>
                <c:pt idx="5">
                  <c:v>0.12872427396673408</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0.15831707053021055</c:v>
                </c:pt>
                <c:pt idx="1">
                  <c:v>0.17681262550225113</c:v>
                </c:pt>
                <c:pt idx="2">
                  <c:v>0.19234255794702501</c:v>
                </c:pt>
                <c:pt idx="3">
                  <c:v>0.19070822399708912</c:v>
                </c:pt>
                <c:pt idx="4">
                  <c:v>0.17695870881887688</c:v>
                </c:pt>
                <c:pt idx="5">
                  <c:v>0.16626193423606631</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0.13790364634563415</c:v>
                </c:pt>
                <c:pt idx="1">
                  <c:v>0.15345803006936193</c:v>
                </c:pt>
                <c:pt idx="2">
                  <c:v>0.16420498198824571</c:v>
                </c:pt>
                <c:pt idx="3">
                  <c:v>0.16102200475488102</c:v>
                </c:pt>
                <c:pt idx="4">
                  <c:v>0.14933021517795683</c:v>
                </c:pt>
                <c:pt idx="5">
                  <c:v>0.1393935994668572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0.13024602751065392</c:v>
                </c:pt>
                <c:pt idx="1">
                  <c:v>0.15389353804803421</c:v>
                </c:pt>
                <c:pt idx="2">
                  <c:v>0.18304199232444862</c:v>
                </c:pt>
                <c:pt idx="3">
                  <c:v>0.17899887114465673</c:v>
                </c:pt>
                <c:pt idx="4">
                  <c:v>0.16555802238146217</c:v>
                </c:pt>
                <c:pt idx="5">
                  <c:v>0.15551590535674381</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0.11322665951824379</c:v>
                </c:pt>
                <c:pt idx="1">
                  <c:v>0.13320498939032646</c:v>
                </c:pt>
                <c:pt idx="2">
                  <c:v>0.15608368129582098</c:v>
                </c:pt>
                <c:pt idx="3">
                  <c:v>0.15106242668172976</c:v>
                </c:pt>
                <c:pt idx="4">
                  <c:v>0.13959497514940214</c:v>
                </c:pt>
                <c:pt idx="5">
                  <c:v>0.13037626150901152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3394609199.3200002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3035106207.9099998</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2195124495.5100002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2323853281.9200001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2001459495.75</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1670165578.5699999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1005744582.5160015</c:v>
                </c:pt>
                <c:pt idx="1">
                  <c:v>1561656980.4608011</c:v>
                </c:pt>
                <c:pt idx="2">
                  <c:v>1308250983.8403995</c:v>
                </c:pt>
                <c:pt idx="3">
                  <c:v>1413253651.1471992</c:v>
                </c:pt>
                <c:pt idx="4">
                  <c:v>1217941924.2199988</c:v>
                </c:pt>
                <c:pt idx="5">
                  <c:v>992233340.43599939</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20570414417.549999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14054513199.74</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7111052192.6199999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6442438760.9099998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5639080083.75</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5040063585.8000002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17,259,274,345.76 </c:v>
                </c:pt>
                <c:pt idx="5">
                  <c:v>2,798,892,258.36 </c:v>
                </c:pt>
                <c:pt idx="6">
                  <c:v>2,834,054,928.37 </c:v>
                </c:pt>
                <c:pt idx="7">
                  <c:v>2,735,512,381.69 </c:v>
                </c:pt>
                <c:pt idx="8">
                  <c:v>2,802,138,806.63 </c:v>
                </c:pt>
                <c:pt idx="9">
                  <c:v>2,774,140,972.71 </c:v>
                </c:pt>
                <c:pt idx="10">
                  <c:v>2,892,325,741.59 </c:v>
                </c:pt>
                <c:pt idx="11">
                  <c:v>2,629,955,826.82 </c:v>
                </c:pt>
                <c:pt idx="12">
                  <c:v>2,571,371,504.99 </c:v>
                </c:pt>
                <c:pt idx="13">
                  <c:v>2,492,904,603.02 </c:v>
                </c:pt>
                <c:pt idx="14">
                  <c:v>2,944,051,429.75 </c:v>
                </c:pt>
                <c:pt idx="15">
                  <c:v>2,857,339,454.79 </c:v>
                </c:pt>
                <c:pt idx="16">
                  <c:v>2,779,711,915.88 </c:v>
                </c:pt>
                <c:pt idx="17">
                  <c:v>2,685,696,781.56 </c:v>
                </c:pt>
                <c:pt idx="18">
                  <c:v>2,611,125,918.97 </c:v>
                </c:pt>
                <c:pt idx="19">
                  <c:v>2,539,180,972.30 </c:v>
                </c:pt>
                <c:pt idx="20">
                  <c:v>2,400,024,474.07 </c:v>
                </c:pt>
              </c:strCache>
            </c:strRef>
          </c:tx>
          <c:invertIfNegative val="0"/>
          <c:cat>
            <c:numRef>
              <c:f>投资和筹资活动现金流表!$E$12</c:f>
              <c:numCache>
                <c:formatCode>#,##0.00_ </c:formatCode>
                <c:ptCount val="1"/>
                <c:pt idx="0">
                  <c:v>17259274345.759995</c:v>
                </c:pt>
              </c:numCache>
            </c:numRef>
          </c:cat>
          <c:val>
            <c:numRef>
              <c:f>投资和筹资活动现金流表!$E$12:$U$12</c:f>
              <c:numCache>
                <c:formatCode>#,##0.00_ </c:formatCode>
                <c:ptCount val="5"/>
                <c:pt idx="0">
                  <c:v>17259274345.759995</c:v>
                </c:pt>
                <c:pt idx="1">
                  <c:v>2802138806.6299996</c:v>
                </c:pt>
                <c:pt idx="2">
                  <c:v>2571371504.9900002</c:v>
                </c:pt>
                <c:pt idx="3">
                  <c:v>2779711915.8800001</c:v>
                </c:pt>
                <c:pt idx="4">
                  <c:v>2400024474.0700002</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0.11683350457230406</c:v>
                </c:pt>
                <c:pt idx="1">
                  <c:v>0.89802358609291755</c:v>
                </c:pt>
                <c:pt idx="2">
                  <c:v>7.5577308740829255E-2</c:v>
                </c:pt>
                <c:pt idx="3">
                  <c:v>6.5066016156836839E-2</c:v>
                </c:pt>
                <c:pt idx="4">
                  <c:v>0.1378215634439203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0.84684611211044714</c:v>
                </c:pt>
                <c:pt idx="1">
                  <c:v>1.4511114240620533</c:v>
                </c:pt>
                <c:pt idx="2">
                  <c:v>4.5661253634747156</c:v>
                </c:pt>
                <c:pt idx="3">
                  <c:v>6.4080306846387494</c:v>
                </c:pt>
                <c:pt idx="4">
                  <c:v>1.2314916838606189</c:v>
                </c:pt>
                <c:pt idx="5">
                  <c:v>1.6525418823149647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3076762123.79</c:v>
                </c:pt>
                <c:pt idx="1">
                  <c:v>3389467682.7200003</c:v>
                </c:pt>
                <c:pt idx="2">
                  <c:v>412191677.62</c:v>
                </c:pt>
                <c:pt idx="3">
                  <c:v>365800191.15999997</c:v>
                </c:pt>
                <c:pt idx="4">
                  <c:v>510630614</c:v>
                </c:pt>
                <c:pt idx="5">
                  <c:v>902707441.78999996</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-44781065.529999986</c:v>
                </c:pt>
                <c:pt idx="1">
                  <c:v>-13987193.689999999</c:v>
                </c:pt>
                <c:pt idx="2">
                  <c:v>9524719.7599999998</c:v>
                </c:pt>
                <c:pt idx="3">
                  <c:v>0</c:v>
                </c:pt>
                <c:pt idx="4">
                  <c:v>7206380.75</c:v>
                </c:pt>
                <c:pt idx="5">
                  <c:v>639417659.33000004</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2567621371.1799998</c:v>
                </c:pt>
                <c:pt idx="1">
                  <c:v>4898198299.3299999</c:v>
                </c:pt>
                <c:pt idx="2">
                  <c:v>1925609938.27</c:v>
                </c:pt>
                <c:pt idx="3">
                  <c:v>2344058849.4000001</c:v>
                </c:pt>
                <c:pt idx="4">
                  <c:v>637711952.63</c:v>
                </c:pt>
                <c:pt idx="5">
                  <c:v>2548426317.3699999</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3185052158.0799999</c:v>
                </c:pt>
                <c:pt idx="1">
                  <c:v>277636495.76999998</c:v>
                </c:pt>
                <c:pt idx="2">
                  <c:v>-1561278380.3800001</c:v>
                </c:pt>
                <c:pt idx="3">
                  <c:v>-1429097000.9300001</c:v>
                </c:pt>
                <c:pt idx="4">
                  <c:v>-1106186835.4400001</c:v>
                </c:pt>
                <c:pt idx="5">
                  <c:v>-1623790509.79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3423260049.0599995</c:v>
                </c:pt>
                <c:pt idx="1">
                  <c:v>-986817085.65999997</c:v>
                </c:pt>
                <c:pt idx="2">
                  <c:v>-806767785</c:v>
                </c:pt>
                <c:pt idx="3">
                  <c:v>-941378307</c:v>
                </c:pt>
                <c:pt idx="4">
                  <c:v>-815269280</c:v>
                </c:pt>
                <c:pt idx="5">
                  <c:v>-703500000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-454954055.12000036</c:v>
                </c:pt>
                <c:pt idx="1">
                  <c:v>901056748.69000053</c:v>
                </c:pt>
                <c:pt idx="2">
                  <c:v>-381827578.23000002</c:v>
                </c:pt>
                <c:pt idx="3">
                  <c:v>-294002532.63</c:v>
                </c:pt>
                <c:pt idx="4">
                  <c:v>-8274442.4300000072</c:v>
                </c:pt>
                <c:pt idx="5">
                  <c:v>-394976423.00999999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3929656263.1599998</c:v>
                </c:pt>
                <c:pt idx="1">
                  <c:v>6591307762.0799999</c:v>
                </c:pt>
                <c:pt idx="2">
                  <c:v>205000360</c:v>
                </c:pt>
                <c:pt idx="3">
                  <c:v>462629022</c:v>
                </c:pt>
                <c:pt idx="4">
                  <c:v>509972905.5</c:v>
                </c:pt>
                <c:pt idx="5">
                  <c:v>538002314.98000002</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-993454192.79999924</c:v>
                </c:pt>
                <c:pt idx="1">
                  <c:v>1009249533.2799988</c:v>
                </c:pt>
                <c:pt idx="2">
                  <c:v>756486860.37999916</c:v>
                </c:pt>
                <c:pt idx="3">
                  <c:v>82847130</c:v>
                </c:pt>
                <c:pt idx="4">
                  <c:v>1031822786.3900001</c:v>
                </c:pt>
                <c:pt idx="5">
                  <c:v>115646875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573429676.48000002</c:v>
                </c:pt>
                <c:pt idx="1">
                  <c:v>541849764.88</c:v>
                </c:pt>
                <c:pt idx="2">
                  <c:v>108894090.77</c:v>
                </c:pt>
                <c:pt idx="3">
                  <c:v>112689607.06</c:v>
                </c:pt>
                <c:pt idx="4">
                  <c:v>115011419.62</c:v>
                </c:pt>
                <c:pt idx="5">
                  <c:v>114441869.84999999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12526587241.380001</c:v>
                </c:pt>
                <c:pt idx="1">
                  <c:v>12330766494.75</c:v>
                </c:pt>
                <c:pt idx="2">
                  <c:v>1515277971.8099999</c:v>
                </c:pt>
                <c:pt idx="3">
                  <c:v>1747982999.1099999</c:v>
                </c:pt>
                <c:pt idx="4">
                  <c:v>1908958145.0399997</c:v>
                </c:pt>
                <c:pt idx="5">
                  <c:v>1755601196.3200002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20570414417.549999</c:v>
                </c:pt>
                <c:pt idx="1">
                  <c:v>14054513199.74</c:v>
                </c:pt>
                <c:pt idx="2">
                  <c:v>7111052192.6199999</c:v>
                </c:pt>
                <c:pt idx="3">
                  <c:v>6442438760.9099998</c:v>
                </c:pt>
                <c:pt idx="4">
                  <c:v>5639080083.75</c:v>
                </c:pt>
                <c:pt idx="5">
                  <c:v>5040063585.8000002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33284499007.429996</c:v>
                </c:pt>
                <c:pt idx="1">
                  <c:v>26548408220.710003</c:v>
                </c:pt>
                <c:pt idx="2">
                  <c:v>8752758632.7699986</c:v>
                </c:pt>
                <c:pt idx="3">
                  <c:v>8295088855.420002</c:v>
                </c:pt>
                <c:pt idx="4">
                  <c:v>7635261127.2600002</c:v>
                </c:pt>
                <c:pt idx="5">
                  <c:v>6910356285.9300003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6.4536327044079189E-2</c:v>
                </c:pt>
                <c:pt idx="1">
                  <c:v>7.381687076874871E-2</c:v>
                </c:pt>
                <c:pt idx="2">
                  <c:v>7.4847120503992476E-2</c:v>
                </c:pt>
                <c:pt idx="3">
                  <c:v>7.309275274458911E-2</c:v>
                </c:pt>
                <c:pt idx="4">
                  <c:v>7.2317088155443368E-2</c:v>
                </c:pt>
                <c:pt idx="5">
                  <c:v>7.1431682408818808E-2</c:v>
                </c:pt>
                <c:pt idx="6">
                  <c:v>6.7464496525970363E-2</c:v>
                </c:pt>
                <c:pt idx="7">
                  <c:v>7.9482784532659292E-2</c:v>
                </c:pt>
                <c:pt idx="8">
                  <c:v>7.8600575325274313E-2</c:v>
                </c:pt>
                <c:pt idx="9">
                  <c:v>5.0152410993654854E-2</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0.71312678670611718</c:v>
                </c:pt>
                <c:pt idx="1">
                  <c:v>1.2228140610865883</c:v>
                </c:pt>
                <c:pt idx="2">
                  <c:v>-0.17549035685023665</c:v>
                </c:pt>
                <c:pt idx="3">
                  <c:v>0.45240551613658042</c:v>
                </c:pt>
                <c:pt idx="4">
                  <c:v>-0.49808914748388117</c:v>
                </c:pt>
                <c:pt idx="5">
                  <c:v>-0.13034467665561383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1.7937748149588399</c:v>
                </c:pt>
                <c:pt idx="1">
                  <c:v>4.8104513044840402</c:v>
                </c:pt>
                <c:pt idx="2">
                  <c:v>-5.9108505225951275E-5</c:v>
                </c:pt>
                <c:pt idx="3">
                  <c:v>-0.80723323710743333</c:v>
                </c:pt>
                <c:pt idx="4">
                  <c:v>0.30559907851278229</c:v>
                </c:pt>
                <c:pt idx="5">
                  <c:v>5.1928206735514723E-2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-0.24265716114672051</c:v>
                </c:pt>
                <c:pt idx="1">
                  <c:v>0.29851053980566805</c:v>
                </c:pt>
                <c:pt idx="2">
                  <c:v>0.25634959660120427</c:v>
                </c:pt>
                <c:pt idx="3">
                  <c:v>-1.1849126294912459E-2</c:v>
                </c:pt>
                <c:pt idx="4">
                  <c:v>4.2872039978604102</c:v>
                </c:pt>
                <c:pt idx="5">
                  <c:v>-0.53225056249315861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7.0616162086247686E-2</c:v>
                </c:pt>
                <c:pt idx="1">
                  <c:v>0.93941811596550351</c:v>
                </c:pt>
                <c:pt idx="2">
                  <c:v>2.6318910490945743E-2</c:v>
                </c:pt>
                <c:pt idx="3">
                  <c:v>8.0450098022477295E-2</c:v>
                </c:pt>
                <c:pt idx="4">
                  <c:v>0.76609089105040518</c:v>
                </c:pt>
                <c:pt idx="5">
                  <c:v>3.8093829331108174E-3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0.23522589633929927</c:v>
                </c:pt>
                <c:pt idx="1">
                  <c:v>1.6185263041363802</c:v>
                </c:pt>
                <c:pt idx="2">
                  <c:v>-0.14044192304099884</c:v>
                </c:pt>
                <c:pt idx="3">
                  <c:v>0.15892647773705965</c:v>
                </c:pt>
                <c:pt idx="4">
                  <c:v>0.12760452562304525</c:v>
                </c:pt>
                <c:pt idx="5">
                  <c:v>0.26713615716717226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0.1865388222346076</c:v>
                </c:pt>
                <c:pt idx="1">
                  <c:v>4.9240929860523739</c:v>
                </c:pt>
                <c:pt idx="2">
                  <c:v>9.7160556487437211E-2</c:v>
                </c:pt>
                <c:pt idx="3">
                  <c:v>0.10253018981420482</c:v>
                </c:pt>
                <c:pt idx="4">
                  <c:v>0.12668619576348389</c:v>
                </c:pt>
                <c:pt idx="5">
                  <c:v>0.91823054941217752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-0.30270286310176447</c:v>
                </c:pt>
                <c:pt idx="1">
                  <c:v>1.9136457864382779</c:v>
                </c:pt>
                <c:pt idx="2">
                  <c:v>4.3235396468625824</c:v>
                </c:pt>
                <c:pt idx="3">
                  <c:v>-0.15892340198964927</c:v>
                </c:pt>
                <c:pt idx="4">
                  <c:v>0.30000834592137565</c:v>
                </c:pt>
                <c:pt idx="5">
                  <c:v>-0.46860551644211779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0.18378391954107132</c:v>
                </c:pt>
                <c:pt idx="1">
                  <c:v>146.77459873926892</c:v>
                </c:pt>
                <c:pt idx="2">
                  <c:v>-0.96291827686950637</c:v>
                </c:pt>
                <c:pt idx="3">
                  <c:v>-6.8951081763888283E-2</c:v>
                </c:pt>
                <c:pt idx="4">
                  <c:v>5.1888349318958631E-2</c:v>
                </c:pt>
                <c:pt idx="5">
                  <c:v>4.3903132115706107E-3</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0.27298420525697942</c:v>
                </c:pt>
                <c:pt idx="1">
                  <c:v>0.19977978956164158</c:v>
                </c:pt>
                <c:pt idx="2">
                  <c:v>0.27261010522746132</c:v>
                </c:pt>
                <c:pt idx="3">
                  <c:v>0.34887521815261757</c:v>
                </c:pt>
                <c:pt idx="4">
                  <c:v>0.26096326616206239</c:v>
                </c:pt>
                <c:pt idx="5">
                  <c:v>0.57448176520405436</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5.0870002025027811E-2</c:v>
                </c:pt>
                <c:pt idx="1">
                  <c:v>2.2828316986900386E-2</c:v>
                </c:pt>
                <c:pt idx="2">
                  <c:v>1.1916742716917653E-2</c:v>
                </c:pt>
                <c:pt idx="3">
                  <c:v>1.2574975403891377E-2</c:v>
                </c:pt>
                <c:pt idx="4">
                  <c:v>7.0871583720698253E-2</c:v>
                </c:pt>
                <c:pt idx="5">
                  <c:v>5.9977140745098537E-2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0.57100590383221406</c:v>
                </c:pt>
                <c:pt idx="1">
                  <c:v>0.60334008987231214</c:v>
                </c:pt>
                <c:pt idx="2">
                  <c:v>0.30891134004392345</c:v>
                </c:pt>
                <c:pt idx="3">
                  <c:v>0.29708968639193939</c:v>
                </c:pt>
                <c:pt idx="4">
                  <c:v>0.29274819964829807</c:v>
                </c:pt>
                <c:pt idx="5">
                  <c:v>0.28708778513335487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0.23689901910451064</c:v>
                </c:pt>
                <c:pt idx="1">
                  <c:v>0.34513426177374745</c:v>
                </c:pt>
                <c:pt idx="2">
                  <c:v>0.96393796384782937</c:v>
                </c:pt>
                <c:pt idx="3">
                  <c:v>0.15696531557211893</c:v>
                </c:pt>
                <c:pt idx="4">
                  <c:v>0.17088696872563675</c:v>
                </c:pt>
                <c:pt idx="5">
                  <c:v>0.14293327473573977</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0.76310098089548928</c:v>
                </c:pt>
                <c:pt idx="1">
                  <c:v>0.6548657382262526</c:v>
                </c:pt>
                <c:pt idx="2">
                  <c:v>3.6062036152170629E-2</c:v>
                </c:pt>
                <c:pt idx="3">
                  <c:v>0.8430346844278811</c:v>
                </c:pt>
                <c:pt idx="4">
                  <c:v>0.82911303127436331</c:v>
                </c:pt>
                <c:pt idx="5">
                  <c:v>0.8570667252642602</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2.7484087445061154</c:v>
                </c:pt>
                <c:pt idx="1">
                  <c:v>1.22681479275603</c:v>
                </c:pt>
                <c:pt idx="2">
                  <c:v>1.2600665336665975</c:v>
                </c:pt>
                <c:pt idx="3">
                  <c:v>1.9248479570936616</c:v>
                </c:pt>
                <c:pt idx="4">
                  <c:v>1.5813225168582341</c:v>
                </c:pt>
                <c:pt idx="5">
                  <c:v>7.8597367443529489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9086142508.9199982</c:v>
                </c:pt>
                <c:pt idx="1">
                  <c:v>5303835407.5299997</c:v>
                </c:pt>
                <c:pt idx="2">
                  <c:v>2386090451.9099998</c:v>
                </c:pt>
                <c:pt idx="3">
                  <c:v>2893950934.0300002</c:v>
                </c:pt>
                <c:pt idx="4">
                  <c:v>1992522681.77</c:v>
                </c:pt>
                <c:pt idx="5">
                  <c:v>3969873677.3299999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1693182531.9100001</c:v>
                </c:pt>
                <c:pt idx="1">
                  <c:v>606055478.36000001</c:v>
                </c:pt>
                <c:pt idx="2">
                  <c:v>104304372.69</c:v>
                </c:pt>
                <c:pt idx="3">
                  <c:v>104310538.33</c:v>
                </c:pt>
                <c:pt idx="4">
                  <c:v>541123048.21000004</c:v>
                </c:pt>
                <c:pt idx="5">
                  <c:v>414463411.56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19005645439.339996</c:v>
                </c:pt>
                <c:pt idx="1">
                  <c:v>16017719001.850002</c:v>
                </c:pt>
                <c:pt idx="2">
                  <c:v>2703826398.3299994</c:v>
                </c:pt>
                <c:pt idx="3">
                  <c:v>2464385346.6499996</c:v>
                </c:pt>
                <c:pt idx="4">
                  <c:v>2235208948.8499999</c:v>
                </c:pt>
                <c:pt idx="5">
                  <c:v>1983878880.6100001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33284499007.429996</c:v>
                </c:pt>
                <c:pt idx="1">
                  <c:v>26548408220.710003</c:v>
                </c:pt>
                <c:pt idx="2">
                  <c:v>8752758632.7699986</c:v>
                </c:pt>
                <c:pt idx="3">
                  <c:v>8295088855.420002</c:v>
                </c:pt>
                <c:pt idx="4">
                  <c:v>7635261127.2600002</c:v>
                </c:pt>
                <c:pt idx="5">
                  <c:v>6910356285.9300003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2967536230.21</c:v>
                </c:pt>
                <c:pt idx="1">
                  <c:v>4255769991.2700005</c:v>
                </c:pt>
                <c:pt idx="2">
                  <c:v>1460633962.8099999</c:v>
                </c:pt>
                <c:pt idx="3">
                  <c:v>274372703.06999999</c:v>
                </c:pt>
                <c:pt idx="4">
                  <c:v>326216070.82999998</c:v>
                </c:pt>
                <c:pt idx="5">
                  <c:v>250933828.12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9559051011.1700001</c:v>
                </c:pt>
                <c:pt idx="1">
                  <c:v>8074996503.4799995</c:v>
                </c:pt>
                <c:pt idx="2">
                  <c:v>54644009</c:v>
                </c:pt>
                <c:pt idx="3">
                  <c:v>1473610296.04</c:v>
                </c:pt>
                <c:pt idx="4">
                  <c:v>1582742074.2099998</c:v>
                </c:pt>
                <c:pt idx="5">
                  <c:v>1504667368.2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6118606278.7099953</c:v>
                </c:pt>
                <c:pt idx="1">
                  <c:v>1048065416.2599983</c:v>
                </c:pt>
                <c:pt idx="2">
                  <c:v>925456489.10000086</c:v>
                </c:pt>
                <c:pt idx="3">
                  <c:v>2619578230.960001</c:v>
                </c:pt>
                <c:pt idx="4">
                  <c:v>1666306610.9400001</c:v>
                </c:pt>
                <c:pt idx="5">
                  <c:v>3718939849.2100005</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-6118606278.7099981</c:v>
                </c:pt>
                <c:pt idx="1">
                  <c:v>-1048065416.2599993</c:v>
                </c:pt>
                <c:pt idx="2">
                  <c:v>-925456489.0999999</c:v>
                </c:pt>
                <c:pt idx="3">
                  <c:v>-2619578230.96</c:v>
                </c:pt>
                <c:pt idx="4">
                  <c:v>-1666306610.9400001</c:v>
                </c:pt>
                <c:pt idx="5">
                  <c:v>-3718939849.21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0.70680220544325123</c:v>
                </c:pt>
                <c:pt idx="1">
                  <c:v>0.70090389278640464</c:v>
                </c:pt>
                <c:pt idx="2">
                  <c:v>0.65146443872033322</c:v>
                </c:pt>
                <c:pt idx="3">
                  <c:v>0.6681503251931401</c:v>
                </c:pt>
                <c:pt idx="4">
                  <c:v>0.68403922866901679</c:v>
                </c:pt>
                <c:pt idx="5">
                  <c:v>0.70060891592419627</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0.29319779455674883</c:v>
                </c:pt>
                <c:pt idx="1">
                  <c:v>0.29909610721359542</c:v>
                </c:pt>
                <c:pt idx="2">
                  <c:v>0.34853556127966684</c:v>
                </c:pt>
                <c:pt idx="3">
                  <c:v>0.33184967480685984</c:v>
                </c:pt>
                <c:pt idx="4">
                  <c:v>0.31596077133098321</c:v>
                </c:pt>
                <c:pt idx="5">
                  <c:v>0.29939108407580367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7.3814430964871504E-3</c:v>
                </c:pt>
                <c:pt idx="1">
                  <c:v>6.9901611206171915E-3</c:v>
                </c:pt>
                <c:pt idx="2">
                  <c:v>6.6574730537382557E-3</c:v>
                </c:pt>
                <c:pt idx="3">
                  <c:v>6.8000293658200565E-3</c:v>
                </c:pt>
                <c:pt idx="4">
                  <c:v>6.0504104244797725E-3</c:v>
                </c:pt>
                <c:pt idx="5">
                  <c:v>6.621021658703612E-3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5.7287252429550545E-2</c:v>
                </c:pt>
                <c:pt idx="1">
                  <c:v>5.0201378969206671E-2</c:v>
                </c:pt>
                <c:pt idx="2">
                  <c:v>6.6516690081203825E-2</c:v>
                </c:pt>
                <c:pt idx="3">
                  <c:v>6.2590727010823147E-2</c:v>
                </c:pt>
                <c:pt idx="4">
                  <c:v>5.8554089343815938E-2</c:v>
                </c:pt>
                <c:pt idx="5">
                  <c:v>5.9841027613238659E-2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7.7285416785983579E-2</c:v>
                </c:pt>
                <c:pt idx="1">
                  <c:v>7.9319229329498711E-2</c:v>
                </c:pt>
                <c:pt idx="2">
                  <c:v>8.4961503695150556E-2</c:v>
                </c:pt>
                <c:pt idx="3">
                  <c:v>7.165807047505765E-2</c:v>
                </c:pt>
                <c:pt idx="4">
                  <c:v>7.3302132588661653E-2</c:v>
                </c:pt>
                <c:pt idx="5">
                  <c:v>7.6975537544106451E-2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3.3914828333273177E-3</c:v>
                </c:pt>
                <c:pt idx="1">
                  <c:v>7.1367377055571151E-3</c:v>
                </c:pt>
                <c:pt idx="2">
                  <c:v>6.3150682716619725E-3</c:v>
                </c:pt>
                <c:pt idx="3">
                  <c:v>5.4387203752260006E-3</c:v>
                </c:pt>
                <c:pt idx="4">
                  <c:v>1.0465271261702075E-2</c:v>
                </c:pt>
                <c:pt idx="5">
                  <c:v>2.4291909229363713E-3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7.1338874546152608E-4</c:v>
                </c:pt>
                <c:pt idx="1">
                  <c:v>9.2214725931180164E-4</c:v>
                </c:pt>
                <c:pt idx="2">
                  <c:v>4.4160362931957561E-4</c:v>
                </c:pt>
                <c:pt idx="3">
                  <c:v>3.7917917233391872E-4</c:v>
                </c:pt>
                <c:pt idx="4">
                  <c:v>3.9674112975698455E-4</c:v>
                </c:pt>
                <c:pt idx="5">
                  <c:v>3.609579405856839E-4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4.8749767329019062E-4</c:v>
                </c:pt>
                <c:pt idx="1">
                  <c:v>7.83204899843923E-3</c:v>
                </c:pt>
                <c:pt idx="2">
                  <c:v>7.0602517978551502E-4</c:v>
                </c:pt>
                <c:pt idx="3">
                  <c:v>1.1499056077693738E-3</c:v>
                </c:pt>
                <c:pt idx="4">
                  <c:v>1.7352810754045675E-3</c:v>
                </c:pt>
                <c:pt idx="5">
                  <c:v>3.8202693225434468E-4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0.1465464815641003</c:v>
                </c:pt>
                <c:pt idx="1">
                  <c:v>0.15240170338263073</c:v>
                </c:pt>
                <c:pt idx="2">
                  <c:v>0.16559836391085972</c:v>
                </c:pt>
                <c:pt idx="3">
                  <c:v>0.14801663200703014</c:v>
                </c:pt>
                <c:pt idx="4">
                  <c:v>0.15050392582382102</c:v>
                </c:pt>
                <c:pt idx="5">
                  <c:v>0.14660976261182512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0.1283358430942845</c:v>
                </c:pt>
                <c:pt idx="1">
                  <c:v>0.14053197286722197</c:v>
                </c:pt>
                <c:pt idx="2">
                  <c:v>0.15719840493517859</c:v>
                </c:pt>
                <c:pt idx="3">
                  <c:v>0.15708300523322624</c:v>
                </c:pt>
                <c:pt idx="4">
                  <c:v>0.14243596857984628</c:v>
                </c:pt>
                <c:pt idx="5">
                  <c:v>0.12872427396673408</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0.93247246077016288</c:v>
                </c:pt>
                <c:pt idx="1">
                  <c:v>0.91825174456094494</c:v>
                </c:pt>
                <c:pt idx="2">
                  <c:v>0.95844232132522456</c:v>
                </c:pt>
                <c:pt idx="3">
                  <c:v>0.97600853342438709</c:v>
                </c:pt>
                <c:pt idx="4">
                  <c:v>0.95461482955820032</c:v>
                </c:pt>
                <c:pt idx="5">
                  <c:v>0.92351491057764601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2.6535948685833567E-2</c:v>
                </c:pt>
                <c:pt idx="1">
                  <c:v>2.0718107238755105E-2</c:v>
                </c:pt>
                <c:pt idx="2">
                  <c:v>2.7556499062057461E-3</c:v>
                </c:pt>
                <c:pt idx="3">
                  <c:v>3.3202175832743033E-3</c:v>
                </c:pt>
                <c:pt idx="4">
                  <c:v>4.2522210413140577E-3</c:v>
                </c:pt>
                <c:pt idx="5">
                  <c:v>8.9157361649496467E-4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4.0991590544003614E-2</c:v>
                </c:pt>
                <c:pt idx="1">
                  <c:v>6.1030148200299963E-2</c:v>
                </c:pt>
                <c:pt idx="2">
                  <c:v>3.8802028768569537E-2</c:v>
                </c:pt>
                <c:pt idx="3">
                  <c:v>2.0671248992338621E-2</c:v>
                </c:pt>
                <c:pt idx="4">
                  <c:v>4.113294940048557E-2</c:v>
                </c:pt>
                <c:pt idx="5">
                  <c:v>7.5593515805859032E-2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0.11322665951824379</c:v>
                </c:pt>
                <c:pt idx="1">
                  <c:v>0.13320498939032646</c:v>
                </c:pt>
                <c:pt idx="2">
                  <c:v>0.15608368129582098</c:v>
                </c:pt>
                <c:pt idx="3">
                  <c:v>0.15106242668172976</c:v>
                </c:pt>
                <c:pt idx="4">
                  <c:v>0.13959497514940214</c:v>
                </c:pt>
                <c:pt idx="5">
                  <c:v>0.13037626150901152</c:v>
                </c:pt>
                <c:pt idx="6">
                  <c:v>0.10775983863886036</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0.93247246077016288</c:v>
                </c:pt>
                <c:pt idx="1">
                  <c:v>0.91825174456094494</c:v>
                </c:pt>
                <c:pt idx="2">
                  <c:v>0.95844232132522456</c:v>
                </c:pt>
                <c:pt idx="3">
                  <c:v>0.97600853342438709</c:v>
                </c:pt>
                <c:pt idx="4">
                  <c:v>0.95461482955820032</c:v>
                </c:pt>
                <c:pt idx="5">
                  <c:v>0.92351491057764601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2.6535948685833567E-2</c:v>
                </c:pt>
                <c:pt idx="1">
                  <c:v>2.0718107238755105E-2</c:v>
                </c:pt>
                <c:pt idx="2">
                  <c:v>2.7556499062057461E-3</c:v>
                </c:pt>
                <c:pt idx="3">
                  <c:v>3.3202175832743033E-3</c:v>
                </c:pt>
                <c:pt idx="4">
                  <c:v>4.2522210413140577E-3</c:v>
                </c:pt>
                <c:pt idx="5">
                  <c:v>8.9157361649496467E-4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4.0991590544003614E-2</c:v>
                </c:pt>
                <c:pt idx="1">
                  <c:v>6.1030148200299963E-2</c:v>
                </c:pt>
                <c:pt idx="2">
                  <c:v>3.8802028768569537E-2</c:v>
                </c:pt>
                <c:pt idx="3">
                  <c:v>2.0671248992338621E-2</c:v>
                </c:pt>
                <c:pt idx="4">
                  <c:v>4.113294940048557E-2</c:v>
                </c:pt>
                <c:pt idx="5">
                  <c:v>7.5593515805859032E-2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0.17730900985942655</c:v>
                </c:pt>
                <c:pt idx="1">
                  <c:v>0.12962359101400889</c:v>
                </c:pt>
                <c:pt idx="2">
                  <c:v>4.8354174561502594E-2</c:v>
                </c:pt>
                <c:pt idx="3">
                  <c:v>6.1399307313622198E-2</c:v>
                </c:pt>
                <c:pt idx="4">
                  <c:v>6.4425687288912625E-2</c:v>
                </c:pt>
                <c:pt idx="5">
                  <c:v>6.4633128013925401E-2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23416550017.470001</c:v>
                </c:pt>
                <c:pt idx="1">
                  <c:v>20164545252.650002</c:v>
                </c:pt>
                <c:pt idx="2">
                  <c:v>12026466467.639999</c:v>
                </c:pt>
                <c:pt idx="3">
                  <c:v>12767230041.15</c:v>
                </c:pt>
                <c:pt idx="4">
                  <c:v>11956507239.129999</c:v>
                </c:pt>
                <c:pt idx="5">
                  <c:v>10703163376.129999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16550869196.219999</c:v>
                </c:pt>
                <c:pt idx="1">
                  <c:v>14133408263.85</c:v>
                </c:pt>
                <c:pt idx="2">
                  <c:v>7834815227.1300001</c:v>
                </c:pt>
                <c:pt idx="3">
                  <c:v>8530428903.8100004</c:v>
                </c:pt>
                <c:pt idx="4">
                  <c:v>8178719989.4300003</c:v>
                </c:pt>
                <c:pt idx="5">
                  <c:v>7498731689.9099998</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6865680821.2500019</c:v>
                </c:pt>
                <c:pt idx="1">
                  <c:v>6031136988.8000011</c:v>
                </c:pt>
                <c:pt idx="2">
                  <c:v>4191651240.5099993</c:v>
                </c:pt>
                <c:pt idx="3">
                  <c:v>4236801137.3399992</c:v>
                </c:pt>
                <c:pt idx="4">
                  <c:v>3777787249.6999989</c:v>
                </c:pt>
                <c:pt idx="5">
                  <c:v>3204431686.2199993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5.8100717409969749E-2</c:v>
                </c:pt>
                <c:pt idx="1">
                  <c:v>0.12188195191286184</c:v>
                </c:pt>
                <c:pt idx="2">
                  <c:v>6.1113190613255389E-2</c:v>
                </c:pt>
                <c:pt idx="3">
                  <c:v>7.7500492753904096E-2</c:v>
                </c:pt>
                <c:pt idx="4">
                  <c:v>1.6626317581114144E-2</c:v>
                </c:pt>
                <c:pt idx="5">
                  <c:v>3.8280358307824186E-3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1.4637641730972239E-2</c:v>
                </c:pt>
                <c:pt idx="1">
                  <c:v>3.5216183453904981E-2</c:v>
                </c:pt>
                <c:pt idx="2">
                  <c:v>3.2643352186962932E-2</c:v>
                </c:pt>
                <c:pt idx="3">
                  <c:v>1.4584212333611381E-2</c:v>
                </c:pt>
                <c:pt idx="4">
                  <c:v>3.6854900765005562E-2</c:v>
                </c:pt>
                <c:pt idx="5">
                  <c:v>2.8371365299250845E-2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6.6913442296766386</c:v>
                </c:pt>
                <c:pt idx="1">
                  <c:v>4.3638661113542501</c:v>
                </c:pt>
                <c:pt idx="2">
                  <c:v>3.3796093963729721</c:v>
                </c:pt>
                <c:pt idx="3">
                  <c:v>4.5074991392699122</c:v>
                </c:pt>
                <c:pt idx="4">
                  <c:v>4.1712532588247786</c:v>
                </c:pt>
                <c:pt idx="5">
                  <c:v>19.742422859473837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1.2320839138143567</c:v>
                </c:pt>
                <c:pt idx="1">
                  <c:v>1.2588899362213217</c:v>
                </c:pt>
                <c:pt idx="2">
                  <c:v>4.4479432832921768</c:v>
                </c:pt>
                <c:pt idx="3">
                  <c:v>5.1806954859982959</c:v>
                </c:pt>
                <c:pt idx="4">
                  <c:v>5.3491675779490517</c:v>
                </c:pt>
                <c:pt idx="5">
                  <c:v>5.3950689635039648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2.5771717749838983</c:v>
                </c:pt>
                <c:pt idx="1">
                  <c:v>3.8018799044973846</c:v>
                </c:pt>
                <c:pt idx="2">
                  <c:v>5.0402391317618083</c:v>
                </c:pt>
                <c:pt idx="3">
                  <c:v>4.4116954061038163</c:v>
                </c:pt>
                <c:pt idx="4">
                  <c:v>6.0006881470020614</c:v>
                </c:pt>
                <c:pt idx="5">
                  <c:v>2.6960967139207757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13.829902905420886</c:v>
                </c:pt>
                <c:pt idx="1">
                  <c:v>33.271781169631076</c:v>
                </c:pt>
                <c:pt idx="2">
                  <c:v>115.30165186251119</c:v>
                </c:pt>
                <c:pt idx="3">
                  <c:v>122.39635846532784</c:v>
                </c:pt>
                <c:pt idx="4">
                  <c:v>22.09572717089274</c:v>
                </c:pt>
                <c:pt idx="5">
                  <c:v>25.824145334914686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1.0792118033235889</c:v>
                </c:pt>
                <c:pt idx="1">
                  <c:v>1.168330999825826</c:v>
                </c:pt>
                <c:pt idx="2">
                  <c:v>4.2918881959683022</c:v>
                </c:pt>
                <c:pt idx="3">
                  <c:v>4.9651440938712783</c:v>
                </c:pt>
                <c:pt idx="4">
                  <c:v>4.3013476219692404</c:v>
                </c:pt>
                <c:pt idx="5">
                  <c:v>1.9840577879350569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1.4551009765161422</c:v>
                </c:pt>
                <c:pt idx="1">
                  <c:v>1.4983284627773219</c:v>
                </c:pt>
                <c:pt idx="2">
                  <c:v>5.5188704759996705</c:v>
                </c:pt>
                <c:pt idx="3">
                  <c:v>9.2829666939988194</c:v>
                </c:pt>
                <c:pt idx="4">
                  <c:v>10.58508207697003</c:v>
                </c:pt>
                <c:pt idx="5">
                  <c:v>11.220015287998656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22.736329504259526</c:v>
                </c:pt>
                <c:pt idx="1">
                  <c:v>24.612854492392263</c:v>
                </c:pt>
                <c:pt idx="2">
                  <c:v>284.04967286996902</c:v>
                </c:pt>
                <c:pt idx="3">
                  <c:v>19.587148348618868</c:v>
                </c:pt>
                <c:pt idx="4">
                  <c:v>17.578000971788693</c:v>
                </c:pt>
                <c:pt idx="5">
                  <c:v>19.050230339314744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68.022189998045675</c:v>
                </c:pt>
                <c:pt idx="1">
                  <c:v>38.021210281228306</c:v>
                </c:pt>
                <c:pt idx="2">
                  <c:v>52.395276287260415</c:v>
                </c:pt>
                <c:pt idx="3">
                  <c:v>51.531536409282936</c:v>
                </c:pt>
                <c:pt idx="4">
                  <c:v>41.496700890739241</c:v>
                </c:pt>
                <c:pt idx="5">
                  <c:v>32.130518281843464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2.9700673477549877</c:v>
                </c:pt>
                <c:pt idx="1">
                  <c:v>3.6076652920041199</c:v>
                </c:pt>
                <c:pt idx="2">
                  <c:v>2.9364200392782456</c:v>
                </c:pt>
                <c:pt idx="3">
                  <c:v>3.1399614424108333</c:v>
                </c:pt>
                <c:pt idx="4">
                  <c:v>3.8290166046720087</c:v>
                </c:pt>
                <c:pt idx="5">
                  <c:v>4.8782271837063291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6.2265489480498735</c:v>
                </c:pt>
                <c:pt idx="1">
                  <c:v>8.7773493282727539</c:v>
                </c:pt>
                <c:pt idx="2">
                  <c:v>6.3874820812223767</c:v>
                </c:pt>
                <c:pt idx="3">
                  <c:v>7.0259420319127068</c:v>
                </c:pt>
                <c:pt idx="4">
                  <c:v>7.6325207003995592</c:v>
                </c:pt>
                <c:pt idx="5">
                  <c:v>7.3010894963456101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2.6724480177437484</c:v>
                </c:pt>
                <c:pt idx="1">
                  <c:v>3.9253763837129609</c:v>
                </c:pt>
                <c:pt idx="2">
                  <c:v>3.9346126714115051</c:v>
                </c:pt>
                <c:pt idx="3">
                  <c:v>3.9345159903469975</c:v>
                </c:pt>
                <c:pt idx="4">
                  <c:v>4.2030928469124591</c:v>
                </c:pt>
                <c:pt idx="5">
                  <c:v>4.6974212186830613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0.15360462612954676</c:v>
                </c:pt>
                <c:pt idx="1">
                  <c:v>0.15862987171740811</c:v>
                </c:pt>
                <c:pt idx="2">
                  <c:v>0.35403086023963787</c:v>
                </c:pt>
                <c:pt idx="3">
                  <c:v>0.44864610333160254</c:v>
                </c:pt>
                <c:pt idx="4">
                  <c:v>0.39591023926007324</c:v>
                </c:pt>
                <c:pt idx="5">
                  <c:v>0.65059728750904489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0.14762630833922888</c:v>
                </c:pt>
                <c:pt idx="1">
                  <c:v>0.16235850182784312</c:v>
                </c:pt>
                <c:pt idx="2">
                  <c:v>0.18434924772837816</c:v>
                </c:pt>
                <c:pt idx="3">
                  <c:v>0.18613285401536844</c:v>
                </c:pt>
                <c:pt idx="4">
                  <c:v>0.16892740765797135</c:v>
                </c:pt>
                <c:pt idx="5">
                  <c:v>0.15354537532848725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2651377735.9200015</c:v>
                </c:pt>
                <c:pt idx="1">
                  <c:v>2686018036.440001</c:v>
                </c:pt>
                <c:pt idx="2">
                  <c:v>1877135159.2499995</c:v>
                </c:pt>
                <c:pt idx="3">
                  <c:v>1928648752.0199993</c:v>
                </c:pt>
                <c:pt idx="4">
                  <c:v>1669068330.9199989</c:v>
                </c:pt>
                <c:pt idx="5">
                  <c:v>1395438427.2999995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20570414417.549999</c:v>
                </c:pt>
                <c:pt idx="1">
                  <c:v>14054513199.74</c:v>
                </c:pt>
                <c:pt idx="2">
                  <c:v>7111052192.6199999</c:v>
                </c:pt>
                <c:pt idx="3">
                  <c:v>6442438760.9099998</c:v>
                </c:pt>
                <c:pt idx="4">
                  <c:v>5639080083.75</c:v>
                </c:pt>
                <c:pt idx="5">
                  <c:v>5040063585.8000002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23416550017.470001</c:v>
                </c:pt>
                <c:pt idx="1">
                  <c:v>20164545252.650002</c:v>
                </c:pt>
                <c:pt idx="2">
                  <c:v>12026466467.639999</c:v>
                </c:pt>
                <c:pt idx="3">
                  <c:v>12767230041.15</c:v>
                </c:pt>
                <c:pt idx="4">
                  <c:v>11956507239.129999</c:v>
                </c:pt>
                <c:pt idx="5">
                  <c:v>10703163376.129999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3456898833.1200018</c:v>
                </c:pt>
                <c:pt idx="1">
                  <c:v>3273885357.2600007</c:v>
                </c:pt>
                <c:pt idx="2">
                  <c:v>2217070046.1399994</c:v>
                </c:pt>
                <c:pt idx="3">
                  <c:v>2376400965.4299994</c:v>
                </c:pt>
                <c:pt idx="4">
                  <c:v>2019781772.549999</c:v>
                </c:pt>
                <c:pt idx="5">
                  <c:v>1643421237.7899995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98375119.810000002</c:v>
                </c:pt>
                <c:pt idx="1">
                  <c:v>73867224.670000002</c:v>
                </c:pt>
                <c:pt idx="2">
                  <c:v>6374373.0099999998</c:v>
                </c:pt>
                <c:pt idx="3">
                  <c:v>8084118.1200000001</c:v>
                </c:pt>
                <c:pt idx="4">
                  <c:v>8996883.6500000004</c:v>
                </c:pt>
                <c:pt idx="5">
                  <c:v>1586580.79</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1693182531.9100001</c:v>
                </c:pt>
                <c:pt idx="1">
                  <c:v>606055478.36000001</c:v>
                </c:pt>
                <c:pt idx="2">
                  <c:v>104304372.69</c:v>
                </c:pt>
                <c:pt idx="3">
                  <c:v>104310538.33</c:v>
                </c:pt>
                <c:pt idx="4">
                  <c:v>541123048.21000004</c:v>
                </c:pt>
                <c:pt idx="5">
                  <c:v>414463411.56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0.86617022661963683</c:v>
                </c:pt>
                <c:pt idx="1">
                  <c:v>0.90884536729656129</c:v>
                </c:pt>
                <c:pt idx="2">
                  <c:v>0.85997099305292035</c:v>
                </c:pt>
                <c:pt idx="3">
                  <c:v>0.98645445047053304</c:v>
                </c:pt>
                <c:pt idx="4">
                  <c:v>0.88734629692894706</c:v>
                </c:pt>
                <c:pt idx="5">
                  <c:v>0.98090661621109432</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0.79006528595930015</c:v>
                </c:pt>
                <c:pt idx="1">
                  <c:v>0.76574315791235548</c:v>
                </c:pt>
                <c:pt idx="2">
                  <c:v>0.72876516544831071</c:v>
                </c:pt>
                <c:pt idx="3">
                  <c:v>0.87642127499914191</c:v>
                </c:pt>
                <c:pt idx="4">
                  <c:v>0.89697086645338786</c:v>
                </c:pt>
                <c:pt idx="5">
                  <c:v>0.83428874621504345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0.85439776447044558</c:v>
                </c:pt>
                <c:pt idx="1">
                  <c:v>1.728513547277007</c:v>
                </c:pt>
                <c:pt idx="2">
                  <c:v>1.0185494978091767</c:v>
                </c:pt>
                <c:pt idx="3">
                  <c:v>1.1688065205678557</c:v>
                </c:pt>
                <c:pt idx="4">
                  <c:v>0.37445579216538161</c:v>
                </c:pt>
                <c:pt idx="5">
                  <c:v>1.8496922447728601</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0.9684102481493686</c:v>
                </c:pt>
                <c:pt idx="1">
                  <c:v>1.8235909933881091</c:v>
                </c:pt>
                <c:pt idx="2">
                  <c:v>1.0258238085740019</c:v>
                </c:pt>
                <c:pt idx="3">
                  <c:v>1.2153891925343663</c:v>
                </c:pt>
                <c:pt idx="4">
                  <c:v>0.382076599751006</c:v>
                </c:pt>
                <c:pt idx="5">
                  <c:v>1.8262549371675891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-0.63209809344367529</c:v>
                </c:pt>
                <c:pt idx="1">
                  <c:v>1.3784716937519643</c:v>
                </c:pt>
                <c:pt idx="2">
                  <c:v>-0.2191134901594109</c:v>
                </c:pt>
                <c:pt idx="3">
                  <c:v>5.2804564268172491</c:v>
                </c:pt>
                <c:pt idx="4">
                  <c:v>-0.85866947759494971</c:v>
                </c:pt>
                <c:pt idx="5">
                  <c:v>69.850306905477481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2567621371.1799998</c:v>
                </c:pt>
                <c:pt idx="1">
                  <c:v>4898198299.3299999</c:v>
                </c:pt>
                <c:pt idx="2">
                  <c:v>1925609938.27</c:v>
                </c:pt>
                <c:pt idx="3">
                  <c:v>2344058849.4000001</c:v>
                </c:pt>
                <c:pt idx="4">
                  <c:v>637711952.63</c:v>
                </c:pt>
                <c:pt idx="5">
                  <c:v>2548426317.3699999</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3005182688.8514948</c:v>
                </c:pt>
                <c:pt idx="1">
                  <c:v>2833763326.3252797</c:v>
                </c:pt>
                <c:pt idx="2">
                  <c:v>1890541345.7194195</c:v>
                </c:pt>
                <c:pt idx="3">
                  <c:v>2005514863.3677685</c:v>
                </c:pt>
                <c:pt idx="4">
                  <c:v>1703036689.4374251</c:v>
                </c:pt>
                <c:pt idx="5">
                  <c:v>1377756934.7396727</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2651377735.9200015</c:v>
                </c:pt>
                <c:pt idx="1">
                  <c:v>2686018036.440001</c:v>
                </c:pt>
                <c:pt idx="2">
                  <c:v>1877135159.2499995</c:v>
                </c:pt>
                <c:pt idx="3">
                  <c:v>1928648752.0199993</c:v>
                </c:pt>
                <c:pt idx="4">
                  <c:v>1669068330.9199989</c:v>
                </c:pt>
                <c:pt idx="5">
                  <c:v>1395438427.2999995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P85"/>
  <sheetViews>
    <sheetView workbookViewId="0">
      <selection activeCell="Y25" sqref="Y25"/>
    </sheetView>
  </sheetViews>
  <sheetFormatPr defaultRowHeight="14.4" x14ac:dyDescent="0.25"/>
  <cols>
    <col min="1" max="1" width="35.886718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38" width="12.77734375" style="190" hidden="1" customWidth="1"/>
    <col min="39" max="41" width="12.77734375" style="190" bestFit="1" customWidth="1"/>
    <col min="42" max="42" width="9.5546875" style="190" hidden="1" customWidth="1"/>
    <col min="43" max="16384" width="8.88671875" style="190"/>
  </cols>
  <sheetData>
    <row r="1" spans="1:42"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20090630</v>
      </c>
      <c r="AM1" s="190">
        <v>20081231</v>
      </c>
      <c r="AN1" s="190">
        <v>20071231</v>
      </c>
      <c r="AO1" s="190">
        <v>20061231</v>
      </c>
      <c r="AP1" s="190">
        <v>19700101</v>
      </c>
    </row>
    <row r="2" spans="1:4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row>
    <row r="3" spans="1:42" x14ac:dyDescent="0.25">
      <c r="A3" s="190" t="s">
        <v>107</v>
      </c>
    </row>
    <row r="4" spans="1:42" x14ac:dyDescent="0.25">
      <c r="A4" s="190" t="s">
        <v>108</v>
      </c>
      <c r="B4" s="190">
        <v>5532872322.6099997</v>
      </c>
      <c r="C4" s="190">
        <v>6062491986.0799999</v>
      </c>
      <c r="D4" s="190">
        <v>6880558814.1400003</v>
      </c>
      <c r="E4" s="190">
        <v>6829992911.9399996</v>
      </c>
      <c r="F4" s="190">
        <v>7654387503.7600002</v>
      </c>
      <c r="G4" s="190">
        <v>7044627370.4499998</v>
      </c>
      <c r="H4" s="190">
        <v>7041810087.2399998</v>
      </c>
      <c r="I4" s="190">
        <v>3674825674.4200001</v>
      </c>
      <c r="J4" s="190">
        <v>1277412150.8800001</v>
      </c>
      <c r="K4" s="190">
        <v>1705002086.8399999</v>
      </c>
      <c r="L4" s="190">
        <v>2520224370.3200002</v>
      </c>
      <c r="M4" s="190">
        <v>1768620015.1700001</v>
      </c>
      <c r="N4" s="190">
        <v>2119660140.5999999</v>
      </c>
      <c r="O4" s="190">
        <v>2631213714.1100001</v>
      </c>
      <c r="P4" s="190">
        <v>2104289189.3299999</v>
      </c>
      <c r="Q4" s="190">
        <v>2450368179.3000002</v>
      </c>
      <c r="R4" s="190">
        <v>1971342713.9000001</v>
      </c>
      <c r="S4" s="190">
        <v>2037323170.8299999</v>
      </c>
      <c r="T4" s="190">
        <v>2117903890.3199999</v>
      </c>
      <c r="U4" s="190">
        <v>1986479386.23</v>
      </c>
      <c r="V4" s="190">
        <v>2155489106.2600002</v>
      </c>
      <c r="W4" s="190">
        <v>2244946439.2800002</v>
      </c>
      <c r="X4" s="190">
        <v>2727202957.9400001</v>
      </c>
      <c r="Y4" s="190">
        <v>3966308906.6799998</v>
      </c>
      <c r="Z4" s="190">
        <v>3282712333.8699999</v>
      </c>
      <c r="AA4" s="190">
        <v>4205075203.1999998</v>
      </c>
      <c r="AB4" s="190">
        <v>4373486393.9899998</v>
      </c>
      <c r="AC4" s="190">
        <v>4561781414.4200001</v>
      </c>
      <c r="AD4" s="190">
        <v>4664304989.1999998</v>
      </c>
      <c r="AE4" s="190">
        <v>3314997474.6100001</v>
      </c>
      <c r="AF4" s="190">
        <v>3400529590.4000001</v>
      </c>
      <c r="AG4" s="190">
        <v>3843605989.27</v>
      </c>
      <c r="AH4" s="190">
        <v>3878098235.4200001</v>
      </c>
      <c r="AI4" s="190">
        <v>3573786980.6100001</v>
      </c>
      <c r="AJ4" s="190">
        <v>3318805332.2199998</v>
      </c>
      <c r="AK4" s="190">
        <v>996114745.55999994</v>
      </c>
      <c r="AL4" s="190">
        <v>993882210.94000006</v>
      </c>
      <c r="AM4" s="190">
        <v>294729709.85000002</v>
      </c>
      <c r="AN4" s="190">
        <v>570681776.80999994</v>
      </c>
      <c r="AO4" s="190">
        <v>102751798.97</v>
      </c>
      <c r="AP4" s="190">
        <v>0</v>
      </c>
    </row>
    <row r="5" spans="1:42" x14ac:dyDescent="0.25">
      <c r="A5" s="190" t="s">
        <v>109</v>
      </c>
      <c r="B5" s="190">
        <v>961830</v>
      </c>
      <c r="C5" s="190">
        <v>961830</v>
      </c>
      <c r="D5" s="190">
        <v>229813894.38999999</v>
      </c>
      <c r="E5" s="190">
        <v>501543167.13</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839966.61</v>
      </c>
      <c r="W5" s="190">
        <v>839966.61</v>
      </c>
      <c r="X5" s="190">
        <v>839966.61</v>
      </c>
      <c r="Y5" s="190">
        <v>839966.61</v>
      </c>
      <c r="Z5" s="190">
        <v>822791.12</v>
      </c>
      <c r="AA5" s="190">
        <v>0</v>
      </c>
      <c r="AB5" s="190">
        <v>0</v>
      </c>
      <c r="AC5" s="190">
        <v>0</v>
      </c>
      <c r="AD5" s="190">
        <v>0</v>
      </c>
      <c r="AE5" s="190">
        <v>0</v>
      </c>
      <c r="AF5" s="190">
        <v>0</v>
      </c>
      <c r="AG5" s="190">
        <v>0</v>
      </c>
      <c r="AH5" s="190">
        <v>0</v>
      </c>
      <c r="AI5" s="190">
        <v>0</v>
      </c>
      <c r="AJ5" s="190">
        <v>0</v>
      </c>
      <c r="AK5" s="190">
        <v>0</v>
      </c>
      <c r="AL5" s="190">
        <v>0</v>
      </c>
      <c r="AM5" s="190">
        <v>87262.5</v>
      </c>
      <c r="AN5" s="190">
        <v>230247.5</v>
      </c>
      <c r="AO5" s="190">
        <v>211295</v>
      </c>
      <c r="AP5" s="190">
        <v>0</v>
      </c>
    </row>
    <row r="6" spans="1:4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row>
    <row r="7" spans="1:42" x14ac:dyDescent="0.25">
      <c r="A7" s="190" t="s">
        <v>111</v>
      </c>
      <c r="B7" s="190">
        <v>3257666121.1100001</v>
      </c>
      <c r="C7" s="190">
        <v>2774416985.1599998</v>
      </c>
      <c r="D7" s="190">
        <v>2167750947.6900001</v>
      </c>
      <c r="E7" s="190">
        <v>2360080390.0100002</v>
      </c>
      <c r="F7" s="190">
        <v>2212893571.1700001</v>
      </c>
      <c r="G7" s="190">
        <v>2011009381.6900001</v>
      </c>
      <c r="H7" s="190">
        <v>1745439342.4000001</v>
      </c>
      <c r="I7" s="190">
        <v>1825739631.8499999</v>
      </c>
      <c r="J7" s="190">
        <v>1586854679.05</v>
      </c>
      <c r="K7" s="190">
        <v>1404070185.9000001</v>
      </c>
      <c r="L7" s="190">
        <v>1462236174.3399999</v>
      </c>
      <c r="M7" s="190">
        <v>1375467023.0699999</v>
      </c>
      <c r="N7" s="190">
        <v>1782726125.79</v>
      </c>
      <c r="O7" s="190">
        <v>1482765316.1300001</v>
      </c>
      <c r="P7" s="190">
        <v>1664571642.99</v>
      </c>
      <c r="Q7" s="190">
        <v>2260314406.6100001</v>
      </c>
      <c r="R7" s="190">
        <v>2347622507.3400002</v>
      </c>
      <c r="S7" s="190">
        <v>2229293643.6900001</v>
      </c>
      <c r="T7" s="190">
        <v>1957213977.6199999</v>
      </c>
      <c r="U7" s="190">
        <v>2118792950.26</v>
      </c>
      <c r="V7" s="190">
        <v>1932637513.5999999</v>
      </c>
      <c r="W7" s="190">
        <v>1499874175.98</v>
      </c>
      <c r="X7" s="190">
        <v>1050938765.47</v>
      </c>
      <c r="Y7" s="190">
        <v>1031383026.84</v>
      </c>
      <c r="Z7" s="190">
        <v>1249845538.4200001</v>
      </c>
      <c r="AA7" s="190">
        <v>966219461.46000004</v>
      </c>
      <c r="AB7" s="190">
        <v>812016403.48000002</v>
      </c>
      <c r="AC7" s="190">
        <v>1206384656.8099999</v>
      </c>
      <c r="AD7" s="190">
        <v>1000150897.36</v>
      </c>
      <c r="AE7" s="190">
        <v>730330049.72000003</v>
      </c>
      <c r="AF7" s="190">
        <v>449012124.24000001</v>
      </c>
      <c r="AG7" s="190">
        <v>385038868.27999997</v>
      </c>
      <c r="AH7" s="190">
        <v>320042037.44999999</v>
      </c>
      <c r="AI7" s="190">
        <v>266330347.59999999</v>
      </c>
      <c r="AJ7" s="190">
        <v>175163048.90000001</v>
      </c>
      <c r="AK7" s="190">
        <v>157077292.12</v>
      </c>
      <c r="AL7" s="190">
        <v>124087717.29000001</v>
      </c>
      <c r="AM7" s="190">
        <v>196584655.93000001</v>
      </c>
      <c r="AN7" s="190">
        <v>306923816.45999998</v>
      </c>
      <c r="AO7" s="190">
        <v>84980374.930000007</v>
      </c>
      <c r="AP7" s="190">
        <v>0</v>
      </c>
    </row>
    <row r="8" spans="1:42" x14ac:dyDescent="0.25">
      <c r="A8" s="190" t="s">
        <v>112</v>
      </c>
      <c r="B8" s="190">
        <v>6934434836.5299997</v>
      </c>
      <c r="C8" s="190">
        <v>7027628174.2399998</v>
      </c>
      <c r="D8" s="190">
        <v>5271553677.5299997</v>
      </c>
      <c r="E8" s="190">
        <v>6502707161.6400003</v>
      </c>
      <c r="F8" s="190">
        <v>5898141830.7600002</v>
      </c>
      <c r="G8" s="190">
        <v>5819453618.1300001</v>
      </c>
      <c r="H8" s="190">
        <v>6054285377.3699999</v>
      </c>
      <c r="I8" s="190">
        <v>5555428824.7700005</v>
      </c>
      <c r="J8" s="190">
        <v>2892698335.5799999</v>
      </c>
      <c r="K8" s="190">
        <v>2962292204.9699998</v>
      </c>
      <c r="L8" s="190">
        <v>2796803448.7199998</v>
      </c>
      <c r="M8" s="190">
        <v>2753723380.3299999</v>
      </c>
      <c r="N8" s="190">
        <v>2920054231.5100002</v>
      </c>
      <c r="O8" s="190">
        <v>2800562655.29</v>
      </c>
      <c r="P8" s="190">
        <v>2355215035.3800001</v>
      </c>
      <c r="Q8" s="190">
        <v>2078139024.99</v>
      </c>
      <c r="R8" s="190">
        <v>2261065478.0999999</v>
      </c>
      <c r="S8" s="190">
        <v>2158756406.2199998</v>
      </c>
      <c r="T8" s="190">
        <v>2110932799.1800001</v>
      </c>
      <c r="U8" s="190">
        <v>1937583473.29</v>
      </c>
      <c r="V8" s="190">
        <v>2014365666.4400001</v>
      </c>
      <c r="W8" s="190">
        <v>1946932428.1400001</v>
      </c>
      <c r="X8" s="190">
        <v>1776594834.8399999</v>
      </c>
      <c r="Y8" s="190">
        <v>1418088743.24</v>
      </c>
      <c r="Z8" s="190">
        <v>1565998112.74</v>
      </c>
      <c r="AA8" s="190">
        <v>1046467522.83</v>
      </c>
      <c r="AB8" s="190">
        <v>925520764.60000002</v>
      </c>
      <c r="AC8" s="190">
        <v>958335533.38999999</v>
      </c>
      <c r="AD8" s="190">
        <v>795735479.61000001</v>
      </c>
      <c r="AE8" s="190">
        <v>800116848.32000005</v>
      </c>
      <c r="AF8" s="190">
        <v>696018089.25999999</v>
      </c>
      <c r="AG8" s="190">
        <v>505373230.75999999</v>
      </c>
      <c r="AH8" s="190">
        <v>617398733.75999999</v>
      </c>
      <c r="AI8" s="190">
        <v>554908174.5</v>
      </c>
      <c r="AJ8" s="190">
        <v>533602660.70999998</v>
      </c>
      <c r="AK8" s="190">
        <v>465669490.36000001</v>
      </c>
      <c r="AL8" s="190">
        <v>557556910.97000003</v>
      </c>
      <c r="AM8" s="190">
        <v>472051081.33999997</v>
      </c>
      <c r="AN8" s="190">
        <v>410418474.97000003</v>
      </c>
      <c r="AO8" s="190">
        <v>623743640.70000005</v>
      </c>
      <c r="AP8" s="190">
        <v>0</v>
      </c>
    </row>
    <row r="9" spans="1:42" x14ac:dyDescent="0.25">
      <c r="A9" s="190" t="s">
        <v>113</v>
      </c>
      <c r="B9" s="190">
        <v>1599483734.7</v>
      </c>
      <c r="C9" s="190">
        <v>692250814.80999994</v>
      </c>
      <c r="D9" s="190">
        <v>716747488.54999995</v>
      </c>
      <c r="E9" s="190">
        <v>406808032.83999997</v>
      </c>
      <c r="F9" s="190">
        <v>633966136.90999997</v>
      </c>
      <c r="G9" s="190">
        <v>669814464</v>
      </c>
      <c r="H9" s="190">
        <v>729103424.13999999</v>
      </c>
      <c r="I9" s="190">
        <v>585901739.17999995</v>
      </c>
      <c r="J9" s="190">
        <v>119941264.77</v>
      </c>
      <c r="K9" s="190">
        <v>102477895.13</v>
      </c>
      <c r="L9" s="190">
        <v>73659075.230000004</v>
      </c>
      <c r="M9" s="190">
        <v>37799473.729999997</v>
      </c>
      <c r="N9" s="190">
        <v>128505830.89</v>
      </c>
      <c r="O9" s="190">
        <v>88642179.980000004</v>
      </c>
      <c r="P9" s="190">
        <v>89774334.950000003</v>
      </c>
      <c r="Q9" s="190">
        <v>42601346.420000002</v>
      </c>
      <c r="R9" s="190">
        <v>122424472.95999999</v>
      </c>
      <c r="S9" s="190">
        <v>126961380.95</v>
      </c>
      <c r="T9" s="190">
        <v>98529234.609999999</v>
      </c>
      <c r="U9" s="190">
        <v>87968209.780000001</v>
      </c>
      <c r="V9" s="190">
        <v>138803235.84</v>
      </c>
      <c r="W9" s="190">
        <v>137422497.49000001</v>
      </c>
      <c r="X9" s="190">
        <v>84128285</v>
      </c>
      <c r="Y9" s="190">
        <v>43867906.25</v>
      </c>
      <c r="Z9" s="190">
        <v>111175494.70999999</v>
      </c>
      <c r="AA9" s="190">
        <v>78498076.680000007</v>
      </c>
      <c r="AB9" s="190">
        <v>87147961.620000005</v>
      </c>
      <c r="AC9" s="190">
        <v>81173694.209999993</v>
      </c>
      <c r="AD9" s="190">
        <v>99366773.329999998</v>
      </c>
      <c r="AE9" s="190">
        <v>82841486.010000005</v>
      </c>
      <c r="AF9" s="190">
        <v>64395021.009999998</v>
      </c>
      <c r="AG9" s="190">
        <v>25282067.579999998</v>
      </c>
      <c r="AH9" s="190">
        <v>48743229.630000003</v>
      </c>
      <c r="AI9" s="190">
        <v>54432072.710000001</v>
      </c>
      <c r="AJ9" s="190">
        <v>78890453.510000005</v>
      </c>
      <c r="AK9" s="190">
        <v>60501598.409999996</v>
      </c>
      <c r="AL9" s="190">
        <v>52191764.119999997</v>
      </c>
      <c r="AM9" s="190">
        <v>50588741.840000004</v>
      </c>
      <c r="AN9" s="190">
        <v>48930611.409999996</v>
      </c>
      <c r="AO9" s="190">
        <v>12056770.710000001</v>
      </c>
      <c r="AP9" s="190">
        <v>0</v>
      </c>
    </row>
    <row r="10" spans="1:42" x14ac:dyDescent="0.25">
      <c r="A10" s="190" t="s">
        <v>114</v>
      </c>
      <c r="B10" s="190">
        <v>32736776.75</v>
      </c>
      <c r="C10" s="190">
        <v>33784137.5</v>
      </c>
      <c r="D10" s="190">
        <v>27967853.289999999</v>
      </c>
      <c r="E10" s="190">
        <v>12404685.720000001</v>
      </c>
      <c r="F10" s="190">
        <v>17351259.440000001</v>
      </c>
      <c r="G10" s="190">
        <v>11291568.859999999</v>
      </c>
      <c r="H10" s="190">
        <v>13930884.34</v>
      </c>
      <c r="I10" s="190">
        <v>32877350.920000002</v>
      </c>
      <c r="J10" s="190">
        <v>0</v>
      </c>
      <c r="K10" s="190">
        <v>0</v>
      </c>
      <c r="L10" s="190">
        <v>478453.62</v>
      </c>
      <c r="M10" s="190">
        <v>233770.83</v>
      </c>
      <c r="N10" s="190">
        <v>0</v>
      </c>
      <c r="O10" s="190">
        <v>0</v>
      </c>
      <c r="P10" s="190">
        <v>0</v>
      </c>
      <c r="Q10" s="190">
        <v>0</v>
      </c>
      <c r="R10" s="190">
        <v>0</v>
      </c>
      <c r="S10" s="190">
        <v>0</v>
      </c>
      <c r="T10" s="190">
        <v>0</v>
      </c>
      <c r="U10" s="190">
        <v>0</v>
      </c>
      <c r="V10" s="190">
        <v>0</v>
      </c>
      <c r="W10" s="190">
        <v>2000000</v>
      </c>
      <c r="X10" s="190">
        <v>9500000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row>
    <row r="11" spans="1:42" x14ac:dyDescent="0.25">
      <c r="A11" s="190" t="s">
        <v>115</v>
      </c>
      <c r="B11" s="190">
        <v>328285391.82999998</v>
      </c>
      <c r="C11" s="190">
        <v>220642256.25999999</v>
      </c>
      <c r="D11" s="190">
        <v>255291286.47999999</v>
      </c>
      <c r="E11" s="190">
        <v>170724094.61000001</v>
      </c>
      <c r="F11" s="190">
        <v>10557141.130000001</v>
      </c>
      <c r="G11" s="190">
        <v>10557141.130000001</v>
      </c>
      <c r="H11" s="190">
        <v>10557141.130000001</v>
      </c>
      <c r="I11" s="190">
        <v>14662256.279999999</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row>
    <row r="12" spans="1:42" x14ac:dyDescent="0.25">
      <c r="A12" s="190" t="s">
        <v>116</v>
      </c>
      <c r="B12" s="190">
        <v>1504698481.8699999</v>
      </c>
      <c r="C12" s="190">
        <v>1006246597.98</v>
      </c>
      <c r="D12" s="190">
        <v>1137604901.9400001</v>
      </c>
      <c r="E12" s="190">
        <v>368343246.42000002</v>
      </c>
      <c r="F12" s="190">
        <v>473038608.99000001</v>
      </c>
      <c r="G12" s="190">
        <v>362597186.66000003</v>
      </c>
      <c r="H12" s="190">
        <v>587251786.01999998</v>
      </c>
      <c r="I12" s="190">
        <v>328720203.11000001</v>
      </c>
      <c r="J12" s="190">
        <v>71968016.799999997</v>
      </c>
      <c r="K12" s="190">
        <v>53246133.909999996</v>
      </c>
      <c r="L12" s="190">
        <v>60116435.100000001</v>
      </c>
      <c r="M12" s="190">
        <v>55845347.950000003</v>
      </c>
      <c r="N12" s="190">
        <v>57675709.229999997</v>
      </c>
      <c r="O12" s="190">
        <v>61954511.159999996</v>
      </c>
      <c r="P12" s="190">
        <v>42851161.899999999</v>
      </c>
      <c r="Q12" s="190">
        <v>70339274.680000007</v>
      </c>
      <c r="R12" s="190">
        <v>89270816.900000006</v>
      </c>
      <c r="S12" s="190">
        <v>66812351.259999998</v>
      </c>
      <c r="T12" s="190">
        <v>57066872.149999999</v>
      </c>
      <c r="U12" s="190">
        <v>35900693.07</v>
      </c>
      <c r="V12" s="190">
        <v>95167373.480000004</v>
      </c>
      <c r="W12" s="190">
        <v>77515517.319999993</v>
      </c>
      <c r="X12" s="190">
        <v>67606722.439999998</v>
      </c>
      <c r="Y12" s="190">
        <v>32034525.559999999</v>
      </c>
      <c r="Z12" s="190">
        <v>64798546.799999997</v>
      </c>
      <c r="AA12" s="190">
        <v>29459034.32</v>
      </c>
      <c r="AB12" s="190">
        <v>20838857.75</v>
      </c>
      <c r="AC12" s="190">
        <v>206700080.91999999</v>
      </c>
      <c r="AD12" s="190">
        <v>12798096.390000001</v>
      </c>
      <c r="AE12" s="190">
        <v>17431351.48</v>
      </c>
      <c r="AF12" s="190">
        <v>14035866.859999999</v>
      </c>
      <c r="AG12" s="190">
        <v>6891146.7699999996</v>
      </c>
      <c r="AH12" s="190">
        <v>12039892.02</v>
      </c>
      <c r="AI12" s="190">
        <v>16091816.65</v>
      </c>
      <c r="AJ12" s="190">
        <v>13209868.67</v>
      </c>
      <c r="AK12" s="190">
        <v>9494280.8499999996</v>
      </c>
      <c r="AL12" s="190">
        <v>11411186.08</v>
      </c>
      <c r="AM12" s="190">
        <v>7659540.21</v>
      </c>
      <c r="AN12" s="190">
        <v>5846144.4800000004</v>
      </c>
      <c r="AO12" s="190">
        <v>40647126.700000003</v>
      </c>
      <c r="AP12" s="190">
        <v>0</v>
      </c>
    </row>
    <row r="13" spans="1:4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row>
    <row r="14" spans="1:42" x14ac:dyDescent="0.25">
      <c r="A14" s="190" t="s">
        <v>118</v>
      </c>
      <c r="B14" s="190">
        <v>4218250212.21</v>
      </c>
      <c r="C14" s="190">
        <v>4096833951.3000002</v>
      </c>
      <c r="D14" s="190">
        <v>3851551802.3000002</v>
      </c>
      <c r="E14" s="190">
        <v>3271288901.5</v>
      </c>
      <c r="F14" s="190">
        <v>2875142174.0300002</v>
      </c>
      <c r="G14" s="190">
        <v>2418143266.1900001</v>
      </c>
      <c r="H14" s="190">
        <v>2246890472.79</v>
      </c>
      <c r="I14" s="190">
        <v>2044936614.21</v>
      </c>
      <c r="J14" s="190">
        <v>1295774324.1199999</v>
      </c>
      <c r="K14" s="190">
        <v>1230291303.6600001</v>
      </c>
      <c r="L14" s="190">
        <v>1103406309.4200001</v>
      </c>
      <c r="M14" s="190">
        <v>1175490814.45</v>
      </c>
      <c r="N14" s="190">
        <v>1275031709.3199999</v>
      </c>
      <c r="O14" s="190">
        <v>1196691256.6600001</v>
      </c>
      <c r="P14" s="190">
        <v>1314617606.5599999</v>
      </c>
      <c r="Q14" s="190">
        <v>1277687175.72</v>
      </c>
      <c r="R14" s="190">
        <v>1269698509.5</v>
      </c>
      <c r="S14" s="190">
        <v>1168444154.46</v>
      </c>
      <c r="T14" s="190">
        <v>1162541925.8399999</v>
      </c>
      <c r="U14" s="190">
        <v>1150579059.6300001</v>
      </c>
      <c r="V14" s="190">
        <v>1112049071.75</v>
      </c>
      <c r="W14" s="190">
        <v>900511248.94000006</v>
      </c>
      <c r="X14" s="190">
        <v>886342876.52999997</v>
      </c>
      <c r="Y14" s="190">
        <v>992545161.17999995</v>
      </c>
      <c r="Z14" s="190">
        <v>1002705954.0700001</v>
      </c>
      <c r="AA14" s="190">
        <v>617056994.35000002</v>
      </c>
      <c r="AB14" s="190">
        <v>783442696.48000002</v>
      </c>
      <c r="AC14" s="190">
        <v>1061595304.75</v>
      </c>
      <c r="AD14" s="190">
        <v>811362299.47000003</v>
      </c>
      <c r="AE14" s="190">
        <v>747940161.96000004</v>
      </c>
      <c r="AF14" s="190">
        <v>664450057.13</v>
      </c>
      <c r="AG14" s="190">
        <v>675557541.40999997</v>
      </c>
      <c r="AH14" s="190">
        <v>478461459.85000002</v>
      </c>
      <c r="AI14" s="190">
        <v>477343701.45999998</v>
      </c>
      <c r="AJ14" s="190">
        <v>492079373.79000002</v>
      </c>
      <c r="AK14" s="190">
        <v>470024764.35000002</v>
      </c>
      <c r="AL14" s="190">
        <v>366853036.13999999</v>
      </c>
      <c r="AM14" s="190">
        <v>461559440.04000002</v>
      </c>
      <c r="AN14" s="190">
        <v>570241622.25999999</v>
      </c>
      <c r="AO14" s="190">
        <v>490172304.18000001</v>
      </c>
      <c r="AP14" s="190">
        <v>0</v>
      </c>
    </row>
    <row r="15" spans="1:42" x14ac:dyDescent="0.25">
      <c r="A15" s="190" t="s">
        <v>119</v>
      </c>
      <c r="B15" s="190">
        <v>0</v>
      </c>
      <c r="C15" s="190">
        <v>0</v>
      </c>
      <c r="D15" s="190">
        <v>12445131.67</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row>
    <row r="16" spans="1:42" x14ac:dyDescent="0.25">
      <c r="A16" s="190" t="s">
        <v>120</v>
      </c>
      <c r="B16" s="190">
        <v>0</v>
      </c>
      <c r="C16" s="190">
        <v>0</v>
      </c>
      <c r="D16" s="190">
        <v>6573640.4800000004</v>
      </c>
      <c r="E16" s="190">
        <v>0</v>
      </c>
      <c r="F16" s="190">
        <v>6299115.54</v>
      </c>
      <c r="G16" s="190">
        <v>6299115.54</v>
      </c>
      <c r="H16" s="190">
        <v>12464897.74</v>
      </c>
      <c r="I16" s="190">
        <v>6299115.54</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1341020</v>
      </c>
      <c r="AO16" s="190">
        <v>0</v>
      </c>
      <c r="AP16" s="190">
        <v>0</v>
      </c>
    </row>
    <row r="17" spans="1:4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row>
    <row r="18" spans="1:4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row>
    <row r="19" spans="1:42" x14ac:dyDescent="0.25">
      <c r="A19" s="190" t="s">
        <v>123</v>
      </c>
      <c r="B19" s="190">
        <v>650526111.44000006</v>
      </c>
      <c r="C19" s="190">
        <v>648990757.97000003</v>
      </c>
      <c r="D19" s="190">
        <v>698561203.75</v>
      </c>
      <c r="E19" s="190">
        <v>616242270.24000001</v>
      </c>
      <c r="F19" s="190">
        <v>441627706.56999999</v>
      </c>
      <c r="G19" s="190">
        <v>574697052.35000002</v>
      </c>
      <c r="H19" s="190">
        <v>1741812500.1400001</v>
      </c>
      <c r="I19" s="190">
        <v>2510855488.4499998</v>
      </c>
      <c r="J19" s="190">
        <v>1505599607.99</v>
      </c>
      <c r="K19" s="190">
        <v>2603047362.7800002</v>
      </c>
      <c r="L19" s="190">
        <v>1077353568.9400001</v>
      </c>
      <c r="M19" s="190">
        <v>1518576982.3599999</v>
      </c>
      <c r="N19" s="190">
        <v>1590211197.49</v>
      </c>
      <c r="O19" s="190">
        <v>1138119415.22</v>
      </c>
      <c r="P19" s="190">
        <v>1177342962.05</v>
      </c>
      <c r="Q19" s="190">
        <v>1010444810.89</v>
      </c>
      <c r="R19" s="190">
        <v>447067231.31</v>
      </c>
      <c r="S19" s="190">
        <v>668244186.01999998</v>
      </c>
      <c r="T19" s="190">
        <v>358504608.01999998</v>
      </c>
      <c r="U19" s="190">
        <v>906877893.46000004</v>
      </c>
      <c r="V19" s="190">
        <v>753641396.79999995</v>
      </c>
      <c r="W19" s="190">
        <v>811400014.21000004</v>
      </c>
      <c r="X19" s="190">
        <v>512210100.68000001</v>
      </c>
      <c r="Y19" s="190">
        <v>14006604.67</v>
      </c>
      <c r="Z19" s="190">
        <v>5839515.6200000001</v>
      </c>
      <c r="AA19" s="190">
        <v>6517786.0199999996</v>
      </c>
      <c r="AB19" s="190">
        <v>5275687.09</v>
      </c>
      <c r="AC19" s="190">
        <v>4333297.84</v>
      </c>
      <c r="AD19" s="190">
        <v>3674172.95</v>
      </c>
      <c r="AE19" s="190">
        <v>4106666.44</v>
      </c>
      <c r="AF19" s="190">
        <v>4889252.6100000003</v>
      </c>
      <c r="AG19" s="190">
        <v>4549931.9000000004</v>
      </c>
      <c r="AH19" s="190">
        <v>3824518.04</v>
      </c>
      <c r="AI19" s="190">
        <v>3362733.02</v>
      </c>
      <c r="AJ19" s="190">
        <v>4021889.84</v>
      </c>
      <c r="AK19" s="190">
        <v>5019182.24</v>
      </c>
      <c r="AL19" s="190">
        <v>2908329.72</v>
      </c>
      <c r="AM19" s="190">
        <v>3117107.41</v>
      </c>
      <c r="AN19" s="190">
        <v>0</v>
      </c>
      <c r="AO19" s="190">
        <v>0</v>
      </c>
      <c r="AP19" s="190">
        <v>0</v>
      </c>
    </row>
    <row r="20" spans="1:42" x14ac:dyDescent="0.25">
      <c r="A20" s="190" t="s">
        <v>124</v>
      </c>
      <c r="B20" s="190">
        <v>23698893650.470001</v>
      </c>
      <c r="C20" s="190">
        <v>22564247491.299999</v>
      </c>
      <c r="D20" s="190">
        <v>21256420642.209999</v>
      </c>
      <c r="E20" s="190">
        <v>21040134862.049999</v>
      </c>
      <c r="F20" s="190">
        <v>20223405048.299999</v>
      </c>
      <c r="G20" s="190">
        <v>18928490165</v>
      </c>
      <c r="H20" s="190">
        <v>20183545913.310001</v>
      </c>
      <c r="I20" s="190">
        <v>16580246898.73</v>
      </c>
      <c r="J20" s="190">
        <v>8750248379.1900005</v>
      </c>
      <c r="K20" s="190">
        <v>10060427173.190001</v>
      </c>
      <c r="L20" s="190">
        <v>9094277835.6900005</v>
      </c>
      <c r="M20" s="190">
        <v>8685756807.8899994</v>
      </c>
      <c r="N20" s="190">
        <v>9873864944.8299999</v>
      </c>
      <c r="O20" s="190">
        <v>9399949048.5499992</v>
      </c>
      <c r="P20" s="190">
        <v>8748661933.1599998</v>
      </c>
      <c r="Q20" s="190">
        <v>9189894218.6100006</v>
      </c>
      <c r="R20" s="190">
        <v>8508491730.0100002</v>
      </c>
      <c r="S20" s="190">
        <v>8455835293.4300003</v>
      </c>
      <c r="T20" s="190">
        <v>7862693307.7399998</v>
      </c>
      <c r="U20" s="190">
        <v>8224181665.7200003</v>
      </c>
      <c r="V20" s="190">
        <v>8202993330.7799997</v>
      </c>
      <c r="W20" s="190">
        <v>7621442287.9700003</v>
      </c>
      <c r="X20" s="190">
        <v>7115364509.5100002</v>
      </c>
      <c r="Y20" s="190">
        <v>7499074841.0299997</v>
      </c>
      <c r="Z20" s="190">
        <v>7283898287.3500004</v>
      </c>
      <c r="AA20" s="190">
        <v>6949294078.8599997</v>
      </c>
      <c r="AB20" s="190">
        <v>7007728765.0100002</v>
      </c>
      <c r="AC20" s="190">
        <v>8080303982.3400002</v>
      </c>
      <c r="AD20" s="190">
        <v>7387392708.3100004</v>
      </c>
      <c r="AE20" s="190">
        <v>5697764038.54</v>
      </c>
      <c r="AF20" s="190">
        <v>5293330001.5100002</v>
      </c>
      <c r="AG20" s="190">
        <v>5446298775.9700003</v>
      </c>
      <c r="AH20" s="190">
        <v>5358608106.1700001</v>
      </c>
      <c r="AI20" s="190">
        <v>4946255826.5500002</v>
      </c>
      <c r="AJ20" s="190">
        <v>4615772627.6400003</v>
      </c>
      <c r="AK20" s="190">
        <v>2163901353.8899999</v>
      </c>
      <c r="AL20" s="190">
        <v>2108891155.26</v>
      </c>
      <c r="AM20" s="190">
        <v>1486377539.1199999</v>
      </c>
      <c r="AN20" s="190">
        <v>1914613713.8900001</v>
      </c>
      <c r="AO20" s="190">
        <v>1354563311.1900001</v>
      </c>
      <c r="AP20" s="190">
        <v>0</v>
      </c>
    </row>
    <row r="21" spans="1:42" x14ac:dyDescent="0.25">
      <c r="A21" s="190" t="s">
        <v>125</v>
      </c>
    </row>
    <row r="22" spans="1:4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row>
    <row r="23" spans="1:42" x14ac:dyDescent="0.25">
      <c r="A23" s="190" t="s">
        <v>127</v>
      </c>
      <c r="B23" s="190">
        <v>1389071545.3299999</v>
      </c>
      <c r="C23" s="190">
        <v>1451600365.8299999</v>
      </c>
      <c r="D23" s="190">
        <v>1463486807.6199999</v>
      </c>
      <c r="E23" s="190">
        <v>1379351197.6199999</v>
      </c>
      <c r="F23" s="190">
        <v>1771090329.23</v>
      </c>
      <c r="G23" s="190">
        <v>1753429863.8099999</v>
      </c>
      <c r="H23" s="190">
        <v>1537615893.6600001</v>
      </c>
      <c r="I23" s="190">
        <v>1508452876.5799999</v>
      </c>
      <c r="J23" s="190">
        <v>663551249.78999996</v>
      </c>
      <c r="K23" s="190">
        <v>671582413.78999996</v>
      </c>
      <c r="L23" s="190">
        <v>678549080.78999996</v>
      </c>
      <c r="M23" s="190">
        <v>612601968</v>
      </c>
      <c r="N23" s="190">
        <v>628801281.87</v>
      </c>
      <c r="O23" s="190">
        <v>510313758</v>
      </c>
      <c r="P23" s="190">
        <v>488313758</v>
      </c>
      <c r="Q23" s="190">
        <v>438243758</v>
      </c>
      <c r="R23" s="190">
        <v>457871628</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row>
    <row r="24" spans="1:4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row>
    <row r="25" spans="1:42" x14ac:dyDescent="0.25">
      <c r="A25" s="190" t="s">
        <v>129</v>
      </c>
      <c r="B25" s="190">
        <v>3821621595.54</v>
      </c>
      <c r="C25" s="190">
        <v>2775019883.1999998</v>
      </c>
      <c r="D25" s="190">
        <v>1834424965.47</v>
      </c>
      <c r="E25" s="190">
        <v>836596387.11000001</v>
      </c>
      <c r="F25" s="190">
        <v>575884148.64999998</v>
      </c>
      <c r="G25" s="190">
        <v>568948571.13999999</v>
      </c>
      <c r="H25" s="190">
        <v>570932020.22000003</v>
      </c>
      <c r="I25" s="190">
        <v>556885409.91999996</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row>
    <row r="26" spans="1:42" x14ac:dyDescent="0.25">
      <c r="A26" s="190" t="s">
        <v>130</v>
      </c>
      <c r="B26" s="190">
        <v>2409742223.0599999</v>
      </c>
      <c r="C26" s="190">
        <v>2157875529.04</v>
      </c>
      <c r="D26" s="190">
        <v>1836791854.75</v>
      </c>
      <c r="E26" s="190">
        <v>1693182531.9100001</v>
      </c>
      <c r="F26" s="190">
        <v>778902588.85000002</v>
      </c>
      <c r="G26" s="190">
        <v>730480762.20000005</v>
      </c>
      <c r="H26" s="190">
        <v>739999144.57000005</v>
      </c>
      <c r="I26" s="190">
        <v>606055478.36000001</v>
      </c>
      <c r="J26" s="190">
        <v>109862456.66</v>
      </c>
      <c r="K26" s="190">
        <v>108059766.98</v>
      </c>
      <c r="L26" s="190">
        <v>106282333.42</v>
      </c>
      <c r="M26" s="190">
        <v>104304372.69</v>
      </c>
      <c r="N26" s="190">
        <v>110146517.26000001</v>
      </c>
      <c r="O26" s="190">
        <v>103340735.97</v>
      </c>
      <c r="P26" s="190">
        <v>105845182.06999999</v>
      </c>
      <c r="Q26" s="190">
        <v>104310538.33</v>
      </c>
      <c r="R26" s="190">
        <v>99323437.510000005</v>
      </c>
      <c r="S26" s="190">
        <v>568895893.27999997</v>
      </c>
      <c r="T26" s="190">
        <v>543116797.71000004</v>
      </c>
      <c r="U26" s="190">
        <v>541123048.21000004</v>
      </c>
      <c r="V26" s="190">
        <v>525816787.92000002</v>
      </c>
      <c r="W26" s="190">
        <v>522665476.44</v>
      </c>
      <c r="X26" s="190">
        <v>504948856.80000001</v>
      </c>
      <c r="Y26" s="190">
        <v>414463411.56</v>
      </c>
      <c r="Z26" s="190">
        <v>358541487.23000002</v>
      </c>
      <c r="AA26" s="190">
        <v>308971720.89999998</v>
      </c>
      <c r="AB26" s="190">
        <v>425072082.31999999</v>
      </c>
      <c r="AC26" s="190">
        <v>394003515.55000001</v>
      </c>
      <c r="AD26" s="190">
        <v>224139204.03</v>
      </c>
      <c r="AE26" s="190">
        <v>223976359.44999999</v>
      </c>
      <c r="AF26" s="190">
        <v>206942256.94</v>
      </c>
      <c r="AG26" s="190">
        <v>62034078.270000003</v>
      </c>
      <c r="AH26" s="190">
        <v>62056908.75</v>
      </c>
      <c r="AI26" s="190">
        <v>60309687.600000001</v>
      </c>
      <c r="AJ26" s="190">
        <v>59993899.270000003</v>
      </c>
      <c r="AK26" s="190">
        <v>60359945.630000003</v>
      </c>
      <c r="AL26" s="190">
        <v>24478634.120000001</v>
      </c>
      <c r="AM26" s="190">
        <v>35780592.719999999</v>
      </c>
      <c r="AN26" s="190">
        <v>31133700.140000001</v>
      </c>
      <c r="AO26" s="190">
        <v>29447965.960000001</v>
      </c>
      <c r="AP26" s="190">
        <v>0</v>
      </c>
    </row>
    <row r="27" spans="1:42" x14ac:dyDescent="0.25">
      <c r="A27" s="190" t="s">
        <v>131</v>
      </c>
      <c r="B27" s="190">
        <v>183468652.53</v>
      </c>
      <c r="C27" s="190">
        <v>186354585.66</v>
      </c>
      <c r="D27" s="190">
        <v>181624651.53</v>
      </c>
      <c r="E27" s="190">
        <v>192126451.90000001</v>
      </c>
      <c r="F27" s="190">
        <v>69140271.060000002</v>
      </c>
      <c r="G27" s="190">
        <v>70432597.150000006</v>
      </c>
      <c r="H27" s="190">
        <v>71724923.239999995</v>
      </c>
      <c r="I27" s="190">
        <v>73017249.329999998</v>
      </c>
      <c r="J27" s="190">
        <v>4106473.79</v>
      </c>
      <c r="K27" s="190">
        <v>4282548.5</v>
      </c>
      <c r="L27" s="190">
        <v>4458623.2</v>
      </c>
      <c r="M27" s="190">
        <v>4634697.91</v>
      </c>
      <c r="N27" s="190">
        <v>4810772.6100000003</v>
      </c>
      <c r="O27" s="190">
        <v>4986847.32</v>
      </c>
      <c r="P27" s="190">
        <v>5162922.0199999996</v>
      </c>
      <c r="Q27" s="190">
        <v>5338996.7300000004</v>
      </c>
      <c r="R27" s="190">
        <v>5515071.4299999997</v>
      </c>
      <c r="S27" s="190">
        <v>5691146.1299999999</v>
      </c>
      <c r="T27" s="190">
        <v>5867220.8399999999</v>
      </c>
      <c r="U27" s="190">
        <v>6043295.54</v>
      </c>
      <c r="V27" s="190">
        <v>2443187.29</v>
      </c>
      <c r="W27" s="190">
        <v>2537059.54</v>
      </c>
      <c r="X27" s="190">
        <v>2630931.79</v>
      </c>
      <c r="Y27" s="190">
        <v>2724804.04</v>
      </c>
      <c r="Z27" s="190">
        <v>2818676.29</v>
      </c>
      <c r="AA27" s="190">
        <v>2912548.54</v>
      </c>
      <c r="AB27" s="190">
        <v>3006420.79</v>
      </c>
      <c r="AC27" s="190">
        <v>3100293.04</v>
      </c>
      <c r="AD27" s="190">
        <v>3194165.29</v>
      </c>
      <c r="AE27" s="190">
        <v>3288037.54</v>
      </c>
      <c r="AF27" s="190">
        <v>3381909.79</v>
      </c>
      <c r="AG27" s="190">
        <v>3475782.04</v>
      </c>
      <c r="AH27" s="190">
        <v>3569654.29</v>
      </c>
      <c r="AI27" s="190">
        <v>3663526.54</v>
      </c>
      <c r="AJ27" s="190">
        <v>3757398.79</v>
      </c>
      <c r="AK27" s="190">
        <v>3851271.04</v>
      </c>
      <c r="AL27" s="190">
        <v>3921227.93</v>
      </c>
      <c r="AM27" s="190">
        <v>4226760.16</v>
      </c>
      <c r="AN27" s="190">
        <v>4532292.3899999997</v>
      </c>
      <c r="AO27" s="190">
        <v>0</v>
      </c>
      <c r="AP27" s="190">
        <v>0</v>
      </c>
    </row>
    <row r="28" spans="1:42" x14ac:dyDescent="0.25">
      <c r="A28" s="190" t="s">
        <v>132</v>
      </c>
      <c r="B28" s="190">
        <v>14239169507.16</v>
      </c>
      <c r="C28" s="190">
        <v>14545858062.200001</v>
      </c>
      <c r="D28" s="190">
        <v>14837161110.469999</v>
      </c>
      <c r="E28" s="190">
        <v>16092731979.01</v>
      </c>
      <c r="F28" s="190">
        <v>14934298369.110001</v>
      </c>
      <c r="G28" s="190">
        <v>14224190548.700001</v>
      </c>
      <c r="H28" s="190">
        <v>13590780451.950001</v>
      </c>
      <c r="I28" s="190">
        <v>13458027230.74</v>
      </c>
      <c r="J28" s="190">
        <v>2073746743.54</v>
      </c>
      <c r="K28" s="190">
        <v>2103821941.51</v>
      </c>
      <c r="L28" s="190">
        <v>2137503197.9300001</v>
      </c>
      <c r="M28" s="190">
        <v>2179153600.3499999</v>
      </c>
      <c r="N28" s="190">
        <v>2205174738.4400001</v>
      </c>
      <c r="O28" s="190">
        <v>2312507303.48</v>
      </c>
      <c r="P28" s="190">
        <v>1373458771.9200001</v>
      </c>
      <c r="Q28" s="190">
        <v>1375339421.3299999</v>
      </c>
      <c r="R28" s="190">
        <v>1136783176.8199999</v>
      </c>
      <c r="S28" s="190">
        <v>1089717750.45</v>
      </c>
      <c r="T28" s="190">
        <v>1113766193.6500001</v>
      </c>
      <c r="U28" s="190">
        <v>1129562071.6199999</v>
      </c>
      <c r="V28" s="190">
        <v>917364170.58000004</v>
      </c>
      <c r="W28" s="190">
        <v>909180834.30999994</v>
      </c>
      <c r="X28" s="190">
        <v>931949373.02999997</v>
      </c>
      <c r="Y28" s="190">
        <v>953934829.98000002</v>
      </c>
      <c r="Z28" s="190">
        <v>922874919.89999998</v>
      </c>
      <c r="AA28" s="190">
        <v>394474927.30000001</v>
      </c>
      <c r="AB28" s="190">
        <v>382576574.16000003</v>
      </c>
      <c r="AC28" s="190">
        <v>505924782.44999999</v>
      </c>
      <c r="AD28" s="190">
        <v>367405101.52999997</v>
      </c>
      <c r="AE28" s="190">
        <v>354684925.49000001</v>
      </c>
      <c r="AF28" s="190">
        <v>345653637.62</v>
      </c>
      <c r="AG28" s="190">
        <v>347883135.31</v>
      </c>
      <c r="AH28" s="190">
        <v>345786586.81</v>
      </c>
      <c r="AI28" s="190">
        <v>339712284.38999999</v>
      </c>
      <c r="AJ28" s="190">
        <v>348464022.55000001</v>
      </c>
      <c r="AK28" s="190">
        <v>359336548.94</v>
      </c>
      <c r="AL28" s="190">
        <v>364723393.83999997</v>
      </c>
      <c r="AM28" s="190">
        <v>381552531.54000002</v>
      </c>
      <c r="AN28" s="190">
        <v>380038562.97000003</v>
      </c>
      <c r="AO28" s="190">
        <v>393304609.39999998</v>
      </c>
      <c r="AP28" s="190">
        <v>0</v>
      </c>
    </row>
    <row r="29" spans="1:42" x14ac:dyDescent="0.25">
      <c r="A29" s="190" t="s">
        <v>133</v>
      </c>
      <c r="B29" s="190">
        <v>1456007932.1800001</v>
      </c>
      <c r="C29" s="190">
        <v>1539617049.5999999</v>
      </c>
      <c r="D29" s="190">
        <v>1275910532.0599999</v>
      </c>
      <c r="E29" s="190">
        <v>1029917780.4</v>
      </c>
      <c r="F29" s="190">
        <v>1486585130.95</v>
      </c>
      <c r="G29" s="190">
        <v>1779703833.55</v>
      </c>
      <c r="H29" s="190">
        <v>1263224886.79</v>
      </c>
      <c r="I29" s="190">
        <v>819268860.46000004</v>
      </c>
      <c r="J29" s="190">
        <v>43462460.280000001</v>
      </c>
      <c r="K29" s="190">
        <v>41614759.560000002</v>
      </c>
      <c r="L29" s="190">
        <v>38247525.159999996</v>
      </c>
      <c r="M29" s="190">
        <v>42339307.579999998</v>
      </c>
      <c r="N29" s="190">
        <v>41384098.299999997</v>
      </c>
      <c r="O29" s="190">
        <v>52269816.32</v>
      </c>
      <c r="P29" s="190">
        <v>711573983.59000003</v>
      </c>
      <c r="Q29" s="190">
        <v>651816681.73000002</v>
      </c>
      <c r="R29" s="190">
        <v>800847121.76999998</v>
      </c>
      <c r="S29" s="190">
        <v>822538270.91999996</v>
      </c>
      <c r="T29" s="190">
        <v>765404278.53999996</v>
      </c>
      <c r="U29" s="190">
        <v>680197211.17999995</v>
      </c>
      <c r="V29" s="190">
        <v>795580505.10000002</v>
      </c>
      <c r="W29" s="190">
        <v>731594289.51999998</v>
      </c>
      <c r="X29" s="190">
        <v>635451373.71000004</v>
      </c>
      <c r="Y29" s="190">
        <v>561839053.14999998</v>
      </c>
      <c r="Z29" s="190">
        <v>425177115.63</v>
      </c>
      <c r="AA29" s="190">
        <v>354147857.72000003</v>
      </c>
      <c r="AB29" s="190">
        <v>236563652.41999999</v>
      </c>
      <c r="AC29" s="190">
        <v>233342244.43000001</v>
      </c>
      <c r="AD29" s="190">
        <v>131506908.77</v>
      </c>
      <c r="AE29" s="190">
        <v>105474769.68000001</v>
      </c>
      <c r="AF29" s="190">
        <v>73981335.530000001</v>
      </c>
      <c r="AG29" s="190">
        <v>60311953.530000001</v>
      </c>
      <c r="AH29" s="190">
        <v>33756973.859999999</v>
      </c>
      <c r="AI29" s="190">
        <v>12522524.619999999</v>
      </c>
      <c r="AJ29" s="190">
        <v>11165518.890000001</v>
      </c>
      <c r="AK29" s="190">
        <v>8340251.5199999996</v>
      </c>
      <c r="AL29" s="190">
        <v>6754222.8700000001</v>
      </c>
      <c r="AM29" s="190">
        <v>6708956.79</v>
      </c>
      <c r="AN29" s="190">
        <v>11572117.82</v>
      </c>
      <c r="AO29" s="190">
        <v>2743495.31</v>
      </c>
      <c r="AP29" s="190">
        <v>0</v>
      </c>
    </row>
    <row r="30" spans="1:42" x14ac:dyDescent="0.25">
      <c r="A30" s="190" t="s">
        <v>134</v>
      </c>
      <c r="B30" s="190">
        <v>0</v>
      </c>
      <c r="C30" s="190">
        <v>0</v>
      </c>
      <c r="D30" s="190">
        <v>6327459.0199999996</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row>
    <row r="31" spans="1:42" x14ac:dyDescent="0.25">
      <c r="A31" s="190" t="s">
        <v>135</v>
      </c>
      <c r="B31" s="190">
        <v>0</v>
      </c>
      <c r="C31" s="190">
        <v>4742.38</v>
      </c>
      <c r="D31" s="190">
        <v>8187392.1100000003</v>
      </c>
      <c r="E31" s="190">
        <v>0</v>
      </c>
      <c r="F31" s="190">
        <v>0</v>
      </c>
      <c r="G31" s="190">
        <v>0</v>
      </c>
      <c r="H31" s="190">
        <v>6180855.1699999999</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row>
    <row r="32" spans="1:4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row>
    <row r="33" spans="1:4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row>
    <row r="34" spans="1:4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row>
    <row r="35" spans="1:42" x14ac:dyDescent="0.25">
      <c r="A35" s="190" t="s">
        <v>139</v>
      </c>
      <c r="B35" s="190">
        <v>357963841.64999998</v>
      </c>
      <c r="C35" s="190">
        <v>367854392.75999999</v>
      </c>
      <c r="D35" s="190">
        <v>350269873.25</v>
      </c>
      <c r="E35" s="190">
        <v>344248693.23000002</v>
      </c>
      <c r="F35" s="190">
        <v>548842593.21000004</v>
      </c>
      <c r="G35" s="190">
        <v>530863354.52999997</v>
      </c>
      <c r="H35" s="190">
        <v>524462293.81999999</v>
      </c>
      <c r="I35" s="190">
        <v>530349904.79000002</v>
      </c>
      <c r="J35" s="190">
        <v>418604118.30000001</v>
      </c>
      <c r="K35" s="190">
        <v>428760234.94999999</v>
      </c>
      <c r="L35" s="190">
        <v>224977376.34999999</v>
      </c>
      <c r="M35" s="190">
        <v>229533410.63999999</v>
      </c>
      <c r="N35" s="190">
        <v>233844487.13</v>
      </c>
      <c r="O35" s="190">
        <v>238165554.30000001</v>
      </c>
      <c r="P35" s="190">
        <v>243062342.69999999</v>
      </c>
      <c r="Q35" s="190">
        <v>247755664.41</v>
      </c>
      <c r="R35" s="190">
        <v>281296189.88999999</v>
      </c>
      <c r="S35" s="190">
        <v>286876111.19999999</v>
      </c>
      <c r="T35" s="190">
        <v>292865890.91000003</v>
      </c>
      <c r="U35" s="190">
        <v>288131513.64999998</v>
      </c>
      <c r="V35" s="190">
        <v>320027169.68000001</v>
      </c>
      <c r="W35" s="190">
        <v>319900878.16000003</v>
      </c>
      <c r="X35" s="190">
        <v>328010395.62</v>
      </c>
      <c r="Y35" s="190">
        <v>333115179.85000002</v>
      </c>
      <c r="Z35" s="190">
        <v>296249569.74000001</v>
      </c>
      <c r="AA35" s="190">
        <v>218028441.5</v>
      </c>
      <c r="AB35" s="190">
        <v>163507116.47</v>
      </c>
      <c r="AC35" s="190">
        <v>190205113.77000001</v>
      </c>
      <c r="AD35" s="190">
        <v>96006483.079999998</v>
      </c>
      <c r="AE35" s="190">
        <v>97322119.010000005</v>
      </c>
      <c r="AF35" s="190">
        <v>98141359.569999993</v>
      </c>
      <c r="AG35" s="190">
        <v>99507778.819999993</v>
      </c>
      <c r="AH35" s="190">
        <v>103667318.05</v>
      </c>
      <c r="AI35" s="190">
        <v>104782170.33</v>
      </c>
      <c r="AJ35" s="190">
        <v>67479174.379999995</v>
      </c>
      <c r="AK35" s="190">
        <v>67787646.680000007</v>
      </c>
      <c r="AL35" s="190">
        <v>69116433.140000001</v>
      </c>
      <c r="AM35" s="190">
        <v>70346336.310000002</v>
      </c>
      <c r="AN35" s="190">
        <v>26456158.260000002</v>
      </c>
      <c r="AO35" s="190">
        <v>27824228.940000001</v>
      </c>
      <c r="AP35" s="190">
        <v>0</v>
      </c>
    </row>
    <row r="36" spans="1:42" x14ac:dyDescent="0.25">
      <c r="A36" s="190" t="s">
        <v>140</v>
      </c>
      <c r="B36" s="190">
        <v>327285.01</v>
      </c>
      <c r="C36" s="190">
        <v>0</v>
      </c>
      <c r="D36" s="190">
        <v>0</v>
      </c>
      <c r="E36" s="190">
        <v>0</v>
      </c>
      <c r="F36" s="190">
        <v>812427.68</v>
      </c>
      <c r="G36" s="190">
        <v>441269.06</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17303594.719999999</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row>
    <row r="37" spans="1:42" x14ac:dyDescent="0.25">
      <c r="A37" s="190" t="s">
        <v>141</v>
      </c>
      <c r="B37" s="190">
        <v>49334938.409999996</v>
      </c>
      <c r="C37" s="190">
        <v>48807841.689999998</v>
      </c>
      <c r="D37" s="190">
        <v>38071978.200000003</v>
      </c>
      <c r="E37" s="190">
        <v>38071978.200000003</v>
      </c>
      <c r="F37" s="190">
        <v>7963285.5800000001</v>
      </c>
      <c r="G37" s="190">
        <v>7963285.5800000001</v>
      </c>
      <c r="H37" s="190">
        <v>7963285.5800000001</v>
      </c>
      <c r="I37" s="190">
        <v>7963285.5800000001</v>
      </c>
      <c r="J37" s="190">
        <v>10626662.300000001</v>
      </c>
      <c r="K37" s="190">
        <v>10626662.300000001</v>
      </c>
      <c r="L37" s="190">
        <v>10626662.300000001</v>
      </c>
      <c r="M37" s="190">
        <v>10626662.300000001</v>
      </c>
      <c r="N37" s="190">
        <v>10626662.300000001</v>
      </c>
      <c r="O37" s="190">
        <v>10626662.300000001</v>
      </c>
      <c r="P37" s="190">
        <v>10626662.300000001</v>
      </c>
      <c r="Q37" s="190">
        <v>2663376.7200000002</v>
      </c>
      <c r="R37" s="190">
        <v>2663376.7200000002</v>
      </c>
      <c r="S37" s="190">
        <v>2663376.7200000002</v>
      </c>
      <c r="T37" s="190">
        <v>2663376.7200000002</v>
      </c>
      <c r="U37" s="190">
        <v>2663376.7200000002</v>
      </c>
      <c r="V37" s="190">
        <v>1042622.14</v>
      </c>
      <c r="W37" s="190">
        <v>1042622.14</v>
      </c>
      <c r="X37" s="190">
        <v>1042622.14</v>
      </c>
      <c r="Y37" s="190">
        <v>1042622.14</v>
      </c>
      <c r="Z37" s="190">
        <v>1379263.62</v>
      </c>
      <c r="AA37" s="190">
        <v>1379263.62</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row>
    <row r="38" spans="1:42" x14ac:dyDescent="0.25">
      <c r="A38" s="190" t="s">
        <v>142</v>
      </c>
      <c r="B38" s="190">
        <v>224457549.65000001</v>
      </c>
      <c r="C38" s="190">
        <v>223112731.22</v>
      </c>
      <c r="D38" s="190">
        <v>175131236.44999999</v>
      </c>
      <c r="E38" s="190">
        <v>227377088.87</v>
      </c>
      <c r="F38" s="190">
        <v>182667273.66</v>
      </c>
      <c r="G38" s="190">
        <v>138405721.59</v>
      </c>
      <c r="H38" s="190">
        <v>147932358.71000001</v>
      </c>
      <c r="I38" s="190">
        <v>136100015.86000001</v>
      </c>
      <c r="J38" s="190">
        <v>30261043.100000001</v>
      </c>
      <c r="K38" s="190">
        <v>28694219.530000001</v>
      </c>
      <c r="L38" s="190">
        <v>26915015.440000001</v>
      </c>
      <c r="M38" s="190">
        <v>27176396.539999999</v>
      </c>
      <c r="N38" s="190">
        <v>17490873.149999999</v>
      </c>
      <c r="O38" s="190">
        <v>22819561.050000001</v>
      </c>
      <c r="P38" s="190">
        <v>22055540.09</v>
      </c>
      <c r="Q38" s="190">
        <v>18395444.280000001</v>
      </c>
      <c r="R38" s="190">
        <v>12632019.93</v>
      </c>
      <c r="S38" s="190">
        <v>13576744.92</v>
      </c>
      <c r="T38" s="190">
        <v>14978913.33</v>
      </c>
      <c r="U38" s="190">
        <v>15537633.16</v>
      </c>
      <c r="V38" s="190">
        <v>23159954.329999998</v>
      </c>
      <c r="W38" s="190">
        <v>23789759.030000001</v>
      </c>
      <c r="X38" s="190">
        <v>23596310.02</v>
      </c>
      <c r="Y38" s="190">
        <v>25777309.870000001</v>
      </c>
      <c r="Z38" s="190">
        <v>25209104.34</v>
      </c>
      <c r="AA38" s="190">
        <v>11230229.85</v>
      </c>
      <c r="AB38" s="190">
        <v>11602866.15</v>
      </c>
      <c r="AC38" s="190">
        <v>20709911.59</v>
      </c>
      <c r="AD38" s="190">
        <v>12067176.65</v>
      </c>
      <c r="AE38" s="190">
        <v>12451563.35</v>
      </c>
      <c r="AF38" s="190">
        <v>13217224.82</v>
      </c>
      <c r="AG38" s="190">
        <v>13264252.779999999</v>
      </c>
      <c r="AH38" s="190">
        <v>11878831.32</v>
      </c>
      <c r="AI38" s="190">
        <v>12147347.9</v>
      </c>
      <c r="AJ38" s="190">
        <v>12618506.369999999</v>
      </c>
      <c r="AK38" s="190">
        <v>12684381</v>
      </c>
      <c r="AL38" s="190">
        <v>570913.63</v>
      </c>
      <c r="AM38" s="190">
        <v>702662.89</v>
      </c>
      <c r="AN38" s="190">
        <v>0</v>
      </c>
      <c r="AO38" s="190">
        <v>2814005.12</v>
      </c>
      <c r="AP38" s="190">
        <v>0</v>
      </c>
    </row>
    <row r="39" spans="1:42" x14ac:dyDescent="0.25">
      <c r="A39" s="190" t="s">
        <v>143</v>
      </c>
      <c r="B39" s="190">
        <v>292373198.05000001</v>
      </c>
      <c r="C39" s="190">
        <v>295012500.12</v>
      </c>
      <c r="D39" s="190">
        <v>270724374.39999998</v>
      </c>
      <c r="E39" s="190">
        <v>281618590.17000002</v>
      </c>
      <c r="F39" s="190">
        <v>225209775.71000001</v>
      </c>
      <c r="G39" s="190">
        <v>231695589.28999999</v>
      </c>
      <c r="H39" s="190">
        <v>224225243.97999999</v>
      </c>
      <c r="I39" s="190">
        <v>231502014.28999999</v>
      </c>
      <c r="J39" s="190">
        <v>117233625.88</v>
      </c>
      <c r="K39" s="190">
        <v>117206120.53</v>
      </c>
      <c r="L39" s="190">
        <v>144682467.88</v>
      </c>
      <c r="M39" s="190">
        <v>148137578.74000001</v>
      </c>
      <c r="N39" s="190">
        <v>161289485.81999999</v>
      </c>
      <c r="O39" s="190">
        <v>158235923.15000001</v>
      </c>
      <c r="P39" s="190">
        <v>168797084.43000001</v>
      </c>
      <c r="Q39" s="190">
        <v>168414758.18000001</v>
      </c>
      <c r="R39" s="190">
        <v>156507585.66999999</v>
      </c>
      <c r="S39" s="190">
        <v>156755512.84999999</v>
      </c>
      <c r="T39" s="190">
        <v>121340159.81</v>
      </c>
      <c r="U39" s="190">
        <v>119117142.52</v>
      </c>
      <c r="V39" s="190">
        <v>101305006.66</v>
      </c>
      <c r="W39" s="190">
        <v>101457621.97</v>
      </c>
      <c r="X39" s="190">
        <v>112593731.33</v>
      </c>
      <c r="Y39" s="190">
        <v>108169885.62</v>
      </c>
      <c r="Z39" s="190">
        <v>98638452.150000006</v>
      </c>
      <c r="AA39" s="190">
        <v>90946596.480000004</v>
      </c>
      <c r="AB39" s="190">
        <v>76279406.409999996</v>
      </c>
      <c r="AC39" s="190">
        <v>84041326.810000002</v>
      </c>
      <c r="AD39" s="190">
        <v>58581378.060000002</v>
      </c>
      <c r="AE39" s="190">
        <v>58572233.670000002</v>
      </c>
      <c r="AF39" s="190">
        <v>56925868.75</v>
      </c>
      <c r="AG39" s="190">
        <v>56808408.390000001</v>
      </c>
      <c r="AH39" s="190">
        <v>34934404.649999999</v>
      </c>
      <c r="AI39" s="190">
        <v>35378057.119999997</v>
      </c>
      <c r="AJ39" s="190">
        <v>32181465.190000001</v>
      </c>
      <c r="AK39" s="190">
        <v>31007675.59</v>
      </c>
      <c r="AL39" s="190">
        <v>8948501.4199999999</v>
      </c>
      <c r="AM39" s="190">
        <v>12289900.210000001</v>
      </c>
      <c r="AN39" s="190">
        <v>9539921.0199999996</v>
      </c>
      <c r="AO39" s="190">
        <v>17315535.629999999</v>
      </c>
      <c r="AP39" s="190">
        <v>0</v>
      </c>
    </row>
    <row r="40" spans="1:42" x14ac:dyDescent="0.25">
      <c r="A40" s="190" t="s">
        <v>144</v>
      </c>
      <c r="B40" s="190">
        <v>701679404.77999997</v>
      </c>
      <c r="C40" s="190">
        <v>734468510.94000006</v>
      </c>
      <c r="D40" s="190">
        <v>780042967.84000003</v>
      </c>
      <c r="E40" s="190">
        <v>1000026582.47</v>
      </c>
      <c r="F40" s="190">
        <v>1295928878.6900001</v>
      </c>
      <c r="G40" s="190">
        <v>1075705793.1600001</v>
      </c>
      <c r="H40" s="190">
        <v>864341502.71000004</v>
      </c>
      <c r="I40" s="190">
        <v>848068182.00999999</v>
      </c>
      <c r="J40" s="190">
        <v>1615336.81</v>
      </c>
      <c r="K40" s="190">
        <v>1615336.81</v>
      </c>
      <c r="L40" s="190">
        <v>52445842.310000002</v>
      </c>
      <c r="M40" s="190">
        <v>66859442.18</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row>
    <row r="41" spans="1:42" x14ac:dyDescent="0.25">
      <c r="A41" s="190" t="s">
        <v>145</v>
      </c>
      <c r="B41" s="190">
        <v>25125217673.349998</v>
      </c>
      <c r="C41" s="190">
        <v>24325586194.639999</v>
      </c>
      <c r="D41" s="190">
        <v>23058155203.169998</v>
      </c>
      <c r="E41" s="190">
        <v>23115249260.889999</v>
      </c>
      <c r="F41" s="190">
        <v>21877325072.380001</v>
      </c>
      <c r="G41" s="190">
        <v>21112261189.759998</v>
      </c>
      <c r="H41" s="190">
        <v>19549382860.400002</v>
      </c>
      <c r="I41" s="190">
        <v>18775690507.919998</v>
      </c>
      <c r="J41" s="190">
        <v>3473070170.4499998</v>
      </c>
      <c r="K41" s="190">
        <v>3516264004.46</v>
      </c>
      <c r="L41" s="190">
        <v>3424688124.7800002</v>
      </c>
      <c r="M41" s="190">
        <v>3425367436.9299998</v>
      </c>
      <c r="N41" s="190">
        <v>3413568916.8800001</v>
      </c>
      <c r="O41" s="190">
        <v>3413266161.8899999</v>
      </c>
      <c r="P41" s="190">
        <v>3128896247.1199999</v>
      </c>
      <c r="Q41" s="190">
        <v>3012278639.71</v>
      </c>
      <c r="R41" s="190">
        <v>2953439607.7399998</v>
      </c>
      <c r="S41" s="190">
        <v>2946714806.4699998</v>
      </c>
      <c r="T41" s="190">
        <v>2860002831.5100002</v>
      </c>
      <c r="U41" s="190">
        <v>2782375292.5999999</v>
      </c>
      <c r="V41" s="190">
        <v>2686739403.6999998</v>
      </c>
      <c r="W41" s="190">
        <v>2612168541.1100001</v>
      </c>
      <c r="X41" s="190">
        <v>2540223594.4400001</v>
      </c>
      <c r="Y41" s="190">
        <v>2401067096.21</v>
      </c>
      <c r="Z41" s="190">
        <v>2148192183.6199999</v>
      </c>
      <c r="AA41" s="190">
        <v>1382091585.9100001</v>
      </c>
      <c r="AB41" s="190">
        <v>1298608118.72</v>
      </c>
      <c r="AC41" s="190">
        <v>1431327187.6400001</v>
      </c>
      <c r="AD41" s="190">
        <v>892900417.40999997</v>
      </c>
      <c r="AE41" s="190">
        <v>855770008.19000006</v>
      </c>
      <c r="AF41" s="190">
        <v>798243593.01999998</v>
      </c>
      <c r="AG41" s="190">
        <v>643285389.13999999</v>
      </c>
      <c r="AH41" s="190">
        <v>595650677.73000002</v>
      </c>
      <c r="AI41" s="190">
        <v>568515598.5</v>
      </c>
      <c r="AJ41" s="190">
        <v>535659985.44</v>
      </c>
      <c r="AK41" s="190">
        <v>543367720.39999998</v>
      </c>
      <c r="AL41" s="190">
        <v>478513326.94999999</v>
      </c>
      <c r="AM41" s="190">
        <v>511607740.62</v>
      </c>
      <c r="AN41" s="190">
        <v>463272752.60000002</v>
      </c>
      <c r="AO41" s="190">
        <v>473449840.36000001</v>
      </c>
      <c r="AP41" s="190">
        <v>0</v>
      </c>
    </row>
    <row r="42" spans="1:42" x14ac:dyDescent="0.25">
      <c r="A42" s="190" t="s">
        <v>146</v>
      </c>
      <c r="B42" s="190">
        <v>48824111323.82</v>
      </c>
      <c r="C42" s="190">
        <v>46889833685.940002</v>
      </c>
      <c r="D42" s="190">
        <v>44314575845.379997</v>
      </c>
      <c r="E42" s="190">
        <v>44155384122.940002</v>
      </c>
      <c r="F42" s="190">
        <v>42100730120.68</v>
      </c>
      <c r="G42" s="190">
        <v>40040751354.760002</v>
      </c>
      <c r="H42" s="190">
        <v>39732928773.709999</v>
      </c>
      <c r="I42" s="190">
        <v>35355937406.650002</v>
      </c>
      <c r="J42" s="190">
        <v>12223318549.639999</v>
      </c>
      <c r="K42" s="190">
        <v>13576691177.65</v>
      </c>
      <c r="L42" s="190">
        <v>12518965960.469999</v>
      </c>
      <c r="M42" s="190">
        <v>12111124244.82</v>
      </c>
      <c r="N42" s="190">
        <v>13287433861.709999</v>
      </c>
      <c r="O42" s="190">
        <v>12813215210.440001</v>
      </c>
      <c r="P42" s="190">
        <v>11877558180.280001</v>
      </c>
      <c r="Q42" s="190">
        <v>12202172858.32</v>
      </c>
      <c r="R42" s="190">
        <v>11461931337.75</v>
      </c>
      <c r="S42" s="190">
        <v>11402550099.9</v>
      </c>
      <c r="T42" s="190">
        <v>10722696139.25</v>
      </c>
      <c r="U42" s="190">
        <v>11006556958.32</v>
      </c>
      <c r="V42" s="190">
        <v>10889732734.48</v>
      </c>
      <c r="W42" s="190">
        <v>10233610829.08</v>
      </c>
      <c r="X42" s="190">
        <v>9655588103.9500008</v>
      </c>
      <c r="Y42" s="190">
        <v>9900141937.2399998</v>
      </c>
      <c r="Z42" s="190">
        <v>9432090470.9699993</v>
      </c>
      <c r="AA42" s="190">
        <v>8331385664.7700005</v>
      </c>
      <c r="AB42" s="190">
        <v>8306336883.7299995</v>
      </c>
      <c r="AC42" s="190">
        <v>9511631169.9799995</v>
      </c>
      <c r="AD42" s="190">
        <v>8280293125.7200003</v>
      </c>
      <c r="AE42" s="190">
        <v>6553534046.7299995</v>
      </c>
      <c r="AF42" s="190">
        <v>6091573594.5299997</v>
      </c>
      <c r="AG42" s="190">
        <v>6089584165.1099997</v>
      </c>
      <c r="AH42" s="190">
        <v>5954258783.8999996</v>
      </c>
      <c r="AI42" s="190">
        <v>5514771425.0500002</v>
      </c>
      <c r="AJ42" s="190">
        <v>5151432613.0799999</v>
      </c>
      <c r="AK42" s="190">
        <v>2707269074.29</v>
      </c>
      <c r="AL42" s="190">
        <v>2587404482.21</v>
      </c>
      <c r="AM42" s="190">
        <v>1997985279.74</v>
      </c>
      <c r="AN42" s="190">
        <v>2377886466.4899998</v>
      </c>
      <c r="AO42" s="190">
        <v>1828013151.55</v>
      </c>
      <c r="AP42" s="190">
        <v>0</v>
      </c>
    </row>
    <row r="43" spans="1:42" x14ac:dyDescent="0.25">
      <c r="A43" s="190" t="s">
        <v>147</v>
      </c>
    </row>
    <row r="44" spans="1:42" x14ac:dyDescent="0.25">
      <c r="A44" s="190" t="s">
        <v>148</v>
      </c>
      <c r="B44" s="190">
        <v>2351216471.4099998</v>
      </c>
      <c r="C44" s="190">
        <v>2342179728.6999998</v>
      </c>
      <c r="D44" s="190">
        <v>2693580620.4299998</v>
      </c>
      <c r="E44" s="190">
        <v>2092539494.98</v>
      </c>
      <c r="F44" s="190">
        <v>2634089180.8099999</v>
      </c>
      <c r="G44" s="190">
        <v>2594752998.6399999</v>
      </c>
      <c r="H44" s="190">
        <v>2997319526.6300001</v>
      </c>
      <c r="I44" s="190">
        <v>3245912020.0100002</v>
      </c>
      <c r="J44" s="190">
        <v>55419930</v>
      </c>
      <c r="K44" s="190">
        <v>54953640</v>
      </c>
      <c r="L44" s="190">
        <v>54117915</v>
      </c>
      <c r="M44" s="190">
        <v>30000360</v>
      </c>
      <c r="N44" s="190">
        <v>195062800</v>
      </c>
      <c r="O44" s="190">
        <v>193884000</v>
      </c>
      <c r="P44" s="190">
        <v>163151450</v>
      </c>
      <c r="Q44" s="190">
        <v>236923600</v>
      </c>
      <c r="R44" s="190">
        <v>285727637.5</v>
      </c>
      <c r="S44" s="190">
        <v>267062582.5</v>
      </c>
      <c r="T44" s="190">
        <v>258192127.5</v>
      </c>
      <c r="U44" s="190">
        <v>285477737.5</v>
      </c>
      <c r="V44" s="190">
        <v>362458922</v>
      </c>
      <c r="W44" s="190">
        <v>288446700</v>
      </c>
      <c r="X44" s="190">
        <v>329404085.97000003</v>
      </c>
      <c r="Y44" s="190">
        <v>210248014.97999999</v>
      </c>
      <c r="Z44" s="190">
        <v>227157242.5</v>
      </c>
      <c r="AA44" s="190">
        <v>30581645</v>
      </c>
      <c r="AB44" s="190">
        <v>12577508</v>
      </c>
      <c r="AC44" s="190">
        <v>431096755</v>
      </c>
      <c r="AD44" s="190">
        <v>1112463</v>
      </c>
      <c r="AE44" s="190">
        <v>1299276</v>
      </c>
      <c r="AF44" s="190">
        <v>0</v>
      </c>
      <c r="AG44" s="190">
        <v>0</v>
      </c>
      <c r="AH44" s="190">
        <v>0</v>
      </c>
      <c r="AI44" s="190">
        <v>0</v>
      </c>
      <c r="AJ44" s="190">
        <v>0</v>
      </c>
      <c r="AK44" s="190">
        <v>1242732.3999999999</v>
      </c>
      <c r="AL44" s="190">
        <v>52844746.5</v>
      </c>
      <c r="AM44" s="190">
        <v>16813116</v>
      </c>
      <c r="AN44" s="190">
        <v>257364705.72</v>
      </c>
      <c r="AO44" s="190">
        <v>298546527.30000001</v>
      </c>
      <c r="AP44" s="190">
        <v>0</v>
      </c>
    </row>
    <row r="45" spans="1:4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row>
    <row r="46" spans="1:42" x14ac:dyDescent="0.25">
      <c r="A46" s="190" t="s">
        <v>150</v>
      </c>
      <c r="B46" s="190">
        <v>0</v>
      </c>
      <c r="C46" s="190">
        <v>2989138723.0599999</v>
      </c>
      <c r="D46" s="190">
        <v>2459432425.8000002</v>
      </c>
      <c r="E46" s="190">
        <v>2074125483.46</v>
      </c>
      <c r="F46" s="190">
        <v>1785542478.9000001</v>
      </c>
      <c r="G46" s="190">
        <v>1863095815.55</v>
      </c>
      <c r="H46" s="190">
        <v>1741902373.8800001</v>
      </c>
      <c r="I46" s="190">
        <v>1862324383.9300001</v>
      </c>
      <c r="J46" s="190">
        <v>206944653.93000001</v>
      </c>
      <c r="K46" s="190">
        <v>198402300.69</v>
      </c>
      <c r="L46" s="190">
        <v>157172855.41999999</v>
      </c>
      <c r="M46" s="190">
        <v>144661139.69</v>
      </c>
      <c r="N46" s="190">
        <v>182680289.08000001</v>
      </c>
      <c r="O46" s="190">
        <v>111198042.97</v>
      </c>
      <c r="P46" s="190">
        <v>87134031.819999993</v>
      </c>
      <c r="Q46" s="190">
        <v>58535137.039999999</v>
      </c>
      <c r="R46" s="190">
        <v>35045654.310000002</v>
      </c>
      <c r="S46" s="190">
        <v>34977898.57</v>
      </c>
      <c r="T46" s="190">
        <v>29593683.670000002</v>
      </c>
      <c r="U46" s="190">
        <v>27374913.09</v>
      </c>
      <c r="V46" s="190">
        <v>33747190.549999997</v>
      </c>
      <c r="W46" s="190">
        <v>10236799.060000001</v>
      </c>
      <c r="X46" s="190">
        <v>0</v>
      </c>
      <c r="Y46" s="190">
        <v>0</v>
      </c>
      <c r="Z46" s="190">
        <v>0</v>
      </c>
      <c r="AA46" s="190">
        <v>0</v>
      </c>
      <c r="AB46" s="190">
        <v>0</v>
      </c>
      <c r="AC46" s="190">
        <v>0</v>
      </c>
      <c r="AD46" s="190">
        <v>1429643.19</v>
      </c>
      <c r="AE46" s="190">
        <v>0</v>
      </c>
      <c r="AF46" s="190">
        <v>0</v>
      </c>
      <c r="AG46" s="190">
        <v>0</v>
      </c>
      <c r="AH46" s="190">
        <v>0</v>
      </c>
      <c r="AI46" s="190">
        <v>0</v>
      </c>
      <c r="AJ46" s="190">
        <v>0</v>
      </c>
      <c r="AK46" s="190">
        <v>0</v>
      </c>
      <c r="AL46" s="190">
        <v>0</v>
      </c>
      <c r="AM46" s="190">
        <v>0</v>
      </c>
      <c r="AN46" s="190">
        <v>49205449.469999999</v>
      </c>
      <c r="AO46" s="190">
        <v>0</v>
      </c>
      <c r="AP46" s="190">
        <v>0</v>
      </c>
    </row>
    <row r="47" spans="1:42" x14ac:dyDescent="0.25">
      <c r="A47" s="190" t="s">
        <v>151</v>
      </c>
      <c r="B47" s="190">
        <v>0</v>
      </c>
      <c r="C47" s="190">
        <v>6687641876.5200005</v>
      </c>
      <c r="D47" s="190">
        <v>4567629401.1899996</v>
      </c>
      <c r="E47" s="190">
        <v>5273944687.8400002</v>
      </c>
      <c r="F47" s="190">
        <v>4903714111.1400003</v>
      </c>
      <c r="G47" s="190">
        <v>4584052228.6300001</v>
      </c>
      <c r="H47" s="190">
        <v>3613763999.3699999</v>
      </c>
      <c r="I47" s="190">
        <v>4168613536.7800002</v>
      </c>
      <c r="J47" s="190">
        <v>2564850570.9000001</v>
      </c>
      <c r="K47" s="190">
        <v>2651841862.75</v>
      </c>
      <c r="L47" s="190">
        <v>2031336466.4300001</v>
      </c>
      <c r="M47" s="190">
        <v>1649148310.78</v>
      </c>
      <c r="N47" s="190">
        <v>2363550377.4499998</v>
      </c>
      <c r="O47" s="190">
        <v>2473659629.1399999</v>
      </c>
      <c r="P47" s="190">
        <v>1824961161.1500001</v>
      </c>
      <c r="Q47" s="190">
        <v>2210565252.6799998</v>
      </c>
      <c r="R47" s="190">
        <v>2044127223.98</v>
      </c>
      <c r="S47" s="190">
        <v>2094774806.4300001</v>
      </c>
      <c r="T47" s="190">
        <v>1648649505.8299999</v>
      </c>
      <c r="U47" s="190">
        <v>2170296685.7800002</v>
      </c>
      <c r="V47" s="190">
        <v>2137845561.77</v>
      </c>
      <c r="W47" s="190">
        <v>2140276894.23</v>
      </c>
      <c r="X47" s="190">
        <v>1452643118.8800001</v>
      </c>
      <c r="Y47" s="190">
        <v>1825927220.1600001</v>
      </c>
      <c r="Z47" s="190">
        <v>1756335069.9000001</v>
      </c>
      <c r="AA47" s="190">
        <v>1421787797.05</v>
      </c>
      <c r="AB47" s="190">
        <v>1145398127</v>
      </c>
      <c r="AC47" s="190">
        <v>1491815797.02</v>
      </c>
      <c r="AD47" s="190">
        <v>1578484718.25</v>
      </c>
      <c r="AE47" s="190">
        <v>1673456787.0699999</v>
      </c>
      <c r="AF47" s="190">
        <v>1146736414.8099999</v>
      </c>
      <c r="AG47" s="190">
        <v>1214724167.79</v>
      </c>
      <c r="AH47" s="190">
        <v>1170569642.7</v>
      </c>
      <c r="AI47" s="190">
        <v>1031831039.46</v>
      </c>
      <c r="AJ47" s="190">
        <v>763866118.38</v>
      </c>
      <c r="AK47" s="190">
        <v>918707992.63999999</v>
      </c>
      <c r="AL47" s="190">
        <v>732858861.75</v>
      </c>
      <c r="AM47" s="190">
        <v>541669347.61000001</v>
      </c>
      <c r="AN47" s="190">
        <v>762238042.94000006</v>
      </c>
      <c r="AO47" s="190">
        <v>654238306.09000003</v>
      </c>
      <c r="AP47" s="190">
        <v>0</v>
      </c>
    </row>
    <row r="48" spans="1:42" x14ac:dyDescent="0.25">
      <c r="A48" s="190" t="s">
        <v>152</v>
      </c>
      <c r="B48" s="190">
        <v>955483028.82000005</v>
      </c>
      <c r="C48" s="190">
        <v>505977087.69</v>
      </c>
      <c r="D48" s="190">
        <v>439929233.19999999</v>
      </c>
      <c r="E48" s="190">
        <v>297390094.11000001</v>
      </c>
      <c r="F48" s="190">
        <v>452408396.14999998</v>
      </c>
      <c r="G48" s="190">
        <v>282966207.05000001</v>
      </c>
      <c r="H48" s="190">
        <v>488907920.42000002</v>
      </c>
      <c r="I48" s="190">
        <v>178202927.25999999</v>
      </c>
      <c r="J48" s="190">
        <v>131095045.84</v>
      </c>
      <c r="K48" s="190">
        <v>118047530.40000001</v>
      </c>
      <c r="L48" s="190">
        <v>164190597.56</v>
      </c>
      <c r="M48" s="190">
        <v>153433063.24000001</v>
      </c>
      <c r="N48" s="190">
        <v>145355370.03999999</v>
      </c>
      <c r="O48" s="190">
        <v>158388408.44</v>
      </c>
      <c r="P48" s="190">
        <v>164284598.68000001</v>
      </c>
      <c r="Q48" s="190">
        <v>122966803.41</v>
      </c>
      <c r="R48" s="190">
        <v>151772789.72999999</v>
      </c>
      <c r="S48" s="190">
        <v>141668309.53</v>
      </c>
      <c r="T48" s="190">
        <v>150700900.18000001</v>
      </c>
      <c r="U48" s="190">
        <v>139769537.02000001</v>
      </c>
      <c r="V48" s="190">
        <v>129863449.23999999</v>
      </c>
      <c r="W48" s="190">
        <v>135213225.16</v>
      </c>
      <c r="X48" s="190">
        <v>146052905.12</v>
      </c>
      <c r="Y48" s="190">
        <v>120868215.61</v>
      </c>
      <c r="Z48" s="190">
        <v>124205600.81</v>
      </c>
      <c r="AA48" s="190">
        <v>37682160.32</v>
      </c>
      <c r="AB48" s="190">
        <v>57906237.909999996</v>
      </c>
      <c r="AC48" s="190">
        <v>105187246.28</v>
      </c>
      <c r="AD48" s="190">
        <v>58736676.700000003</v>
      </c>
      <c r="AE48" s="190">
        <v>68903542.200000003</v>
      </c>
      <c r="AF48" s="190">
        <v>68083970.730000004</v>
      </c>
      <c r="AG48" s="190">
        <v>49167012.140000001</v>
      </c>
      <c r="AH48" s="190">
        <v>50311160.109999999</v>
      </c>
      <c r="AI48" s="190">
        <v>48255338.649999999</v>
      </c>
      <c r="AJ48" s="190">
        <v>47526874.969999999</v>
      </c>
      <c r="AK48" s="190">
        <v>40288377.009999998</v>
      </c>
      <c r="AL48" s="190">
        <v>40646695.420000002</v>
      </c>
      <c r="AM48" s="190">
        <v>41410282.890000001</v>
      </c>
      <c r="AN48" s="190">
        <v>43013004.259999998</v>
      </c>
      <c r="AO48" s="190">
        <v>25369263.530000001</v>
      </c>
      <c r="AP48" s="190">
        <v>0</v>
      </c>
    </row>
    <row r="49" spans="1:4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row>
    <row r="50" spans="1:42" x14ac:dyDescent="0.25">
      <c r="A50" s="190" t="s">
        <v>154</v>
      </c>
      <c r="B50" s="190">
        <v>721861582.44000006</v>
      </c>
      <c r="C50" s="190">
        <v>612931206.12</v>
      </c>
      <c r="D50" s="190">
        <v>493528238.18000001</v>
      </c>
      <c r="E50" s="190">
        <v>748729715.12</v>
      </c>
      <c r="F50" s="190">
        <v>574205737.62</v>
      </c>
      <c r="G50" s="190">
        <v>488105232.62</v>
      </c>
      <c r="H50" s="190">
        <v>440844821.57999998</v>
      </c>
      <c r="I50" s="190">
        <v>612367974.39999998</v>
      </c>
      <c r="J50" s="190">
        <v>501811132.05000001</v>
      </c>
      <c r="K50" s="190">
        <v>447767214.00999999</v>
      </c>
      <c r="L50" s="190">
        <v>400644414.25</v>
      </c>
      <c r="M50" s="190">
        <v>531183145.14999998</v>
      </c>
      <c r="N50" s="190">
        <v>495436435.37</v>
      </c>
      <c r="O50" s="190">
        <v>435713672.23000002</v>
      </c>
      <c r="P50" s="190">
        <v>393393696.05000001</v>
      </c>
      <c r="Q50" s="190">
        <v>545813778.55999994</v>
      </c>
      <c r="R50" s="190">
        <v>461623265.02999997</v>
      </c>
      <c r="S50" s="190">
        <v>408423941.52999997</v>
      </c>
      <c r="T50" s="190">
        <v>365225864.47000003</v>
      </c>
      <c r="U50" s="190">
        <v>483305407.55000001</v>
      </c>
      <c r="V50" s="190">
        <v>405019914.94</v>
      </c>
      <c r="W50" s="190">
        <v>344077378.47000003</v>
      </c>
      <c r="X50" s="190">
        <v>294703571.77999997</v>
      </c>
      <c r="Y50" s="190">
        <v>400059952.19</v>
      </c>
      <c r="Z50" s="190">
        <v>392768553.74000001</v>
      </c>
      <c r="AA50" s="190">
        <v>319680498.81999999</v>
      </c>
      <c r="AB50" s="190">
        <v>276671399.85000002</v>
      </c>
      <c r="AC50" s="190">
        <v>363514194.49000001</v>
      </c>
      <c r="AD50" s="190">
        <v>279135387.60000002</v>
      </c>
      <c r="AE50" s="190">
        <v>238205118.22999999</v>
      </c>
      <c r="AF50" s="190">
        <v>197570011.34</v>
      </c>
      <c r="AG50" s="190">
        <v>246283080.53</v>
      </c>
      <c r="AH50" s="190">
        <v>207088132.90000001</v>
      </c>
      <c r="AI50" s="190">
        <v>167162806.36000001</v>
      </c>
      <c r="AJ50" s="190">
        <v>133552169.23</v>
      </c>
      <c r="AK50" s="190">
        <v>163743042.78</v>
      </c>
      <c r="AL50" s="190">
        <v>125528316.65000001</v>
      </c>
      <c r="AM50" s="190">
        <v>136504234.84999999</v>
      </c>
      <c r="AN50" s="190">
        <v>108395330.72</v>
      </c>
      <c r="AO50" s="190">
        <v>77617790.659999996</v>
      </c>
      <c r="AP50" s="190">
        <v>0</v>
      </c>
    </row>
    <row r="51" spans="1:42" x14ac:dyDescent="0.25">
      <c r="A51" s="190" t="s">
        <v>155</v>
      </c>
      <c r="B51" s="190">
        <v>297373888.33999997</v>
      </c>
      <c r="C51" s="190">
        <v>291885983.16000003</v>
      </c>
      <c r="D51" s="190">
        <v>341582647.51999998</v>
      </c>
      <c r="E51" s="190">
        <v>337275685.64999998</v>
      </c>
      <c r="F51" s="190">
        <v>227576436.41999999</v>
      </c>
      <c r="G51" s="190">
        <v>246958448.15000001</v>
      </c>
      <c r="H51" s="190">
        <v>225649269.91</v>
      </c>
      <c r="I51" s="190">
        <v>315078669.25999999</v>
      </c>
      <c r="J51" s="190">
        <v>115829384.84</v>
      </c>
      <c r="K51" s="190">
        <v>141844251.63999999</v>
      </c>
      <c r="L51" s="190">
        <v>230578829.41</v>
      </c>
      <c r="M51" s="190">
        <v>191688513.97999999</v>
      </c>
      <c r="N51" s="190">
        <v>197845250.65000001</v>
      </c>
      <c r="O51" s="190">
        <v>215696652.78999999</v>
      </c>
      <c r="P51" s="190">
        <v>292232939.52999997</v>
      </c>
      <c r="Q51" s="190">
        <v>246617708.08000001</v>
      </c>
      <c r="R51" s="190">
        <v>224292691.52000001</v>
      </c>
      <c r="S51" s="190">
        <v>226371552.59</v>
      </c>
      <c r="T51" s="190">
        <v>187507420.68000001</v>
      </c>
      <c r="U51" s="190">
        <v>140944816.47999999</v>
      </c>
      <c r="V51" s="190">
        <v>160024833.91</v>
      </c>
      <c r="W51" s="190">
        <v>170291212.71000001</v>
      </c>
      <c r="X51" s="190">
        <v>224079926.47</v>
      </c>
      <c r="Y51" s="190">
        <v>228926969.53</v>
      </c>
      <c r="Z51" s="190">
        <v>130726631.91</v>
      </c>
      <c r="AA51" s="190">
        <v>139518795.78</v>
      </c>
      <c r="AB51" s="190">
        <v>95418118.140000001</v>
      </c>
      <c r="AC51" s="190">
        <v>83411142.469999999</v>
      </c>
      <c r="AD51" s="190">
        <v>19810637.129999999</v>
      </c>
      <c r="AE51" s="190">
        <v>40736207.149999999</v>
      </c>
      <c r="AF51" s="190">
        <v>63190478.259999998</v>
      </c>
      <c r="AG51" s="190">
        <v>23478503.5</v>
      </c>
      <c r="AH51" s="190">
        <v>67848138.260000005</v>
      </c>
      <c r="AI51" s="190">
        <v>76091937.299999997</v>
      </c>
      <c r="AJ51" s="190">
        <v>80201054.069999993</v>
      </c>
      <c r="AK51" s="190">
        <v>33055510.100000001</v>
      </c>
      <c r="AL51" s="190">
        <v>73590210.400000006</v>
      </c>
      <c r="AM51" s="190">
        <v>78420242.239999995</v>
      </c>
      <c r="AN51" s="190">
        <v>130654190.92</v>
      </c>
      <c r="AO51" s="190">
        <v>35459803.520000003</v>
      </c>
      <c r="AP51" s="190">
        <v>0</v>
      </c>
    </row>
    <row r="52" spans="1:42" x14ac:dyDescent="0.25">
      <c r="A52" s="190" t="s">
        <v>156</v>
      </c>
      <c r="B52" s="190">
        <v>14315542.869999999</v>
      </c>
      <c r="C52" s="190">
        <v>12252742.279999999</v>
      </c>
      <c r="D52" s="190">
        <v>22780982.699999999</v>
      </c>
      <c r="E52" s="190">
        <v>20628458.09</v>
      </c>
      <c r="F52" s="190">
        <v>34119059</v>
      </c>
      <c r="G52" s="190">
        <v>30539144.75</v>
      </c>
      <c r="H52" s="190">
        <v>27940487.260000002</v>
      </c>
      <c r="I52" s="190">
        <v>18091764.73</v>
      </c>
      <c r="J52" s="190">
        <v>0</v>
      </c>
      <c r="K52" s="190">
        <v>79885823.200000003</v>
      </c>
      <c r="L52" s="190">
        <v>60541588.329999998</v>
      </c>
      <c r="M52" s="190">
        <v>37717353.460000001</v>
      </c>
      <c r="N52" s="190">
        <v>16109417.76</v>
      </c>
      <c r="O52" s="190">
        <v>79613272.810000002</v>
      </c>
      <c r="P52" s="190">
        <v>64511837.939999998</v>
      </c>
      <c r="Q52" s="190">
        <v>37449103.07</v>
      </c>
      <c r="R52" s="190">
        <v>16586068.199999999</v>
      </c>
      <c r="S52" s="190">
        <v>85989833.329999998</v>
      </c>
      <c r="T52" s="190">
        <v>63786333.329999998</v>
      </c>
      <c r="U52" s="190">
        <v>40738333.329999998</v>
      </c>
      <c r="V52" s="190">
        <v>18071527.829999998</v>
      </c>
      <c r="W52" s="190">
        <v>86004027.829999998</v>
      </c>
      <c r="X52" s="190">
        <v>63512254.140000001</v>
      </c>
      <c r="Y52" s="190">
        <v>40685813.140000001</v>
      </c>
      <c r="Z52" s="190">
        <v>18405970.84</v>
      </c>
      <c r="AA52" s="190">
        <v>85708333.329999998</v>
      </c>
      <c r="AB52" s="190">
        <v>63510848.700000003</v>
      </c>
      <c r="AC52" s="190">
        <v>41120845.829999998</v>
      </c>
      <c r="AD52" s="190">
        <v>15125000</v>
      </c>
      <c r="AE52" s="190">
        <v>0</v>
      </c>
      <c r="AF52" s="190">
        <v>0</v>
      </c>
      <c r="AG52" s="190">
        <v>0</v>
      </c>
      <c r="AH52" s="190">
        <v>0</v>
      </c>
      <c r="AI52" s="190">
        <v>0</v>
      </c>
      <c r="AJ52" s="190">
        <v>0</v>
      </c>
      <c r="AK52" s="190">
        <v>0</v>
      </c>
      <c r="AL52" s="190">
        <v>0</v>
      </c>
      <c r="AM52" s="190">
        <v>0</v>
      </c>
      <c r="AN52" s="190">
        <v>354297.58</v>
      </c>
      <c r="AO52" s="190">
        <v>417520.16</v>
      </c>
      <c r="AP52" s="190">
        <v>0</v>
      </c>
    </row>
    <row r="53" spans="1:42" x14ac:dyDescent="0.25">
      <c r="A53" s="190" t="s">
        <v>157</v>
      </c>
      <c r="B53" s="190">
        <v>49285725.810000002</v>
      </c>
      <c r="C53" s="190">
        <v>1515429.68</v>
      </c>
      <c r="D53" s="190">
        <v>8167686.8799999999</v>
      </c>
      <c r="E53" s="190">
        <v>7327050.8600000003</v>
      </c>
      <c r="F53" s="190">
        <v>1515429.68</v>
      </c>
      <c r="G53" s="190">
        <v>1515429.68</v>
      </c>
      <c r="H53" s="190">
        <v>1515429.68</v>
      </c>
      <c r="I53" s="190">
        <v>1515429.68</v>
      </c>
      <c r="J53" s="190">
        <v>1515429.68</v>
      </c>
      <c r="K53" s="190">
        <v>1515429.68</v>
      </c>
      <c r="L53" s="190">
        <v>1515429.68</v>
      </c>
      <c r="M53" s="190">
        <v>1515429.68</v>
      </c>
      <c r="N53" s="190">
        <v>1515429.68</v>
      </c>
      <c r="O53" s="190">
        <v>10786119.68</v>
      </c>
      <c r="P53" s="190">
        <v>1515429.68</v>
      </c>
      <c r="Q53" s="190">
        <v>1515429.68</v>
      </c>
      <c r="R53" s="190">
        <v>1515429.68</v>
      </c>
      <c r="S53" s="190">
        <v>13876349.68</v>
      </c>
      <c r="T53" s="190">
        <v>1515429.68</v>
      </c>
      <c r="U53" s="190">
        <v>1515429.68</v>
      </c>
      <c r="V53" s="190">
        <v>30891462.969999999</v>
      </c>
      <c r="W53" s="190">
        <v>33062199.84</v>
      </c>
      <c r="X53" s="190">
        <v>34262199.840000004</v>
      </c>
      <c r="Y53" s="190">
        <v>34262199.840000004</v>
      </c>
      <c r="Z53" s="190">
        <v>40995505.100000001</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row>
    <row r="54" spans="1:42" x14ac:dyDescent="0.25">
      <c r="A54" s="190" t="s">
        <v>158</v>
      </c>
      <c r="B54" s="190">
        <v>2062358345.8499999</v>
      </c>
      <c r="C54" s="190">
        <v>1423727210.3299999</v>
      </c>
      <c r="D54" s="190">
        <v>1179094736.1400001</v>
      </c>
      <c r="E54" s="190">
        <v>1186123910.04</v>
      </c>
      <c r="F54" s="190">
        <v>991547637.46000004</v>
      </c>
      <c r="G54" s="190">
        <v>780318814.88</v>
      </c>
      <c r="H54" s="190">
        <v>727076002.48000002</v>
      </c>
      <c r="I54" s="190">
        <v>787744259.32000005</v>
      </c>
      <c r="J54" s="190">
        <v>436962943.06999999</v>
      </c>
      <c r="K54" s="190">
        <v>405962990.23000002</v>
      </c>
      <c r="L54" s="190">
        <v>364961784.75</v>
      </c>
      <c r="M54" s="190">
        <v>588707597.69000006</v>
      </c>
      <c r="N54" s="190">
        <v>649539540.24000001</v>
      </c>
      <c r="O54" s="190">
        <v>633013877.24000001</v>
      </c>
      <c r="P54" s="190">
        <v>580567080.08000004</v>
      </c>
      <c r="Q54" s="190">
        <v>640113146.36000001</v>
      </c>
      <c r="R54" s="190">
        <v>721748937.20000005</v>
      </c>
      <c r="S54" s="190">
        <v>569044999.07000005</v>
      </c>
      <c r="T54" s="190">
        <v>381655593.75999999</v>
      </c>
      <c r="U54" s="190">
        <v>360902182.82999998</v>
      </c>
      <c r="V54" s="190">
        <v>431379132.38</v>
      </c>
      <c r="W54" s="190">
        <v>296417528.17000002</v>
      </c>
      <c r="X54" s="190">
        <v>202397874.09999999</v>
      </c>
      <c r="Y54" s="190">
        <v>363673921.67000002</v>
      </c>
      <c r="Z54" s="190">
        <v>357437699.67000002</v>
      </c>
      <c r="AA54" s="190">
        <v>208954521.62</v>
      </c>
      <c r="AB54" s="190">
        <v>128643316.18000001</v>
      </c>
      <c r="AC54" s="190">
        <v>291031254.67000002</v>
      </c>
      <c r="AD54" s="190">
        <v>225099404.44</v>
      </c>
      <c r="AE54" s="190">
        <v>158533409.97999999</v>
      </c>
      <c r="AF54" s="190">
        <v>105802496.72</v>
      </c>
      <c r="AG54" s="190">
        <v>180970865.53</v>
      </c>
      <c r="AH54" s="190">
        <v>191748663.44999999</v>
      </c>
      <c r="AI54" s="190">
        <v>154486290.06</v>
      </c>
      <c r="AJ54" s="190">
        <v>106761505.83</v>
      </c>
      <c r="AK54" s="190">
        <v>130609503.56</v>
      </c>
      <c r="AL54" s="190">
        <v>84466123.180000007</v>
      </c>
      <c r="AM54" s="190">
        <v>60964781.469999999</v>
      </c>
      <c r="AN54" s="190">
        <v>55414950.729999997</v>
      </c>
      <c r="AO54" s="190">
        <v>217924439.11000001</v>
      </c>
      <c r="AP54" s="190">
        <v>0</v>
      </c>
    </row>
    <row r="55" spans="1:4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row>
    <row r="56" spans="1:4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row>
    <row r="57" spans="1:4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row>
    <row r="58" spans="1:42" x14ac:dyDescent="0.25">
      <c r="A58" s="190" t="s">
        <v>162</v>
      </c>
      <c r="B58" s="190">
        <v>1259076438.1199999</v>
      </c>
      <c r="C58" s="190">
        <v>1256885137.5</v>
      </c>
      <c r="D58" s="190">
        <v>840610827.25999999</v>
      </c>
      <c r="E58" s="190">
        <v>854368277.13999999</v>
      </c>
      <c r="F58" s="190">
        <v>616724519.36000001</v>
      </c>
      <c r="G58" s="190">
        <v>644831184.12</v>
      </c>
      <c r="H58" s="190">
        <v>811536225.25</v>
      </c>
      <c r="I58" s="190">
        <v>991766206.52999997</v>
      </c>
      <c r="J58" s="190">
        <v>0</v>
      </c>
      <c r="K58" s="190">
        <v>1393999000</v>
      </c>
      <c r="L58" s="190">
        <v>1393773550.9100001</v>
      </c>
      <c r="M58" s="190">
        <v>1392916249.3499999</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row>
    <row r="59" spans="1:42" x14ac:dyDescent="0.25">
      <c r="A59" s="190" t="s">
        <v>163</v>
      </c>
      <c r="B59" s="190">
        <v>105025574.86</v>
      </c>
      <c r="C59" s="190">
        <v>84270400.909999996</v>
      </c>
      <c r="D59" s="190">
        <v>98639359.310000002</v>
      </c>
      <c r="E59" s="190">
        <v>137872145.71000001</v>
      </c>
      <c r="F59" s="190">
        <v>85198690.739999995</v>
      </c>
      <c r="G59" s="190">
        <v>82027876.989999995</v>
      </c>
      <c r="H59" s="190">
        <v>89844262.489999995</v>
      </c>
      <c r="I59" s="190">
        <v>103134404.31</v>
      </c>
      <c r="J59" s="190">
        <v>77086430.379999995</v>
      </c>
      <c r="K59" s="190">
        <v>68331018.870000005</v>
      </c>
      <c r="L59" s="190">
        <v>47701500.759999998</v>
      </c>
      <c r="M59" s="190">
        <v>56274800.350000001</v>
      </c>
      <c r="N59" s="190">
        <v>69535066.840000004</v>
      </c>
      <c r="O59" s="190">
        <v>67386705.75</v>
      </c>
      <c r="P59" s="190">
        <v>42646753.579999998</v>
      </c>
      <c r="Q59" s="190">
        <v>72454563.409999996</v>
      </c>
      <c r="R59" s="190">
        <v>92638967.629999995</v>
      </c>
      <c r="S59" s="190">
        <v>79015093.730000004</v>
      </c>
      <c r="T59" s="190">
        <v>48604778.32</v>
      </c>
      <c r="U59" s="190">
        <v>48702288.310000002</v>
      </c>
      <c r="V59" s="190">
        <v>55180903.149999999</v>
      </c>
      <c r="W59" s="190">
        <v>75947589.909999996</v>
      </c>
      <c r="X59" s="190">
        <v>75083285.439999998</v>
      </c>
      <c r="Y59" s="190">
        <v>50329372.149999999</v>
      </c>
      <c r="Z59" s="190">
        <v>59310117.579999998</v>
      </c>
      <c r="AA59" s="190">
        <v>38322613.799999997</v>
      </c>
      <c r="AB59" s="190">
        <v>56126234.600000001</v>
      </c>
      <c r="AC59" s="190">
        <v>24522915.07</v>
      </c>
      <c r="AD59" s="190">
        <v>29299865.969999999</v>
      </c>
      <c r="AE59" s="190">
        <v>40247983.329999998</v>
      </c>
      <c r="AF59" s="190">
        <v>24163209.68</v>
      </c>
      <c r="AG59" s="190">
        <v>33770725.899999999</v>
      </c>
      <c r="AH59" s="190">
        <v>38904194.950000003</v>
      </c>
      <c r="AI59" s="190">
        <v>19719927.850000001</v>
      </c>
      <c r="AJ59" s="190">
        <v>20809184.670000002</v>
      </c>
      <c r="AK59" s="190">
        <v>20236045.07</v>
      </c>
      <c r="AL59" s="190">
        <v>15944661.57</v>
      </c>
      <c r="AM59" s="190">
        <v>17063521.77</v>
      </c>
      <c r="AN59" s="190">
        <v>16826814.449999999</v>
      </c>
      <c r="AO59" s="190">
        <v>16095148.43</v>
      </c>
      <c r="AP59" s="190">
        <v>0</v>
      </c>
    </row>
    <row r="60" spans="1:42" x14ac:dyDescent="0.25">
      <c r="A60" s="190" t="s">
        <v>164</v>
      </c>
      <c r="B60" s="190">
        <v>17024459286.99</v>
      </c>
      <c r="C60" s="190">
        <v>16218408392.02</v>
      </c>
      <c r="D60" s="190">
        <v>13145030684.99</v>
      </c>
      <c r="E60" s="190">
        <v>13031080200.75</v>
      </c>
      <c r="F60" s="190">
        <v>12306641677.280001</v>
      </c>
      <c r="G60" s="190">
        <v>11599163381.059999</v>
      </c>
      <c r="H60" s="190">
        <v>11166300318.950001</v>
      </c>
      <c r="I60" s="190">
        <v>12284751576.209999</v>
      </c>
      <c r="J60" s="190">
        <v>4091515520.6900001</v>
      </c>
      <c r="K60" s="190">
        <v>5562551061.4700003</v>
      </c>
      <c r="L60" s="190">
        <v>4906534932.5</v>
      </c>
      <c r="M60" s="190">
        <v>4777245963.3699999</v>
      </c>
      <c r="N60" s="190">
        <v>4316629977.1099997</v>
      </c>
      <c r="O60" s="190">
        <v>4379340381.0500002</v>
      </c>
      <c r="P60" s="190">
        <v>3614398978.5100002</v>
      </c>
      <c r="Q60" s="190">
        <v>4172954522.29</v>
      </c>
      <c r="R60" s="190">
        <v>4035078664.7800002</v>
      </c>
      <c r="S60" s="190">
        <v>3921205366.96</v>
      </c>
      <c r="T60" s="190">
        <v>3135431637.4200001</v>
      </c>
      <c r="U60" s="190">
        <v>3699027331.5700002</v>
      </c>
      <c r="V60" s="190">
        <v>3764482898.7399998</v>
      </c>
      <c r="W60" s="190">
        <v>3579973555.3800001</v>
      </c>
      <c r="X60" s="190">
        <v>2822139221.7399998</v>
      </c>
      <c r="Y60" s="190">
        <v>3274981679.27</v>
      </c>
      <c r="Z60" s="190">
        <v>3107342392.0500002</v>
      </c>
      <c r="AA60" s="190">
        <v>2282236365.7199998</v>
      </c>
      <c r="AB60" s="190">
        <v>1836251790.3800001</v>
      </c>
      <c r="AC60" s="190">
        <v>2831700150.8299999</v>
      </c>
      <c r="AD60" s="190">
        <v>2208233796.2800002</v>
      </c>
      <c r="AE60" s="190">
        <v>2221382323.96</v>
      </c>
      <c r="AF60" s="190">
        <v>1605546581.54</v>
      </c>
      <c r="AG60" s="190">
        <v>1748394355.3900001</v>
      </c>
      <c r="AH60" s="190">
        <v>1726469932.3699999</v>
      </c>
      <c r="AI60" s="190">
        <v>1497547339.6800001</v>
      </c>
      <c r="AJ60" s="190">
        <v>1152716907.1500001</v>
      </c>
      <c r="AK60" s="190">
        <v>1307883203.5599999</v>
      </c>
      <c r="AL60" s="190">
        <v>1125879615.47</v>
      </c>
      <c r="AM60" s="190">
        <v>892845526.83000004</v>
      </c>
      <c r="AN60" s="190">
        <v>1423466786.79</v>
      </c>
      <c r="AO60" s="190">
        <v>1325668798.8</v>
      </c>
      <c r="AP60" s="190">
        <v>0</v>
      </c>
    </row>
    <row r="61" spans="1:42" x14ac:dyDescent="0.25">
      <c r="A61" s="190" t="s">
        <v>165</v>
      </c>
    </row>
    <row r="62" spans="1:42" x14ac:dyDescent="0.25">
      <c r="A62" s="190" t="s">
        <v>166</v>
      </c>
      <c r="B62" s="190">
        <v>8568327400.2799997</v>
      </c>
      <c r="C62" s="190">
        <v>8362073270.2399998</v>
      </c>
      <c r="D62" s="190">
        <v>8701773784.3700008</v>
      </c>
      <c r="E62" s="190">
        <v>8992183562.2600002</v>
      </c>
      <c r="F62" s="190">
        <v>8617996967.6399994</v>
      </c>
      <c r="G62" s="190">
        <v>8136819714.3599997</v>
      </c>
      <c r="H62" s="190">
        <v>8350506003.0600004</v>
      </c>
      <c r="I62" s="190">
        <v>7620581743.1999998</v>
      </c>
      <c r="J62" s="190">
        <v>0</v>
      </c>
      <c r="K62" s="190">
        <v>0</v>
      </c>
      <c r="L62" s="190">
        <v>54644009</v>
      </c>
      <c r="M62" s="190">
        <v>54644009</v>
      </c>
      <c r="N62" s="190">
        <v>54644009</v>
      </c>
      <c r="O62" s="190">
        <v>54644009</v>
      </c>
      <c r="P62" s="190">
        <v>54644009</v>
      </c>
      <c r="Q62" s="190">
        <v>82936903</v>
      </c>
      <c r="R62" s="190">
        <v>82936903</v>
      </c>
      <c r="S62" s="190">
        <v>82936903</v>
      </c>
      <c r="T62" s="190">
        <v>82936903</v>
      </c>
      <c r="U62" s="190">
        <v>72245588</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row>
    <row r="63" spans="1:42" x14ac:dyDescent="0.25">
      <c r="A63" s="190" t="s">
        <v>167</v>
      </c>
      <c r="B63" s="190">
        <v>0</v>
      </c>
      <c r="C63" s="190">
        <v>0</v>
      </c>
      <c r="D63" s="190">
        <v>0</v>
      </c>
      <c r="E63" s="190">
        <v>0</v>
      </c>
      <c r="F63" s="190">
        <v>0</v>
      </c>
      <c r="G63" s="190">
        <v>0</v>
      </c>
      <c r="H63" s="190">
        <v>0</v>
      </c>
      <c r="I63" s="190">
        <v>0</v>
      </c>
      <c r="J63" s="190">
        <v>0</v>
      </c>
      <c r="K63" s="190">
        <v>0</v>
      </c>
      <c r="L63" s="190">
        <v>0</v>
      </c>
      <c r="M63" s="190">
        <v>0</v>
      </c>
      <c r="N63" s="190">
        <v>1392313259.77</v>
      </c>
      <c r="O63" s="190">
        <v>1391768977.1300001</v>
      </c>
      <c r="P63" s="190">
        <v>1391216937.0899999</v>
      </c>
      <c r="Q63" s="190">
        <v>1390673393.04</v>
      </c>
      <c r="R63" s="190">
        <v>1390138214.23</v>
      </c>
      <c r="S63" s="190">
        <v>1495612271.9200001</v>
      </c>
      <c r="T63" s="190">
        <v>1495048851.9400001</v>
      </c>
      <c r="U63" s="190">
        <v>1494494103.0999999</v>
      </c>
      <c r="V63" s="190">
        <v>1493947891.9400001</v>
      </c>
      <c r="W63" s="190">
        <v>1493410087.0799999</v>
      </c>
      <c r="X63" s="190">
        <v>1492880559.1300001</v>
      </c>
      <c r="Y63" s="190">
        <v>1492359180.7</v>
      </c>
      <c r="Z63" s="190">
        <v>1491845826.3900001</v>
      </c>
      <c r="AA63" s="190">
        <v>1491340372.6800001</v>
      </c>
      <c r="AB63" s="190">
        <v>1489862667.27</v>
      </c>
      <c r="AC63" s="190">
        <v>1490352682.6400001</v>
      </c>
      <c r="AD63" s="190">
        <v>1489816969.3599999</v>
      </c>
      <c r="AE63" s="190">
        <v>0</v>
      </c>
      <c r="AF63" s="190">
        <v>0</v>
      </c>
      <c r="AG63" s="190">
        <v>0</v>
      </c>
      <c r="AH63" s="190">
        <v>0</v>
      </c>
      <c r="AI63" s="190">
        <v>0</v>
      </c>
      <c r="AJ63" s="190">
        <v>0</v>
      </c>
      <c r="AK63" s="190">
        <v>0</v>
      </c>
      <c r="AL63" s="190">
        <v>0</v>
      </c>
      <c r="AM63" s="190">
        <v>0</v>
      </c>
      <c r="AN63" s="190">
        <v>0</v>
      </c>
      <c r="AO63" s="190">
        <v>0</v>
      </c>
      <c r="AP63" s="190">
        <v>0</v>
      </c>
    </row>
    <row r="64" spans="1:42" x14ac:dyDescent="0.25">
      <c r="A64" s="190" t="s">
        <v>168</v>
      </c>
      <c r="B64" s="190">
        <v>885899979.73000002</v>
      </c>
      <c r="C64" s="190">
        <v>618816842.80999994</v>
      </c>
      <c r="D64" s="190">
        <v>516978171.81999999</v>
      </c>
      <c r="E64" s="190">
        <v>566867448.90999997</v>
      </c>
      <c r="F64" s="190">
        <v>368216339.87</v>
      </c>
      <c r="G64" s="190">
        <v>397675270.77999997</v>
      </c>
      <c r="H64" s="190">
        <v>436557283.87</v>
      </c>
      <c r="I64" s="190">
        <v>454414760.27999997</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row>
    <row r="65" spans="1:4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row>
    <row r="66" spans="1:4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row>
    <row r="67" spans="1:42" x14ac:dyDescent="0.25">
      <c r="A67" s="190" t="s">
        <v>171</v>
      </c>
      <c r="B67" s="190">
        <v>187688417.53</v>
      </c>
      <c r="C67" s="190">
        <v>183101465.41999999</v>
      </c>
      <c r="D67" s="190">
        <v>170495011.5</v>
      </c>
      <c r="E67" s="190">
        <v>179415099.88999999</v>
      </c>
      <c r="F67" s="190">
        <v>167225788.96000001</v>
      </c>
      <c r="G67" s="190">
        <v>168392708.5</v>
      </c>
      <c r="H67" s="190">
        <v>158284344.84999999</v>
      </c>
      <c r="I67" s="190">
        <v>161613096.53999999</v>
      </c>
      <c r="J67" s="190">
        <v>136112791.09</v>
      </c>
      <c r="K67" s="190">
        <v>131569834.2</v>
      </c>
      <c r="L67" s="190">
        <v>128011831.83</v>
      </c>
      <c r="M67" s="190">
        <v>124913038.66</v>
      </c>
      <c r="N67" s="190">
        <v>117609820.69</v>
      </c>
      <c r="O67" s="190">
        <v>108295320.86</v>
      </c>
      <c r="P67" s="190">
        <v>102911314.34999999</v>
      </c>
      <c r="Q67" s="190">
        <v>103151665.72</v>
      </c>
      <c r="R67" s="190">
        <v>89834010.319999993</v>
      </c>
      <c r="S67" s="190">
        <v>86840488.790000007</v>
      </c>
      <c r="T67" s="190">
        <v>85641678.840000004</v>
      </c>
      <c r="U67" s="190">
        <v>85707468.790000007</v>
      </c>
      <c r="V67" s="190">
        <v>81104435.769999996</v>
      </c>
      <c r="W67" s="190">
        <v>80891292.099999994</v>
      </c>
      <c r="X67" s="190">
        <v>80429303.969999999</v>
      </c>
      <c r="Y67" s="190">
        <v>80429303.969999999</v>
      </c>
      <c r="Z67" s="190">
        <v>42505274.189999998</v>
      </c>
      <c r="AA67" s="190">
        <v>41468830.729999997</v>
      </c>
      <c r="AB67" s="190">
        <v>40046689.600000001</v>
      </c>
      <c r="AC67" s="190">
        <v>40078702.600000001</v>
      </c>
      <c r="AD67" s="190">
        <v>36720900.359999999</v>
      </c>
      <c r="AE67" s="190">
        <v>36720900.359999999</v>
      </c>
      <c r="AF67" s="190">
        <v>31046604.260000002</v>
      </c>
      <c r="AG67" s="190">
        <v>31046604.260000002</v>
      </c>
      <c r="AH67" s="190">
        <v>25000000</v>
      </c>
      <c r="AI67" s="190">
        <v>25000000</v>
      </c>
      <c r="AJ67" s="190">
        <v>25000000</v>
      </c>
      <c r="AK67" s="190">
        <v>23394110.16</v>
      </c>
      <c r="AL67" s="190">
        <v>0</v>
      </c>
      <c r="AM67" s="190">
        <v>0</v>
      </c>
      <c r="AN67" s="190">
        <v>0</v>
      </c>
      <c r="AO67" s="190">
        <v>0</v>
      </c>
      <c r="AP67" s="190">
        <v>0</v>
      </c>
    </row>
    <row r="68" spans="1:42" x14ac:dyDescent="0.25">
      <c r="A68" s="190" t="s">
        <v>172</v>
      </c>
      <c r="B68" s="190">
        <v>10394909.439999999</v>
      </c>
      <c r="C68" s="190">
        <v>10272926.26</v>
      </c>
      <c r="D68" s="190">
        <v>11146196.779999999</v>
      </c>
      <c r="E68" s="190">
        <v>8347253.0099999998</v>
      </c>
      <c r="F68" s="190">
        <v>13553443.5</v>
      </c>
      <c r="G68" s="190">
        <v>13756155.93</v>
      </c>
      <c r="H68" s="190">
        <v>9218590.7300000004</v>
      </c>
      <c r="I68" s="190">
        <v>13560491.880000001</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row>
    <row r="69" spans="1:42" x14ac:dyDescent="0.25">
      <c r="A69" s="190" t="s">
        <v>173</v>
      </c>
      <c r="B69" s="190">
        <v>732653645.08000004</v>
      </c>
      <c r="C69" s="190">
        <v>756630937.23000002</v>
      </c>
      <c r="D69" s="190">
        <v>706586932.10000002</v>
      </c>
      <c r="E69" s="190">
        <v>807076140.57000005</v>
      </c>
      <c r="F69" s="190">
        <v>778454955.61000001</v>
      </c>
      <c r="G69" s="190">
        <v>804896033.37</v>
      </c>
      <c r="H69" s="190">
        <v>805247096.33000004</v>
      </c>
      <c r="I69" s="190">
        <v>766502538.79999995</v>
      </c>
      <c r="J69" s="190">
        <v>49393093.840000004</v>
      </c>
      <c r="K69" s="190">
        <v>43840000</v>
      </c>
      <c r="L69" s="190">
        <v>44518485.600000001</v>
      </c>
      <c r="M69" s="190">
        <v>43269041.170000002</v>
      </c>
      <c r="N69" s="190">
        <v>18109420.120000001</v>
      </c>
      <c r="O69" s="190">
        <v>18056045.379999999</v>
      </c>
      <c r="P69" s="190">
        <v>19224706.449999999</v>
      </c>
      <c r="Q69" s="190">
        <v>10017613.359999999</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row>
    <row r="70" spans="1:42" x14ac:dyDescent="0.25">
      <c r="A70" s="190" t="s">
        <v>174</v>
      </c>
      <c r="B70" s="190">
        <v>0</v>
      </c>
      <c r="C70" s="190">
        <v>0</v>
      </c>
      <c r="D70" s="190">
        <v>0</v>
      </c>
      <c r="E70" s="190">
        <v>0</v>
      </c>
      <c r="F70" s="190">
        <v>0</v>
      </c>
      <c r="G70" s="190">
        <v>0</v>
      </c>
      <c r="H70" s="190">
        <v>26090764.719999999</v>
      </c>
      <c r="I70" s="190">
        <v>0</v>
      </c>
      <c r="J70" s="190">
        <v>0</v>
      </c>
      <c r="K70" s="190">
        <v>0</v>
      </c>
      <c r="L70" s="190">
        <v>0</v>
      </c>
      <c r="M70" s="190">
        <v>0</v>
      </c>
      <c r="N70" s="190">
        <v>0</v>
      </c>
      <c r="O70" s="190">
        <v>0</v>
      </c>
      <c r="P70" s="190">
        <v>0</v>
      </c>
      <c r="Q70" s="190">
        <v>0</v>
      </c>
      <c r="R70" s="190">
        <v>11936290.35</v>
      </c>
      <c r="S70" s="190">
        <v>15064574.34</v>
      </c>
      <c r="T70" s="190">
        <v>15612743.109999999</v>
      </c>
      <c r="U70" s="190">
        <v>16002383.109999999</v>
      </c>
      <c r="V70" s="190">
        <v>20466665.5</v>
      </c>
      <c r="W70" s="190">
        <v>20466665.5</v>
      </c>
      <c r="X70" s="190">
        <v>12308187.5</v>
      </c>
      <c r="Y70" s="190">
        <v>12308187.5</v>
      </c>
      <c r="Z70" s="190">
        <v>14500300</v>
      </c>
      <c r="AA70" s="190">
        <v>11347600</v>
      </c>
      <c r="AB70" s="190">
        <v>11347600</v>
      </c>
      <c r="AC70" s="190">
        <v>7737600</v>
      </c>
      <c r="AD70" s="190">
        <v>6390000</v>
      </c>
      <c r="AE70" s="190">
        <v>4630000</v>
      </c>
      <c r="AF70" s="190">
        <v>4630000</v>
      </c>
      <c r="AG70" s="190">
        <v>4630000</v>
      </c>
      <c r="AH70" s="190">
        <v>800000</v>
      </c>
      <c r="AI70" s="190">
        <v>0</v>
      </c>
      <c r="AJ70" s="190">
        <v>0</v>
      </c>
      <c r="AK70" s="190">
        <v>0</v>
      </c>
      <c r="AL70" s="190">
        <v>0</v>
      </c>
      <c r="AM70" s="190">
        <v>0</v>
      </c>
      <c r="AN70" s="190">
        <v>0</v>
      </c>
      <c r="AO70" s="190">
        <v>0</v>
      </c>
      <c r="AP70" s="190">
        <v>0</v>
      </c>
    </row>
    <row r="71" spans="1:42" x14ac:dyDescent="0.25">
      <c r="A71" s="190" t="s">
        <v>175</v>
      </c>
      <c r="B71" s="190">
        <v>10384964352.059999</v>
      </c>
      <c r="C71" s="190">
        <v>9930895441.9599991</v>
      </c>
      <c r="D71" s="190">
        <v>10106980096.57</v>
      </c>
      <c r="E71" s="190">
        <v>10553889504.639999</v>
      </c>
      <c r="F71" s="190">
        <v>9945447495.5799999</v>
      </c>
      <c r="G71" s="190">
        <v>9521539882.9400005</v>
      </c>
      <c r="H71" s="190">
        <v>9785904083.5599995</v>
      </c>
      <c r="I71" s="190">
        <v>9016672630.7000008</v>
      </c>
      <c r="J71" s="190">
        <v>185505884.93000001</v>
      </c>
      <c r="K71" s="190">
        <v>175409834.19999999</v>
      </c>
      <c r="L71" s="190">
        <v>227174326.43000001</v>
      </c>
      <c r="M71" s="190">
        <v>222826088.83000001</v>
      </c>
      <c r="N71" s="190">
        <v>1582676509.5799999</v>
      </c>
      <c r="O71" s="190">
        <v>1572764352.3699999</v>
      </c>
      <c r="P71" s="190">
        <v>1567996966.8900001</v>
      </c>
      <c r="Q71" s="190">
        <v>1586779575.1199999</v>
      </c>
      <c r="R71" s="190">
        <v>1574845417.9000001</v>
      </c>
      <c r="S71" s="190">
        <v>1680454238.05</v>
      </c>
      <c r="T71" s="190">
        <v>1679240176.8900001</v>
      </c>
      <c r="U71" s="190">
        <v>1668449543</v>
      </c>
      <c r="V71" s="190">
        <v>1595518993.21</v>
      </c>
      <c r="W71" s="190">
        <v>1594768044.6800001</v>
      </c>
      <c r="X71" s="190">
        <v>1585618050.5999999</v>
      </c>
      <c r="Y71" s="190">
        <v>1585096672.1700001</v>
      </c>
      <c r="Z71" s="190">
        <v>1548851400.5799999</v>
      </c>
      <c r="AA71" s="190">
        <v>1544156803.4100001</v>
      </c>
      <c r="AB71" s="190">
        <v>1541256956.8699999</v>
      </c>
      <c r="AC71" s="190">
        <v>1538168985.24</v>
      </c>
      <c r="AD71" s="190">
        <v>1532927869.72</v>
      </c>
      <c r="AE71" s="190">
        <v>41350900.359999999</v>
      </c>
      <c r="AF71" s="190">
        <v>35676604.259999998</v>
      </c>
      <c r="AG71" s="190">
        <v>35676604.259999998</v>
      </c>
      <c r="AH71" s="190">
        <v>25800000</v>
      </c>
      <c r="AI71" s="190">
        <v>25000000</v>
      </c>
      <c r="AJ71" s="190">
        <v>25000000</v>
      </c>
      <c r="AK71" s="190">
        <v>23394110.16</v>
      </c>
      <c r="AL71" s="190">
        <v>0</v>
      </c>
      <c r="AM71" s="190">
        <v>0</v>
      </c>
      <c r="AN71" s="190">
        <v>0</v>
      </c>
      <c r="AO71" s="190">
        <v>0</v>
      </c>
      <c r="AP71" s="190">
        <v>0</v>
      </c>
    </row>
    <row r="72" spans="1:42" x14ac:dyDescent="0.25">
      <c r="A72" s="190" t="s">
        <v>176</v>
      </c>
      <c r="B72" s="190">
        <v>27409423639.049999</v>
      </c>
      <c r="C72" s="190">
        <v>26149303833.98</v>
      </c>
      <c r="D72" s="190">
        <v>23252010781.560001</v>
      </c>
      <c r="E72" s="190">
        <v>23584969705.389999</v>
      </c>
      <c r="F72" s="190">
        <v>22252089172.860001</v>
      </c>
      <c r="G72" s="190">
        <v>21120703264</v>
      </c>
      <c r="H72" s="190">
        <v>20952204402.509998</v>
      </c>
      <c r="I72" s="190">
        <v>21301424206.91</v>
      </c>
      <c r="J72" s="190">
        <v>4277021405.6199999</v>
      </c>
      <c r="K72" s="190">
        <v>5737960895.6700001</v>
      </c>
      <c r="L72" s="190">
        <v>5133709258.9300003</v>
      </c>
      <c r="M72" s="190">
        <v>5000072052.1999998</v>
      </c>
      <c r="N72" s="190">
        <v>5899306486.6899996</v>
      </c>
      <c r="O72" s="190">
        <v>5952104733.4200001</v>
      </c>
      <c r="P72" s="190">
        <v>5182395945.3999996</v>
      </c>
      <c r="Q72" s="190">
        <v>5759734097.4099998</v>
      </c>
      <c r="R72" s="190">
        <v>5609924082.6800003</v>
      </c>
      <c r="S72" s="190">
        <v>5601659605.0100002</v>
      </c>
      <c r="T72" s="190">
        <v>4814671814.3100004</v>
      </c>
      <c r="U72" s="190">
        <v>5367476874.5699997</v>
      </c>
      <c r="V72" s="190">
        <v>5360001891.9499998</v>
      </c>
      <c r="W72" s="190">
        <v>5174741600.0600004</v>
      </c>
      <c r="X72" s="190">
        <v>4407757272.3400002</v>
      </c>
      <c r="Y72" s="190">
        <v>4860078351.4399996</v>
      </c>
      <c r="Z72" s="190">
        <v>4656193792.6300001</v>
      </c>
      <c r="AA72" s="190">
        <v>3826393169.1300001</v>
      </c>
      <c r="AB72" s="190">
        <v>3377508747.25</v>
      </c>
      <c r="AC72" s="190">
        <v>4369869136.0699997</v>
      </c>
      <c r="AD72" s="190">
        <v>3741161666</v>
      </c>
      <c r="AE72" s="190">
        <v>2262733224.3200002</v>
      </c>
      <c r="AF72" s="190">
        <v>1641223185.8</v>
      </c>
      <c r="AG72" s="190">
        <v>1784070959.6500001</v>
      </c>
      <c r="AH72" s="190">
        <v>1752269932.3699999</v>
      </c>
      <c r="AI72" s="190">
        <v>1522547339.6800001</v>
      </c>
      <c r="AJ72" s="190">
        <v>1177716907.1500001</v>
      </c>
      <c r="AK72" s="190">
        <v>1331277313.72</v>
      </c>
      <c r="AL72" s="190">
        <v>1125879615.47</v>
      </c>
      <c r="AM72" s="190">
        <v>892845526.83000004</v>
      </c>
      <c r="AN72" s="190">
        <v>1423466786.79</v>
      </c>
      <c r="AO72" s="190">
        <v>1325668798.8</v>
      </c>
      <c r="AP72" s="190">
        <v>0</v>
      </c>
    </row>
    <row r="73" spans="1:42" x14ac:dyDescent="0.25">
      <c r="A73" s="190" t="s">
        <v>177</v>
      </c>
    </row>
    <row r="74" spans="1:42" x14ac:dyDescent="0.25">
      <c r="A74" s="190" t="s">
        <v>178</v>
      </c>
      <c r="B74" s="190">
        <v>2151408516</v>
      </c>
      <c r="C74" s="190">
        <v>2151428516</v>
      </c>
      <c r="D74" s="190">
        <v>2151428516</v>
      </c>
      <c r="E74" s="190">
        <v>2151428516</v>
      </c>
      <c r="F74" s="190">
        <v>2151135641</v>
      </c>
      <c r="G74" s="190">
        <v>2134469541</v>
      </c>
      <c r="H74" s="190">
        <v>2134469541</v>
      </c>
      <c r="I74" s="190">
        <v>1881927340</v>
      </c>
      <c r="J74" s="190">
        <v>1319446010</v>
      </c>
      <c r="K74" s="190">
        <v>1319446010</v>
      </c>
      <c r="L74" s="190">
        <v>1314906385</v>
      </c>
      <c r="M74" s="190">
        <v>1314906385</v>
      </c>
      <c r="N74" s="190">
        <v>1314906385</v>
      </c>
      <c r="O74" s="190">
        <v>1314906385</v>
      </c>
      <c r="P74" s="190">
        <v>1011466450</v>
      </c>
      <c r="Q74" s="190">
        <v>1011466450</v>
      </c>
      <c r="R74" s="190">
        <v>1008255700</v>
      </c>
      <c r="S74" s="190">
        <v>1008255700</v>
      </c>
      <c r="T74" s="190">
        <v>1008018000</v>
      </c>
      <c r="U74" s="190">
        <v>1008018000</v>
      </c>
      <c r="V74" s="190">
        <v>1005000000</v>
      </c>
      <c r="W74" s="190">
        <v>1005000000</v>
      </c>
      <c r="X74" s="190">
        <v>1005000000</v>
      </c>
      <c r="Y74" s="190">
        <v>1005000000</v>
      </c>
      <c r="Z74" s="190">
        <v>1005000000</v>
      </c>
      <c r="AA74" s="190">
        <v>1005000000</v>
      </c>
      <c r="AB74" s="190">
        <v>1005000000</v>
      </c>
      <c r="AC74" s="190">
        <v>1005000000</v>
      </c>
      <c r="AD74" s="190">
        <v>1005000000</v>
      </c>
      <c r="AE74" s="190">
        <v>1005000000</v>
      </c>
      <c r="AF74" s="190">
        <v>1005000000</v>
      </c>
      <c r="AG74" s="190">
        <v>1005000000</v>
      </c>
      <c r="AH74" s="190">
        <v>1005000000</v>
      </c>
      <c r="AI74" s="190">
        <v>1005000000</v>
      </c>
      <c r="AJ74" s="190">
        <v>1005000000</v>
      </c>
      <c r="AK74" s="190">
        <v>900000000</v>
      </c>
      <c r="AL74" s="190">
        <v>900000000</v>
      </c>
      <c r="AM74" s="190">
        <v>900000000</v>
      </c>
      <c r="AN74" s="190">
        <v>620000000</v>
      </c>
      <c r="AO74" s="190">
        <v>100000000</v>
      </c>
      <c r="AP74" s="190">
        <v>0</v>
      </c>
    </row>
    <row r="75" spans="1:42" x14ac:dyDescent="0.25">
      <c r="A75" s="190" t="s">
        <v>179</v>
      </c>
      <c r="B75" s="190">
        <v>11052568188.059999</v>
      </c>
      <c r="C75" s="190">
        <v>11031440783.549999</v>
      </c>
      <c r="D75" s="190">
        <v>11011024811.040001</v>
      </c>
      <c r="E75" s="190">
        <v>10990608838.530001</v>
      </c>
      <c r="F75" s="190">
        <v>10924755368.389999</v>
      </c>
      <c r="G75" s="190">
        <v>10739088303.110001</v>
      </c>
      <c r="H75" s="190">
        <v>10774732617.190001</v>
      </c>
      <c r="I75" s="190">
        <v>6640284392.2600002</v>
      </c>
      <c r="J75" s="190">
        <v>1889163637.1099999</v>
      </c>
      <c r="K75" s="190">
        <v>1888393137.1099999</v>
      </c>
      <c r="L75" s="190">
        <v>1823662908.27</v>
      </c>
      <c r="M75" s="190">
        <v>1822735441.3199999</v>
      </c>
      <c r="N75" s="190">
        <v>1826910106.78</v>
      </c>
      <c r="O75" s="190">
        <v>1820294076.02</v>
      </c>
      <c r="P75" s="190">
        <v>2122235686.01</v>
      </c>
      <c r="Q75" s="190">
        <v>2120737361</v>
      </c>
      <c r="R75" s="190">
        <v>2069719353.4200001</v>
      </c>
      <c r="S75" s="190">
        <v>2067050182.96</v>
      </c>
      <c r="T75" s="190">
        <v>2060404743.1099999</v>
      </c>
      <c r="U75" s="190">
        <v>2057522044.52</v>
      </c>
      <c r="V75" s="190">
        <v>2011327710.8900001</v>
      </c>
      <c r="W75" s="190">
        <v>2006517640.1099999</v>
      </c>
      <c r="X75" s="190">
        <v>1891372668.8599999</v>
      </c>
      <c r="Y75" s="190">
        <v>1886525712.8599999</v>
      </c>
      <c r="Z75" s="190">
        <v>2043587339.72</v>
      </c>
      <c r="AA75" s="190">
        <v>2339040620.8699999</v>
      </c>
      <c r="AB75" s="190">
        <v>2365985395.6300001</v>
      </c>
      <c r="AC75" s="190">
        <v>2464788752.1799998</v>
      </c>
      <c r="AD75" s="190">
        <v>2370068634.5799999</v>
      </c>
      <c r="AE75" s="190">
        <v>2362456674.0300002</v>
      </c>
      <c r="AF75" s="190">
        <v>2362456674.0300002</v>
      </c>
      <c r="AG75" s="190">
        <v>2362456674.0300002</v>
      </c>
      <c r="AH75" s="190">
        <v>2355176674.0300002</v>
      </c>
      <c r="AI75" s="190">
        <v>2355176674.0300002</v>
      </c>
      <c r="AJ75" s="190">
        <v>2355176674.0300002</v>
      </c>
      <c r="AK75" s="190">
        <v>4682574.03</v>
      </c>
      <c r="AL75" s="190">
        <v>4682574.03</v>
      </c>
      <c r="AM75" s="190">
        <v>4682574.03</v>
      </c>
      <c r="AN75" s="190">
        <v>45362574.030000001</v>
      </c>
      <c r="AO75" s="190">
        <v>18362574.030000001</v>
      </c>
      <c r="AP75" s="190">
        <v>0</v>
      </c>
    </row>
    <row r="76" spans="1:42" x14ac:dyDescent="0.25">
      <c r="A76" s="190" t="s">
        <v>180</v>
      </c>
      <c r="B76" s="190">
        <v>87334833.5</v>
      </c>
      <c r="C76" s="190">
        <v>171494171</v>
      </c>
      <c r="D76" s="190">
        <v>171494171</v>
      </c>
      <c r="E76" s="190">
        <v>171494171</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row>
    <row r="77" spans="1:42" x14ac:dyDescent="0.25">
      <c r="A77" s="190" t="s">
        <v>181</v>
      </c>
      <c r="B77" s="190">
        <v>-155499810.11000001</v>
      </c>
      <c r="C77" s="190">
        <v>-128143979.75</v>
      </c>
      <c r="D77" s="190">
        <v>-92066601.310000002</v>
      </c>
      <c r="E77" s="190">
        <v>-23631474.93</v>
      </c>
      <c r="F77" s="190">
        <v>-30267413.710000001</v>
      </c>
      <c r="G77" s="190">
        <v>-18846470.59</v>
      </c>
      <c r="H77" s="190">
        <v>18943128.82</v>
      </c>
      <c r="I77" s="190">
        <v>18196142.559999999</v>
      </c>
      <c r="J77" s="190">
        <v>-698790.29</v>
      </c>
      <c r="K77" s="190">
        <v>1028642.76</v>
      </c>
      <c r="L77" s="190">
        <v>93522.03</v>
      </c>
      <c r="M77" s="190">
        <v>6085109.1900000004</v>
      </c>
      <c r="N77" s="190">
        <v>-3229996.86</v>
      </c>
      <c r="O77" s="190">
        <v>-5185563.16</v>
      </c>
      <c r="P77" s="190">
        <v>-4613913.47</v>
      </c>
      <c r="Q77" s="190">
        <v>-3082187.41</v>
      </c>
      <c r="R77" s="190">
        <v>-1102341.6200000001</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row>
    <row r="78" spans="1:4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row>
    <row r="79" spans="1:42" x14ac:dyDescent="0.25">
      <c r="A79" s="190" t="s">
        <v>183</v>
      </c>
      <c r="B79" s="190">
        <v>1169861783.72</v>
      </c>
      <c r="C79" s="190">
        <v>1169861783.72</v>
      </c>
      <c r="D79" s="190">
        <v>1051690120.13</v>
      </c>
      <c r="E79" s="190">
        <v>1051690120.13</v>
      </c>
      <c r="F79" s="190">
        <v>894031023.70000005</v>
      </c>
      <c r="G79" s="190">
        <v>894031023.70000005</v>
      </c>
      <c r="H79" s="190">
        <v>894031023.70000005</v>
      </c>
      <c r="I79" s="190">
        <v>894031023.70000005</v>
      </c>
      <c r="J79" s="190">
        <v>689779265.46000004</v>
      </c>
      <c r="K79" s="190">
        <v>689779265.46000004</v>
      </c>
      <c r="L79" s="190">
        <v>689779265.46000004</v>
      </c>
      <c r="M79" s="190">
        <v>689779265.46000004</v>
      </c>
      <c r="N79" s="190">
        <v>538059297.96000004</v>
      </c>
      <c r="O79" s="190">
        <v>538059297.96000004</v>
      </c>
      <c r="P79" s="190">
        <v>538059297.96000004</v>
      </c>
      <c r="Q79" s="190">
        <v>538059297.96000004</v>
      </c>
      <c r="R79" s="190">
        <v>536335072.95999998</v>
      </c>
      <c r="S79" s="190">
        <v>536335072.95999998</v>
      </c>
      <c r="T79" s="190">
        <v>536335072.95999998</v>
      </c>
      <c r="U79" s="190">
        <v>536335072.95999998</v>
      </c>
      <c r="V79" s="190">
        <v>404694618.54000002</v>
      </c>
      <c r="W79" s="190">
        <v>404694618.54000002</v>
      </c>
      <c r="X79" s="190">
        <v>404694618.54000002</v>
      </c>
      <c r="Y79" s="190">
        <v>404694618.54000002</v>
      </c>
      <c r="Z79" s="190">
        <v>249108221.22999999</v>
      </c>
      <c r="AA79" s="190">
        <v>249108221.22999999</v>
      </c>
      <c r="AB79" s="190">
        <v>249108221.22999999</v>
      </c>
      <c r="AC79" s="190">
        <v>281434294.19</v>
      </c>
      <c r="AD79" s="190">
        <v>158561021.06999999</v>
      </c>
      <c r="AE79" s="190">
        <v>158561021.06999999</v>
      </c>
      <c r="AF79" s="190">
        <v>158561021.06999999</v>
      </c>
      <c r="AG79" s="190">
        <v>158561021.06999999</v>
      </c>
      <c r="AH79" s="190">
        <v>93516573.769999996</v>
      </c>
      <c r="AI79" s="190">
        <v>93516573.769999996</v>
      </c>
      <c r="AJ79" s="190">
        <v>93516573.769999996</v>
      </c>
      <c r="AK79" s="190">
        <v>93516573.769999996</v>
      </c>
      <c r="AL79" s="190">
        <v>74589293.209999993</v>
      </c>
      <c r="AM79" s="190">
        <v>36683066.299999997</v>
      </c>
      <c r="AN79" s="190">
        <v>71521106.909999996</v>
      </c>
      <c r="AO79" s="190">
        <v>98219642.769999996</v>
      </c>
      <c r="AP79" s="190">
        <v>0</v>
      </c>
    </row>
    <row r="80" spans="1:4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row>
    <row r="81" spans="1:42" x14ac:dyDescent="0.25">
      <c r="A81" s="190" t="s">
        <v>185</v>
      </c>
      <c r="B81" s="190">
        <v>6723423492.0799999</v>
      </c>
      <c r="C81" s="190">
        <v>6146223969.9200001</v>
      </c>
      <c r="D81" s="190">
        <v>6600721037.3900003</v>
      </c>
      <c r="E81" s="190">
        <v>5987857348.8800001</v>
      </c>
      <c r="F81" s="190">
        <v>5273350333.6899996</v>
      </c>
      <c r="G81" s="190">
        <v>4562116005.7600002</v>
      </c>
      <c r="H81" s="190">
        <v>4305272189.4799995</v>
      </c>
      <c r="I81" s="190">
        <v>3946002592.0300002</v>
      </c>
      <c r="J81" s="190">
        <v>3496150137.6700001</v>
      </c>
      <c r="K81" s="190">
        <v>3411213450.2600002</v>
      </c>
      <c r="L81" s="190">
        <v>3196068118.27</v>
      </c>
      <c r="M81" s="190">
        <v>2871939873.3099999</v>
      </c>
      <c r="N81" s="190">
        <v>3342273857.6700001</v>
      </c>
      <c r="O81" s="190">
        <v>2852696600.8299999</v>
      </c>
      <c r="P81" s="190">
        <v>2674882583.8899999</v>
      </c>
      <c r="Q81" s="190">
        <v>2372738768.6799998</v>
      </c>
      <c r="R81" s="190">
        <v>1859841304.48</v>
      </c>
      <c r="S81" s="190">
        <v>1855554100.9400001</v>
      </c>
      <c r="T81" s="190">
        <v>1947769159.8399999</v>
      </c>
      <c r="U81" s="190">
        <v>1650623536.24</v>
      </c>
      <c r="V81" s="190">
        <v>1743409900.1400001</v>
      </c>
      <c r="W81" s="190">
        <v>1304739546.26</v>
      </c>
      <c r="X81" s="190">
        <v>1488088472.29</v>
      </c>
      <c r="Y81" s="190">
        <v>1245524563.1700001</v>
      </c>
      <c r="Z81" s="190">
        <v>1004525185.88</v>
      </c>
      <c r="AA81" s="190">
        <v>772624864.27999997</v>
      </c>
      <c r="AB81" s="190">
        <v>1184823580.73</v>
      </c>
      <c r="AC81" s="190">
        <v>1105472998.75</v>
      </c>
      <c r="AD81" s="190">
        <v>876153816.78999996</v>
      </c>
      <c r="AE81" s="190">
        <v>660380802.92999995</v>
      </c>
      <c r="AF81" s="190">
        <v>826833404.16999996</v>
      </c>
      <c r="AG81" s="190">
        <v>657383424.02999997</v>
      </c>
      <c r="AH81" s="190">
        <v>643973392.38</v>
      </c>
      <c r="AI81" s="190">
        <v>452823679.13999999</v>
      </c>
      <c r="AJ81" s="190">
        <v>438249428.04000002</v>
      </c>
      <c r="AK81" s="190">
        <v>284275265.33999997</v>
      </c>
      <c r="AL81" s="190">
        <v>401673465.06</v>
      </c>
      <c r="AM81" s="190">
        <v>88765094.890000001</v>
      </c>
      <c r="AN81" s="190">
        <v>147785563.13999999</v>
      </c>
      <c r="AO81" s="190">
        <v>262086204.44999999</v>
      </c>
      <c r="AP81" s="190">
        <v>0</v>
      </c>
    </row>
    <row r="82" spans="1:42" x14ac:dyDescent="0.25">
      <c r="A82" s="190" t="s">
        <v>186</v>
      </c>
      <c r="B82" s="190">
        <v>20854427336.25</v>
      </c>
      <c r="C82" s="190">
        <v>20199316902.439999</v>
      </c>
      <c r="D82" s="190">
        <v>20551303712.25</v>
      </c>
      <c r="E82" s="190">
        <v>19986459177.610001</v>
      </c>
      <c r="F82" s="190">
        <v>19213004953.07</v>
      </c>
      <c r="G82" s="190">
        <v>18310858402.98</v>
      </c>
      <c r="H82" s="190">
        <v>18127448500.189999</v>
      </c>
      <c r="I82" s="190">
        <v>13380441490.549999</v>
      </c>
      <c r="J82" s="190">
        <v>7393840259.9499998</v>
      </c>
      <c r="K82" s="190">
        <v>7309860505.5900002</v>
      </c>
      <c r="L82" s="190">
        <v>7024510199.0299997</v>
      </c>
      <c r="M82" s="190">
        <v>6705446074.2799997</v>
      </c>
      <c r="N82" s="190">
        <v>7018919650.5500002</v>
      </c>
      <c r="O82" s="190">
        <v>6520770796.6499996</v>
      </c>
      <c r="P82" s="190">
        <v>6342030104.3900003</v>
      </c>
      <c r="Q82" s="190">
        <v>6039919690.2299995</v>
      </c>
      <c r="R82" s="190">
        <v>5473049089.2399998</v>
      </c>
      <c r="S82" s="190">
        <v>5464555664.7299995</v>
      </c>
      <c r="T82" s="190">
        <v>5551866678.9499998</v>
      </c>
      <c r="U82" s="190">
        <v>5251142783.4099998</v>
      </c>
      <c r="V82" s="190">
        <v>5160241483.3100004</v>
      </c>
      <c r="W82" s="190">
        <v>4717841105.8699999</v>
      </c>
      <c r="X82" s="190">
        <v>4787489448.04</v>
      </c>
      <c r="Y82" s="190">
        <v>4540051833.1300001</v>
      </c>
      <c r="Z82" s="190">
        <v>4300412452.8199997</v>
      </c>
      <c r="AA82" s="190">
        <v>4364595644</v>
      </c>
      <c r="AB82" s="190">
        <v>4803991912.0200005</v>
      </c>
      <c r="AC82" s="190">
        <v>4856030810.1000004</v>
      </c>
      <c r="AD82" s="190">
        <v>4409156014.9499998</v>
      </c>
      <c r="AE82" s="190">
        <v>4186327130.7399998</v>
      </c>
      <c r="AF82" s="190">
        <v>4352742951.0900002</v>
      </c>
      <c r="AG82" s="190">
        <v>4183294583.2399998</v>
      </c>
      <c r="AH82" s="190">
        <v>4097666640.1799998</v>
      </c>
      <c r="AI82" s="190">
        <v>3906516926.9400001</v>
      </c>
      <c r="AJ82" s="190">
        <v>3891942675.8400002</v>
      </c>
      <c r="AK82" s="190">
        <v>1282474413.1400001</v>
      </c>
      <c r="AL82" s="190">
        <v>1380945332.3</v>
      </c>
      <c r="AM82" s="190">
        <v>1030130735.22</v>
      </c>
      <c r="AN82" s="190">
        <v>884669244.08000004</v>
      </c>
      <c r="AO82" s="190">
        <v>478668421.25</v>
      </c>
      <c r="AP82" s="190">
        <v>0</v>
      </c>
    </row>
    <row r="83" spans="1:42" x14ac:dyDescent="0.25">
      <c r="A83" s="190" t="s">
        <v>187</v>
      </c>
      <c r="B83" s="190">
        <v>560260348.51999998</v>
      </c>
      <c r="C83" s="190">
        <v>541212949.51999998</v>
      </c>
      <c r="D83" s="190">
        <v>511261351.56999999</v>
      </c>
      <c r="E83" s="190">
        <v>583955239.94000006</v>
      </c>
      <c r="F83" s="190">
        <v>635635994.75</v>
      </c>
      <c r="G83" s="190">
        <v>609189687.77999997</v>
      </c>
      <c r="H83" s="190">
        <v>653275871.00999999</v>
      </c>
      <c r="I83" s="190">
        <v>674071709.19000006</v>
      </c>
      <c r="J83" s="190">
        <v>552456884.07000005</v>
      </c>
      <c r="K83" s="190">
        <v>528869776.38999999</v>
      </c>
      <c r="L83" s="190">
        <v>360746502.50999999</v>
      </c>
      <c r="M83" s="190">
        <v>405606118.33999997</v>
      </c>
      <c r="N83" s="190">
        <v>369207724.47000003</v>
      </c>
      <c r="O83" s="190">
        <v>340339680.37</v>
      </c>
      <c r="P83" s="190">
        <v>353132130.49000001</v>
      </c>
      <c r="Q83" s="190">
        <v>402519070.68000001</v>
      </c>
      <c r="R83" s="190">
        <v>378958165.82999998</v>
      </c>
      <c r="S83" s="190">
        <v>336334830.16000003</v>
      </c>
      <c r="T83" s="190">
        <v>356157645.99000001</v>
      </c>
      <c r="U83" s="190">
        <v>387937300.33999997</v>
      </c>
      <c r="V83" s="190">
        <v>369489359.22000003</v>
      </c>
      <c r="W83" s="190">
        <v>341028123.14999998</v>
      </c>
      <c r="X83" s="190">
        <v>460341383.56999999</v>
      </c>
      <c r="Y83" s="190">
        <v>500011752.67000002</v>
      </c>
      <c r="Z83" s="190">
        <v>475484225.51999998</v>
      </c>
      <c r="AA83" s="190">
        <v>140396851.63999999</v>
      </c>
      <c r="AB83" s="190">
        <v>124836224.45999999</v>
      </c>
      <c r="AC83" s="190">
        <v>285731223.81</v>
      </c>
      <c r="AD83" s="190">
        <v>129975444.77</v>
      </c>
      <c r="AE83" s="190">
        <v>104473691.67</v>
      </c>
      <c r="AF83" s="190">
        <v>97607457.640000001</v>
      </c>
      <c r="AG83" s="190">
        <v>122218622.22</v>
      </c>
      <c r="AH83" s="190">
        <v>104322211.34999999</v>
      </c>
      <c r="AI83" s="190">
        <v>85707158.430000007</v>
      </c>
      <c r="AJ83" s="190">
        <v>81773030.090000004</v>
      </c>
      <c r="AK83" s="190">
        <v>93517347.430000007</v>
      </c>
      <c r="AL83" s="190">
        <v>80579534.439999998</v>
      </c>
      <c r="AM83" s="190">
        <v>75009017.689999998</v>
      </c>
      <c r="AN83" s="190">
        <v>69750435.620000005</v>
      </c>
      <c r="AO83" s="190">
        <v>23675931.5</v>
      </c>
      <c r="AP83" s="190">
        <v>0</v>
      </c>
    </row>
    <row r="84" spans="1:42" x14ac:dyDescent="0.25">
      <c r="A84" s="190" t="s">
        <v>188</v>
      </c>
      <c r="B84" s="190">
        <v>21414687684.77</v>
      </c>
      <c r="C84" s="190">
        <v>20740529851.959999</v>
      </c>
      <c r="D84" s="190">
        <v>21062565063.82</v>
      </c>
      <c r="E84" s="190">
        <v>20570414417.549999</v>
      </c>
      <c r="F84" s="190">
        <v>19848640947.82</v>
      </c>
      <c r="G84" s="190">
        <v>18920048090.759998</v>
      </c>
      <c r="H84" s="190">
        <v>18780724371.200001</v>
      </c>
      <c r="I84" s="190">
        <v>14054513199.74</v>
      </c>
      <c r="J84" s="190">
        <v>7946297144.0200005</v>
      </c>
      <c r="K84" s="190">
        <v>7838730281.9799995</v>
      </c>
      <c r="L84" s="190">
        <v>7385256701.54</v>
      </c>
      <c r="M84" s="190">
        <v>7111052192.6199999</v>
      </c>
      <c r="N84" s="190">
        <v>7388127375.0200005</v>
      </c>
      <c r="O84" s="190">
        <v>6861110477.0200005</v>
      </c>
      <c r="P84" s="190">
        <v>6695162234.8800001</v>
      </c>
      <c r="Q84" s="190">
        <v>6442438760.9099998</v>
      </c>
      <c r="R84" s="190">
        <v>5852007255.0699997</v>
      </c>
      <c r="S84" s="190">
        <v>5800890494.8900003</v>
      </c>
      <c r="T84" s="190">
        <v>5908024324.9399996</v>
      </c>
      <c r="U84" s="190">
        <v>5639080083.75</v>
      </c>
      <c r="V84" s="190">
        <v>5529730842.5299997</v>
      </c>
      <c r="W84" s="190">
        <v>5058869229.0200005</v>
      </c>
      <c r="X84" s="190">
        <v>5247830831.6099997</v>
      </c>
      <c r="Y84" s="190">
        <v>5040063585.8000002</v>
      </c>
      <c r="Z84" s="190">
        <v>4775896678.3400002</v>
      </c>
      <c r="AA84" s="190">
        <v>4504992495.6400003</v>
      </c>
      <c r="AB84" s="190">
        <v>4928828136.4799995</v>
      </c>
      <c r="AC84" s="190">
        <v>5141762033.9099998</v>
      </c>
      <c r="AD84" s="190">
        <v>4539131459.7200003</v>
      </c>
      <c r="AE84" s="190">
        <v>4290800822.4099998</v>
      </c>
      <c r="AF84" s="190">
        <v>4450350408.7299995</v>
      </c>
      <c r="AG84" s="190">
        <v>4305513205.46</v>
      </c>
      <c r="AH84" s="190">
        <v>4201988851.5300002</v>
      </c>
      <c r="AI84" s="190">
        <v>3992224085.3699999</v>
      </c>
      <c r="AJ84" s="190">
        <v>3973715705.9299998</v>
      </c>
      <c r="AK84" s="190">
        <v>1375991760.5699999</v>
      </c>
      <c r="AL84" s="190">
        <v>1461524866.74</v>
      </c>
      <c r="AM84" s="190">
        <v>1105139752.9100001</v>
      </c>
      <c r="AN84" s="190">
        <v>954419679.70000005</v>
      </c>
      <c r="AO84" s="190">
        <v>502344352.75</v>
      </c>
      <c r="AP84" s="190">
        <v>0</v>
      </c>
    </row>
    <row r="85" spans="1:42" x14ac:dyDescent="0.25">
      <c r="A85" s="190" t="s">
        <v>189</v>
      </c>
      <c r="B85" s="190">
        <v>48824111323.82</v>
      </c>
      <c r="C85" s="190">
        <v>46889833685.940002</v>
      </c>
      <c r="D85" s="190">
        <v>44314575845.379997</v>
      </c>
      <c r="E85" s="190">
        <v>44155384122.940002</v>
      </c>
      <c r="F85" s="190">
        <v>42100730120.68</v>
      </c>
      <c r="G85" s="190">
        <v>40040751354.760002</v>
      </c>
      <c r="H85" s="190">
        <v>39732928773.709999</v>
      </c>
      <c r="I85" s="190">
        <v>35355937406.650002</v>
      </c>
      <c r="J85" s="190">
        <v>12223318549.639999</v>
      </c>
      <c r="K85" s="190">
        <v>13576691177.65</v>
      </c>
      <c r="L85" s="190">
        <v>12518965960.469999</v>
      </c>
      <c r="M85" s="190">
        <v>12111124244.82</v>
      </c>
      <c r="N85" s="190">
        <v>13287433861.709999</v>
      </c>
      <c r="O85" s="190">
        <v>12813215210.440001</v>
      </c>
      <c r="P85" s="190">
        <v>11877558180.280001</v>
      </c>
      <c r="Q85" s="190">
        <v>12202172858.32</v>
      </c>
      <c r="R85" s="190">
        <v>11461931337.75</v>
      </c>
      <c r="S85" s="190">
        <v>11402550099.9</v>
      </c>
      <c r="T85" s="190">
        <v>10722696139.25</v>
      </c>
      <c r="U85" s="190">
        <v>11006556958.32</v>
      </c>
      <c r="V85" s="190">
        <v>10889732734.48</v>
      </c>
      <c r="W85" s="190">
        <v>10233610829.08</v>
      </c>
      <c r="X85" s="190">
        <v>9655588103.9500008</v>
      </c>
      <c r="Y85" s="190">
        <v>9900141937.2399998</v>
      </c>
      <c r="Z85" s="190">
        <v>9432090470.9699993</v>
      </c>
      <c r="AA85" s="190">
        <v>8331385664.7700005</v>
      </c>
      <c r="AB85" s="190">
        <v>8306336883.7299995</v>
      </c>
      <c r="AC85" s="190">
        <v>9511631169.9799995</v>
      </c>
      <c r="AD85" s="190">
        <v>8280293125.7200003</v>
      </c>
      <c r="AE85" s="190">
        <v>6553534046.7299995</v>
      </c>
      <c r="AF85" s="190">
        <v>6091573594.5299997</v>
      </c>
      <c r="AG85" s="190">
        <v>6089584165.1099997</v>
      </c>
      <c r="AH85" s="190">
        <v>5954258783.8999996</v>
      </c>
      <c r="AI85" s="190">
        <v>5514771425.0500002</v>
      </c>
      <c r="AJ85" s="190">
        <v>5151432613.0799999</v>
      </c>
      <c r="AK85" s="190">
        <v>2707269074.29</v>
      </c>
      <c r="AL85" s="190">
        <v>2587404482.21</v>
      </c>
      <c r="AM85" s="190">
        <v>1997985279.74</v>
      </c>
      <c r="AN85" s="190">
        <v>2377886466.4899998</v>
      </c>
      <c r="AO85" s="190">
        <v>1828013151.55</v>
      </c>
      <c r="AP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R31"/>
  <sheetViews>
    <sheetView workbookViewId="0">
      <selection activeCell="A2" sqref="A2"/>
    </sheetView>
  </sheetViews>
  <sheetFormatPr defaultRowHeight="14.4" x14ac:dyDescent="0.25"/>
  <cols>
    <col min="1" max="1" width="39.109375" style="190" bestFit="1" customWidth="1"/>
    <col min="2" max="3" width="13.88671875" style="190" hidden="1" customWidth="1"/>
    <col min="4" max="4" width="12.77734375" style="190" hidden="1" customWidth="1"/>
    <col min="5" max="5" width="13.88671875" style="190" bestFit="1" customWidth="1"/>
    <col min="6" max="6" width="12.77734375" style="190" hidden="1" customWidth="1"/>
    <col min="7" max="7" width="13.88671875" style="190" hidden="1" customWidth="1"/>
    <col min="8" max="8" width="12.77734375" style="190" hidden="1" customWidth="1"/>
    <col min="9" max="9" width="13.886718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3" width="12.77734375" style="190" hidden="1" customWidth="1"/>
    <col min="24" max="24" width="13.88671875" style="190" hidden="1" customWidth="1"/>
    <col min="25" max="25" width="12.777343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4" width="13.88671875" style="190" hidden="1" customWidth="1"/>
    <col min="35" max="36" width="12.77734375" style="190" hidden="1" customWidth="1"/>
    <col min="37" max="37" width="12.77734375" style="190" bestFit="1" customWidth="1"/>
    <col min="38" max="40" width="12.77734375" style="190" hidden="1" customWidth="1"/>
    <col min="41" max="41" width="12.77734375" style="190" bestFit="1" customWidth="1"/>
    <col min="42" max="42" width="13.88671875" style="190" bestFit="1" customWidth="1"/>
    <col min="43" max="43" width="12.77734375" style="190" bestFit="1" customWidth="1"/>
    <col min="44" max="44" width="9.5546875" style="190" hidden="1" customWidth="1"/>
    <col min="45" max="16384" width="8.88671875" style="190"/>
  </cols>
  <sheetData>
    <row r="1" spans="1:44"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20061231</v>
      </c>
      <c r="AR1" s="190">
        <v>19700101</v>
      </c>
    </row>
    <row r="2" spans="1:4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row>
    <row r="3" spans="1:44" x14ac:dyDescent="0.25">
      <c r="A3" s="190" t="s">
        <v>190</v>
      </c>
      <c r="B3" s="190">
        <v>19110558169.75</v>
      </c>
      <c r="C3" s="190">
        <v>11902315980.1</v>
      </c>
      <c r="D3" s="190">
        <v>5095142650.8900003</v>
      </c>
      <c r="E3" s="190">
        <v>23416550017.470001</v>
      </c>
      <c r="F3" s="190">
        <v>15936585490.809999</v>
      </c>
      <c r="G3" s="190">
        <v>9905427837.3400002</v>
      </c>
      <c r="H3" s="190">
        <v>3980952720.77</v>
      </c>
      <c r="I3" s="190">
        <v>20164545252.650002</v>
      </c>
      <c r="J3" s="190">
        <v>9108594167.6399994</v>
      </c>
      <c r="K3" s="190">
        <v>5630553788.9300003</v>
      </c>
      <c r="L3" s="190">
        <v>2381520488.8499999</v>
      </c>
      <c r="M3" s="190">
        <v>12026466467.639999</v>
      </c>
      <c r="N3" s="190">
        <v>8774967409.0100002</v>
      </c>
      <c r="O3" s="190">
        <v>5589949438.3699999</v>
      </c>
      <c r="P3" s="190">
        <v>2261383751.4200001</v>
      </c>
      <c r="Q3" s="190">
        <v>12767230041.15</v>
      </c>
      <c r="R3" s="190">
        <v>9307426262</v>
      </c>
      <c r="S3" s="190">
        <v>5849589980.8900003</v>
      </c>
      <c r="T3" s="190">
        <v>2390695057.27</v>
      </c>
      <c r="U3" s="190">
        <v>11956507239.129999</v>
      </c>
      <c r="V3" s="190">
        <v>8565695458.21</v>
      </c>
      <c r="W3" s="190">
        <v>5414648582.5299997</v>
      </c>
      <c r="X3" s="190">
        <v>2070155415.79</v>
      </c>
      <c r="Y3" s="190">
        <v>10703163376.129999</v>
      </c>
      <c r="Z3" s="190">
        <v>7766650075.9799995</v>
      </c>
      <c r="AA3" s="190">
        <v>4352728365.5</v>
      </c>
      <c r="AB3" s="190">
        <v>1785299738.22</v>
      </c>
      <c r="AC3" s="190">
        <v>8288198259.6800003</v>
      </c>
      <c r="AD3" s="190">
        <v>6326671482.2600002</v>
      </c>
      <c r="AE3" s="190">
        <v>4001898889.1199999</v>
      </c>
      <c r="AF3" s="190">
        <v>1644797532.0899999</v>
      </c>
      <c r="AG3" s="190">
        <v>6339109735.0900002</v>
      </c>
      <c r="AH3" s="190">
        <v>4659762055.4300003</v>
      </c>
      <c r="AI3" s="190">
        <v>2841252861.1300001</v>
      </c>
      <c r="AJ3" s="190">
        <v>1169899767.45</v>
      </c>
      <c r="AK3" s="190">
        <v>4801517368.3699999</v>
      </c>
      <c r="AL3" s="190">
        <v>3528348961.3000002</v>
      </c>
      <c r="AM3" s="190">
        <v>2099639179.3099999</v>
      </c>
      <c r="AN3" s="190">
        <v>873850113.40999997</v>
      </c>
      <c r="AO3" s="190">
        <v>4442093335.0799999</v>
      </c>
      <c r="AP3" s="190">
        <v>4184807996.5100002</v>
      </c>
      <c r="AQ3" s="190">
        <v>3377159073.3800001</v>
      </c>
      <c r="AR3" s="190">
        <v>0</v>
      </c>
    </row>
    <row r="4" spans="1:44" x14ac:dyDescent="0.25">
      <c r="A4" s="190" t="s">
        <v>191</v>
      </c>
      <c r="B4" s="190">
        <v>19110558169.75</v>
      </c>
      <c r="C4" s="190">
        <v>11902315980.1</v>
      </c>
      <c r="D4" s="190">
        <v>5095142650.8900003</v>
      </c>
      <c r="E4" s="190">
        <v>23416550017.470001</v>
      </c>
      <c r="F4" s="190">
        <v>15936585490.809999</v>
      </c>
      <c r="G4" s="190">
        <v>9905427837.3400002</v>
      </c>
      <c r="H4" s="190">
        <v>3980952720.77</v>
      </c>
      <c r="I4" s="190">
        <v>20164545252.650002</v>
      </c>
      <c r="J4" s="190">
        <v>9108594167.6399994</v>
      </c>
      <c r="K4" s="190">
        <v>5630553788.9300003</v>
      </c>
      <c r="L4" s="190">
        <v>2381520488.8499999</v>
      </c>
      <c r="M4" s="190">
        <v>12026466467.639999</v>
      </c>
      <c r="N4" s="190">
        <v>8774967409.0100002</v>
      </c>
      <c r="O4" s="190">
        <v>5589949438.3699999</v>
      </c>
      <c r="P4" s="190">
        <v>2261383751.4200001</v>
      </c>
      <c r="Q4" s="190">
        <v>12767230041.15</v>
      </c>
      <c r="R4" s="190">
        <v>9307426262</v>
      </c>
      <c r="S4" s="190">
        <v>5849589980.8900003</v>
      </c>
      <c r="T4" s="190">
        <v>2390695057.27</v>
      </c>
      <c r="U4" s="190">
        <v>11956507239.129999</v>
      </c>
      <c r="V4" s="190">
        <v>8565695458.21</v>
      </c>
      <c r="W4" s="190">
        <v>5414648582.5299997</v>
      </c>
      <c r="X4" s="190">
        <v>2070155415.79</v>
      </c>
      <c r="Y4" s="190">
        <v>10703163376.129999</v>
      </c>
      <c r="Z4" s="190">
        <v>7766650075.9799995</v>
      </c>
      <c r="AA4" s="190">
        <v>4352728365.5</v>
      </c>
      <c r="AB4" s="190">
        <v>1785299738.22</v>
      </c>
      <c r="AC4" s="190">
        <v>8288198259.6800003</v>
      </c>
      <c r="AD4" s="190">
        <v>6326671482.2600002</v>
      </c>
      <c r="AE4" s="190">
        <v>4001898889.1199999</v>
      </c>
      <c r="AF4" s="190">
        <v>1644797532.0899999</v>
      </c>
      <c r="AG4" s="190">
        <v>6339109735.0900002</v>
      </c>
      <c r="AH4" s="190">
        <v>4659762055.4300003</v>
      </c>
      <c r="AI4" s="190">
        <v>2841252861.1300001</v>
      </c>
      <c r="AJ4" s="190">
        <v>1169899767.45</v>
      </c>
      <c r="AK4" s="190">
        <v>4801517368.3699999</v>
      </c>
      <c r="AL4" s="190">
        <v>3528348961.3000002</v>
      </c>
      <c r="AM4" s="190">
        <v>2099639179.3099999</v>
      </c>
      <c r="AN4" s="190">
        <v>873850113.40999997</v>
      </c>
      <c r="AO4" s="190">
        <v>4442093335.0799999</v>
      </c>
      <c r="AP4" s="190">
        <v>4184807996.5100002</v>
      </c>
      <c r="AQ4" s="190">
        <v>3377159073.3800001</v>
      </c>
      <c r="AR4" s="190">
        <v>0</v>
      </c>
    </row>
    <row r="5" spans="1:44" x14ac:dyDescent="0.25">
      <c r="A5" s="190" t="s">
        <v>192</v>
      </c>
      <c r="B5" s="190">
        <v>16500962431.34</v>
      </c>
      <c r="C5" s="190">
        <v>10292116970.309999</v>
      </c>
      <c r="D5" s="190">
        <v>4631284093.9899998</v>
      </c>
      <c r="E5" s="190">
        <v>20459694835.459999</v>
      </c>
      <c r="F5" s="190">
        <v>13809696717.49</v>
      </c>
      <c r="G5" s="190">
        <v>8564532268.8599997</v>
      </c>
      <c r="H5" s="190">
        <v>3590061569.6799998</v>
      </c>
      <c r="I5" s="190">
        <v>17445695856.310001</v>
      </c>
      <c r="J5" s="190">
        <v>7543414348.3199997</v>
      </c>
      <c r="K5" s="190">
        <v>4661861080.9499998</v>
      </c>
      <c r="L5" s="190">
        <v>1991226356.8499999</v>
      </c>
      <c r="M5" s="190">
        <v>9899537948.7399998</v>
      </c>
      <c r="N5" s="190">
        <v>7207288641.8999996</v>
      </c>
      <c r="O5" s="190">
        <v>4609561567.6400003</v>
      </c>
      <c r="P5" s="190">
        <v>1881725421.1099999</v>
      </c>
      <c r="Q5" s="190">
        <v>10517617961.67</v>
      </c>
      <c r="R5" s="190">
        <v>7667733413.75</v>
      </c>
      <c r="S5" s="190">
        <v>4835772427.1700001</v>
      </c>
      <c r="T5" s="190">
        <v>2019042171.75</v>
      </c>
      <c r="U5" s="190">
        <v>10017341146.34</v>
      </c>
      <c r="V5" s="190">
        <v>7154977272.5900002</v>
      </c>
      <c r="W5" s="190">
        <v>4551191314.8900003</v>
      </c>
      <c r="X5" s="190">
        <v>1763081326.1700001</v>
      </c>
      <c r="Y5" s="190">
        <v>9064456761.5400009</v>
      </c>
      <c r="Z5" s="190">
        <v>6564619404.6999998</v>
      </c>
      <c r="AA5" s="190">
        <v>3705539233.96</v>
      </c>
      <c r="AB5" s="190">
        <v>1525050330.4000001</v>
      </c>
      <c r="AC5" s="190">
        <v>7206475070.8299999</v>
      </c>
      <c r="AD5" s="190">
        <v>5514260969.5600004</v>
      </c>
      <c r="AE5" s="190">
        <v>3467152847.3400002</v>
      </c>
      <c r="AF5" s="190">
        <v>1422024103.6099999</v>
      </c>
      <c r="AG5" s="190">
        <v>5502661144.7700005</v>
      </c>
      <c r="AH5" s="190">
        <v>3916558119.1700001</v>
      </c>
      <c r="AI5" s="190">
        <v>2354721475.5999999</v>
      </c>
      <c r="AJ5" s="190">
        <v>969197602.41999996</v>
      </c>
      <c r="AK5" s="190">
        <v>4100525477.1199999</v>
      </c>
      <c r="AL5" s="190">
        <v>2898474778.2199998</v>
      </c>
      <c r="AM5" s="190">
        <v>1711509190.9300001</v>
      </c>
      <c r="AN5" s="190">
        <v>724224289.53999996</v>
      </c>
      <c r="AO5" s="190">
        <v>3855646562.8600001</v>
      </c>
      <c r="AP5" s="190">
        <v>3606882924.8800001</v>
      </c>
      <c r="AQ5" s="190">
        <v>3086936675.52</v>
      </c>
      <c r="AR5" s="190">
        <v>0</v>
      </c>
    </row>
    <row r="6" spans="1:44" x14ac:dyDescent="0.25">
      <c r="A6" s="190" t="s">
        <v>193</v>
      </c>
      <c r="B6" s="190">
        <v>13421766332.620001</v>
      </c>
      <c r="C6" s="190">
        <v>8398244174.2700005</v>
      </c>
      <c r="D6" s="190">
        <v>3721787372.8099999</v>
      </c>
      <c r="E6" s="190">
        <v>16550869196.219999</v>
      </c>
      <c r="F6" s="190">
        <v>11165450332.620001</v>
      </c>
      <c r="G6" s="190">
        <v>6977459678.54</v>
      </c>
      <c r="H6" s="190">
        <v>2850748064.7600002</v>
      </c>
      <c r="I6" s="190">
        <v>14133408263.85</v>
      </c>
      <c r="J6" s="190">
        <v>6056785146.3400002</v>
      </c>
      <c r="K6" s="190">
        <v>3706679737.6399999</v>
      </c>
      <c r="L6" s="190">
        <v>1581859069.72</v>
      </c>
      <c r="M6" s="190">
        <v>7834815227.1300001</v>
      </c>
      <c r="N6" s="190">
        <v>5772001657.5900002</v>
      </c>
      <c r="O6" s="190">
        <v>3697041344.4400001</v>
      </c>
      <c r="P6" s="190">
        <v>1503157164.6400001</v>
      </c>
      <c r="Q6" s="190">
        <v>8530428903.8100004</v>
      </c>
      <c r="R6" s="190">
        <v>6318306894.7399998</v>
      </c>
      <c r="S6" s="190">
        <v>3988494937.8899999</v>
      </c>
      <c r="T6" s="190">
        <v>1649556180.6500001</v>
      </c>
      <c r="U6" s="190">
        <v>8178719989.4300003</v>
      </c>
      <c r="V6" s="190">
        <v>5967713193.1999998</v>
      </c>
      <c r="W6" s="190">
        <v>3799988539.3400002</v>
      </c>
      <c r="X6" s="190">
        <v>1466120463.5599999</v>
      </c>
      <c r="Y6" s="190">
        <v>7498731689.9099998</v>
      </c>
      <c r="Z6" s="190">
        <v>5538830502.7700005</v>
      </c>
      <c r="AA6" s="190">
        <v>3184574104.1799998</v>
      </c>
      <c r="AB6" s="190">
        <v>1301604761.22</v>
      </c>
      <c r="AC6" s="190">
        <v>6296733197.0900002</v>
      </c>
      <c r="AD6" s="190">
        <v>4898410276.7700005</v>
      </c>
      <c r="AE6" s="190">
        <v>3104943543.1399999</v>
      </c>
      <c r="AF6" s="190">
        <v>1275846191.04</v>
      </c>
      <c r="AG6" s="190">
        <v>4696761911.8800001</v>
      </c>
      <c r="AH6" s="190">
        <v>3390889481.8699999</v>
      </c>
      <c r="AI6" s="190">
        <v>2061871902.01</v>
      </c>
      <c r="AJ6" s="190">
        <v>841969122.13999999</v>
      </c>
      <c r="AK6" s="190">
        <v>3449294141.2199998</v>
      </c>
      <c r="AL6" s="190">
        <v>2463110319.4499998</v>
      </c>
      <c r="AM6" s="190">
        <v>1463794341.21</v>
      </c>
      <c r="AN6" s="190">
        <v>615881525.79999995</v>
      </c>
      <c r="AO6" s="190">
        <v>3323817825.8200002</v>
      </c>
      <c r="AP6" s="190">
        <v>3206716574.3499999</v>
      </c>
      <c r="AQ6" s="190">
        <v>2664705297.6700001</v>
      </c>
      <c r="AR6" s="190">
        <v>0</v>
      </c>
    </row>
    <row r="7" spans="1:44" x14ac:dyDescent="0.25">
      <c r="A7" s="190" t="s">
        <v>194</v>
      </c>
      <c r="B7" s="190">
        <v>120490014.75</v>
      </c>
      <c r="C7" s="190">
        <v>80032875.599999994</v>
      </c>
      <c r="D7" s="190">
        <v>33530866.09</v>
      </c>
      <c r="E7" s="190">
        <v>172847931.47</v>
      </c>
      <c r="F7" s="190">
        <v>125643147.61</v>
      </c>
      <c r="G7" s="190">
        <v>84730729.579999998</v>
      </c>
      <c r="H7" s="190">
        <v>39298428.310000002</v>
      </c>
      <c r="I7" s="190">
        <v>140953420.24000001</v>
      </c>
      <c r="J7" s="190">
        <v>61554838.520000003</v>
      </c>
      <c r="K7" s="190">
        <v>36864689.57</v>
      </c>
      <c r="L7" s="190">
        <v>16224190.449999999</v>
      </c>
      <c r="M7" s="190">
        <v>80065876.439999998</v>
      </c>
      <c r="N7" s="190">
        <v>59992069.630000003</v>
      </c>
      <c r="O7" s="190">
        <v>40117131.350000001</v>
      </c>
      <c r="P7" s="190">
        <v>16597056.779999999</v>
      </c>
      <c r="Q7" s="190">
        <v>86817539.200000003</v>
      </c>
      <c r="R7" s="190">
        <v>64685794.259999998</v>
      </c>
      <c r="S7" s="190">
        <v>40273195.219999999</v>
      </c>
      <c r="T7" s="190">
        <v>16456102.74</v>
      </c>
      <c r="U7" s="190">
        <v>72341776.040000007</v>
      </c>
      <c r="V7" s="190">
        <v>52726185.840000004</v>
      </c>
      <c r="W7" s="190">
        <v>34688736.259999998</v>
      </c>
      <c r="X7" s="190">
        <v>14139226.84</v>
      </c>
      <c r="Y7" s="190">
        <v>70865876.530000001</v>
      </c>
      <c r="Z7" s="190">
        <v>49925721.030000001</v>
      </c>
      <c r="AA7" s="190">
        <v>29606147.609999999</v>
      </c>
      <c r="AB7" s="190">
        <v>11299821.58</v>
      </c>
      <c r="AC7" s="190">
        <v>39387688.710000001</v>
      </c>
      <c r="AD7" s="190">
        <v>32588454.109999999</v>
      </c>
      <c r="AE7" s="190">
        <v>21109252.890000001</v>
      </c>
      <c r="AF7" s="190">
        <v>10094291.289999999</v>
      </c>
      <c r="AG7" s="190">
        <v>34480350.68</v>
      </c>
      <c r="AH7" s="190">
        <v>27875527.77</v>
      </c>
      <c r="AI7" s="190">
        <v>17644207.02</v>
      </c>
      <c r="AJ7" s="190">
        <v>8234488.3600000003</v>
      </c>
      <c r="AK7" s="190">
        <v>31444873.27</v>
      </c>
      <c r="AL7" s="190">
        <v>25497631.59</v>
      </c>
      <c r="AM7" s="190">
        <v>16872103.5</v>
      </c>
      <c r="AN7" s="190">
        <v>7947650.8099999996</v>
      </c>
      <c r="AO7" s="190">
        <v>26668060.41</v>
      </c>
      <c r="AP7" s="190">
        <v>20135095.489999998</v>
      </c>
      <c r="AQ7" s="190">
        <v>14632984.1</v>
      </c>
      <c r="AR7" s="190">
        <v>0</v>
      </c>
    </row>
    <row r="8" spans="1:44" x14ac:dyDescent="0.25">
      <c r="A8" s="190" t="s">
        <v>195</v>
      </c>
      <c r="B8" s="190">
        <v>1181077931.4300001</v>
      </c>
      <c r="C8" s="190">
        <v>698070636.05999994</v>
      </c>
      <c r="D8" s="190">
        <v>300926995.83999997</v>
      </c>
      <c r="E8" s="190">
        <v>1341469811.8800001</v>
      </c>
      <c r="F8" s="190">
        <v>943220685.75</v>
      </c>
      <c r="G8" s="190">
        <v>536793153.63</v>
      </c>
      <c r="H8" s="190">
        <v>238114840.24000001</v>
      </c>
      <c r="I8" s="190">
        <v>1012287977.97</v>
      </c>
      <c r="J8" s="190">
        <v>585917334.28999996</v>
      </c>
      <c r="K8" s="190">
        <v>376718506.63999999</v>
      </c>
      <c r="L8" s="190">
        <v>155185785.18000001</v>
      </c>
      <c r="M8" s="190">
        <v>799960742.79999995</v>
      </c>
      <c r="N8" s="190">
        <v>557077371.64999998</v>
      </c>
      <c r="O8" s="190">
        <v>347629173.56999999</v>
      </c>
      <c r="P8" s="190">
        <v>132177782.84999999</v>
      </c>
      <c r="Q8" s="190">
        <v>799110210.19000006</v>
      </c>
      <c r="R8" s="190">
        <v>519117602.83999997</v>
      </c>
      <c r="S8" s="190">
        <v>338400874.31</v>
      </c>
      <c r="T8" s="190">
        <v>134787666.25</v>
      </c>
      <c r="U8" s="190">
        <v>700102393.12</v>
      </c>
      <c r="V8" s="190">
        <v>442424799.10000002</v>
      </c>
      <c r="W8" s="190">
        <v>286737260.63999999</v>
      </c>
      <c r="X8" s="190">
        <v>111119736.79000001</v>
      </c>
      <c r="Y8" s="190">
        <v>640488295.13999999</v>
      </c>
      <c r="Z8" s="190">
        <v>376397658.36000001</v>
      </c>
      <c r="AA8" s="190">
        <v>192487414.75999999</v>
      </c>
      <c r="AB8" s="190">
        <v>90503685.140000001</v>
      </c>
      <c r="AC8" s="190">
        <v>339492443.41000003</v>
      </c>
      <c r="AD8" s="190">
        <v>226688355.41</v>
      </c>
      <c r="AE8" s="190">
        <v>144583266.66</v>
      </c>
      <c r="AF8" s="190">
        <v>61573455.109999999</v>
      </c>
      <c r="AG8" s="190">
        <v>304087272.88</v>
      </c>
      <c r="AH8" s="190">
        <v>173048403.86000001</v>
      </c>
      <c r="AI8" s="190">
        <v>109804959.87</v>
      </c>
      <c r="AJ8" s="190">
        <v>46256843.770000003</v>
      </c>
      <c r="AK8" s="190">
        <v>242378250.05000001</v>
      </c>
      <c r="AL8" s="190">
        <v>172863377.22999999</v>
      </c>
      <c r="AM8" s="190">
        <v>98365299.659999996</v>
      </c>
      <c r="AN8" s="190">
        <v>45868554.920000002</v>
      </c>
      <c r="AO8" s="190">
        <v>235948325.06</v>
      </c>
      <c r="AP8" s="190">
        <v>205162394.99000001</v>
      </c>
      <c r="AQ8" s="190">
        <v>208491220.16999999</v>
      </c>
      <c r="AR8" s="190">
        <v>0</v>
      </c>
    </row>
    <row r="9" spans="1:44" x14ac:dyDescent="0.25">
      <c r="A9" s="190" t="s">
        <v>196</v>
      </c>
      <c r="B9" s="190">
        <v>895533208.25999999</v>
      </c>
      <c r="C9" s="190">
        <v>881813975.33000004</v>
      </c>
      <c r="D9" s="190">
        <v>399038754.25</v>
      </c>
      <c r="E9" s="190">
        <v>1809757827.79</v>
      </c>
      <c r="F9" s="190">
        <v>1195795900.72</v>
      </c>
      <c r="G9" s="190">
        <v>710007855.64999998</v>
      </c>
      <c r="H9" s="190">
        <v>331002346.07999998</v>
      </c>
      <c r="I9" s="190">
        <v>1599436189.22</v>
      </c>
      <c r="J9" s="190">
        <v>789091353.80999994</v>
      </c>
      <c r="K9" s="190">
        <v>495371249.25999999</v>
      </c>
      <c r="L9" s="190">
        <v>205491976.12</v>
      </c>
      <c r="M9" s="190">
        <v>1021786675.23</v>
      </c>
      <c r="N9" s="190">
        <v>689967405.90999997</v>
      </c>
      <c r="O9" s="190">
        <v>417311348.56999999</v>
      </c>
      <c r="P9" s="190">
        <v>183118439.18000001</v>
      </c>
      <c r="Q9" s="190">
        <v>914875070.05999994</v>
      </c>
      <c r="R9" s="190">
        <v>648228184.92999995</v>
      </c>
      <c r="S9" s="190">
        <v>405635770.99000001</v>
      </c>
      <c r="T9" s="190">
        <v>184726394.09999999</v>
      </c>
      <c r="U9" s="190">
        <v>876437478.94000006</v>
      </c>
      <c r="V9" s="190">
        <v>625296419.80999994</v>
      </c>
      <c r="W9" s="190">
        <v>390891059.19999999</v>
      </c>
      <c r="X9" s="190">
        <v>168010196.88</v>
      </c>
      <c r="Y9" s="190">
        <v>823881754.29999995</v>
      </c>
      <c r="Z9" s="190">
        <v>589429908.96000004</v>
      </c>
      <c r="AA9" s="190">
        <v>301768185.20999998</v>
      </c>
      <c r="AB9" s="190">
        <v>144657164.99000001</v>
      </c>
      <c r="AC9" s="190">
        <v>587905120.27999997</v>
      </c>
      <c r="AD9" s="190">
        <v>401396291.48000002</v>
      </c>
      <c r="AE9" s="190">
        <v>244177208.99000001</v>
      </c>
      <c r="AF9" s="190">
        <v>114344750.41</v>
      </c>
      <c r="AG9" s="190">
        <v>493330199.16000003</v>
      </c>
      <c r="AH9" s="190">
        <v>335619169.76999998</v>
      </c>
      <c r="AI9" s="190">
        <v>164304271.16</v>
      </c>
      <c r="AJ9" s="190">
        <v>74178353.920000002</v>
      </c>
      <c r="AK9" s="190">
        <v>364095361.85000002</v>
      </c>
      <c r="AL9" s="190">
        <v>234897856.68000001</v>
      </c>
      <c r="AM9" s="190">
        <v>121176259.28</v>
      </c>
      <c r="AN9" s="190">
        <v>52272916.82</v>
      </c>
      <c r="AO9" s="190">
        <v>243091183.40000001</v>
      </c>
      <c r="AP9" s="190">
        <v>164890658.56</v>
      </c>
      <c r="AQ9" s="190">
        <v>168473850.03999999</v>
      </c>
      <c r="AR9" s="190">
        <v>0</v>
      </c>
    </row>
    <row r="10" spans="1:44" x14ac:dyDescent="0.25">
      <c r="A10" s="190" t="s">
        <v>197</v>
      </c>
      <c r="B10" s="190">
        <v>243114352.5</v>
      </c>
      <c r="C10" s="190">
        <v>197043339.72</v>
      </c>
      <c r="D10" s="190">
        <v>160426599.27000001</v>
      </c>
      <c r="E10" s="190">
        <v>505333240.69999999</v>
      </c>
      <c r="F10" s="190">
        <v>322941882.69</v>
      </c>
      <c r="G10" s="190">
        <v>201113849.62</v>
      </c>
      <c r="H10" s="190">
        <v>116516385.51000001</v>
      </c>
      <c r="I10" s="190">
        <v>415700934.61000001</v>
      </c>
      <c r="J10" s="190">
        <v>22706063.27</v>
      </c>
      <c r="K10" s="190">
        <v>25965055.690000001</v>
      </c>
      <c r="L10" s="190">
        <v>26440274.66</v>
      </c>
      <c r="M10" s="190">
        <v>86961470.329999998</v>
      </c>
      <c r="N10" s="190">
        <v>60024147.170000002</v>
      </c>
      <c r="O10" s="190">
        <v>61876869.630000003</v>
      </c>
      <c r="P10" s="190">
        <v>36993467.100000001</v>
      </c>
      <c r="Q10" s="190">
        <v>116948844.25</v>
      </c>
      <c r="R10" s="190">
        <v>83689044.420000002</v>
      </c>
      <c r="S10" s="190">
        <v>40600589.310000002</v>
      </c>
      <c r="T10" s="190">
        <v>15751878.300000001</v>
      </c>
      <c r="U10" s="190">
        <v>64611417.210000001</v>
      </c>
      <c r="V10" s="190">
        <v>36335047.93</v>
      </c>
      <c r="W10" s="190">
        <v>12900820.48</v>
      </c>
      <c r="X10" s="190">
        <v>-11375472.210000001</v>
      </c>
      <c r="Y10" s="190">
        <v>4489118.34</v>
      </c>
      <c r="Z10" s="190">
        <v>-15488482.289999999</v>
      </c>
      <c r="AA10" s="190">
        <v>-23551541.43</v>
      </c>
      <c r="AB10" s="190">
        <v>-34165997.090000004</v>
      </c>
      <c r="AC10" s="190">
        <v>-62850903.960000001</v>
      </c>
      <c r="AD10" s="190">
        <v>-52879552.07</v>
      </c>
      <c r="AE10" s="190">
        <v>-56836861.960000001</v>
      </c>
      <c r="AF10" s="190">
        <v>-47448180.68</v>
      </c>
      <c r="AG10" s="190">
        <v>-20086929.940000001</v>
      </c>
      <c r="AH10" s="190">
        <v>-13087137.390000001</v>
      </c>
      <c r="AI10" s="190">
        <v>597425.06999999995</v>
      </c>
      <c r="AJ10" s="190">
        <v>-751143.15</v>
      </c>
      <c r="AK10" s="190">
        <v>-5199399.8499999996</v>
      </c>
      <c r="AL10" s="190">
        <v>-3132881.15</v>
      </c>
      <c r="AM10" s="190">
        <v>-573091.39</v>
      </c>
      <c r="AN10" s="190">
        <v>2253641.19</v>
      </c>
      <c r="AO10" s="190">
        <v>16058836.289999999</v>
      </c>
      <c r="AP10" s="190">
        <v>21474158.75</v>
      </c>
      <c r="AQ10" s="190">
        <v>22843189.52</v>
      </c>
      <c r="AR10" s="190">
        <v>0</v>
      </c>
    </row>
    <row r="11" spans="1:44" x14ac:dyDescent="0.25">
      <c r="A11" s="190" t="s">
        <v>198</v>
      </c>
      <c r="B11" s="190">
        <v>71810532.659999996</v>
      </c>
      <c r="C11" s="190">
        <v>36911969.329999998</v>
      </c>
      <c r="D11" s="190">
        <v>15573505.73</v>
      </c>
      <c r="E11" s="190">
        <v>79416827.400000006</v>
      </c>
      <c r="F11" s="190">
        <v>56644768.100000001</v>
      </c>
      <c r="G11" s="190">
        <v>54427001.840000004</v>
      </c>
      <c r="H11" s="190">
        <v>14381504.779999999</v>
      </c>
      <c r="I11" s="190">
        <v>143909070.41999999</v>
      </c>
      <c r="J11" s="190">
        <v>27359612.09</v>
      </c>
      <c r="K11" s="190">
        <v>20261842.149999999</v>
      </c>
      <c r="L11" s="190">
        <v>6025060.7199999997</v>
      </c>
      <c r="M11" s="190">
        <v>75947956.810000002</v>
      </c>
      <c r="N11" s="190">
        <v>68225989.950000003</v>
      </c>
      <c r="O11" s="190">
        <v>45585700.079999998</v>
      </c>
      <c r="P11" s="190">
        <v>9681510.5600000005</v>
      </c>
      <c r="Q11" s="190">
        <v>69437394.159999996</v>
      </c>
      <c r="R11" s="190">
        <v>33705892.560000002</v>
      </c>
      <c r="S11" s="190">
        <v>22367059.449999999</v>
      </c>
      <c r="T11" s="190">
        <v>17763949.710000001</v>
      </c>
      <c r="U11" s="190">
        <v>125128091.59999999</v>
      </c>
      <c r="V11" s="190">
        <v>30481626.710000001</v>
      </c>
      <c r="W11" s="190">
        <v>25984898.969999999</v>
      </c>
      <c r="X11" s="190">
        <v>15067174.310000001</v>
      </c>
      <c r="Y11" s="190">
        <v>26000027.32</v>
      </c>
      <c r="Z11" s="190">
        <v>25524095.870000001</v>
      </c>
      <c r="AA11" s="190">
        <v>20654923.629999999</v>
      </c>
      <c r="AB11" s="190">
        <v>11150894.560000001</v>
      </c>
      <c r="AC11" s="190">
        <v>5807525.2999999998</v>
      </c>
      <c r="AD11" s="190">
        <v>8057143.8600000003</v>
      </c>
      <c r="AE11" s="190">
        <v>9176437.6199999992</v>
      </c>
      <c r="AF11" s="190">
        <v>7613596.4400000004</v>
      </c>
      <c r="AG11" s="190">
        <v>-5911659.8899999997</v>
      </c>
      <c r="AH11" s="190">
        <v>2212673.29</v>
      </c>
      <c r="AI11" s="190">
        <v>498710.47</v>
      </c>
      <c r="AJ11" s="190">
        <v>-690062.62</v>
      </c>
      <c r="AK11" s="190">
        <v>18512250.579999998</v>
      </c>
      <c r="AL11" s="190">
        <v>5238474.42</v>
      </c>
      <c r="AM11" s="190">
        <v>11874278.67</v>
      </c>
      <c r="AN11" s="190">
        <v>0</v>
      </c>
      <c r="AO11" s="190">
        <v>10062331.880000001</v>
      </c>
      <c r="AP11" s="190">
        <v>-11495957.26</v>
      </c>
      <c r="AQ11" s="190">
        <v>7790134.0199999996</v>
      </c>
      <c r="AR11" s="190">
        <v>0</v>
      </c>
    </row>
    <row r="12" spans="1:44" x14ac:dyDescent="0.25">
      <c r="A12" s="190" t="s">
        <v>199</v>
      </c>
      <c r="B12" s="190">
        <v>-33564768.689999998</v>
      </c>
      <c r="C12" s="190">
        <v>-10790835.449999999</v>
      </c>
      <c r="D12" s="190">
        <v>1941248.63</v>
      </c>
      <c r="E12" s="190">
        <v>787969.38</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72180.490000000005</v>
      </c>
      <c r="Z12" s="190">
        <v>0</v>
      </c>
      <c r="AA12" s="190">
        <v>0</v>
      </c>
      <c r="AB12" s="190">
        <v>0</v>
      </c>
      <c r="AC12" s="190">
        <v>0</v>
      </c>
      <c r="AD12" s="190">
        <v>0</v>
      </c>
      <c r="AE12" s="190">
        <v>0</v>
      </c>
      <c r="AF12" s="190">
        <v>0</v>
      </c>
      <c r="AG12" s="190">
        <v>0</v>
      </c>
      <c r="AH12" s="190">
        <v>0</v>
      </c>
      <c r="AI12" s="190">
        <v>0</v>
      </c>
      <c r="AJ12" s="190">
        <v>0</v>
      </c>
      <c r="AK12" s="190">
        <v>52500</v>
      </c>
      <c r="AL12" s="190">
        <v>0</v>
      </c>
      <c r="AM12" s="190">
        <v>0</v>
      </c>
      <c r="AN12" s="190">
        <v>0</v>
      </c>
      <c r="AO12" s="190">
        <v>-52500</v>
      </c>
      <c r="AP12" s="190">
        <v>140750</v>
      </c>
      <c r="AQ12" s="190">
        <v>-96500</v>
      </c>
      <c r="AR12" s="190">
        <v>0</v>
      </c>
    </row>
    <row r="13" spans="1:44" x14ac:dyDescent="0.25">
      <c r="A13" s="190" t="s">
        <v>200</v>
      </c>
      <c r="B13" s="190">
        <v>558933964.42999995</v>
      </c>
      <c r="C13" s="190">
        <v>421458320.98000002</v>
      </c>
      <c r="D13" s="190">
        <v>235726188.84999999</v>
      </c>
      <c r="E13" s="190">
        <v>214022616.25999999</v>
      </c>
      <c r="F13" s="190">
        <v>110647687.69</v>
      </c>
      <c r="G13" s="190">
        <v>81034544.840000004</v>
      </c>
      <c r="H13" s="190">
        <v>40043666.270000003</v>
      </c>
      <c r="I13" s="190">
        <v>158327105.12</v>
      </c>
      <c r="J13" s="190">
        <v>32291901.039999999</v>
      </c>
      <c r="K13" s="190">
        <v>20570852.93</v>
      </c>
      <c r="L13" s="190">
        <v>10695316.970000001</v>
      </c>
      <c r="M13" s="190">
        <v>59704988.460000001</v>
      </c>
      <c r="N13" s="190">
        <v>50888730.579999998</v>
      </c>
      <c r="O13" s="190">
        <v>31507570.07</v>
      </c>
      <c r="P13" s="190">
        <v>14497731.539999999</v>
      </c>
      <c r="Q13" s="190">
        <v>59560093.020000003</v>
      </c>
      <c r="R13" s="190">
        <v>50875936.310000002</v>
      </c>
      <c r="S13" s="190">
        <v>24277729.989999998</v>
      </c>
      <c r="T13" s="190">
        <v>12778154.970000001</v>
      </c>
      <c r="U13" s="190">
        <v>41545502.219999999</v>
      </c>
      <c r="V13" s="190">
        <v>32994122.09</v>
      </c>
      <c r="W13" s="190">
        <v>16108585.439999999</v>
      </c>
      <c r="X13" s="190">
        <v>4912787.71</v>
      </c>
      <c r="Y13" s="190">
        <v>27297886.82</v>
      </c>
      <c r="Z13" s="190">
        <v>3470607.02</v>
      </c>
      <c r="AA13" s="190">
        <v>3666380.15</v>
      </c>
      <c r="AB13" s="190">
        <v>2944941.77</v>
      </c>
      <c r="AC13" s="190">
        <v>4542812.28</v>
      </c>
      <c r="AD13" s="190">
        <v>3425500.76</v>
      </c>
      <c r="AE13" s="190">
        <v>133281.18</v>
      </c>
      <c r="AF13" s="190">
        <v>-741821.33</v>
      </c>
      <c r="AG13" s="190">
        <v>2424132.64</v>
      </c>
      <c r="AH13" s="190">
        <v>1368964.67</v>
      </c>
      <c r="AI13" s="190">
        <v>-50258.03</v>
      </c>
      <c r="AJ13" s="190">
        <v>-366046.36</v>
      </c>
      <c r="AK13" s="190">
        <v>-520683.38</v>
      </c>
      <c r="AL13" s="190">
        <v>-476540.05</v>
      </c>
      <c r="AM13" s="190">
        <v>1549090.49</v>
      </c>
      <c r="AN13" s="190">
        <v>-550976.51</v>
      </c>
      <c r="AO13" s="190">
        <v>5131480.8600000003</v>
      </c>
      <c r="AP13" s="190">
        <v>-7611582.8499999996</v>
      </c>
      <c r="AQ13" s="190">
        <v>-5457987.3899999997</v>
      </c>
      <c r="AR13" s="190">
        <v>0</v>
      </c>
    </row>
    <row r="14" spans="1:44" x14ac:dyDescent="0.25">
      <c r="A14" s="190" t="s">
        <v>201</v>
      </c>
      <c r="B14" s="190">
        <v>137934664.63999999</v>
      </c>
      <c r="C14" s="190">
        <v>95463404.609999999</v>
      </c>
      <c r="D14" s="190">
        <v>21695492.899999999</v>
      </c>
      <c r="E14" s="190">
        <v>98375119.810000002</v>
      </c>
      <c r="F14" s="190">
        <v>78114405.870000005</v>
      </c>
      <c r="G14" s="190">
        <v>10832281.039999999</v>
      </c>
      <c r="H14" s="190">
        <v>20819311.460000001</v>
      </c>
      <c r="I14" s="190">
        <v>73867224.670000002</v>
      </c>
      <c r="J14" s="190">
        <v>5558083.9699999997</v>
      </c>
      <c r="K14" s="190">
        <v>3755394.29</v>
      </c>
      <c r="L14" s="190">
        <v>1977960.73</v>
      </c>
      <c r="M14" s="190">
        <v>6374373.0099999998</v>
      </c>
      <c r="N14" s="190">
        <v>5876433.9199999999</v>
      </c>
      <c r="O14" s="190">
        <v>4730197.6399999997</v>
      </c>
      <c r="P14" s="190">
        <v>1522955.77</v>
      </c>
      <c r="Q14" s="190">
        <v>8084118.1200000001</v>
      </c>
      <c r="R14" s="190">
        <v>5858555.4000000004</v>
      </c>
      <c r="S14" s="190">
        <v>3772845.07</v>
      </c>
      <c r="T14" s="190">
        <v>1993749.5</v>
      </c>
      <c r="U14" s="190">
        <v>8996883.6500000004</v>
      </c>
      <c r="V14" s="190">
        <v>6354691.4299999997</v>
      </c>
      <c r="W14" s="190">
        <v>3202064.88</v>
      </c>
      <c r="X14" s="190">
        <v>186760.31</v>
      </c>
      <c r="Y14" s="190">
        <v>1586580.79</v>
      </c>
      <c r="Z14" s="190">
        <v>1252824.55</v>
      </c>
      <c r="AA14" s="190">
        <v>537005.15</v>
      </c>
      <c r="AB14" s="190">
        <v>-184433.23</v>
      </c>
      <c r="AC14" s="190">
        <v>1413437.28</v>
      </c>
      <c r="AD14" s="190">
        <v>296125.76</v>
      </c>
      <c r="AE14" s="190">
        <v>133281.18</v>
      </c>
      <c r="AF14" s="190">
        <v>-741821.33</v>
      </c>
      <c r="AG14" s="190">
        <v>1674132.64</v>
      </c>
      <c r="AH14" s="190">
        <v>1368964.67</v>
      </c>
      <c r="AI14" s="190">
        <v>-50258.03</v>
      </c>
      <c r="AJ14" s="190">
        <v>-366046.36</v>
      </c>
      <c r="AK14" s="190">
        <v>-998552.2</v>
      </c>
      <c r="AL14" s="190">
        <v>-476540.05</v>
      </c>
      <c r="AM14" s="190">
        <v>-379863.71</v>
      </c>
      <c r="AN14" s="190">
        <v>-550976.51</v>
      </c>
      <c r="AO14" s="190">
        <v>4646892.58</v>
      </c>
      <c r="AP14" s="190">
        <v>-8814265.8200000003</v>
      </c>
      <c r="AQ14" s="190">
        <v>-5503336.3899999997</v>
      </c>
      <c r="AR14" s="190">
        <v>0</v>
      </c>
    </row>
    <row r="15" spans="1:4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row>
    <row r="16" spans="1:44" x14ac:dyDescent="0.25">
      <c r="A16" s="190" t="s">
        <v>203</v>
      </c>
      <c r="B16" s="190">
        <v>3261095291.5300002</v>
      </c>
      <c r="C16" s="190">
        <v>2092006428.28</v>
      </c>
      <c r="D16" s="190">
        <v>735109271.69000006</v>
      </c>
      <c r="E16" s="190">
        <v>3383193685.6700001</v>
      </c>
      <c r="F16" s="190">
        <v>2321492452.1199999</v>
      </c>
      <c r="G16" s="190">
        <v>1478497889.02</v>
      </c>
      <c r="H16" s="190">
        <v>430934817.36000001</v>
      </c>
      <c r="I16" s="190">
        <v>2877176501.46</v>
      </c>
      <c r="J16" s="190">
        <v>1597471720.3599999</v>
      </c>
      <c r="K16" s="190">
        <v>989263560.90999997</v>
      </c>
      <c r="L16" s="190">
        <v>400989448.97000003</v>
      </c>
      <c r="M16" s="190">
        <v>2186633507.3600001</v>
      </c>
      <c r="N16" s="190">
        <v>1618567497.6900001</v>
      </c>
      <c r="O16" s="190">
        <v>1011895440.8</v>
      </c>
      <c r="P16" s="190">
        <v>394156061.85000002</v>
      </c>
      <c r="Q16" s="190">
        <v>2309172172.5</v>
      </c>
      <c r="R16" s="190">
        <v>1690568784.5599999</v>
      </c>
      <c r="S16" s="190">
        <v>1038095283.71</v>
      </c>
      <c r="T16" s="190">
        <v>384431040.49000001</v>
      </c>
      <c r="U16" s="190">
        <v>1980711595.01</v>
      </c>
      <c r="V16" s="190">
        <v>1443712307.71</v>
      </c>
      <c r="W16" s="190">
        <v>879565853.08000004</v>
      </c>
      <c r="X16" s="190">
        <v>311986877.32999998</v>
      </c>
      <c r="Y16" s="190">
        <v>1666076681.9000001</v>
      </c>
      <c r="Z16" s="190">
        <v>1205501278.3</v>
      </c>
      <c r="AA16" s="190">
        <v>650855511.69000006</v>
      </c>
      <c r="AB16" s="190">
        <v>263194349.59</v>
      </c>
      <c r="AC16" s="190">
        <v>1086266001.1300001</v>
      </c>
      <c r="AD16" s="190">
        <v>815836013.46000004</v>
      </c>
      <c r="AE16" s="190">
        <v>534879322.95999998</v>
      </c>
      <c r="AF16" s="190">
        <v>222031607.15000001</v>
      </c>
      <c r="AG16" s="190">
        <v>838872722.96000004</v>
      </c>
      <c r="AH16" s="190">
        <v>744572900.92999995</v>
      </c>
      <c r="AI16" s="190">
        <v>486481127.5</v>
      </c>
      <c r="AJ16" s="190">
        <v>200336118.66999999</v>
      </c>
      <c r="AK16" s="190">
        <v>700523707.87</v>
      </c>
      <c r="AL16" s="190">
        <v>629397643.02999997</v>
      </c>
      <c r="AM16" s="190">
        <v>389679078.87</v>
      </c>
      <c r="AN16" s="190">
        <v>149074847.36000001</v>
      </c>
      <c r="AO16" s="190">
        <v>591525753.08000004</v>
      </c>
      <c r="AP16" s="190">
        <v>570454238.77999997</v>
      </c>
      <c r="AQ16" s="190">
        <v>284667910.47000003</v>
      </c>
      <c r="AR16" s="190">
        <v>0</v>
      </c>
    </row>
    <row r="17" spans="1:44" x14ac:dyDescent="0.25">
      <c r="A17" s="190" t="s">
        <v>204</v>
      </c>
      <c r="B17" s="190">
        <v>18344778.440000001</v>
      </c>
      <c r="C17" s="190">
        <v>11064153.02</v>
      </c>
      <c r="D17" s="190">
        <v>5219917.87</v>
      </c>
      <c r="E17" s="190">
        <v>27960824.829999998</v>
      </c>
      <c r="F17" s="190">
        <v>49035493.32</v>
      </c>
      <c r="G17" s="190">
        <v>39751969</v>
      </c>
      <c r="H17" s="190">
        <v>32101493.93</v>
      </c>
      <c r="I17" s="190">
        <v>206369521.81</v>
      </c>
      <c r="J17" s="190">
        <v>25384244.77</v>
      </c>
      <c r="K17" s="190">
        <v>14373197.66</v>
      </c>
      <c r="L17" s="190">
        <v>5070770.18</v>
      </c>
      <c r="M17" s="190">
        <v>36907765.979999997</v>
      </c>
      <c r="N17" s="190">
        <v>14817301.57</v>
      </c>
      <c r="O17" s="190">
        <v>9767658.3800000008</v>
      </c>
      <c r="P17" s="190">
        <v>2393194.04</v>
      </c>
      <c r="Q17" s="190">
        <v>26773095.559999999</v>
      </c>
      <c r="R17" s="190">
        <v>14811831.630000001</v>
      </c>
      <c r="S17" s="190">
        <v>7813958.1900000004</v>
      </c>
      <c r="T17" s="190">
        <v>3359840.94</v>
      </c>
      <c r="U17" s="190">
        <v>47575937.960000001</v>
      </c>
      <c r="V17" s="190">
        <v>16112399.359999999</v>
      </c>
      <c r="W17" s="190">
        <v>3012636.17</v>
      </c>
      <c r="X17" s="190">
        <v>7018902.3499999996</v>
      </c>
      <c r="Y17" s="190">
        <v>25913275.109999999</v>
      </c>
      <c r="Z17" s="190">
        <v>31868929.620000001</v>
      </c>
      <c r="AA17" s="190">
        <v>2131122.4300000002</v>
      </c>
      <c r="AB17" s="190">
        <v>1054321.24</v>
      </c>
      <c r="AC17" s="190">
        <v>5878753.4699999997</v>
      </c>
      <c r="AD17" s="190">
        <v>2309695.67</v>
      </c>
      <c r="AE17" s="190">
        <v>1501142.06</v>
      </c>
      <c r="AF17" s="190">
        <v>880065.49</v>
      </c>
      <c r="AG17" s="190">
        <v>12562949.109999999</v>
      </c>
      <c r="AH17" s="190">
        <v>2637485.5099999998</v>
      </c>
      <c r="AI17" s="190">
        <v>1612523.17</v>
      </c>
      <c r="AJ17" s="190">
        <v>567930.07999999996</v>
      </c>
      <c r="AK17" s="190">
        <v>79166573.569999993</v>
      </c>
      <c r="AL17" s="190">
        <v>78549110.480000004</v>
      </c>
      <c r="AM17" s="190">
        <v>76669020.439999998</v>
      </c>
      <c r="AN17" s="190">
        <v>788725.11</v>
      </c>
      <c r="AO17" s="190">
        <v>4480472.8600000003</v>
      </c>
      <c r="AP17" s="190">
        <v>4387590.3499999996</v>
      </c>
      <c r="AQ17" s="190">
        <v>4901531.18</v>
      </c>
      <c r="AR17" s="190">
        <v>0</v>
      </c>
    </row>
    <row r="18" spans="1:44" x14ac:dyDescent="0.25">
      <c r="A18" s="190" t="s">
        <v>205</v>
      </c>
      <c r="B18" s="190">
        <v>7051183.1799999997</v>
      </c>
      <c r="C18" s="190">
        <v>6321016.4900000002</v>
      </c>
      <c r="D18" s="190">
        <v>2400664.04</v>
      </c>
      <c r="E18" s="190">
        <v>16545311.18</v>
      </c>
      <c r="F18" s="190">
        <v>14005160.949999999</v>
      </c>
      <c r="G18" s="190">
        <v>2918264.37</v>
      </c>
      <c r="H18" s="190">
        <v>1471677.84</v>
      </c>
      <c r="I18" s="190">
        <v>48439815.359999999</v>
      </c>
      <c r="J18" s="190">
        <v>10677641.77</v>
      </c>
      <c r="K18" s="190">
        <v>8893661.2799999993</v>
      </c>
      <c r="L18" s="190">
        <v>3997089.6</v>
      </c>
      <c r="M18" s="190">
        <v>28416777.829999998</v>
      </c>
      <c r="N18" s="190">
        <v>28199041.329999998</v>
      </c>
      <c r="O18" s="190">
        <v>22849347.460000001</v>
      </c>
      <c r="P18" s="190">
        <v>2712890.48</v>
      </c>
      <c r="Q18" s="190">
        <v>12091986.140000001</v>
      </c>
      <c r="R18" s="190">
        <v>13221670.699999999</v>
      </c>
      <c r="S18" s="190">
        <v>8490919.4100000001</v>
      </c>
      <c r="T18" s="190">
        <v>3136891.86</v>
      </c>
      <c r="U18" s="190">
        <v>26828037.219999999</v>
      </c>
      <c r="V18" s="190">
        <v>12594513.710000001</v>
      </c>
      <c r="W18" s="190">
        <v>7349406.9100000001</v>
      </c>
      <c r="X18" s="190">
        <v>2788461.14</v>
      </c>
      <c r="Y18" s="190">
        <v>21824378.440000001</v>
      </c>
      <c r="Z18" s="190">
        <v>17995153.140000001</v>
      </c>
      <c r="AA18" s="190">
        <v>6118757.9900000002</v>
      </c>
      <c r="AB18" s="190">
        <v>2463536.91</v>
      </c>
      <c r="AC18" s="190">
        <v>13566406.220000001</v>
      </c>
      <c r="AD18" s="190">
        <v>9236560.0199999996</v>
      </c>
      <c r="AE18" s="190">
        <v>5758820.2800000003</v>
      </c>
      <c r="AF18" s="190">
        <v>2156441.2400000002</v>
      </c>
      <c r="AG18" s="190">
        <v>9986137.1799999997</v>
      </c>
      <c r="AH18" s="190">
        <v>7106267.5800000001</v>
      </c>
      <c r="AI18" s="190">
        <v>4245861.1500000004</v>
      </c>
      <c r="AJ18" s="190">
        <v>2085040.73</v>
      </c>
      <c r="AK18" s="190">
        <v>89880690.599999994</v>
      </c>
      <c r="AL18" s="190">
        <v>85307575.719999999</v>
      </c>
      <c r="AM18" s="190">
        <v>12963230.949999999</v>
      </c>
      <c r="AN18" s="190">
        <v>1484947.78</v>
      </c>
      <c r="AO18" s="190">
        <v>24123723.739999998</v>
      </c>
      <c r="AP18" s="190">
        <v>10068669.09</v>
      </c>
      <c r="AQ18" s="190">
        <v>8024593.5</v>
      </c>
      <c r="AR18" s="190">
        <v>0</v>
      </c>
    </row>
    <row r="19" spans="1:44" x14ac:dyDescent="0.25">
      <c r="A19" s="190" t="s">
        <v>206</v>
      </c>
      <c r="B19" s="190">
        <v>0</v>
      </c>
      <c r="C19" s="190">
        <v>581954.29</v>
      </c>
      <c r="D19" s="190">
        <v>0</v>
      </c>
      <c r="E19" s="190">
        <v>0</v>
      </c>
      <c r="F19" s="190">
        <v>8337343.4500000002</v>
      </c>
      <c r="G19" s="190">
        <v>607907.92000000004</v>
      </c>
      <c r="H19" s="190">
        <v>70744.25</v>
      </c>
      <c r="I19" s="190">
        <v>12160255.25</v>
      </c>
      <c r="J19" s="190">
        <v>2596089.27</v>
      </c>
      <c r="K19" s="190">
        <v>913488.87</v>
      </c>
      <c r="L19" s="190">
        <v>430479.18</v>
      </c>
      <c r="M19" s="190">
        <v>2141251.54</v>
      </c>
      <c r="N19" s="190">
        <v>1348520.56</v>
      </c>
      <c r="O19" s="190">
        <v>590343.29</v>
      </c>
      <c r="P19" s="190">
        <v>84932.06</v>
      </c>
      <c r="Q19" s="190">
        <v>1284969.22</v>
      </c>
      <c r="R19" s="190">
        <v>721188.45</v>
      </c>
      <c r="S19" s="190">
        <v>413878.46</v>
      </c>
      <c r="T19" s="190">
        <v>142982.66</v>
      </c>
      <c r="U19" s="190">
        <v>1888363.06</v>
      </c>
      <c r="V19" s="190">
        <v>1397581.37</v>
      </c>
      <c r="W19" s="190">
        <v>1118723.19</v>
      </c>
      <c r="X19" s="190">
        <v>241526.44</v>
      </c>
      <c r="Y19" s="190">
        <v>7801894.7300000004</v>
      </c>
      <c r="Z19" s="190">
        <v>7256748.1200000001</v>
      </c>
      <c r="AA19" s="190">
        <v>259981.75</v>
      </c>
      <c r="AB19" s="190">
        <v>88835.16</v>
      </c>
      <c r="AC19" s="190">
        <v>1246450.07</v>
      </c>
      <c r="AD19" s="190">
        <v>788890.63</v>
      </c>
      <c r="AE19" s="190">
        <v>615014.31999999995</v>
      </c>
      <c r="AF19" s="190">
        <v>106823.7</v>
      </c>
      <c r="AG19" s="190">
        <v>884663.18</v>
      </c>
      <c r="AH19" s="190">
        <v>575844.98</v>
      </c>
      <c r="AI19" s="190">
        <v>465256.05</v>
      </c>
      <c r="AJ19" s="190">
        <v>302191.46999999997</v>
      </c>
      <c r="AK19" s="190">
        <v>2130598.64</v>
      </c>
      <c r="AL19" s="190">
        <v>750079.95</v>
      </c>
      <c r="AM19" s="190">
        <v>314950.8</v>
      </c>
      <c r="AN19" s="190">
        <v>12402.81</v>
      </c>
      <c r="AO19" s="190">
        <v>940504.43</v>
      </c>
      <c r="AP19" s="190">
        <v>1293615.49</v>
      </c>
      <c r="AQ19" s="190">
        <v>685641.2</v>
      </c>
      <c r="AR19" s="190">
        <v>0</v>
      </c>
    </row>
    <row r="20" spans="1:44" x14ac:dyDescent="0.25">
      <c r="A20" s="190" t="s">
        <v>207</v>
      </c>
      <c r="B20" s="190">
        <v>3272388886.79</v>
      </c>
      <c r="C20" s="190">
        <v>2096749564.8099999</v>
      </c>
      <c r="D20" s="190">
        <v>737928525.51999998</v>
      </c>
      <c r="E20" s="190">
        <v>3394609199.3200002</v>
      </c>
      <c r="F20" s="190">
        <v>2356522784.4899998</v>
      </c>
      <c r="G20" s="190">
        <v>1515331593.6500001</v>
      </c>
      <c r="H20" s="190">
        <v>461564633.44999999</v>
      </c>
      <c r="I20" s="190">
        <v>3035106207.9099998</v>
      </c>
      <c r="J20" s="190">
        <v>1612178323.3599999</v>
      </c>
      <c r="K20" s="190">
        <v>994743097.28999996</v>
      </c>
      <c r="L20" s="190">
        <v>402063129.55000001</v>
      </c>
      <c r="M20" s="190">
        <v>2195124495.5100002</v>
      </c>
      <c r="N20" s="190">
        <v>1605185757.9300001</v>
      </c>
      <c r="O20" s="190">
        <v>998813751.72000003</v>
      </c>
      <c r="P20" s="190">
        <v>393836365.41000003</v>
      </c>
      <c r="Q20" s="190">
        <v>2323853281.9200001</v>
      </c>
      <c r="R20" s="190">
        <v>1692158945.49</v>
      </c>
      <c r="S20" s="190">
        <v>1037418322.49</v>
      </c>
      <c r="T20" s="190">
        <v>384653989.56999999</v>
      </c>
      <c r="U20" s="190">
        <v>2001459495.75</v>
      </c>
      <c r="V20" s="190">
        <v>1447230193.3599999</v>
      </c>
      <c r="W20" s="190">
        <v>875229082.34000003</v>
      </c>
      <c r="X20" s="190">
        <v>316217318.54000002</v>
      </c>
      <c r="Y20" s="190">
        <v>1670165578.5699999</v>
      </c>
      <c r="Z20" s="190">
        <v>1219375054.78</v>
      </c>
      <c r="AA20" s="190">
        <v>646867876.13</v>
      </c>
      <c r="AB20" s="190">
        <v>261785133.91999999</v>
      </c>
      <c r="AC20" s="190">
        <v>1078578348.3800001</v>
      </c>
      <c r="AD20" s="190">
        <v>808909149.11000001</v>
      </c>
      <c r="AE20" s="190">
        <v>530621644.74000001</v>
      </c>
      <c r="AF20" s="190">
        <v>220755231.40000001</v>
      </c>
      <c r="AG20" s="190">
        <v>841449534.88999999</v>
      </c>
      <c r="AH20" s="190">
        <v>740104118.86000001</v>
      </c>
      <c r="AI20" s="190">
        <v>483847789.51999998</v>
      </c>
      <c r="AJ20" s="190">
        <v>198819008.02000001</v>
      </c>
      <c r="AK20" s="190">
        <v>689809590.84000003</v>
      </c>
      <c r="AL20" s="190">
        <v>622639177.78999996</v>
      </c>
      <c r="AM20" s="190">
        <v>453384868.36000001</v>
      </c>
      <c r="AN20" s="190">
        <v>148378624.69</v>
      </c>
      <c r="AO20" s="190">
        <v>571882502.20000005</v>
      </c>
      <c r="AP20" s="190">
        <v>564773160.03999996</v>
      </c>
      <c r="AQ20" s="190">
        <v>281544848.14999998</v>
      </c>
      <c r="AR20" s="190">
        <v>0</v>
      </c>
    </row>
    <row r="21" spans="1:44" x14ac:dyDescent="0.25">
      <c r="A21" s="190" t="s">
        <v>208</v>
      </c>
      <c r="B21" s="190">
        <v>384623595.17000002</v>
      </c>
      <c r="C21" s="190">
        <v>243826913.59999999</v>
      </c>
      <c r="D21" s="190">
        <v>96174212.359999999</v>
      </c>
      <c r="E21" s="190">
        <v>398534881.86000001</v>
      </c>
      <c r="F21" s="190">
        <v>291411152.45999998</v>
      </c>
      <c r="G21" s="190">
        <v>197094602.34999999</v>
      </c>
      <c r="H21" s="190">
        <v>75248835.909999996</v>
      </c>
      <c r="I21" s="190">
        <v>417175175.62</v>
      </c>
      <c r="J21" s="190">
        <v>236009057.22999999</v>
      </c>
      <c r="K21" s="190">
        <v>140601912.28</v>
      </c>
      <c r="L21" s="190">
        <v>59616688.159999996</v>
      </c>
      <c r="M21" s="190">
        <v>324213223.61000001</v>
      </c>
      <c r="N21" s="190">
        <v>237493346.84999999</v>
      </c>
      <c r="O21" s="190">
        <v>149258972.36000001</v>
      </c>
      <c r="P21" s="190">
        <v>61143404.229999997</v>
      </c>
      <c r="Q21" s="190">
        <v>356671012.99000001</v>
      </c>
      <c r="R21" s="190">
        <v>260932709.28999999</v>
      </c>
      <c r="S21" s="190">
        <v>157230475.5</v>
      </c>
      <c r="T21" s="190">
        <v>58868907.850000001</v>
      </c>
      <c r="U21" s="190">
        <v>310427362.18000001</v>
      </c>
      <c r="V21" s="190">
        <v>236357559.84</v>
      </c>
      <c r="W21" s="190">
        <v>144139153.53999999</v>
      </c>
      <c r="X21" s="190">
        <v>54154778.520000003</v>
      </c>
      <c r="Y21" s="190">
        <v>269073715.31999999</v>
      </c>
      <c r="Z21" s="190">
        <v>202012329.58000001</v>
      </c>
      <c r="AA21" s="190">
        <v>113463280.55</v>
      </c>
      <c r="AB21" s="190">
        <v>45543182.420000002</v>
      </c>
      <c r="AC21" s="190">
        <v>168444630.18000001</v>
      </c>
      <c r="AD21" s="190">
        <v>125904933.8</v>
      </c>
      <c r="AE21" s="190">
        <v>88892196.390000001</v>
      </c>
      <c r="AF21" s="190">
        <v>37998415.850000001</v>
      </c>
      <c r="AG21" s="190">
        <v>137416490.31</v>
      </c>
      <c r="AH21" s="190">
        <v>132421964.09999999</v>
      </c>
      <c r="AI21" s="190">
        <v>85930400.920000002</v>
      </c>
      <c r="AJ21" s="190">
        <v>33359198.859999999</v>
      </c>
      <c r="AK21" s="190">
        <v>117841598.95999999</v>
      </c>
      <c r="AL21" s="190">
        <v>104331202.44</v>
      </c>
      <c r="AM21" s="190">
        <v>81507639.430000007</v>
      </c>
      <c r="AN21" s="190">
        <v>20969276.899999999</v>
      </c>
      <c r="AO21" s="190">
        <v>135378762.28</v>
      </c>
      <c r="AP21" s="190">
        <v>178843321.78</v>
      </c>
      <c r="AQ21" s="190">
        <v>83957852.799999997</v>
      </c>
      <c r="AR21" s="190">
        <v>0</v>
      </c>
    </row>
    <row r="22" spans="1:44" x14ac:dyDescent="0.25">
      <c r="A22" s="190" t="s">
        <v>209</v>
      </c>
      <c r="B22" s="190">
        <v>2887765291.6199999</v>
      </c>
      <c r="C22" s="190">
        <v>1852922651.21</v>
      </c>
      <c r="D22" s="190">
        <v>641754313.15999997</v>
      </c>
      <c r="E22" s="190">
        <v>2996074317.46</v>
      </c>
      <c r="F22" s="190">
        <v>2065111632.03</v>
      </c>
      <c r="G22" s="190">
        <v>1318236991.3</v>
      </c>
      <c r="H22" s="190">
        <v>386315797.54000002</v>
      </c>
      <c r="I22" s="190">
        <v>2617931032.29</v>
      </c>
      <c r="J22" s="190">
        <v>1376169266.1300001</v>
      </c>
      <c r="K22" s="190">
        <v>854141185.00999999</v>
      </c>
      <c r="L22" s="190">
        <v>342446441.38999999</v>
      </c>
      <c r="M22" s="190">
        <v>1870911271.9000001</v>
      </c>
      <c r="N22" s="190">
        <v>1367692411.0799999</v>
      </c>
      <c r="O22" s="190">
        <v>849554779.36000001</v>
      </c>
      <c r="P22" s="190">
        <v>332692961.18000001</v>
      </c>
      <c r="Q22" s="190">
        <v>1967182268.9300001</v>
      </c>
      <c r="R22" s="190">
        <v>1431226236.2</v>
      </c>
      <c r="S22" s="190">
        <v>880187846.99000001</v>
      </c>
      <c r="T22" s="190">
        <v>325785081.72000003</v>
      </c>
      <c r="U22" s="190">
        <v>1691032133.5699999</v>
      </c>
      <c r="V22" s="190">
        <v>1210872633.52</v>
      </c>
      <c r="W22" s="190">
        <v>731089928.79999995</v>
      </c>
      <c r="X22" s="190">
        <v>262062540.02000001</v>
      </c>
      <c r="Y22" s="190">
        <v>1401091863.25</v>
      </c>
      <c r="Z22" s="190">
        <v>1017362725.2</v>
      </c>
      <c r="AA22" s="190">
        <v>533404595.57999998</v>
      </c>
      <c r="AB22" s="190">
        <v>216241951.5</v>
      </c>
      <c r="AC22" s="190">
        <v>910133718.20000005</v>
      </c>
      <c r="AD22" s="190">
        <v>683004215.30999994</v>
      </c>
      <c r="AE22" s="190">
        <v>441729448.35000002</v>
      </c>
      <c r="AF22" s="190">
        <v>182756815.55000001</v>
      </c>
      <c r="AG22" s="190">
        <v>704033044.58000004</v>
      </c>
      <c r="AH22" s="190">
        <v>607682154.75999999</v>
      </c>
      <c r="AI22" s="190">
        <v>397917388.60000002</v>
      </c>
      <c r="AJ22" s="190">
        <v>165459809.16</v>
      </c>
      <c r="AK22" s="190">
        <v>571967991.88</v>
      </c>
      <c r="AL22" s="190">
        <v>518307975.35000002</v>
      </c>
      <c r="AM22" s="190">
        <v>371877228.93000001</v>
      </c>
      <c r="AN22" s="190">
        <v>127409347.79000001</v>
      </c>
      <c r="AO22" s="190">
        <v>436503739.92000002</v>
      </c>
      <c r="AP22" s="190">
        <v>385929838.25999999</v>
      </c>
      <c r="AQ22" s="190">
        <v>197586995.34999999</v>
      </c>
      <c r="AR22" s="190">
        <v>0</v>
      </c>
    </row>
    <row r="23" spans="1:44" x14ac:dyDescent="0.25">
      <c r="A23" s="190" t="s">
        <v>210</v>
      </c>
      <c r="B23" s="190">
        <v>2790023471.1900001</v>
      </c>
      <c r="C23" s="190">
        <v>1782538245.8299999</v>
      </c>
      <c r="D23" s="190">
        <v>612863688.50999999</v>
      </c>
      <c r="E23" s="190">
        <v>2839854715.5799999</v>
      </c>
      <c r="F23" s="190">
        <v>1967688603.96</v>
      </c>
      <c r="G23" s="190">
        <v>1256454276.03</v>
      </c>
      <c r="H23" s="190">
        <v>359269597.44999999</v>
      </c>
      <c r="I23" s="190">
        <v>2184763496.1599998</v>
      </c>
      <c r="J23" s="190">
        <v>1283025344.3599999</v>
      </c>
      <c r="K23" s="190">
        <v>802254853.95000005</v>
      </c>
      <c r="L23" s="190">
        <v>324128244.95999998</v>
      </c>
      <c r="M23" s="190">
        <v>1743304838.1300001</v>
      </c>
      <c r="N23" s="190">
        <v>1272975023.99</v>
      </c>
      <c r="O23" s="190">
        <v>783397767.14999998</v>
      </c>
      <c r="P23" s="190">
        <v>302143815.20999998</v>
      </c>
      <c r="Q23" s="190">
        <v>1832778107.4400001</v>
      </c>
      <c r="R23" s="190">
        <v>1318156418.24</v>
      </c>
      <c r="S23" s="190">
        <v>809741364.70000005</v>
      </c>
      <c r="T23" s="190">
        <v>297145623.60000002</v>
      </c>
      <c r="U23" s="190">
        <v>1541739427.49</v>
      </c>
      <c r="V23" s="190">
        <v>1100885336.97</v>
      </c>
      <c r="W23" s="190">
        <v>662214983.09000003</v>
      </c>
      <c r="X23" s="190">
        <v>242563909.12</v>
      </c>
      <c r="Y23" s="190">
        <v>1261572758</v>
      </c>
      <c r="Z23" s="190">
        <v>910301822.16999996</v>
      </c>
      <c r="AA23" s="190">
        <v>487732300.27999997</v>
      </c>
      <c r="AB23" s="190">
        <v>196406235.63999999</v>
      </c>
      <c r="AC23" s="190">
        <v>824262831.82000005</v>
      </c>
      <c r="AD23" s="190">
        <v>620770392.75999999</v>
      </c>
      <c r="AE23" s="190">
        <v>404997378.89999998</v>
      </c>
      <c r="AF23" s="190">
        <v>169449980.13999999</v>
      </c>
      <c r="AG23" s="190">
        <v>639152605.99000001</v>
      </c>
      <c r="AH23" s="190">
        <v>560698127.03999996</v>
      </c>
      <c r="AI23" s="190">
        <v>369548413.80000001</v>
      </c>
      <c r="AJ23" s="190">
        <v>153974162.69999999</v>
      </c>
      <c r="AK23" s="190">
        <v>522343677.92000002</v>
      </c>
      <c r="AL23" s="190">
        <v>481037368.31999999</v>
      </c>
      <c r="AM23" s="190">
        <v>350814597.07999998</v>
      </c>
      <c r="AN23" s="190">
        <v>119091958.43000001</v>
      </c>
      <c r="AO23" s="190">
        <v>388461491.13999999</v>
      </c>
      <c r="AP23" s="190">
        <v>366000822.82999998</v>
      </c>
      <c r="AQ23" s="190">
        <v>196065882.27000001</v>
      </c>
      <c r="AR23" s="190">
        <v>0</v>
      </c>
    </row>
    <row r="24" spans="1:44" x14ac:dyDescent="0.25">
      <c r="A24" s="190" t="s">
        <v>211</v>
      </c>
      <c r="B24" s="190">
        <v>97741820.430000007</v>
      </c>
      <c r="C24" s="190">
        <v>70384405.379999995</v>
      </c>
      <c r="D24" s="190">
        <v>28890624.649999999</v>
      </c>
      <c r="E24" s="190">
        <v>156219601.88</v>
      </c>
      <c r="F24" s="190">
        <v>97423028.069999993</v>
      </c>
      <c r="G24" s="190">
        <v>61782715.270000003</v>
      </c>
      <c r="H24" s="190">
        <v>27046200.09</v>
      </c>
      <c r="I24" s="190">
        <v>433167536.13</v>
      </c>
      <c r="J24" s="190">
        <v>93143921.769999996</v>
      </c>
      <c r="K24" s="190">
        <v>51886331.060000002</v>
      </c>
      <c r="L24" s="190">
        <v>18318196.43</v>
      </c>
      <c r="M24" s="190">
        <v>127606433.77</v>
      </c>
      <c r="N24" s="190">
        <v>94717387.090000004</v>
      </c>
      <c r="O24" s="190">
        <v>66157012.210000001</v>
      </c>
      <c r="P24" s="190">
        <v>30549145.969999999</v>
      </c>
      <c r="Q24" s="190">
        <v>134404161.49000001</v>
      </c>
      <c r="R24" s="190">
        <v>113069817.95999999</v>
      </c>
      <c r="S24" s="190">
        <v>70446482.290000007</v>
      </c>
      <c r="T24" s="190">
        <v>28639458.120000001</v>
      </c>
      <c r="U24" s="190">
        <v>149292706.08000001</v>
      </c>
      <c r="V24" s="190">
        <v>109987296.55</v>
      </c>
      <c r="W24" s="190">
        <v>68874945.709999993</v>
      </c>
      <c r="X24" s="190">
        <v>19498630.899999999</v>
      </c>
      <c r="Y24" s="190">
        <v>139519105.25</v>
      </c>
      <c r="Z24" s="190">
        <v>107060903.03</v>
      </c>
      <c r="AA24" s="190">
        <v>45672295.299999997</v>
      </c>
      <c r="AB24" s="190">
        <v>19835715.859999999</v>
      </c>
      <c r="AC24" s="190">
        <v>85870886.379999995</v>
      </c>
      <c r="AD24" s="190">
        <v>62233822.549999997</v>
      </c>
      <c r="AE24" s="190">
        <v>36732069.450000003</v>
      </c>
      <c r="AF24" s="190">
        <v>13306835.41</v>
      </c>
      <c r="AG24" s="190">
        <v>64880438.590000004</v>
      </c>
      <c r="AH24" s="190">
        <v>46984027.719999999</v>
      </c>
      <c r="AI24" s="190">
        <v>28368974.800000001</v>
      </c>
      <c r="AJ24" s="190">
        <v>11485646.460000001</v>
      </c>
      <c r="AK24" s="190">
        <v>49624313.960000001</v>
      </c>
      <c r="AL24" s="190">
        <v>37270607.030000001</v>
      </c>
      <c r="AM24" s="190">
        <v>21062631.850000001</v>
      </c>
      <c r="AN24" s="190">
        <v>8317389.3600000003</v>
      </c>
      <c r="AO24" s="190">
        <v>48042248.780000001</v>
      </c>
      <c r="AP24" s="190">
        <v>19929015.43</v>
      </c>
      <c r="AQ24" s="190">
        <v>1521113.08</v>
      </c>
      <c r="AR24" s="190">
        <v>0</v>
      </c>
    </row>
    <row r="25" spans="1:44" x14ac:dyDescent="0.25">
      <c r="A25" s="190" t="s">
        <v>212</v>
      </c>
    </row>
    <row r="26" spans="1:44" x14ac:dyDescent="0.25">
      <c r="A26" s="190" t="s">
        <v>213</v>
      </c>
      <c r="B26" s="190">
        <v>1.3</v>
      </c>
      <c r="C26" s="190">
        <v>0.83</v>
      </c>
      <c r="D26" s="190">
        <v>0.28000000000000003</v>
      </c>
      <c r="E26" s="190">
        <v>1.34</v>
      </c>
      <c r="F26" s="190">
        <v>0.93</v>
      </c>
      <c r="G26" s="190">
        <v>0.6</v>
      </c>
      <c r="H26" s="190">
        <v>0.18</v>
      </c>
      <c r="I26" s="190">
        <v>1.31</v>
      </c>
      <c r="J26" s="190">
        <v>0.97</v>
      </c>
      <c r="K26" s="190">
        <v>0.61</v>
      </c>
      <c r="L26" s="190">
        <v>0.25</v>
      </c>
      <c r="M26" s="190">
        <v>1.33</v>
      </c>
      <c r="N26" s="190">
        <v>0.97</v>
      </c>
      <c r="O26" s="190">
        <v>0.6</v>
      </c>
      <c r="P26" s="190">
        <v>0.3</v>
      </c>
      <c r="Q26" s="190">
        <v>1.82</v>
      </c>
      <c r="R26" s="190">
        <v>1.31</v>
      </c>
      <c r="S26" s="190">
        <v>0.8</v>
      </c>
      <c r="T26" s="190">
        <v>0.28999999999999998</v>
      </c>
      <c r="U26" s="190">
        <v>1.53</v>
      </c>
      <c r="V26" s="190">
        <v>1.1000000000000001</v>
      </c>
      <c r="W26" s="190">
        <v>0.66</v>
      </c>
      <c r="X26" s="190">
        <v>0.24</v>
      </c>
      <c r="Y26" s="190">
        <v>1.26</v>
      </c>
      <c r="Z26" s="190">
        <v>0.91</v>
      </c>
      <c r="AA26" s="190">
        <v>0.49</v>
      </c>
      <c r="AB26" s="190">
        <v>0.2</v>
      </c>
      <c r="AC26" s="190">
        <v>0.82</v>
      </c>
      <c r="AD26" s="190">
        <v>0.62</v>
      </c>
      <c r="AE26" s="190">
        <v>0.4</v>
      </c>
      <c r="AF26" s="190">
        <v>0.16750000000000001</v>
      </c>
      <c r="AG26" s="190">
        <v>0.64</v>
      </c>
      <c r="AH26" s="190">
        <v>0.56000000000000005</v>
      </c>
      <c r="AI26" s="190">
        <v>0.37</v>
      </c>
      <c r="AJ26" s="190">
        <v>0.15</v>
      </c>
      <c r="AK26" s="190">
        <v>0.57999999999999996</v>
      </c>
      <c r="AL26" s="190">
        <v>0.53</v>
      </c>
      <c r="AM26" s="190">
        <v>0.39</v>
      </c>
      <c r="AN26" s="190">
        <v>0.13</v>
      </c>
      <c r="AO26" s="190">
        <v>0.43</v>
      </c>
      <c r="AP26" s="190">
        <v>0.41</v>
      </c>
      <c r="AQ26" s="190">
        <v>0.22</v>
      </c>
      <c r="AR26" s="190">
        <v>0</v>
      </c>
    </row>
    <row r="27" spans="1:44" x14ac:dyDescent="0.25">
      <c r="A27" s="190" t="s">
        <v>214</v>
      </c>
      <c r="B27" s="190">
        <v>1.3</v>
      </c>
      <c r="C27" s="190">
        <v>0.83</v>
      </c>
      <c r="D27" s="190">
        <v>0.28000000000000003</v>
      </c>
      <c r="E27" s="190">
        <v>1.34</v>
      </c>
      <c r="F27" s="190">
        <v>0.93</v>
      </c>
      <c r="G27" s="190">
        <v>0.6</v>
      </c>
      <c r="H27" s="190">
        <v>0.18</v>
      </c>
      <c r="I27" s="190">
        <v>1.31</v>
      </c>
      <c r="J27" s="190">
        <v>0.97</v>
      </c>
      <c r="K27" s="190">
        <v>0.61</v>
      </c>
      <c r="L27" s="190">
        <v>0.25</v>
      </c>
      <c r="M27" s="190">
        <v>1.33</v>
      </c>
      <c r="N27" s="190">
        <v>0.97</v>
      </c>
      <c r="O27" s="190">
        <v>0.6</v>
      </c>
      <c r="P27" s="190">
        <v>0.3</v>
      </c>
      <c r="Q27" s="190">
        <v>1.82</v>
      </c>
      <c r="R27" s="190">
        <v>1.31</v>
      </c>
      <c r="S27" s="190">
        <v>0.8</v>
      </c>
      <c r="T27" s="190">
        <v>0.28999999999999998</v>
      </c>
      <c r="U27" s="190">
        <v>1.53</v>
      </c>
      <c r="V27" s="190">
        <v>1.1000000000000001</v>
      </c>
      <c r="W27" s="190">
        <v>0.66</v>
      </c>
      <c r="X27" s="190">
        <v>0.24</v>
      </c>
      <c r="Y27" s="190">
        <v>1.26</v>
      </c>
      <c r="Z27" s="190">
        <v>0.91</v>
      </c>
      <c r="AA27" s="190">
        <v>0.49</v>
      </c>
      <c r="AB27" s="190">
        <v>0.2</v>
      </c>
      <c r="AC27" s="190">
        <v>0.82</v>
      </c>
      <c r="AD27" s="190">
        <v>0.62</v>
      </c>
      <c r="AE27" s="190">
        <v>0.4</v>
      </c>
      <c r="AF27" s="190">
        <v>0.16750000000000001</v>
      </c>
      <c r="AG27" s="190">
        <v>0.64</v>
      </c>
      <c r="AH27" s="190">
        <v>0.56000000000000005</v>
      </c>
      <c r="AI27" s="190">
        <v>0.37</v>
      </c>
      <c r="AJ27" s="190">
        <v>0.15</v>
      </c>
      <c r="AK27" s="190">
        <v>0.57999999999999996</v>
      </c>
      <c r="AL27" s="190">
        <v>0.53</v>
      </c>
      <c r="AM27" s="190">
        <v>0.39</v>
      </c>
      <c r="AN27" s="190">
        <v>0.13</v>
      </c>
      <c r="AO27" s="190">
        <v>0.43</v>
      </c>
      <c r="AP27" s="190">
        <v>0.41</v>
      </c>
      <c r="AQ27" s="190">
        <v>0.22</v>
      </c>
      <c r="AR27" s="190">
        <v>0</v>
      </c>
    </row>
    <row r="28" spans="1:44" x14ac:dyDescent="0.25">
      <c r="A28" s="190" t="s">
        <v>215</v>
      </c>
      <c r="B28" s="190">
        <v>-132043141.7</v>
      </c>
      <c r="C28" s="190">
        <v>-104871174.27</v>
      </c>
      <c r="D28" s="190">
        <v>-68483825.799999997</v>
      </c>
      <c r="E28" s="190">
        <v>-49271357.090000004</v>
      </c>
      <c r="F28" s="190">
        <v>-48636052.399999999</v>
      </c>
      <c r="G28" s="190">
        <v>-37127319.329999998</v>
      </c>
      <c r="H28" s="190">
        <v>753145.15</v>
      </c>
      <c r="I28" s="190">
        <v>-11609784.609999999</v>
      </c>
      <c r="J28" s="190">
        <v>-6774262.7699999996</v>
      </c>
      <c r="K28" s="190">
        <v>-5048186.71</v>
      </c>
      <c r="L28" s="190">
        <v>-5993432.46</v>
      </c>
      <c r="M28" s="190">
        <v>9182737.1699999999</v>
      </c>
      <c r="N28" s="190">
        <v>-140331.35</v>
      </c>
      <c r="O28" s="190">
        <v>-2103566.87</v>
      </c>
      <c r="P28" s="190">
        <v>-1531440.83</v>
      </c>
      <c r="Q28" s="190">
        <v>-1727122.47</v>
      </c>
      <c r="R28" s="190">
        <v>253528.69</v>
      </c>
      <c r="S28" s="190">
        <v>-1283521.82</v>
      </c>
      <c r="T28" s="190">
        <v>695573.35</v>
      </c>
      <c r="U28" s="190">
        <v>337191.13</v>
      </c>
      <c r="V28" s="190">
        <v>-2497684.8199999998</v>
      </c>
      <c r="W28" s="190">
        <v>-1417637.6</v>
      </c>
      <c r="X28" s="190">
        <v>26749.79</v>
      </c>
      <c r="Y28" s="190">
        <v>-1027826.42</v>
      </c>
      <c r="Z28" s="190">
        <v>-1143058.99</v>
      </c>
      <c r="AA28" s="190">
        <v>-512827.36</v>
      </c>
      <c r="AB28" s="190">
        <v>-260050.55</v>
      </c>
      <c r="AC28" s="190">
        <v>-558699.13</v>
      </c>
      <c r="AD28" s="190">
        <v>-520921.59999999998</v>
      </c>
      <c r="AE28" s="190">
        <v>35168.6</v>
      </c>
      <c r="AF28" s="190">
        <v>-1612.29</v>
      </c>
      <c r="AG28" s="190">
        <v>2643464.11</v>
      </c>
      <c r="AH28" s="190">
        <v>2750000</v>
      </c>
      <c r="AI28" s="190">
        <v>2750000</v>
      </c>
      <c r="AJ28" s="190">
        <v>2750000</v>
      </c>
      <c r="AK28" s="190">
        <v>0</v>
      </c>
      <c r="AL28" s="190">
        <v>0</v>
      </c>
      <c r="AM28" s="190">
        <v>0</v>
      </c>
      <c r="AN28" s="190">
        <v>0</v>
      </c>
      <c r="AO28" s="190">
        <v>0</v>
      </c>
      <c r="AP28" s="190">
        <v>0</v>
      </c>
      <c r="AQ28" s="190">
        <v>0</v>
      </c>
      <c r="AR28" s="190">
        <v>0</v>
      </c>
    </row>
    <row r="29" spans="1:44" x14ac:dyDescent="0.25">
      <c r="A29" s="190" t="s">
        <v>216</v>
      </c>
      <c r="B29" s="190">
        <v>2755722149.9200001</v>
      </c>
      <c r="C29" s="190">
        <v>1748051476.9400001</v>
      </c>
      <c r="D29" s="190">
        <v>573270487.36000001</v>
      </c>
      <c r="E29" s="190">
        <v>2946802960.3699999</v>
      </c>
      <c r="F29" s="190">
        <v>2016475579.6300001</v>
      </c>
      <c r="G29" s="190">
        <v>1281109671.97</v>
      </c>
      <c r="H29" s="190">
        <v>387068942.69</v>
      </c>
      <c r="I29" s="190">
        <v>2606321247.6799998</v>
      </c>
      <c r="J29" s="190">
        <v>1369395003.3599999</v>
      </c>
      <c r="K29" s="190">
        <v>849092998.29999995</v>
      </c>
      <c r="L29" s="190">
        <v>336453008.93000001</v>
      </c>
      <c r="M29" s="190">
        <v>1880094009.0699999</v>
      </c>
      <c r="N29" s="190">
        <v>1367552079.73</v>
      </c>
      <c r="O29" s="190">
        <v>847451212.49000001</v>
      </c>
      <c r="P29" s="190">
        <v>331161520.35000002</v>
      </c>
      <c r="Q29" s="190">
        <v>1965455146.46</v>
      </c>
      <c r="R29" s="190">
        <v>1431479764.8900001</v>
      </c>
      <c r="S29" s="190">
        <v>878904325.16999996</v>
      </c>
      <c r="T29" s="190">
        <v>326480655.06999999</v>
      </c>
      <c r="U29" s="190">
        <v>1691369324.7</v>
      </c>
      <c r="V29" s="190">
        <v>1208374948.7</v>
      </c>
      <c r="W29" s="190">
        <v>729672291.20000005</v>
      </c>
      <c r="X29" s="190">
        <v>262089289.81</v>
      </c>
      <c r="Y29" s="190">
        <v>1400064036.8299999</v>
      </c>
      <c r="Z29" s="190">
        <v>1016219666.21</v>
      </c>
      <c r="AA29" s="190">
        <v>532891768.22000003</v>
      </c>
      <c r="AB29" s="190">
        <v>215981900.94999999</v>
      </c>
      <c r="AC29" s="190">
        <v>909575019.07000005</v>
      </c>
      <c r="AD29" s="190">
        <v>682483293.71000004</v>
      </c>
      <c r="AE29" s="190">
        <v>441764616.94999999</v>
      </c>
      <c r="AF29" s="190">
        <v>182755203.25999999</v>
      </c>
      <c r="AG29" s="190">
        <v>706676508.69000006</v>
      </c>
      <c r="AH29" s="190">
        <v>610432154.75999999</v>
      </c>
      <c r="AI29" s="190">
        <v>400667388.60000002</v>
      </c>
      <c r="AJ29" s="190">
        <v>168209809.16</v>
      </c>
      <c r="AK29" s="190">
        <v>571967991.88</v>
      </c>
      <c r="AL29" s="190">
        <v>518307975.35000002</v>
      </c>
      <c r="AM29" s="190">
        <v>0</v>
      </c>
      <c r="AN29" s="190">
        <v>127409347.79000001</v>
      </c>
      <c r="AO29" s="190">
        <v>0</v>
      </c>
      <c r="AP29" s="190">
        <v>0</v>
      </c>
      <c r="AQ29" s="190">
        <v>0</v>
      </c>
      <c r="AR29" s="190">
        <v>0</v>
      </c>
    </row>
    <row r="30" spans="1:44" x14ac:dyDescent="0.25">
      <c r="A30" s="190" t="s">
        <v>217</v>
      </c>
      <c r="B30" s="190">
        <v>2658155136.0100002</v>
      </c>
      <c r="C30" s="190">
        <v>1678025741.01</v>
      </c>
      <c r="D30" s="190">
        <v>544428562.13</v>
      </c>
      <c r="E30" s="190">
        <v>2798027098.0900002</v>
      </c>
      <c r="F30" s="190">
        <v>1919225047.6900001</v>
      </c>
      <c r="G30" s="190">
        <v>1219411662.8800001</v>
      </c>
      <c r="H30" s="190">
        <v>360016583.70999998</v>
      </c>
      <c r="I30" s="190">
        <v>2191552065.6599998</v>
      </c>
      <c r="J30" s="190">
        <v>1276241444.8800001</v>
      </c>
      <c r="K30" s="190">
        <v>797198387.51999998</v>
      </c>
      <c r="L30" s="190">
        <v>318136657.80000001</v>
      </c>
      <c r="M30" s="190">
        <v>1752472134.73</v>
      </c>
      <c r="N30" s="190">
        <v>1272827214.54</v>
      </c>
      <c r="O30" s="190">
        <v>781294391.39999998</v>
      </c>
      <c r="P30" s="190">
        <v>300612089.14999998</v>
      </c>
      <c r="Q30" s="190">
        <v>1831051790.3399999</v>
      </c>
      <c r="R30" s="190">
        <v>1318409946.9300001</v>
      </c>
      <c r="S30" s="190">
        <v>808457842.88</v>
      </c>
      <c r="T30" s="190">
        <v>297841196.94999999</v>
      </c>
      <c r="U30" s="190">
        <v>1542076618.6199999</v>
      </c>
      <c r="V30" s="190">
        <v>1098387652.1500001</v>
      </c>
      <c r="W30" s="190">
        <v>660797345.49000001</v>
      </c>
      <c r="X30" s="190">
        <v>242590658.91</v>
      </c>
      <c r="Y30" s="190">
        <v>1260544931.5799999</v>
      </c>
      <c r="Z30" s="190">
        <v>909158763.17999995</v>
      </c>
      <c r="AA30" s="190">
        <v>487219472.92000002</v>
      </c>
      <c r="AB30" s="190">
        <v>196146185.09</v>
      </c>
      <c r="AC30" s="190">
        <v>823704132.69000006</v>
      </c>
      <c r="AD30" s="190">
        <v>620249471.15999997</v>
      </c>
      <c r="AE30" s="190">
        <v>405032547.5</v>
      </c>
      <c r="AF30" s="190">
        <v>169448367.84999999</v>
      </c>
      <c r="AG30" s="190">
        <v>641796070.10000002</v>
      </c>
      <c r="AH30" s="190">
        <v>563448127.03999996</v>
      </c>
      <c r="AI30" s="190">
        <v>372298413.80000001</v>
      </c>
      <c r="AJ30" s="190">
        <v>156724162.69999999</v>
      </c>
      <c r="AK30" s="190">
        <v>522343677.92000002</v>
      </c>
      <c r="AL30" s="190">
        <v>481037368.31999999</v>
      </c>
      <c r="AM30" s="190">
        <v>0</v>
      </c>
      <c r="AN30" s="190">
        <v>119091958.43000001</v>
      </c>
      <c r="AO30" s="190">
        <v>0</v>
      </c>
      <c r="AP30" s="190">
        <v>0</v>
      </c>
      <c r="AQ30" s="190">
        <v>0</v>
      </c>
      <c r="AR30" s="190">
        <v>0</v>
      </c>
    </row>
    <row r="31" spans="1:44" x14ac:dyDescent="0.25">
      <c r="A31" s="190" t="s">
        <v>218</v>
      </c>
      <c r="B31" s="190">
        <v>97567013.909999996</v>
      </c>
      <c r="C31" s="190">
        <v>70025735.930000007</v>
      </c>
      <c r="D31" s="190">
        <v>28841925.23</v>
      </c>
      <c r="E31" s="190">
        <v>148775862.28</v>
      </c>
      <c r="F31" s="190">
        <v>97250531.939999998</v>
      </c>
      <c r="G31" s="190">
        <v>61698009.090000004</v>
      </c>
      <c r="H31" s="190">
        <v>27052358.98</v>
      </c>
      <c r="I31" s="190">
        <v>414769182.01999998</v>
      </c>
      <c r="J31" s="190">
        <v>93153558.480000004</v>
      </c>
      <c r="K31" s="190">
        <v>51894610.780000001</v>
      </c>
      <c r="L31" s="190">
        <v>18316351.129999999</v>
      </c>
      <c r="M31" s="190">
        <v>127621874.34</v>
      </c>
      <c r="N31" s="190">
        <v>94724865.189999998</v>
      </c>
      <c r="O31" s="190">
        <v>66156821.090000004</v>
      </c>
      <c r="P31" s="190">
        <v>30549431.199999999</v>
      </c>
      <c r="Q31" s="190">
        <v>134403356.12</v>
      </c>
      <c r="R31" s="190">
        <v>113069817.95999999</v>
      </c>
      <c r="S31" s="190">
        <v>70446482.290000007</v>
      </c>
      <c r="T31" s="190">
        <v>28639458.120000001</v>
      </c>
      <c r="U31" s="190">
        <v>149292706.08000001</v>
      </c>
      <c r="V31" s="190">
        <v>109987296.55</v>
      </c>
      <c r="W31" s="190">
        <v>68874945.709999993</v>
      </c>
      <c r="X31" s="190">
        <v>19498630.899999999</v>
      </c>
      <c r="Y31" s="190">
        <v>139519105.25</v>
      </c>
      <c r="Z31" s="190">
        <v>107060903.03</v>
      </c>
      <c r="AA31" s="190">
        <v>45672295.299999997</v>
      </c>
      <c r="AB31" s="190">
        <v>19835715.859999999</v>
      </c>
      <c r="AC31" s="190">
        <v>85870886.379999995</v>
      </c>
      <c r="AD31" s="190">
        <v>62233822.549999997</v>
      </c>
      <c r="AE31" s="190">
        <v>36732069.450000003</v>
      </c>
      <c r="AF31" s="190">
        <v>13306835.41</v>
      </c>
      <c r="AG31" s="190">
        <v>64880438.590000004</v>
      </c>
      <c r="AH31" s="190">
        <v>46984027.719999999</v>
      </c>
      <c r="AI31" s="190">
        <v>28368974.800000001</v>
      </c>
      <c r="AJ31" s="190">
        <v>11485646.460000001</v>
      </c>
      <c r="AK31" s="190">
        <v>49624313.960000001</v>
      </c>
      <c r="AL31" s="190">
        <v>37270607.030000001</v>
      </c>
      <c r="AM31" s="190">
        <v>0</v>
      </c>
      <c r="AN31" s="190">
        <v>8317389.3600000003</v>
      </c>
      <c r="AO31" s="190">
        <v>0</v>
      </c>
      <c r="AP31" s="190">
        <v>0</v>
      </c>
      <c r="AQ31" s="190">
        <v>0</v>
      </c>
      <c r="AR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R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6" width="12.77734375" style="190" hidden="1" customWidth="1"/>
    <col min="7"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39" width="13.88671875" style="190" hidden="1" customWidth="1"/>
    <col min="40" max="40" width="12.77734375" style="190" hidden="1" customWidth="1"/>
    <col min="41" max="43" width="13.88671875" style="190" bestFit="1" customWidth="1"/>
    <col min="44" max="44" width="9.5546875" style="190" hidden="1" customWidth="1"/>
    <col min="45" max="16384" width="8.88671875" style="190"/>
  </cols>
  <sheetData>
    <row r="1" spans="1:44"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20061231</v>
      </c>
      <c r="AR1" s="190">
        <v>19700101</v>
      </c>
    </row>
    <row r="2" spans="1:4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row>
    <row r="3" spans="1:44" x14ac:dyDescent="0.25">
      <c r="A3" s="190" t="s">
        <v>219</v>
      </c>
    </row>
    <row r="4" spans="1:44" x14ac:dyDescent="0.25">
      <c r="A4" s="190" t="s">
        <v>220</v>
      </c>
      <c r="B4" s="190">
        <v>19275786013.650002</v>
      </c>
      <c r="C4" s="190">
        <v>11886955252.32</v>
      </c>
      <c r="D4" s="190">
        <v>5365056460.3000002</v>
      </c>
      <c r="E4" s="190">
        <v>23730780569.279999</v>
      </c>
      <c r="F4" s="190">
        <v>15126417460.85</v>
      </c>
      <c r="G4" s="190">
        <v>9723330088.9099998</v>
      </c>
      <c r="H4" s="190">
        <v>3996433424.71</v>
      </c>
      <c r="I4" s="190">
        <v>21441950637.720001</v>
      </c>
      <c r="J4" s="190">
        <v>9307783907.5300007</v>
      </c>
      <c r="K4" s="190">
        <v>5851896191.6300001</v>
      </c>
      <c r="L4" s="190">
        <v>2526075472.6399999</v>
      </c>
      <c r="M4" s="190">
        <v>12100622403.98</v>
      </c>
      <c r="N4" s="190">
        <v>8465180687.4899998</v>
      </c>
      <c r="O4" s="190">
        <v>5726959741.8299999</v>
      </c>
      <c r="P4" s="190">
        <v>2591347582.7600002</v>
      </c>
      <c r="Q4" s="190">
        <v>14735320346.299999</v>
      </c>
      <c r="R4" s="190">
        <v>9940722338.4099998</v>
      </c>
      <c r="S4" s="190">
        <v>6335613720.4899998</v>
      </c>
      <c r="T4" s="190">
        <v>2713905274.6999998</v>
      </c>
      <c r="U4" s="190">
        <v>12413188034.73</v>
      </c>
      <c r="V4" s="190">
        <v>8167610639.6700001</v>
      </c>
      <c r="W4" s="190">
        <v>5045877367.0699997</v>
      </c>
      <c r="X4" s="190">
        <v>1899445534.8699999</v>
      </c>
      <c r="Y4" s="190">
        <v>12283600410.940001</v>
      </c>
      <c r="Z4" s="190">
        <v>8361764493.3199997</v>
      </c>
      <c r="AA4" s="190">
        <v>4674539154.3500004</v>
      </c>
      <c r="AB4" s="190">
        <v>2106931828.0899999</v>
      </c>
      <c r="AC4" s="190">
        <v>8931141854.5699997</v>
      </c>
      <c r="AD4" s="190">
        <v>6564885081.4099998</v>
      </c>
      <c r="AE4" s="190">
        <v>4089331425.1700001</v>
      </c>
      <c r="AF4" s="190">
        <v>1699965244.9100001</v>
      </c>
      <c r="AG4" s="190">
        <v>7123961486</v>
      </c>
      <c r="AH4" s="190">
        <v>5244457207.6700001</v>
      </c>
      <c r="AI4" s="190">
        <v>3189307949.6900001</v>
      </c>
      <c r="AJ4" s="190">
        <v>1310660818.75</v>
      </c>
      <c r="AK4" s="190">
        <v>5612837650.8900003</v>
      </c>
      <c r="AL4" s="190">
        <v>4124059289.0500002</v>
      </c>
      <c r="AM4" s="190">
        <v>2469313789.0500002</v>
      </c>
      <c r="AN4" s="190">
        <v>1093895664.5999999</v>
      </c>
      <c r="AO4" s="190">
        <v>5192703411.8299999</v>
      </c>
      <c r="AP4" s="190">
        <v>4872695246.6999998</v>
      </c>
      <c r="AQ4" s="190">
        <v>3842744012.9099998</v>
      </c>
      <c r="AR4" s="190">
        <v>0</v>
      </c>
    </row>
    <row r="5" spans="1:44" x14ac:dyDescent="0.25">
      <c r="A5" s="190" t="s">
        <v>221</v>
      </c>
      <c r="B5" s="190">
        <v>431435487.73000002</v>
      </c>
      <c r="C5" s="190">
        <v>278818270.67000002</v>
      </c>
      <c r="D5" s="190">
        <v>164107052.61000001</v>
      </c>
      <c r="E5" s="190">
        <v>266395197.66</v>
      </c>
      <c r="F5" s="190">
        <v>111967420.78</v>
      </c>
      <c r="G5" s="190">
        <v>52981559.409999996</v>
      </c>
      <c r="H5" s="190">
        <v>11339980.720000001</v>
      </c>
      <c r="I5" s="190">
        <v>264936451.81999999</v>
      </c>
      <c r="J5" s="190">
        <v>29515623.800000001</v>
      </c>
      <c r="K5" s="190">
        <v>25506702.890000001</v>
      </c>
      <c r="L5" s="190">
        <v>8962471.9100000001</v>
      </c>
      <c r="M5" s="190">
        <v>43362362.409999996</v>
      </c>
      <c r="N5" s="190">
        <v>28975685.350000001</v>
      </c>
      <c r="O5" s="190">
        <v>20740142.469999999</v>
      </c>
      <c r="P5" s="190">
        <v>10095260.48</v>
      </c>
      <c r="Q5" s="190">
        <v>21998023.039999999</v>
      </c>
      <c r="R5" s="190">
        <v>6899012.9299999997</v>
      </c>
      <c r="S5" s="190">
        <v>4195507.21</v>
      </c>
      <c r="T5" s="190">
        <v>573460.57999999996</v>
      </c>
      <c r="U5" s="190">
        <v>8659952.7200000007</v>
      </c>
      <c r="V5" s="190">
        <v>10174233.119999999</v>
      </c>
      <c r="W5" s="190">
        <v>7873567.1200000001</v>
      </c>
      <c r="X5" s="190">
        <v>5864721.1299999999</v>
      </c>
      <c r="Y5" s="190">
        <v>14847327.93</v>
      </c>
      <c r="Z5" s="190">
        <v>9554055.8599999994</v>
      </c>
      <c r="AA5" s="190">
        <v>5649126.1600000001</v>
      </c>
      <c r="AB5" s="190">
        <v>1431537.85</v>
      </c>
      <c r="AC5" s="190">
        <v>4818444.3099999996</v>
      </c>
      <c r="AD5" s="190">
        <v>3889157.12</v>
      </c>
      <c r="AE5" s="190">
        <v>1220578.5</v>
      </c>
      <c r="AF5" s="190">
        <v>908293.26</v>
      </c>
      <c r="AG5" s="190">
        <v>1876721.64</v>
      </c>
      <c r="AH5" s="190">
        <v>1581671.71</v>
      </c>
      <c r="AI5" s="190">
        <v>537740.59</v>
      </c>
      <c r="AJ5" s="190">
        <v>0</v>
      </c>
      <c r="AK5" s="190">
        <v>169118.61</v>
      </c>
      <c r="AL5" s="190">
        <v>129900</v>
      </c>
      <c r="AM5" s="190">
        <v>0</v>
      </c>
      <c r="AN5" s="190">
        <v>0</v>
      </c>
      <c r="AO5" s="190">
        <v>892956.33</v>
      </c>
      <c r="AP5" s="190">
        <v>0</v>
      </c>
      <c r="AQ5" s="190">
        <v>0</v>
      </c>
      <c r="AR5" s="190">
        <v>0</v>
      </c>
    </row>
    <row r="6" spans="1:44" x14ac:dyDescent="0.25">
      <c r="A6" s="190" t="s">
        <v>222</v>
      </c>
      <c r="B6" s="190">
        <v>851960698.64999998</v>
      </c>
      <c r="C6" s="190">
        <v>733236694.77999997</v>
      </c>
      <c r="D6" s="190">
        <v>646649649.11000001</v>
      </c>
      <c r="E6" s="190">
        <v>937772045.65999997</v>
      </c>
      <c r="F6" s="190">
        <v>1356828452.5</v>
      </c>
      <c r="G6" s="190">
        <v>453095408.94999999</v>
      </c>
      <c r="H6" s="190">
        <v>404527868.66000003</v>
      </c>
      <c r="I6" s="190">
        <v>1451046012.01</v>
      </c>
      <c r="J6" s="190">
        <v>125418455.18000001</v>
      </c>
      <c r="K6" s="190">
        <v>53017435.460000001</v>
      </c>
      <c r="L6" s="190">
        <v>67493798.799999997</v>
      </c>
      <c r="M6" s="190">
        <v>69193523.459999993</v>
      </c>
      <c r="N6" s="190">
        <v>168356797.87</v>
      </c>
      <c r="O6" s="190">
        <v>101078674.06999999</v>
      </c>
      <c r="P6" s="190">
        <v>33736399.659999996</v>
      </c>
      <c r="Q6" s="190">
        <v>82766581.459999993</v>
      </c>
      <c r="R6" s="190">
        <v>111310118.95999999</v>
      </c>
      <c r="S6" s="190">
        <v>52948107.590000004</v>
      </c>
      <c r="T6" s="190">
        <v>26716410.129999999</v>
      </c>
      <c r="U6" s="190">
        <v>128730298.86</v>
      </c>
      <c r="V6" s="190">
        <v>125408808.22</v>
      </c>
      <c r="W6" s="190">
        <v>72547400.390000001</v>
      </c>
      <c r="X6" s="190">
        <v>39456700.640000001</v>
      </c>
      <c r="Y6" s="190">
        <v>342173458.26999998</v>
      </c>
      <c r="Z6" s="190">
        <v>228585653.72999999</v>
      </c>
      <c r="AA6" s="190">
        <v>31569583.100000001</v>
      </c>
      <c r="AB6" s="190">
        <v>27833310.370000001</v>
      </c>
      <c r="AC6" s="190">
        <v>65641075.600000001</v>
      </c>
      <c r="AD6" s="190">
        <v>19815182.57</v>
      </c>
      <c r="AE6" s="190">
        <v>10616863.939999999</v>
      </c>
      <c r="AF6" s="190">
        <v>45480803.909999996</v>
      </c>
      <c r="AG6" s="190">
        <v>36846182.700000003</v>
      </c>
      <c r="AH6" s="190">
        <v>40097267.990000002</v>
      </c>
      <c r="AI6" s="190">
        <v>17021731.489999998</v>
      </c>
      <c r="AJ6" s="190">
        <v>11328076.710000001</v>
      </c>
      <c r="AK6" s="190">
        <v>85837169.489999995</v>
      </c>
      <c r="AL6" s="190">
        <v>122747036.77</v>
      </c>
      <c r="AM6" s="190">
        <v>75890000</v>
      </c>
      <c r="AN6" s="190">
        <v>8833615.4499999993</v>
      </c>
      <c r="AO6" s="190">
        <v>9075250.7300000004</v>
      </c>
      <c r="AP6" s="190">
        <v>43587425.549999997</v>
      </c>
      <c r="AQ6" s="190">
        <v>121030946.70999999</v>
      </c>
      <c r="AR6" s="190">
        <v>0</v>
      </c>
    </row>
    <row r="7" spans="1:44" x14ac:dyDescent="0.25">
      <c r="A7" s="190" t="s">
        <v>223</v>
      </c>
      <c r="B7" s="190">
        <v>20559182200.029999</v>
      </c>
      <c r="C7" s="190">
        <v>12899010217.77</v>
      </c>
      <c r="D7" s="190">
        <v>6175813162.0200005</v>
      </c>
      <c r="E7" s="190">
        <v>24934947812.599998</v>
      </c>
      <c r="F7" s="190">
        <v>16595213334.129999</v>
      </c>
      <c r="G7" s="190">
        <v>10229407057.27</v>
      </c>
      <c r="H7" s="190">
        <v>4412301274.0900002</v>
      </c>
      <c r="I7" s="190">
        <v>23157933101.549999</v>
      </c>
      <c r="J7" s="190">
        <v>9462717986.5100002</v>
      </c>
      <c r="K7" s="190">
        <v>5930420329.9799995</v>
      </c>
      <c r="L7" s="190">
        <v>2602531743.3499999</v>
      </c>
      <c r="M7" s="190">
        <v>12213178289.85</v>
      </c>
      <c r="N7" s="190">
        <v>8662513170.7099991</v>
      </c>
      <c r="O7" s="190">
        <v>5848778558.3699999</v>
      </c>
      <c r="P7" s="190">
        <v>2635179242.9000001</v>
      </c>
      <c r="Q7" s="190">
        <v>14840084950.799999</v>
      </c>
      <c r="R7" s="190">
        <v>10058931470.299999</v>
      </c>
      <c r="S7" s="190">
        <v>6392757335.29</v>
      </c>
      <c r="T7" s="190">
        <v>2741195145.4099998</v>
      </c>
      <c r="U7" s="190">
        <v>12550578286.309999</v>
      </c>
      <c r="V7" s="190">
        <v>8303193681.0100002</v>
      </c>
      <c r="W7" s="190">
        <v>5126298334.5799999</v>
      </c>
      <c r="X7" s="190">
        <v>1944766956.6400001</v>
      </c>
      <c r="Y7" s="190">
        <v>12640621197.139999</v>
      </c>
      <c r="Z7" s="190">
        <v>8599904202.9099998</v>
      </c>
      <c r="AA7" s="190">
        <v>4711757863.6099997</v>
      </c>
      <c r="AB7" s="190">
        <v>2136196676.3099999</v>
      </c>
      <c r="AC7" s="190">
        <v>9001601374.4799995</v>
      </c>
      <c r="AD7" s="190">
        <v>6588589421.1000004</v>
      </c>
      <c r="AE7" s="190">
        <v>4101168867.6100001</v>
      </c>
      <c r="AF7" s="190">
        <v>1746354342.0799999</v>
      </c>
      <c r="AG7" s="190">
        <v>7162684390.3400002</v>
      </c>
      <c r="AH7" s="190">
        <v>5286136147.3699999</v>
      </c>
      <c r="AI7" s="190">
        <v>3206867421.77</v>
      </c>
      <c r="AJ7" s="190">
        <v>1321988895.46</v>
      </c>
      <c r="AK7" s="190">
        <v>5698843938.9899998</v>
      </c>
      <c r="AL7" s="190">
        <v>4246936225.8200002</v>
      </c>
      <c r="AM7" s="190">
        <v>2545203789.0500002</v>
      </c>
      <c r="AN7" s="190">
        <v>1102729280.05</v>
      </c>
      <c r="AO7" s="190">
        <v>5202671618.8900003</v>
      </c>
      <c r="AP7" s="190">
        <v>4916282672.25</v>
      </c>
      <c r="AQ7" s="190">
        <v>3963774959.6199999</v>
      </c>
      <c r="AR7" s="190">
        <v>0</v>
      </c>
    </row>
    <row r="8" spans="1:44" x14ac:dyDescent="0.25">
      <c r="A8" s="190" t="s">
        <v>224</v>
      </c>
      <c r="B8" s="190">
        <v>13343362445.83</v>
      </c>
      <c r="C8" s="190">
        <v>8005080195.46</v>
      </c>
      <c r="D8" s="190">
        <v>4069665264</v>
      </c>
      <c r="E8" s="190">
        <v>15393062973.190001</v>
      </c>
      <c r="F8" s="190">
        <v>9982896002.7000008</v>
      </c>
      <c r="G8" s="190">
        <v>6341070942.0600004</v>
      </c>
      <c r="H8" s="190">
        <v>3100106145.1500001</v>
      </c>
      <c r="I8" s="190">
        <v>12750964439.379999</v>
      </c>
      <c r="J8" s="190">
        <v>4844178853.5</v>
      </c>
      <c r="K8" s="190">
        <v>2694350802.54</v>
      </c>
      <c r="L8" s="190">
        <v>1180156222.6300001</v>
      </c>
      <c r="M8" s="190">
        <v>6773479887.4499998</v>
      </c>
      <c r="N8" s="190">
        <v>4714844441.6400003</v>
      </c>
      <c r="O8" s="190">
        <v>2984927717.3499999</v>
      </c>
      <c r="P8" s="190">
        <v>1611583493.01</v>
      </c>
      <c r="Q8" s="190">
        <v>9172571169.1900005</v>
      </c>
      <c r="R8" s="190">
        <v>6269729372.7700005</v>
      </c>
      <c r="S8" s="190">
        <v>3954653604.8099999</v>
      </c>
      <c r="T8" s="190">
        <v>2150846787.3800001</v>
      </c>
      <c r="U8" s="190">
        <v>8810123140.3700008</v>
      </c>
      <c r="V8" s="190">
        <v>5807044608.4200001</v>
      </c>
      <c r="W8" s="190">
        <v>3424313317.8600001</v>
      </c>
      <c r="X8" s="190">
        <v>1771327737.6800001</v>
      </c>
      <c r="Y8" s="190">
        <v>7351050069.1599998</v>
      </c>
      <c r="Z8" s="190">
        <v>5114390475.8900003</v>
      </c>
      <c r="AA8" s="190">
        <v>2813038769.5999999</v>
      </c>
      <c r="AB8" s="190">
        <v>1485687892.3199999</v>
      </c>
      <c r="AC8" s="190">
        <v>6997254515.1300001</v>
      </c>
      <c r="AD8" s="190">
        <v>5074131429.0299997</v>
      </c>
      <c r="AE8" s="190">
        <v>3003080296.9299998</v>
      </c>
      <c r="AF8" s="190">
        <v>1510814972.48</v>
      </c>
      <c r="AG8" s="190">
        <v>4909651449.5299997</v>
      </c>
      <c r="AH8" s="190">
        <v>3462262863.6900001</v>
      </c>
      <c r="AI8" s="190">
        <v>2145776111.3900001</v>
      </c>
      <c r="AJ8" s="190">
        <v>1134240624.71</v>
      </c>
      <c r="AK8" s="190">
        <v>3243097872.0300002</v>
      </c>
      <c r="AL8" s="190">
        <v>2183799341.6799998</v>
      </c>
      <c r="AM8" s="190">
        <v>1286525013.1600001</v>
      </c>
      <c r="AN8" s="190">
        <v>608207677.75</v>
      </c>
      <c r="AO8" s="190">
        <v>3663600770.9299998</v>
      </c>
      <c r="AP8" s="190">
        <v>3438282688.9200001</v>
      </c>
      <c r="AQ8" s="190">
        <v>2948737771.9299998</v>
      </c>
      <c r="AR8" s="190">
        <v>0</v>
      </c>
    </row>
    <row r="9" spans="1:44" x14ac:dyDescent="0.25">
      <c r="A9" s="190" t="s">
        <v>225</v>
      </c>
      <c r="B9" s="190">
        <v>2036021285.98</v>
      </c>
      <c r="C9" s="190">
        <v>1443377531.73</v>
      </c>
      <c r="D9" s="190">
        <v>827924218.10000002</v>
      </c>
      <c r="E9" s="190">
        <v>2546039841.4000001</v>
      </c>
      <c r="F9" s="190">
        <v>1684579738.55</v>
      </c>
      <c r="G9" s="190">
        <v>1141668509.5899999</v>
      </c>
      <c r="H9" s="190">
        <v>642030475.67999995</v>
      </c>
      <c r="I9" s="190">
        <v>2032144499.9400001</v>
      </c>
      <c r="J9" s="190">
        <v>1205314856.8</v>
      </c>
      <c r="K9" s="190">
        <v>862006251.30999994</v>
      </c>
      <c r="L9" s="190">
        <v>491959804.08999997</v>
      </c>
      <c r="M9" s="190">
        <v>1306416646.3499999</v>
      </c>
      <c r="N9" s="190">
        <v>1169875181.7</v>
      </c>
      <c r="O9" s="190">
        <v>824464896.63999999</v>
      </c>
      <c r="P9" s="190">
        <v>467534793.05000001</v>
      </c>
      <c r="Q9" s="190">
        <v>1214706861.0999999</v>
      </c>
      <c r="R9" s="190">
        <v>1071673637.25</v>
      </c>
      <c r="S9" s="190">
        <v>742296351.24000001</v>
      </c>
      <c r="T9" s="190">
        <v>424726129.25999999</v>
      </c>
      <c r="U9" s="190">
        <v>1285052577.8800001</v>
      </c>
      <c r="V9" s="190">
        <v>1015337027.15</v>
      </c>
      <c r="W9" s="190">
        <v>712161955.38</v>
      </c>
      <c r="X9" s="190">
        <v>418402891.37</v>
      </c>
      <c r="Y9" s="190">
        <v>1253988738.54</v>
      </c>
      <c r="Z9" s="190">
        <v>982471220.47000003</v>
      </c>
      <c r="AA9" s="190">
        <v>559886631.42999995</v>
      </c>
      <c r="AB9" s="190">
        <v>316615788.29000002</v>
      </c>
      <c r="AC9" s="190">
        <v>894238655.50999999</v>
      </c>
      <c r="AD9" s="190">
        <v>676619478.22000003</v>
      </c>
      <c r="AE9" s="190">
        <v>455833150.88</v>
      </c>
      <c r="AF9" s="190">
        <v>247210466.03</v>
      </c>
      <c r="AG9" s="190">
        <v>663396480.85000002</v>
      </c>
      <c r="AH9" s="190">
        <v>467078926.63999999</v>
      </c>
      <c r="AI9" s="190">
        <v>306073269.94</v>
      </c>
      <c r="AJ9" s="190">
        <v>161299469.91999999</v>
      </c>
      <c r="AK9" s="190">
        <v>490217420.56</v>
      </c>
      <c r="AL9" s="190">
        <v>329674899.18000001</v>
      </c>
      <c r="AM9" s="190">
        <v>228423292.16</v>
      </c>
      <c r="AN9" s="190">
        <v>132098503.55</v>
      </c>
      <c r="AO9" s="190">
        <v>360462506.81</v>
      </c>
      <c r="AP9" s="190">
        <v>320127515.11000001</v>
      </c>
      <c r="AQ9" s="190">
        <v>273710896.36000001</v>
      </c>
      <c r="AR9" s="190">
        <v>0</v>
      </c>
    </row>
    <row r="10" spans="1:44" x14ac:dyDescent="0.25">
      <c r="A10" s="190" t="s">
        <v>226</v>
      </c>
      <c r="B10" s="190">
        <v>1271848614.79</v>
      </c>
      <c r="C10" s="190">
        <v>864081849.60000002</v>
      </c>
      <c r="D10" s="190">
        <v>389371955.47000003</v>
      </c>
      <c r="E10" s="190">
        <v>1477842167.4000001</v>
      </c>
      <c r="F10" s="190">
        <v>1212038372.95</v>
      </c>
      <c r="G10" s="190">
        <v>786001080.82000005</v>
      </c>
      <c r="H10" s="190">
        <v>333781360.41000003</v>
      </c>
      <c r="I10" s="190">
        <v>1424367075.03</v>
      </c>
      <c r="J10" s="190">
        <v>877576722.32000005</v>
      </c>
      <c r="K10" s="190">
        <v>525967241.79000002</v>
      </c>
      <c r="L10" s="190">
        <v>200732742.66999999</v>
      </c>
      <c r="M10" s="190">
        <v>1138976893.79</v>
      </c>
      <c r="N10" s="190">
        <v>861540588.71000004</v>
      </c>
      <c r="O10" s="190">
        <v>560446008.42999995</v>
      </c>
      <c r="P10" s="190">
        <v>188599792.09</v>
      </c>
      <c r="Q10" s="190">
        <v>1145006445.76</v>
      </c>
      <c r="R10" s="190">
        <v>885997492.76999998</v>
      </c>
      <c r="S10" s="190">
        <v>529359149.31999999</v>
      </c>
      <c r="T10" s="190">
        <v>185862832.71000001</v>
      </c>
      <c r="U10" s="190">
        <v>1043239631.11</v>
      </c>
      <c r="V10" s="190">
        <v>859172809.90999997</v>
      </c>
      <c r="W10" s="190">
        <v>561150864.32000005</v>
      </c>
      <c r="X10" s="190">
        <v>191874110.25999999</v>
      </c>
      <c r="Y10" s="190">
        <v>777295600.33000004</v>
      </c>
      <c r="Z10" s="190">
        <v>678592764.12</v>
      </c>
      <c r="AA10" s="190">
        <v>350378702.39999998</v>
      </c>
      <c r="AB10" s="190">
        <v>121987176.45</v>
      </c>
      <c r="AC10" s="190">
        <v>526454017.00999999</v>
      </c>
      <c r="AD10" s="190">
        <v>429384933.89999998</v>
      </c>
      <c r="AE10" s="190">
        <v>261458334.43000001</v>
      </c>
      <c r="AF10" s="190">
        <v>85680444.640000001</v>
      </c>
      <c r="AG10" s="190">
        <v>462173353.73000002</v>
      </c>
      <c r="AH10" s="190">
        <v>379506833.07999998</v>
      </c>
      <c r="AI10" s="190">
        <v>222808059.80000001</v>
      </c>
      <c r="AJ10" s="190">
        <v>65325220.380000003</v>
      </c>
      <c r="AK10" s="190">
        <v>440924035.25</v>
      </c>
      <c r="AL10" s="190">
        <v>439814568.39999998</v>
      </c>
      <c r="AM10" s="190">
        <v>237353654.91</v>
      </c>
      <c r="AN10" s="190">
        <v>107928121.11</v>
      </c>
      <c r="AO10" s="190">
        <v>498638960.25</v>
      </c>
      <c r="AP10" s="190">
        <v>241581730.16999999</v>
      </c>
      <c r="AQ10" s="190">
        <v>196274768.52000001</v>
      </c>
      <c r="AR10" s="190">
        <v>0</v>
      </c>
    </row>
    <row r="11" spans="1:44" x14ac:dyDescent="0.25">
      <c r="A11" s="190" t="s">
        <v>227</v>
      </c>
      <c r="B11" s="190">
        <v>2423480087.27</v>
      </c>
      <c r="C11" s="190">
        <v>1539426985.3199999</v>
      </c>
      <c r="D11" s="190">
        <v>778228037.63999999</v>
      </c>
      <c r="E11" s="190">
        <v>2950381459.4299998</v>
      </c>
      <c r="F11" s="190">
        <v>1956053166.53</v>
      </c>
      <c r="G11" s="190">
        <v>1148252002.9000001</v>
      </c>
      <c r="H11" s="190">
        <v>392476974.25999999</v>
      </c>
      <c r="I11" s="190">
        <v>2052258787.8699999</v>
      </c>
      <c r="J11" s="190">
        <v>680228571.64999998</v>
      </c>
      <c r="K11" s="190">
        <v>382240949.51999998</v>
      </c>
      <c r="L11" s="190">
        <v>332390871.56999999</v>
      </c>
      <c r="M11" s="190">
        <v>1068694923.99</v>
      </c>
      <c r="N11" s="190">
        <v>807415847.97000003</v>
      </c>
      <c r="O11" s="190">
        <v>499415857.23000002</v>
      </c>
      <c r="P11" s="190">
        <v>219822098.49000001</v>
      </c>
      <c r="Q11" s="190">
        <v>963741625.35000002</v>
      </c>
      <c r="R11" s="190">
        <v>644396718.44000006</v>
      </c>
      <c r="S11" s="190">
        <v>418521257.39999998</v>
      </c>
      <c r="T11" s="190">
        <v>214235497.78999999</v>
      </c>
      <c r="U11" s="190">
        <v>774450984.32000005</v>
      </c>
      <c r="V11" s="190">
        <v>616210631.54999995</v>
      </c>
      <c r="W11" s="190">
        <v>408491827.95999998</v>
      </c>
      <c r="X11" s="190">
        <v>218429766.77000001</v>
      </c>
      <c r="Y11" s="190">
        <v>709860471.74000001</v>
      </c>
      <c r="Z11" s="190">
        <v>647690196.00999999</v>
      </c>
      <c r="AA11" s="190">
        <v>292002839.67000002</v>
      </c>
      <c r="AB11" s="190">
        <v>164650875.40000001</v>
      </c>
      <c r="AC11" s="190">
        <v>466476827.17000002</v>
      </c>
      <c r="AD11" s="190">
        <v>340863789.58999997</v>
      </c>
      <c r="AE11" s="190">
        <v>227087796.83000001</v>
      </c>
      <c r="AF11" s="190">
        <v>113493227.77</v>
      </c>
      <c r="AG11" s="190">
        <v>434890049.02999997</v>
      </c>
      <c r="AH11" s="190">
        <v>251013428.50999999</v>
      </c>
      <c r="AI11" s="190">
        <v>152461815.59999999</v>
      </c>
      <c r="AJ11" s="190">
        <v>81706377.430000007</v>
      </c>
      <c r="AK11" s="190">
        <v>420803379.19999999</v>
      </c>
      <c r="AL11" s="190">
        <v>261332415.27000001</v>
      </c>
      <c r="AM11" s="190">
        <v>113963128.7</v>
      </c>
      <c r="AN11" s="190">
        <v>79777947.480000004</v>
      </c>
      <c r="AO11" s="190">
        <v>312141122.44</v>
      </c>
      <c r="AP11" s="190">
        <v>369822160.31999999</v>
      </c>
      <c r="AQ11" s="190">
        <v>290357887.56999999</v>
      </c>
      <c r="AR11" s="190">
        <v>0</v>
      </c>
    </row>
    <row r="12" spans="1:44" x14ac:dyDescent="0.25">
      <c r="A12" s="190" t="s">
        <v>228</v>
      </c>
      <c r="B12" s="190">
        <v>19074712433.869999</v>
      </c>
      <c r="C12" s="190">
        <v>11851966562.110001</v>
      </c>
      <c r="D12" s="190">
        <v>6065189475.21</v>
      </c>
      <c r="E12" s="190">
        <v>22367326441.419998</v>
      </c>
      <c r="F12" s="190">
        <v>14835567280.73</v>
      </c>
      <c r="G12" s="190">
        <v>9416992535.3700008</v>
      </c>
      <c r="H12" s="190">
        <v>4468394955.5</v>
      </c>
      <c r="I12" s="190">
        <v>18259734802.220001</v>
      </c>
      <c r="J12" s="190">
        <v>7607299004.2700005</v>
      </c>
      <c r="K12" s="190">
        <v>4464565245.1599998</v>
      </c>
      <c r="L12" s="190">
        <v>2205239640.96</v>
      </c>
      <c r="M12" s="190">
        <v>10287568351.58</v>
      </c>
      <c r="N12" s="190">
        <v>7553676060.0200005</v>
      </c>
      <c r="O12" s="190">
        <v>4869254479.6499996</v>
      </c>
      <c r="P12" s="190">
        <v>2487540176.6399999</v>
      </c>
      <c r="Q12" s="190">
        <v>12496026101.4</v>
      </c>
      <c r="R12" s="190">
        <v>8871797221.2299995</v>
      </c>
      <c r="S12" s="190">
        <v>5644830362.7700005</v>
      </c>
      <c r="T12" s="190">
        <v>2975671247.1399999</v>
      </c>
      <c r="U12" s="190">
        <v>11912866333.68</v>
      </c>
      <c r="V12" s="190">
        <v>8297765077.0299997</v>
      </c>
      <c r="W12" s="190">
        <v>5106117965.5200005</v>
      </c>
      <c r="X12" s="190">
        <v>2600034506.0799999</v>
      </c>
      <c r="Y12" s="190">
        <v>10092194879.77</v>
      </c>
      <c r="Z12" s="190">
        <v>7423144656.4899998</v>
      </c>
      <c r="AA12" s="190">
        <v>4015306943.0999999</v>
      </c>
      <c r="AB12" s="190">
        <v>2088941732.46</v>
      </c>
      <c r="AC12" s="190">
        <v>8884424014.8199997</v>
      </c>
      <c r="AD12" s="190">
        <v>6520999630.7399998</v>
      </c>
      <c r="AE12" s="190">
        <v>3947459579.0700002</v>
      </c>
      <c r="AF12" s="190">
        <v>1957199110.9200001</v>
      </c>
      <c r="AG12" s="190">
        <v>6470111333.1400003</v>
      </c>
      <c r="AH12" s="190">
        <v>4559862051.9200001</v>
      </c>
      <c r="AI12" s="190">
        <v>2827119256.73</v>
      </c>
      <c r="AJ12" s="190">
        <v>1442571692.4400001</v>
      </c>
      <c r="AK12" s="190">
        <v>4595042707.04</v>
      </c>
      <c r="AL12" s="190">
        <v>3214621224.5300002</v>
      </c>
      <c r="AM12" s="190">
        <v>1866265088.9300001</v>
      </c>
      <c r="AN12" s="190">
        <v>928012249.88999999</v>
      </c>
      <c r="AO12" s="190">
        <v>4834843360.4300003</v>
      </c>
      <c r="AP12" s="190">
        <v>4369814094.5200005</v>
      </c>
      <c r="AQ12" s="190">
        <v>3709081324.3800001</v>
      </c>
      <c r="AR12" s="190">
        <v>0</v>
      </c>
    </row>
    <row r="13" spans="1:44" x14ac:dyDescent="0.25">
      <c r="A13" s="190" t="s">
        <v>229</v>
      </c>
      <c r="B13" s="190">
        <v>1484469766.1600001</v>
      </c>
      <c r="C13" s="190">
        <v>1047043655.66</v>
      </c>
      <c r="D13" s="190">
        <v>110623686.81</v>
      </c>
      <c r="E13" s="190">
        <v>2567621371.1799998</v>
      </c>
      <c r="F13" s="190">
        <v>1759646053.4000001</v>
      </c>
      <c r="G13" s="190">
        <v>812414521.89999998</v>
      </c>
      <c r="H13" s="190">
        <v>-56093681.409999996</v>
      </c>
      <c r="I13" s="190">
        <v>4898198299.3299999</v>
      </c>
      <c r="J13" s="190">
        <v>1855418982.24</v>
      </c>
      <c r="K13" s="190">
        <v>1465855084.8199999</v>
      </c>
      <c r="L13" s="190">
        <v>397292102.38999999</v>
      </c>
      <c r="M13" s="190">
        <v>1925609938.27</v>
      </c>
      <c r="N13" s="190">
        <v>1108837110.6900001</v>
      </c>
      <c r="O13" s="190">
        <v>979524078.72000003</v>
      </c>
      <c r="P13" s="190">
        <v>147639066.25999999</v>
      </c>
      <c r="Q13" s="190">
        <v>2344058849.4000001</v>
      </c>
      <c r="R13" s="190">
        <v>1187134249.0699999</v>
      </c>
      <c r="S13" s="190">
        <v>747926972.51999998</v>
      </c>
      <c r="T13" s="190">
        <v>-234476101.72999999</v>
      </c>
      <c r="U13" s="190">
        <v>637711952.63</v>
      </c>
      <c r="V13" s="190">
        <v>5428603.9800000004</v>
      </c>
      <c r="W13" s="190">
        <v>20180369.059999999</v>
      </c>
      <c r="X13" s="190">
        <v>-655267549.44000006</v>
      </c>
      <c r="Y13" s="190">
        <v>2548426317.3699999</v>
      </c>
      <c r="Z13" s="190">
        <v>1176759546.4200001</v>
      </c>
      <c r="AA13" s="190">
        <v>696450920.50999999</v>
      </c>
      <c r="AB13" s="190">
        <v>47254943.850000001</v>
      </c>
      <c r="AC13" s="190">
        <v>117177359.66</v>
      </c>
      <c r="AD13" s="190">
        <v>67589790.359999999</v>
      </c>
      <c r="AE13" s="190">
        <v>153709288.53999999</v>
      </c>
      <c r="AF13" s="190">
        <v>-210844768.84</v>
      </c>
      <c r="AG13" s="190">
        <v>692573057.20000005</v>
      </c>
      <c r="AH13" s="190">
        <v>726274095.45000005</v>
      </c>
      <c r="AI13" s="190">
        <v>379748165.04000002</v>
      </c>
      <c r="AJ13" s="190">
        <v>-120582796.98</v>
      </c>
      <c r="AK13" s="190">
        <v>1103801231.95</v>
      </c>
      <c r="AL13" s="190">
        <v>1032315001.29</v>
      </c>
      <c r="AM13" s="190">
        <v>678938700.12</v>
      </c>
      <c r="AN13" s="190">
        <v>174717030.16</v>
      </c>
      <c r="AO13" s="190">
        <v>367828258.45999998</v>
      </c>
      <c r="AP13" s="190">
        <v>546468577.73000002</v>
      </c>
      <c r="AQ13" s="190">
        <v>254693635.24000001</v>
      </c>
      <c r="AR13" s="190">
        <v>0</v>
      </c>
    </row>
    <row r="14" spans="1:44" x14ac:dyDescent="0.25">
      <c r="A14" s="190" t="s">
        <v>230</v>
      </c>
    </row>
    <row r="15" spans="1:44" x14ac:dyDescent="0.25">
      <c r="A15" s="190" t="s">
        <v>231</v>
      </c>
      <c r="B15" s="190">
        <v>4132006272.7800002</v>
      </c>
      <c r="C15" s="190">
        <v>3957425629.7800002</v>
      </c>
      <c r="D15" s="190">
        <v>3184394251.4899998</v>
      </c>
      <c r="E15" s="190">
        <v>10203037225.25</v>
      </c>
      <c r="F15" s="190">
        <v>8571479060.9499998</v>
      </c>
      <c r="G15" s="190">
        <v>8226739837.4200001</v>
      </c>
      <c r="H15" s="190">
        <v>5022872652.8199997</v>
      </c>
      <c r="I15" s="190">
        <v>14012290909.610001</v>
      </c>
      <c r="J15" s="190">
        <v>10975916490.719999</v>
      </c>
      <c r="K15" s="190">
        <v>6968966676.7200003</v>
      </c>
      <c r="L15" s="190">
        <v>3501500000</v>
      </c>
      <c r="M15" s="190">
        <v>14632211790.02</v>
      </c>
      <c r="N15" s="190">
        <v>11835426076</v>
      </c>
      <c r="O15" s="190">
        <v>6934500000</v>
      </c>
      <c r="P15" s="190">
        <v>1676500000</v>
      </c>
      <c r="Q15" s="190">
        <v>2980902870</v>
      </c>
      <c r="R15" s="190">
        <v>2179275000</v>
      </c>
      <c r="S15" s="190">
        <v>1050000000</v>
      </c>
      <c r="T15" s="190">
        <v>550000000</v>
      </c>
      <c r="U15" s="190">
        <v>2025839966.6099999</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3808897.68</v>
      </c>
      <c r="AL15" s="190">
        <v>0</v>
      </c>
      <c r="AM15" s="190">
        <v>0</v>
      </c>
      <c r="AN15" s="190">
        <v>0</v>
      </c>
      <c r="AO15" s="190">
        <v>225073.28</v>
      </c>
      <c r="AP15" s="190">
        <v>7324480.4699999997</v>
      </c>
      <c r="AQ15" s="190">
        <v>0</v>
      </c>
      <c r="AR15" s="190">
        <v>0</v>
      </c>
    </row>
    <row r="16" spans="1:44" x14ac:dyDescent="0.25">
      <c r="A16" s="190" t="s">
        <v>232</v>
      </c>
      <c r="B16" s="190">
        <v>357293343.75999999</v>
      </c>
      <c r="C16" s="190">
        <v>31056167.399999999</v>
      </c>
      <c r="D16" s="190">
        <v>20028237.449999999</v>
      </c>
      <c r="E16" s="190">
        <v>62346634.659999996</v>
      </c>
      <c r="F16" s="190">
        <v>60546360.689999998</v>
      </c>
      <c r="G16" s="190">
        <v>57682830.82</v>
      </c>
      <c r="H16" s="190">
        <v>44183233.579999998</v>
      </c>
      <c r="I16" s="190">
        <v>64701334.07</v>
      </c>
      <c r="J16" s="190">
        <v>27039091.699999999</v>
      </c>
      <c r="K16" s="190">
        <v>17174030.379999999</v>
      </c>
      <c r="L16" s="190">
        <v>8951127.0700000003</v>
      </c>
      <c r="M16" s="190">
        <v>66595699.109999999</v>
      </c>
      <c r="N16" s="190">
        <v>52021513.909999996</v>
      </c>
      <c r="O16" s="190">
        <v>32477372.43</v>
      </c>
      <c r="P16" s="190">
        <v>12008676.609999999</v>
      </c>
      <c r="Q16" s="190">
        <v>55975974.899999999</v>
      </c>
      <c r="R16" s="190">
        <v>54628476.399999999</v>
      </c>
      <c r="S16" s="190">
        <v>20504884.920000002</v>
      </c>
      <c r="T16" s="190">
        <v>10661563.24</v>
      </c>
      <c r="U16" s="190">
        <v>32531430.66</v>
      </c>
      <c r="V16" s="190">
        <v>26853540.219999999</v>
      </c>
      <c r="W16" s="190">
        <v>12906520.560000001</v>
      </c>
      <c r="X16" s="190">
        <v>4850490.7300000004</v>
      </c>
      <c r="Y16" s="190">
        <v>27078125</v>
      </c>
      <c r="Z16" s="190">
        <v>4139402.4</v>
      </c>
      <c r="AA16" s="190">
        <v>3129375</v>
      </c>
      <c r="AB16" s="190">
        <v>3129375</v>
      </c>
      <c r="AC16" s="190">
        <v>3129375</v>
      </c>
      <c r="AD16" s="190">
        <v>3129375</v>
      </c>
      <c r="AE16" s="190">
        <v>0</v>
      </c>
      <c r="AF16" s="190">
        <v>0</v>
      </c>
      <c r="AG16" s="190">
        <v>750000</v>
      </c>
      <c r="AH16" s="190">
        <v>375000</v>
      </c>
      <c r="AI16" s="190">
        <v>0</v>
      </c>
      <c r="AJ16" s="190">
        <v>0</v>
      </c>
      <c r="AK16" s="190">
        <v>750000</v>
      </c>
      <c r="AL16" s="190">
        <v>250000</v>
      </c>
      <c r="AM16" s="190">
        <v>250000</v>
      </c>
      <c r="AN16" s="190">
        <v>0</v>
      </c>
      <c r="AO16" s="190">
        <v>350000</v>
      </c>
      <c r="AP16" s="190">
        <v>0</v>
      </c>
      <c r="AQ16" s="190">
        <v>0</v>
      </c>
      <c r="AR16" s="190">
        <v>0</v>
      </c>
    </row>
    <row r="17" spans="1:44" x14ac:dyDescent="0.25">
      <c r="A17" s="190" t="s">
        <v>233</v>
      </c>
      <c r="B17" s="190">
        <v>520564.89</v>
      </c>
      <c r="C17" s="190">
        <v>213225.89</v>
      </c>
      <c r="D17" s="190">
        <v>101331.53</v>
      </c>
      <c r="E17" s="190">
        <v>156554377.59</v>
      </c>
      <c r="F17" s="190">
        <v>15431500.199999999</v>
      </c>
      <c r="G17" s="190">
        <v>84875000</v>
      </c>
      <c r="H17" s="190">
        <v>1780263.86</v>
      </c>
      <c r="I17" s="190">
        <v>432464735.69999999</v>
      </c>
      <c r="J17" s="190">
        <v>6202860.5800000001</v>
      </c>
      <c r="K17" s="190">
        <v>4900082</v>
      </c>
      <c r="L17" s="190">
        <v>4922370</v>
      </c>
      <c r="M17" s="190">
        <v>24566889.960000001</v>
      </c>
      <c r="N17" s="190">
        <v>713319.6</v>
      </c>
      <c r="O17" s="190">
        <v>552400.84</v>
      </c>
      <c r="P17" s="190">
        <v>200350</v>
      </c>
      <c r="Q17" s="190">
        <v>11545587.24</v>
      </c>
      <c r="R17" s="190">
        <v>1126855.81</v>
      </c>
      <c r="S17" s="190">
        <v>379416.58</v>
      </c>
      <c r="T17" s="190">
        <v>213719.58</v>
      </c>
      <c r="U17" s="190">
        <v>11021780.58</v>
      </c>
      <c r="V17" s="190">
        <v>5588523.9100000001</v>
      </c>
      <c r="W17" s="190">
        <v>950828.44</v>
      </c>
      <c r="X17" s="190">
        <v>664055.98</v>
      </c>
      <c r="Y17" s="190">
        <v>10079587.33</v>
      </c>
      <c r="Z17" s="190">
        <v>1262324.04</v>
      </c>
      <c r="AA17" s="190">
        <v>1157877</v>
      </c>
      <c r="AB17" s="190">
        <v>191377</v>
      </c>
      <c r="AC17" s="190">
        <v>641356.51</v>
      </c>
      <c r="AD17" s="190">
        <v>272222.75</v>
      </c>
      <c r="AE17" s="190">
        <v>162850.54999999999</v>
      </c>
      <c r="AF17" s="190">
        <v>15190</v>
      </c>
      <c r="AG17" s="190">
        <v>1820131.66</v>
      </c>
      <c r="AH17" s="190">
        <v>1270142.1200000001</v>
      </c>
      <c r="AI17" s="190">
        <v>507205</v>
      </c>
      <c r="AJ17" s="190">
        <v>145500</v>
      </c>
      <c r="AK17" s="190">
        <v>8343417.9299999997</v>
      </c>
      <c r="AL17" s="190">
        <v>938991.65</v>
      </c>
      <c r="AM17" s="190">
        <v>1672716.14</v>
      </c>
      <c r="AN17" s="190">
        <v>0</v>
      </c>
      <c r="AO17" s="190">
        <v>9166896.7200000007</v>
      </c>
      <c r="AP17" s="190">
        <v>18929240.260000002</v>
      </c>
      <c r="AQ17" s="190">
        <v>386099.61</v>
      </c>
      <c r="AR17" s="190">
        <v>0</v>
      </c>
    </row>
    <row r="18" spans="1:44" x14ac:dyDescent="0.25">
      <c r="A18" s="190" t="s">
        <v>234</v>
      </c>
      <c r="B18" s="190">
        <v>436616657.33999997</v>
      </c>
      <c r="C18" s="190">
        <v>340337368.80000001</v>
      </c>
      <c r="D18" s="190">
        <v>179163189.55000001</v>
      </c>
      <c r="E18" s="190">
        <v>163654187.63999999</v>
      </c>
      <c r="F18" s="190">
        <v>0</v>
      </c>
      <c r="G18" s="190">
        <v>15353595.859999999</v>
      </c>
      <c r="H18" s="190">
        <v>0</v>
      </c>
      <c r="I18" s="190">
        <v>16931908.379999999</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2819350.47</v>
      </c>
      <c r="AM18" s="190">
        <v>2819350.47</v>
      </c>
      <c r="AN18" s="190">
        <v>0</v>
      </c>
      <c r="AO18" s="190">
        <v>0</v>
      </c>
      <c r="AP18" s="190">
        <v>0</v>
      </c>
      <c r="AQ18" s="190">
        <v>0</v>
      </c>
      <c r="AR18" s="190">
        <v>0</v>
      </c>
    </row>
    <row r="19" spans="1:44" x14ac:dyDescent="0.25">
      <c r="A19" s="190" t="s">
        <v>235</v>
      </c>
      <c r="B19" s="190">
        <v>37697353.840000004</v>
      </c>
      <c r="C19" s="190">
        <v>34991385.840000004</v>
      </c>
      <c r="D19" s="190">
        <v>204000</v>
      </c>
      <c r="E19" s="190">
        <v>274124380.70999998</v>
      </c>
      <c r="F19" s="190">
        <v>49095322.710000001</v>
      </c>
      <c r="G19" s="190">
        <v>48751557.890000001</v>
      </c>
      <c r="H19" s="190">
        <v>0</v>
      </c>
      <c r="I19" s="190">
        <v>84132679.150000006</v>
      </c>
      <c r="J19" s="190">
        <v>0</v>
      </c>
      <c r="K19" s="190">
        <v>0</v>
      </c>
      <c r="L19" s="190">
        <v>0</v>
      </c>
      <c r="M19" s="190">
        <v>28670000</v>
      </c>
      <c r="N19" s="190">
        <v>0</v>
      </c>
      <c r="O19" s="190">
        <v>0</v>
      </c>
      <c r="P19" s="190">
        <v>6628083.7000000002</v>
      </c>
      <c r="Q19" s="190">
        <v>0</v>
      </c>
      <c r="R19" s="190">
        <v>16623596.359999999</v>
      </c>
      <c r="S19" s="190">
        <v>16787621.629999999</v>
      </c>
      <c r="T19" s="190">
        <v>7999857.2300000004</v>
      </c>
      <c r="U19" s="190">
        <v>0</v>
      </c>
      <c r="V19" s="190">
        <v>56945841.600000001</v>
      </c>
      <c r="W19" s="190">
        <v>52105674.060000002</v>
      </c>
      <c r="X19" s="190">
        <v>38008299.960000001</v>
      </c>
      <c r="Y19" s="190">
        <v>0</v>
      </c>
      <c r="Z19" s="190">
        <v>97105805.790000007</v>
      </c>
      <c r="AA19" s="190">
        <v>75002548.260000005</v>
      </c>
      <c r="AB19" s="190">
        <v>52898168.009999998</v>
      </c>
      <c r="AC19" s="190">
        <v>113199367.41</v>
      </c>
      <c r="AD19" s="190">
        <v>69988263.969999999</v>
      </c>
      <c r="AE19" s="190">
        <v>49127285.240000002</v>
      </c>
      <c r="AF19" s="190">
        <v>0</v>
      </c>
      <c r="AG19" s="190">
        <v>31263633.390000001</v>
      </c>
      <c r="AH19" s="190">
        <v>2965276.52</v>
      </c>
      <c r="AI19" s="190">
        <v>2926029.94</v>
      </c>
      <c r="AJ19" s="190">
        <v>54548.39</v>
      </c>
      <c r="AK19" s="190">
        <v>30557685.170000002</v>
      </c>
      <c r="AL19" s="190">
        <v>19848083.859999999</v>
      </c>
      <c r="AM19" s="190">
        <v>24021184.719999999</v>
      </c>
      <c r="AN19" s="190">
        <v>0</v>
      </c>
      <c r="AO19" s="190">
        <v>4984608.9000000004</v>
      </c>
      <c r="AP19" s="190">
        <v>43359404.390000001</v>
      </c>
      <c r="AQ19" s="190">
        <v>1816388.73</v>
      </c>
      <c r="AR19" s="190">
        <v>0</v>
      </c>
    </row>
    <row r="20" spans="1:44" x14ac:dyDescent="0.25">
      <c r="A20" s="190" t="s">
        <v>236</v>
      </c>
      <c r="B20" s="190">
        <v>4964134192.6099997</v>
      </c>
      <c r="C20" s="190">
        <v>4364023777.71</v>
      </c>
      <c r="D20" s="190">
        <v>3383891010.02</v>
      </c>
      <c r="E20" s="190">
        <v>10859716805.85</v>
      </c>
      <c r="F20" s="190">
        <v>8696552244.5499992</v>
      </c>
      <c r="G20" s="190">
        <v>8433402821.9899998</v>
      </c>
      <c r="H20" s="190">
        <v>5068836150.2600002</v>
      </c>
      <c r="I20" s="190">
        <v>14610521566.91</v>
      </c>
      <c r="J20" s="190">
        <v>11009158443</v>
      </c>
      <c r="K20" s="190">
        <v>6991040789.1000004</v>
      </c>
      <c r="L20" s="190">
        <v>3515373497.0700002</v>
      </c>
      <c r="M20" s="190">
        <v>14752044379.09</v>
      </c>
      <c r="N20" s="190">
        <v>11888160909.51</v>
      </c>
      <c r="O20" s="190">
        <v>6967529773.2700005</v>
      </c>
      <c r="P20" s="190">
        <v>1695337110.3099999</v>
      </c>
      <c r="Q20" s="190">
        <v>3048424432.1399999</v>
      </c>
      <c r="R20" s="190">
        <v>2251653928.5700002</v>
      </c>
      <c r="S20" s="190">
        <v>1087671923.1300001</v>
      </c>
      <c r="T20" s="190">
        <v>568875140.04999995</v>
      </c>
      <c r="U20" s="190">
        <v>2069393177.8499999</v>
      </c>
      <c r="V20" s="190">
        <v>89387905.730000004</v>
      </c>
      <c r="W20" s="190">
        <v>65963023.060000002</v>
      </c>
      <c r="X20" s="190">
        <v>43522846.670000002</v>
      </c>
      <c r="Y20" s="190">
        <v>37157712.329999998</v>
      </c>
      <c r="Z20" s="190">
        <v>102507532.23</v>
      </c>
      <c r="AA20" s="190">
        <v>79289800.260000005</v>
      </c>
      <c r="AB20" s="190">
        <v>56218920.009999998</v>
      </c>
      <c r="AC20" s="190">
        <v>116970098.92</v>
      </c>
      <c r="AD20" s="190">
        <v>73389861.719999999</v>
      </c>
      <c r="AE20" s="190">
        <v>49290135.789999999</v>
      </c>
      <c r="AF20" s="190">
        <v>15190</v>
      </c>
      <c r="AG20" s="190">
        <v>33833765.049999997</v>
      </c>
      <c r="AH20" s="190">
        <v>4610418.6399999997</v>
      </c>
      <c r="AI20" s="190">
        <v>3433234.94</v>
      </c>
      <c r="AJ20" s="190">
        <v>200048.39</v>
      </c>
      <c r="AK20" s="190">
        <v>43460000.780000001</v>
      </c>
      <c r="AL20" s="190">
        <v>23856425.98</v>
      </c>
      <c r="AM20" s="190">
        <v>28763251.329999998</v>
      </c>
      <c r="AN20" s="190">
        <v>0</v>
      </c>
      <c r="AO20" s="190">
        <v>14726578.9</v>
      </c>
      <c r="AP20" s="190">
        <v>69613125.120000005</v>
      </c>
      <c r="AQ20" s="190">
        <v>2202488.34</v>
      </c>
      <c r="AR20" s="190">
        <v>0</v>
      </c>
    </row>
    <row r="21" spans="1:44" x14ac:dyDescent="0.25">
      <c r="A21" s="190" t="s">
        <v>237</v>
      </c>
      <c r="B21" s="190">
        <v>1982903593.22</v>
      </c>
      <c r="C21" s="190">
        <v>1039129277.21</v>
      </c>
      <c r="D21" s="190">
        <v>531804067.58999997</v>
      </c>
      <c r="E21" s="190">
        <v>3233316501.3800001</v>
      </c>
      <c r="F21" s="190">
        <v>3039664236.0900002</v>
      </c>
      <c r="G21" s="190">
        <v>2108669044.8</v>
      </c>
      <c r="H21" s="190">
        <v>1183345424.1300001</v>
      </c>
      <c r="I21" s="190">
        <v>3821932418.4200001</v>
      </c>
      <c r="J21" s="190">
        <v>94587196.159999996</v>
      </c>
      <c r="K21" s="190">
        <v>67925021.609999999</v>
      </c>
      <c r="L21" s="190">
        <v>46407505.700000003</v>
      </c>
      <c r="M21" s="190">
        <v>436758567.57999998</v>
      </c>
      <c r="N21" s="190">
        <v>187281358.66999999</v>
      </c>
      <c r="O21" s="190">
        <v>143113950.81999999</v>
      </c>
      <c r="P21" s="190">
        <v>113055085.77</v>
      </c>
      <c r="Q21" s="190">
        <v>377345778.39999998</v>
      </c>
      <c r="R21" s="190">
        <v>271080207.19</v>
      </c>
      <c r="S21" s="190">
        <v>213167487.41999999</v>
      </c>
      <c r="T21" s="190">
        <v>134798968.43000001</v>
      </c>
      <c r="U21" s="190">
        <v>521652394.57999998</v>
      </c>
      <c r="V21" s="190">
        <v>335409080.93000001</v>
      </c>
      <c r="W21" s="190">
        <v>214275788</v>
      </c>
      <c r="X21" s="190">
        <v>104585971.78</v>
      </c>
      <c r="Y21" s="190">
        <v>912787029.12</v>
      </c>
      <c r="Z21" s="190">
        <v>403991606.88</v>
      </c>
      <c r="AA21" s="190">
        <v>206273648.81999999</v>
      </c>
      <c r="AB21" s="190">
        <v>57100908.82</v>
      </c>
      <c r="AC21" s="190">
        <v>279514702.91000003</v>
      </c>
      <c r="AD21" s="190">
        <v>190130041.66</v>
      </c>
      <c r="AE21" s="190">
        <v>120963529.97</v>
      </c>
      <c r="AF21" s="190">
        <v>55302359.460000001</v>
      </c>
      <c r="AG21" s="190">
        <v>100383291.88</v>
      </c>
      <c r="AH21" s="190">
        <v>88314686.909999996</v>
      </c>
      <c r="AI21" s="190">
        <v>46873989.75</v>
      </c>
      <c r="AJ21" s="190">
        <v>12514110.98</v>
      </c>
      <c r="AK21" s="190">
        <v>66258748.840000004</v>
      </c>
      <c r="AL21" s="190">
        <v>37074111.770000003</v>
      </c>
      <c r="AM21" s="190">
        <v>24640621.469999999</v>
      </c>
      <c r="AN21" s="190">
        <v>9715572.3200000003</v>
      </c>
      <c r="AO21" s="190">
        <v>121798896.73</v>
      </c>
      <c r="AP21" s="190">
        <v>100797534.72</v>
      </c>
      <c r="AQ21" s="190">
        <v>59648264.020000003</v>
      </c>
      <c r="AR21" s="190">
        <v>0</v>
      </c>
    </row>
    <row r="22" spans="1:44" x14ac:dyDescent="0.25">
      <c r="A22" s="190" t="s">
        <v>238</v>
      </c>
      <c r="B22" s="190">
        <v>4034664399.5900002</v>
      </c>
      <c r="C22" s="190">
        <v>3574687327.0100002</v>
      </c>
      <c r="D22" s="190">
        <v>2930788853.9400001</v>
      </c>
      <c r="E22" s="190">
        <v>9209583032.4500008</v>
      </c>
      <c r="F22" s="190">
        <v>6963283765.8699999</v>
      </c>
      <c r="G22" s="190">
        <v>6914106646.1300001</v>
      </c>
      <c r="H22" s="190">
        <v>4592388724.7399998</v>
      </c>
      <c r="I22" s="190">
        <v>15021540442.889999</v>
      </c>
      <c r="J22" s="190">
        <v>11046621256.459999</v>
      </c>
      <c r="K22" s="190">
        <v>8130533512.9799995</v>
      </c>
      <c r="L22" s="190">
        <v>3103533512.98</v>
      </c>
      <c r="M22" s="190">
        <v>15388698650.4</v>
      </c>
      <c r="N22" s="190">
        <v>12615067330.459999</v>
      </c>
      <c r="O22" s="190">
        <v>7139704860</v>
      </c>
      <c r="P22" s="190">
        <v>1897704860</v>
      </c>
      <c r="Q22" s="190">
        <v>3063750000</v>
      </c>
      <c r="R22" s="190">
        <v>1732988461.9000001</v>
      </c>
      <c r="S22" s="190">
        <v>880897180.70000005</v>
      </c>
      <c r="T22" s="190">
        <v>0</v>
      </c>
      <c r="U22" s="190">
        <v>3057662753</v>
      </c>
      <c r="V22" s="190">
        <v>120000000</v>
      </c>
      <c r="W22" s="190">
        <v>120000000</v>
      </c>
      <c r="X22" s="190">
        <v>0</v>
      </c>
      <c r="Y22" s="190">
        <v>115646875</v>
      </c>
      <c r="Z22" s="190">
        <v>96066723.579999998</v>
      </c>
      <c r="AA22" s="190">
        <v>46719723.579999998</v>
      </c>
      <c r="AB22" s="190">
        <v>0</v>
      </c>
      <c r="AC22" s="190">
        <v>361809000</v>
      </c>
      <c r="AD22" s="190">
        <v>161809000</v>
      </c>
      <c r="AE22" s="190">
        <v>161809000</v>
      </c>
      <c r="AF22" s="190">
        <v>145650000</v>
      </c>
      <c r="AG22" s="190">
        <v>0</v>
      </c>
      <c r="AH22" s="190">
        <v>0</v>
      </c>
      <c r="AI22" s="190">
        <v>0</v>
      </c>
      <c r="AJ22" s="190">
        <v>0</v>
      </c>
      <c r="AK22" s="190">
        <v>40441266.359999999</v>
      </c>
      <c r="AL22" s="190">
        <v>0</v>
      </c>
      <c r="AM22" s="190">
        <v>0</v>
      </c>
      <c r="AN22" s="190">
        <v>0</v>
      </c>
      <c r="AO22" s="190">
        <v>2888927.91</v>
      </c>
      <c r="AP22" s="190">
        <v>16500000</v>
      </c>
      <c r="AQ22" s="190">
        <v>11094379.380000001</v>
      </c>
      <c r="AR22" s="190">
        <v>0</v>
      </c>
    </row>
    <row r="23" spans="1:44" x14ac:dyDescent="0.25">
      <c r="A23" s="190" t="s">
        <v>239</v>
      </c>
      <c r="B23" s="190">
        <v>587731.57999999996</v>
      </c>
      <c r="C23" s="190">
        <v>587731.57999999996</v>
      </c>
      <c r="D23" s="190">
        <v>0</v>
      </c>
      <c r="E23" s="190">
        <v>118873122.11</v>
      </c>
      <c r="F23" s="190">
        <v>0</v>
      </c>
      <c r="G23" s="190">
        <v>0</v>
      </c>
      <c r="H23" s="190">
        <v>116186061.15000001</v>
      </c>
      <c r="I23" s="190">
        <v>2944714.69</v>
      </c>
      <c r="J23" s="190">
        <v>0</v>
      </c>
      <c r="K23" s="190">
        <v>0</v>
      </c>
      <c r="L23" s="190">
        <v>0</v>
      </c>
      <c r="M23" s="190">
        <v>9524719.7599999998</v>
      </c>
      <c r="N23" s="190">
        <v>0</v>
      </c>
      <c r="O23" s="190">
        <v>0</v>
      </c>
      <c r="P23" s="190">
        <v>0</v>
      </c>
      <c r="Q23" s="190">
        <v>0</v>
      </c>
      <c r="R23" s="190">
        <v>0</v>
      </c>
      <c r="S23" s="190">
        <v>0</v>
      </c>
      <c r="T23" s="190">
        <v>0</v>
      </c>
      <c r="U23" s="190">
        <v>7206380.75</v>
      </c>
      <c r="V23" s="190">
        <v>15300000</v>
      </c>
      <c r="W23" s="190">
        <v>15300000</v>
      </c>
      <c r="X23" s="190">
        <v>90300000</v>
      </c>
      <c r="Y23" s="190">
        <v>639417659.33000004</v>
      </c>
      <c r="Z23" s="190">
        <v>817617355.36000001</v>
      </c>
      <c r="AA23" s="190">
        <v>0</v>
      </c>
      <c r="AB23" s="190">
        <v>0</v>
      </c>
      <c r="AC23" s="190">
        <v>116500000</v>
      </c>
      <c r="AD23" s="190">
        <v>0</v>
      </c>
      <c r="AE23" s="190">
        <v>0</v>
      </c>
      <c r="AF23" s="190">
        <v>0</v>
      </c>
      <c r="AG23" s="190">
        <v>0</v>
      </c>
      <c r="AH23" s="190">
        <v>702998.45</v>
      </c>
      <c r="AI23" s="190">
        <v>0</v>
      </c>
      <c r="AJ23" s="190">
        <v>0</v>
      </c>
      <c r="AK23" s="190">
        <v>0</v>
      </c>
      <c r="AL23" s="190">
        <v>0</v>
      </c>
      <c r="AM23" s="190">
        <v>0</v>
      </c>
      <c r="AN23" s="190">
        <v>0</v>
      </c>
      <c r="AO23" s="190">
        <v>150000000</v>
      </c>
      <c r="AP23" s="190">
        <v>0</v>
      </c>
      <c r="AQ23" s="190">
        <v>0</v>
      </c>
      <c r="AR23" s="190">
        <v>0</v>
      </c>
    </row>
    <row r="24" spans="1:44" x14ac:dyDescent="0.25">
      <c r="A24" s="190" t="s">
        <v>240</v>
      </c>
      <c r="B24" s="190">
        <v>82660565.769999996</v>
      </c>
      <c r="C24" s="190">
        <v>82660565.769999996</v>
      </c>
      <c r="D24" s="190">
        <v>38277329.149999999</v>
      </c>
      <c r="E24" s="190">
        <v>1011269058.11</v>
      </c>
      <c r="F24" s="190">
        <v>85394392.209999993</v>
      </c>
      <c r="G24" s="190">
        <v>34031217.740000002</v>
      </c>
      <c r="H24" s="190">
        <v>0</v>
      </c>
      <c r="I24" s="190">
        <v>24977845.34</v>
      </c>
      <c r="J24" s="190">
        <v>0</v>
      </c>
      <c r="K24" s="190">
        <v>0</v>
      </c>
      <c r="L24" s="190">
        <v>0</v>
      </c>
      <c r="M24" s="190">
        <v>0</v>
      </c>
      <c r="N24" s="190">
        <v>0</v>
      </c>
      <c r="O24" s="190">
        <v>0</v>
      </c>
      <c r="P24" s="190">
        <v>0</v>
      </c>
      <c r="Q24" s="190">
        <v>0</v>
      </c>
      <c r="R24" s="190">
        <v>0</v>
      </c>
      <c r="S24" s="190">
        <v>0</v>
      </c>
      <c r="T24" s="190">
        <v>0</v>
      </c>
      <c r="U24" s="190">
        <v>0</v>
      </c>
      <c r="V24" s="190">
        <v>800850000</v>
      </c>
      <c r="W24" s="190">
        <v>834500000</v>
      </c>
      <c r="X24" s="190">
        <v>500000000</v>
      </c>
      <c r="Y24" s="190">
        <v>18500000</v>
      </c>
      <c r="Z24" s="190">
        <v>0</v>
      </c>
      <c r="AA24" s="190">
        <v>0</v>
      </c>
      <c r="AB24" s="190">
        <v>0</v>
      </c>
      <c r="AC24" s="190">
        <v>0</v>
      </c>
      <c r="AD24" s="190">
        <v>0</v>
      </c>
      <c r="AE24" s="190">
        <v>0</v>
      </c>
      <c r="AF24" s="190">
        <v>0</v>
      </c>
      <c r="AG24" s="190">
        <v>0</v>
      </c>
      <c r="AH24" s="190">
        <v>72800</v>
      </c>
      <c r="AI24" s="190">
        <v>72800</v>
      </c>
      <c r="AJ24" s="190">
        <v>0</v>
      </c>
      <c r="AK24" s="190">
        <v>0</v>
      </c>
      <c r="AL24" s="190">
        <v>0</v>
      </c>
      <c r="AM24" s="190">
        <v>132368.68</v>
      </c>
      <c r="AN24" s="190">
        <v>0</v>
      </c>
      <c r="AO24" s="190">
        <v>0</v>
      </c>
      <c r="AP24" s="190">
        <v>0</v>
      </c>
      <c r="AQ24" s="190">
        <v>0</v>
      </c>
      <c r="AR24" s="190">
        <v>0</v>
      </c>
    </row>
    <row r="25" spans="1:44" x14ac:dyDescent="0.25">
      <c r="A25" s="190" t="s">
        <v>241</v>
      </c>
      <c r="B25" s="190">
        <v>6100816290.1599998</v>
      </c>
      <c r="C25" s="190">
        <v>4697064901.5699997</v>
      </c>
      <c r="D25" s="190">
        <v>3500870250.6799998</v>
      </c>
      <c r="E25" s="190">
        <v>13573041714.049999</v>
      </c>
      <c r="F25" s="190">
        <v>10088342394.17</v>
      </c>
      <c r="G25" s="190">
        <v>9056806908.6700001</v>
      </c>
      <c r="H25" s="190">
        <v>5891920210.0200005</v>
      </c>
      <c r="I25" s="190">
        <v>18871395421.34</v>
      </c>
      <c r="J25" s="190">
        <v>11141208452.620001</v>
      </c>
      <c r="K25" s="190">
        <v>8198458534.5900002</v>
      </c>
      <c r="L25" s="190">
        <v>3149941018.6799998</v>
      </c>
      <c r="M25" s="190">
        <v>15834981937.74</v>
      </c>
      <c r="N25" s="190">
        <v>12802348689.129999</v>
      </c>
      <c r="O25" s="190">
        <v>7282818810.8199997</v>
      </c>
      <c r="P25" s="190">
        <v>2010759945.77</v>
      </c>
      <c r="Q25" s="190">
        <v>3441095778.4000001</v>
      </c>
      <c r="R25" s="190">
        <v>2004068669.0899999</v>
      </c>
      <c r="S25" s="190">
        <v>1094064668.1199999</v>
      </c>
      <c r="T25" s="190">
        <v>134798968.43000001</v>
      </c>
      <c r="U25" s="190">
        <v>3586521528.3299999</v>
      </c>
      <c r="V25" s="190">
        <v>1271559080.9300001</v>
      </c>
      <c r="W25" s="190">
        <v>1184075788</v>
      </c>
      <c r="X25" s="190">
        <v>694885971.77999997</v>
      </c>
      <c r="Y25" s="190">
        <v>1686351563.45</v>
      </c>
      <c r="Z25" s="190">
        <v>1317675685.8199999</v>
      </c>
      <c r="AA25" s="190">
        <v>252993372.40000001</v>
      </c>
      <c r="AB25" s="190">
        <v>57100908.82</v>
      </c>
      <c r="AC25" s="190">
        <v>757823702.90999997</v>
      </c>
      <c r="AD25" s="190">
        <v>351939041.66000003</v>
      </c>
      <c r="AE25" s="190">
        <v>282772529.97000003</v>
      </c>
      <c r="AF25" s="190">
        <v>200952359.46000001</v>
      </c>
      <c r="AG25" s="190">
        <v>100383291.88</v>
      </c>
      <c r="AH25" s="190">
        <v>89090485.359999999</v>
      </c>
      <c r="AI25" s="190">
        <v>46946789.75</v>
      </c>
      <c r="AJ25" s="190">
        <v>12514110.98</v>
      </c>
      <c r="AK25" s="190">
        <v>106700015.2</v>
      </c>
      <c r="AL25" s="190">
        <v>37074111.770000003</v>
      </c>
      <c r="AM25" s="190">
        <v>24772990.149999999</v>
      </c>
      <c r="AN25" s="190">
        <v>9715572.3200000003</v>
      </c>
      <c r="AO25" s="190">
        <v>274687824.63999999</v>
      </c>
      <c r="AP25" s="190">
        <v>117297534.72</v>
      </c>
      <c r="AQ25" s="190">
        <v>70742643.400000006</v>
      </c>
      <c r="AR25" s="190">
        <v>0</v>
      </c>
    </row>
    <row r="26" spans="1:44" x14ac:dyDescent="0.25">
      <c r="A26" s="190" t="s">
        <v>242</v>
      </c>
      <c r="B26" s="190">
        <v>-1136682097.55</v>
      </c>
      <c r="C26" s="190">
        <v>-333041123.86000001</v>
      </c>
      <c r="D26" s="190">
        <v>-116979240.66</v>
      </c>
      <c r="E26" s="190">
        <v>-2713324908.1999998</v>
      </c>
      <c r="F26" s="190">
        <v>-1391790149.6199999</v>
      </c>
      <c r="G26" s="190">
        <v>-623404086.67999995</v>
      </c>
      <c r="H26" s="190">
        <v>-823084059.75999999</v>
      </c>
      <c r="I26" s="190">
        <v>-4260873854.4299998</v>
      </c>
      <c r="J26" s="190">
        <v>-132050009.62</v>
      </c>
      <c r="K26" s="190">
        <v>-1207417745.49</v>
      </c>
      <c r="L26" s="190">
        <v>365432478.38999999</v>
      </c>
      <c r="M26" s="190">
        <v>-1082937558.6500001</v>
      </c>
      <c r="N26" s="190">
        <v>-914187779.62</v>
      </c>
      <c r="O26" s="190">
        <v>-315289037.55000001</v>
      </c>
      <c r="P26" s="190">
        <v>-315422835.45999998</v>
      </c>
      <c r="Q26" s="190">
        <v>-392671346.25999999</v>
      </c>
      <c r="R26" s="190">
        <v>247585259.47999999</v>
      </c>
      <c r="S26" s="190">
        <v>-6392744.9900000002</v>
      </c>
      <c r="T26" s="190">
        <v>434076171.62</v>
      </c>
      <c r="U26" s="190">
        <v>-1517128350.48</v>
      </c>
      <c r="V26" s="190">
        <v>-1182171175.2</v>
      </c>
      <c r="W26" s="190">
        <v>-1118112764.9400001</v>
      </c>
      <c r="X26" s="190">
        <v>-651363125.11000001</v>
      </c>
      <c r="Y26" s="190">
        <v>-1649193851.1199999</v>
      </c>
      <c r="Z26" s="190">
        <v>-1215168153.5899999</v>
      </c>
      <c r="AA26" s="190">
        <v>-173703572.13999999</v>
      </c>
      <c r="AB26" s="190">
        <v>-881988.81</v>
      </c>
      <c r="AC26" s="190">
        <v>-640853603.99000001</v>
      </c>
      <c r="AD26" s="190">
        <v>-278549179.94</v>
      </c>
      <c r="AE26" s="190">
        <v>-233482394.18000001</v>
      </c>
      <c r="AF26" s="190">
        <v>-200937169.46000001</v>
      </c>
      <c r="AG26" s="190">
        <v>-66549526.829999998</v>
      </c>
      <c r="AH26" s="190">
        <v>-84480066.719999999</v>
      </c>
      <c r="AI26" s="190">
        <v>-43513554.810000002</v>
      </c>
      <c r="AJ26" s="190">
        <v>-12314062.59</v>
      </c>
      <c r="AK26" s="190">
        <v>-63240014.420000002</v>
      </c>
      <c r="AL26" s="190">
        <v>-13217685.789999999</v>
      </c>
      <c r="AM26" s="190">
        <v>3990261.18</v>
      </c>
      <c r="AN26" s="190">
        <v>-9715572.3200000003</v>
      </c>
      <c r="AO26" s="190">
        <v>-259961245.74000001</v>
      </c>
      <c r="AP26" s="190">
        <v>-47684409.600000001</v>
      </c>
      <c r="AQ26" s="190">
        <v>-68540155.060000002</v>
      </c>
      <c r="AR26" s="190">
        <v>0</v>
      </c>
    </row>
    <row r="27" spans="1:44" x14ac:dyDescent="0.25">
      <c r="A27" s="190" t="s">
        <v>243</v>
      </c>
    </row>
    <row r="28" spans="1:44" x14ac:dyDescent="0.25">
      <c r="A28" s="190" t="s">
        <v>244</v>
      </c>
      <c r="B28" s="190">
        <v>1894549.12</v>
      </c>
      <c r="C28" s="190">
        <v>853043.19999999995</v>
      </c>
      <c r="D28" s="190">
        <v>1121201.32</v>
      </c>
      <c r="E28" s="190">
        <v>4459434714.3599997</v>
      </c>
      <c r="F28" s="190">
        <v>4623944087.3900003</v>
      </c>
      <c r="G28" s="190">
        <v>4404939790.8900003</v>
      </c>
      <c r="H28" s="190">
        <v>4397007838.8900003</v>
      </c>
      <c r="I28" s="190">
        <v>65108022.340000004</v>
      </c>
      <c r="J28" s="190">
        <v>68516522.5</v>
      </c>
      <c r="K28" s="190">
        <v>61466522.5</v>
      </c>
      <c r="L28" s="190">
        <v>0</v>
      </c>
      <c r="M28" s="190">
        <v>800000</v>
      </c>
      <c r="N28" s="190">
        <v>300000</v>
      </c>
      <c r="O28" s="190">
        <v>0</v>
      </c>
      <c r="P28" s="190">
        <v>0</v>
      </c>
      <c r="Q28" s="190">
        <v>65432493</v>
      </c>
      <c r="R28" s="190">
        <v>5220888</v>
      </c>
      <c r="S28" s="190">
        <v>5220888</v>
      </c>
      <c r="T28" s="190">
        <v>600000</v>
      </c>
      <c r="U28" s="190">
        <v>79180720</v>
      </c>
      <c r="V28" s="190">
        <v>0</v>
      </c>
      <c r="W28" s="190">
        <v>0</v>
      </c>
      <c r="X28" s="190">
        <v>0</v>
      </c>
      <c r="Y28" s="190">
        <v>0</v>
      </c>
      <c r="Z28" s="190">
        <v>0</v>
      </c>
      <c r="AA28" s="190">
        <v>0</v>
      </c>
      <c r="AB28" s="190">
        <v>0</v>
      </c>
      <c r="AC28" s="190">
        <v>0</v>
      </c>
      <c r="AD28" s="190">
        <v>0</v>
      </c>
      <c r="AE28" s="190">
        <v>0</v>
      </c>
      <c r="AF28" s="190">
        <v>0</v>
      </c>
      <c r="AG28" s="190">
        <v>2460024100</v>
      </c>
      <c r="AH28" s="190">
        <v>2463024100</v>
      </c>
      <c r="AI28" s="190">
        <v>2463024100</v>
      </c>
      <c r="AJ28" s="190">
        <v>2463024100</v>
      </c>
      <c r="AK28" s="190">
        <v>0</v>
      </c>
      <c r="AL28" s="190">
        <v>0</v>
      </c>
      <c r="AM28" s="190">
        <v>0</v>
      </c>
      <c r="AN28" s="190">
        <v>0</v>
      </c>
      <c r="AO28" s="190">
        <v>0</v>
      </c>
      <c r="AP28" s="190">
        <v>26749800</v>
      </c>
      <c r="AQ28" s="190">
        <v>4230000</v>
      </c>
      <c r="AR28" s="190">
        <v>0</v>
      </c>
    </row>
    <row r="29" spans="1:44" x14ac:dyDescent="0.25">
      <c r="A29" s="190" t="s">
        <v>245</v>
      </c>
      <c r="B29" s="190">
        <v>1894549.12</v>
      </c>
      <c r="C29" s="190">
        <v>853043.19999999995</v>
      </c>
      <c r="D29" s="190">
        <v>853043.19999999995</v>
      </c>
      <c r="E29" s="190">
        <v>62778329.200000003</v>
      </c>
      <c r="F29" s="190">
        <v>49874821.240000002</v>
      </c>
      <c r="G29" s="190">
        <v>0</v>
      </c>
      <c r="H29" s="190">
        <v>6358320</v>
      </c>
      <c r="I29" s="190">
        <v>4347747.97</v>
      </c>
      <c r="J29" s="190">
        <v>7050000</v>
      </c>
      <c r="K29" s="190">
        <v>0</v>
      </c>
      <c r="L29" s="190">
        <v>0</v>
      </c>
      <c r="M29" s="190">
        <v>800000</v>
      </c>
      <c r="N29" s="190">
        <v>300000</v>
      </c>
      <c r="O29" s="190">
        <v>0</v>
      </c>
      <c r="P29" s="190">
        <v>0</v>
      </c>
      <c r="Q29" s="190">
        <v>0</v>
      </c>
      <c r="R29" s="190">
        <v>600000</v>
      </c>
      <c r="S29" s="190">
        <v>600000</v>
      </c>
      <c r="T29" s="190">
        <v>600000</v>
      </c>
      <c r="U29" s="190">
        <v>18700000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26749800</v>
      </c>
      <c r="AQ29" s="190">
        <v>4230000</v>
      </c>
      <c r="AR29" s="190">
        <v>0</v>
      </c>
    </row>
    <row r="30" spans="1:44" x14ac:dyDescent="0.25">
      <c r="A30" s="190" t="s">
        <v>246</v>
      </c>
      <c r="B30" s="190">
        <v>1957278663.8</v>
      </c>
      <c r="C30" s="190">
        <v>1537353405.0799999</v>
      </c>
      <c r="D30" s="190">
        <v>742831628.99000001</v>
      </c>
      <c r="E30" s="190">
        <v>3929656263.1599998</v>
      </c>
      <c r="F30" s="190">
        <v>3437565488.25</v>
      </c>
      <c r="G30" s="190">
        <v>1997173422.3099999</v>
      </c>
      <c r="H30" s="190">
        <v>1443791089.8199999</v>
      </c>
      <c r="I30" s="190">
        <v>6591307762.0799999</v>
      </c>
      <c r="J30" s="190">
        <v>23499630</v>
      </c>
      <c r="K30" s="190">
        <v>23499630</v>
      </c>
      <c r="L30" s="190">
        <v>23499630</v>
      </c>
      <c r="M30" s="190">
        <v>205000360</v>
      </c>
      <c r="N30" s="190">
        <v>178652090</v>
      </c>
      <c r="O30" s="190">
        <v>88652090</v>
      </c>
      <c r="P30" s="190">
        <v>28652090</v>
      </c>
      <c r="Q30" s="190">
        <v>462629022</v>
      </c>
      <c r="R30" s="190">
        <v>244950244.28999999</v>
      </c>
      <c r="S30" s="190">
        <v>194950244.28999999</v>
      </c>
      <c r="T30" s="190">
        <v>11878337.970000001</v>
      </c>
      <c r="U30" s="190">
        <v>509972905.5</v>
      </c>
      <c r="V30" s="190">
        <v>151049314.47</v>
      </c>
      <c r="W30" s="190">
        <v>78229892.469999999</v>
      </c>
      <c r="X30" s="190">
        <v>133137032.48</v>
      </c>
      <c r="Y30" s="190">
        <v>538002314.98000002</v>
      </c>
      <c r="Z30" s="190">
        <v>50033637.170000002</v>
      </c>
      <c r="AA30" s="190">
        <v>37926532.399999999</v>
      </c>
      <c r="AB30" s="190">
        <v>11924341</v>
      </c>
      <c r="AC30" s="190">
        <v>1096755</v>
      </c>
      <c r="AD30" s="190">
        <v>1112463</v>
      </c>
      <c r="AE30" s="190">
        <v>1299276</v>
      </c>
      <c r="AF30" s="190">
        <v>0</v>
      </c>
      <c r="AG30" s="190">
        <v>0</v>
      </c>
      <c r="AH30" s="190">
        <v>0</v>
      </c>
      <c r="AI30" s="190">
        <v>0</v>
      </c>
      <c r="AJ30" s="190">
        <v>0</v>
      </c>
      <c r="AK30" s="190">
        <v>49261873.600000001</v>
      </c>
      <c r="AL30" s="190">
        <v>42668496</v>
      </c>
      <c r="AM30" s="190">
        <v>42631056</v>
      </c>
      <c r="AN30" s="190">
        <v>42668496</v>
      </c>
      <c r="AO30" s="190">
        <v>405700550.44999999</v>
      </c>
      <c r="AP30" s="190">
        <v>568769594.44000006</v>
      </c>
      <c r="AQ30" s="190">
        <v>583386186.24000001</v>
      </c>
      <c r="AR30" s="190">
        <v>0</v>
      </c>
    </row>
    <row r="31" spans="1:4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1489500000</v>
      </c>
      <c r="AD31" s="190">
        <v>1489500000</v>
      </c>
      <c r="AE31" s="190">
        <v>0</v>
      </c>
      <c r="AF31" s="190">
        <v>0</v>
      </c>
      <c r="AG31" s="190">
        <v>0</v>
      </c>
      <c r="AH31" s="190">
        <v>0</v>
      </c>
      <c r="AI31" s="190">
        <v>0</v>
      </c>
      <c r="AJ31" s="190">
        <v>0</v>
      </c>
      <c r="AK31" s="190">
        <v>0</v>
      </c>
      <c r="AL31" s="190">
        <v>0</v>
      </c>
      <c r="AM31" s="190">
        <v>0</v>
      </c>
      <c r="AN31" s="190">
        <v>0</v>
      </c>
      <c r="AO31" s="190">
        <v>0</v>
      </c>
      <c r="AP31" s="190">
        <v>0</v>
      </c>
      <c r="AQ31" s="190">
        <v>0</v>
      </c>
      <c r="AR31" s="190">
        <v>0</v>
      </c>
    </row>
    <row r="32" spans="1:44" x14ac:dyDescent="0.25">
      <c r="A32" s="190" t="s">
        <v>248</v>
      </c>
      <c r="B32" s="190">
        <v>13904000</v>
      </c>
      <c r="C32" s="190">
        <v>0</v>
      </c>
      <c r="D32" s="190">
        <v>0</v>
      </c>
      <c r="E32" s="190">
        <v>264428625.41999999</v>
      </c>
      <c r="F32" s="190">
        <v>42538770.770000003</v>
      </c>
      <c r="G32" s="190">
        <v>2684000</v>
      </c>
      <c r="H32" s="190">
        <v>0</v>
      </c>
      <c r="I32" s="190">
        <v>1529385162.04</v>
      </c>
      <c r="J32" s="190">
        <v>0</v>
      </c>
      <c r="K32" s="190">
        <v>0</v>
      </c>
      <c r="L32" s="190">
        <v>0</v>
      </c>
      <c r="M32" s="190">
        <v>3024000</v>
      </c>
      <c r="N32" s="190">
        <v>0</v>
      </c>
      <c r="O32" s="190">
        <v>0</v>
      </c>
      <c r="P32" s="190">
        <v>0</v>
      </c>
      <c r="Q32" s="190">
        <v>0</v>
      </c>
      <c r="R32" s="190">
        <v>44850571.939999998</v>
      </c>
      <c r="S32" s="190">
        <v>44850410.020000003</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2890665.9</v>
      </c>
      <c r="AK32" s="190">
        <v>0</v>
      </c>
      <c r="AL32" s="190">
        <v>0</v>
      </c>
      <c r="AM32" s="190">
        <v>0</v>
      </c>
      <c r="AN32" s="190">
        <v>22634751.550000001</v>
      </c>
      <c r="AO32" s="190">
        <v>0</v>
      </c>
      <c r="AP32" s="190">
        <v>0</v>
      </c>
      <c r="AQ32" s="190">
        <v>0</v>
      </c>
      <c r="AR32" s="190">
        <v>0</v>
      </c>
    </row>
    <row r="33" spans="1:44" x14ac:dyDescent="0.25">
      <c r="A33" s="190" t="s">
        <v>249</v>
      </c>
      <c r="B33" s="190">
        <v>1973077212.9200001</v>
      </c>
      <c r="C33" s="190">
        <v>1538206448.28</v>
      </c>
      <c r="D33" s="190">
        <v>743952830.30999994</v>
      </c>
      <c r="E33" s="190">
        <v>8653519602.9400005</v>
      </c>
      <c r="F33" s="190">
        <v>8104048346.4099998</v>
      </c>
      <c r="G33" s="190">
        <v>6404797213.1999998</v>
      </c>
      <c r="H33" s="190">
        <v>5840798928.71</v>
      </c>
      <c r="I33" s="190">
        <v>8185800946.46</v>
      </c>
      <c r="J33" s="190">
        <v>92016152.5</v>
      </c>
      <c r="K33" s="190">
        <v>84966152.5</v>
      </c>
      <c r="L33" s="190">
        <v>23499630</v>
      </c>
      <c r="M33" s="190">
        <v>208824360</v>
      </c>
      <c r="N33" s="190">
        <v>178952090</v>
      </c>
      <c r="O33" s="190">
        <v>88652090</v>
      </c>
      <c r="P33" s="190">
        <v>28652090</v>
      </c>
      <c r="Q33" s="190">
        <v>528061515</v>
      </c>
      <c r="R33" s="190">
        <v>295021704.23000002</v>
      </c>
      <c r="S33" s="190">
        <v>245021542.31</v>
      </c>
      <c r="T33" s="190">
        <v>12478337.970000001</v>
      </c>
      <c r="U33" s="190">
        <v>589153625.5</v>
      </c>
      <c r="V33" s="190">
        <v>151049314.47</v>
      </c>
      <c r="W33" s="190">
        <v>78229892.469999999</v>
      </c>
      <c r="X33" s="190">
        <v>133137032.48</v>
      </c>
      <c r="Y33" s="190">
        <v>538002314.98000002</v>
      </c>
      <c r="Z33" s="190">
        <v>50033637.170000002</v>
      </c>
      <c r="AA33" s="190">
        <v>37926532.399999999</v>
      </c>
      <c r="AB33" s="190">
        <v>11924341</v>
      </c>
      <c r="AC33" s="190">
        <v>1490596755</v>
      </c>
      <c r="AD33" s="190">
        <v>1490612463</v>
      </c>
      <c r="AE33" s="190">
        <v>1299276</v>
      </c>
      <c r="AF33" s="190">
        <v>0</v>
      </c>
      <c r="AG33" s="190">
        <v>2460024100</v>
      </c>
      <c r="AH33" s="190">
        <v>2463024100</v>
      </c>
      <c r="AI33" s="190">
        <v>2463024100</v>
      </c>
      <c r="AJ33" s="190">
        <v>2465914765.9000001</v>
      </c>
      <c r="AK33" s="190">
        <v>49261873.600000001</v>
      </c>
      <c r="AL33" s="190">
        <v>42668496</v>
      </c>
      <c r="AM33" s="190">
        <v>42631056</v>
      </c>
      <c r="AN33" s="190">
        <v>65303247.549999997</v>
      </c>
      <c r="AO33" s="190">
        <v>405700550.44999999</v>
      </c>
      <c r="AP33" s="190">
        <v>595519394.44000006</v>
      </c>
      <c r="AQ33" s="190">
        <v>587616186.24000001</v>
      </c>
      <c r="AR33" s="190">
        <v>0</v>
      </c>
    </row>
    <row r="34" spans="1:44" x14ac:dyDescent="0.25">
      <c r="A34" s="190" t="s">
        <v>250</v>
      </c>
      <c r="B34" s="190">
        <v>1629422254.6400001</v>
      </c>
      <c r="C34" s="190">
        <v>1254937394.3800001</v>
      </c>
      <c r="D34" s="190">
        <v>511666112.41000003</v>
      </c>
      <c r="E34" s="190">
        <v>3790552183.71</v>
      </c>
      <c r="F34" s="190">
        <v>2748870257.3200002</v>
      </c>
      <c r="G34" s="190">
        <v>2314065719.5</v>
      </c>
      <c r="H34" s="190">
        <v>1347253338.54</v>
      </c>
      <c r="I34" s="190">
        <v>5130309483.7799997</v>
      </c>
      <c r="J34" s="190">
        <v>1456650871.1300001</v>
      </c>
      <c r="K34" s="190">
        <v>62651871.130000003</v>
      </c>
      <c r="L34" s="190">
        <v>0</v>
      </c>
      <c r="M34" s="190">
        <v>440216494</v>
      </c>
      <c r="N34" s="190">
        <v>250323854</v>
      </c>
      <c r="O34" s="190">
        <v>160323854</v>
      </c>
      <c r="P34" s="190">
        <v>130323854</v>
      </c>
      <c r="Q34" s="190">
        <v>606492844.5</v>
      </c>
      <c r="R34" s="190">
        <v>339533691.31999999</v>
      </c>
      <c r="S34" s="190">
        <v>203532691.31999999</v>
      </c>
      <c r="T34" s="190">
        <v>29308685</v>
      </c>
      <c r="U34" s="190">
        <v>362497594.98000002</v>
      </c>
      <c r="V34" s="190">
        <v>0</v>
      </c>
      <c r="W34" s="190">
        <v>0</v>
      </c>
      <c r="X34" s="190">
        <v>14176040.01</v>
      </c>
      <c r="Y34" s="190">
        <v>777851055</v>
      </c>
      <c r="Z34" s="190">
        <v>145862997.38999999</v>
      </c>
      <c r="AA34" s="190">
        <v>7639156</v>
      </c>
      <c r="AB34" s="190">
        <v>631512</v>
      </c>
      <c r="AC34" s="190">
        <v>0</v>
      </c>
      <c r="AD34" s="190">
        <v>0</v>
      </c>
      <c r="AE34" s="190">
        <v>0</v>
      </c>
      <c r="AF34" s="190">
        <v>0</v>
      </c>
      <c r="AG34" s="190">
        <v>1242732.3999999999</v>
      </c>
      <c r="AH34" s="190">
        <v>1243278.3999999999</v>
      </c>
      <c r="AI34" s="190">
        <v>1243278.3999999999</v>
      </c>
      <c r="AJ34" s="190">
        <v>1243278.3999999999</v>
      </c>
      <c r="AK34" s="190">
        <v>64832257.200000003</v>
      </c>
      <c r="AL34" s="190">
        <v>26739943.390000001</v>
      </c>
      <c r="AM34" s="190">
        <v>6599425.5</v>
      </c>
      <c r="AN34" s="190">
        <v>5597004.8899999997</v>
      </c>
      <c r="AO34" s="190">
        <v>646252140.16999996</v>
      </c>
      <c r="AP34" s="190">
        <v>609951416.01999998</v>
      </c>
      <c r="AQ34" s="190">
        <v>722602900.88</v>
      </c>
      <c r="AR34" s="190">
        <v>0</v>
      </c>
    </row>
    <row r="35" spans="1:44" x14ac:dyDescent="0.25">
      <c r="A35" s="190" t="s">
        <v>550</v>
      </c>
      <c r="B35" s="190">
        <v>2431578071.1399999</v>
      </c>
      <c r="C35" s="190">
        <v>1857933219.1400001</v>
      </c>
      <c r="D35" s="190">
        <v>201294600.5</v>
      </c>
      <c r="E35" s="190">
        <v>1277271213.28</v>
      </c>
      <c r="F35" s="190">
        <v>1114322474.75</v>
      </c>
      <c r="G35" s="190">
        <v>965297142.39999998</v>
      </c>
      <c r="H35" s="190">
        <v>187708229.00999999</v>
      </c>
      <c r="I35" s="190">
        <v>1351551901.6900001</v>
      </c>
      <c r="J35" s="190">
        <v>859033075.75</v>
      </c>
      <c r="K35" s="190">
        <v>349381686.50999999</v>
      </c>
      <c r="L35" s="190">
        <v>54670964.5</v>
      </c>
      <c r="M35" s="190">
        <v>1329822246.3800001</v>
      </c>
      <c r="N35" s="190">
        <v>515668962.06999999</v>
      </c>
      <c r="O35" s="190">
        <v>424964964.37</v>
      </c>
      <c r="P35" s="190">
        <v>75439447.609999999</v>
      </c>
      <c r="Q35" s="190">
        <v>1343677209.53</v>
      </c>
      <c r="R35" s="190">
        <v>1325120432.1400001</v>
      </c>
      <c r="S35" s="190">
        <v>717794201.64999998</v>
      </c>
      <c r="T35" s="190">
        <v>51893839.780000001</v>
      </c>
      <c r="U35" s="190">
        <v>1270331318.4000001</v>
      </c>
      <c r="V35" s="190">
        <v>822969951</v>
      </c>
      <c r="W35" s="190">
        <v>716165879.5</v>
      </c>
      <c r="X35" s="190">
        <v>50175042.909999996</v>
      </c>
      <c r="Y35" s="190">
        <v>1254572861.45</v>
      </c>
      <c r="Z35" s="190">
        <v>1144887042.1500001</v>
      </c>
      <c r="AA35" s="190">
        <v>784173022.65999997</v>
      </c>
      <c r="AB35" s="190">
        <v>38900572.859999999</v>
      </c>
      <c r="AC35" s="190">
        <v>458542428.43000001</v>
      </c>
      <c r="AD35" s="190">
        <v>456902401.07999998</v>
      </c>
      <c r="AE35" s="190">
        <v>449123655.04000002</v>
      </c>
      <c r="AF35" s="190">
        <v>31020399.969999999</v>
      </c>
      <c r="AG35" s="190">
        <v>220740854.56999999</v>
      </c>
      <c r="AH35" s="190">
        <v>220740854.56999999</v>
      </c>
      <c r="AI35" s="190">
        <v>219494854.56999999</v>
      </c>
      <c r="AJ35" s="190">
        <v>5438914.5700000003</v>
      </c>
      <c r="AK35" s="190">
        <v>311750943.88999999</v>
      </c>
      <c r="AL35" s="190">
        <v>290782636.04000002</v>
      </c>
      <c r="AM35" s="190">
        <v>19428090.710000001</v>
      </c>
      <c r="AN35" s="190">
        <v>13826208</v>
      </c>
      <c r="AO35" s="190">
        <v>141627489.96000001</v>
      </c>
      <c r="AP35" s="190">
        <v>16422168.710000001</v>
      </c>
      <c r="AQ35" s="190">
        <v>22913320.809999999</v>
      </c>
      <c r="AR35" s="190">
        <v>0</v>
      </c>
    </row>
    <row r="36" spans="1:44" x14ac:dyDescent="0.25">
      <c r="A36" s="190" t="s">
        <v>251</v>
      </c>
      <c r="B36" s="190">
        <v>95152720</v>
      </c>
      <c r="C36" s="190">
        <v>95152720</v>
      </c>
      <c r="D36" s="190">
        <v>72913720</v>
      </c>
      <c r="E36" s="190">
        <v>105094941.18000001</v>
      </c>
      <c r="F36" s="190">
        <v>101453320</v>
      </c>
      <c r="G36" s="190">
        <v>72019940</v>
      </c>
      <c r="H36" s="190">
        <v>56080000</v>
      </c>
      <c r="I36" s="190">
        <v>111227300</v>
      </c>
      <c r="J36" s="190">
        <v>111227300</v>
      </c>
      <c r="K36" s="190">
        <v>86505460</v>
      </c>
      <c r="L36" s="190">
        <v>48975200</v>
      </c>
      <c r="M36" s="190">
        <v>128812640</v>
      </c>
      <c r="N36" s="190">
        <v>119541950</v>
      </c>
      <c r="O36" s="190">
        <v>119541950</v>
      </c>
      <c r="P36" s="190">
        <v>71687240</v>
      </c>
      <c r="Q36" s="190">
        <v>122048952.47</v>
      </c>
      <c r="R36" s="190">
        <v>122048952.47</v>
      </c>
      <c r="S36" s="190">
        <v>109688032.47</v>
      </c>
      <c r="T36" s="190">
        <v>48335289.979999997</v>
      </c>
      <c r="U36" s="190">
        <v>150319898.78</v>
      </c>
      <c r="V36" s="190">
        <v>118459510</v>
      </c>
      <c r="W36" s="190">
        <v>108561910</v>
      </c>
      <c r="X36" s="190">
        <v>47335200</v>
      </c>
      <c r="Y36" s="190">
        <v>100427310</v>
      </c>
      <c r="Z36" s="190">
        <v>100427310</v>
      </c>
      <c r="AA36" s="190">
        <v>79976000</v>
      </c>
      <c r="AB36" s="190">
        <v>38889600</v>
      </c>
      <c r="AC36" s="190">
        <v>54477000</v>
      </c>
      <c r="AD36" s="190">
        <v>54477000</v>
      </c>
      <c r="AE36" s="190">
        <v>54477000</v>
      </c>
      <c r="AF36" s="190">
        <v>31020399.969999999</v>
      </c>
      <c r="AG36" s="190">
        <v>19712900</v>
      </c>
      <c r="AH36" s="190">
        <v>19712900</v>
      </c>
      <c r="AI36" s="190">
        <v>19712900</v>
      </c>
      <c r="AJ36" s="190">
        <v>5410960</v>
      </c>
      <c r="AK36" s="190">
        <v>34494560</v>
      </c>
      <c r="AL36" s="190">
        <v>31606160</v>
      </c>
      <c r="AM36" s="190">
        <v>19231160</v>
      </c>
      <c r="AN36" s="190">
        <v>13678080</v>
      </c>
      <c r="AO36" s="190">
        <v>39894738.799999997</v>
      </c>
      <c r="AP36" s="190">
        <v>604311.31000000006</v>
      </c>
      <c r="AQ36" s="190">
        <v>0</v>
      </c>
      <c r="AR36" s="190">
        <v>0</v>
      </c>
    </row>
    <row r="37" spans="1:44" x14ac:dyDescent="0.25">
      <c r="A37" s="190" t="s">
        <v>252</v>
      </c>
      <c r="B37" s="190">
        <v>35420625.840000004</v>
      </c>
      <c r="C37" s="190">
        <v>18814625.84</v>
      </c>
      <c r="D37" s="190">
        <v>3594954.71</v>
      </c>
      <c r="E37" s="190">
        <v>400644047.87</v>
      </c>
      <c r="F37" s="190">
        <v>670630345.25999999</v>
      </c>
      <c r="G37" s="190">
        <v>9065395.3699999992</v>
      </c>
      <c r="H37" s="190">
        <v>27663228.25</v>
      </c>
      <c r="I37" s="190">
        <v>1426303065.22</v>
      </c>
      <c r="J37" s="190">
        <v>0</v>
      </c>
      <c r="K37" s="190">
        <v>0</v>
      </c>
      <c r="L37" s="190">
        <v>0</v>
      </c>
      <c r="M37" s="190">
        <v>64000</v>
      </c>
      <c r="N37" s="190">
        <v>0</v>
      </c>
      <c r="O37" s="190">
        <v>0</v>
      </c>
      <c r="P37" s="190">
        <v>0</v>
      </c>
      <c r="Q37" s="190">
        <v>6988461.9000000004</v>
      </c>
      <c r="R37" s="190">
        <v>0</v>
      </c>
      <c r="S37" s="190">
        <v>0</v>
      </c>
      <c r="T37" s="190">
        <v>0</v>
      </c>
      <c r="U37" s="190">
        <v>62511547.560000002</v>
      </c>
      <c r="V37" s="190">
        <v>20506306.559999999</v>
      </c>
      <c r="W37" s="190">
        <v>16879214.41</v>
      </c>
      <c r="X37" s="190">
        <v>0</v>
      </c>
      <c r="Y37" s="190">
        <v>129368908.31999999</v>
      </c>
      <c r="Z37" s="190">
        <v>0</v>
      </c>
      <c r="AA37" s="190">
        <v>0</v>
      </c>
      <c r="AB37" s="190">
        <v>0</v>
      </c>
      <c r="AC37" s="190">
        <v>0</v>
      </c>
      <c r="AD37" s="190">
        <v>810000</v>
      </c>
      <c r="AE37" s="190">
        <v>800000</v>
      </c>
      <c r="AF37" s="190">
        <v>305429.02</v>
      </c>
      <c r="AG37" s="190">
        <v>16466263.800000001</v>
      </c>
      <c r="AH37" s="190">
        <v>850505.9</v>
      </c>
      <c r="AI37" s="190">
        <v>848342.21</v>
      </c>
      <c r="AJ37" s="190">
        <v>632206.28</v>
      </c>
      <c r="AK37" s="190">
        <v>11854854.33</v>
      </c>
      <c r="AL37" s="190">
        <v>10064352.25</v>
      </c>
      <c r="AM37" s="190">
        <v>380000</v>
      </c>
      <c r="AN37" s="190">
        <v>31755.87</v>
      </c>
      <c r="AO37" s="190">
        <v>1640000</v>
      </c>
      <c r="AP37" s="190">
        <v>0</v>
      </c>
      <c r="AQ37" s="190">
        <v>0</v>
      </c>
      <c r="AR37" s="190">
        <v>0</v>
      </c>
    </row>
    <row r="38" spans="1:44" x14ac:dyDescent="0.25">
      <c r="A38" s="190" t="s">
        <v>253</v>
      </c>
      <c r="B38" s="190">
        <v>4096420951.6199999</v>
      </c>
      <c r="C38" s="190">
        <v>3131685239.3600001</v>
      </c>
      <c r="D38" s="190">
        <v>716555667.62</v>
      </c>
      <c r="E38" s="190">
        <v>5468467444.8599997</v>
      </c>
      <c r="F38" s="190">
        <v>4533823077.3299999</v>
      </c>
      <c r="G38" s="190">
        <v>3288428257.27</v>
      </c>
      <c r="H38" s="190">
        <v>1562624795.8</v>
      </c>
      <c r="I38" s="190">
        <v>7908164450.6899996</v>
      </c>
      <c r="J38" s="190">
        <v>2315683946.8800001</v>
      </c>
      <c r="K38" s="190">
        <v>412033557.63999999</v>
      </c>
      <c r="L38" s="190">
        <v>54670964.5</v>
      </c>
      <c r="M38" s="190">
        <v>1770102740.3800001</v>
      </c>
      <c r="N38" s="190">
        <v>765992816.07000005</v>
      </c>
      <c r="O38" s="190">
        <v>585288818.37</v>
      </c>
      <c r="P38" s="190">
        <v>205763301.61000001</v>
      </c>
      <c r="Q38" s="190">
        <v>1957158515.9300001</v>
      </c>
      <c r="R38" s="190">
        <v>1664654123.46</v>
      </c>
      <c r="S38" s="190">
        <v>921326892.97000003</v>
      </c>
      <c r="T38" s="190">
        <v>81202524.780000001</v>
      </c>
      <c r="U38" s="190">
        <v>1695340460.9400001</v>
      </c>
      <c r="V38" s="190">
        <v>843476257.55999994</v>
      </c>
      <c r="W38" s="190">
        <v>733045093.90999997</v>
      </c>
      <c r="X38" s="190">
        <v>64351082.920000002</v>
      </c>
      <c r="Y38" s="190">
        <v>2161792824.77</v>
      </c>
      <c r="Z38" s="190">
        <v>1290750039.54</v>
      </c>
      <c r="AA38" s="190">
        <v>791812178.65999997</v>
      </c>
      <c r="AB38" s="190">
        <v>39532084.859999999</v>
      </c>
      <c r="AC38" s="190">
        <v>458542428.43000001</v>
      </c>
      <c r="AD38" s="190">
        <v>457712401.07999998</v>
      </c>
      <c r="AE38" s="190">
        <v>449923655.04000002</v>
      </c>
      <c r="AF38" s="190">
        <v>31325828.989999998</v>
      </c>
      <c r="AG38" s="190">
        <v>238449850.77000001</v>
      </c>
      <c r="AH38" s="190">
        <v>222834638.87</v>
      </c>
      <c r="AI38" s="190">
        <v>221586475.18000001</v>
      </c>
      <c r="AJ38" s="190">
        <v>7314399.25</v>
      </c>
      <c r="AK38" s="190">
        <v>388438055.42000002</v>
      </c>
      <c r="AL38" s="190">
        <v>327586931.68000001</v>
      </c>
      <c r="AM38" s="190">
        <v>26407516.210000001</v>
      </c>
      <c r="AN38" s="190">
        <v>19454968.760000002</v>
      </c>
      <c r="AO38" s="190">
        <v>789519630.13</v>
      </c>
      <c r="AP38" s="190">
        <v>626373584.73000002</v>
      </c>
      <c r="AQ38" s="190">
        <v>745516221.69000006</v>
      </c>
      <c r="AR38" s="190">
        <v>0</v>
      </c>
    </row>
    <row r="39" spans="1:44" x14ac:dyDescent="0.25">
      <c r="A39" s="190" t="s">
        <v>254</v>
      </c>
      <c r="B39" s="190">
        <v>-2123343738.7</v>
      </c>
      <c r="C39" s="190">
        <v>-1593478791.0799999</v>
      </c>
      <c r="D39" s="190">
        <v>27397162.690000001</v>
      </c>
      <c r="E39" s="190">
        <v>3185052158.0799999</v>
      </c>
      <c r="F39" s="190">
        <v>3570225269.0799999</v>
      </c>
      <c r="G39" s="190">
        <v>3116368955.9299998</v>
      </c>
      <c r="H39" s="190">
        <v>4278174132.9099998</v>
      </c>
      <c r="I39" s="190">
        <v>277636495.76999998</v>
      </c>
      <c r="J39" s="190">
        <v>-2223667794.3800001</v>
      </c>
      <c r="K39" s="190">
        <v>-327067405.13999999</v>
      </c>
      <c r="L39" s="190">
        <v>-31171334.5</v>
      </c>
      <c r="M39" s="190">
        <v>-1561278380.3800001</v>
      </c>
      <c r="N39" s="190">
        <v>-587040726.07000005</v>
      </c>
      <c r="O39" s="190">
        <v>-496636728.37</v>
      </c>
      <c r="P39" s="190">
        <v>-177111211.61000001</v>
      </c>
      <c r="Q39" s="190">
        <v>-1429097000.9300001</v>
      </c>
      <c r="R39" s="190">
        <v>-1369632419.23</v>
      </c>
      <c r="S39" s="190">
        <v>-676305350.65999997</v>
      </c>
      <c r="T39" s="190">
        <v>-68724186.810000002</v>
      </c>
      <c r="U39" s="190">
        <v>-1106186835.4400001</v>
      </c>
      <c r="V39" s="190">
        <v>-692426943.09000003</v>
      </c>
      <c r="W39" s="190">
        <v>-654815201.44000006</v>
      </c>
      <c r="X39" s="190">
        <v>68785949.560000002</v>
      </c>
      <c r="Y39" s="190">
        <v>-1623790509.79</v>
      </c>
      <c r="Z39" s="190">
        <v>-1240716402.3699999</v>
      </c>
      <c r="AA39" s="190">
        <v>-753885646.25999999</v>
      </c>
      <c r="AB39" s="190">
        <v>-27607743.859999999</v>
      </c>
      <c r="AC39" s="190">
        <v>1032054326.5700001</v>
      </c>
      <c r="AD39" s="190">
        <v>1032900061.92</v>
      </c>
      <c r="AE39" s="190">
        <v>-448624379.04000002</v>
      </c>
      <c r="AF39" s="190">
        <v>-31325828.989999998</v>
      </c>
      <c r="AG39" s="190">
        <v>2221574249.23</v>
      </c>
      <c r="AH39" s="190">
        <v>2240189461.1300001</v>
      </c>
      <c r="AI39" s="190">
        <v>2241437624.8200002</v>
      </c>
      <c r="AJ39" s="190">
        <v>2458600366.6500001</v>
      </c>
      <c r="AK39" s="190">
        <v>-339176181.81999999</v>
      </c>
      <c r="AL39" s="190">
        <v>-284918435.68000001</v>
      </c>
      <c r="AM39" s="190">
        <v>16223539.789999999</v>
      </c>
      <c r="AN39" s="190">
        <v>45848278.789999999</v>
      </c>
      <c r="AO39" s="190">
        <v>-383819079.68000001</v>
      </c>
      <c r="AP39" s="190">
        <v>-30854190.289999999</v>
      </c>
      <c r="AQ39" s="190">
        <v>-157900035.44999999</v>
      </c>
      <c r="AR39" s="190">
        <v>0</v>
      </c>
    </row>
    <row r="40" spans="1:44" x14ac:dyDescent="0.25">
      <c r="A40" s="190" t="s">
        <v>255</v>
      </c>
      <c r="B40" s="190">
        <v>-2144698.23</v>
      </c>
      <c r="C40" s="190">
        <v>-5917348.1600000001</v>
      </c>
      <c r="D40" s="190">
        <v>-32008057.719999999</v>
      </c>
      <c r="E40" s="190">
        <v>-28567170.48</v>
      </c>
      <c r="F40" s="190">
        <v>-2228018.2400000002</v>
      </c>
      <c r="G40" s="190">
        <v>4682470.03</v>
      </c>
      <c r="H40" s="190">
        <v>-123460.81</v>
      </c>
      <c r="I40" s="190">
        <v>-1053476.82</v>
      </c>
      <c r="J40" s="190">
        <v>10828909.119999999</v>
      </c>
      <c r="K40" s="190">
        <v>5671401.1600000001</v>
      </c>
      <c r="L40" s="190">
        <v>-614021.19999999995</v>
      </c>
      <c r="M40" s="190">
        <v>0</v>
      </c>
      <c r="N40" s="190">
        <v>1891905.09</v>
      </c>
      <c r="O40" s="190">
        <v>-4952724.21</v>
      </c>
      <c r="P40" s="190">
        <v>-5517575.8799999999</v>
      </c>
      <c r="Q40" s="190">
        <v>0</v>
      </c>
      <c r="R40" s="190">
        <v>-5867144.8399999999</v>
      </c>
      <c r="S40" s="190">
        <v>638955.35</v>
      </c>
      <c r="T40" s="190">
        <v>548621.01</v>
      </c>
      <c r="U40" s="190">
        <v>0</v>
      </c>
      <c r="V40" s="190">
        <v>-1878794.66</v>
      </c>
      <c r="W40" s="190">
        <v>-1772776.09</v>
      </c>
      <c r="X40" s="190">
        <v>-1261223.75</v>
      </c>
      <c r="Y40" s="190">
        <v>0</v>
      </c>
      <c r="Z40" s="190">
        <v>55928.99</v>
      </c>
      <c r="AA40" s="190">
        <v>-992574.02</v>
      </c>
      <c r="AB40" s="190">
        <v>-59673.39</v>
      </c>
      <c r="AC40" s="190">
        <v>-665235.02</v>
      </c>
      <c r="AD40" s="190">
        <v>-1241672.4099999999</v>
      </c>
      <c r="AE40" s="190">
        <v>-211029.98</v>
      </c>
      <c r="AF40" s="190">
        <v>31368.42</v>
      </c>
      <c r="AG40" s="190">
        <v>-106535.89</v>
      </c>
      <c r="AH40" s="190">
        <v>0</v>
      </c>
      <c r="AI40" s="190">
        <v>0</v>
      </c>
      <c r="AJ40" s="190">
        <v>-3012920.42</v>
      </c>
      <c r="AK40" s="190">
        <v>0</v>
      </c>
      <c r="AL40" s="190">
        <v>0</v>
      </c>
      <c r="AM40" s="190">
        <v>0</v>
      </c>
      <c r="AN40" s="190">
        <v>-1185455.9099999999</v>
      </c>
      <c r="AO40" s="190">
        <v>0</v>
      </c>
      <c r="AP40" s="190">
        <v>0</v>
      </c>
      <c r="AQ40" s="190">
        <v>0</v>
      </c>
      <c r="AR40" s="190">
        <v>0</v>
      </c>
    </row>
    <row r="41" spans="1:44" x14ac:dyDescent="0.25">
      <c r="A41" s="190" t="s">
        <v>256</v>
      </c>
      <c r="B41" s="190">
        <v>-1777700768.3199999</v>
      </c>
      <c r="C41" s="190">
        <v>-885393607.44000006</v>
      </c>
      <c r="D41" s="190">
        <v>-10966448.880000001</v>
      </c>
      <c r="E41" s="190">
        <v>3010781450.5799999</v>
      </c>
      <c r="F41" s="190">
        <v>3935853154.6199999</v>
      </c>
      <c r="G41" s="190">
        <v>3310061861.1799998</v>
      </c>
      <c r="H41" s="190">
        <v>3398872930.9299998</v>
      </c>
      <c r="I41" s="190">
        <v>913907463.85000002</v>
      </c>
      <c r="J41" s="190">
        <v>-489469912.63999999</v>
      </c>
      <c r="K41" s="190">
        <v>-62958664.649999999</v>
      </c>
      <c r="L41" s="190">
        <v>730939225.08000004</v>
      </c>
      <c r="M41" s="190">
        <v>-718606000.75999999</v>
      </c>
      <c r="N41" s="190">
        <v>-390499489.91000003</v>
      </c>
      <c r="O41" s="190">
        <v>162645588.59</v>
      </c>
      <c r="P41" s="190">
        <v>-350412556.69</v>
      </c>
      <c r="Q41" s="190">
        <v>522290502.20999998</v>
      </c>
      <c r="R41" s="190">
        <v>59219944.479999997</v>
      </c>
      <c r="S41" s="190">
        <v>65867832.219999999</v>
      </c>
      <c r="T41" s="190">
        <v>131424504.09</v>
      </c>
      <c r="U41" s="190">
        <v>-1985603233.29</v>
      </c>
      <c r="V41" s="190">
        <v>-1871048308.97</v>
      </c>
      <c r="W41" s="190">
        <v>-1754520373.4100001</v>
      </c>
      <c r="X41" s="190">
        <v>-1239105948.74</v>
      </c>
      <c r="Y41" s="190">
        <v>-724558043.53999996</v>
      </c>
      <c r="Z41" s="190">
        <v>-1279069080.55</v>
      </c>
      <c r="AA41" s="190">
        <v>-232130871.91</v>
      </c>
      <c r="AB41" s="190">
        <v>18705537.789999999</v>
      </c>
      <c r="AC41" s="190">
        <v>507712847.22000003</v>
      </c>
      <c r="AD41" s="190">
        <v>820698999.92999995</v>
      </c>
      <c r="AE41" s="190">
        <v>-528608514.66000003</v>
      </c>
      <c r="AF41" s="190">
        <v>-443076398.87</v>
      </c>
      <c r="AG41" s="190">
        <v>2847491243.71</v>
      </c>
      <c r="AH41" s="190">
        <v>2881983489.8600001</v>
      </c>
      <c r="AI41" s="190">
        <v>2577672235.0500002</v>
      </c>
      <c r="AJ41" s="190">
        <v>2322690586.6599998</v>
      </c>
      <c r="AK41" s="190">
        <v>701385035.71000004</v>
      </c>
      <c r="AL41" s="190">
        <v>734178879.82000005</v>
      </c>
      <c r="AM41" s="190">
        <v>699152501.09000003</v>
      </c>
      <c r="AN41" s="190">
        <v>209664280.72</v>
      </c>
      <c r="AO41" s="190">
        <v>-275952066.95999998</v>
      </c>
      <c r="AP41" s="190">
        <v>467929977.83999997</v>
      </c>
      <c r="AQ41" s="190">
        <v>28253444.73</v>
      </c>
      <c r="AR41" s="190">
        <v>0</v>
      </c>
    </row>
    <row r="42" spans="1:44" x14ac:dyDescent="0.25">
      <c r="A42" s="190" t="s">
        <v>257</v>
      </c>
      <c r="B42" s="190">
        <v>6226267736.54</v>
      </c>
      <c r="C42" s="190">
        <v>6226267736.54</v>
      </c>
      <c r="D42" s="190">
        <v>6226267736.54</v>
      </c>
      <c r="E42" s="190">
        <v>3215486285.96</v>
      </c>
      <c r="F42" s="190">
        <v>3215486285.96</v>
      </c>
      <c r="G42" s="190">
        <v>3215486285.96</v>
      </c>
      <c r="H42" s="190">
        <v>3215486285.96</v>
      </c>
      <c r="I42" s="190">
        <v>2301578822.1100001</v>
      </c>
      <c r="J42" s="190">
        <v>1702318119.5899999</v>
      </c>
      <c r="K42" s="190">
        <v>1702318119.5899999</v>
      </c>
      <c r="L42" s="190">
        <v>1713740516.79</v>
      </c>
      <c r="M42" s="190">
        <v>2420924120.3499999</v>
      </c>
      <c r="N42" s="190">
        <v>2420924120.3499999</v>
      </c>
      <c r="O42" s="190">
        <v>2420924120.3499999</v>
      </c>
      <c r="P42" s="190">
        <v>2420924120.3499999</v>
      </c>
      <c r="Q42" s="190">
        <v>1898633618.1400001</v>
      </c>
      <c r="R42" s="190">
        <v>1898633618.1400001</v>
      </c>
      <c r="S42" s="190">
        <v>1898633618.1400001</v>
      </c>
      <c r="T42" s="190">
        <v>1986479386.23</v>
      </c>
      <c r="U42" s="190">
        <v>3884236851.4299998</v>
      </c>
      <c r="V42" s="190">
        <v>3884236851.4299998</v>
      </c>
      <c r="W42" s="190">
        <v>3884236851.4299998</v>
      </c>
      <c r="X42" s="190">
        <v>3966308906.6799998</v>
      </c>
      <c r="Y42" s="190">
        <v>4608794894.9700003</v>
      </c>
      <c r="Z42" s="190">
        <v>4561781414.4200001</v>
      </c>
      <c r="AA42" s="190">
        <v>4437206075.1099997</v>
      </c>
      <c r="AB42" s="190">
        <v>4354780856.1999998</v>
      </c>
      <c r="AC42" s="190">
        <v>3847068008.98</v>
      </c>
      <c r="AD42" s="190">
        <v>3843605989.27</v>
      </c>
      <c r="AE42" s="190">
        <v>3843605989.27</v>
      </c>
      <c r="AF42" s="190">
        <v>3843605989.27</v>
      </c>
      <c r="AG42" s="190">
        <v>996114745.55999994</v>
      </c>
      <c r="AH42" s="190">
        <v>996114745.55999994</v>
      </c>
      <c r="AI42" s="190">
        <v>996114745.55999994</v>
      </c>
      <c r="AJ42" s="190">
        <v>996114745.55999994</v>
      </c>
      <c r="AK42" s="190">
        <v>294729709.85000002</v>
      </c>
      <c r="AL42" s="190">
        <v>294729709.85000002</v>
      </c>
      <c r="AM42" s="190">
        <v>294729709.85000002</v>
      </c>
      <c r="AN42" s="190">
        <v>294729709.85000002</v>
      </c>
      <c r="AO42" s="190">
        <v>570681776.80999994</v>
      </c>
      <c r="AP42" s="190">
        <v>102751798.97</v>
      </c>
      <c r="AQ42" s="190">
        <v>74498354.239999995</v>
      </c>
      <c r="AR42" s="190">
        <v>0</v>
      </c>
    </row>
    <row r="43" spans="1:44" x14ac:dyDescent="0.25">
      <c r="A43" s="190" t="s">
        <v>258</v>
      </c>
      <c r="B43" s="190">
        <v>4448566968.2200003</v>
      </c>
      <c r="C43" s="190">
        <v>5340874129.1000004</v>
      </c>
      <c r="D43" s="190">
        <v>6215301287.6599998</v>
      </c>
      <c r="E43" s="190">
        <v>6226267736.54</v>
      </c>
      <c r="F43" s="190">
        <v>7151339440.5799999</v>
      </c>
      <c r="G43" s="190">
        <v>6525548147.1400003</v>
      </c>
      <c r="H43" s="190">
        <v>6614359216.8900003</v>
      </c>
      <c r="I43" s="190">
        <v>3215486285.96</v>
      </c>
      <c r="J43" s="190">
        <v>1212848206.95</v>
      </c>
      <c r="K43" s="190">
        <v>1639359454.9400001</v>
      </c>
      <c r="L43" s="190">
        <v>2444679741.8699999</v>
      </c>
      <c r="M43" s="190">
        <v>1702318119.5899999</v>
      </c>
      <c r="N43" s="190">
        <v>2030424630.4400001</v>
      </c>
      <c r="O43" s="190">
        <v>2583569708.9400001</v>
      </c>
      <c r="P43" s="190">
        <v>2070511563.6600001</v>
      </c>
      <c r="Q43" s="190">
        <v>2420924120.3499999</v>
      </c>
      <c r="R43" s="190">
        <v>1957853562.6199999</v>
      </c>
      <c r="S43" s="190">
        <v>1964501450.3599999</v>
      </c>
      <c r="T43" s="190">
        <v>2117903890.3199999</v>
      </c>
      <c r="U43" s="190">
        <v>1898633618.1400001</v>
      </c>
      <c r="V43" s="190">
        <v>2013188542.46</v>
      </c>
      <c r="W43" s="190">
        <v>2129716478.02</v>
      </c>
      <c r="X43" s="190">
        <v>2727202957.9400001</v>
      </c>
      <c r="Y43" s="190">
        <v>3884236851.4299998</v>
      </c>
      <c r="Z43" s="190">
        <v>3282712333.8699999</v>
      </c>
      <c r="AA43" s="190">
        <v>4205075203.1999998</v>
      </c>
      <c r="AB43" s="190">
        <v>4373486393.9899998</v>
      </c>
      <c r="AC43" s="190">
        <v>4354780856.1999998</v>
      </c>
      <c r="AD43" s="190">
        <v>4664304989.1999998</v>
      </c>
      <c r="AE43" s="190">
        <v>3314997474.6100001</v>
      </c>
      <c r="AF43" s="190">
        <v>3400529590.4000001</v>
      </c>
      <c r="AG43" s="190">
        <v>3843605989.27</v>
      </c>
      <c r="AH43" s="190">
        <v>3878098235.4200001</v>
      </c>
      <c r="AI43" s="190">
        <v>3573786980.6100001</v>
      </c>
      <c r="AJ43" s="190">
        <v>3318805332.2199998</v>
      </c>
      <c r="AK43" s="190">
        <v>996114745.55999994</v>
      </c>
      <c r="AL43" s="190">
        <v>1028908589.67</v>
      </c>
      <c r="AM43" s="190">
        <v>993882210.94000006</v>
      </c>
      <c r="AN43" s="190">
        <v>504393990.56999999</v>
      </c>
      <c r="AO43" s="190">
        <v>294729709.85000002</v>
      </c>
      <c r="AP43" s="190">
        <v>570681776.80999994</v>
      </c>
      <c r="AQ43" s="190">
        <v>102751798.97</v>
      </c>
      <c r="AR43" s="190">
        <v>0</v>
      </c>
    </row>
    <row r="44" spans="1:44" x14ac:dyDescent="0.25">
      <c r="A44" s="190" t="s">
        <v>259</v>
      </c>
    </row>
    <row r="45" spans="1:44" x14ac:dyDescent="0.25">
      <c r="A45" s="190" t="s">
        <v>260</v>
      </c>
      <c r="B45" s="190">
        <v>0</v>
      </c>
      <c r="C45" s="190">
        <v>1852922651.21</v>
      </c>
      <c r="D45" s="190">
        <v>0</v>
      </c>
      <c r="E45" s="190">
        <v>2996074317.46</v>
      </c>
      <c r="F45" s="190">
        <v>0</v>
      </c>
      <c r="G45" s="190">
        <v>1318236991.3</v>
      </c>
      <c r="H45" s="190">
        <v>0</v>
      </c>
      <c r="I45" s="190">
        <v>2617931032.29</v>
      </c>
      <c r="J45" s="190">
        <v>0</v>
      </c>
      <c r="K45" s="190">
        <v>854141185.00999999</v>
      </c>
      <c r="L45" s="190">
        <v>0</v>
      </c>
      <c r="M45" s="190">
        <v>1870911271.9000001</v>
      </c>
      <c r="N45" s="190">
        <v>0</v>
      </c>
      <c r="O45" s="190">
        <v>849554779.36000001</v>
      </c>
      <c r="P45" s="190">
        <v>0</v>
      </c>
      <c r="Q45" s="190">
        <v>1967182268.9300001</v>
      </c>
      <c r="R45" s="190">
        <v>0</v>
      </c>
      <c r="S45" s="190">
        <v>880187846.99000001</v>
      </c>
      <c r="T45" s="190">
        <v>0</v>
      </c>
      <c r="U45" s="190">
        <v>1691032133.5699999</v>
      </c>
      <c r="V45" s="190">
        <v>0</v>
      </c>
      <c r="W45" s="190">
        <v>731089928.79999995</v>
      </c>
      <c r="X45" s="190">
        <v>0</v>
      </c>
      <c r="Y45" s="190">
        <v>1401091863.25</v>
      </c>
      <c r="Z45" s="190">
        <v>0</v>
      </c>
      <c r="AA45" s="190">
        <v>533404595.57999998</v>
      </c>
      <c r="AB45" s="190">
        <v>0</v>
      </c>
      <c r="AC45" s="190">
        <v>910133718.20000005</v>
      </c>
      <c r="AD45" s="190">
        <v>0</v>
      </c>
      <c r="AE45" s="190">
        <v>441729448.35000002</v>
      </c>
      <c r="AF45" s="190">
        <v>0</v>
      </c>
      <c r="AG45" s="190">
        <v>704033044.58000004</v>
      </c>
      <c r="AH45" s="190">
        <v>0</v>
      </c>
      <c r="AI45" s="190">
        <v>397917388.60000002</v>
      </c>
      <c r="AJ45" s="190">
        <v>0</v>
      </c>
      <c r="AK45" s="190">
        <v>571967991.88</v>
      </c>
      <c r="AL45" s="190">
        <v>0</v>
      </c>
      <c r="AM45" s="190">
        <v>371877228.93000001</v>
      </c>
      <c r="AN45" s="190">
        <v>0</v>
      </c>
      <c r="AO45" s="190">
        <v>436503739.92000002</v>
      </c>
      <c r="AP45" s="190">
        <v>385929838.25999999</v>
      </c>
      <c r="AQ45" s="190">
        <v>197586995.34999999</v>
      </c>
      <c r="AR45" s="190">
        <v>0</v>
      </c>
    </row>
    <row r="46" spans="1:4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row>
    <row r="47" spans="1:4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row>
    <row r="48" spans="1:44" x14ac:dyDescent="0.25">
      <c r="A48" s="190" t="s">
        <v>262</v>
      </c>
      <c r="B48" s="190">
        <v>0</v>
      </c>
      <c r="C48" s="190">
        <v>36911969.329999998</v>
      </c>
      <c r="D48" s="190">
        <v>0</v>
      </c>
      <c r="E48" s="190">
        <v>79416827.400000006</v>
      </c>
      <c r="F48" s="190">
        <v>0</v>
      </c>
      <c r="G48" s="190">
        <v>54427001.840000004</v>
      </c>
      <c r="H48" s="190">
        <v>0</v>
      </c>
      <c r="I48" s="190">
        <v>143909070.41999999</v>
      </c>
      <c r="J48" s="190">
        <v>0</v>
      </c>
      <c r="K48" s="190">
        <v>20261842.149999999</v>
      </c>
      <c r="L48" s="190">
        <v>0</v>
      </c>
      <c r="M48" s="190">
        <v>75947956.810000002</v>
      </c>
      <c r="N48" s="190">
        <v>0</v>
      </c>
      <c r="O48" s="190">
        <v>45585700.079999998</v>
      </c>
      <c r="P48" s="190">
        <v>0</v>
      </c>
      <c r="Q48" s="190">
        <v>69437394.159999996</v>
      </c>
      <c r="R48" s="190">
        <v>0</v>
      </c>
      <c r="S48" s="190">
        <v>22367059.449999999</v>
      </c>
      <c r="T48" s="190">
        <v>0</v>
      </c>
      <c r="U48" s="190">
        <v>125128091.59999999</v>
      </c>
      <c r="V48" s="190">
        <v>0</v>
      </c>
      <c r="W48" s="190">
        <v>25984898.969999999</v>
      </c>
      <c r="X48" s="190">
        <v>0</v>
      </c>
      <c r="Y48" s="190">
        <v>26000027.32</v>
      </c>
      <c r="Z48" s="190">
        <v>0</v>
      </c>
      <c r="AA48" s="190">
        <v>20654923.629999999</v>
      </c>
      <c r="AB48" s="190">
        <v>0</v>
      </c>
      <c r="AC48" s="190">
        <v>5807525.2999999998</v>
      </c>
      <c r="AD48" s="190">
        <v>0</v>
      </c>
      <c r="AE48" s="190">
        <v>9176437.6199999992</v>
      </c>
      <c r="AF48" s="190">
        <v>0</v>
      </c>
      <c r="AG48" s="190">
        <v>-5911659.8899999997</v>
      </c>
      <c r="AH48" s="190">
        <v>0</v>
      </c>
      <c r="AI48" s="190">
        <v>498710.47</v>
      </c>
      <c r="AJ48" s="190">
        <v>0</v>
      </c>
      <c r="AK48" s="190">
        <v>18512250.579999998</v>
      </c>
      <c r="AL48" s="190">
        <v>0</v>
      </c>
      <c r="AM48" s="190">
        <v>10539710.140000001</v>
      </c>
      <c r="AN48" s="190">
        <v>0</v>
      </c>
      <c r="AO48" s="190">
        <v>9716599.2300000004</v>
      </c>
      <c r="AP48" s="190">
        <v>-11495957.26</v>
      </c>
      <c r="AQ48" s="190">
        <v>7790134.0199999996</v>
      </c>
      <c r="AR48" s="190">
        <v>0</v>
      </c>
    </row>
    <row r="49" spans="1:44" x14ac:dyDescent="0.25">
      <c r="A49" s="190" t="s">
        <v>263</v>
      </c>
      <c r="B49" s="190">
        <v>0</v>
      </c>
      <c r="C49" s="190">
        <v>634782890.55999994</v>
      </c>
      <c r="D49" s="190">
        <v>0</v>
      </c>
      <c r="E49" s="190">
        <v>1043475059.79</v>
      </c>
      <c r="F49" s="190">
        <v>0</v>
      </c>
      <c r="G49" s="190">
        <v>496575982.13</v>
      </c>
      <c r="H49" s="190">
        <v>0</v>
      </c>
      <c r="I49" s="190">
        <v>801026576.38999999</v>
      </c>
      <c r="J49" s="190">
        <v>0</v>
      </c>
      <c r="K49" s="190">
        <v>102634097.53</v>
      </c>
      <c r="L49" s="190">
        <v>0</v>
      </c>
      <c r="M49" s="190">
        <v>192309665.59</v>
      </c>
      <c r="N49" s="190">
        <v>0</v>
      </c>
      <c r="O49" s="190">
        <v>76900141.560000002</v>
      </c>
      <c r="P49" s="190">
        <v>0</v>
      </c>
      <c r="Q49" s="190">
        <v>155612483.99000001</v>
      </c>
      <c r="R49" s="190">
        <v>0</v>
      </c>
      <c r="S49" s="190">
        <v>79735542.790000007</v>
      </c>
      <c r="T49" s="190">
        <v>0</v>
      </c>
      <c r="U49" s="190">
        <v>136884310.62</v>
      </c>
      <c r="V49" s="190">
        <v>0</v>
      </c>
      <c r="W49" s="190">
        <v>72677287.719999999</v>
      </c>
      <c r="X49" s="190">
        <v>0</v>
      </c>
      <c r="Y49" s="190">
        <v>126455011.06999999</v>
      </c>
      <c r="Z49" s="190">
        <v>0</v>
      </c>
      <c r="AA49" s="190">
        <v>38576605.810000002</v>
      </c>
      <c r="AB49" s="190">
        <v>0</v>
      </c>
      <c r="AC49" s="190">
        <v>69898757.359999999</v>
      </c>
      <c r="AD49" s="190">
        <v>0</v>
      </c>
      <c r="AE49" s="190">
        <v>33601644.409999996</v>
      </c>
      <c r="AF49" s="190">
        <v>0</v>
      </c>
      <c r="AG49" s="190">
        <v>66585542.469999999</v>
      </c>
      <c r="AH49" s="190">
        <v>0</v>
      </c>
      <c r="AI49" s="190">
        <v>32897381.359999999</v>
      </c>
      <c r="AJ49" s="190">
        <v>0</v>
      </c>
      <c r="AK49" s="190">
        <v>71455036.890000001</v>
      </c>
      <c r="AL49" s="190">
        <v>0</v>
      </c>
      <c r="AM49" s="190">
        <v>33399415.449999999</v>
      </c>
      <c r="AN49" s="190">
        <v>0</v>
      </c>
      <c r="AO49" s="190">
        <v>61127567.609999999</v>
      </c>
      <c r="AP49" s="190">
        <v>56310797.18</v>
      </c>
      <c r="AQ49" s="190">
        <v>54122801.670000002</v>
      </c>
      <c r="AR49" s="190">
        <v>0</v>
      </c>
    </row>
    <row r="50" spans="1:44" x14ac:dyDescent="0.25">
      <c r="A50" s="190" t="s">
        <v>264</v>
      </c>
      <c r="B50" s="190">
        <v>0</v>
      </c>
      <c r="C50" s="190">
        <v>19288894.739999998</v>
      </c>
      <c r="D50" s="190">
        <v>0</v>
      </c>
      <c r="E50" s="190">
        <v>45636820.869999997</v>
      </c>
      <c r="F50" s="190">
        <v>0</v>
      </c>
      <c r="G50" s="190">
        <v>26586793.859999999</v>
      </c>
      <c r="H50" s="190">
        <v>0</v>
      </c>
      <c r="I50" s="190">
        <v>43392230.850000001</v>
      </c>
      <c r="J50" s="190">
        <v>0</v>
      </c>
      <c r="K50" s="190">
        <v>14086437.17</v>
      </c>
      <c r="L50" s="190">
        <v>0</v>
      </c>
      <c r="M50" s="190">
        <v>21918007.100000001</v>
      </c>
      <c r="N50" s="190">
        <v>0</v>
      </c>
      <c r="O50" s="190">
        <v>10137219.08</v>
      </c>
      <c r="P50" s="190">
        <v>0</v>
      </c>
      <c r="Q50" s="190">
        <v>25531189.530000001</v>
      </c>
      <c r="R50" s="190">
        <v>0</v>
      </c>
      <c r="S50" s="190">
        <v>12704351.289999999</v>
      </c>
      <c r="T50" s="190">
        <v>0</v>
      </c>
      <c r="U50" s="190">
        <v>28428928.43</v>
      </c>
      <c r="V50" s="190">
        <v>0</v>
      </c>
      <c r="W50" s="190">
        <v>13331422.58</v>
      </c>
      <c r="X50" s="190">
        <v>0</v>
      </c>
      <c r="Y50" s="190">
        <v>26726372.02</v>
      </c>
      <c r="Z50" s="190">
        <v>0</v>
      </c>
      <c r="AA50" s="190">
        <v>4114342.7</v>
      </c>
      <c r="AB50" s="190">
        <v>0</v>
      </c>
      <c r="AC50" s="190">
        <v>5699189.2300000004</v>
      </c>
      <c r="AD50" s="190">
        <v>0</v>
      </c>
      <c r="AE50" s="190">
        <v>7779602.0300000003</v>
      </c>
      <c r="AF50" s="190">
        <v>0</v>
      </c>
      <c r="AG50" s="190">
        <v>4691297.66</v>
      </c>
      <c r="AH50" s="190">
        <v>0</v>
      </c>
      <c r="AI50" s="190">
        <v>1512590.24</v>
      </c>
      <c r="AJ50" s="190">
        <v>0</v>
      </c>
      <c r="AK50" s="190">
        <v>3146040.04</v>
      </c>
      <c r="AL50" s="190">
        <v>0</v>
      </c>
      <c r="AM50" s="190">
        <v>1612125.38</v>
      </c>
      <c r="AN50" s="190">
        <v>0</v>
      </c>
      <c r="AO50" s="190">
        <v>7168117.9699999997</v>
      </c>
      <c r="AP50" s="190">
        <v>4189289.26</v>
      </c>
      <c r="AQ50" s="190">
        <v>2019846.69</v>
      </c>
      <c r="AR50" s="190">
        <v>0</v>
      </c>
    </row>
    <row r="51" spans="1:44" x14ac:dyDescent="0.25">
      <c r="A51" s="190" t="s">
        <v>265</v>
      </c>
      <c r="B51" s="190">
        <v>0</v>
      </c>
      <c r="C51" s="190">
        <v>20736213.710000001</v>
      </c>
      <c r="D51" s="190">
        <v>0</v>
      </c>
      <c r="E51" s="190">
        <v>25403781.109999999</v>
      </c>
      <c r="F51" s="190">
        <v>0</v>
      </c>
      <c r="G51" s="190">
        <v>13768921.24</v>
      </c>
      <c r="H51" s="190">
        <v>0</v>
      </c>
      <c r="I51" s="190">
        <v>20233090.210000001</v>
      </c>
      <c r="J51" s="190">
        <v>0</v>
      </c>
      <c r="K51" s="190">
        <v>4578422.01</v>
      </c>
      <c r="L51" s="190">
        <v>0</v>
      </c>
      <c r="M51" s="190">
        <v>8037430.8200000003</v>
      </c>
      <c r="N51" s="190">
        <v>0</v>
      </c>
      <c r="O51" s="190">
        <v>3258477.68</v>
      </c>
      <c r="P51" s="190">
        <v>0</v>
      </c>
      <c r="Q51" s="190">
        <v>4639916.8899999997</v>
      </c>
      <c r="R51" s="190">
        <v>0</v>
      </c>
      <c r="S51" s="190">
        <v>2463630.16</v>
      </c>
      <c r="T51" s="190">
        <v>0</v>
      </c>
      <c r="U51" s="190">
        <v>16337306</v>
      </c>
      <c r="V51" s="190">
        <v>0</v>
      </c>
      <c r="W51" s="190">
        <v>5571473.0099999998</v>
      </c>
      <c r="X51" s="190">
        <v>0</v>
      </c>
      <c r="Y51" s="190">
        <v>9724118.9299999997</v>
      </c>
      <c r="Z51" s="190">
        <v>0</v>
      </c>
      <c r="AA51" s="190">
        <v>723234.6</v>
      </c>
      <c r="AB51" s="190">
        <v>0</v>
      </c>
      <c r="AC51" s="190">
        <v>1570303.79</v>
      </c>
      <c r="AD51" s="190">
        <v>0</v>
      </c>
      <c r="AE51" s="190">
        <v>812689.44</v>
      </c>
      <c r="AF51" s="190">
        <v>0</v>
      </c>
      <c r="AG51" s="190">
        <v>1074066.22</v>
      </c>
      <c r="AH51" s="190">
        <v>0</v>
      </c>
      <c r="AI51" s="190">
        <v>537033.1</v>
      </c>
      <c r="AJ51" s="190">
        <v>0</v>
      </c>
      <c r="AK51" s="190">
        <v>307082.44</v>
      </c>
      <c r="AL51" s="190">
        <v>0</v>
      </c>
      <c r="AM51" s="190">
        <v>131749.26</v>
      </c>
      <c r="AN51" s="190">
        <v>0</v>
      </c>
      <c r="AO51" s="190">
        <v>1428842.84</v>
      </c>
      <c r="AP51" s="190">
        <v>802485.12</v>
      </c>
      <c r="AQ51" s="190">
        <v>1381438.31</v>
      </c>
      <c r="AR51" s="190">
        <v>0</v>
      </c>
    </row>
    <row r="52" spans="1:4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row>
    <row r="53" spans="1:4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row>
    <row r="54" spans="1:44" x14ac:dyDescent="0.25">
      <c r="A54" s="190" t="s">
        <v>268</v>
      </c>
      <c r="B54" s="190">
        <v>0</v>
      </c>
      <c r="C54" s="190">
        <v>-4020684.76</v>
      </c>
      <c r="D54" s="190">
        <v>0</v>
      </c>
      <c r="E54" s="190">
        <v>-58791038.140000001</v>
      </c>
      <c r="F54" s="190">
        <v>0</v>
      </c>
      <c r="G54" s="190">
        <v>-147435.17000000001</v>
      </c>
      <c r="H54" s="190">
        <v>0</v>
      </c>
      <c r="I54" s="190">
        <v>8429045.4100000001</v>
      </c>
      <c r="J54" s="190">
        <v>0</v>
      </c>
      <c r="K54" s="190">
        <v>119035.78</v>
      </c>
      <c r="L54" s="190">
        <v>0</v>
      </c>
      <c r="M54" s="190">
        <v>-4410764.01</v>
      </c>
      <c r="N54" s="190">
        <v>0</v>
      </c>
      <c r="O54" s="190">
        <v>0</v>
      </c>
      <c r="P54" s="190">
        <v>0</v>
      </c>
      <c r="Q54" s="190">
        <v>-848179.68</v>
      </c>
      <c r="R54" s="190">
        <v>0</v>
      </c>
      <c r="S54" s="190">
        <v>-488484.92</v>
      </c>
      <c r="T54" s="190">
        <v>0</v>
      </c>
      <c r="U54" s="190">
        <v>-1795056.37</v>
      </c>
      <c r="V54" s="190">
        <v>0</v>
      </c>
      <c r="W54" s="190">
        <v>463204.19</v>
      </c>
      <c r="X54" s="190">
        <v>0</v>
      </c>
      <c r="Y54" s="190">
        <v>5263783.33</v>
      </c>
      <c r="Z54" s="190">
        <v>0</v>
      </c>
      <c r="AA54" s="190">
        <v>-779670.26</v>
      </c>
      <c r="AB54" s="190">
        <v>0</v>
      </c>
      <c r="AC54" s="190">
        <v>972976.97</v>
      </c>
      <c r="AD54" s="190">
        <v>0</v>
      </c>
      <c r="AE54" s="190">
        <v>486402.25</v>
      </c>
      <c r="AF54" s="190">
        <v>0</v>
      </c>
      <c r="AG54" s="190">
        <v>-75998.86</v>
      </c>
      <c r="AH54" s="190">
        <v>0</v>
      </c>
      <c r="AI54" s="190">
        <v>-813117.51</v>
      </c>
      <c r="AJ54" s="190">
        <v>0</v>
      </c>
      <c r="AK54" s="190">
        <v>1851086.05</v>
      </c>
      <c r="AL54" s="190">
        <v>0</v>
      </c>
      <c r="AM54" s="190">
        <v>67240.78</v>
      </c>
      <c r="AN54" s="190">
        <v>0</v>
      </c>
      <c r="AO54" s="190">
        <v>-255564.67</v>
      </c>
      <c r="AP54" s="190">
        <v>-1747975.99</v>
      </c>
      <c r="AQ54" s="190">
        <v>632263.41</v>
      </c>
      <c r="AR54" s="190">
        <v>0</v>
      </c>
    </row>
    <row r="55" spans="1:44" x14ac:dyDescent="0.25">
      <c r="A55" s="190" t="s">
        <v>269</v>
      </c>
      <c r="B55" s="190">
        <v>0</v>
      </c>
      <c r="C55" s="190">
        <v>581954.29</v>
      </c>
      <c r="D55" s="190">
        <v>0</v>
      </c>
      <c r="E55" s="190">
        <v>4575991.97</v>
      </c>
      <c r="F55" s="190">
        <v>0</v>
      </c>
      <c r="G55" s="190">
        <v>0</v>
      </c>
      <c r="H55" s="190">
        <v>0</v>
      </c>
      <c r="I55" s="190">
        <v>0</v>
      </c>
      <c r="J55" s="190">
        <v>0</v>
      </c>
      <c r="K55" s="190">
        <v>0</v>
      </c>
      <c r="L55" s="190">
        <v>0</v>
      </c>
      <c r="M55" s="190">
        <v>0</v>
      </c>
      <c r="N55" s="190">
        <v>0</v>
      </c>
      <c r="O55" s="190">
        <v>-27244.04</v>
      </c>
      <c r="P55" s="190">
        <v>0</v>
      </c>
      <c r="Q55" s="190">
        <v>0</v>
      </c>
      <c r="R55" s="190">
        <v>0</v>
      </c>
      <c r="S55" s="190">
        <v>136205.95000000001</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395948.79999999999</v>
      </c>
      <c r="AJ55" s="190">
        <v>0</v>
      </c>
      <c r="AK55" s="190">
        <v>0</v>
      </c>
      <c r="AL55" s="190">
        <v>0</v>
      </c>
      <c r="AM55" s="190">
        <v>975</v>
      </c>
      <c r="AN55" s="190">
        <v>0</v>
      </c>
      <c r="AO55" s="190">
        <v>0</v>
      </c>
      <c r="AP55" s="190">
        <v>11501</v>
      </c>
      <c r="AQ55" s="190">
        <v>0</v>
      </c>
      <c r="AR55" s="190">
        <v>0</v>
      </c>
    </row>
    <row r="56" spans="1:44" x14ac:dyDescent="0.25">
      <c r="A56" s="190" t="s">
        <v>270</v>
      </c>
      <c r="B56" s="190">
        <v>0</v>
      </c>
      <c r="C56" s="190">
        <v>-10790835.449999999</v>
      </c>
      <c r="D56" s="190">
        <v>0</v>
      </c>
      <c r="E56" s="190">
        <v>-787969.38</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-72180.490000000005</v>
      </c>
      <c r="Z56" s="190">
        <v>0</v>
      </c>
      <c r="AA56" s="190">
        <v>0</v>
      </c>
      <c r="AB56" s="190">
        <v>0</v>
      </c>
      <c r="AC56" s="190">
        <v>0</v>
      </c>
      <c r="AD56" s="190">
        <v>0</v>
      </c>
      <c r="AE56" s="190">
        <v>0</v>
      </c>
      <c r="AF56" s="190">
        <v>0</v>
      </c>
      <c r="AG56" s="190">
        <v>0</v>
      </c>
      <c r="AH56" s="190">
        <v>0</v>
      </c>
      <c r="AI56" s="190">
        <v>0</v>
      </c>
      <c r="AJ56" s="190">
        <v>0</v>
      </c>
      <c r="AK56" s="190">
        <v>-52500</v>
      </c>
      <c r="AL56" s="190">
        <v>0</v>
      </c>
      <c r="AM56" s="190">
        <v>0</v>
      </c>
      <c r="AN56" s="190">
        <v>0</v>
      </c>
      <c r="AO56" s="190">
        <v>52500</v>
      </c>
      <c r="AP56" s="190">
        <v>-140750</v>
      </c>
      <c r="AQ56" s="190">
        <v>96500</v>
      </c>
      <c r="AR56" s="190">
        <v>0</v>
      </c>
    </row>
    <row r="57" spans="1:4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row>
    <row r="58" spans="1:4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row>
    <row r="59" spans="1:44" x14ac:dyDescent="0.25">
      <c r="A59" s="190" t="s">
        <v>197</v>
      </c>
      <c r="B59" s="190">
        <v>0</v>
      </c>
      <c r="C59" s="190">
        <v>208335968.68000001</v>
      </c>
      <c r="D59" s="190">
        <v>0</v>
      </c>
      <c r="E59" s="190">
        <v>573429676.48000002</v>
      </c>
      <c r="F59" s="190">
        <v>0</v>
      </c>
      <c r="G59" s="190">
        <v>294038692.70999998</v>
      </c>
      <c r="H59" s="190">
        <v>0</v>
      </c>
      <c r="I59" s="190">
        <v>541849764.88</v>
      </c>
      <c r="J59" s="190">
        <v>0</v>
      </c>
      <c r="K59" s="190">
        <v>52250549.780000001</v>
      </c>
      <c r="L59" s="190">
        <v>0</v>
      </c>
      <c r="M59" s="190">
        <v>108894090.77</v>
      </c>
      <c r="N59" s="190">
        <v>0</v>
      </c>
      <c r="O59" s="190">
        <v>52779650.590000004</v>
      </c>
      <c r="P59" s="190">
        <v>0</v>
      </c>
      <c r="Q59" s="190">
        <v>112689607.06</v>
      </c>
      <c r="R59" s="190">
        <v>0</v>
      </c>
      <c r="S59" s="190">
        <v>-42201757.689999998</v>
      </c>
      <c r="T59" s="190">
        <v>0</v>
      </c>
      <c r="U59" s="190">
        <v>111791775.19</v>
      </c>
      <c r="V59" s="190">
        <v>0</v>
      </c>
      <c r="W59" s="190">
        <v>-4116588.44</v>
      </c>
      <c r="X59" s="190">
        <v>0</v>
      </c>
      <c r="Y59" s="190">
        <v>114441869.84999999</v>
      </c>
      <c r="Z59" s="190">
        <v>0</v>
      </c>
      <c r="AA59" s="190">
        <v>-31407084.510000002</v>
      </c>
      <c r="AB59" s="190">
        <v>0</v>
      </c>
      <c r="AC59" s="190">
        <v>-79291015.959999993</v>
      </c>
      <c r="AD59" s="190">
        <v>0</v>
      </c>
      <c r="AE59" s="190">
        <v>-57110023.770000003</v>
      </c>
      <c r="AF59" s="190">
        <v>0</v>
      </c>
      <c r="AG59" s="190">
        <v>-31342214.710000001</v>
      </c>
      <c r="AH59" s="190">
        <v>0</v>
      </c>
      <c r="AI59" s="190">
        <v>-11502233.33</v>
      </c>
      <c r="AJ59" s="190">
        <v>0</v>
      </c>
      <c r="AK59" s="190">
        <v>-6678638.3099999996</v>
      </c>
      <c r="AL59" s="190">
        <v>0</v>
      </c>
      <c r="AM59" s="190">
        <v>-1529805.46</v>
      </c>
      <c r="AN59" s="190">
        <v>0</v>
      </c>
      <c r="AO59" s="190">
        <v>3824612.68</v>
      </c>
      <c r="AP59" s="190">
        <v>12395230.43</v>
      </c>
      <c r="AQ59" s="190">
        <v>18404784.399999999</v>
      </c>
      <c r="AR59" s="190">
        <v>0</v>
      </c>
    </row>
    <row r="60" spans="1:44" x14ac:dyDescent="0.25">
      <c r="A60" s="190" t="s">
        <v>273</v>
      </c>
      <c r="B60" s="190">
        <v>0</v>
      </c>
      <c r="C60" s="190">
        <v>-421458320.98000002</v>
      </c>
      <c r="D60" s="190">
        <v>0</v>
      </c>
      <c r="E60" s="190">
        <v>-214022616.25999999</v>
      </c>
      <c r="F60" s="190">
        <v>0</v>
      </c>
      <c r="G60" s="190">
        <v>-81034544.840000004</v>
      </c>
      <c r="H60" s="190">
        <v>0</v>
      </c>
      <c r="I60" s="190">
        <v>-158327105.12</v>
      </c>
      <c r="J60" s="190">
        <v>0</v>
      </c>
      <c r="K60" s="190">
        <v>-20570852.93</v>
      </c>
      <c r="L60" s="190">
        <v>0</v>
      </c>
      <c r="M60" s="190">
        <v>-59704988.460000001</v>
      </c>
      <c r="N60" s="190">
        <v>0</v>
      </c>
      <c r="O60" s="190">
        <v>-31507570.07</v>
      </c>
      <c r="P60" s="190">
        <v>0</v>
      </c>
      <c r="Q60" s="190">
        <v>-59560093.020000003</v>
      </c>
      <c r="R60" s="190">
        <v>0</v>
      </c>
      <c r="S60" s="190">
        <v>-24277729.989999998</v>
      </c>
      <c r="T60" s="190">
        <v>0</v>
      </c>
      <c r="U60" s="190">
        <v>-41545502.219999999</v>
      </c>
      <c r="V60" s="190">
        <v>0</v>
      </c>
      <c r="W60" s="190">
        <v>-16108585.439999999</v>
      </c>
      <c r="X60" s="190">
        <v>0</v>
      </c>
      <c r="Y60" s="190">
        <v>-27297886.82</v>
      </c>
      <c r="Z60" s="190">
        <v>0</v>
      </c>
      <c r="AA60" s="190">
        <v>-3666380.15</v>
      </c>
      <c r="AB60" s="190">
        <v>0</v>
      </c>
      <c r="AC60" s="190">
        <v>-4542812.28</v>
      </c>
      <c r="AD60" s="190">
        <v>0</v>
      </c>
      <c r="AE60" s="190">
        <v>-133281.18</v>
      </c>
      <c r="AF60" s="190">
        <v>0</v>
      </c>
      <c r="AG60" s="190">
        <v>-2424132.64</v>
      </c>
      <c r="AH60" s="190">
        <v>0</v>
      </c>
      <c r="AI60" s="190">
        <v>50258.03</v>
      </c>
      <c r="AJ60" s="190">
        <v>0</v>
      </c>
      <c r="AK60" s="190">
        <v>520683.38</v>
      </c>
      <c r="AL60" s="190">
        <v>0</v>
      </c>
      <c r="AM60" s="190">
        <v>-1549090.49</v>
      </c>
      <c r="AN60" s="190">
        <v>0</v>
      </c>
      <c r="AO60" s="190">
        <v>-5131480.8600000003</v>
      </c>
      <c r="AP60" s="190">
        <v>7708082.8499999996</v>
      </c>
      <c r="AQ60" s="190">
        <v>5361487.3899999997</v>
      </c>
      <c r="AR60" s="190">
        <v>0</v>
      </c>
    </row>
    <row r="61" spans="1:44" x14ac:dyDescent="0.25">
      <c r="A61" s="190" t="s">
        <v>274</v>
      </c>
      <c r="B61" s="190">
        <v>0</v>
      </c>
      <c r="C61" s="190">
        <v>-16759325.460000001</v>
      </c>
      <c r="D61" s="190">
        <v>0</v>
      </c>
      <c r="E61" s="190">
        <v>-49411681.340000004</v>
      </c>
      <c r="F61" s="190">
        <v>0</v>
      </c>
      <c r="G61" s="190">
        <v>-193575</v>
      </c>
      <c r="H61" s="190">
        <v>0</v>
      </c>
      <c r="I61" s="190">
        <v>6228640.5199999996</v>
      </c>
      <c r="J61" s="190">
        <v>0</v>
      </c>
      <c r="K61" s="190">
        <v>30931458.210000001</v>
      </c>
      <c r="L61" s="190">
        <v>0</v>
      </c>
      <c r="M61" s="190">
        <v>20277179.440000001</v>
      </c>
      <c r="N61" s="190">
        <v>0</v>
      </c>
      <c r="O61" s="190">
        <v>10178835.029999999</v>
      </c>
      <c r="P61" s="190">
        <v>0</v>
      </c>
      <c r="Q61" s="190">
        <v>-49297615.659999996</v>
      </c>
      <c r="R61" s="190">
        <v>0</v>
      </c>
      <c r="S61" s="190">
        <v>-37638370.329999998</v>
      </c>
      <c r="T61" s="190">
        <v>0</v>
      </c>
      <c r="U61" s="190">
        <v>-10947256.9</v>
      </c>
      <c r="V61" s="190">
        <v>0</v>
      </c>
      <c r="W61" s="190">
        <v>6712263.6500000004</v>
      </c>
      <c r="X61" s="190">
        <v>0</v>
      </c>
      <c r="Y61" s="190">
        <v>-24019053.390000001</v>
      </c>
      <c r="Z61" s="190">
        <v>0</v>
      </c>
      <c r="AA61" s="190">
        <v>-14625632.720000001</v>
      </c>
      <c r="AB61" s="190">
        <v>0</v>
      </c>
      <c r="AC61" s="190">
        <v>-19512555.370000001</v>
      </c>
      <c r="AD61" s="190">
        <v>0</v>
      </c>
      <c r="AE61" s="190">
        <v>-1763825.28</v>
      </c>
      <c r="AF61" s="190">
        <v>0</v>
      </c>
      <c r="AG61" s="190">
        <v>-25800732.800000001</v>
      </c>
      <c r="AH61" s="190">
        <v>0</v>
      </c>
      <c r="AI61" s="190">
        <v>-4370381.53</v>
      </c>
      <c r="AJ61" s="190">
        <v>0</v>
      </c>
      <c r="AK61" s="190">
        <v>-18717775.379999999</v>
      </c>
      <c r="AL61" s="190">
        <v>0</v>
      </c>
      <c r="AM61" s="190">
        <v>3341398.79</v>
      </c>
      <c r="AN61" s="190">
        <v>0</v>
      </c>
      <c r="AO61" s="190">
        <v>-2749979.19</v>
      </c>
      <c r="AP61" s="190">
        <v>7775614.6100000003</v>
      </c>
      <c r="AQ61" s="190">
        <v>-3112821.54</v>
      </c>
      <c r="AR61" s="190">
        <v>0</v>
      </c>
    </row>
    <row r="62" spans="1:44" x14ac:dyDescent="0.25">
      <c r="A62" s="190" t="s">
        <v>275</v>
      </c>
      <c r="B62" s="190">
        <v>0</v>
      </c>
      <c r="C62" s="190">
        <v>1925673.25</v>
      </c>
      <c r="D62" s="190">
        <v>0</v>
      </c>
      <c r="E62" s="190">
        <v>118195.41</v>
      </c>
      <c r="F62" s="190">
        <v>0</v>
      </c>
      <c r="G62" s="190">
        <v>195664.05</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row>
    <row r="63" spans="1:44" x14ac:dyDescent="0.25">
      <c r="A63" s="190" t="s">
        <v>276</v>
      </c>
      <c r="B63" s="190">
        <v>0</v>
      </c>
      <c r="C63" s="190">
        <v>-937877052.45000005</v>
      </c>
      <c r="D63" s="190">
        <v>0</v>
      </c>
      <c r="E63" s="190">
        <v>-1230102691.8599999</v>
      </c>
      <c r="F63" s="190">
        <v>0</v>
      </c>
      <c r="G63" s="190">
        <v>-373206651.98000002</v>
      </c>
      <c r="H63" s="190">
        <v>0</v>
      </c>
      <c r="I63" s="190">
        <v>400297992.56999999</v>
      </c>
      <c r="J63" s="190">
        <v>0</v>
      </c>
      <c r="K63" s="190">
        <v>-54800489.210000001</v>
      </c>
      <c r="L63" s="190">
        <v>0</v>
      </c>
      <c r="M63" s="190">
        <v>87646441.409999996</v>
      </c>
      <c r="N63" s="190">
        <v>0</v>
      </c>
      <c r="O63" s="190">
        <v>80995919.060000002</v>
      </c>
      <c r="P63" s="190">
        <v>0</v>
      </c>
      <c r="Q63" s="190">
        <v>-127084004.73999999</v>
      </c>
      <c r="R63" s="190">
        <v>0</v>
      </c>
      <c r="S63" s="190">
        <v>-17865094.829999998</v>
      </c>
      <c r="T63" s="190">
        <v>0</v>
      </c>
      <c r="U63" s="190">
        <v>-163920879.53999999</v>
      </c>
      <c r="V63" s="190">
        <v>0</v>
      </c>
      <c r="W63" s="190">
        <v>92033912.239999995</v>
      </c>
      <c r="X63" s="190">
        <v>0</v>
      </c>
      <c r="Y63" s="190">
        <v>54008496.789999999</v>
      </c>
      <c r="Z63" s="190">
        <v>0</v>
      </c>
      <c r="AA63" s="190">
        <v>243292558.71000001</v>
      </c>
      <c r="AB63" s="190">
        <v>0</v>
      </c>
      <c r="AC63" s="190">
        <v>-184188521.31999999</v>
      </c>
      <c r="AD63" s="190">
        <v>0</v>
      </c>
      <c r="AE63" s="190">
        <v>-72382620.549999997</v>
      </c>
      <c r="AF63" s="190">
        <v>0</v>
      </c>
      <c r="AG63" s="190">
        <v>-206169406.46000001</v>
      </c>
      <c r="AH63" s="190">
        <v>0</v>
      </c>
      <c r="AI63" s="190">
        <v>-7318166.7599999998</v>
      </c>
      <c r="AJ63" s="190">
        <v>0</v>
      </c>
      <c r="AK63" s="190">
        <v>-372396.53</v>
      </c>
      <c r="AL63" s="190">
        <v>0</v>
      </c>
      <c r="AM63" s="190">
        <v>94706104.099999994</v>
      </c>
      <c r="AN63" s="190">
        <v>0</v>
      </c>
      <c r="AO63" s="190">
        <v>108682182.22</v>
      </c>
      <c r="AP63" s="190">
        <v>-81063293.400000006</v>
      </c>
      <c r="AQ63" s="190">
        <v>-92098286.370000005</v>
      </c>
      <c r="AR63" s="190">
        <v>0</v>
      </c>
    </row>
    <row r="64" spans="1:44" x14ac:dyDescent="0.25">
      <c r="A64" s="190" t="s">
        <v>277</v>
      </c>
      <c r="B64" s="190">
        <v>0</v>
      </c>
      <c r="C64" s="190">
        <v>-1657716736.54</v>
      </c>
      <c r="D64" s="190">
        <v>0</v>
      </c>
      <c r="E64" s="190">
        <v>-2084085510.3800001</v>
      </c>
      <c r="F64" s="190">
        <v>0</v>
      </c>
      <c r="G64" s="190">
        <v>-580499735.80999994</v>
      </c>
      <c r="H64" s="190">
        <v>0</v>
      </c>
      <c r="I64" s="190">
        <v>-914953991.88</v>
      </c>
      <c r="J64" s="190">
        <v>0</v>
      </c>
      <c r="K64" s="190">
        <v>-270414261.17000002</v>
      </c>
      <c r="L64" s="190">
        <v>0</v>
      </c>
      <c r="M64" s="190">
        <v>116714067.65000001</v>
      </c>
      <c r="N64" s="190">
        <v>0</v>
      </c>
      <c r="O64" s="190">
        <v>-110205214.19</v>
      </c>
      <c r="P64" s="190">
        <v>0</v>
      </c>
      <c r="Q64" s="190">
        <v>-264666546.94</v>
      </c>
      <c r="R64" s="190">
        <v>0</v>
      </c>
      <c r="S64" s="190">
        <v>-370666797.52999997</v>
      </c>
      <c r="T64" s="190">
        <v>0</v>
      </c>
      <c r="U64" s="190">
        <v>-1745004830.8900001</v>
      </c>
      <c r="V64" s="190">
        <v>0</v>
      </c>
      <c r="W64" s="190">
        <v>-1134555507.0799999</v>
      </c>
      <c r="X64" s="190">
        <v>0</v>
      </c>
      <c r="Y64" s="190">
        <v>191330577.99000001</v>
      </c>
      <c r="Z64" s="190">
        <v>0</v>
      </c>
      <c r="AA64" s="190">
        <v>-312233630.19999999</v>
      </c>
      <c r="AB64" s="190">
        <v>0</v>
      </c>
      <c r="AC64" s="190">
        <v>-905300943.76999998</v>
      </c>
      <c r="AD64" s="190">
        <v>0</v>
      </c>
      <c r="AE64" s="190">
        <v>-694289853.84000003</v>
      </c>
      <c r="AF64" s="190">
        <v>0</v>
      </c>
      <c r="AG64" s="190">
        <v>-251994643.94</v>
      </c>
      <c r="AH64" s="190">
        <v>0</v>
      </c>
      <c r="AI64" s="190">
        <v>-192174835.19999999</v>
      </c>
      <c r="AJ64" s="190">
        <v>0</v>
      </c>
      <c r="AK64" s="190">
        <v>11661962.720000001</v>
      </c>
      <c r="AL64" s="190">
        <v>0</v>
      </c>
      <c r="AM64" s="190">
        <v>-28754626.82</v>
      </c>
      <c r="AN64" s="190">
        <v>0</v>
      </c>
      <c r="AO64" s="190">
        <v>49117801.039999999</v>
      </c>
      <c r="AP64" s="190">
        <v>25299368.789999999</v>
      </c>
      <c r="AQ64" s="190">
        <v>-39809226.789999999</v>
      </c>
      <c r="AR64" s="190">
        <v>0</v>
      </c>
    </row>
    <row r="65" spans="1:44" x14ac:dyDescent="0.25">
      <c r="A65" s="190" t="s">
        <v>278</v>
      </c>
      <c r="B65" s="190">
        <v>0</v>
      </c>
      <c r="C65" s="190">
        <v>1320180395.53</v>
      </c>
      <c r="D65" s="190">
        <v>0</v>
      </c>
      <c r="E65" s="190">
        <v>1436692208.05</v>
      </c>
      <c r="F65" s="190">
        <v>0</v>
      </c>
      <c r="G65" s="190">
        <v>-356333582.43000001</v>
      </c>
      <c r="H65" s="190">
        <v>0</v>
      </c>
      <c r="I65" s="190">
        <v>1388181952.79</v>
      </c>
      <c r="J65" s="190">
        <v>0</v>
      </c>
      <c r="K65" s="190">
        <v>732637660.49000001</v>
      </c>
      <c r="L65" s="190">
        <v>0</v>
      </c>
      <c r="M65" s="190">
        <v>-512930420.75</v>
      </c>
      <c r="N65" s="190">
        <v>0</v>
      </c>
      <c r="O65" s="190">
        <v>-8126615.4199999999</v>
      </c>
      <c r="P65" s="190">
        <v>0</v>
      </c>
      <c r="Q65" s="190">
        <v>510422428.88</v>
      </c>
      <c r="R65" s="190">
        <v>0</v>
      </c>
      <c r="S65" s="190">
        <v>243470571.18000001</v>
      </c>
      <c r="T65" s="190">
        <v>0</v>
      </c>
      <c r="U65" s="190">
        <v>491322933.13999999</v>
      </c>
      <c r="V65" s="190">
        <v>0</v>
      </c>
      <c r="W65" s="190">
        <v>227096658.86000001</v>
      </c>
      <c r="X65" s="190">
        <v>0</v>
      </c>
      <c r="Y65" s="190">
        <v>644773317.51999998</v>
      </c>
      <c r="Z65" s="190">
        <v>0</v>
      </c>
      <c r="AA65" s="190">
        <v>218397057.31999999</v>
      </c>
      <c r="AB65" s="190">
        <v>0</v>
      </c>
      <c r="AC65" s="190">
        <v>315930737.50999999</v>
      </c>
      <c r="AD65" s="190">
        <v>0</v>
      </c>
      <c r="AE65" s="190">
        <v>485802669.06</v>
      </c>
      <c r="AF65" s="190">
        <v>0</v>
      </c>
      <c r="AG65" s="190">
        <v>439907895.56999999</v>
      </c>
      <c r="AH65" s="190">
        <v>0</v>
      </c>
      <c r="AI65" s="190">
        <v>162117588.77000001</v>
      </c>
      <c r="AJ65" s="190">
        <v>0</v>
      </c>
      <c r="AK65" s="190">
        <v>450200408.19</v>
      </c>
      <c r="AL65" s="190">
        <v>0</v>
      </c>
      <c r="AM65" s="190">
        <v>195096275.06</v>
      </c>
      <c r="AN65" s="190">
        <v>0</v>
      </c>
      <c r="AO65" s="190">
        <v>-301656680.32999998</v>
      </c>
      <c r="AP65" s="190">
        <v>140494346.88</v>
      </c>
      <c r="AQ65" s="190">
        <v>102317718.7</v>
      </c>
      <c r="AR65" s="190">
        <v>0</v>
      </c>
    </row>
    <row r="66" spans="1:4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row>
    <row r="67" spans="1:4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row>
    <row r="68" spans="1:4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row>
    <row r="69" spans="1:44" x14ac:dyDescent="0.25">
      <c r="A69" s="190" t="s">
        <v>282</v>
      </c>
      <c r="B69" s="190">
        <v>0</v>
      </c>
      <c r="C69" s="190">
        <v>1047043655.66</v>
      </c>
      <c r="D69" s="190">
        <v>0</v>
      </c>
      <c r="E69" s="190">
        <v>2567621371.1799998</v>
      </c>
      <c r="F69" s="190">
        <v>0</v>
      </c>
      <c r="G69" s="190">
        <v>812414521.89999998</v>
      </c>
      <c r="H69" s="190">
        <v>0</v>
      </c>
      <c r="I69" s="190">
        <v>4898198299.3299999</v>
      </c>
      <c r="J69" s="190">
        <v>0</v>
      </c>
      <c r="K69" s="190">
        <v>1465855084.8199999</v>
      </c>
      <c r="L69" s="190">
        <v>0</v>
      </c>
      <c r="M69" s="190">
        <v>1925609938.27</v>
      </c>
      <c r="N69" s="190">
        <v>0</v>
      </c>
      <c r="O69" s="190">
        <v>979524078.72000003</v>
      </c>
      <c r="P69" s="190">
        <v>0</v>
      </c>
      <c r="Q69" s="190">
        <v>2344058849.4000001</v>
      </c>
      <c r="R69" s="190">
        <v>0</v>
      </c>
      <c r="S69" s="190">
        <v>747926972.51999998</v>
      </c>
      <c r="T69" s="190">
        <v>0</v>
      </c>
      <c r="U69" s="190">
        <v>637711952.63</v>
      </c>
      <c r="V69" s="190">
        <v>0</v>
      </c>
      <c r="W69" s="190">
        <v>20180369.059999999</v>
      </c>
      <c r="X69" s="190">
        <v>0</v>
      </c>
      <c r="Y69" s="190">
        <v>2548426317.3699999</v>
      </c>
      <c r="Z69" s="190">
        <v>0</v>
      </c>
      <c r="AA69" s="190">
        <v>696450920.50999999</v>
      </c>
      <c r="AB69" s="190">
        <v>0</v>
      </c>
      <c r="AC69" s="190">
        <v>117177359.66</v>
      </c>
      <c r="AD69" s="190">
        <v>0</v>
      </c>
      <c r="AE69" s="190">
        <v>153709288.53999999</v>
      </c>
      <c r="AF69" s="190">
        <v>0</v>
      </c>
      <c r="AG69" s="190">
        <v>692573057.20000005</v>
      </c>
      <c r="AH69" s="190">
        <v>0</v>
      </c>
      <c r="AI69" s="190">
        <v>379748165.04000002</v>
      </c>
      <c r="AJ69" s="190">
        <v>0</v>
      </c>
      <c r="AK69" s="190">
        <v>1103801231.95</v>
      </c>
      <c r="AL69" s="190">
        <v>0</v>
      </c>
      <c r="AM69" s="190">
        <v>678938700.12</v>
      </c>
      <c r="AN69" s="190">
        <v>0</v>
      </c>
      <c r="AO69" s="190">
        <v>367828258.45999998</v>
      </c>
      <c r="AP69" s="190">
        <v>546468577.73000002</v>
      </c>
      <c r="AQ69" s="190">
        <v>254693635.24000001</v>
      </c>
      <c r="AR69" s="190">
        <v>0</v>
      </c>
    </row>
    <row r="70" spans="1:4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row>
    <row r="71" spans="1:4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row>
    <row r="72" spans="1:4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row>
    <row r="73" spans="1:44" x14ac:dyDescent="0.25">
      <c r="A73" s="190" t="s">
        <v>286</v>
      </c>
      <c r="B73" s="190">
        <v>0</v>
      </c>
      <c r="C73" s="190">
        <v>5340874129.1000004</v>
      </c>
      <c r="D73" s="190">
        <v>0</v>
      </c>
      <c r="E73" s="190">
        <v>6226267736.54</v>
      </c>
      <c r="F73" s="190">
        <v>0</v>
      </c>
      <c r="G73" s="190">
        <v>6525548147.1400003</v>
      </c>
      <c r="H73" s="190">
        <v>0</v>
      </c>
      <c r="I73" s="190">
        <v>3215486285.96</v>
      </c>
      <c r="J73" s="190">
        <v>0</v>
      </c>
      <c r="K73" s="190">
        <v>1639359454.9400001</v>
      </c>
      <c r="L73" s="190">
        <v>0</v>
      </c>
      <c r="M73" s="190">
        <v>1702318119.5899999</v>
      </c>
      <c r="N73" s="190">
        <v>0</v>
      </c>
      <c r="O73" s="190">
        <v>2583569708.9400001</v>
      </c>
      <c r="P73" s="190">
        <v>0</v>
      </c>
      <c r="Q73" s="190">
        <v>2420924120.3499999</v>
      </c>
      <c r="R73" s="190">
        <v>0</v>
      </c>
      <c r="S73" s="190">
        <v>1964501450.3599999</v>
      </c>
      <c r="T73" s="190">
        <v>0</v>
      </c>
      <c r="U73" s="190">
        <v>1898633618.1400001</v>
      </c>
      <c r="V73" s="190">
        <v>0</v>
      </c>
      <c r="W73" s="190">
        <v>2129716478.02</v>
      </c>
      <c r="X73" s="190">
        <v>0</v>
      </c>
      <c r="Y73" s="190">
        <v>3884236851.4299998</v>
      </c>
      <c r="Z73" s="190">
        <v>0</v>
      </c>
      <c r="AA73" s="190">
        <v>4205075203.1999998</v>
      </c>
      <c r="AB73" s="190">
        <v>0</v>
      </c>
      <c r="AC73" s="190">
        <v>4354780856.1999998</v>
      </c>
      <c r="AD73" s="190">
        <v>0</v>
      </c>
      <c r="AE73" s="190">
        <v>3314997474.6100001</v>
      </c>
      <c r="AF73" s="190">
        <v>3400529590.4000001</v>
      </c>
      <c r="AG73" s="190">
        <v>3843605989.27</v>
      </c>
      <c r="AH73" s="190">
        <v>3878098235.4200001</v>
      </c>
      <c r="AI73" s="190">
        <v>3573786980.6100001</v>
      </c>
      <c r="AJ73" s="190">
        <v>3318805332.2199998</v>
      </c>
      <c r="AK73" s="190">
        <v>996114745.55999994</v>
      </c>
      <c r="AL73" s="190">
        <v>1028908589.67</v>
      </c>
      <c r="AM73" s="190">
        <v>993882210.94000006</v>
      </c>
      <c r="AN73" s="190">
        <v>504393990.56999999</v>
      </c>
      <c r="AO73" s="190">
        <v>294729709.85000002</v>
      </c>
      <c r="AP73" s="190">
        <v>570681776.80999994</v>
      </c>
      <c r="AQ73" s="190">
        <v>102751798.97</v>
      </c>
      <c r="AR73" s="190">
        <v>0</v>
      </c>
    </row>
    <row r="74" spans="1:44" x14ac:dyDescent="0.25">
      <c r="A74" s="190" t="s">
        <v>287</v>
      </c>
      <c r="B74" s="190">
        <v>0</v>
      </c>
      <c r="C74" s="190">
        <v>6226267736.54</v>
      </c>
      <c r="D74" s="190">
        <v>0</v>
      </c>
      <c r="E74" s="190">
        <v>3215486285.96</v>
      </c>
      <c r="F74" s="190">
        <v>0</v>
      </c>
      <c r="G74" s="190">
        <v>3215486285.96</v>
      </c>
      <c r="H74" s="190">
        <v>0</v>
      </c>
      <c r="I74" s="190">
        <v>2301578822.1100001</v>
      </c>
      <c r="J74" s="190">
        <v>0</v>
      </c>
      <c r="K74" s="190">
        <v>1702318119.5899999</v>
      </c>
      <c r="L74" s="190">
        <v>0</v>
      </c>
      <c r="M74" s="190">
        <v>2420924120.3499999</v>
      </c>
      <c r="N74" s="190">
        <v>0</v>
      </c>
      <c r="O74" s="190">
        <v>2420924120.3499999</v>
      </c>
      <c r="P74" s="190">
        <v>0</v>
      </c>
      <c r="Q74" s="190">
        <v>1898633618.1400001</v>
      </c>
      <c r="R74" s="190">
        <v>0</v>
      </c>
      <c r="S74" s="190">
        <v>1898633618.1400001</v>
      </c>
      <c r="T74" s="190">
        <v>0</v>
      </c>
      <c r="U74" s="190">
        <v>3884236851.4299998</v>
      </c>
      <c r="V74" s="190">
        <v>0</v>
      </c>
      <c r="W74" s="190">
        <v>3884236851.4299998</v>
      </c>
      <c r="X74" s="190">
        <v>0</v>
      </c>
      <c r="Y74" s="190">
        <v>4608794894.9700003</v>
      </c>
      <c r="Z74" s="190">
        <v>0</v>
      </c>
      <c r="AA74" s="190">
        <v>4437206075.1099997</v>
      </c>
      <c r="AB74" s="190">
        <v>0</v>
      </c>
      <c r="AC74" s="190">
        <v>3847068008.98</v>
      </c>
      <c r="AD74" s="190">
        <v>0</v>
      </c>
      <c r="AE74" s="190">
        <v>3843605989.27</v>
      </c>
      <c r="AF74" s="190">
        <v>3843605989.27</v>
      </c>
      <c r="AG74" s="190">
        <v>996114745.55999994</v>
      </c>
      <c r="AH74" s="190">
        <v>996114745.55999994</v>
      </c>
      <c r="AI74" s="190">
        <v>996114745.55999994</v>
      </c>
      <c r="AJ74" s="190">
        <v>996114745.55999994</v>
      </c>
      <c r="AK74" s="190">
        <v>294729709.85000002</v>
      </c>
      <c r="AL74" s="190">
        <v>294729709.85000002</v>
      </c>
      <c r="AM74" s="190">
        <v>294729709.85000002</v>
      </c>
      <c r="AN74" s="190">
        <v>294729709.85000002</v>
      </c>
      <c r="AO74" s="190">
        <v>570681776.80999994</v>
      </c>
      <c r="AP74" s="190">
        <v>102751798.97</v>
      </c>
      <c r="AQ74" s="190">
        <v>74498354.239999995</v>
      </c>
      <c r="AR74" s="190">
        <v>0</v>
      </c>
    </row>
    <row r="75" spans="1:4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row>
    <row r="76" spans="1:4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row>
    <row r="77" spans="1:44" x14ac:dyDescent="0.25">
      <c r="A77" s="190" t="s">
        <v>290</v>
      </c>
      <c r="B77" s="190">
        <v>0</v>
      </c>
      <c r="C77" s="190">
        <v>-885393607.44000006</v>
      </c>
      <c r="D77" s="190">
        <v>0</v>
      </c>
      <c r="E77" s="190">
        <v>3010781450.5799999</v>
      </c>
      <c r="F77" s="190">
        <v>0</v>
      </c>
      <c r="G77" s="190">
        <v>3310061861.1799998</v>
      </c>
      <c r="H77" s="190">
        <v>0</v>
      </c>
      <c r="I77" s="190">
        <v>913907463.85000002</v>
      </c>
      <c r="J77" s="190">
        <v>0</v>
      </c>
      <c r="K77" s="190">
        <v>-62958664.649999999</v>
      </c>
      <c r="L77" s="190">
        <v>0</v>
      </c>
      <c r="M77" s="190">
        <v>-718606000.75999999</v>
      </c>
      <c r="N77" s="190">
        <v>0</v>
      </c>
      <c r="O77" s="190">
        <v>162645588.59</v>
      </c>
      <c r="P77" s="190">
        <v>0</v>
      </c>
      <c r="Q77" s="190">
        <v>522290502.20999998</v>
      </c>
      <c r="R77" s="190">
        <v>0</v>
      </c>
      <c r="S77" s="190">
        <v>65867832.219999999</v>
      </c>
      <c r="T77" s="190">
        <v>0</v>
      </c>
      <c r="U77" s="190">
        <v>-1985603233.29</v>
      </c>
      <c r="V77" s="190">
        <v>0</v>
      </c>
      <c r="W77" s="190">
        <v>-1754520373.4100001</v>
      </c>
      <c r="X77" s="190">
        <v>0</v>
      </c>
      <c r="Y77" s="190">
        <v>-724558043.53999996</v>
      </c>
      <c r="Z77" s="190">
        <v>0</v>
      </c>
      <c r="AA77" s="190">
        <v>-232130871.91</v>
      </c>
      <c r="AB77" s="190">
        <v>0</v>
      </c>
      <c r="AC77" s="190">
        <v>507712847.22000003</v>
      </c>
      <c r="AD77" s="190">
        <v>0</v>
      </c>
      <c r="AE77" s="190">
        <v>-528608514.66000003</v>
      </c>
      <c r="AF77" s="190">
        <v>-443076398.87</v>
      </c>
      <c r="AG77" s="190">
        <v>2847491243.71</v>
      </c>
      <c r="AH77" s="190">
        <v>2881983489.8600001</v>
      </c>
      <c r="AI77" s="190">
        <v>2577672235.0500002</v>
      </c>
      <c r="AJ77" s="190">
        <v>2322690586.6599998</v>
      </c>
      <c r="AK77" s="190">
        <v>701385035.71000004</v>
      </c>
      <c r="AL77" s="190">
        <v>734178879.82000005</v>
      </c>
      <c r="AM77" s="190">
        <v>699152501.09000003</v>
      </c>
      <c r="AN77" s="190">
        <v>209664280.72</v>
      </c>
      <c r="AO77" s="190">
        <v>-275952066.95999998</v>
      </c>
      <c r="AP77" s="190">
        <v>467929977.83999997</v>
      </c>
      <c r="AQ77" s="190">
        <v>28253444.73</v>
      </c>
      <c r="AR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0" width="19.33203125" hidden="1" customWidth="1"/>
    <col min="11"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0" width="21.44140625" hidden="1" customWidth="1"/>
    <col min="31" max="32" width="19.33203125" hidden="1" customWidth="1"/>
    <col min="33" max="33" width="19.33203125" bestFit="1" customWidth="1"/>
    <col min="34" max="36" width="19.33203125" hidden="1" customWidth="1"/>
    <col min="37" max="37" width="19.33203125" bestFit="1" customWidth="1"/>
    <col min="38" max="38" width="19.33203125" hidden="1" customWidth="1"/>
    <col min="39" max="41" width="19.33203125" bestFit="1" customWidth="1"/>
    <col min="42" max="42" width="9.5546875" hidden="1" customWidth="1"/>
    <col min="43"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20090630</v>
      </c>
      <c r="AM1" s="190">
        <v>20081231</v>
      </c>
      <c r="AN1" s="190">
        <v>20071231</v>
      </c>
      <c r="AO1" s="190">
        <v>20061231</v>
      </c>
      <c r="AP1" s="190">
        <v>19700101</v>
      </c>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5532872322.6099997</v>
      </c>
      <c r="C4" s="190">
        <v>6062491986.0799999</v>
      </c>
      <c r="D4" s="190">
        <v>6880558814.1400003</v>
      </c>
      <c r="E4" s="190">
        <v>6829992911.9399996</v>
      </c>
      <c r="F4" s="190">
        <v>7654387503.7600002</v>
      </c>
      <c r="G4" s="190">
        <v>7044627370.4499998</v>
      </c>
      <c r="H4" s="190">
        <v>7041810087.2399998</v>
      </c>
      <c r="I4" s="190">
        <v>3674825674.4200001</v>
      </c>
      <c r="J4" s="190">
        <v>1277412150.8800001</v>
      </c>
      <c r="K4" s="190">
        <v>1705002086.8399999</v>
      </c>
      <c r="L4" s="190">
        <v>2520224370.3200002</v>
      </c>
      <c r="M4" s="190">
        <v>1768620015.1700001</v>
      </c>
      <c r="N4" s="190">
        <v>2119660140.5999999</v>
      </c>
      <c r="O4" s="190">
        <v>2631213714.1100001</v>
      </c>
      <c r="P4" s="190">
        <v>2104289189.3299999</v>
      </c>
      <c r="Q4" s="190">
        <v>2450368179.3000002</v>
      </c>
      <c r="R4" s="190">
        <v>1971342713.9000001</v>
      </c>
      <c r="S4" s="190">
        <v>2037323170.8299999</v>
      </c>
      <c r="T4" s="190">
        <v>2117903890.3199999</v>
      </c>
      <c r="U4" s="190">
        <v>1986479386.23</v>
      </c>
      <c r="V4" s="190">
        <v>2155489106.2600002</v>
      </c>
      <c r="W4" s="190">
        <v>2244946439.2800002</v>
      </c>
      <c r="X4" s="190">
        <v>2727202957.9400001</v>
      </c>
      <c r="Y4" s="190">
        <v>3966308906.6799998</v>
      </c>
      <c r="Z4" s="190">
        <v>3282712333.8699999</v>
      </c>
      <c r="AA4" s="190">
        <v>4205075203.1999998</v>
      </c>
      <c r="AB4" s="190">
        <v>4373486393.9899998</v>
      </c>
      <c r="AC4" s="190">
        <v>4561781414.4200001</v>
      </c>
      <c r="AD4" s="190">
        <v>4664304989.1999998</v>
      </c>
      <c r="AE4" s="190">
        <v>3314997474.6100001</v>
      </c>
      <c r="AF4" s="190">
        <v>3400529590.4000001</v>
      </c>
      <c r="AG4" s="190">
        <v>3843605989.27</v>
      </c>
      <c r="AH4" s="190">
        <v>3878098235.4200001</v>
      </c>
      <c r="AI4" s="190">
        <v>3573786980.6100001</v>
      </c>
      <c r="AJ4" s="190">
        <v>3318805332.2199998</v>
      </c>
      <c r="AK4" s="190">
        <v>996114745.55999994</v>
      </c>
      <c r="AL4" s="190">
        <v>993882210.94000006</v>
      </c>
      <c r="AM4" s="190">
        <v>294729709.85000002</v>
      </c>
      <c r="AN4" s="190">
        <v>570681776.80999994</v>
      </c>
      <c r="AO4" s="190">
        <v>102751798.97</v>
      </c>
      <c r="AP4" s="190">
        <v>0</v>
      </c>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961830</v>
      </c>
      <c r="C5" s="190">
        <v>961830</v>
      </c>
      <c r="D5" s="190">
        <v>229813894.38999999</v>
      </c>
      <c r="E5" s="190">
        <v>501543167.13</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839966.61</v>
      </c>
      <c r="W5" s="190">
        <v>839966.61</v>
      </c>
      <c r="X5" s="190">
        <v>839966.61</v>
      </c>
      <c r="Y5" s="190">
        <v>839966.61</v>
      </c>
      <c r="Z5" s="190">
        <v>822791.12</v>
      </c>
      <c r="AA5" s="190">
        <v>0</v>
      </c>
      <c r="AB5" s="190">
        <v>0</v>
      </c>
      <c r="AC5" s="190">
        <v>0</v>
      </c>
      <c r="AD5" s="190">
        <v>0</v>
      </c>
      <c r="AE5" s="190">
        <v>0</v>
      </c>
      <c r="AF5" s="190">
        <v>0</v>
      </c>
      <c r="AG5" s="190">
        <v>0</v>
      </c>
      <c r="AH5" s="190">
        <v>0</v>
      </c>
      <c r="AI5" s="190">
        <v>0</v>
      </c>
      <c r="AJ5" s="190">
        <v>0</v>
      </c>
      <c r="AK5" s="190">
        <v>0</v>
      </c>
      <c r="AL5" s="190">
        <v>0</v>
      </c>
      <c r="AM5" s="190">
        <v>87262.5</v>
      </c>
      <c r="AN5" s="190">
        <v>230247.5</v>
      </c>
      <c r="AO5" s="190">
        <v>211295</v>
      </c>
      <c r="AP5" s="190">
        <v>0</v>
      </c>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12445131.67</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1389071545.3299999</v>
      </c>
      <c r="C8" s="190">
        <v>1451600365.8299999</v>
      </c>
      <c r="D8" s="190">
        <v>1463486807.6199999</v>
      </c>
      <c r="E8" s="190">
        <v>1379351197.6199999</v>
      </c>
      <c r="F8" s="190">
        <v>1771090329.23</v>
      </c>
      <c r="G8" s="190">
        <v>1753429863.8099999</v>
      </c>
      <c r="H8" s="190">
        <v>1537615893.6600001</v>
      </c>
      <c r="I8" s="190">
        <v>1508452876.5799999</v>
      </c>
      <c r="J8" s="190">
        <v>663551249.78999996</v>
      </c>
      <c r="K8" s="190">
        <v>671582413.78999996</v>
      </c>
      <c r="L8" s="190">
        <v>678549080.78999996</v>
      </c>
      <c r="M8" s="190">
        <v>612601968</v>
      </c>
      <c r="N8" s="190">
        <v>628801281.87</v>
      </c>
      <c r="O8" s="190">
        <v>510313758</v>
      </c>
      <c r="P8" s="190">
        <v>488313758</v>
      </c>
      <c r="Q8" s="190">
        <v>438243758</v>
      </c>
      <c r="R8" s="190">
        <v>457871628</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183468652.53</v>
      </c>
      <c r="C10" s="190">
        <v>186354585.66</v>
      </c>
      <c r="D10" s="190">
        <v>181624651.53</v>
      </c>
      <c r="E10" s="190">
        <v>192126451.90000001</v>
      </c>
      <c r="F10" s="190">
        <v>69140271.060000002</v>
      </c>
      <c r="G10" s="190">
        <v>70432597.150000006</v>
      </c>
      <c r="H10" s="190">
        <v>71724923.239999995</v>
      </c>
      <c r="I10" s="190">
        <v>73017249.329999998</v>
      </c>
      <c r="J10" s="190">
        <v>4106473.79</v>
      </c>
      <c r="K10" s="190">
        <v>4282548.5</v>
      </c>
      <c r="L10" s="190">
        <v>4458623.2</v>
      </c>
      <c r="M10" s="190">
        <v>4634697.91</v>
      </c>
      <c r="N10" s="190">
        <v>4810772.6100000003</v>
      </c>
      <c r="O10" s="190">
        <v>4986847.32</v>
      </c>
      <c r="P10" s="190">
        <v>5162922.0199999996</v>
      </c>
      <c r="Q10" s="190">
        <v>5338996.7300000004</v>
      </c>
      <c r="R10" s="190">
        <v>5515071.4299999997</v>
      </c>
      <c r="S10" s="190">
        <v>5691146.1299999999</v>
      </c>
      <c r="T10" s="190">
        <v>5867220.8399999999</v>
      </c>
      <c r="U10" s="190">
        <v>6043295.54</v>
      </c>
      <c r="V10" s="190">
        <v>2443187.29</v>
      </c>
      <c r="W10" s="190">
        <v>2537059.54</v>
      </c>
      <c r="X10" s="190">
        <v>2630931.79</v>
      </c>
      <c r="Y10" s="190">
        <v>2724804.04</v>
      </c>
      <c r="Z10" s="190">
        <v>2818676.29</v>
      </c>
      <c r="AA10" s="190">
        <v>2912548.54</v>
      </c>
      <c r="AB10" s="190">
        <v>3006420.79</v>
      </c>
      <c r="AC10" s="190">
        <v>3100293.04</v>
      </c>
      <c r="AD10" s="190">
        <v>3194165.29</v>
      </c>
      <c r="AE10" s="190">
        <v>3288037.54</v>
      </c>
      <c r="AF10" s="190">
        <v>3381909.79</v>
      </c>
      <c r="AG10" s="190">
        <v>3475782.04</v>
      </c>
      <c r="AH10" s="190">
        <v>3569654.29</v>
      </c>
      <c r="AI10" s="190">
        <v>3663526.54</v>
      </c>
      <c r="AJ10" s="190">
        <v>3757398.79</v>
      </c>
      <c r="AK10" s="190">
        <v>3851271.04</v>
      </c>
      <c r="AL10" s="190">
        <v>3921227.93</v>
      </c>
      <c r="AM10" s="190">
        <v>4226760.16</v>
      </c>
      <c r="AN10" s="190">
        <v>4532292.3899999997</v>
      </c>
      <c r="AO10" s="190">
        <v>0</v>
      </c>
      <c r="AP10" s="190">
        <v>0</v>
      </c>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328285391.82999998</v>
      </c>
      <c r="C11" s="190">
        <v>220642256.25999999</v>
      </c>
      <c r="D11" s="190">
        <v>255291286.47999999</v>
      </c>
      <c r="E11" s="190">
        <v>170724094.61000001</v>
      </c>
      <c r="F11" s="190">
        <v>10557141.130000001</v>
      </c>
      <c r="G11" s="190">
        <v>10557141.130000001</v>
      </c>
      <c r="H11" s="190">
        <v>10557141.130000001</v>
      </c>
      <c r="I11" s="190">
        <v>14662256.279999999</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32736776.75</v>
      </c>
      <c r="C13" s="190">
        <v>33784137.5</v>
      </c>
      <c r="D13" s="190">
        <v>27967853.289999999</v>
      </c>
      <c r="E13" s="190">
        <v>12404685.720000001</v>
      </c>
      <c r="F13" s="190">
        <v>17351259.440000001</v>
      </c>
      <c r="G13" s="190">
        <v>11291568.859999999</v>
      </c>
      <c r="H13" s="190">
        <v>13930884.34</v>
      </c>
      <c r="I13" s="190">
        <v>32877350.920000002</v>
      </c>
      <c r="J13" s="190">
        <v>0</v>
      </c>
      <c r="K13" s="190">
        <v>0</v>
      </c>
      <c r="L13" s="190">
        <v>478453.62</v>
      </c>
      <c r="M13" s="190">
        <v>233770.83</v>
      </c>
      <c r="N13" s="190">
        <v>0</v>
      </c>
      <c r="O13" s="190">
        <v>0</v>
      </c>
      <c r="P13" s="190">
        <v>0</v>
      </c>
      <c r="Q13" s="190">
        <v>0</v>
      </c>
      <c r="R13" s="190">
        <v>0</v>
      </c>
      <c r="S13" s="190">
        <v>0</v>
      </c>
      <c r="T13" s="190">
        <v>0</v>
      </c>
      <c r="U13" s="190">
        <v>0</v>
      </c>
      <c r="V13" s="190">
        <v>0</v>
      </c>
      <c r="W13" s="190">
        <v>2000000</v>
      </c>
      <c r="X13" s="190">
        <v>9500000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7467396519.0499992</v>
      </c>
      <c r="C17" s="33">
        <f t="shared" ref="C17:BN17" si="0">SUM(C4:C13)</f>
        <v>7955835161.3299999</v>
      </c>
      <c r="D17" s="33">
        <f t="shared" si="0"/>
        <v>9051188439.1200008</v>
      </c>
      <c r="E17" s="33">
        <f t="shared" si="0"/>
        <v>9086142508.9199982</v>
      </c>
      <c r="F17" s="33">
        <f t="shared" si="0"/>
        <v>9522526504.6199989</v>
      </c>
      <c r="G17" s="33">
        <f t="shared" si="0"/>
        <v>8890338541.3999996</v>
      </c>
      <c r="H17" s="33">
        <f t="shared" si="0"/>
        <v>8675638929.6099987</v>
      </c>
      <c r="I17" s="33">
        <f t="shared" si="0"/>
        <v>5303835407.5299997</v>
      </c>
      <c r="J17" s="33">
        <f t="shared" si="0"/>
        <v>1945069874.46</v>
      </c>
      <c r="K17" s="33">
        <f t="shared" si="0"/>
        <v>2380867049.1300001</v>
      </c>
      <c r="L17" s="33">
        <f t="shared" si="0"/>
        <v>3203710527.9299998</v>
      </c>
      <c r="M17" s="33">
        <f t="shared" si="0"/>
        <v>2386090451.9099998</v>
      </c>
      <c r="N17" s="33">
        <f t="shared" si="0"/>
        <v>2753272195.0799999</v>
      </c>
      <c r="O17" s="33">
        <f t="shared" si="0"/>
        <v>3146514319.4300003</v>
      </c>
      <c r="P17" s="33">
        <f t="shared" si="0"/>
        <v>2597765869.3499999</v>
      </c>
      <c r="Q17" s="33">
        <f t="shared" si="0"/>
        <v>2893950934.0300002</v>
      </c>
      <c r="R17" s="33">
        <f t="shared" si="0"/>
        <v>2434729413.3299999</v>
      </c>
      <c r="S17" s="33">
        <f t="shared" si="0"/>
        <v>2043014316.96</v>
      </c>
      <c r="T17" s="33">
        <f t="shared" si="0"/>
        <v>2123771111.1599998</v>
      </c>
      <c r="U17" s="33">
        <f t="shared" si="0"/>
        <v>1992522681.77</v>
      </c>
      <c r="V17" s="33">
        <f t="shared" si="0"/>
        <v>2158772260.1600003</v>
      </c>
      <c r="W17" s="33">
        <f t="shared" si="0"/>
        <v>2250323465.4300003</v>
      </c>
      <c r="X17" s="33">
        <f t="shared" si="0"/>
        <v>2740173856.3400002</v>
      </c>
      <c r="Y17" s="33">
        <f t="shared" si="0"/>
        <v>3969873677.3299999</v>
      </c>
      <c r="Z17" s="33">
        <f t="shared" si="0"/>
        <v>3286353801.2799997</v>
      </c>
      <c r="AA17" s="33">
        <f t="shared" si="0"/>
        <v>4207987751.7399998</v>
      </c>
      <c r="AB17" s="33">
        <f t="shared" si="0"/>
        <v>4376492814.7799997</v>
      </c>
      <c r="AC17" s="33">
        <f t="shared" si="0"/>
        <v>4564881707.46</v>
      </c>
      <c r="AD17" s="33">
        <f t="shared" si="0"/>
        <v>4667499154.4899998</v>
      </c>
      <c r="AE17" s="33">
        <f t="shared" si="0"/>
        <v>3318285512.1500001</v>
      </c>
      <c r="AF17" s="33">
        <f t="shared" si="0"/>
        <v>3403911500.1900001</v>
      </c>
      <c r="AG17" s="33">
        <f t="shared" si="0"/>
        <v>3847081771.3099999</v>
      </c>
      <c r="AH17" s="33">
        <f t="shared" si="0"/>
        <v>3881667889.71</v>
      </c>
      <c r="AI17" s="33">
        <f t="shared" si="0"/>
        <v>3577450507.1500001</v>
      </c>
      <c r="AJ17" s="33">
        <f t="shared" si="0"/>
        <v>3322562731.0099998</v>
      </c>
      <c r="AK17" s="33">
        <f t="shared" si="0"/>
        <v>999966016.5999999</v>
      </c>
      <c r="AL17" s="33">
        <f t="shared" si="0"/>
        <v>997803438.87</v>
      </c>
      <c r="AM17" s="33">
        <f t="shared" si="0"/>
        <v>299043732.51000005</v>
      </c>
      <c r="AN17" s="33">
        <f t="shared" si="0"/>
        <v>575444316.69999993</v>
      </c>
      <c r="AO17" s="33">
        <f t="shared" si="0"/>
        <v>102963093.97</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2409742223.0599999</v>
      </c>
      <c r="C19" s="190">
        <v>2157875529.04</v>
      </c>
      <c r="D19" s="190">
        <v>1836791854.75</v>
      </c>
      <c r="E19" s="190">
        <v>1693182531.9100001</v>
      </c>
      <c r="F19" s="190">
        <v>778902588.85000002</v>
      </c>
      <c r="G19" s="190">
        <v>730480762.20000005</v>
      </c>
      <c r="H19" s="190">
        <v>739999144.57000005</v>
      </c>
      <c r="I19" s="190">
        <v>606055478.36000001</v>
      </c>
      <c r="J19" s="190">
        <v>109862456.66</v>
      </c>
      <c r="K19" s="190">
        <v>108059766.98</v>
      </c>
      <c r="L19" s="190">
        <v>106282333.42</v>
      </c>
      <c r="M19" s="190">
        <v>104304372.69</v>
      </c>
      <c r="N19" s="190">
        <v>110146517.26000001</v>
      </c>
      <c r="O19" s="190">
        <v>103340735.97</v>
      </c>
      <c r="P19" s="190">
        <v>105845182.06999999</v>
      </c>
      <c r="Q19" s="190">
        <v>104310538.33</v>
      </c>
      <c r="R19" s="190">
        <v>99323437.510000005</v>
      </c>
      <c r="S19" s="190">
        <v>568895893.27999997</v>
      </c>
      <c r="T19" s="190">
        <v>543116797.71000004</v>
      </c>
      <c r="U19" s="190">
        <v>541123048.21000004</v>
      </c>
      <c r="V19" s="190">
        <v>525816787.92000002</v>
      </c>
      <c r="W19" s="190">
        <v>522665476.44</v>
      </c>
      <c r="X19" s="190">
        <v>504948856.80000001</v>
      </c>
      <c r="Y19" s="190">
        <v>414463411.56</v>
      </c>
      <c r="Z19" s="190">
        <v>358541487.23000002</v>
      </c>
      <c r="AA19" s="190">
        <v>308971720.89999998</v>
      </c>
      <c r="AB19" s="190">
        <v>425072082.31999999</v>
      </c>
      <c r="AC19" s="190">
        <v>394003515.55000001</v>
      </c>
      <c r="AD19" s="190">
        <v>224139204.03</v>
      </c>
      <c r="AE19" s="190">
        <v>223976359.44999999</v>
      </c>
      <c r="AF19" s="190">
        <v>206942256.94</v>
      </c>
      <c r="AG19" s="190">
        <v>62034078.270000003</v>
      </c>
      <c r="AH19" s="190">
        <v>62056908.75</v>
      </c>
      <c r="AI19" s="190">
        <v>60309687.600000001</v>
      </c>
      <c r="AJ19" s="190">
        <v>59993899.270000003</v>
      </c>
      <c r="AK19" s="190">
        <v>60359945.630000003</v>
      </c>
      <c r="AL19" s="190">
        <v>24478634.120000001</v>
      </c>
      <c r="AM19" s="190">
        <v>35780592.719999999</v>
      </c>
      <c r="AN19" s="190">
        <v>31133700.140000001</v>
      </c>
      <c r="AO19" s="190">
        <v>29447965.960000001</v>
      </c>
      <c r="AP19" s="190">
        <v>0</v>
      </c>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3257666121.1100001</v>
      </c>
      <c r="C22" s="190">
        <v>2774416985.1599998</v>
      </c>
      <c r="D22" s="190">
        <v>2167750947.6900001</v>
      </c>
      <c r="E22" s="190">
        <v>2360080390.0100002</v>
      </c>
      <c r="F22" s="190">
        <v>2212893571.1700001</v>
      </c>
      <c r="G22" s="190">
        <v>2011009381.6900001</v>
      </c>
      <c r="H22" s="190">
        <v>1745439342.4000001</v>
      </c>
      <c r="I22" s="190">
        <v>1825739631.8499999</v>
      </c>
      <c r="J22" s="190">
        <v>1586854679.05</v>
      </c>
      <c r="K22" s="190">
        <v>1404070185.9000001</v>
      </c>
      <c r="L22" s="190">
        <v>1462236174.3399999</v>
      </c>
      <c r="M22" s="190">
        <v>1375467023.0699999</v>
      </c>
      <c r="N22" s="190">
        <v>1782726125.79</v>
      </c>
      <c r="O22" s="190">
        <v>1482765316.1300001</v>
      </c>
      <c r="P22" s="190">
        <v>1664571642.99</v>
      </c>
      <c r="Q22" s="190">
        <v>2260314406.6100001</v>
      </c>
      <c r="R22" s="190">
        <v>2347622507.3400002</v>
      </c>
      <c r="S22" s="190">
        <v>2229293643.6900001</v>
      </c>
      <c r="T22" s="190">
        <v>1957213977.6199999</v>
      </c>
      <c r="U22" s="190">
        <v>2118792950.26</v>
      </c>
      <c r="V22" s="190">
        <v>1932637513.5999999</v>
      </c>
      <c r="W22" s="190">
        <v>1499874175.98</v>
      </c>
      <c r="X22" s="190">
        <v>1050938765.47</v>
      </c>
      <c r="Y22" s="190">
        <v>1031383026.84</v>
      </c>
      <c r="Z22" s="190">
        <v>1249845538.4200001</v>
      </c>
      <c r="AA22" s="190">
        <v>966219461.46000004</v>
      </c>
      <c r="AB22" s="190">
        <v>812016403.48000002</v>
      </c>
      <c r="AC22" s="190">
        <v>1206384656.8099999</v>
      </c>
      <c r="AD22" s="190">
        <v>1000150897.36</v>
      </c>
      <c r="AE22" s="190">
        <v>730330049.72000003</v>
      </c>
      <c r="AF22" s="190">
        <v>449012124.24000001</v>
      </c>
      <c r="AG22" s="190">
        <v>385038868.27999997</v>
      </c>
      <c r="AH22" s="190">
        <v>320042037.44999999</v>
      </c>
      <c r="AI22" s="190">
        <v>266330347.59999999</v>
      </c>
      <c r="AJ22" s="190">
        <v>175163048.90000001</v>
      </c>
      <c r="AK22" s="190">
        <v>157077292.12</v>
      </c>
      <c r="AL22" s="190">
        <v>124087717.29000001</v>
      </c>
      <c r="AM22" s="190">
        <v>196584655.93000001</v>
      </c>
      <c r="AN22" s="190">
        <v>306923816.45999998</v>
      </c>
      <c r="AO22" s="190">
        <v>84980374.930000007</v>
      </c>
      <c r="AP22" s="190">
        <v>0</v>
      </c>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6934434836.5299997</v>
      </c>
      <c r="C23" s="190">
        <v>7027628174.2399998</v>
      </c>
      <c r="D23" s="190">
        <v>5271553677.5299997</v>
      </c>
      <c r="E23" s="190">
        <v>6502707161.6400003</v>
      </c>
      <c r="F23" s="190">
        <v>5898141830.7600002</v>
      </c>
      <c r="G23" s="190">
        <v>5819453618.1300001</v>
      </c>
      <c r="H23" s="190">
        <v>6054285377.3699999</v>
      </c>
      <c r="I23" s="190">
        <v>5555428824.7700005</v>
      </c>
      <c r="J23" s="190">
        <v>2892698335.5799999</v>
      </c>
      <c r="K23" s="190">
        <v>2962292204.9699998</v>
      </c>
      <c r="L23" s="190">
        <v>2796803448.7199998</v>
      </c>
      <c r="M23" s="190">
        <v>2753723380.3299999</v>
      </c>
      <c r="N23" s="190">
        <v>2920054231.5100002</v>
      </c>
      <c r="O23" s="190">
        <v>2800562655.29</v>
      </c>
      <c r="P23" s="190">
        <v>2355215035.3800001</v>
      </c>
      <c r="Q23" s="190">
        <v>2078139024.99</v>
      </c>
      <c r="R23" s="190">
        <v>2261065478.0999999</v>
      </c>
      <c r="S23" s="190">
        <v>2158756406.2199998</v>
      </c>
      <c r="T23" s="190">
        <v>2110932799.1800001</v>
      </c>
      <c r="U23" s="190">
        <v>1937583473.29</v>
      </c>
      <c r="V23" s="190">
        <v>2014365666.4400001</v>
      </c>
      <c r="W23" s="190">
        <v>1946932428.1400001</v>
      </c>
      <c r="X23" s="190">
        <v>1776594834.8399999</v>
      </c>
      <c r="Y23" s="190">
        <v>1418088743.24</v>
      </c>
      <c r="Z23" s="190">
        <v>1565998112.74</v>
      </c>
      <c r="AA23" s="190">
        <v>1046467522.83</v>
      </c>
      <c r="AB23" s="190">
        <v>925520764.60000002</v>
      </c>
      <c r="AC23" s="190">
        <v>958335533.38999999</v>
      </c>
      <c r="AD23" s="190">
        <v>795735479.61000001</v>
      </c>
      <c r="AE23" s="190">
        <v>800116848.32000005</v>
      </c>
      <c r="AF23" s="190">
        <v>696018089.25999999</v>
      </c>
      <c r="AG23" s="190">
        <v>505373230.75999999</v>
      </c>
      <c r="AH23" s="190">
        <v>617398733.75999999</v>
      </c>
      <c r="AI23" s="190">
        <v>554908174.5</v>
      </c>
      <c r="AJ23" s="190">
        <v>533602660.70999998</v>
      </c>
      <c r="AK23" s="190">
        <v>465669490.36000001</v>
      </c>
      <c r="AL23" s="190">
        <v>557556910.97000003</v>
      </c>
      <c r="AM23" s="190">
        <v>472051081.33999997</v>
      </c>
      <c r="AN23" s="190">
        <v>410418474.97000003</v>
      </c>
      <c r="AO23" s="190">
        <v>623743640.70000005</v>
      </c>
      <c r="AP23" s="190">
        <v>0</v>
      </c>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1599483734.7</v>
      </c>
      <c r="C24" s="190">
        <v>692250814.80999994</v>
      </c>
      <c r="D24" s="190">
        <v>716747488.54999995</v>
      </c>
      <c r="E24" s="190">
        <v>406808032.83999997</v>
      </c>
      <c r="F24" s="190">
        <v>633966136.90999997</v>
      </c>
      <c r="G24" s="190">
        <v>669814464</v>
      </c>
      <c r="H24" s="190">
        <v>729103424.13999999</v>
      </c>
      <c r="I24" s="190">
        <v>585901739.17999995</v>
      </c>
      <c r="J24" s="190">
        <v>119941264.77</v>
      </c>
      <c r="K24" s="190">
        <v>102477895.13</v>
      </c>
      <c r="L24" s="190">
        <v>73659075.230000004</v>
      </c>
      <c r="M24" s="190">
        <v>37799473.729999997</v>
      </c>
      <c r="N24" s="190">
        <v>128505830.89</v>
      </c>
      <c r="O24" s="190">
        <v>88642179.980000004</v>
      </c>
      <c r="P24" s="190">
        <v>89774334.950000003</v>
      </c>
      <c r="Q24" s="190">
        <v>42601346.420000002</v>
      </c>
      <c r="R24" s="190">
        <v>122424472.95999999</v>
      </c>
      <c r="S24" s="190">
        <v>126961380.95</v>
      </c>
      <c r="T24" s="190">
        <v>98529234.609999999</v>
      </c>
      <c r="U24" s="190">
        <v>87968209.780000001</v>
      </c>
      <c r="V24" s="190">
        <v>138803235.84</v>
      </c>
      <c r="W24" s="190">
        <v>137422497.49000001</v>
      </c>
      <c r="X24" s="190">
        <v>84128285</v>
      </c>
      <c r="Y24" s="190">
        <v>43867906.25</v>
      </c>
      <c r="Z24" s="190">
        <v>111175494.70999999</v>
      </c>
      <c r="AA24" s="190">
        <v>78498076.680000007</v>
      </c>
      <c r="AB24" s="190">
        <v>87147961.620000005</v>
      </c>
      <c r="AC24" s="190">
        <v>81173694.209999993</v>
      </c>
      <c r="AD24" s="190">
        <v>99366773.329999998</v>
      </c>
      <c r="AE24" s="190">
        <v>82841486.010000005</v>
      </c>
      <c r="AF24" s="190">
        <v>64395021.009999998</v>
      </c>
      <c r="AG24" s="190">
        <v>25282067.579999998</v>
      </c>
      <c r="AH24" s="190">
        <v>48743229.630000003</v>
      </c>
      <c r="AI24" s="190">
        <v>54432072.710000001</v>
      </c>
      <c r="AJ24" s="190">
        <v>78890453.510000005</v>
      </c>
      <c r="AK24" s="190">
        <v>60501598.409999996</v>
      </c>
      <c r="AL24" s="190">
        <v>52191764.119999997</v>
      </c>
      <c r="AM24" s="190">
        <v>50588741.840000004</v>
      </c>
      <c r="AN24" s="190">
        <v>48930611.409999996</v>
      </c>
      <c r="AO24" s="190">
        <v>12056770.710000001</v>
      </c>
      <c r="AP24" s="190">
        <v>0</v>
      </c>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1504698481.8699999</v>
      </c>
      <c r="C25" s="190">
        <v>1006246597.98</v>
      </c>
      <c r="D25" s="190">
        <v>1137604901.9400001</v>
      </c>
      <c r="E25" s="190">
        <v>368343246.42000002</v>
      </c>
      <c r="F25" s="190">
        <v>473038608.99000001</v>
      </c>
      <c r="G25" s="190">
        <v>362597186.66000003</v>
      </c>
      <c r="H25" s="190">
        <v>587251786.01999998</v>
      </c>
      <c r="I25" s="190">
        <v>328720203.11000001</v>
      </c>
      <c r="J25" s="190">
        <v>71968016.799999997</v>
      </c>
      <c r="K25" s="190">
        <v>53246133.909999996</v>
      </c>
      <c r="L25" s="190">
        <v>60116435.100000001</v>
      </c>
      <c r="M25" s="190">
        <v>55845347.950000003</v>
      </c>
      <c r="N25" s="190">
        <v>57675709.229999997</v>
      </c>
      <c r="O25" s="190">
        <v>61954511.159999996</v>
      </c>
      <c r="P25" s="190">
        <v>42851161.899999999</v>
      </c>
      <c r="Q25" s="190">
        <v>70339274.680000007</v>
      </c>
      <c r="R25" s="190">
        <v>89270816.900000006</v>
      </c>
      <c r="S25" s="190">
        <v>66812351.259999998</v>
      </c>
      <c r="T25" s="190">
        <v>57066872.149999999</v>
      </c>
      <c r="U25" s="190">
        <v>35900693.07</v>
      </c>
      <c r="V25" s="190">
        <v>95167373.480000004</v>
      </c>
      <c r="W25" s="190">
        <v>77515517.319999993</v>
      </c>
      <c r="X25" s="190">
        <v>67606722.439999998</v>
      </c>
      <c r="Y25" s="190">
        <v>32034525.559999999</v>
      </c>
      <c r="Z25" s="190">
        <v>64798546.799999997</v>
      </c>
      <c r="AA25" s="190">
        <v>29459034.32</v>
      </c>
      <c r="AB25" s="190">
        <v>20838857.75</v>
      </c>
      <c r="AC25" s="190">
        <v>206700080.91999999</v>
      </c>
      <c r="AD25" s="190">
        <v>12798096.390000001</v>
      </c>
      <c r="AE25" s="190">
        <v>17431351.48</v>
      </c>
      <c r="AF25" s="190">
        <v>14035866.859999999</v>
      </c>
      <c r="AG25" s="190">
        <v>6891146.7699999996</v>
      </c>
      <c r="AH25" s="190">
        <v>12039892.02</v>
      </c>
      <c r="AI25" s="190">
        <v>16091816.65</v>
      </c>
      <c r="AJ25" s="190">
        <v>13209868.67</v>
      </c>
      <c r="AK25" s="190">
        <v>9494280.8499999996</v>
      </c>
      <c r="AL25" s="190">
        <v>11411186.08</v>
      </c>
      <c r="AM25" s="190">
        <v>7659540.21</v>
      </c>
      <c r="AN25" s="190">
        <v>5846144.4800000004</v>
      </c>
      <c r="AO25" s="190">
        <v>40647126.700000003</v>
      </c>
      <c r="AP25" s="190">
        <v>0</v>
      </c>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4218250212.21</v>
      </c>
      <c r="C26" s="190">
        <v>4096833951.3000002</v>
      </c>
      <c r="D26" s="190">
        <v>3851551802.3000002</v>
      </c>
      <c r="E26" s="190">
        <v>3271288901.5</v>
      </c>
      <c r="F26" s="190">
        <v>2875142174.0300002</v>
      </c>
      <c r="G26" s="190">
        <v>2418143266.1900001</v>
      </c>
      <c r="H26" s="190">
        <v>2246890472.79</v>
      </c>
      <c r="I26" s="190">
        <v>2044936614.21</v>
      </c>
      <c r="J26" s="190">
        <v>1295774324.1199999</v>
      </c>
      <c r="K26" s="190">
        <v>1230291303.6600001</v>
      </c>
      <c r="L26" s="190">
        <v>1103406309.4200001</v>
      </c>
      <c r="M26" s="190">
        <v>1175490814.45</v>
      </c>
      <c r="N26" s="190">
        <v>1275031709.3199999</v>
      </c>
      <c r="O26" s="190">
        <v>1196691256.6600001</v>
      </c>
      <c r="P26" s="190">
        <v>1314617606.5599999</v>
      </c>
      <c r="Q26" s="190">
        <v>1277687175.72</v>
      </c>
      <c r="R26" s="190">
        <v>1269698509.5</v>
      </c>
      <c r="S26" s="190">
        <v>1168444154.46</v>
      </c>
      <c r="T26" s="190">
        <v>1162541925.8399999</v>
      </c>
      <c r="U26" s="190">
        <v>1150579059.6300001</v>
      </c>
      <c r="V26" s="190">
        <v>1112049071.75</v>
      </c>
      <c r="W26" s="190">
        <v>900511248.94000006</v>
      </c>
      <c r="X26" s="190">
        <v>886342876.52999997</v>
      </c>
      <c r="Y26" s="190">
        <v>992545161.17999995</v>
      </c>
      <c r="Z26" s="190">
        <v>1002705954.0700001</v>
      </c>
      <c r="AA26" s="190">
        <v>617056994.35000002</v>
      </c>
      <c r="AB26" s="190">
        <v>783442696.48000002</v>
      </c>
      <c r="AC26" s="190">
        <v>1061595304.75</v>
      </c>
      <c r="AD26" s="190">
        <v>811362299.47000003</v>
      </c>
      <c r="AE26" s="190">
        <v>747940161.96000004</v>
      </c>
      <c r="AF26" s="190">
        <v>664450057.13</v>
      </c>
      <c r="AG26" s="190">
        <v>675557541.40999997</v>
      </c>
      <c r="AH26" s="190">
        <v>478461459.85000002</v>
      </c>
      <c r="AI26" s="190">
        <v>477343701.45999998</v>
      </c>
      <c r="AJ26" s="190">
        <v>492079373.79000002</v>
      </c>
      <c r="AK26" s="190">
        <v>470024764.35000002</v>
      </c>
      <c r="AL26" s="190">
        <v>366853036.13999999</v>
      </c>
      <c r="AM26" s="190">
        <v>461559440.04000002</v>
      </c>
      <c r="AN26" s="190">
        <v>570241622.25999999</v>
      </c>
      <c r="AO26" s="190">
        <v>490172304.18000001</v>
      </c>
      <c r="AP26" s="190">
        <v>0</v>
      </c>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650526111.44000006</v>
      </c>
      <c r="C27" s="190">
        <v>648990757.97000003</v>
      </c>
      <c r="D27" s="190">
        <v>698561203.75</v>
      </c>
      <c r="E27" s="190">
        <v>616242270.24000001</v>
      </c>
      <c r="F27" s="190">
        <v>441627706.56999999</v>
      </c>
      <c r="G27" s="190">
        <v>574697052.35000002</v>
      </c>
      <c r="H27" s="190">
        <v>1741812500.1400001</v>
      </c>
      <c r="I27" s="190">
        <v>2510855488.4499998</v>
      </c>
      <c r="J27" s="190">
        <v>1505599607.99</v>
      </c>
      <c r="K27" s="190">
        <v>2603047362.7800002</v>
      </c>
      <c r="L27" s="190">
        <v>1077353568.9400001</v>
      </c>
      <c r="M27" s="190">
        <v>1518576982.3599999</v>
      </c>
      <c r="N27" s="190">
        <v>1590211197.49</v>
      </c>
      <c r="O27" s="190">
        <v>1138119415.22</v>
      </c>
      <c r="P27" s="190">
        <v>1177342962.05</v>
      </c>
      <c r="Q27" s="190">
        <v>1010444810.89</v>
      </c>
      <c r="R27" s="190">
        <v>447067231.31</v>
      </c>
      <c r="S27" s="190">
        <v>668244186.01999998</v>
      </c>
      <c r="T27" s="190">
        <v>358504608.01999998</v>
      </c>
      <c r="U27" s="190">
        <v>906877893.46000004</v>
      </c>
      <c r="V27" s="190">
        <v>753641396.79999995</v>
      </c>
      <c r="W27" s="190">
        <v>811400014.21000004</v>
      </c>
      <c r="X27" s="190">
        <v>512210100.68000001</v>
      </c>
      <c r="Y27" s="190">
        <v>14006604.67</v>
      </c>
      <c r="Z27" s="190">
        <v>5839515.6200000001</v>
      </c>
      <c r="AA27" s="190">
        <v>6517786.0199999996</v>
      </c>
      <c r="AB27" s="190">
        <v>5275687.09</v>
      </c>
      <c r="AC27" s="190">
        <v>4333297.84</v>
      </c>
      <c r="AD27" s="190">
        <v>3674172.95</v>
      </c>
      <c r="AE27" s="190">
        <v>4106666.44</v>
      </c>
      <c r="AF27" s="190">
        <v>4889252.6100000003</v>
      </c>
      <c r="AG27" s="190">
        <v>4549931.9000000004</v>
      </c>
      <c r="AH27" s="190">
        <v>3824518.04</v>
      </c>
      <c r="AI27" s="190">
        <v>3362733.02</v>
      </c>
      <c r="AJ27" s="190">
        <v>4021889.84</v>
      </c>
      <c r="AK27" s="190">
        <v>5019182.24</v>
      </c>
      <c r="AL27" s="190">
        <v>2908329.72</v>
      </c>
      <c r="AM27" s="190">
        <v>3117107.41</v>
      </c>
      <c r="AN27" s="190">
        <v>0</v>
      </c>
      <c r="AO27" s="190">
        <v>0</v>
      </c>
      <c r="AP27" s="190">
        <v>0</v>
      </c>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3821621595.54</v>
      </c>
      <c r="C28" s="190">
        <v>2775019883.1999998</v>
      </c>
      <c r="D28" s="190">
        <v>1834424965.47</v>
      </c>
      <c r="E28" s="190">
        <v>836596387.11000001</v>
      </c>
      <c r="F28" s="190">
        <v>575884148.64999998</v>
      </c>
      <c r="G28" s="190">
        <v>568948571.13999999</v>
      </c>
      <c r="H28" s="190">
        <v>570932020.22000003</v>
      </c>
      <c r="I28" s="190">
        <v>556885409.91999996</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6573640.4800000004</v>
      </c>
      <c r="E29" s="190">
        <v>0</v>
      </c>
      <c r="F29" s="190">
        <v>6299115.54</v>
      </c>
      <c r="G29" s="190">
        <v>6299115.54</v>
      </c>
      <c r="H29" s="190">
        <v>12464897.74</v>
      </c>
      <c r="I29" s="190">
        <v>6299115.54</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1341020</v>
      </c>
      <c r="AO29" s="190">
        <v>0</v>
      </c>
      <c r="AP29" s="190">
        <v>0</v>
      </c>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21986681093.399998</v>
      </c>
      <c r="C33" s="35">
        <f t="shared" ref="C33:BN33" si="2">SUM(C22:C29)</f>
        <v>19021387164.659996</v>
      </c>
      <c r="D33" s="35">
        <f t="shared" si="2"/>
        <v>15684768627.709997</v>
      </c>
      <c r="E33" s="35">
        <f t="shared" si="2"/>
        <v>14362066389.760002</v>
      </c>
      <c r="F33" s="35">
        <f t="shared" si="2"/>
        <v>13116993292.620001</v>
      </c>
      <c r="G33" s="35">
        <f t="shared" si="2"/>
        <v>12430962655.700001</v>
      </c>
      <c r="H33" s="35">
        <f t="shared" si="2"/>
        <v>13688179820.82</v>
      </c>
      <c r="I33" s="35">
        <f t="shared" si="2"/>
        <v>13414767027.030001</v>
      </c>
      <c r="J33" s="35">
        <f t="shared" si="2"/>
        <v>7472836228.3100004</v>
      </c>
      <c r="K33" s="35">
        <f t="shared" si="2"/>
        <v>8355425086.3500004</v>
      </c>
      <c r="L33" s="35">
        <f t="shared" si="2"/>
        <v>6573575011.75</v>
      </c>
      <c r="M33" s="35">
        <f t="shared" si="2"/>
        <v>6916903021.8899994</v>
      </c>
      <c r="N33" s="35">
        <f t="shared" si="2"/>
        <v>7754204804.2299995</v>
      </c>
      <c r="O33" s="35">
        <f t="shared" si="2"/>
        <v>6768735334.4399996</v>
      </c>
      <c r="P33" s="35">
        <f t="shared" si="2"/>
        <v>6644372743.8299999</v>
      </c>
      <c r="Q33" s="35">
        <f t="shared" si="2"/>
        <v>6739526039.3100014</v>
      </c>
      <c r="R33" s="35">
        <f t="shared" si="2"/>
        <v>6537149016.1100006</v>
      </c>
      <c r="S33" s="35">
        <f t="shared" si="2"/>
        <v>6418512122.6000004</v>
      </c>
      <c r="T33" s="35">
        <f t="shared" si="2"/>
        <v>5744789417.4200001</v>
      </c>
      <c r="U33" s="35">
        <f t="shared" si="2"/>
        <v>6237702279.4900007</v>
      </c>
      <c r="V33" s="35">
        <f t="shared" si="2"/>
        <v>6046664257.9100008</v>
      </c>
      <c r="W33" s="35">
        <f t="shared" si="2"/>
        <v>5373655882.0799999</v>
      </c>
      <c r="X33" s="35">
        <f t="shared" si="2"/>
        <v>4377821584.96</v>
      </c>
      <c r="Y33" s="35">
        <f t="shared" si="2"/>
        <v>3531925967.7399998</v>
      </c>
      <c r="Z33" s="35">
        <f t="shared" si="2"/>
        <v>4000363162.3600001</v>
      </c>
      <c r="AA33" s="35">
        <f t="shared" si="2"/>
        <v>2744218875.6599998</v>
      </c>
      <c r="AB33" s="35">
        <f t="shared" si="2"/>
        <v>2634242371.02</v>
      </c>
      <c r="AC33" s="35">
        <f t="shared" si="2"/>
        <v>3518522567.9200001</v>
      </c>
      <c r="AD33" s="35">
        <f t="shared" si="2"/>
        <v>2723087719.1099997</v>
      </c>
      <c r="AE33" s="35">
        <f t="shared" si="2"/>
        <v>2382766563.9299998</v>
      </c>
      <c r="AF33" s="35">
        <f t="shared" si="2"/>
        <v>1892800411.1099999</v>
      </c>
      <c r="AG33" s="35">
        <f t="shared" si="2"/>
        <v>1602692786.7</v>
      </c>
      <c r="AH33" s="35">
        <f t="shared" si="2"/>
        <v>1480509870.75</v>
      </c>
      <c r="AI33" s="35">
        <f t="shared" si="2"/>
        <v>1372468845.9400001</v>
      </c>
      <c r="AJ33" s="35">
        <f t="shared" si="2"/>
        <v>1296967295.4199998</v>
      </c>
      <c r="AK33" s="35">
        <f t="shared" si="2"/>
        <v>1167786608.3300002</v>
      </c>
      <c r="AL33" s="35">
        <f t="shared" si="2"/>
        <v>1115008944.3199999</v>
      </c>
      <c r="AM33" s="35">
        <f t="shared" si="2"/>
        <v>1191560566.7700002</v>
      </c>
      <c r="AN33" s="35">
        <f t="shared" si="2"/>
        <v>1343701689.5799999</v>
      </c>
      <c r="AO33" s="35">
        <f t="shared" si="2"/>
        <v>1251600217.2200003</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2989138723.0599999</v>
      </c>
      <c r="D35" s="190">
        <v>2459432425.8000002</v>
      </c>
      <c r="E35" s="190">
        <v>2074125483.46</v>
      </c>
      <c r="F35" s="190">
        <v>1785542478.9000001</v>
      </c>
      <c r="G35" s="190">
        <v>1863095815.55</v>
      </c>
      <c r="H35" s="190">
        <v>1741902373.8800001</v>
      </c>
      <c r="I35" s="190">
        <v>1862324383.9300001</v>
      </c>
      <c r="J35" s="190">
        <v>206944653.93000001</v>
      </c>
      <c r="K35" s="190">
        <v>198402300.69</v>
      </c>
      <c r="L35" s="190">
        <v>157172855.41999999</v>
      </c>
      <c r="M35" s="190">
        <v>144661139.69</v>
      </c>
      <c r="N35" s="190">
        <v>182680289.08000001</v>
      </c>
      <c r="O35" s="190">
        <v>111198042.97</v>
      </c>
      <c r="P35" s="190">
        <v>87134031.819999993</v>
      </c>
      <c r="Q35" s="190">
        <v>58535137.039999999</v>
      </c>
      <c r="R35" s="190">
        <v>35045654.310000002</v>
      </c>
      <c r="S35" s="190">
        <v>34977898.57</v>
      </c>
      <c r="T35" s="190">
        <v>29593683.670000002</v>
      </c>
      <c r="U35" s="190">
        <v>27374913.09</v>
      </c>
      <c r="V35" s="190">
        <v>33747190.549999997</v>
      </c>
      <c r="W35" s="190">
        <v>10236799.060000001</v>
      </c>
      <c r="X35" s="190">
        <v>0</v>
      </c>
      <c r="Y35" s="190">
        <v>0</v>
      </c>
      <c r="Z35" s="190">
        <v>0</v>
      </c>
      <c r="AA35" s="190">
        <v>0</v>
      </c>
      <c r="AB35" s="190">
        <v>0</v>
      </c>
      <c r="AC35" s="190">
        <v>0</v>
      </c>
      <c r="AD35" s="190">
        <v>1429643.19</v>
      </c>
      <c r="AE35" s="190">
        <v>0</v>
      </c>
      <c r="AF35" s="190">
        <v>0</v>
      </c>
      <c r="AG35" s="190">
        <v>0</v>
      </c>
      <c r="AH35" s="190">
        <v>0</v>
      </c>
      <c r="AI35" s="190">
        <v>0</v>
      </c>
      <c r="AJ35" s="190">
        <v>0</v>
      </c>
      <c r="AK35" s="190">
        <v>0</v>
      </c>
      <c r="AL35" s="190">
        <v>0</v>
      </c>
      <c r="AM35" s="190">
        <v>0</v>
      </c>
      <c r="AN35" s="190">
        <v>49205449.469999999</v>
      </c>
      <c r="AO35" s="190">
        <v>0</v>
      </c>
      <c r="AP35" s="190">
        <v>0</v>
      </c>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6687641876.5200005</v>
      </c>
      <c r="D36" s="190">
        <v>4567629401.1899996</v>
      </c>
      <c r="E36" s="190">
        <v>5273944687.8400002</v>
      </c>
      <c r="F36" s="190">
        <v>4903714111.1400003</v>
      </c>
      <c r="G36" s="190">
        <v>4584052228.6300001</v>
      </c>
      <c r="H36" s="190">
        <v>3613763999.3699999</v>
      </c>
      <c r="I36" s="190">
        <v>4168613536.7800002</v>
      </c>
      <c r="J36" s="190">
        <v>2564850570.9000001</v>
      </c>
      <c r="K36" s="190">
        <v>2651841862.75</v>
      </c>
      <c r="L36" s="190">
        <v>2031336466.4300001</v>
      </c>
      <c r="M36" s="190">
        <v>1649148310.78</v>
      </c>
      <c r="N36" s="190">
        <v>2363550377.4499998</v>
      </c>
      <c r="O36" s="190">
        <v>2473659629.1399999</v>
      </c>
      <c r="P36" s="190">
        <v>1824961161.1500001</v>
      </c>
      <c r="Q36" s="190">
        <v>2210565252.6799998</v>
      </c>
      <c r="R36" s="190">
        <v>2044127223.98</v>
      </c>
      <c r="S36" s="190">
        <v>2094774806.4300001</v>
      </c>
      <c r="T36" s="190">
        <v>1648649505.8299999</v>
      </c>
      <c r="U36" s="190">
        <v>2170296685.7800002</v>
      </c>
      <c r="V36" s="190">
        <v>2137845561.77</v>
      </c>
      <c r="W36" s="190">
        <v>2140276894.23</v>
      </c>
      <c r="X36" s="190">
        <v>1452643118.8800001</v>
      </c>
      <c r="Y36" s="190">
        <v>1825927220.1600001</v>
      </c>
      <c r="Z36" s="190">
        <v>1756335069.9000001</v>
      </c>
      <c r="AA36" s="190">
        <v>1421787797.05</v>
      </c>
      <c r="AB36" s="190">
        <v>1145398127</v>
      </c>
      <c r="AC36" s="190">
        <v>1491815797.02</v>
      </c>
      <c r="AD36" s="190">
        <v>1578484718.25</v>
      </c>
      <c r="AE36" s="190">
        <v>1673456787.0699999</v>
      </c>
      <c r="AF36" s="190">
        <v>1146736414.8099999</v>
      </c>
      <c r="AG36" s="190">
        <v>1214724167.79</v>
      </c>
      <c r="AH36" s="190">
        <v>1170569642.7</v>
      </c>
      <c r="AI36" s="190">
        <v>1031831039.46</v>
      </c>
      <c r="AJ36" s="190">
        <v>763866118.38</v>
      </c>
      <c r="AK36" s="190">
        <v>918707992.63999999</v>
      </c>
      <c r="AL36" s="190">
        <v>732858861.75</v>
      </c>
      <c r="AM36" s="190">
        <v>541669347.61000001</v>
      </c>
      <c r="AN36" s="190">
        <v>762238042.94000006</v>
      </c>
      <c r="AO36" s="190">
        <v>654238306.09000003</v>
      </c>
      <c r="AP36" s="190">
        <v>0</v>
      </c>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955483028.82000005</v>
      </c>
      <c r="C37" s="190">
        <v>505977087.69</v>
      </c>
      <c r="D37" s="190">
        <v>439929233.19999999</v>
      </c>
      <c r="E37" s="190">
        <v>297390094.11000001</v>
      </c>
      <c r="F37" s="190">
        <v>452408396.14999998</v>
      </c>
      <c r="G37" s="190">
        <v>282966207.05000001</v>
      </c>
      <c r="H37" s="190">
        <v>488907920.42000002</v>
      </c>
      <c r="I37" s="190">
        <v>178202927.25999999</v>
      </c>
      <c r="J37" s="190">
        <v>131095045.84</v>
      </c>
      <c r="K37" s="190">
        <v>118047530.40000001</v>
      </c>
      <c r="L37" s="190">
        <v>164190597.56</v>
      </c>
      <c r="M37" s="190">
        <v>153433063.24000001</v>
      </c>
      <c r="N37" s="190">
        <v>145355370.03999999</v>
      </c>
      <c r="O37" s="190">
        <v>158388408.44</v>
      </c>
      <c r="P37" s="190">
        <v>164284598.68000001</v>
      </c>
      <c r="Q37" s="190">
        <v>122966803.41</v>
      </c>
      <c r="R37" s="190">
        <v>151772789.72999999</v>
      </c>
      <c r="S37" s="190">
        <v>141668309.53</v>
      </c>
      <c r="T37" s="190">
        <v>150700900.18000001</v>
      </c>
      <c r="U37" s="190">
        <v>139769537.02000001</v>
      </c>
      <c r="V37" s="190">
        <v>129863449.23999999</v>
      </c>
      <c r="W37" s="190">
        <v>135213225.16</v>
      </c>
      <c r="X37" s="190">
        <v>146052905.12</v>
      </c>
      <c r="Y37" s="190">
        <v>120868215.61</v>
      </c>
      <c r="Z37" s="190">
        <v>124205600.81</v>
      </c>
      <c r="AA37" s="190">
        <v>37682160.32</v>
      </c>
      <c r="AB37" s="190">
        <v>57906237.909999996</v>
      </c>
      <c r="AC37" s="190">
        <v>105187246.28</v>
      </c>
      <c r="AD37" s="190">
        <v>58736676.700000003</v>
      </c>
      <c r="AE37" s="190">
        <v>68903542.200000003</v>
      </c>
      <c r="AF37" s="190">
        <v>68083970.730000004</v>
      </c>
      <c r="AG37" s="190">
        <v>49167012.140000001</v>
      </c>
      <c r="AH37" s="190">
        <v>50311160.109999999</v>
      </c>
      <c r="AI37" s="190">
        <v>48255338.649999999</v>
      </c>
      <c r="AJ37" s="190">
        <v>47526874.969999999</v>
      </c>
      <c r="AK37" s="190">
        <v>40288377.009999998</v>
      </c>
      <c r="AL37" s="190">
        <v>40646695.420000002</v>
      </c>
      <c r="AM37" s="190">
        <v>41410282.890000001</v>
      </c>
      <c r="AN37" s="190">
        <v>43013004.259999998</v>
      </c>
      <c r="AO37" s="190">
        <v>25369263.530000001</v>
      </c>
      <c r="AP37" s="190">
        <v>0</v>
      </c>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721861582.44000006</v>
      </c>
      <c r="C39" s="190">
        <v>612931206.12</v>
      </c>
      <c r="D39" s="190">
        <v>493528238.18000001</v>
      </c>
      <c r="E39" s="190">
        <v>748729715.12</v>
      </c>
      <c r="F39" s="190">
        <v>574205737.62</v>
      </c>
      <c r="G39" s="190">
        <v>488105232.62</v>
      </c>
      <c r="H39" s="190">
        <v>440844821.57999998</v>
      </c>
      <c r="I39" s="190">
        <v>612367974.39999998</v>
      </c>
      <c r="J39" s="190">
        <v>501811132.05000001</v>
      </c>
      <c r="K39" s="190">
        <v>447767214.00999999</v>
      </c>
      <c r="L39" s="190">
        <v>400644414.25</v>
      </c>
      <c r="M39" s="190">
        <v>531183145.14999998</v>
      </c>
      <c r="N39" s="190">
        <v>495436435.37</v>
      </c>
      <c r="O39" s="190">
        <v>435713672.23000002</v>
      </c>
      <c r="P39" s="190">
        <v>393393696.05000001</v>
      </c>
      <c r="Q39" s="190">
        <v>545813778.55999994</v>
      </c>
      <c r="R39" s="190">
        <v>461623265.02999997</v>
      </c>
      <c r="S39" s="190">
        <v>408423941.52999997</v>
      </c>
      <c r="T39" s="190">
        <v>365225864.47000003</v>
      </c>
      <c r="U39" s="190">
        <v>483305407.55000001</v>
      </c>
      <c r="V39" s="190">
        <v>405019914.94</v>
      </c>
      <c r="W39" s="190">
        <v>344077378.47000003</v>
      </c>
      <c r="X39" s="190">
        <v>294703571.77999997</v>
      </c>
      <c r="Y39" s="190">
        <v>400059952.19</v>
      </c>
      <c r="Z39" s="190">
        <v>392768553.74000001</v>
      </c>
      <c r="AA39" s="190">
        <v>319680498.81999999</v>
      </c>
      <c r="AB39" s="190">
        <v>276671399.85000002</v>
      </c>
      <c r="AC39" s="190">
        <v>363514194.49000001</v>
      </c>
      <c r="AD39" s="190">
        <v>279135387.60000002</v>
      </c>
      <c r="AE39" s="190">
        <v>238205118.22999999</v>
      </c>
      <c r="AF39" s="190">
        <v>197570011.34</v>
      </c>
      <c r="AG39" s="190">
        <v>246283080.53</v>
      </c>
      <c r="AH39" s="190">
        <v>207088132.90000001</v>
      </c>
      <c r="AI39" s="190">
        <v>167162806.36000001</v>
      </c>
      <c r="AJ39" s="190">
        <v>133552169.23</v>
      </c>
      <c r="AK39" s="190">
        <v>163743042.78</v>
      </c>
      <c r="AL39" s="190">
        <v>125528316.65000001</v>
      </c>
      <c r="AM39" s="190">
        <v>136504234.84999999</v>
      </c>
      <c r="AN39" s="190">
        <v>108395330.72</v>
      </c>
      <c r="AO39" s="190">
        <v>77617790.659999996</v>
      </c>
      <c r="AP39" s="190">
        <v>0</v>
      </c>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297373888.33999997</v>
      </c>
      <c r="C40" s="190">
        <v>291885983.16000003</v>
      </c>
      <c r="D40" s="190">
        <v>341582647.51999998</v>
      </c>
      <c r="E40" s="190">
        <v>337275685.64999998</v>
      </c>
      <c r="F40" s="190">
        <v>227576436.41999999</v>
      </c>
      <c r="G40" s="190">
        <v>246958448.15000001</v>
      </c>
      <c r="H40" s="190">
        <v>225649269.91</v>
      </c>
      <c r="I40" s="190">
        <v>315078669.25999999</v>
      </c>
      <c r="J40" s="190">
        <v>115829384.84</v>
      </c>
      <c r="K40" s="190">
        <v>141844251.63999999</v>
      </c>
      <c r="L40" s="190">
        <v>230578829.41</v>
      </c>
      <c r="M40" s="190">
        <v>191688513.97999999</v>
      </c>
      <c r="N40" s="190">
        <v>197845250.65000001</v>
      </c>
      <c r="O40" s="190">
        <v>215696652.78999999</v>
      </c>
      <c r="P40" s="190">
        <v>292232939.52999997</v>
      </c>
      <c r="Q40" s="190">
        <v>246617708.08000001</v>
      </c>
      <c r="R40" s="190">
        <v>224292691.52000001</v>
      </c>
      <c r="S40" s="190">
        <v>226371552.59</v>
      </c>
      <c r="T40" s="190">
        <v>187507420.68000001</v>
      </c>
      <c r="U40" s="190">
        <v>140944816.47999999</v>
      </c>
      <c r="V40" s="190">
        <v>160024833.91</v>
      </c>
      <c r="W40" s="190">
        <v>170291212.71000001</v>
      </c>
      <c r="X40" s="190">
        <v>224079926.47</v>
      </c>
      <c r="Y40" s="190">
        <v>228926969.53</v>
      </c>
      <c r="Z40" s="190">
        <v>130726631.91</v>
      </c>
      <c r="AA40" s="190">
        <v>139518795.78</v>
      </c>
      <c r="AB40" s="190">
        <v>95418118.140000001</v>
      </c>
      <c r="AC40" s="190">
        <v>83411142.469999999</v>
      </c>
      <c r="AD40" s="190">
        <v>19810637.129999999</v>
      </c>
      <c r="AE40" s="190">
        <v>40736207.149999999</v>
      </c>
      <c r="AF40" s="190">
        <v>63190478.259999998</v>
      </c>
      <c r="AG40" s="190">
        <v>23478503.5</v>
      </c>
      <c r="AH40" s="190">
        <v>67848138.260000005</v>
      </c>
      <c r="AI40" s="190">
        <v>76091937.299999997</v>
      </c>
      <c r="AJ40" s="190">
        <v>80201054.069999993</v>
      </c>
      <c r="AK40" s="190">
        <v>33055510.100000001</v>
      </c>
      <c r="AL40" s="190">
        <v>73590210.400000006</v>
      </c>
      <c r="AM40" s="190">
        <v>78420242.239999995</v>
      </c>
      <c r="AN40" s="190">
        <v>130654190.92</v>
      </c>
      <c r="AO40" s="190">
        <v>35459803.520000003</v>
      </c>
      <c r="AP40" s="190">
        <v>0</v>
      </c>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2062358345.8499999</v>
      </c>
      <c r="C41" s="190">
        <v>1423727210.3299999</v>
      </c>
      <c r="D41" s="190">
        <v>1179094736.1400001</v>
      </c>
      <c r="E41" s="190">
        <v>1186123910.04</v>
      </c>
      <c r="F41" s="190">
        <v>991547637.46000004</v>
      </c>
      <c r="G41" s="190">
        <v>780318814.88</v>
      </c>
      <c r="H41" s="190">
        <v>727076002.48000002</v>
      </c>
      <c r="I41" s="190">
        <v>787744259.32000005</v>
      </c>
      <c r="J41" s="190">
        <v>436962943.06999999</v>
      </c>
      <c r="K41" s="190">
        <v>405962990.23000002</v>
      </c>
      <c r="L41" s="190">
        <v>364961784.75</v>
      </c>
      <c r="M41" s="190">
        <v>588707597.69000006</v>
      </c>
      <c r="N41" s="190">
        <v>649539540.24000001</v>
      </c>
      <c r="O41" s="190">
        <v>633013877.24000001</v>
      </c>
      <c r="P41" s="190">
        <v>580567080.08000004</v>
      </c>
      <c r="Q41" s="190">
        <v>640113146.36000001</v>
      </c>
      <c r="R41" s="190">
        <v>721748937.20000005</v>
      </c>
      <c r="S41" s="190">
        <v>569044999.07000005</v>
      </c>
      <c r="T41" s="190">
        <v>381655593.75999999</v>
      </c>
      <c r="U41" s="190">
        <v>360902182.82999998</v>
      </c>
      <c r="V41" s="190">
        <v>431379132.38</v>
      </c>
      <c r="W41" s="190">
        <v>296417528.17000002</v>
      </c>
      <c r="X41" s="190">
        <v>202397874.09999999</v>
      </c>
      <c r="Y41" s="190">
        <v>363673921.67000002</v>
      </c>
      <c r="Z41" s="190">
        <v>357437699.67000002</v>
      </c>
      <c r="AA41" s="190">
        <v>208954521.62</v>
      </c>
      <c r="AB41" s="190">
        <v>128643316.18000001</v>
      </c>
      <c r="AC41" s="190">
        <v>291031254.67000002</v>
      </c>
      <c r="AD41" s="190">
        <v>225099404.44</v>
      </c>
      <c r="AE41" s="190">
        <v>158533409.97999999</v>
      </c>
      <c r="AF41" s="190">
        <v>105802496.72</v>
      </c>
      <c r="AG41" s="190">
        <v>180970865.53</v>
      </c>
      <c r="AH41" s="190">
        <v>191748663.44999999</v>
      </c>
      <c r="AI41" s="190">
        <v>154486290.06</v>
      </c>
      <c r="AJ41" s="190">
        <v>106761505.83</v>
      </c>
      <c r="AK41" s="190">
        <v>130609503.56</v>
      </c>
      <c r="AL41" s="190">
        <v>84466123.180000007</v>
      </c>
      <c r="AM41" s="190">
        <v>60964781.469999999</v>
      </c>
      <c r="AN41" s="190">
        <v>55414950.729999997</v>
      </c>
      <c r="AO41" s="190">
        <v>217924439.11000001</v>
      </c>
      <c r="AP41" s="190">
        <v>0</v>
      </c>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732653645.08000004</v>
      </c>
      <c r="C43" s="190">
        <v>756630937.23000002</v>
      </c>
      <c r="D43" s="190">
        <v>706586932.10000002</v>
      </c>
      <c r="E43" s="190">
        <v>807076140.57000005</v>
      </c>
      <c r="F43" s="190">
        <v>778454955.61000001</v>
      </c>
      <c r="G43" s="190">
        <v>804896033.37</v>
      </c>
      <c r="H43" s="190">
        <v>805247096.33000004</v>
      </c>
      <c r="I43" s="190">
        <v>766502538.79999995</v>
      </c>
      <c r="J43" s="190">
        <v>49393093.840000004</v>
      </c>
      <c r="K43" s="190">
        <v>43840000</v>
      </c>
      <c r="L43" s="190">
        <v>44518485.600000001</v>
      </c>
      <c r="M43" s="190">
        <v>43269041.170000002</v>
      </c>
      <c r="N43" s="190">
        <v>18109420.120000001</v>
      </c>
      <c r="O43" s="190">
        <v>18056045.379999999</v>
      </c>
      <c r="P43" s="190">
        <v>19224706.449999999</v>
      </c>
      <c r="Q43" s="190">
        <v>10017613.359999999</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105025574.86</v>
      </c>
      <c r="C45" s="190">
        <v>84270400.909999996</v>
      </c>
      <c r="D45" s="190">
        <v>98639359.310000002</v>
      </c>
      <c r="E45" s="190">
        <v>137872145.71000001</v>
      </c>
      <c r="F45" s="190">
        <v>85198690.739999995</v>
      </c>
      <c r="G45" s="190">
        <v>82027876.989999995</v>
      </c>
      <c r="H45" s="190">
        <v>89844262.489999995</v>
      </c>
      <c r="I45" s="190">
        <v>103134404.31</v>
      </c>
      <c r="J45" s="190">
        <v>77086430.379999995</v>
      </c>
      <c r="K45" s="190">
        <v>68331018.870000005</v>
      </c>
      <c r="L45" s="190">
        <v>47701500.759999998</v>
      </c>
      <c r="M45" s="190">
        <v>56274800.350000001</v>
      </c>
      <c r="N45" s="190">
        <v>69535066.840000004</v>
      </c>
      <c r="O45" s="190">
        <v>67386705.75</v>
      </c>
      <c r="P45" s="190">
        <v>42646753.579999998</v>
      </c>
      <c r="Q45" s="190">
        <v>72454563.409999996</v>
      </c>
      <c r="R45" s="190">
        <v>92638967.629999995</v>
      </c>
      <c r="S45" s="190">
        <v>79015093.730000004</v>
      </c>
      <c r="T45" s="190">
        <v>48604778.32</v>
      </c>
      <c r="U45" s="190">
        <v>48702288.310000002</v>
      </c>
      <c r="V45" s="190">
        <v>55180903.149999999</v>
      </c>
      <c r="W45" s="190">
        <v>75947589.909999996</v>
      </c>
      <c r="X45" s="190">
        <v>75083285.439999998</v>
      </c>
      <c r="Y45" s="190">
        <v>50329372.149999999</v>
      </c>
      <c r="Z45" s="190">
        <v>59310117.579999998</v>
      </c>
      <c r="AA45" s="190">
        <v>38322613.799999997</v>
      </c>
      <c r="AB45" s="190">
        <v>56126234.600000001</v>
      </c>
      <c r="AC45" s="190">
        <v>24522915.07</v>
      </c>
      <c r="AD45" s="190">
        <v>29299865.969999999</v>
      </c>
      <c r="AE45" s="190">
        <v>40247983.329999998</v>
      </c>
      <c r="AF45" s="190">
        <v>24163209.68</v>
      </c>
      <c r="AG45" s="190">
        <v>33770725.899999999</v>
      </c>
      <c r="AH45" s="190">
        <v>38904194.950000003</v>
      </c>
      <c r="AI45" s="190">
        <v>19719927.850000001</v>
      </c>
      <c r="AJ45" s="190">
        <v>20809184.670000002</v>
      </c>
      <c r="AK45" s="190">
        <v>20236045.07</v>
      </c>
      <c r="AL45" s="190">
        <v>15944661.57</v>
      </c>
      <c r="AM45" s="190">
        <v>17063521.77</v>
      </c>
      <c r="AN45" s="190">
        <v>16826814.449999999</v>
      </c>
      <c r="AO45" s="190">
        <v>16095148.43</v>
      </c>
      <c r="AP45" s="190">
        <v>0</v>
      </c>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4874756065.3899994</v>
      </c>
      <c r="C49" s="35">
        <f>SUM(C35:C41)+SUM(C43:C45)</f>
        <v>13352203425.02</v>
      </c>
      <c r="D49" s="35">
        <f>SUM(D35:D41)+SUM(D43:D45)</f>
        <v>10286422973.439999</v>
      </c>
      <c r="E49" s="35">
        <f>SUM(E35:E45)</f>
        <v>10862537862.5</v>
      </c>
      <c r="F49" s="35">
        <f t="shared" ref="F49:BQ49" si="4">SUM(F35:F45)</f>
        <v>9798648444.0400009</v>
      </c>
      <c r="G49" s="35">
        <f t="shared" si="4"/>
        <v>9132420657.2399998</v>
      </c>
      <c r="H49" s="35">
        <f t="shared" si="4"/>
        <v>8133235746.4599991</v>
      </c>
      <c r="I49" s="35">
        <f t="shared" si="4"/>
        <v>8793968694.0599995</v>
      </c>
      <c r="J49" s="35">
        <f t="shared" si="4"/>
        <v>4083973254.8500009</v>
      </c>
      <c r="K49" s="35">
        <f t="shared" si="4"/>
        <v>4076037168.5900002</v>
      </c>
      <c r="L49" s="35">
        <f t="shared" si="4"/>
        <v>3441104934.1799998</v>
      </c>
      <c r="M49" s="35">
        <f t="shared" si="4"/>
        <v>3358365612.0500002</v>
      </c>
      <c r="N49" s="35">
        <f t="shared" si="4"/>
        <v>4122051749.79</v>
      </c>
      <c r="O49" s="35">
        <f t="shared" si="4"/>
        <v>4113113033.9399996</v>
      </c>
      <c r="P49" s="35">
        <f t="shared" si="4"/>
        <v>3404444967.3400002</v>
      </c>
      <c r="Q49" s="35">
        <f t="shared" si="4"/>
        <v>3907084002.8999996</v>
      </c>
      <c r="R49" s="35">
        <f t="shared" si="4"/>
        <v>3731249529.4000006</v>
      </c>
      <c r="S49" s="35">
        <f t="shared" si="4"/>
        <v>3554276601.4500008</v>
      </c>
      <c r="T49" s="35">
        <f t="shared" si="4"/>
        <v>2811937746.9100003</v>
      </c>
      <c r="U49" s="35">
        <f t="shared" si="4"/>
        <v>3371295831.0600004</v>
      </c>
      <c r="V49" s="35">
        <f t="shared" si="4"/>
        <v>3353060985.9400001</v>
      </c>
      <c r="W49" s="35">
        <f t="shared" si="4"/>
        <v>3172460627.71</v>
      </c>
      <c r="X49" s="35">
        <f t="shared" si="4"/>
        <v>2394960681.79</v>
      </c>
      <c r="Y49" s="35">
        <f t="shared" si="4"/>
        <v>2989785651.3100004</v>
      </c>
      <c r="Z49" s="35">
        <f t="shared" si="4"/>
        <v>2820783673.6099997</v>
      </c>
      <c r="AA49" s="35">
        <f t="shared" si="4"/>
        <v>2165946387.3899999</v>
      </c>
      <c r="AB49" s="35">
        <f t="shared" si="4"/>
        <v>1760163433.6800003</v>
      </c>
      <c r="AC49" s="35">
        <f t="shared" si="4"/>
        <v>2359482550</v>
      </c>
      <c r="AD49" s="35">
        <f t="shared" si="4"/>
        <v>2191996333.2800002</v>
      </c>
      <c r="AE49" s="35">
        <f t="shared" si="4"/>
        <v>2220083047.96</v>
      </c>
      <c r="AF49" s="35">
        <f t="shared" si="4"/>
        <v>1605546581.54</v>
      </c>
      <c r="AG49" s="35">
        <f t="shared" si="4"/>
        <v>1748394355.3900001</v>
      </c>
      <c r="AH49" s="35">
        <f t="shared" si="4"/>
        <v>1726469932.3700001</v>
      </c>
      <c r="AI49" s="35">
        <f t="shared" si="4"/>
        <v>1497547339.6800001</v>
      </c>
      <c r="AJ49" s="35">
        <f t="shared" si="4"/>
        <v>1152716907.1500001</v>
      </c>
      <c r="AK49" s="35">
        <f t="shared" si="4"/>
        <v>1306640471.1599998</v>
      </c>
      <c r="AL49" s="35">
        <f t="shared" si="4"/>
        <v>1073034868.9699999</v>
      </c>
      <c r="AM49" s="35">
        <f t="shared" si="4"/>
        <v>876032410.83000004</v>
      </c>
      <c r="AN49" s="35">
        <f t="shared" si="4"/>
        <v>1165747783.4900002</v>
      </c>
      <c r="AO49" s="35">
        <f t="shared" si="4"/>
        <v>1026704751.3399999</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17111925028.009998</v>
      </c>
      <c r="C50" s="36">
        <f t="shared" ref="C50:BN50" si="6">C33-C49</f>
        <v>5669183739.6399956</v>
      </c>
      <c r="D50" s="36">
        <f t="shared" si="6"/>
        <v>5398345654.2699986</v>
      </c>
      <c r="E50" s="36">
        <f t="shared" si="6"/>
        <v>3499528527.2600021</v>
      </c>
      <c r="F50" s="36">
        <f t="shared" si="6"/>
        <v>3318344848.5799999</v>
      </c>
      <c r="G50" s="36">
        <f t="shared" si="6"/>
        <v>3298541998.460001</v>
      </c>
      <c r="H50" s="36">
        <f t="shared" si="6"/>
        <v>5554944074.3600006</v>
      </c>
      <c r="I50" s="36">
        <f t="shared" si="6"/>
        <v>4620798332.9700012</v>
      </c>
      <c r="J50" s="36">
        <f t="shared" si="6"/>
        <v>3388862973.4599996</v>
      </c>
      <c r="K50" s="36">
        <f t="shared" si="6"/>
        <v>4279387917.7600002</v>
      </c>
      <c r="L50" s="36">
        <f t="shared" si="6"/>
        <v>3132470077.5700002</v>
      </c>
      <c r="M50" s="36">
        <f t="shared" si="6"/>
        <v>3558537409.8399992</v>
      </c>
      <c r="N50" s="36">
        <f t="shared" si="6"/>
        <v>3632153054.4399996</v>
      </c>
      <c r="O50" s="36">
        <f t="shared" si="6"/>
        <v>2655622300.5</v>
      </c>
      <c r="P50" s="36">
        <f t="shared" si="6"/>
        <v>3239927776.4899998</v>
      </c>
      <c r="Q50" s="36">
        <f t="shared" si="6"/>
        <v>2832442036.4100018</v>
      </c>
      <c r="R50" s="36">
        <f t="shared" si="6"/>
        <v>2805899486.71</v>
      </c>
      <c r="S50" s="36">
        <f t="shared" si="6"/>
        <v>2864235521.1499996</v>
      </c>
      <c r="T50" s="36">
        <f t="shared" si="6"/>
        <v>2932851670.5099998</v>
      </c>
      <c r="U50" s="36">
        <f t="shared" si="6"/>
        <v>2866406448.4300003</v>
      </c>
      <c r="V50" s="36">
        <f t="shared" si="6"/>
        <v>2693603271.9700007</v>
      </c>
      <c r="W50" s="36">
        <f t="shared" si="6"/>
        <v>2201195254.3699999</v>
      </c>
      <c r="X50" s="36">
        <f t="shared" si="6"/>
        <v>1982860903.1700001</v>
      </c>
      <c r="Y50" s="36">
        <f t="shared" si="6"/>
        <v>542140316.42999935</v>
      </c>
      <c r="Z50" s="36">
        <f t="shared" si="6"/>
        <v>1179579488.7500005</v>
      </c>
      <c r="AA50" s="36">
        <f t="shared" si="6"/>
        <v>578272488.26999998</v>
      </c>
      <c r="AB50" s="36">
        <f t="shared" si="6"/>
        <v>874078937.33999968</v>
      </c>
      <c r="AC50" s="36">
        <f t="shared" si="6"/>
        <v>1159040017.9200001</v>
      </c>
      <c r="AD50" s="36">
        <f t="shared" si="6"/>
        <v>531091385.82999945</v>
      </c>
      <c r="AE50" s="36">
        <f t="shared" si="6"/>
        <v>162683515.96999979</v>
      </c>
      <c r="AF50" s="36">
        <f t="shared" si="6"/>
        <v>287253829.56999993</v>
      </c>
      <c r="AG50" s="36">
        <f t="shared" si="6"/>
        <v>-145701568.69000006</v>
      </c>
      <c r="AH50" s="36">
        <f t="shared" si="6"/>
        <v>-245960061.62000012</v>
      </c>
      <c r="AI50" s="36">
        <f t="shared" si="6"/>
        <v>-125078493.74000001</v>
      </c>
      <c r="AJ50" s="36">
        <f t="shared" si="6"/>
        <v>144250388.26999974</v>
      </c>
      <c r="AK50" s="36">
        <f t="shared" si="6"/>
        <v>-138853862.82999969</v>
      </c>
      <c r="AL50" s="36">
        <f t="shared" si="6"/>
        <v>41974075.350000024</v>
      </c>
      <c r="AM50" s="36">
        <f t="shared" si="6"/>
        <v>315528155.94000018</v>
      </c>
      <c r="AN50" s="36">
        <f t="shared" si="6"/>
        <v>177953906.08999968</v>
      </c>
      <c r="AO50" s="36">
        <f t="shared" si="6"/>
        <v>224895465.88000035</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14239169507.16</v>
      </c>
      <c r="C52" s="190">
        <v>14545858062.200001</v>
      </c>
      <c r="D52" s="190">
        <v>14837161110.469999</v>
      </c>
      <c r="E52" s="190">
        <v>16092731979.01</v>
      </c>
      <c r="F52" s="190">
        <v>14934298369.110001</v>
      </c>
      <c r="G52" s="190">
        <v>14224190548.700001</v>
      </c>
      <c r="H52" s="190">
        <v>13590780451.950001</v>
      </c>
      <c r="I52" s="190">
        <v>13458027230.74</v>
      </c>
      <c r="J52" s="190">
        <v>2073746743.54</v>
      </c>
      <c r="K52" s="190">
        <v>2103821941.51</v>
      </c>
      <c r="L52" s="190">
        <v>2137503197.9300001</v>
      </c>
      <c r="M52" s="190">
        <v>2179153600.3499999</v>
      </c>
      <c r="N52" s="190">
        <v>2205174738.4400001</v>
      </c>
      <c r="O52" s="190">
        <v>2312507303.48</v>
      </c>
      <c r="P52" s="190">
        <v>1373458771.9200001</v>
      </c>
      <c r="Q52" s="190">
        <v>1375339421.3299999</v>
      </c>
      <c r="R52" s="190">
        <v>1136783176.8199999</v>
      </c>
      <c r="S52" s="190">
        <v>1089717750.45</v>
      </c>
      <c r="T52" s="190">
        <v>1113766193.6500001</v>
      </c>
      <c r="U52" s="190">
        <v>1129562071.6199999</v>
      </c>
      <c r="V52" s="190">
        <v>917364170.58000004</v>
      </c>
      <c r="W52" s="190">
        <v>909180834.30999994</v>
      </c>
      <c r="X52" s="190">
        <v>931949373.02999997</v>
      </c>
      <c r="Y52" s="190">
        <v>953934829.98000002</v>
      </c>
      <c r="Z52" s="190">
        <v>922874919.89999998</v>
      </c>
      <c r="AA52" s="190">
        <v>394474927.30000001</v>
      </c>
      <c r="AB52" s="190">
        <v>382576574.16000003</v>
      </c>
      <c r="AC52" s="190">
        <v>505924782.44999999</v>
      </c>
      <c r="AD52" s="190">
        <v>367405101.52999997</v>
      </c>
      <c r="AE52" s="190">
        <v>354684925.49000001</v>
      </c>
      <c r="AF52" s="190">
        <v>345653637.62</v>
      </c>
      <c r="AG52" s="190">
        <v>347883135.31</v>
      </c>
      <c r="AH52" s="190">
        <v>345786586.81</v>
      </c>
      <c r="AI52" s="190">
        <v>339712284.38999999</v>
      </c>
      <c r="AJ52" s="190">
        <v>348464022.55000001</v>
      </c>
      <c r="AK52" s="190">
        <v>359336548.94</v>
      </c>
      <c r="AL52" s="190">
        <v>364723393.83999997</v>
      </c>
      <c r="AM52" s="190">
        <v>381552531.54000002</v>
      </c>
      <c r="AN52" s="190">
        <v>380038562.97000003</v>
      </c>
      <c r="AO52" s="190">
        <v>393304609.39999998</v>
      </c>
      <c r="AP52" s="190">
        <v>0</v>
      </c>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1456007932.1800001</v>
      </c>
      <c r="C53" s="190">
        <v>1539617049.5999999</v>
      </c>
      <c r="D53" s="190">
        <v>1275910532.0599999</v>
      </c>
      <c r="E53" s="190">
        <v>1029917780.4</v>
      </c>
      <c r="F53" s="190">
        <v>1486585130.95</v>
      </c>
      <c r="G53" s="190">
        <v>1779703833.55</v>
      </c>
      <c r="H53" s="190">
        <v>1263224886.79</v>
      </c>
      <c r="I53" s="190">
        <v>819268860.46000004</v>
      </c>
      <c r="J53" s="190">
        <v>43462460.280000001</v>
      </c>
      <c r="K53" s="190">
        <v>41614759.560000002</v>
      </c>
      <c r="L53" s="190">
        <v>38247525.159999996</v>
      </c>
      <c r="M53" s="190">
        <v>42339307.579999998</v>
      </c>
      <c r="N53" s="190">
        <v>41384098.299999997</v>
      </c>
      <c r="O53" s="190">
        <v>52269816.32</v>
      </c>
      <c r="P53" s="190">
        <v>711573983.59000003</v>
      </c>
      <c r="Q53" s="190">
        <v>651816681.73000002</v>
      </c>
      <c r="R53" s="190">
        <v>800847121.76999998</v>
      </c>
      <c r="S53" s="190">
        <v>822538270.91999996</v>
      </c>
      <c r="T53" s="190">
        <v>765404278.53999996</v>
      </c>
      <c r="U53" s="190">
        <v>680197211.17999995</v>
      </c>
      <c r="V53" s="190">
        <v>795580505.10000002</v>
      </c>
      <c r="W53" s="190">
        <v>731594289.51999998</v>
      </c>
      <c r="X53" s="190">
        <v>635451373.71000004</v>
      </c>
      <c r="Y53" s="190">
        <v>561839053.14999998</v>
      </c>
      <c r="Z53" s="190">
        <v>425177115.63</v>
      </c>
      <c r="AA53" s="190">
        <v>354147857.72000003</v>
      </c>
      <c r="AB53" s="190">
        <v>236563652.41999999</v>
      </c>
      <c r="AC53" s="190">
        <v>233342244.43000001</v>
      </c>
      <c r="AD53" s="190">
        <v>131506908.77</v>
      </c>
      <c r="AE53" s="190">
        <v>105474769.68000001</v>
      </c>
      <c r="AF53" s="190">
        <v>73981335.530000001</v>
      </c>
      <c r="AG53" s="190">
        <v>60311953.530000001</v>
      </c>
      <c r="AH53" s="190">
        <v>33756973.859999999</v>
      </c>
      <c r="AI53" s="190">
        <v>12522524.619999999</v>
      </c>
      <c r="AJ53" s="190">
        <v>11165518.890000001</v>
      </c>
      <c r="AK53" s="190">
        <v>8340251.5199999996</v>
      </c>
      <c r="AL53" s="190">
        <v>6754222.8700000001</v>
      </c>
      <c r="AM53" s="190">
        <v>6708956.79</v>
      </c>
      <c r="AN53" s="190">
        <v>11572117.82</v>
      </c>
      <c r="AO53" s="190">
        <v>2743495.31</v>
      </c>
      <c r="AP53" s="190">
        <v>0</v>
      </c>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6327459.0199999996</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4742.38</v>
      </c>
      <c r="D55" s="190">
        <v>8187392.1100000003</v>
      </c>
      <c r="E55" s="190">
        <v>0</v>
      </c>
      <c r="F55" s="190">
        <v>0</v>
      </c>
      <c r="G55" s="190">
        <v>0</v>
      </c>
      <c r="H55" s="190">
        <v>6180855.1699999999</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357963841.64999998</v>
      </c>
      <c r="C58" s="190">
        <v>367854392.75999999</v>
      </c>
      <c r="D58" s="190">
        <v>350269873.25</v>
      </c>
      <c r="E58" s="190">
        <v>344248693.23000002</v>
      </c>
      <c r="F58" s="190">
        <v>548842593.21000004</v>
      </c>
      <c r="G58" s="190">
        <v>530863354.52999997</v>
      </c>
      <c r="H58" s="190">
        <v>524462293.81999999</v>
      </c>
      <c r="I58" s="190">
        <v>530349904.79000002</v>
      </c>
      <c r="J58" s="190">
        <v>418604118.30000001</v>
      </c>
      <c r="K58" s="190">
        <v>428760234.94999999</v>
      </c>
      <c r="L58" s="190">
        <v>224977376.34999999</v>
      </c>
      <c r="M58" s="190">
        <v>229533410.63999999</v>
      </c>
      <c r="N58" s="190">
        <v>233844487.13</v>
      </c>
      <c r="O58" s="190">
        <v>238165554.30000001</v>
      </c>
      <c r="P58" s="190">
        <v>243062342.69999999</v>
      </c>
      <c r="Q58" s="190">
        <v>247755664.41</v>
      </c>
      <c r="R58" s="190">
        <v>281296189.88999999</v>
      </c>
      <c r="S58" s="190">
        <v>286876111.19999999</v>
      </c>
      <c r="T58" s="190">
        <v>292865890.91000003</v>
      </c>
      <c r="U58" s="190">
        <v>288131513.64999998</v>
      </c>
      <c r="V58" s="190">
        <v>320027169.68000001</v>
      </c>
      <c r="W58" s="190">
        <v>319900878.16000003</v>
      </c>
      <c r="X58" s="190">
        <v>328010395.62</v>
      </c>
      <c r="Y58" s="190">
        <v>333115179.85000002</v>
      </c>
      <c r="Z58" s="190">
        <v>296249569.74000001</v>
      </c>
      <c r="AA58" s="190">
        <v>218028441.5</v>
      </c>
      <c r="AB58" s="190">
        <v>163507116.47</v>
      </c>
      <c r="AC58" s="190">
        <v>190205113.77000001</v>
      </c>
      <c r="AD58" s="190">
        <v>96006483.079999998</v>
      </c>
      <c r="AE58" s="190">
        <v>97322119.010000005</v>
      </c>
      <c r="AF58" s="190">
        <v>98141359.569999993</v>
      </c>
      <c r="AG58" s="190">
        <v>99507778.819999993</v>
      </c>
      <c r="AH58" s="190">
        <v>103667318.05</v>
      </c>
      <c r="AI58" s="190">
        <v>104782170.33</v>
      </c>
      <c r="AJ58" s="190">
        <v>67479174.379999995</v>
      </c>
      <c r="AK58" s="190">
        <v>67787646.680000007</v>
      </c>
      <c r="AL58" s="190">
        <v>69116433.140000001</v>
      </c>
      <c r="AM58" s="190">
        <v>70346336.310000002</v>
      </c>
      <c r="AN58" s="190">
        <v>26456158.260000002</v>
      </c>
      <c r="AO58" s="190">
        <v>27824228.940000001</v>
      </c>
      <c r="AP58" s="190">
        <v>0</v>
      </c>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327285.01</v>
      </c>
      <c r="C59" s="190">
        <v>0</v>
      </c>
      <c r="D59" s="190">
        <v>0</v>
      </c>
      <c r="E59" s="190">
        <v>0</v>
      </c>
      <c r="F59" s="190">
        <v>812427.68</v>
      </c>
      <c r="G59" s="190">
        <v>441269.06</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17303594.719999999</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49334938.409999996</v>
      </c>
      <c r="C60" s="190">
        <v>48807841.689999998</v>
      </c>
      <c r="D60" s="190">
        <v>38071978.200000003</v>
      </c>
      <c r="E60" s="190">
        <v>38071978.200000003</v>
      </c>
      <c r="F60" s="190">
        <v>7963285.5800000001</v>
      </c>
      <c r="G60" s="190">
        <v>7963285.5800000001</v>
      </c>
      <c r="H60" s="190">
        <v>7963285.5800000001</v>
      </c>
      <c r="I60" s="190">
        <v>7963285.5800000001</v>
      </c>
      <c r="J60" s="190">
        <v>10626662.300000001</v>
      </c>
      <c r="K60" s="190">
        <v>10626662.300000001</v>
      </c>
      <c r="L60" s="190">
        <v>10626662.300000001</v>
      </c>
      <c r="M60" s="190">
        <v>10626662.300000001</v>
      </c>
      <c r="N60" s="190">
        <v>10626662.300000001</v>
      </c>
      <c r="O60" s="190">
        <v>10626662.300000001</v>
      </c>
      <c r="P60" s="190">
        <v>10626662.300000001</v>
      </c>
      <c r="Q60" s="190">
        <v>2663376.7200000002</v>
      </c>
      <c r="R60" s="190">
        <v>2663376.7200000002</v>
      </c>
      <c r="S60" s="190">
        <v>2663376.7200000002</v>
      </c>
      <c r="T60" s="190">
        <v>2663376.7200000002</v>
      </c>
      <c r="U60" s="190">
        <v>2663376.7200000002</v>
      </c>
      <c r="V60" s="190">
        <v>1042622.14</v>
      </c>
      <c r="W60" s="190">
        <v>1042622.14</v>
      </c>
      <c r="X60" s="190">
        <v>1042622.14</v>
      </c>
      <c r="Y60" s="190">
        <v>1042622.14</v>
      </c>
      <c r="Z60" s="190">
        <v>1379263.62</v>
      </c>
      <c r="AA60" s="190">
        <v>1379263.62</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224457549.65000001</v>
      </c>
      <c r="C61" s="190">
        <v>223112731.22</v>
      </c>
      <c r="D61" s="190">
        <v>175131236.44999999</v>
      </c>
      <c r="E61" s="190">
        <v>227377088.87</v>
      </c>
      <c r="F61" s="190">
        <v>182667273.66</v>
      </c>
      <c r="G61" s="190">
        <v>138405721.59</v>
      </c>
      <c r="H61" s="190">
        <v>147932358.71000001</v>
      </c>
      <c r="I61" s="190">
        <v>136100015.86000001</v>
      </c>
      <c r="J61" s="190">
        <v>30261043.100000001</v>
      </c>
      <c r="K61" s="190">
        <v>28694219.530000001</v>
      </c>
      <c r="L61" s="190">
        <v>26915015.440000001</v>
      </c>
      <c r="M61" s="190">
        <v>27176396.539999999</v>
      </c>
      <c r="N61" s="190">
        <v>17490873.149999999</v>
      </c>
      <c r="O61" s="190">
        <v>22819561.050000001</v>
      </c>
      <c r="P61" s="190">
        <v>22055540.09</v>
      </c>
      <c r="Q61" s="190">
        <v>18395444.280000001</v>
      </c>
      <c r="R61" s="190">
        <v>12632019.93</v>
      </c>
      <c r="S61" s="190">
        <v>13576744.92</v>
      </c>
      <c r="T61" s="190">
        <v>14978913.33</v>
      </c>
      <c r="U61" s="190">
        <v>15537633.16</v>
      </c>
      <c r="V61" s="190">
        <v>23159954.329999998</v>
      </c>
      <c r="W61" s="190">
        <v>23789759.030000001</v>
      </c>
      <c r="X61" s="190">
        <v>23596310.02</v>
      </c>
      <c r="Y61" s="190">
        <v>25777309.870000001</v>
      </c>
      <c r="Z61" s="190">
        <v>25209104.34</v>
      </c>
      <c r="AA61" s="190">
        <v>11230229.85</v>
      </c>
      <c r="AB61" s="190">
        <v>11602866.15</v>
      </c>
      <c r="AC61" s="190">
        <v>20709911.59</v>
      </c>
      <c r="AD61" s="190">
        <v>12067176.65</v>
      </c>
      <c r="AE61" s="190">
        <v>12451563.35</v>
      </c>
      <c r="AF61" s="190">
        <v>13217224.82</v>
      </c>
      <c r="AG61" s="190">
        <v>13264252.779999999</v>
      </c>
      <c r="AH61" s="190">
        <v>11878831.32</v>
      </c>
      <c r="AI61" s="190">
        <v>12147347.9</v>
      </c>
      <c r="AJ61" s="190">
        <v>12618506.369999999</v>
      </c>
      <c r="AK61" s="190">
        <v>12684381</v>
      </c>
      <c r="AL61" s="190">
        <v>570913.63</v>
      </c>
      <c r="AM61" s="190">
        <v>702662.89</v>
      </c>
      <c r="AN61" s="190">
        <v>0</v>
      </c>
      <c r="AO61" s="190">
        <v>2814005.12</v>
      </c>
      <c r="AP61" s="190">
        <v>0</v>
      </c>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292373198.05000001</v>
      </c>
      <c r="C62" s="190">
        <v>295012500.12</v>
      </c>
      <c r="D62" s="190">
        <v>270724374.39999998</v>
      </c>
      <c r="E62" s="190">
        <v>281618590.17000002</v>
      </c>
      <c r="F62" s="190">
        <v>225209775.71000001</v>
      </c>
      <c r="G62" s="190">
        <v>231695589.28999999</v>
      </c>
      <c r="H62" s="190">
        <v>224225243.97999999</v>
      </c>
      <c r="I62" s="190">
        <v>231502014.28999999</v>
      </c>
      <c r="J62" s="190">
        <v>117233625.88</v>
      </c>
      <c r="K62" s="190">
        <v>117206120.53</v>
      </c>
      <c r="L62" s="190">
        <v>144682467.88</v>
      </c>
      <c r="M62" s="190">
        <v>148137578.74000001</v>
      </c>
      <c r="N62" s="190">
        <v>161289485.81999999</v>
      </c>
      <c r="O62" s="190">
        <v>158235923.15000001</v>
      </c>
      <c r="P62" s="190">
        <v>168797084.43000001</v>
      </c>
      <c r="Q62" s="190">
        <v>168414758.18000001</v>
      </c>
      <c r="R62" s="190">
        <v>156507585.66999999</v>
      </c>
      <c r="S62" s="190">
        <v>156755512.84999999</v>
      </c>
      <c r="T62" s="190">
        <v>121340159.81</v>
      </c>
      <c r="U62" s="190">
        <v>119117142.52</v>
      </c>
      <c r="V62" s="190">
        <v>101305006.66</v>
      </c>
      <c r="W62" s="190">
        <v>101457621.97</v>
      </c>
      <c r="X62" s="190">
        <v>112593731.33</v>
      </c>
      <c r="Y62" s="190">
        <v>108169885.62</v>
      </c>
      <c r="Z62" s="190">
        <v>98638452.150000006</v>
      </c>
      <c r="AA62" s="190">
        <v>90946596.480000004</v>
      </c>
      <c r="AB62" s="190">
        <v>76279406.409999996</v>
      </c>
      <c r="AC62" s="190">
        <v>84041326.810000002</v>
      </c>
      <c r="AD62" s="190">
        <v>58581378.060000002</v>
      </c>
      <c r="AE62" s="190">
        <v>58572233.670000002</v>
      </c>
      <c r="AF62" s="190">
        <v>56925868.75</v>
      </c>
      <c r="AG62" s="190">
        <v>56808408.390000001</v>
      </c>
      <c r="AH62" s="190">
        <v>34934404.649999999</v>
      </c>
      <c r="AI62" s="190">
        <v>35378057.119999997</v>
      </c>
      <c r="AJ62" s="190">
        <v>32181465.190000001</v>
      </c>
      <c r="AK62" s="190">
        <v>31007675.59</v>
      </c>
      <c r="AL62" s="190">
        <v>8948501.4199999999</v>
      </c>
      <c r="AM62" s="190">
        <v>12289900.210000001</v>
      </c>
      <c r="AN62" s="190">
        <v>9539921.0199999996</v>
      </c>
      <c r="AO62" s="190">
        <v>17315535.629999999</v>
      </c>
      <c r="AP62" s="190">
        <v>0</v>
      </c>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10394909.439999999</v>
      </c>
      <c r="C63" s="190">
        <v>10272926.26</v>
      </c>
      <c r="D63" s="190">
        <v>11146196.779999999</v>
      </c>
      <c r="E63" s="190">
        <v>8347253.0099999998</v>
      </c>
      <c r="F63" s="190">
        <v>13553443.5</v>
      </c>
      <c r="G63" s="190">
        <v>13756155.93</v>
      </c>
      <c r="H63" s="190">
        <v>9218590.7300000004</v>
      </c>
      <c r="I63" s="190">
        <v>13560491.880000001</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701679404.77999997</v>
      </c>
      <c r="C64" s="190">
        <v>734468510.94000006</v>
      </c>
      <c r="D64" s="190">
        <v>780042967.84000003</v>
      </c>
      <c r="E64" s="190">
        <v>1000026582.47</v>
      </c>
      <c r="F64" s="190">
        <v>1295928878.6900001</v>
      </c>
      <c r="G64" s="190">
        <v>1075705793.1600001</v>
      </c>
      <c r="H64" s="190">
        <v>864341502.71000004</v>
      </c>
      <c r="I64" s="190">
        <v>848068182.00999999</v>
      </c>
      <c r="J64" s="190">
        <v>1615336.81</v>
      </c>
      <c r="K64" s="190">
        <v>1615336.81</v>
      </c>
      <c r="L64" s="190">
        <v>52445842.310000002</v>
      </c>
      <c r="M64" s="190">
        <v>66859442.18</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17310918747.449997</v>
      </c>
      <c r="C68" s="36">
        <f t="shared" ref="C68:BN68" si="8">SUM(C52:C64)-2*C63</f>
        <v>17744462904.650002</v>
      </c>
      <c r="D68" s="36">
        <f t="shared" si="8"/>
        <v>17730680727.02</v>
      </c>
      <c r="E68" s="36">
        <f t="shared" si="8"/>
        <v>19005645439.339996</v>
      </c>
      <c r="F68" s="36">
        <f t="shared" si="8"/>
        <v>18668754291.09</v>
      </c>
      <c r="G68" s="36">
        <f t="shared" si="8"/>
        <v>17975213239.530003</v>
      </c>
      <c r="H68" s="36">
        <f t="shared" si="8"/>
        <v>16619892287.98</v>
      </c>
      <c r="I68" s="36">
        <f t="shared" si="8"/>
        <v>16017719001.850002</v>
      </c>
      <c r="J68" s="36">
        <f t="shared" si="8"/>
        <v>2695549990.21</v>
      </c>
      <c r="K68" s="36">
        <f t="shared" si="8"/>
        <v>2732339275.1900005</v>
      </c>
      <c r="L68" s="36">
        <f t="shared" si="8"/>
        <v>2635398087.3700004</v>
      </c>
      <c r="M68" s="36">
        <f t="shared" si="8"/>
        <v>2703826398.3299994</v>
      </c>
      <c r="N68" s="36">
        <f t="shared" si="8"/>
        <v>2669810345.1400008</v>
      </c>
      <c r="O68" s="36">
        <f t="shared" si="8"/>
        <v>2794624820.6000009</v>
      </c>
      <c r="P68" s="36">
        <f t="shared" si="8"/>
        <v>2529574385.0300002</v>
      </c>
      <c r="Q68" s="36">
        <f t="shared" si="8"/>
        <v>2464385346.6499996</v>
      </c>
      <c r="R68" s="36">
        <f t="shared" si="8"/>
        <v>2390729470.7999997</v>
      </c>
      <c r="S68" s="36">
        <f t="shared" si="8"/>
        <v>2372127767.0599995</v>
      </c>
      <c r="T68" s="36">
        <f t="shared" si="8"/>
        <v>2311018812.9599996</v>
      </c>
      <c r="U68" s="36">
        <f t="shared" si="8"/>
        <v>2235208948.8499999</v>
      </c>
      <c r="V68" s="36">
        <f t="shared" si="8"/>
        <v>2158479428.4900002</v>
      </c>
      <c r="W68" s="36">
        <f t="shared" si="8"/>
        <v>2086966005.1300001</v>
      </c>
      <c r="X68" s="36">
        <f t="shared" si="8"/>
        <v>2032643805.8500001</v>
      </c>
      <c r="Y68" s="36">
        <f t="shared" si="8"/>
        <v>1983878880.6100001</v>
      </c>
      <c r="Z68" s="36">
        <f t="shared" si="8"/>
        <v>1786832020.0999999</v>
      </c>
      <c r="AA68" s="36">
        <f t="shared" si="8"/>
        <v>1070207316.47</v>
      </c>
      <c r="AB68" s="36">
        <f t="shared" si="8"/>
        <v>870529615.61000001</v>
      </c>
      <c r="AC68" s="36">
        <f t="shared" si="8"/>
        <v>1034223379.05</v>
      </c>
      <c r="AD68" s="36">
        <f t="shared" si="8"/>
        <v>665567048.08999991</v>
      </c>
      <c r="AE68" s="36">
        <f t="shared" si="8"/>
        <v>628505611.20000005</v>
      </c>
      <c r="AF68" s="36">
        <f t="shared" si="8"/>
        <v>587919426.28999996</v>
      </c>
      <c r="AG68" s="36">
        <f t="shared" si="8"/>
        <v>577775528.83000004</v>
      </c>
      <c r="AH68" s="36">
        <f t="shared" si="8"/>
        <v>530024114.69</v>
      </c>
      <c r="AI68" s="36">
        <f t="shared" si="8"/>
        <v>504542384.35999995</v>
      </c>
      <c r="AJ68" s="36">
        <f t="shared" si="8"/>
        <v>471908687.38</v>
      </c>
      <c r="AK68" s="36">
        <f t="shared" si="8"/>
        <v>479156503.72999996</v>
      </c>
      <c r="AL68" s="36">
        <f t="shared" si="8"/>
        <v>450113464.89999998</v>
      </c>
      <c r="AM68" s="36">
        <f t="shared" si="8"/>
        <v>471600387.74000001</v>
      </c>
      <c r="AN68" s="36">
        <f t="shared" si="8"/>
        <v>427606760.06999999</v>
      </c>
      <c r="AO68" s="36">
        <f t="shared" si="8"/>
        <v>444001874.39999998</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34422843775.459991</v>
      </c>
      <c r="C69" s="33">
        <f t="shared" ref="C69:BN69" si="10">C50+C68</f>
        <v>23413646644.289997</v>
      </c>
      <c r="D69" s="33">
        <f t="shared" si="10"/>
        <v>23129026381.290001</v>
      </c>
      <c r="E69" s="33">
        <f t="shared" si="10"/>
        <v>22505173966.599998</v>
      </c>
      <c r="F69" s="33">
        <f t="shared" si="10"/>
        <v>21987099139.669998</v>
      </c>
      <c r="G69" s="33">
        <f t="shared" si="10"/>
        <v>21273755237.990005</v>
      </c>
      <c r="H69" s="33">
        <f t="shared" si="10"/>
        <v>22174836362.34</v>
      </c>
      <c r="I69" s="33">
        <f t="shared" si="10"/>
        <v>20638517334.820004</v>
      </c>
      <c r="J69" s="33">
        <f t="shared" si="10"/>
        <v>6084412963.6700001</v>
      </c>
      <c r="K69" s="33">
        <f t="shared" si="10"/>
        <v>7011727192.9500008</v>
      </c>
      <c r="L69" s="33">
        <f t="shared" si="10"/>
        <v>5767868164.9400005</v>
      </c>
      <c r="M69" s="33">
        <f t="shared" si="10"/>
        <v>6262363808.1699982</v>
      </c>
      <c r="N69" s="33">
        <f t="shared" si="10"/>
        <v>6301963399.5799999</v>
      </c>
      <c r="O69" s="33">
        <f t="shared" si="10"/>
        <v>5450247121.1000004</v>
      </c>
      <c r="P69" s="33">
        <f t="shared" si="10"/>
        <v>5769502161.5200005</v>
      </c>
      <c r="Q69" s="33">
        <f t="shared" si="10"/>
        <v>5296827383.0600014</v>
      </c>
      <c r="R69" s="33">
        <f t="shared" si="10"/>
        <v>5196628957.5100002</v>
      </c>
      <c r="S69" s="33">
        <f t="shared" si="10"/>
        <v>5236363288.2099991</v>
      </c>
      <c r="T69" s="33">
        <f t="shared" si="10"/>
        <v>5243870483.4699993</v>
      </c>
      <c r="U69" s="33">
        <f t="shared" si="10"/>
        <v>5101615397.2800007</v>
      </c>
      <c r="V69" s="33">
        <f t="shared" si="10"/>
        <v>4852082700.460001</v>
      </c>
      <c r="W69" s="33">
        <f t="shared" si="10"/>
        <v>4288161259.5</v>
      </c>
      <c r="X69" s="33">
        <f t="shared" si="10"/>
        <v>4015504709.0200005</v>
      </c>
      <c r="Y69" s="33">
        <f t="shared" si="10"/>
        <v>2526019197.0399995</v>
      </c>
      <c r="Z69" s="33">
        <f t="shared" si="10"/>
        <v>2966411508.8500004</v>
      </c>
      <c r="AA69" s="33">
        <f t="shared" si="10"/>
        <v>1648479804.74</v>
      </c>
      <c r="AB69" s="33">
        <f t="shared" si="10"/>
        <v>1744608552.9499998</v>
      </c>
      <c r="AC69" s="33">
        <f t="shared" si="10"/>
        <v>2193263396.9700003</v>
      </c>
      <c r="AD69" s="33">
        <f t="shared" si="10"/>
        <v>1196658433.9199994</v>
      </c>
      <c r="AE69" s="33">
        <f t="shared" si="10"/>
        <v>791189127.16999984</v>
      </c>
      <c r="AF69" s="33">
        <f t="shared" si="10"/>
        <v>875173255.8599999</v>
      </c>
      <c r="AG69" s="33">
        <f t="shared" si="10"/>
        <v>432073960.13999999</v>
      </c>
      <c r="AH69" s="33">
        <f t="shared" si="10"/>
        <v>284064053.06999987</v>
      </c>
      <c r="AI69" s="33">
        <f t="shared" si="10"/>
        <v>379463890.61999995</v>
      </c>
      <c r="AJ69" s="33">
        <f t="shared" si="10"/>
        <v>616159075.64999974</v>
      </c>
      <c r="AK69" s="33">
        <f t="shared" si="10"/>
        <v>340302640.90000027</v>
      </c>
      <c r="AL69" s="33">
        <f t="shared" si="10"/>
        <v>492087540.25</v>
      </c>
      <c r="AM69" s="33">
        <f t="shared" si="10"/>
        <v>787128543.68000019</v>
      </c>
      <c r="AN69" s="33">
        <f t="shared" si="10"/>
        <v>605560666.15999961</v>
      </c>
      <c r="AO69" s="33">
        <f t="shared" si="10"/>
        <v>668897340.28000033</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44299982517.569992</v>
      </c>
      <c r="C70" s="37">
        <f t="shared" ref="C70:BN70" si="12">C17+C19+C69</f>
        <v>33527357334.659996</v>
      </c>
      <c r="D70" s="37">
        <f t="shared" si="12"/>
        <v>34017006675.160004</v>
      </c>
      <c r="E70" s="37">
        <f t="shared" si="12"/>
        <v>33284499007.429996</v>
      </c>
      <c r="F70" s="37">
        <f t="shared" si="12"/>
        <v>32288528233.139999</v>
      </c>
      <c r="G70" s="37">
        <f t="shared" si="12"/>
        <v>30894574541.590004</v>
      </c>
      <c r="H70" s="37">
        <f t="shared" si="12"/>
        <v>31590474436.519997</v>
      </c>
      <c r="I70" s="37">
        <f t="shared" si="12"/>
        <v>26548408220.710003</v>
      </c>
      <c r="J70" s="37">
        <f t="shared" si="12"/>
        <v>8139345294.79</v>
      </c>
      <c r="K70" s="37">
        <f t="shared" si="12"/>
        <v>9500654009.0600014</v>
      </c>
      <c r="L70" s="37">
        <f t="shared" si="12"/>
        <v>9077861026.2900009</v>
      </c>
      <c r="M70" s="37">
        <f t="shared" si="12"/>
        <v>8752758632.7699986</v>
      </c>
      <c r="N70" s="37">
        <f t="shared" si="12"/>
        <v>9165382111.9200001</v>
      </c>
      <c r="O70" s="37">
        <f t="shared" si="12"/>
        <v>8700102176.5</v>
      </c>
      <c r="P70" s="37">
        <f t="shared" si="12"/>
        <v>8473113212.9400005</v>
      </c>
      <c r="Q70" s="37">
        <f t="shared" si="12"/>
        <v>8295088855.420002</v>
      </c>
      <c r="R70" s="37">
        <f t="shared" si="12"/>
        <v>7730681808.3500004</v>
      </c>
      <c r="S70" s="37">
        <f t="shared" si="12"/>
        <v>7848273498.4499989</v>
      </c>
      <c r="T70" s="37">
        <f t="shared" si="12"/>
        <v>7910758392.3399992</v>
      </c>
      <c r="U70" s="37">
        <f t="shared" si="12"/>
        <v>7635261127.2600002</v>
      </c>
      <c r="V70" s="37">
        <f t="shared" si="12"/>
        <v>7536671748.5400009</v>
      </c>
      <c r="W70" s="37">
        <f t="shared" si="12"/>
        <v>7061150201.3700008</v>
      </c>
      <c r="X70" s="37">
        <f t="shared" si="12"/>
        <v>7260627422.1600008</v>
      </c>
      <c r="Y70" s="37">
        <f t="shared" si="12"/>
        <v>6910356285.9300003</v>
      </c>
      <c r="Z70" s="37">
        <f t="shared" si="12"/>
        <v>6611306797.3600006</v>
      </c>
      <c r="AA70" s="37">
        <f t="shared" si="12"/>
        <v>6165439277.3799992</v>
      </c>
      <c r="AB70" s="37">
        <f t="shared" si="12"/>
        <v>6546173450.0499992</v>
      </c>
      <c r="AC70" s="37">
        <f t="shared" si="12"/>
        <v>7152148619.9800005</v>
      </c>
      <c r="AD70" s="37">
        <f t="shared" si="12"/>
        <v>6088296792.4399986</v>
      </c>
      <c r="AE70" s="37">
        <f t="shared" si="12"/>
        <v>4333450998.7699995</v>
      </c>
      <c r="AF70" s="37">
        <f t="shared" si="12"/>
        <v>4486027012.9899998</v>
      </c>
      <c r="AG70" s="37">
        <f t="shared" si="12"/>
        <v>4341189809.7200003</v>
      </c>
      <c r="AH70" s="37">
        <f t="shared" si="12"/>
        <v>4227788851.5299997</v>
      </c>
      <c r="AI70" s="37">
        <f t="shared" si="12"/>
        <v>4017224085.3699999</v>
      </c>
      <c r="AJ70" s="37">
        <f t="shared" si="12"/>
        <v>3998715705.9299994</v>
      </c>
      <c r="AK70" s="37">
        <f t="shared" si="12"/>
        <v>1400628603.1300001</v>
      </c>
      <c r="AL70" s="37">
        <f t="shared" si="12"/>
        <v>1514369613.24</v>
      </c>
      <c r="AM70" s="37">
        <f t="shared" si="12"/>
        <v>1121952868.9100003</v>
      </c>
      <c r="AN70" s="37">
        <f t="shared" si="12"/>
        <v>1212138682.9999995</v>
      </c>
      <c r="AO70" s="37">
        <f t="shared" si="12"/>
        <v>801308400.21000028</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2967536230.21</v>
      </c>
      <c r="F72" s="28">
        <f t="shared" ref="F72:BQ72" si="14">SUM(F73:F77)</f>
        <v>3284932759.1700001</v>
      </c>
      <c r="G72" s="28">
        <f t="shared" si="14"/>
        <v>3270123327.5099998</v>
      </c>
      <c r="H72" s="28">
        <f t="shared" si="14"/>
        <v>3836796239.1400003</v>
      </c>
      <c r="I72" s="28">
        <f t="shared" si="14"/>
        <v>4255769991.2700005</v>
      </c>
      <c r="J72" s="28">
        <f t="shared" si="14"/>
        <v>55419930</v>
      </c>
      <c r="K72" s="28">
        <f t="shared" si="14"/>
        <v>1528838463.2</v>
      </c>
      <c r="L72" s="28">
        <f t="shared" si="14"/>
        <v>1508433054.24</v>
      </c>
      <c r="M72" s="28">
        <f t="shared" si="14"/>
        <v>1460633962.8099999</v>
      </c>
      <c r="N72" s="28">
        <f t="shared" si="14"/>
        <v>211172217.75999999</v>
      </c>
      <c r="O72" s="28">
        <f t="shared" si="14"/>
        <v>273497272.81</v>
      </c>
      <c r="P72" s="28">
        <f t="shared" si="14"/>
        <v>227663287.94</v>
      </c>
      <c r="Q72" s="28">
        <f t="shared" si="14"/>
        <v>274372703.06999999</v>
      </c>
      <c r="R72" s="28">
        <f t="shared" si="14"/>
        <v>302313705.69999999</v>
      </c>
      <c r="S72" s="28">
        <f t="shared" si="14"/>
        <v>353052415.82999998</v>
      </c>
      <c r="T72" s="28">
        <f t="shared" si="14"/>
        <v>321978460.82999998</v>
      </c>
      <c r="U72" s="28">
        <f t="shared" si="14"/>
        <v>326216070.82999998</v>
      </c>
      <c r="V72" s="28">
        <f t="shared" si="14"/>
        <v>380530449.82999998</v>
      </c>
      <c r="W72" s="28">
        <f t="shared" si="14"/>
        <v>374450727.82999998</v>
      </c>
      <c r="X72" s="28">
        <f t="shared" si="14"/>
        <v>392916340.11000001</v>
      </c>
      <c r="Y72" s="28">
        <f t="shared" si="14"/>
        <v>250933828.12</v>
      </c>
      <c r="Z72" s="28">
        <f t="shared" si="14"/>
        <v>245563213.34</v>
      </c>
      <c r="AA72" s="28">
        <f t="shared" si="14"/>
        <v>116289978.33</v>
      </c>
      <c r="AB72" s="28">
        <f t="shared" si="14"/>
        <v>76088356.700000003</v>
      </c>
      <c r="AC72" s="28">
        <f t="shared" si="14"/>
        <v>472217600.82999998</v>
      </c>
      <c r="AD72" s="28">
        <f t="shared" si="14"/>
        <v>16237463</v>
      </c>
      <c r="AE72" s="28">
        <f t="shared" si="14"/>
        <v>1299276</v>
      </c>
      <c r="AF72" s="28">
        <f t="shared" si="14"/>
        <v>0</v>
      </c>
      <c r="AG72" s="28">
        <f t="shared" si="14"/>
        <v>0</v>
      </c>
      <c r="AH72" s="28">
        <f t="shared" si="14"/>
        <v>0</v>
      </c>
      <c r="AI72" s="28">
        <f t="shared" si="14"/>
        <v>0</v>
      </c>
      <c r="AJ72" s="28">
        <f t="shared" si="14"/>
        <v>0</v>
      </c>
      <c r="AK72" s="28">
        <f t="shared" si="14"/>
        <v>1242732.3999999999</v>
      </c>
      <c r="AL72" s="28">
        <f t="shared" si="14"/>
        <v>52844746.5</v>
      </c>
      <c r="AM72" s="28">
        <f t="shared" si="14"/>
        <v>16813116</v>
      </c>
      <c r="AN72" s="28">
        <f t="shared" si="14"/>
        <v>257719003.30000001</v>
      </c>
      <c r="AO72" s="28">
        <f t="shared" si="14"/>
        <v>298964047.46000004</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2351216471.4099998</v>
      </c>
      <c r="C73" s="190">
        <v>2342179728.6999998</v>
      </c>
      <c r="D73" s="190">
        <v>2693580620.4299998</v>
      </c>
      <c r="E73" s="190">
        <v>2092539494.98</v>
      </c>
      <c r="F73" s="190">
        <v>2634089180.8099999</v>
      </c>
      <c r="G73" s="190">
        <v>2594752998.6399999</v>
      </c>
      <c r="H73" s="190">
        <v>2997319526.6300001</v>
      </c>
      <c r="I73" s="190">
        <v>3245912020.0100002</v>
      </c>
      <c r="J73" s="190">
        <v>55419930</v>
      </c>
      <c r="K73" s="190">
        <v>54953640</v>
      </c>
      <c r="L73" s="190">
        <v>54117915</v>
      </c>
      <c r="M73" s="190">
        <v>30000360</v>
      </c>
      <c r="N73" s="190">
        <v>195062800</v>
      </c>
      <c r="O73" s="190">
        <v>193884000</v>
      </c>
      <c r="P73" s="190">
        <v>163151450</v>
      </c>
      <c r="Q73" s="190">
        <v>236923600</v>
      </c>
      <c r="R73" s="190">
        <v>285727637.5</v>
      </c>
      <c r="S73" s="190">
        <v>267062582.5</v>
      </c>
      <c r="T73" s="190">
        <v>258192127.5</v>
      </c>
      <c r="U73" s="190">
        <v>285477737.5</v>
      </c>
      <c r="V73" s="190">
        <v>362458922</v>
      </c>
      <c r="W73" s="190">
        <v>288446700</v>
      </c>
      <c r="X73" s="190">
        <v>329404085.97000003</v>
      </c>
      <c r="Y73" s="190">
        <v>210248014.97999999</v>
      </c>
      <c r="Z73" s="190">
        <v>227157242.5</v>
      </c>
      <c r="AA73" s="190">
        <v>30581645</v>
      </c>
      <c r="AB73" s="190">
        <v>12577508</v>
      </c>
      <c r="AC73" s="190">
        <v>431096755</v>
      </c>
      <c r="AD73" s="190">
        <v>1112463</v>
      </c>
      <c r="AE73" s="190">
        <v>1299276</v>
      </c>
      <c r="AF73" s="190">
        <v>0</v>
      </c>
      <c r="AG73" s="190">
        <v>0</v>
      </c>
      <c r="AH73" s="190">
        <v>0</v>
      </c>
      <c r="AI73" s="190">
        <v>0</v>
      </c>
      <c r="AJ73" s="190">
        <v>0</v>
      </c>
      <c r="AK73" s="190">
        <v>1242732.3999999999</v>
      </c>
      <c r="AL73" s="190">
        <v>52844746.5</v>
      </c>
      <c r="AM73" s="190">
        <v>16813116</v>
      </c>
      <c r="AN73" s="190">
        <v>257364705.72</v>
      </c>
      <c r="AO73" s="190">
        <v>298546527.30000001</v>
      </c>
      <c r="AP73" s="190">
        <v>0</v>
      </c>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14315542.869999999</v>
      </c>
      <c r="C74" s="190">
        <v>12252742.279999999</v>
      </c>
      <c r="D74" s="190">
        <v>22780982.699999999</v>
      </c>
      <c r="E74" s="190">
        <v>20628458.09</v>
      </c>
      <c r="F74" s="190">
        <v>34119059</v>
      </c>
      <c r="G74" s="190">
        <v>30539144.75</v>
      </c>
      <c r="H74" s="190">
        <v>27940487.260000002</v>
      </c>
      <c r="I74" s="190">
        <v>18091764.73</v>
      </c>
      <c r="J74" s="190">
        <v>0</v>
      </c>
      <c r="K74" s="190">
        <v>79885823.200000003</v>
      </c>
      <c r="L74" s="190">
        <v>60541588.329999998</v>
      </c>
      <c r="M74" s="190">
        <v>37717353.460000001</v>
      </c>
      <c r="N74" s="190">
        <v>16109417.76</v>
      </c>
      <c r="O74" s="190">
        <v>79613272.810000002</v>
      </c>
      <c r="P74" s="190">
        <v>64511837.939999998</v>
      </c>
      <c r="Q74" s="190">
        <v>37449103.07</v>
      </c>
      <c r="R74" s="190">
        <v>16586068.199999999</v>
      </c>
      <c r="S74" s="190">
        <v>85989833.329999998</v>
      </c>
      <c r="T74" s="190">
        <v>63786333.329999998</v>
      </c>
      <c r="U74" s="190">
        <v>40738333.329999998</v>
      </c>
      <c r="V74" s="190">
        <v>18071527.829999998</v>
      </c>
      <c r="W74" s="190">
        <v>86004027.829999998</v>
      </c>
      <c r="X74" s="190">
        <v>63512254.140000001</v>
      </c>
      <c r="Y74" s="190">
        <v>40685813.140000001</v>
      </c>
      <c r="Z74" s="190">
        <v>18405970.84</v>
      </c>
      <c r="AA74" s="190">
        <v>85708333.329999998</v>
      </c>
      <c r="AB74" s="190">
        <v>63510848.700000003</v>
      </c>
      <c r="AC74" s="190">
        <v>41120845.829999998</v>
      </c>
      <c r="AD74" s="190">
        <v>15125000</v>
      </c>
      <c r="AE74" s="190">
        <v>0</v>
      </c>
      <c r="AF74" s="190">
        <v>0</v>
      </c>
      <c r="AG74" s="190">
        <v>0</v>
      </c>
      <c r="AH74" s="190">
        <v>0</v>
      </c>
      <c r="AI74" s="190">
        <v>0</v>
      </c>
      <c r="AJ74" s="190">
        <v>0</v>
      </c>
      <c r="AK74" s="190">
        <v>0</v>
      </c>
      <c r="AL74" s="190">
        <v>0</v>
      </c>
      <c r="AM74" s="190">
        <v>0</v>
      </c>
      <c r="AN74" s="190">
        <v>354297.58</v>
      </c>
      <c r="AO74" s="190">
        <v>417520.16</v>
      </c>
      <c r="AP74" s="190">
        <v>0</v>
      </c>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1259076438.1199999</v>
      </c>
      <c r="C76" s="190">
        <v>1256885137.5</v>
      </c>
      <c r="D76" s="190">
        <v>840610827.25999999</v>
      </c>
      <c r="E76" s="190">
        <v>854368277.13999999</v>
      </c>
      <c r="F76" s="190">
        <v>616724519.36000001</v>
      </c>
      <c r="G76" s="190">
        <v>644831184.12</v>
      </c>
      <c r="H76" s="190">
        <v>811536225.25</v>
      </c>
      <c r="I76" s="190">
        <v>991766206.52999997</v>
      </c>
      <c r="J76" s="190">
        <v>0</v>
      </c>
      <c r="K76" s="190">
        <v>1393999000</v>
      </c>
      <c r="L76" s="190">
        <v>1393773550.9100001</v>
      </c>
      <c r="M76" s="190">
        <v>1392916249.3499999</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9559051011.1700001</v>
      </c>
      <c r="F81" s="28">
        <f t="shared" ref="F81:BQ81" si="16">SUM(F82:F85)</f>
        <v>8986213307.5100002</v>
      </c>
      <c r="G81" s="28">
        <f t="shared" si="16"/>
        <v>8534494985.1399994</v>
      </c>
      <c r="H81" s="28">
        <f t="shared" si="16"/>
        <v>8813154051.6499996</v>
      </c>
      <c r="I81" s="28">
        <f t="shared" si="16"/>
        <v>8074996503.4799995</v>
      </c>
      <c r="J81" s="28">
        <f t="shared" si="16"/>
        <v>0</v>
      </c>
      <c r="K81" s="28">
        <f t="shared" si="16"/>
        <v>0</v>
      </c>
      <c r="L81" s="28">
        <f t="shared" si="16"/>
        <v>54644009</v>
      </c>
      <c r="M81" s="28">
        <f t="shared" si="16"/>
        <v>54644009</v>
      </c>
      <c r="N81" s="28">
        <f t="shared" si="16"/>
        <v>1446957268.77</v>
      </c>
      <c r="O81" s="28">
        <f t="shared" si="16"/>
        <v>1446412986.1300001</v>
      </c>
      <c r="P81" s="28">
        <f t="shared" si="16"/>
        <v>1445860946.0899999</v>
      </c>
      <c r="Q81" s="28">
        <f t="shared" si="16"/>
        <v>1473610296.04</v>
      </c>
      <c r="R81" s="28">
        <f t="shared" si="16"/>
        <v>1485011407.5799999</v>
      </c>
      <c r="S81" s="28">
        <f t="shared" si="16"/>
        <v>1593613749.26</v>
      </c>
      <c r="T81" s="28">
        <f t="shared" si="16"/>
        <v>1593598498.05</v>
      </c>
      <c r="U81" s="28">
        <f t="shared" si="16"/>
        <v>1582742074.2099998</v>
      </c>
      <c r="V81" s="28">
        <f t="shared" si="16"/>
        <v>1514414557.4400001</v>
      </c>
      <c r="W81" s="28">
        <f t="shared" si="16"/>
        <v>1513876752.5799999</v>
      </c>
      <c r="X81" s="28">
        <f t="shared" si="16"/>
        <v>1505188746.6300001</v>
      </c>
      <c r="Y81" s="28">
        <f t="shared" si="16"/>
        <v>1504667368.2</v>
      </c>
      <c r="Z81" s="28">
        <f t="shared" si="16"/>
        <v>1506346126.3900001</v>
      </c>
      <c r="AA81" s="28">
        <f t="shared" si="16"/>
        <v>1502687972.6800001</v>
      </c>
      <c r="AB81" s="28">
        <f t="shared" si="16"/>
        <v>1501210267.27</v>
      </c>
      <c r="AC81" s="28">
        <f t="shared" si="16"/>
        <v>1498090282.6400001</v>
      </c>
      <c r="AD81" s="28">
        <f t="shared" si="16"/>
        <v>1496206969.3599999</v>
      </c>
      <c r="AE81" s="28">
        <f t="shared" si="16"/>
        <v>4630000</v>
      </c>
      <c r="AF81" s="28">
        <f t="shared" si="16"/>
        <v>4630000</v>
      </c>
      <c r="AG81" s="28">
        <f t="shared" si="16"/>
        <v>4630000</v>
      </c>
      <c r="AH81" s="28">
        <f t="shared" si="16"/>
        <v>800000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8568327400.2799997</v>
      </c>
      <c r="C82" s="190">
        <v>8362073270.2399998</v>
      </c>
      <c r="D82" s="190">
        <v>8701773784.3700008</v>
      </c>
      <c r="E82" s="190">
        <v>8992183562.2600002</v>
      </c>
      <c r="F82" s="190">
        <v>8617996967.6399994</v>
      </c>
      <c r="G82" s="190">
        <v>8136819714.3599997</v>
      </c>
      <c r="H82" s="190">
        <v>8350506003.0600004</v>
      </c>
      <c r="I82" s="190">
        <v>7620581743.1999998</v>
      </c>
      <c r="J82" s="190">
        <v>0</v>
      </c>
      <c r="K82" s="190">
        <v>0</v>
      </c>
      <c r="L82" s="190">
        <v>54644009</v>
      </c>
      <c r="M82" s="190">
        <v>54644009</v>
      </c>
      <c r="N82" s="190">
        <v>54644009</v>
      </c>
      <c r="O82" s="190">
        <v>54644009</v>
      </c>
      <c r="P82" s="190">
        <v>54644009</v>
      </c>
      <c r="Q82" s="190">
        <v>82936903</v>
      </c>
      <c r="R82" s="190">
        <v>82936903</v>
      </c>
      <c r="S82" s="190">
        <v>82936903</v>
      </c>
      <c r="T82" s="190">
        <v>82936903</v>
      </c>
      <c r="U82" s="190">
        <v>72245588</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1392313259.77</v>
      </c>
      <c r="O83" s="190">
        <v>1391768977.1300001</v>
      </c>
      <c r="P83" s="190">
        <v>1391216937.0899999</v>
      </c>
      <c r="Q83" s="190">
        <v>1390673393.04</v>
      </c>
      <c r="R83" s="190">
        <v>1390138214.23</v>
      </c>
      <c r="S83" s="190">
        <v>1495612271.9200001</v>
      </c>
      <c r="T83" s="190">
        <v>1495048851.9400001</v>
      </c>
      <c r="U83" s="190">
        <v>1494494103.0999999</v>
      </c>
      <c r="V83" s="190">
        <v>1493947891.9400001</v>
      </c>
      <c r="W83" s="190">
        <v>1493410087.0799999</v>
      </c>
      <c r="X83" s="190">
        <v>1492880559.1300001</v>
      </c>
      <c r="Y83" s="190">
        <v>1492359180.7</v>
      </c>
      <c r="Z83" s="190">
        <v>1491845826.3900001</v>
      </c>
      <c r="AA83" s="190">
        <v>1491340372.6800001</v>
      </c>
      <c r="AB83" s="190">
        <v>1489862667.27</v>
      </c>
      <c r="AC83" s="190">
        <v>1490352682.6400001</v>
      </c>
      <c r="AD83" s="190">
        <v>1489816969.3599999</v>
      </c>
      <c r="AE83" s="190">
        <v>0</v>
      </c>
      <c r="AF83" s="190">
        <v>0</v>
      </c>
      <c r="AG83" s="190">
        <v>0</v>
      </c>
      <c r="AH83" s="190">
        <v>0</v>
      </c>
      <c r="AI83" s="190">
        <v>0</v>
      </c>
      <c r="AJ83" s="190">
        <v>0</v>
      </c>
      <c r="AK83" s="190">
        <v>0</v>
      </c>
      <c r="AL83" s="190">
        <v>0</v>
      </c>
      <c r="AM83" s="190">
        <v>0</v>
      </c>
      <c r="AN83" s="190">
        <v>0</v>
      </c>
      <c r="AO83" s="190">
        <v>0</v>
      </c>
      <c r="AP83" s="190">
        <v>0</v>
      </c>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885899979.73000002</v>
      </c>
      <c r="C84" s="190">
        <v>618816842.80999994</v>
      </c>
      <c r="D84" s="190">
        <v>516978171.81999999</v>
      </c>
      <c r="E84" s="190">
        <v>566867448.90999997</v>
      </c>
      <c r="F84" s="190">
        <v>368216339.87</v>
      </c>
      <c r="G84" s="190">
        <v>397675270.77999997</v>
      </c>
      <c r="H84" s="190">
        <v>436557283.87</v>
      </c>
      <c r="I84" s="190">
        <v>454414760.27999997</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26090764.719999999</v>
      </c>
      <c r="I85" s="190">
        <v>0</v>
      </c>
      <c r="J85" s="190">
        <v>0</v>
      </c>
      <c r="K85" s="190">
        <v>0</v>
      </c>
      <c r="L85" s="190">
        <v>0</v>
      </c>
      <c r="M85" s="190">
        <v>0</v>
      </c>
      <c r="N85" s="190">
        <v>0</v>
      </c>
      <c r="O85" s="190">
        <v>0</v>
      </c>
      <c r="P85" s="190">
        <v>0</v>
      </c>
      <c r="Q85" s="190">
        <v>0</v>
      </c>
      <c r="R85" s="190">
        <v>11936290.35</v>
      </c>
      <c r="S85" s="190">
        <v>15064574.34</v>
      </c>
      <c r="T85" s="190">
        <v>15612743.109999999</v>
      </c>
      <c r="U85" s="190">
        <v>16002383.109999999</v>
      </c>
      <c r="V85" s="190">
        <v>20466665.5</v>
      </c>
      <c r="W85" s="190">
        <v>20466665.5</v>
      </c>
      <c r="X85" s="190">
        <v>12308187.5</v>
      </c>
      <c r="Y85" s="190">
        <v>12308187.5</v>
      </c>
      <c r="Z85" s="190">
        <v>14500300</v>
      </c>
      <c r="AA85" s="190">
        <v>11347600</v>
      </c>
      <c r="AB85" s="190">
        <v>11347600</v>
      </c>
      <c r="AC85" s="190">
        <v>7737600</v>
      </c>
      <c r="AD85" s="190">
        <v>6390000</v>
      </c>
      <c r="AE85" s="190">
        <v>4630000</v>
      </c>
      <c r="AF85" s="190">
        <v>4630000</v>
      </c>
      <c r="AG85" s="190">
        <v>4630000</v>
      </c>
      <c r="AH85" s="190">
        <v>800000</v>
      </c>
      <c r="AI85" s="190">
        <v>0</v>
      </c>
      <c r="AJ85" s="190">
        <v>0</v>
      </c>
      <c r="AK85" s="190">
        <v>0</v>
      </c>
      <c r="AL85" s="190">
        <v>0</v>
      </c>
      <c r="AM85" s="190">
        <v>0</v>
      </c>
      <c r="AN85" s="190">
        <v>0</v>
      </c>
      <c r="AO85" s="190">
        <v>0</v>
      </c>
      <c r="AP85" s="190">
        <v>0</v>
      </c>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13078835832.41</v>
      </c>
      <c r="C89" s="33">
        <f>SUM(C73:C85)</f>
        <v>12592207721.529999</v>
      </c>
      <c r="D89" s="33">
        <f>SUM(D73:D85)</f>
        <v>12775724386.58</v>
      </c>
      <c r="E89" s="33">
        <f>E72+E81</f>
        <v>12526587241.380001</v>
      </c>
      <c r="F89" s="33">
        <f t="shared" ref="F89:BQ89" si="18">F72+F81</f>
        <v>12271146066.68</v>
      </c>
      <c r="G89" s="33">
        <f t="shared" si="18"/>
        <v>11804618312.65</v>
      </c>
      <c r="H89" s="33">
        <f t="shared" si="18"/>
        <v>12649950290.790001</v>
      </c>
      <c r="I89" s="33">
        <f t="shared" si="18"/>
        <v>12330766494.75</v>
      </c>
      <c r="J89" s="33">
        <f t="shared" si="18"/>
        <v>55419930</v>
      </c>
      <c r="K89" s="33">
        <f t="shared" si="18"/>
        <v>1528838463.2</v>
      </c>
      <c r="L89" s="33">
        <f t="shared" si="18"/>
        <v>1563077063.24</v>
      </c>
      <c r="M89" s="33">
        <f t="shared" si="18"/>
        <v>1515277971.8099999</v>
      </c>
      <c r="N89" s="33">
        <f t="shared" si="18"/>
        <v>1658129486.53</v>
      </c>
      <c r="O89" s="33">
        <f t="shared" si="18"/>
        <v>1719910258.9400001</v>
      </c>
      <c r="P89" s="33">
        <f t="shared" si="18"/>
        <v>1673524234.03</v>
      </c>
      <c r="Q89" s="33">
        <f t="shared" si="18"/>
        <v>1747982999.1099999</v>
      </c>
      <c r="R89" s="33">
        <f t="shared" si="18"/>
        <v>1787325113.28</v>
      </c>
      <c r="S89" s="33">
        <f t="shared" si="18"/>
        <v>1946666165.0899999</v>
      </c>
      <c r="T89" s="33">
        <f t="shared" si="18"/>
        <v>1915576958.8799999</v>
      </c>
      <c r="U89" s="33">
        <f t="shared" si="18"/>
        <v>1908958145.0399997</v>
      </c>
      <c r="V89" s="33">
        <f t="shared" si="18"/>
        <v>1894945007.27</v>
      </c>
      <c r="W89" s="33">
        <f t="shared" si="18"/>
        <v>1888327480.4099998</v>
      </c>
      <c r="X89" s="33">
        <f t="shared" si="18"/>
        <v>1898105086.7400002</v>
      </c>
      <c r="Y89" s="33">
        <f t="shared" si="18"/>
        <v>1755601196.3200002</v>
      </c>
      <c r="Z89" s="33">
        <f t="shared" si="18"/>
        <v>1751909339.73</v>
      </c>
      <c r="AA89" s="33">
        <f t="shared" si="18"/>
        <v>1618977951.01</v>
      </c>
      <c r="AB89" s="33">
        <f t="shared" si="18"/>
        <v>1577298623.97</v>
      </c>
      <c r="AC89" s="33">
        <f t="shared" si="18"/>
        <v>1970307883.47</v>
      </c>
      <c r="AD89" s="33">
        <f t="shared" si="18"/>
        <v>1512444432.3599999</v>
      </c>
      <c r="AE89" s="33">
        <f t="shared" si="18"/>
        <v>5929276</v>
      </c>
      <c r="AF89" s="33">
        <f t="shared" si="18"/>
        <v>4630000</v>
      </c>
      <c r="AG89" s="33">
        <f t="shared" si="18"/>
        <v>4630000</v>
      </c>
      <c r="AH89" s="33">
        <f t="shared" si="18"/>
        <v>800000</v>
      </c>
      <c r="AI89" s="33">
        <f t="shared" si="18"/>
        <v>0</v>
      </c>
      <c r="AJ89" s="33">
        <f t="shared" si="18"/>
        <v>0</v>
      </c>
      <c r="AK89" s="33">
        <f t="shared" si="18"/>
        <v>1242732.3999999999</v>
      </c>
      <c r="AL89" s="33">
        <f t="shared" si="18"/>
        <v>52844746.5</v>
      </c>
      <c r="AM89" s="33">
        <f t="shared" si="18"/>
        <v>16813116</v>
      </c>
      <c r="AN89" s="33">
        <f t="shared" si="18"/>
        <v>257719003.30000001</v>
      </c>
      <c r="AO89" s="33">
        <f t="shared" si="18"/>
        <v>298964047.46000004</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2151408516</v>
      </c>
      <c r="C91" s="190">
        <v>2151428516</v>
      </c>
      <c r="D91" s="190">
        <v>2151428516</v>
      </c>
      <c r="E91" s="190">
        <v>2151428516</v>
      </c>
      <c r="F91" s="190">
        <v>2151135641</v>
      </c>
      <c r="G91" s="190">
        <v>2134469541</v>
      </c>
      <c r="H91" s="190">
        <v>2134469541</v>
      </c>
      <c r="I91" s="190">
        <v>1881927340</v>
      </c>
      <c r="J91" s="190">
        <v>1319446010</v>
      </c>
      <c r="K91" s="190">
        <v>1319446010</v>
      </c>
      <c r="L91" s="190">
        <v>1314906385</v>
      </c>
      <c r="M91" s="190">
        <v>1314906385</v>
      </c>
      <c r="N91" s="190">
        <v>1314906385</v>
      </c>
      <c r="O91" s="190">
        <v>1314906385</v>
      </c>
      <c r="P91" s="190">
        <v>1011466450</v>
      </c>
      <c r="Q91" s="190">
        <v>1011466450</v>
      </c>
      <c r="R91" s="190">
        <v>1008255700</v>
      </c>
      <c r="S91" s="190">
        <v>1008255700</v>
      </c>
      <c r="T91" s="190">
        <v>1008018000</v>
      </c>
      <c r="U91" s="190">
        <v>1008018000</v>
      </c>
      <c r="V91" s="190">
        <v>1005000000</v>
      </c>
      <c r="W91" s="190">
        <v>1005000000</v>
      </c>
      <c r="X91" s="190">
        <v>1005000000</v>
      </c>
      <c r="Y91" s="190">
        <v>1005000000</v>
      </c>
      <c r="Z91" s="190">
        <v>1005000000</v>
      </c>
      <c r="AA91" s="190">
        <v>1005000000</v>
      </c>
      <c r="AB91" s="190">
        <v>1005000000</v>
      </c>
      <c r="AC91" s="190">
        <v>1005000000</v>
      </c>
      <c r="AD91" s="190">
        <v>1005000000</v>
      </c>
      <c r="AE91" s="190">
        <v>1005000000</v>
      </c>
      <c r="AF91" s="190">
        <v>1005000000</v>
      </c>
      <c r="AG91" s="190">
        <v>1005000000</v>
      </c>
      <c r="AH91" s="190">
        <v>1005000000</v>
      </c>
      <c r="AI91" s="190">
        <v>1005000000</v>
      </c>
      <c r="AJ91" s="190">
        <v>1005000000</v>
      </c>
      <c r="AK91" s="190">
        <v>900000000</v>
      </c>
      <c r="AL91" s="190">
        <v>900000000</v>
      </c>
      <c r="AM91" s="190">
        <v>900000000</v>
      </c>
      <c r="AN91" s="190">
        <v>620000000</v>
      </c>
      <c r="AO91" s="190">
        <v>100000000</v>
      </c>
      <c r="AP91" s="190">
        <v>0</v>
      </c>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11052568188.059999</v>
      </c>
      <c r="C92" s="190">
        <v>11031440783.549999</v>
      </c>
      <c r="D92" s="190">
        <v>11011024811.040001</v>
      </c>
      <c r="E92" s="190">
        <v>10990608838.530001</v>
      </c>
      <c r="F92" s="190">
        <v>10924755368.389999</v>
      </c>
      <c r="G92" s="190">
        <v>10739088303.110001</v>
      </c>
      <c r="H92" s="190">
        <v>10774732617.190001</v>
      </c>
      <c r="I92" s="190">
        <v>6640284392.2600002</v>
      </c>
      <c r="J92" s="190">
        <v>1889163637.1099999</v>
      </c>
      <c r="K92" s="190">
        <v>1888393137.1099999</v>
      </c>
      <c r="L92" s="190">
        <v>1823662908.27</v>
      </c>
      <c r="M92" s="190">
        <v>1822735441.3199999</v>
      </c>
      <c r="N92" s="190">
        <v>1826910106.78</v>
      </c>
      <c r="O92" s="190">
        <v>1820294076.02</v>
      </c>
      <c r="P92" s="190">
        <v>2122235686.01</v>
      </c>
      <c r="Q92" s="190">
        <v>2120737361</v>
      </c>
      <c r="R92" s="190">
        <v>2069719353.4200001</v>
      </c>
      <c r="S92" s="190">
        <v>2067050182.96</v>
      </c>
      <c r="T92" s="190">
        <v>2060404743.1099999</v>
      </c>
      <c r="U92" s="190">
        <v>2057522044.52</v>
      </c>
      <c r="V92" s="190">
        <v>2011327710.8900001</v>
      </c>
      <c r="W92" s="190">
        <v>2006517640.1099999</v>
      </c>
      <c r="X92" s="190">
        <v>1891372668.8599999</v>
      </c>
      <c r="Y92" s="190">
        <v>1886525712.8599999</v>
      </c>
      <c r="Z92" s="190">
        <v>2043587339.72</v>
      </c>
      <c r="AA92" s="190">
        <v>2339040620.8699999</v>
      </c>
      <c r="AB92" s="190">
        <v>2365985395.6300001</v>
      </c>
      <c r="AC92" s="190">
        <v>2464788752.1799998</v>
      </c>
      <c r="AD92" s="190">
        <v>2370068634.5799999</v>
      </c>
      <c r="AE92" s="190">
        <v>2362456674.0300002</v>
      </c>
      <c r="AF92" s="190">
        <v>2362456674.0300002</v>
      </c>
      <c r="AG92" s="190">
        <v>2362456674.0300002</v>
      </c>
      <c r="AH92" s="190">
        <v>2355176674.0300002</v>
      </c>
      <c r="AI92" s="190">
        <v>2355176674.0300002</v>
      </c>
      <c r="AJ92" s="190">
        <v>2355176674.0300002</v>
      </c>
      <c r="AK92" s="190">
        <v>4682574.03</v>
      </c>
      <c r="AL92" s="190">
        <v>4682574.03</v>
      </c>
      <c r="AM92" s="190">
        <v>4682574.03</v>
      </c>
      <c r="AN92" s="190">
        <v>45362574.030000001</v>
      </c>
      <c r="AO92" s="190">
        <v>18362574.030000001</v>
      </c>
      <c r="AP92" s="190">
        <v>0</v>
      </c>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87334833.5</v>
      </c>
      <c r="C93" s="190">
        <v>171494171</v>
      </c>
      <c r="D93" s="190">
        <v>171494171</v>
      </c>
      <c r="E93" s="190">
        <v>171494171</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-155499810.11000001</v>
      </c>
      <c r="C94" s="190">
        <v>-128143979.75</v>
      </c>
      <c r="D94" s="190">
        <v>-92066601.310000002</v>
      </c>
      <c r="E94" s="190">
        <v>-23631474.93</v>
      </c>
      <c r="F94" s="190">
        <v>-30267413.710000001</v>
      </c>
      <c r="G94" s="190">
        <v>-18846470.59</v>
      </c>
      <c r="H94" s="190">
        <v>18943128.82</v>
      </c>
      <c r="I94" s="190">
        <v>18196142.559999999</v>
      </c>
      <c r="J94" s="190">
        <v>-698790.29</v>
      </c>
      <c r="K94" s="190">
        <v>1028642.76</v>
      </c>
      <c r="L94" s="190">
        <v>93522.03</v>
      </c>
      <c r="M94" s="190">
        <v>6085109.1900000004</v>
      </c>
      <c r="N94" s="190">
        <v>-3229996.86</v>
      </c>
      <c r="O94" s="190">
        <v>-5185563.16</v>
      </c>
      <c r="P94" s="190">
        <v>-4613913.47</v>
      </c>
      <c r="Q94" s="190">
        <v>-3082187.41</v>
      </c>
      <c r="R94" s="190">
        <v>-1102341.6200000001</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1169861783.72</v>
      </c>
      <c r="C96" s="190">
        <v>1169861783.72</v>
      </c>
      <c r="D96" s="190">
        <v>1051690120.13</v>
      </c>
      <c r="E96" s="190">
        <v>1051690120.13</v>
      </c>
      <c r="F96" s="190">
        <v>894031023.70000005</v>
      </c>
      <c r="G96" s="190">
        <v>894031023.70000005</v>
      </c>
      <c r="H96" s="190">
        <v>894031023.70000005</v>
      </c>
      <c r="I96" s="190">
        <v>894031023.70000005</v>
      </c>
      <c r="J96" s="190">
        <v>689779265.46000004</v>
      </c>
      <c r="K96" s="190">
        <v>689779265.46000004</v>
      </c>
      <c r="L96" s="190">
        <v>689779265.46000004</v>
      </c>
      <c r="M96" s="190">
        <v>689779265.46000004</v>
      </c>
      <c r="N96" s="190">
        <v>538059297.96000004</v>
      </c>
      <c r="O96" s="190">
        <v>538059297.96000004</v>
      </c>
      <c r="P96" s="190">
        <v>538059297.96000004</v>
      </c>
      <c r="Q96" s="190">
        <v>538059297.96000004</v>
      </c>
      <c r="R96" s="190">
        <v>536335072.95999998</v>
      </c>
      <c r="S96" s="190">
        <v>536335072.95999998</v>
      </c>
      <c r="T96" s="190">
        <v>536335072.95999998</v>
      </c>
      <c r="U96" s="190">
        <v>536335072.95999998</v>
      </c>
      <c r="V96" s="190">
        <v>404694618.54000002</v>
      </c>
      <c r="W96" s="190">
        <v>404694618.54000002</v>
      </c>
      <c r="X96" s="190">
        <v>404694618.54000002</v>
      </c>
      <c r="Y96" s="190">
        <v>404694618.54000002</v>
      </c>
      <c r="Z96" s="190">
        <v>249108221.22999999</v>
      </c>
      <c r="AA96" s="190">
        <v>249108221.22999999</v>
      </c>
      <c r="AB96" s="190">
        <v>249108221.22999999</v>
      </c>
      <c r="AC96" s="190">
        <v>281434294.19</v>
      </c>
      <c r="AD96" s="190">
        <v>158561021.06999999</v>
      </c>
      <c r="AE96" s="190">
        <v>158561021.06999999</v>
      </c>
      <c r="AF96" s="190">
        <v>158561021.06999999</v>
      </c>
      <c r="AG96" s="190">
        <v>158561021.06999999</v>
      </c>
      <c r="AH96" s="190">
        <v>93516573.769999996</v>
      </c>
      <c r="AI96" s="190">
        <v>93516573.769999996</v>
      </c>
      <c r="AJ96" s="190">
        <v>93516573.769999996</v>
      </c>
      <c r="AK96" s="190">
        <v>93516573.769999996</v>
      </c>
      <c r="AL96" s="190">
        <v>74589293.209999993</v>
      </c>
      <c r="AM96" s="190">
        <v>36683066.299999997</v>
      </c>
      <c r="AN96" s="190">
        <v>71521106.909999996</v>
      </c>
      <c r="AO96" s="190">
        <v>98219642.769999996</v>
      </c>
      <c r="AP96" s="190">
        <v>0</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6723423492.0799999</v>
      </c>
      <c r="C98" s="190">
        <v>6146223969.9200001</v>
      </c>
      <c r="D98" s="190">
        <v>6600721037.3900003</v>
      </c>
      <c r="E98" s="190">
        <v>5987857348.8800001</v>
      </c>
      <c r="F98" s="190">
        <v>5273350333.6899996</v>
      </c>
      <c r="G98" s="190">
        <v>4562116005.7600002</v>
      </c>
      <c r="H98" s="190">
        <v>4305272189.4799995</v>
      </c>
      <c r="I98" s="190">
        <v>3946002592.0300002</v>
      </c>
      <c r="J98" s="190">
        <v>3496150137.6700001</v>
      </c>
      <c r="K98" s="190">
        <v>3411213450.2600002</v>
      </c>
      <c r="L98" s="190">
        <v>3196068118.27</v>
      </c>
      <c r="M98" s="190">
        <v>2871939873.3099999</v>
      </c>
      <c r="N98" s="190">
        <v>3342273857.6700001</v>
      </c>
      <c r="O98" s="190">
        <v>2852696600.8299999</v>
      </c>
      <c r="P98" s="190">
        <v>2674882583.8899999</v>
      </c>
      <c r="Q98" s="190">
        <v>2372738768.6799998</v>
      </c>
      <c r="R98" s="190">
        <v>1859841304.48</v>
      </c>
      <c r="S98" s="190">
        <v>1855554100.9400001</v>
      </c>
      <c r="T98" s="190">
        <v>1947769159.8399999</v>
      </c>
      <c r="U98" s="190">
        <v>1650623536.24</v>
      </c>
      <c r="V98" s="190">
        <v>1743409900.1400001</v>
      </c>
      <c r="W98" s="190">
        <v>1304739546.26</v>
      </c>
      <c r="X98" s="190">
        <v>1488088472.29</v>
      </c>
      <c r="Y98" s="190">
        <v>1245524563.1700001</v>
      </c>
      <c r="Z98" s="190">
        <v>1004525185.88</v>
      </c>
      <c r="AA98" s="190">
        <v>772624864.27999997</v>
      </c>
      <c r="AB98" s="190">
        <v>1184823580.73</v>
      </c>
      <c r="AC98" s="190">
        <v>1105472998.75</v>
      </c>
      <c r="AD98" s="190">
        <v>876153816.78999996</v>
      </c>
      <c r="AE98" s="190">
        <v>660380802.92999995</v>
      </c>
      <c r="AF98" s="190">
        <v>826833404.16999996</v>
      </c>
      <c r="AG98" s="190">
        <v>657383424.02999997</v>
      </c>
      <c r="AH98" s="190">
        <v>643973392.38</v>
      </c>
      <c r="AI98" s="190">
        <v>452823679.13999999</v>
      </c>
      <c r="AJ98" s="190">
        <v>438249428.04000002</v>
      </c>
      <c r="AK98" s="190">
        <v>284275265.33999997</v>
      </c>
      <c r="AL98" s="190">
        <v>401673465.06</v>
      </c>
      <c r="AM98" s="190">
        <v>88765094.890000001</v>
      </c>
      <c r="AN98" s="190">
        <v>147785563.13999999</v>
      </c>
      <c r="AO98" s="190">
        <v>262086204.44999999</v>
      </c>
      <c r="AP98" s="190">
        <v>0</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49285725.810000002</v>
      </c>
      <c r="C99" s="190">
        <v>1515429.68</v>
      </c>
      <c r="D99" s="190">
        <v>8167686.8799999999</v>
      </c>
      <c r="E99" s="190">
        <v>7327050.8600000003</v>
      </c>
      <c r="F99" s="190">
        <v>1515429.68</v>
      </c>
      <c r="G99" s="190">
        <v>1515429.68</v>
      </c>
      <c r="H99" s="190">
        <v>1515429.68</v>
      </c>
      <c r="I99" s="190">
        <v>1515429.68</v>
      </c>
      <c r="J99" s="190">
        <v>1515429.68</v>
      </c>
      <c r="K99" s="190">
        <v>1515429.68</v>
      </c>
      <c r="L99" s="190">
        <v>1515429.68</v>
      </c>
      <c r="M99" s="190">
        <v>1515429.68</v>
      </c>
      <c r="N99" s="190">
        <v>1515429.68</v>
      </c>
      <c r="O99" s="190">
        <v>10786119.68</v>
      </c>
      <c r="P99" s="190">
        <v>1515429.68</v>
      </c>
      <c r="Q99" s="190">
        <v>1515429.68</v>
      </c>
      <c r="R99" s="190">
        <v>1515429.68</v>
      </c>
      <c r="S99" s="190">
        <v>13876349.68</v>
      </c>
      <c r="T99" s="190">
        <v>1515429.68</v>
      </c>
      <c r="U99" s="190">
        <v>1515429.68</v>
      </c>
      <c r="V99" s="190">
        <v>30891462.969999999</v>
      </c>
      <c r="W99" s="190">
        <v>33062199.84</v>
      </c>
      <c r="X99" s="190">
        <v>34262199.840000004</v>
      </c>
      <c r="Y99" s="190">
        <v>34262199.840000004</v>
      </c>
      <c r="Z99" s="190">
        <v>40995505.100000001</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20854427336.25</v>
      </c>
      <c r="C102" s="190">
        <v>20199316902.439999</v>
      </c>
      <c r="D102" s="190">
        <v>20551303712.25</v>
      </c>
      <c r="E102" s="190">
        <v>19986459177.610001</v>
      </c>
      <c r="F102" s="190">
        <v>19213004953.07</v>
      </c>
      <c r="G102" s="190">
        <v>18310858402.98</v>
      </c>
      <c r="H102" s="190">
        <v>18127448500.189999</v>
      </c>
      <c r="I102" s="190">
        <v>13380441490.549999</v>
      </c>
      <c r="J102" s="190">
        <v>7393840259.9499998</v>
      </c>
      <c r="K102" s="190">
        <v>7309860505.5900002</v>
      </c>
      <c r="L102" s="190">
        <v>7024510199.0299997</v>
      </c>
      <c r="M102" s="190">
        <v>6705446074.2799997</v>
      </c>
      <c r="N102" s="190">
        <v>7018919650.5500002</v>
      </c>
      <c r="O102" s="190">
        <v>6520770796.6499996</v>
      </c>
      <c r="P102" s="190">
        <v>6342030104.3900003</v>
      </c>
      <c r="Q102" s="190">
        <v>6039919690.2299995</v>
      </c>
      <c r="R102" s="190">
        <v>5473049089.2399998</v>
      </c>
      <c r="S102" s="190">
        <v>5464555664.7299995</v>
      </c>
      <c r="T102" s="190">
        <v>5551866678.9499998</v>
      </c>
      <c r="U102" s="190">
        <v>5251142783.4099998</v>
      </c>
      <c r="V102" s="190">
        <v>5160241483.3100004</v>
      </c>
      <c r="W102" s="190">
        <v>4717841105.8699999</v>
      </c>
      <c r="X102" s="190">
        <v>4787489448.04</v>
      </c>
      <c r="Y102" s="190">
        <v>4540051833.1300001</v>
      </c>
      <c r="Z102" s="190">
        <v>4300412452.8199997</v>
      </c>
      <c r="AA102" s="190">
        <v>4364595644</v>
      </c>
      <c r="AB102" s="190">
        <v>4803991912.0200005</v>
      </c>
      <c r="AC102" s="190">
        <v>4856030810.1000004</v>
      </c>
      <c r="AD102" s="190">
        <v>4409156014.9499998</v>
      </c>
      <c r="AE102" s="190">
        <v>4186327130.7399998</v>
      </c>
      <c r="AF102" s="190">
        <v>4352742951.0900002</v>
      </c>
      <c r="AG102" s="190">
        <v>4183294583.2399998</v>
      </c>
      <c r="AH102" s="190">
        <v>4097666640.1799998</v>
      </c>
      <c r="AI102" s="190">
        <v>3906516926.9400001</v>
      </c>
      <c r="AJ102" s="190">
        <v>3891942675.8400002</v>
      </c>
      <c r="AK102" s="190">
        <v>1282474413.1400001</v>
      </c>
      <c r="AL102" s="190">
        <v>1380945332.3</v>
      </c>
      <c r="AM102" s="190">
        <v>1030130735.22</v>
      </c>
      <c r="AN102" s="190">
        <v>884669244.08000004</v>
      </c>
      <c r="AO102" s="190">
        <v>478668421.25</v>
      </c>
      <c r="AP102" s="190">
        <v>0</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560260348.51999998</v>
      </c>
      <c r="C103" s="190">
        <v>541212949.51999998</v>
      </c>
      <c r="D103" s="190">
        <v>511261351.56999999</v>
      </c>
      <c r="E103" s="190">
        <v>583955239.94000006</v>
      </c>
      <c r="F103" s="190">
        <v>635635994.75</v>
      </c>
      <c r="G103" s="190">
        <v>609189687.77999997</v>
      </c>
      <c r="H103" s="190">
        <v>653275871.00999999</v>
      </c>
      <c r="I103" s="190">
        <v>674071709.19000006</v>
      </c>
      <c r="J103" s="190">
        <v>552456884.07000005</v>
      </c>
      <c r="K103" s="190">
        <v>528869776.38999999</v>
      </c>
      <c r="L103" s="190">
        <v>360746502.50999999</v>
      </c>
      <c r="M103" s="190">
        <v>405606118.33999997</v>
      </c>
      <c r="N103" s="190">
        <v>369207724.47000003</v>
      </c>
      <c r="O103" s="190">
        <v>340339680.37</v>
      </c>
      <c r="P103" s="190">
        <v>353132130.49000001</v>
      </c>
      <c r="Q103" s="190">
        <v>402519070.68000001</v>
      </c>
      <c r="R103" s="190">
        <v>378958165.82999998</v>
      </c>
      <c r="S103" s="190">
        <v>336334830.16000003</v>
      </c>
      <c r="T103" s="190">
        <v>356157645.99000001</v>
      </c>
      <c r="U103" s="190">
        <v>387937300.33999997</v>
      </c>
      <c r="V103" s="190">
        <v>369489359.22000003</v>
      </c>
      <c r="W103" s="190">
        <v>341028123.14999998</v>
      </c>
      <c r="X103" s="190">
        <v>460341383.56999999</v>
      </c>
      <c r="Y103" s="190">
        <v>500011752.67000002</v>
      </c>
      <c r="Z103" s="190">
        <v>475484225.51999998</v>
      </c>
      <c r="AA103" s="190">
        <v>140396851.63999999</v>
      </c>
      <c r="AB103" s="190">
        <v>124836224.45999999</v>
      </c>
      <c r="AC103" s="190">
        <v>285731223.81</v>
      </c>
      <c r="AD103" s="190">
        <v>129975444.77</v>
      </c>
      <c r="AE103" s="190">
        <v>104473691.67</v>
      </c>
      <c r="AF103" s="190">
        <v>97607457.640000001</v>
      </c>
      <c r="AG103" s="190">
        <v>122218622.22</v>
      </c>
      <c r="AH103" s="190">
        <v>104322211.34999999</v>
      </c>
      <c r="AI103" s="190">
        <v>85707158.430000007</v>
      </c>
      <c r="AJ103" s="190">
        <v>81773030.090000004</v>
      </c>
      <c r="AK103" s="190">
        <v>93517347.430000007</v>
      </c>
      <c r="AL103" s="190">
        <v>80579534.439999998</v>
      </c>
      <c r="AM103" s="190">
        <v>75009017.689999998</v>
      </c>
      <c r="AN103" s="190">
        <v>69750435.620000005</v>
      </c>
      <c r="AO103" s="190">
        <v>23675931.5</v>
      </c>
      <c r="AP103" s="190">
        <v>0</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21414687684.77</v>
      </c>
      <c r="C107" s="33">
        <f>C102+C103</f>
        <v>20740529851.959999</v>
      </c>
      <c r="D107" s="33">
        <f>D102+D103</f>
        <v>21062565063.82</v>
      </c>
      <c r="E107" s="33">
        <f>E102+E103</f>
        <v>20570414417.549999</v>
      </c>
      <c r="F107" s="33">
        <f t="shared" ref="F107:BQ107" si="20">F102+F103</f>
        <v>19848640947.82</v>
      </c>
      <c r="G107" s="33">
        <f t="shared" si="20"/>
        <v>18920048090.759998</v>
      </c>
      <c r="H107" s="33">
        <f t="shared" si="20"/>
        <v>18780724371.199997</v>
      </c>
      <c r="I107" s="33">
        <f t="shared" si="20"/>
        <v>14054513199.74</v>
      </c>
      <c r="J107" s="33">
        <f t="shared" si="20"/>
        <v>7946297144.0199995</v>
      </c>
      <c r="K107" s="33">
        <f t="shared" si="20"/>
        <v>7838730281.9800005</v>
      </c>
      <c r="L107" s="33">
        <f t="shared" si="20"/>
        <v>7385256701.54</v>
      </c>
      <c r="M107" s="33">
        <f t="shared" si="20"/>
        <v>7111052192.6199999</v>
      </c>
      <c r="N107" s="33">
        <f t="shared" si="20"/>
        <v>7388127375.0200005</v>
      </c>
      <c r="O107" s="33">
        <f t="shared" si="20"/>
        <v>6861110477.0199995</v>
      </c>
      <c r="P107" s="33">
        <f t="shared" si="20"/>
        <v>6695162234.8800001</v>
      </c>
      <c r="Q107" s="33">
        <f t="shared" si="20"/>
        <v>6442438760.9099998</v>
      </c>
      <c r="R107" s="33">
        <f t="shared" si="20"/>
        <v>5852007255.0699997</v>
      </c>
      <c r="S107" s="33">
        <f t="shared" si="20"/>
        <v>5800890494.8899994</v>
      </c>
      <c r="T107" s="33">
        <f t="shared" si="20"/>
        <v>5908024324.9399996</v>
      </c>
      <c r="U107" s="33">
        <f t="shared" si="20"/>
        <v>5639080083.75</v>
      </c>
      <c r="V107" s="33">
        <f t="shared" si="20"/>
        <v>5529730842.5300007</v>
      </c>
      <c r="W107" s="33">
        <f t="shared" si="20"/>
        <v>5058869229.0199995</v>
      </c>
      <c r="X107" s="33">
        <f t="shared" si="20"/>
        <v>5247830831.6099997</v>
      </c>
      <c r="Y107" s="33">
        <f t="shared" si="20"/>
        <v>5040063585.8000002</v>
      </c>
      <c r="Z107" s="33">
        <f t="shared" si="20"/>
        <v>4775896678.3400002</v>
      </c>
      <c r="AA107" s="33">
        <f t="shared" si="20"/>
        <v>4504992495.6400003</v>
      </c>
      <c r="AB107" s="33">
        <f t="shared" si="20"/>
        <v>4928828136.4800005</v>
      </c>
      <c r="AC107" s="33">
        <f t="shared" si="20"/>
        <v>5141762033.9100008</v>
      </c>
      <c r="AD107" s="33">
        <f t="shared" si="20"/>
        <v>4539131459.7200003</v>
      </c>
      <c r="AE107" s="33">
        <f t="shared" si="20"/>
        <v>4290800822.4099998</v>
      </c>
      <c r="AF107" s="33">
        <f t="shared" si="20"/>
        <v>4450350408.7300005</v>
      </c>
      <c r="AG107" s="33">
        <f t="shared" si="20"/>
        <v>4305513205.46</v>
      </c>
      <c r="AH107" s="33">
        <f t="shared" si="20"/>
        <v>4201988851.5299997</v>
      </c>
      <c r="AI107" s="33">
        <f t="shared" si="20"/>
        <v>3992224085.3699999</v>
      </c>
      <c r="AJ107" s="33">
        <f t="shared" si="20"/>
        <v>3973715705.9300003</v>
      </c>
      <c r="AK107" s="33">
        <f t="shared" si="20"/>
        <v>1375991760.5700002</v>
      </c>
      <c r="AL107" s="33">
        <f t="shared" si="20"/>
        <v>1461524866.74</v>
      </c>
      <c r="AM107" s="33">
        <f t="shared" si="20"/>
        <v>1105139752.9100001</v>
      </c>
      <c r="AN107" s="33">
        <f t="shared" si="20"/>
        <v>954419679.70000005</v>
      </c>
      <c r="AO107" s="33">
        <f t="shared" si="20"/>
        <v>502344352.75</v>
      </c>
      <c r="AP107" s="33">
        <f t="shared" si="20"/>
        <v>0</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34493523517.18</v>
      </c>
      <c r="C108" s="38">
        <f t="shared" ref="C108:BN108" si="22">SUM(C89+C107)</f>
        <v>33332737573.489998</v>
      </c>
      <c r="D108" s="38">
        <f t="shared" si="22"/>
        <v>33838289450.400002</v>
      </c>
      <c r="E108" s="38">
        <f>SUM(E107+E89)</f>
        <v>33097001658.93</v>
      </c>
      <c r="F108" s="38">
        <f t="shared" si="22"/>
        <v>32119787014.5</v>
      </c>
      <c r="G108" s="38">
        <f t="shared" si="22"/>
        <v>30724666403.409996</v>
      </c>
      <c r="H108" s="38">
        <f t="shared" si="22"/>
        <v>31430674661.989998</v>
      </c>
      <c r="I108" s="38">
        <f t="shared" si="22"/>
        <v>26385279694.489998</v>
      </c>
      <c r="J108" s="38">
        <f t="shared" si="22"/>
        <v>8001717074.0199995</v>
      </c>
      <c r="K108" s="38">
        <f t="shared" si="22"/>
        <v>9367568745.1800003</v>
      </c>
      <c r="L108" s="38">
        <f t="shared" si="22"/>
        <v>8948333764.7800007</v>
      </c>
      <c r="M108" s="38">
        <f t="shared" si="22"/>
        <v>8626330164.4300003</v>
      </c>
      <c r="N108" s="38">
        <f t="shared" si="22"/>
        <v>9046256861.5500011</v>
      </c>
      <c r="O108" s="38">
        <f t="shared" si="22"/>
        <v>8581020735.9599991</v>
      </c>
      <c r="P108" s="38">
        <f t="shared" si="22"/>
        <v>8368686468.9099998</v>
      </c>
      <c r="Q108" s="38">
        <f t="shared" si="22"/>
        <v>8190421760.0199995</v>
      </c>
      <c r="R108" s="38">
        <f t="shared" si="22"/>
        <v>7639332368.3499994</v>
      </c>
      <c r="S108" s="38">
        <f t="shared" si="22"/>
        <v>7747556659.9799995</v>
      </c>
      <c r="T108" s="38">
        <f t="shared" si="22"/>
        <v>7823601283.8199997</v>
      </c>
      <c r="U108" s="38">
        <f t="shared" si="22"/>
        <v>7548038228.79</v>
      </c>
      <c r="V108" s="38">
        <f t="shared" si="22"/>
        <v>7424675849.8000011</v>
      </c>
      <c r="W108" s="38">
        <f t="shared" si="22"/>
        <v>6947196709.4299994</v>
      </c>
      <c r="X108" s="38">
        <f t="shared" si="22"/>
        <v>7145935918.3500004</v>
      </c>
      <c r="Y108" s="38">
        <f t="shared" si="22"/>
        <v>6795664782.1200008</v>
      </c>
      <c r="Z108" s="38">
        <f t="shared" si="22"/>
        <v>6527806018.0699997</v>
      </c>
      <c r="AA108" s="38">
        <f t="shared" si="22"/>
        <v>6123970446.6500006</v>
      </c>
      <c r="AB108" s="38">
        <f t="shared" si="22"/>
        <v>6506126760.4500008</v>
      </c>
      <c r="AC108" s="38">
        <f t="shared" si="22"/>
        <v>7112069917.3800011</v>
      </c>
      <c r="AD108" s="38">
        <f t="shared" si="22"/>
        <v>6051575892.0799999</v>
      </c>
      <c r="AE108" s="38">
        <f t="shared" si="22"/>
        <v>4296730098.4099998</v>
      </c>
      <c r="AF108" s="38">
        <f t="shared" si="22"/>
        <v>4454980408.7300005</v>
      </c>
      <c r="AG108" s="38">
        <f t="shared" si="22"/>
        <v>4310143205.46</v>
      </c>
      <c r="AH108" s="38">
        <f t="shared" si="22"/>
        <v>4202788851.5299997</v>
      </c>
      <c r="AI108" s="38">
        <f t="shared" si="22"/>
        <v>3992224085.3699999</v>
      </c>
      <c r="AJ108" s="38">
        <f t="shared" si="22"/>
        <v>3973715705.9300003</v>
      </c>
      <c r="AK108" s="38">
        <f t="shared" si="22"/>
        <v>1377234492.9700003</v>
      </c>
      <c r="AL108" s="38">
        <f t="shared" si="22"/>
        <v>1514369613.24</v>
      </c>
      <c r="AM108" s="38">
        <f t="shared" si="22"/>
        <v>1121952868.9100001</v>
      </c>
      <c r="AN108" s="38">
        <f t="shared" si="22"/>
        <v>1212138683</v>
      </c>
      <c r="AO108" s="38">
        <f t="shared" si="22"/>
        <v>801308400.21000004</v>
      </c>
      <c r="AP108" s="38">
        <f t="shared" si="22"/>
        <v>0</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K55" sqref="AK55"/>
    </sheetView>
  </sheetViews>
  <sheetFormatPr defaultRowHeight="14.4" x14ac:dyDescent="0.25"/>
  <cols>
    <col min="1" max="1" width="57.21875" style="17" bestFit="1" customWidth="1"/>
    <col min="2" max="3" width="21.44140625" hidden="1" customWidth="1"/>
    <col min="4" max="4" width="22.6640625" hidden="1" customWidth="1"/>
    <col min="5" max="5" width="21.44140625" bestFit="1" customWidth="1"/>
    <col min="6" max="7" width="21.44140625" hidden="1" customWidth="1"/>
    <col min="8" max="8" width="22.66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3" width="19.332031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19.33203125" hidden="1" customWidth="1"/>
    <col min="31" max="31" width="19" hidden="1" customWidth="1"/>
    <col min="32" max="32" width="20.21875" hidden="1" customWidth="1"/>
    <col min="33" max="33" width="19.33203125" bestFit="1" customWidth="1"/>
    <col min="34" max="34" width="19.33203125" hidden="1" customWidth="1"/>
    <col min="35" max="35" width="19" hidden="1" customWidth="1"/>
    <col min="36" max="36" width="20.21875" hidden="1" customWidth="1"/>
    <col min="37" max="37" width="19.33203125" bestFit="1" customWidth="1"/>
    <col min="38" max="38" width="19.33203125" hidden="1" customWidth="1"/>
    <col min="39" max="40" width="19" hidden="1" customWidth="1"/>
    <col min="41" max="41" width="19.33203125" bestFit="1" customWidth="1"/>
    <col min="42" max="43" width="19" bestFit="1" customWidth="1"/>
    <col min="44" max="44" width="9.5546875" hidden="1" customWidth="1"/>
    <col min="45"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19110558169.75</v>
      </c>
      <c r="C4" s="190">
        <v>11902315980.1</v>
      </c>
      <c r="D4" s="190">
        <v>5095142650.8900003</v>
      </c>
      <c r="E4" s="190">
        <v>23416550017.470001</v>
      </c>
      <c r="F4" s="190">
        <v>15936585490.809999</v>
      </c>
      <c r="G4" s="190">
        <v>9905427837.3400002</v>
      </c>
      <c r="H4" s="190">
        <v>3980952720.77</v>
      </c>
      <c r="I4" s="190">
        <v>20164545252.650002</v>
      </c>
      <c r="J4" s="190">
        <v>9108594167.6399994</v>
      </c>
      <c r="K4" s="190">
        <v>5630553788.9300003</v>
      </c>
      <c r="L4" s="190">
        <v>2381520488.8499999</v>
      </c>
      <c r="M4" s="190">
        <v>12026466467.639999</v>
      </c>
      <c r="N4" s="190">
        <v>8774967409.0100002</v>
      </c>
      <c r="O4" s="190">
        <v>5589949438.3699999</v>
      </c>
      <c r="P4" s="190">
        <v>2261383751.4200001</v>
      </c>
      <c r="Q4" s="190">
        <v>12767230041.15</v>
      </c>
      <c r="R4" s="190">
        <v>9307426262</v>
      </c>
      <c r="S4" s="190">
        <v>5849589980.8900003</v>
      </c>
      <c r="T4" s="190">
        <v>2390695057.27</v>
      </c>
      <c r="U4" s="190">
        <v>11956507239.129999</v>
      </c>
      <c r="V4" s="190">
        <v>8565695458.21</v>
      </c>
      <c r="W4" s="190">
        <v>5414648582.5299997</v>
      </c>
      <c r="X4" s="190">
        <v>2070155415.79</v>
      </c>
      <c r="Y4" s="190">
        <v>10703163376.129999</v>
      </c>
      <c r="Z4" s="190">
        <v>7766650075.9799995</v>
      </c>
      <c r="AA4" s="190">
        <v>4352728365.5</v>
      </c>
      <c r="AB4" s="190">
        <v>1785299738.22</v>
      </c>
      <c r="AC4" s="190">
        <v>8288198259.6800003</v>
      </c>
      <c r="AD4" s="190">
        <v>6326671482.2600002</v>
      </c>
      <c r="AE4" s="190">
        <v>4001898889.1199999</v>
      </c>
      <c r="AF4" s="190">
        <v>1644797532.0899999</v>
      </c>
      <c r="AG4" s="190">
        <v>6339109735.0900002</v>
      </c>
      <c r="AH4" s="190">
        <v>4659762055.4300003</v>
      </c>
      <c r="AI4" s="190">
        <v>2841252861.1300001</v>
      </c>
      <c r="AJ4" s="190">
        <v>1169899767.45</v>
      </c>
      <c r="AK4" s="190">
        <v>4801517368.3699999</v>
      </c>
      <c r="AL4" s="190">
        <v>3528348961.3000002</v>
      </c>
      <c r="AM4" s="190">
        <v>2099639179.3099999</v>
      </c>
      <c r="AN4" s="190">
        <v>873850113.40999997</v>
      </c>
      <c r="AO4" s="190">
        <v>4442093335.0799999</v>
      </c>
      <c r="AP4" s="190">
        <v>4184807996.5100002</v>
      </c>
      <c r="AQ4" s="190">
        <v>3377159073.3800001</v>
      </c>
      <c r="AR4" s="190">
        <v>0</v>
      </c>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13421766332.620001</v>
      </c>
      <c r="C5" s="190">
        <v>8398244174.2700005</v>
      </c>
      <c r="D5" s="190">
        <v>3721787372.8099999</v>
      </c>
      <c r="E5" s="190">
        <v>16550869196.219999</v>
      </c>
      <c r="F5" s="190">
        <v>11165450332.620001</v>
      </c>
      <c r="G5" s="190">
        <v>6977459678.54</v>
      </c>
      <c r="H5" s="190">
        <v>2850748064.7600002</v>
      </c>
      <c r="I5" s="190">
        <v>14133408263.85</v>
      </c>
      <c r="J5" s="190">
        <v>6056785146.3400002</v>
      </c>
      <c r="K5" s="190">
        <v>3706679737.6399999</v>
      </c>
      <c r="L5" s="190">
        <v>1581859069.72</v>
      </c>
      <c r="M5" s="190">
        <v>7834815227.1300001</v>
      </c>
      <c r="N5" s="190">
        <v>5772001657.5900002</v>
      </c>
      <c r="O5" s="190">
        <v>3697041344.4400001</v>
      </c>
      <c r="P5" s="190">
        <v>1503157164.6400001</v>
      </c>
      <c r="Q5" s="190">
        <v>8530428903.8100004</v>
      </c>
      <c r="R5" s="190">
        <v>6318306894.7399998</v>
      </c>
      <c r="S5" s="190">
        <v>3988494937.8899999</v>
      </c>
      <c r="T5" s="190">
        <v>1649556180.6500001</v>
      </c>
      <c r="U5" s="190">
        <v>8178719989.4300003</v>
      </c>
      <c r="V5" s="190">
        <v>5967713193.1999998</v>
      </c>
      <c r="W5" s="190">
        <v>3799988539.3400002</v>
      </c>
      <c r="X5" s="190">
        <v>1466120463.5599999</v>
      </c>
      <c r="Y5" s="190">
        <v>7498731689.9099998</v>
      </c>
      <c r="Z5" s="190">
        <v>5538830502.7700005</v>
      </c>
      <c r="AA5" s="190">
        <v>3184574104.1799998</v>
      </c>
      <c r="AB5" s="190">
        <v>1301604761.22</v>
      </c>
      <c r="AC5" s="190">
        <v>6296733197.0900002</v>
      </c>
      <c r="AD5" s="190">
        <v>4898410276.7700005</v>
      </c>
      <c r="AE5" s="190">
        <v>3104943543.1399999</v>
      </c>
      <c r="AF5" s="190">
        <v>1275846191.04</v>
      </c>
      <c r="AG5" s="190">
        <v>4696761911.8800001</v>
      </c>
      <c r="AH5" s="190">
        <v>3390889481.8699999</v>
      </c>
      <c r="AI5" s="190">
        <v>2061871902.01</v>
      </c>
      <c r="AJ5" s="190">
        <v>841969122.13999999</v>
      </c>
      <c r="AK5" s="190">
        <v>3449294141.2199998</v>
      </c>
      <c r="AL5" s="190">
        <v>2463110319.4499998</v>
      </c>
      <c r="AM5" s="190">
        <v>1463794341.21</v>
      </c>
      <c r="AN5" s="190">
        <v>615881525.79999995</v>
      </c>
      <c r="AO5" s="190">
        <v>3323817825.8200002</v>
      </c>
      <c r="AP5" s="190">
        <v>3206716574.3499999</v>
      </c>
      <c r="AQ5" s="190">
        <v>2664705297.6700001</v>
      </c>
      <c r="AR5" s="190">
        <v>0</v>
      </c>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5688791837.1299992</v>
      </c>
      <c r="C6" s="27">
        <f t="shared" ref="C6:BN6" si="0">C4-C5</f>
        <v>3504071805.8299999</v>
      </c>
      <c r="D6" s="27">
        <f t="shared" si="0"/>
        <v>1373355278.0800004</v>
      </c>
      <c r="E6" s="27">
        <f t="shared" si="0"/>
        <v>6865680821.2500019</v>
      </c>
      <c r="F6" s="27">
        <f t="shared" si="0"/>
        <v>4771135158.1899986</v>
      </c>
      <c r="G6" s="27">
        <f t="shared" si="0"/>
        <v>2927968158.8000002</v>
      </c>
      <c r="H6" s="27">
        <f t="shared" si="0"/>
        <v>1130204656.0099998</v>
      </c>
      <c r="I6" s="27">
        <f t="shared" si="0"/>
        <v>6031136988.8000011</v>
      </c>
      <c r="J6" s="27">
        <f t="shared" si="0"/>
        <v>3051809021.2999992</v>
      </c>
      <c r="K6" s="27">
        <f t="shared" si="0"/>
        <v>1923874051.2900004</v>
      </c>
      <c r="L6" s="27">
        <f t="shared" si="0"/>
        <v>799661419.12999988</v>
      </c>
      <c r="M6" s="27">
        <f t="shared" si="0"/>
        <v>4191651240.5099993</v>
      </c>
      <c r="N6" s="27">
        <f t="shared" si="0"/>
        <v>3002965751.4200001</v>
      </c>
      <c r="O6" s="27">
        <f t="shared" si="0"/>
        <v>1892908093.9299998</v>
      </c>
      <c r="P6" s="27">
        <f t="shared" si="0"/>
        <v>758226586.77999997</v>
      </c>
      <c r="Q6" s="27">
        <f t="shared" si="0"/>
        <v>4236801137.3399992</v>
      </c>
      <c r="R6" s="27">
        <f t="shared" si="0"/>
        <v>2989119367.2600002</v>
      </c>
      <c r="S6" s="27">
        <f t="shared" si="0"/>
        <v>1861095043.0000005</v>
      </c>
      <c r="T6" s="27">
        <f t="shared" si="0"/>
        <v>741138876.61999989</v>
      </c>
      <c r="U6" s="27">
        <f t="shared" si="0"/>
        <v>3777787249.6999989</v>
      </c>
      <c r="V6" s="27">
        <f t="shared" si="0"/>
        <v>2597982265.0100002</v>
      </c>
      <c r="W6" s="27">
        <f t="shared" si="0"/>
        <v>1614660043.1899996</v>
      </c>
      <c r="X6" s="27">
        <f t="shared" si="0"/>
        <v>604034952.23000002</v>
      </c>
      <c r="Y6" s="27">
        <f t="shared" si="0"/>
        <v>3204431686.2199993</v>
      </c>
      <c r="Z6" s="27">
        <f t="shared" si="0"/>
        <v>2227819573.2099991</v>
      </c>
      <c r="AA6" s="27">
        <f t="shared" si="0"/>
        <v>1168154261.3200002</v>
      </c>
      <c r="AB6" s="27">
        <f t="shared" si="0"/>
        <v>483694977</v>
      </c>
      <c r="AC6" s="27">
        <f t="shared" si="0"/>
        <v>1991465062.5900002</v>
      </c>
      <c r="AD6" s="27">
        <f t="shared" si="0"/>
        <v>1428261205.4899998</v>
      </c>
      <c r="AE6" s="27">
        <f t="shared" si="0"/>
        <v>896955345.98000002</v>
      </c>
      <c r="AF6" s="27">
        <f t="shared" si="0"/>
        <v>368951341.04999995</v>
      </c>
      <c r="AG6" s="27">
        <f t="shared" si="0"/>
        <v>1642347823.21</v>
      </c>
      <c r="AH6" s="27">
        <f t="shared" si="0"/>
        <v>1268872573.5600004</v>
      </c>
      <c r="AI6" s="27">
        <f t="shared" si="0"/>
        <v>779380959.12000012</v>
      </c>
      <c r="AJ6" s="27">
        <f t="shared" si="0"/>
        <v>327930645.31000006</v>
      </c>
      <c r="AK6" s="27">
        <f t="shared" si="0"/>
        <v>1352223227.1500001</v>
      </c>
      <c r="AL6" s="27">
        <f t="shared" si="0"/>
        <v>1065238641.8500004</v>
      </c>
      <c r="AM6" s="27">
        <f t="shared" si="0"/>
        <v>635844838.0999999</v>
      </c>
      <c r="AN6" s="27">
        <f t="shared" si="0"/>
        <v>257968587.61000001</v>
      </c>
      <c r="AO6" s="27">
        <f t="shared" si="0"/>
        <v>1118275509.2599998</v>
      </c>
      <c r="AP6" s="27">
        <f t="shared" si="0"/>
        <v>978091422.16000032</v>
      </c>
      <c r="AQ6" s="27">
        <f t="shared" si="0"/>
        <v>712453775.71000004</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29.767795302466659</v>
      </c>
      <c r="C7" s="57">
        <f t="shared" ref="C7:D7" si="2">C6/C4*100</f>
        <v>29.440251894577575</v>
      </c>
      <c r="D7" s="57">
        <f t="shared" si="2"/>
        <v>26.954206627367107</v>
      </c>
      <c r="E7" s="57">
        <f>E6/E4</f>
        <v>0.29319779455674883</v>
      </c>
      <c r="F7" s="57">
        <f t="shared" ref="F7:BQ7" si="3">F6/F4</f>
        <v>0.29938252211813654</v>
      </c>
      <c r="G7" s="57">
        <f t="shared" si="3"/>
        <v>0.29559229615126603</v>
      </c>
      <c r="H7" s="57">
        <f t="shared" si="3"/>
        <v>0.28390305921327152</v>
      </c>
      <c r="I7" s="57">
        <f t="shared" si="3"/>
        <v>0.29909610721359542</v>
      </c>
      <c r="J7" s="57">
        <f t="shared" si="3"/>
        <v>0.33504720543397654</v>
      </c>
      <c r="K7" s="57">
        <f t="shared" si="3"/>
        <v>0.34168469450952582</v>
      </c>
      <c r="L7" s="57">
        <f t="shared" si="3"/>
        <v>0.33577767769537192</v>
      </c>
      <c r="M7" s="57">
        <f t="shared" si="3"/>
        <v>0.34853556127966684</v>
      </c>
      <c r="N7" s="57">
        <f t="shared" si="3"/>
        <v>0.34221959027866033</v>
      </c>
      <c r="O7" s="57">
        <f t="shared" si="3"/>
        <v>0.33862705106720287</v>
      </c>
      <c r="P7" s="57">
        <f t="shared" si="3"/>
        <v>0.33529319661197865</v>
      </c>
      <c r="Q7" s="57">
        <f t="shared" si="3"/>
        <v>0.33184967480685984</v>
      </c>
      <c r="R7" s="57">
        <f t="shared" si="3"/>
        <v>0.32115423567349238</v>
      </c>
      <c r="S7" s="57">
        <f t="shared" si="3"/>
        <v>0.31815820409293705</v>
      </c>
      <c r="T7" s="57">
        <f t="shared" si="3"/>
        <v>0.31000979165712861</v>
      </c>
      <c r="U7" s="57">
        <f t="shared" si="3"/>
        <v>0.31596077133098321</v>
      </c>
      <c r="V7" s="57">
        <f t="shared" si="3"/>
        <v>0.30330079766259965</v>
      </c>
      <c r="W7" s="57">
        <f t="shared" si="3"/>
        <v>0.29820218589985542</v>
      </c>
      <c r="X7" s="57">
        <f t="shared" si="3"/>
        <v>0.29178241769808955</v>
      </c>
      <c r="Y7" s="57">
        <f t="shared" si="3"/>
        <v>0.29939108407580367</v>
      </c>
      <c r="Z7" s="57">
        <f t="shared" si="3"/>
        <v>0.28684433461216441</v>
      </c>
      <c r="AA7" s="57">
        <f t="shared" si="3"/>
        <v>0.26837288321937675</v>
      </c>
      <c r="AB7" s="57">
        <f t="shared" si="3"/>
        <v>0.27093208308105121</v>
      </c>
      <c r="AC7" s="57">
        <f t="shared" si="3"/>
        <v>0.24027719899968811</v>
      </c>
      <c r="AD7" s="57">
        <f t="shared" si="3"/>
        <v>0.22575238962459915</v>
      </c>
      <c r="AE7" s="57">
        <f t="shared" si="3"/>
        <v>0.22413243583403891</v>
      </c>
      <c r="AF7" s="57">
        <f t="shared" si="3"/>
        <v>0.22431413827645</v>
      </c>
      <c r="AG7" s="57">
        <f t="shared" si="3"/>
        <v>0.25908177833218765</v>
      </c>
      <c r="AH7" s="57">
        <f t="shared" si="3"/>
        <v>0.27230415597753299</v>
      </c>
      <c r="AI7" s="57">
        <f t="shared" si="3"/>
        <v>0.27430890428035715</v>
      </c>
      <c r="AJ7" s="57">
        <f t="shared" si="3"/>
        <v>0.28030661637345389</v>
      </c>
      <c r="AK7" s="57">
        <f t="shared" si="3"/>
        <v>0.28162414574562861</v>
      </c>
      <c r="AL7" s="57">
        <f t="shared" si="3"/>
        <v>0.30190852819090752</v>
      </c>
      <c r="AM7" s="57">
        <f t="shared" si="3"/>
        <v>0.3028352892085755</v>
      </c>
      <c r="AN7" s="57">
        <f t="shared" si="3"/>
        <v>0.29520919394670175</v>
      </c>
      <c r="AO7" s="57">
        <f t="shared" si="3"/>
        <v>0.25174516267561953</v>
      </c>
      <c r="AP7" s="57">
        <f t="shared" si="3"/>
        <v>0.23372432450322647</v>
      </c>
      <c r="AQ7" s="57">
        <f t="shared" si="3"/>
        <v>0.2109624569733243</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120490014.75</v>
      </c>
      <c r="C8" s="190">
        <v>80032875.599999994</v>
      </c>
      <c r="D8" s="190">
        <v>33530866.09</v>
      </c>
      <c r="E8" s="190">
        <v>172847931.47</v>
      </c>
      <c r="F8" s="190">
        <v>125643147.61</v>
      </c>
      <c r="G8" s="190">
        <v>84730729.579999998</v>
      </c>
      <c r="H8" s="190">
        <v>39298428.310000002</v>
      </c>
      <c r="I8" s="190">
        <v>140953420.24000001</v>
      </c>
      <c r="J8" s="190">
        <v>61554838.520000003</v>
      </c>
      <c r="K8" s="190">
        <v>36864689.57</v>
      </c>
      <c r="L8" s="190">
        <v>16224190.449999999</v>
      </c>
      <c r="M8" s="190">
        <v>80065876.439999998</v>
      </c>
      <c r="N8" s="190">
        <v>59992069.630000003</v>
      </c>
      <c r="O8" s="190">
        <v>40117131.350000001</v>
      </c>
      <c r="P8" s="190">
        <v>16597056.779999999</v>
      </c>
      <c r="Q8" s="190">
        <v>86817539.200000003</v>
      </c>
      <c r="R8" s="190">
        <v>64685794.259999998</v>
      </c>
      <c r="S8" s="190">
        <v>40273195.219999999</v>
      </c>
      <c r="T8" s="190">
        <v>16456102.74</v>
      </c>
      <c r="U8" s="190">
        <v>72341776.040000007</v>
      </c>
      <c r="V8" s="190">
        <v>52726185.840000004</v>
      </c>
      <c r="W8" s="190">
        <v>34688736.259999998</v>
      </c>
      <c r="X8" s="190">
        <v>14139226.84</v>
      </c>
      <c r="Y8" s="190">
        <v>70865876.530000001</v>
      </c>
      <c r="Z8" s="190">
        <v>49925721.030000001</v>
      </c>
      <c r="AA8" s="190">
        <v>29606147.609999999</v>
      </c>
      <c r="AB8" s="190">
        <v>11299821.58</v>
      </c>
      <c r="AC8" s="190">
        <v>39387688.710000001</v>
      </c>
      <c r="AD8" s="190">
        <v>32588454.109999999</v>
      </c>
      <c r="AE8" s="190">
        <v>21109252.890000001</v>
      </c>
      <c r="AF8" s="190">
        <v>10094291.289999999</v>
      </c>
      <c r="AG8" s="190">
        <v>34480350.68</v>
      </c>
      <c r="AH8" s="190">
        <v>27875527.77</v>
      </c>
      <c r="AI8" s="190">
        <v>17644207.02</v>
      </c>
      <c r="AJ8" s="190">
        <v>8234488.3600000003</v>
      </c>
      <c r="AK8" s="190">
        <v>31444873.27</v>
      </c>
      <c r="AL8" s="190">
        <v>25497631.59</v>
      </c>
      <c r="AM8" s="190">
        <v>16872103.5</v>
      </c>
      <c r="AN8" s="190">
        <v>7947650.8099999996</v>
      </c>
      <c r="AO8" s="190">
        <v>26668060.41</v>
      </c>
      <c r="AP8" s="190">
        <v>20135095.489999998</v>
      </c>
      <c r="AQ8" s="190">
        <v>14632984.1</v>
      </c>
      <c r="AR8" s="190">
        <v>0</v>
      </c>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1181077931.4300001</v>
      </c>
      <c r="C9" s="190">
        <v>698070636.05999994</v>
      </c>
      <c r="D9" s="190">
        <v>300926995.83999997</v>
      </c>
      <c r="E9" s="190">
        <v>1341469811.8800001</v>
      </c>
      <c r="F9" s="190">
        <v>943220685.75</v>
      </c>
      <c r="G9" s="190">
        <v>536793153.63</v>
      </c>
      <c r="H9" s="190">
        <v>238114840.24000001</v>
      </c>
      <c r="I9" s="190">
        <v>1012287977.97</v>
      </c>
      <c r="J9" s="190">
        <v>585917334.28999996</v>
      </c>
      <c r="K9" s="190">
        <v>376718506.63999999</v>
      </c>
      <c r="L9" s="190">
        <v>155185785.18000001</v>
      </c>
      <c r="M9" s="190">
        <v>799960742.79999995</v>
      </c>
      <c r="N9" s="190">
        <v>557077371.64999998</v>
      </c>
      <c r="O9" s="190">
        <v>347629173.56999999</v>
      </c>
      <c r="P9" s="190">
        <v>132177782.84999999</v>
      </c>
      <c r="Q9" s="190">
        <v>799110210.19000006</v>
      </c>
      <c r="R9" s="190">
        <v>519117602.83999997</v>
      </c>
      <c r="S9" s="190">
        <v>338400874.31</v>
      </c>
      <c r="T9" s="190">
        <v>134787666.25</v>
      </c>
      <c r="U9" s="190">
        <v>700102393.12</v>
      </c>
      <c r="V9" s="190">
        <v>442424799.10000002</v>
      </c>
      <c r="W9" s="190">
        <v>286737260.63999999</v>
      </c>
      <c r="X9" s="190">
        <v>111119736.79000001</v>
      </c>
      <c r="Y9" s="190">
        <v>640488295.13999999</v>
      </c>
      <c r="Z9" s="190">
        <v>376397658.36000001</v>
      </c>
      <c r="AA9" s="190">
        <v>192487414.75999999</v>
      </c>
      <c r="AB9" s="190">
        <v>90503685.140000001</v>
      </c>
      <c r="AC9" s="190">
        <v>339492443.41000003</v>
      </c>
      <c r="AD9" s="190">
        <v>226688355.41</v>
      </c>
      <c r="AE9" s="190">
        <v>144583266.66</v>
      </c>
      <c r="AF9" s="190">
        <v>61573455.109999999</v>
      </c>
      <c r="AG9" s="190">
        <v>304087272.88</v>
      </c>
      <c r="AH9" s="190">
        <v>173048403.86000001</v>
      </c>
      <c r="AI9" s="190">
        <v>109804959.87</v>
      </c>
      <c r="AJ9" s="190">
        <v>46256843.770000003</v>
      </c>
      <c r="AK9" s="190">
        <v>242378250.05000001</v>
      </c>
      <c r="AL9" s="190">
        <v>172863377.22999999</v>
      </c>
      <c r="AM9" s="190">
        <v>98365299.659999996</v>
      </c>
      <c r="AN9" s="190">
        <v>45868554.920000002</v>
      </c>
      <c r="AO9" s="190">
        <v>235948325.06</v>
      </c>
      <c r="AP9" s="190">
        <v>205162394.99000001</v>
      </c>
      <c r="AQ9" s="190">
        <v>208491220.16999999</v>
      </c>
      <c r="AR9" s="190">
        <v>0</v>
      </c>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895533208.25999999</v>
      </c>
      <c r="C10" s="190">
        <v>881813975.33000004</v>
      </c>
      <c r="D10" s="190">
        <v>399038754.25</v>
      </c>
      <c r="E10" s="190">
        <v>1809757827.79</v>
      </c>
      <c r="F10" s="190">
        <v>1195795900.72</v>
      </c>
      <c r="G10" s="190">
        <v>710007855.64999998</v>
      </c>
      <c r="H10" s="190">
        <v>331002346.07999998</v>
      </c>
      <c r="I10" s="190">
        <v>1599436189.22</v>
      </c>
      <c r="J10" s="190">
        <v>789091353.80999994</v>
      </c>
      <c r="K10" s="190">
        <v>495371249.25999999</v>
      </c>
      <c r="L10" s="190">
        <v>205491976.12</v>
      </c>
      <c r="M10" s="190">
        <v>1021786675.23</v>
      </c>
      <c r="N10" s="190">
        <v>689967405.90999997</v>
      </c>
      <c r="O10" s="190">
        <v>417311348.56999999</v>
      </c>
      <c r="P10" s="190">
        <v>183118439.18000001</v>
      </c>
      <c r="Q10" s="190">
        <v>914875070.05999994</v>
      </c>
      <c r="R10" s="190">
        <v>648228184.92999995</v>
      </c>
      <c r="S10" s="190">
        <v>405635770.99000001</v>
      </c>
      <c r="T10" s="190">
        <v>184726394.09999999</v>
      </c>
      <c r="U10" s="190">
        <v>876437478.94000006</v>
      </c>
      <c r="V10" s="190">
        <v>625296419.80999994</v>
      </c>
      <c r="W10" s="190">
        <v>390891059.19999999</v>
      </c>
      <c r="X10" s="190">
        <v>168010196.88</v>
      </c>
      <c r="Y10" s="190">
        <v>823881754.29999995</v>
      </c>
      <c r="Z10" s="190">
        <v>589429908.96000004</v>
      </c>
      <c r="AA10" s="190">
        <v>301768185.20999998</v>
      </c>
      <c r="AB10" s="190">
        <v>144657164.99000001</v>
      </c>
      <c r="AC10" s="190">
        <v>587905120.27999997</v>
      </c>
      <c r="AD10" s="190">
        <v>401396291.48000002</v>
      </c>
      <c r="AE10" s="190">
        <v>244177208.99000001</v>
      </c>
      <c r="AF10" s="190">
        <v>114344750.41</v>
      </c>
      <c r="AG10" s="190">
        <v>493330199.16000003</v>
      </c>
      <c r="AH10" s="190">
        <v>335619169.76999998</v>
      </c>
      <c r="AI10" s="190">
        <v>164304271.16</v>
      </c>
      <c r="AJ10" s="190">
        <v>74178353.920000002</v>
      </c>
      <c r="AK10" s="190">
        <v>364095361.85000002</v>
      </c>
      <c r="AL10" s="190">
        <v>234897856.68000001</v>
      </c>
      <c r="AM10" s="190">
        <v>121176259.28</v>
      </c>
      <c r="AN10" s="190">
        <v>52272916.82</v>
      </c>
      <c r="AO10" s="190">
        <v>243091183.40000001</v>
      </c>
      <c r="AP10" s="190">
        <v>164890658.56</v>
      </c>
      <c r="AQ10" s="190">
        <v>168473850.03999999</v>
      </c>
      <c r="AR10" s="190">
        <v>0</v>
      </c>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71810532.659999996</v>
      </c>
      <c r="C11" s="190">
        <v>36911969.329999998</v>
      </c>
      <c r="D11" s="190">
        <v>15573505.73</v>
      </c>
      <c r="E11" s="190">
        <v>79416827.400000006</v>
      </c>
      <c r="F11" s="190">
        <v>56644768.100000001</v>
      </c>
      <c r="G11" s="190">
        <v>54427001.840000004</v>
      </c>
      <c r="H11" s="190">
        <v>14381504.779999999</v>
      </c>
      <c r="I11" s="190">
        <v>143909070.41999999</v>
      </c>
      <c r="J11" s="190">
        <v>27359612.09</v>
      </c>
      <c r="K11" s="190">
        <v>20261842.149999999</v>
      </c>
      <c r="L11" s="190">
        <v>6025060.7199999997</v>
      </c>
      <c r="M11" s="190">
        <v>75947956.810000002</v>
      </c>
      <c r="N11" s="190">
        <v>68225989.950000003</v>
      </c>
      <c r="O11" s="190">
        <v>45585700.079999998</v>
      </c>
      <c r="P11" s="190">
        <v>9681510.5600000005</v>
      </c>
      <c r="Q11" s="190">
        <v>69437394.159999996</v>
      </c>
      <c r="R11" s="190">
        <v>33705892.560000002</v>
      </c>
      <c r="S11" s="190">
        <v>22367059.449999999</v>
      </c>
      <c r="T11" s="190">
        <v>17763949.710000001</v>
      </c>
      <c r="U11" s="190">
        <v>125128091.59999999</v>
      </c>
      <c r="V11" s="190">
        <v>30481626.710000001</v>
      </c>
      <c r="W11" s="190">
        <v>25984898.969999999</v>
      </c>
      <c r="X11" s="190">
        <v>15067174.310000001</v>
      </c>
      <c r="Y11" s="190">
        <v>26000027.32</v>
      </c>
      <c r="Z11" s="190">
        <v>25524095.870000001</v>
      </c>
      <c r="AA11" s="190">
        <v>20654923.629999999</v>
      </c>
      <c r="AB11" s="190">
        <v>11150894.560000001</v>
      </c>
      <c r="AC11" s="190">
        <v>5807525.2999999998</v>
      </c>
      <c r="AD11" s="190">
        <v>8057143.8600000003</v>
      </c>
      <c r="AE11" s="190">
        <v>9176437.6199999992</v>
      </c>
      <c r="AF11" s="190">
        <v>7613596.4400000004</v>
      </c>
      <c r="AG11" s="190">
        <v>-5911659.8899999997</v>
      </c>
      <c r="AH11" s="190">
        <v>2212673.29</v>
      </c>
      <c r="AI11" s="190">
        <v>498710.47</v>
      </c>
      <c r="AJ11" s="190">
        <v>-690062.62</v>
      </c>
      <c r="AK11" s="190">
        <v>18512250.579999998</v>
      </c>
      <c r="AL11" s="190">
        <v>5238474.42</v>
      </c>
      <c r="AM11" s="190">
        <v>11874278.67</v>
      </c>
      <c r="AN11" s="190">
        <v>0</v>
      </c>
      <c r="AO11" s="190">
        <v>10062331.880000001</v>
      </c>
      <c r="AP11" s="190">
        <v>-11495957.26</v>
      </c>
      <c r="AQ11" s="190">
        <v>7790134.0199999996</v>
      </c>
      <c r="AR11" s="190">
        <v>0</v>
      </c>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16705103.24</v>
      </c>
      <c r="F12" s="29">
        <f t="shared" si="5"/>
        <v>1204</v>
      </c>
      <c r="G12" s="29">
        <f t="shared" si="5"/>
        <v>868</v>
      </c>
      <c r="H12" s="29">
        <f t="shared" si="5"/>
        <v>644</v>
      </c>
      <c r="I12" s="29">
        <f t="shared" si="5"/>
        <v>18594680.140000001</v>
      </c>
      <c r="J12" s="29">
        <f t="shared" si="5"/>
        <v>0</v>
      </c>
      <c r="K12" s="29">
        <f t="shared" si="5"/>
        <v>0</v>
      </c>
      <c r="L12" s="29">
        <f t="shared" si="5"/>
        <v>0</v>
      </c>
      <c r="M12" s="29">
        <f t="shared" si="5"/>
        <v>5310931.24</v>
      </c>
      <c r="N12" s="29">
        <f t="shared" si="5"/>
        <v>0</v>
      </c>
      <c r="O12" s="29">
        <f t="shared" si="5"/>
        <v>0</v>
      </c>
      <c r="P12" s="29">
        <f t="shared" si="5"/>
        <v>0</v>
      </c>
      <c r="Q12" s="29">
        <f t="shared" si="5"/>
        <v>4841067.72</v>
      </c>
      <c r="R12" s="29">
        <f t="shared" si="5"/>
        <v>0</v>
      </c>
      <c r="S12" s="29">
        <f t="shared" si="5"/>
        <v>0</v>
      </c>
      <c r="T12" s="29">
        <f t="shared" si="5"/>
        <v>0</v>
      </c>
      <c r="U12" s="29">
        <f t="shared" si="5"/>
        <v>4743638.1900000004</v>
      </c>
      <c r="V12" s="29">
        <f t="shared" si="5"/>
        <v>0</v>
      </c>
      <c r="W12" s="29">
        <f t="shared" si="5"/>
        <v>0</v>
      </c>
      <c r="X12" s="29">
        <f t="shared" si="5"/>
        <v>0</v>
      </c>
      <c r="Y12" s="29">
        <f t="shared" si="5"/>
        <v>3863391.81</v>
      </c>
      <c r="Z12" s="29">
        <f t="shared" si="5"/>
        <v>0</v>
      </c>
      <c r="AA12" s="29">
        <f t="shared" si="5"/>
        <v>0</v>
      </c>
      <c r="AB12" s="29">
        <f t="shared" si="5"/>
        <v>0</v>
      </c>
      <c r="AC12" s="29">
        <f t="shared" si="5"/>
        <v>1784905.82</v>
      </c>
      <c r="AD12" s="29">
        <f t="shared" si="5"/>
        <v>0</v>
      </c>
      <c r="AE12" s="29">
        <f t="shared" si="5"/>
        <v>0</v>
      </c>
      <c r="AF12" s="29">
        <f t="shared" si="5"/>
        <v>0</v>
      </c>
      <c r="AG12" s="29">
        <f t="shared" si="5"/>
        <v>1335064.68</v>
      </c>
      <c r="AH12" s="29">
        <f t="shared" si="5"/>
        <v>0</v>
      </c>
      <c r="AI12" s="29">
        <f t="shared" si="5"/>
        <v>0</v>
      </c>
      <c r="AJ12" s="29">
        <f t="shared" si="5"/>
        <v>0</v>
      </c>
      <c r="AK12" s="29">
        <f t="shared" si="5"/>
        <v>1012957.7</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18344778.440000001</v>
      </c>
      <c r="C13" s="190">
        <v>11064153.02</v>
      </c>
      <c r="D13" s="190">
        <v>5219917.87</v>
      </c>
      <c r="E13" s="190">
        <v>27960824.829999998</v>
      </c>
      <c r="F13" s="190">
        <v>49035493.32</v>
      </c>
      <c r="G13" s="190">
        <v>39751969</v>
      </c>
      <c r="H13" s="190">
        <v>32101493.93</v>
      </c>
      <c r="I13" s="190">
        <v>206369521.81</v>
      </c>
      <c r="J13" s="190">
        <v>25384244.77</v>
      </c>
      <c r="K13" s="190">
        <v>14373197.66</v>
      </c>
      <c r="L13" s="190">
        <v>5070770.18</v>
      </c>
      <c r="M13" s="190">
        <v>36907765.979999997</v>
      </c>
      <c r="N13" s="190">
        <v>14817301.57</v>
      </c>
      <c r="O13" s="190">
        <v>9767658.3800000008</v>
      </c>
      <c r="P13" s="190">
        <v>2393194.04</v>
      </c>
      <c r="Q13" s="190">
        <v>26773095.559999999</v>
      </c>
      <c r="R13" s="190">
        <v>14811831.630000001</v>
      </c>
      <c r="S13" s="190">
        <v>7813958.1900000004</v>
      </c>
      <c r="T13" s="190">
        <v>3359840.94</v>
      </c>
      <c r="U13" s="190">
        <v>47575937.960000001</v>
      </c>
      <c r="V13" s="190">
        <v>16112399.359999999</v>
      </c>
      <c r="W13" s="190">
        <v>3012636.17</v>
      </c>
      <c r="X13" s="190">
        <v>7018902.3499999996</v>
      </c>
      <c r="Y13" s="190">
        <v>25913275.109999999</v>
      </c>
      <c r="Z13" s="190">
        <v>31868929.620000001</v>
      </c>
      <c r="AA13" s="190">
        <v>2131122.4300000002</v>
      </c>
      <c r="AB13" s="190">
        <v>1054321.24</v>
      </c>
      <c r="AC13" s="190">
        <v>5878753.4699999997</v>
      </c>
      <c r="AD13" s="190">
        <v>2309695.67</v>
      </c>
      <c r="AE13" s="190">
        <v>1501142.06</v>
      </c>
      <c r="AF13" s="190">
        <v>880065.49</v>
      </c>
      <c r="AG13" s="190">
        <v>12562949.109999999</v>
      </c>
      <c r="AH13" s="190">
        <v>2637485.5099999998</v>
      </c>
      <c r="AI13" s="190">
        <v>1612523.17</v>
      </c>
      <c r="AJ13" s="190">
        <v>567930.07999999996</v>
      </c>
      <c r="AK13" s="190">
        <v>79166573.569999993</v>
      </c>
      <c r="AL13" s="190">
        <v>78549110.480000004</v>
      </c>
      <c r="AM13" s="190">
        <v>76669020.439999998</v>
      </c>
      <c r="AN13" s="190">
        <v>788725.11</v>
      </c>
      <c r="AO13" s="190">
        <v>4480472.8600000003</v>
      </c>
      <c r="AP13" s="190">
        <v>4387590.3499999996</v>
      </c>
      <c r="AQ13" s="190">
        <v>4901531.18</v>
      </c>
      <c r="AR13" s="190">
        <v>0</v>
      </c>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7051183.1799999997</v>
      </c>
      <c r="C14" s="190">
        <v>6321016.4900000002</v>
      </c>
      <c r="D14" s="190">
        <v>2400664.04</v>
      </c>
      <c r="E14" s="190">
        <v>16545311.18</v>
      </c>
      <c r="F14" s="190">
        <v>14005160.949999999</v>
      </c>
      <c r="G14" s="190">
        <v>2918264.37</v>
      </c>
      <c r="H14" s="190">
        <v>1471677.84</v>
      </c>
      <c r="I14" s="190">
        <v>48439815.359999999</v>
      </c>
      <c r="J14" s="190">
        <v>10677641.77</v>
      </c>
      <c r="K14" s="190">
        <v>8893661.2799999993</v>
      </c>
      <c r="L14" s="190">
        <v>3997089.6</v>
      </c>
      <c r="M14" s="190">
        <v>28416777.829999998</v>
      </c>
      <c r="N14" s="190">
        <v>28199041.329999998</v>
      </c>
      <c r="O14" s="190">
        <v>22849347.460000001</v>
      </c>
      <c r="P14" s="190">
        <v>2712890.48</v>
      </c>
      <c r="Q14" s="190">
        <v>12091986.140000001</v>
      </c>
      <c r="R14" s="190">
        <v>13221670.699999999</v>
      </c>
      <c r="S14" s="190">
        <v>8490919.4100000001</v>
      </c>
      <c r="T14" s="190">
        <v>3136891.86</v>
      </c>
      <c r="U14" s="190">
        <v>26828037.219999999</v>
      </c>
      <c r="V14" s="190">
        <v>12594513.710000001</v>
      </c>
      <c r="W14" s="190">
        <v>7349406.9100000001</v>
      </c>
      <c r="X14" s="190">
        <v>2788461.14</v>
      </c>
      <c r="Y14" s="190">
        <v>21824378.440000001</v>
      </c>
      <c r="Z14" s="190">
        <v>17995153.140000001</v>
      </c>
      <c r="AA14" s="190">
        <v>6118757.9900000002</v>
      </c>
      <c r="AB14" s="190">
        <v>2463536.91</v>
      </c>
      <c r="AC14" s="190">
        <v>13566406.220000001</v>
      </c>
      <c r="AD14" s="190">
        <v>9236560.0199999996</v>
      </c>
      <c r="AE14" s="190">
        <v>5758820.2800000003</v>
      </c>
      <c r="AF14" s="190">
        <v>2156441.2400000002</v>
      </c>
      <c r="AG14" s="190">
        <v>9986137.1799999997</v>
      </c>
      <c r="AH14" s="190">
        <v>7106267.5800000001</v>
      </c>
      <c r="AI14" s="190">
        <v>4245861.1500000004</v>
      </c>
      <c r="AJ14" s="190">
        <v>2085040.73</v>
      </c>
      <c r="AK14" s="190">
        <v>89880690.599999994</v>
      </c>
      <c r="AL14" s="190">
        <v>85307575.719999999</v>
      </c>
      <c r="AM14" s="190">
        <v>12963230.949999999</v>
      </c>
      <c r="AN14" s="190">
        <v>1484947.78</v>
      </c>
      <c r="AO14" s="190">
        <v>24123723.739999998</v>
      </c>
      <c r="AP14" s="190">
        <v>10068669.09</v>
      </c>
      <c r="AQ14" s="190">
        <v>8024593.5</v>
      </c>
      <c r="AR14" s="190">
        <v>0</v>
      </c>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3431173282.2899995</v>
      </c>
      <c r="C15" s="28">
        <f t="shared" ref="C15:BN15" si="7">C6-(C8+C9+C10+C11+C12)+C13-C14</f>
        <v>1811984883.04</v>
      </c>
      <c r="D15" s="28">
        <f t="shared" si="7"/>
        <v>627103757.00000048</v>
      </c>
      <c r="E15" s="28">
        <f t="shared" si="7"/>
        <v>3456898833.1200018</v>
      </c>
      <c r="F15" s="28">
        <f t="shared" si="7"/>
        <v>2484859784.3799992</v>
      </c>
      <c r="G15" s="28">
        <f t="shared" si="7"/>
        <v>1578842254.7300003</v>
      </c>
      <c r="H15" s="28">
        <f t="shared" si="7"/>
        <v>538036708.6899997</v>
      </c>
      <c r="I15" s="28">
        <f t="shared" si="7"/>
        <v>3273885357.2600007</v>
      </c>
      <c r="J15" s="28">
        <f t="shared" si="7"/>
        <v>1602592485.5899994</v>
      </c>
      <c r="K15" s="28">
        <f t="shared" si="7"/>
        <v>1000137300.0500004</v>
      </c>
      <c r="L15" s="28">
        <f t="shared" si="7"/>
        <v>417808087.23999983</v>
      </c>
      <c r="M15" s="28">
        <f t="shared" si="7"/>
        <v>2217070046.1399994</v>
      </c>
      <c r="N15" s="28">
        <f t="shared" si="7"/>
        <v>1614321174.52</v>
      </c>
      <c r="O15" s="28">
        <f t="shared" si="7"/>
        <v>1029183051.2799997</v>
      </c>
      <c r="P15" s="28">
        <f t="shared" si="7"/>
        <v>416332100.96999997</v>
      </c>
      <c r="Q15" s="28">
        <f t="shared" si="7"/>
        <v>2376400965.4299994</v>
      </c>
      <c r="R15" s="28">
        <f t="shared" si="7"/>
        <v>1724972053.6000004</v>
      </c>
      <c r="S15" s="28">
        <f t="shared" si="7"/>
        <v>1053741181.8100005</v>
      </c>
      <c r="T15" s="28">
        <f t="shared" si="7"/>
        <v>387627712.89999986</v>
      </c>
      <c r="U15" s="28">
        <f t="shared" si="7"/>
        <v>2019781772.549999</v>
      </c>
      <c r="V15" s="28">
        <f t="shared" si="7"/>
        <v>1450571119.2</v>
      </c>
      <c r="W15" s="28">
        <f t="shared" si="7"/>
        <v>872021317.37999964</v>
      </c>
      <c r="X15" s="28">
        <f t="shared" si="7"/>
        <v>299929058.62000006</v>
      </c>
      <c r="Y15" s="28">
        <f t="shared" si="7"/>
        <v>1643421237.7899995</v>
      </c>
      <c r="Z15" s="28">
        <f t="shared" si="7"/>
        <v>1200415965.4699988</v>
      </c>
      <c r="AA15" s="28">
        <f t="shared" si="7"/>
        <v>619649954.55000007</v>
      </c>
      <c r="AB15" s="28">
        <f t="shared" si="7"/>
        <v>224674195.06</v>
      </c>
      <c r="AC15" s="28">
        <f t="shared" si="7"/>
        <v>1009399726.3200002</v>
      </c>
      <c r="AD15" s="28">
        <f t="shared" si="7"/>
        <v>752604096.27999973</v>
      </c>
      <c r="AE15" s="28">
        <f t="shared" si="7"/>
        <v>473651501.60000002</v>
      </c>
      <c r="AF15" s="28">
        <f t="shared" si="7"/>
        <v>174048872.04999995</v>
      </c>
      <c r="AG15" s="28">
        <f t="shared" si="7"/>
        <v>817603407.63000011</v>
      </c>
      <c r="AH15" s="28">
        <f t="shared" si="7"/>
        <v>725648016.80000043</v>
      </c>
      <c r="AI15" s="28">
        <f t="shared" si="7"/>
        <v>484495472.62000012</v>
      </c>
      <c r="AJ15" s="28">
        <f t="shared" si="7"/>
        <v>198433911.23000008</v>
      </c>
      <c r="AK15" s="28">
        <f t="shared" si="7"/>
        <v>684065416.66999996</v>
      </c>
      <c r="AL15" s="28">
        <f t="shared" si="7"/>
        <v>619982836.6900003</v>
      </c>
      <c r="AM15" s="28">
        <f t="shared" si="7"/>
        <v>451262686.4799999</v>
      </c>
      <c r="AN15" s="28">
        <f t="shared" si="7"/>
        <v>151183242.39000002</v>
      </c>
      <c r="AO15" s="28">
        <f t="shared" si="7"/>
        <v>582862357.62999976</v>
      </c>
      <c r="AP15" s="28">
        <f t="shared" si="7"/>
        <v>593718151.64000034</v>
      </c>
      <c r="AQ15" s="28">
        <f t="shared" si="7"/>
        <v>309942525.06000012</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368491897.19703192</v>
      </c>
      <c r="C16" s="26">
        <f t="shared" ref="C16:BN16" si="9">C15*C41</f>
        <v>230021162.39749634</v>
      </c>
      <c r="D16" s="26">
        <f t="shared" si="9"/>
        <v>94849659.784088925</v>
      </c>
      <c r="E16" s="26">
        <f t="shared" si="9"/>
        <v>451716144.26850724</v>
      </c>
      <c r="F16" s="26">
        <f t="shared" si="9"/>
        <v>325602369.74403536</v>
      </c>
      <c r="G16" s="26">
        <f t="shared" si="9"/>
        <v>218889564.34801051</v>
      </c>
      <c r="H16" s="26">
        <f t="shared" si="9"/>
        <v>87573488.520766377</v>
      </c>
      <c r="I16" s="26">
        <f t="shared" si="9"/>
        <v>440122030.93472081</v>
      </c>
      <c r="J16" s="26">
        <f t="shared" si="9"/>
        <v>235595730.03009397</v>
      </c>
      <c r="K16" s="26">
        <f t="shared" si="9"/>
        <v>142085419.88679788</v>
      </c>
      <c r="L16" s="26">
        <f t="shared" si="9"/>
        <v>62888765.86802642</v>
      </c>
      <c r="M16" s="26">
        <f t="shared" si="9"/>
        <v>326528700.42057985</v>
      </c>
      <c r="N16" s="26">
        <f t="shared" si="9"/>
        <v>238865849.07724324</v>
      </c>
      <c r="O16" s="26">
        <f t="shared" si="9"/>
        <v>154121836.95855409</v>
      </c>
      <c r="P16" s="26">
        <f t="shared" si="9"/>
        <v>64888203.916346282</v>
      </c>
      <c r="Q16" s="26">
        <f t="shared" si="9"/>
        <v>370886102.06223077</v>
      </c>
      <c r="R16" s="26">
        <f t="shared" si="9"/>
        <v>265952678.94929948</v>
      </c>
      <c r="S16" s="26">
        <f t="shared" si="9"/>
        <v>159902193.19222149</v>
      </c>
      <c r="T16" s="26">
        <f t="shared" si="9"/>
        <v>59216935.236419909</v>
      </c>
      <c r="U16" s="26">
        <f t="shared" si="9"/>
        <v>316745083.11257374</v>
      </c>
      <c r="V16" s="26">
        <f t="shared" si="9"/>
        <v>237312753.80171683</v>
      </c>
      <c r="W16" s="26">
        <f t="shared" si="9"/>
        <v>143843863.92809066</v>
      </c>
      <c r="X16" s="26">
        <f t="shared" si="9"/>
        <v>51360937.225007772</v>
      </c>
      <c r="Y16" s="26">
        <f t="shared" si="9"/>
        <v>265664303.05032685</v>
      </c>
      <c r="Z16" s="26">
        <f t="shared" si="9"/>
        <v>199058000.84684506</v>
      </c>
      <c r="AA16" s="26">
        <f t="shared" si="9"/>
        <v>108775380.91439855</v>
      </c>
      <c r="AB16" s="26">
        <f t="shared" si="9"/>
        <v>39125799.020232789</v>
      </c>
      <c r="AC16" s="26">
        <f t="shared" si="9"/>
        <v>160165072.55237752</v>
      </c>
      <c r="AD16" s="26">
        <f t="shared" si="9"/>
        <v>117216661.12285146</v>
      </c>
      <c r="AE16" s="26">
        <f t="shared" si="9"/>
        <v>79343035.352057114</v>
      </c>
      <c r="AF16" s="26">
        <f t="shared" si="9"/>
        <v>29959107.556392267</v>
      </c>
      <c r="AG16" s="26">
        <f t="shared" si="9"/>
        <v>134885755.05365166</v>
      </c>
      <c r="AH16" s="26">
        <f t="shared" si="9"/>
        <v>129354786.07480867</v>
      </c>
      <c r="AI16" s="26">
        <f t="shared" si="9"/>
        <v>85559143.717504069</v>
      </c>
      <c r="AJ16" s="26">
        <f t="shared" si="9"/>
        <v>32840347.681982689</v>
      </c>
      <c r="AK16" s="26">
        <f t="shared" si="9"/>
        <v>117111445.41992983</v>
      </c>
      <c r="AL16" s="26">
        <f t="shared" si="9"/>
        <v>103886098.32361998</v>
      </c>
      <c r="AM16" s="26">
        <f t="shared" si="9"/>
        <v>81126122.428549111</v>
      </c>
      <c r="AN16" s="26">
        <f t="shared" si="9"/>
        <v>21365633.216637999</v>
      </c>
      <c r="AO16" s="26">
        <f t="shared" si="9"/>
        <v>137977966.19410557</v>
      </c>
      <c r="AP16" s="26">
        <f t="shared" si="9"/>
        <v>188009158.28375942</v>
      </c>
      <c r="AQ16" s="26">
        <f t="shared" si="9"/>
        <v>92426158.981193155</v>
      </c>
      <c r="AR16" s="26" t="e">
        <f t="shared" si="9"/>
        <v>#DIV/0!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3062681385.0929675</v>
      </c>
      <c r="C17" s="27">
        <f t="shared" ref="C17:BN17" si="11">C15-C16</f>
        <v>1581963720.6425037</v>
      </c>
      <c r="D17" s="27">
        <f t="shared" si="11"/>
        <v>532254097.21591157</v>
      </c>
      <c r="E17" s="27">
        <f t="shared" si="11"/>
        <v>3005182688.8514948</v>
      </c>
      <c r="F17" s="27">
        <f t="shared" si="11"/>
        <v>2159257414.6359639</v>
      </c>
      <c r="G17" s="27">
        <f t="shared" si="11"/>
        <v>1359952690.3819897</v>
      </c>
      <c r="H17" s="27">
        <f t="shared" si="11"/>
        <v>450463220.16923332</v>
      </c>
      <c r="I17" s="27">
        <f t="shared" si="11"/>
        <v>2833763326.3252797</v>
      </c>
      <c r="J17" s="27">
        <f t="shared" si="11"/>
        <v>1366996755.5599055</v>
      </c>
      <c r="K17" s="27">
        <f t="shared" si="11"/>
        <v>858051880.16320252</v>
      </c>
      <c r="L17" s="27">
        <f t="shared" si="11"/>
        <v>354919321.3719734</v>
      </c>
      <c r="M17" s="27">
        <f t="shared" si="11"/>
        <v>1890541345.7194195</v>
      </c>
      <c r="N17" s="27">
        <f t="shared" si="11"/>
        <v>1375455325.4427567</v>
      </c>
      <c r="O17" s="27">
        <f t="shared" si="11"/>
        <v>875061214.3214457</v>
      </c>
      <c r="P17" s="27">
        <f t="shared" si="11"/>
        <v>351443897.05365372</v>
      </c>
      <c r="Q17" s="27">
        <f t="shared" si="11"/>
        <v>2005514863.3677685</v>
      </c>
      <c r="R17" s="27">
        <f t="shared" si="11"/>
        <v>1459019374.6507008</v>
      </c>
      <c r="S17" s="27">
        <f t="shared" si="11"/>
        <v>893838988.61777902</v>
      </c>
      <c r="T17" s="27">
        <f t="shared" si="11"/>
        <v>328410777.66357994</v>
      </c>
      <c r="U17" s="27">
        <f t="shared" si="11"/>
        <v>1703036689.4374251</v>
      </c>
      <c r="V17" s="27">
        <f t="shared" si="11"/>
        <v>1213258365.3982832</v>
      </c>
      <c r="W17" s="27">
        <f t="shared" si="11"/>
        <v>728177453.45190895</v>
      </c>
      <c r="X17" s="27">
        <f t="shared" si="11"/>
        <v>248568121.39499229</v>
      </c>
      <c r="Y17" s="27">
        <f t="shared" si="11"/>
        <v>1377756934.7396727</v>
      </c>
      <c r="Z17" s="27">
        <f t="shared" si="11"/>
        <v>1001357964.6231538</v>
      </c>
      <c r="AA17" s="27">
        <f t="shared" si="11"/>
        <v>510874573.63560152</v>
      </c>
      <c r="AB17" s="27">
        <f t="shared" si="11"/>
        <v>185548396.03976721</v>
      </c>
      <c r="AC17" s="27">
        <f t="shared" si="11"/>
        <v>849234653.76762271</v>
      </c>
      <c r="AD17" s="27">
        <f t="shared" si="11"/>
        <v>635387435.15714824</v>
      </c>
      <c r="AE17" s="27">
        <f t="shared" si="11"/>
        <v>394308466.24794292</v>
      </c>
      <c r="AF17" s="27">
        <f t="shared" si="11"/>
        <v>144089764.4936077</v>
      </c>
      <c r="AG17" s="27">
        <f t="shared" si="11"/>
        <v>682717652.57634842</v>
      </c>
      <c r="AH17" s="27">
        <f t="shared" si="11"/>
        <v>596293230.72519171</v>
      </c>
      <c r="AI17" s="27">
        <f t="shared" si="11"/>
        <v>398936328.90249604</v>
      </c>
      <c r="AJ17" s="27">
        <f t="shared" si="11"/>
        <v>165593563.54801738</v>
      </c>
      <c r="AK17" s="27">
        <f t="shared" si="11"/>
        <v>566953971.2500701</v>
      </c>
      <c r="AL17" s="27">
        <f t="shared" si="11"/>
        <v>516096738.36638033</v>
      </c>
      <c r="AM17" s="27">
        <f t="shared" si="11"/>
        <v>370136564.05145079</v>
      </c>
      <c r="AN17" s="27">
        <f t="shared" si="11"/>
        <v>129817609.17336202</v>
      </c>
      <c r="AO17" s="27">
        <f t="shared" si="11"/>
        <v>444884391.43589419</v>
      </c>
      <c r="AP17" s="27">
        <f t="shared" si="11"/>
        <v>405708993.35624093</v>
      </c>
      <c r="AQ17" s="27">
        <f t="shared" si="11"/>
        <v>217516366.07880697</v>
      </c>
      <c r="AR17" s="27" t="e">
        <f t="shared" si="11"/>
        <v>#DIV/0!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16.026122093811313</v>
      </c>
      <c r="C18" s="57">
        <f t="shared" ref="C18:D18" si="13">C17/C4*100</f>
        <v>13.291226037751457</v>
      </c>
      <c r="D18" s="57">
        <f t="shared" si="13"/>
        <v>10.446304130914557</v>
      </c>
      <c r="E18" s="57">
        <f>E17/E4</f>
        <v>0.1283358430942845</v>
      </c>
      <c r="F18" s="57">
        <f t="shared" ref="F18:BQ18" si="14">F17/F4</f>
        <v>0.13549059275471037</v>
      </c>
      <c r="G18" s="57">
        <f t="shared" si="14"/>
        <v>0.13729368511024265</v>
      </c>
      <c r="H18" s="57">
        <f t="shared" si="14"/>
        <v>0.11315462698640245</v>
      </c>
      <c r="I18" s="57">
        <f t="shared" si="14"/>
        <v>0.14053197286722197</v>
      </c>
      <c r="J18" s="57">
        <f t="shared" si="14"/>
        <v>0.15007768821410658</v>
      </c>
      <c r="K18" s="57">
        <f t="shared" si="14"/>
        <v>0.15239209362499706</v>
      </c>
      <c r="L18" s="57">
        <f t="shared" si="14"/>
        <v>0.14903055549329267</v>
      </c>
      <c r="M18" s="57">
        <f t="shared" si="14"/>
        <v>0.15719840493517859</v>
      </c>
      <c r="N18" s="57">
        <f t="shared" si="14"/>
        <v>0.15674762780662416</v>
      </c>
      <c r="O18" s="57">
        <f t="shared" si="14"/>
        <v>0.15654188360183255</v>
      </c>
      <c r="P18" s="57">
        <f t="shared" si="14"/>
        <v>0.15541099419015905</v>
      </c>
      <c r="Q18" s="57">
        <f t="shared" si="14"/>
        <v>0.15708300523322624</v>
      </c>
      <c r="R18" s="57">
        <f t="shared" si="14"/>
        <v>0.15675862838769175</v>
      </c>
      <c r="S18" s="57">
        <f t="shared" si="14"/>
        <v>0.15280369932556942</v>
      </c>
      <c r="T18" s="57">
        <f t="shared" si="14"/>
        <v>0.13737041730391211</v>
      </c>
      <c r="U18" s="57">
        <f t="shared" si="14"/>
        <v>0.14243596857984628</v>
      </c>
      <c r="V18" s="57">
        <f t="shared" si="14"/>
        <v>0.14164154811684393</v>
      </c>
      <c r="W18" s="57">
        <f t="shared" si="14"/>
        <v>0.13448286483472346</v>
      </c>
      <c r="X18" s="57">
        <f t="shared" si="14"/>
        <v>0.12007220303318882</v>
      </c>
      <c r="Y18" s="57">
        <f t="shared" si="14"/>
        <v>0.12872427396673408</v>
      </c>
      <c r="Z18" s="57">
        <f t="shared" si="14"/>
        <v>0.12893048545087207</v>
      </c>
      <c r="AA18" s="57">
        <f t="shared" si="14"/>
        <v>0.11736881577192496</v>
      </c>
      <c r="AB18" s="57">
        <f t="shared" si="14"/>
        <v>0.10393122906339794</v>
      </c>
      <c r="AC18" s="57">
        <f t="shared" si="14"/>
        <v>0.10246312010885836</v>
      </c>
      <c r="AD18" s="57">
        <f t="shared" si="14"/>
        <v>0.1004299712635271</v>
      </c>
      <c r="AE18" s="57">
        <f t="shared" si="14"/>
        <v>9.853034201337596E-2</v>
      </c>
      <c r="AF18" s="57">
        <f t="shared" si="14"/>
        <v>8.7603344291571697E-2</v>
      </c>
      <c r="AG18" s="57">
        <f t="shared" si="14"/>
        <v>0.1076992955015718</v>
      </c>
      <c r="AH18" s="57">
        <f t="shared" si="14"/>
        <v>0.1279664548601433</v>
      </c>
      <c r="AI18" s="57">
        <f t="shared" si="14"/>
        <v>0.14040859733400649</v>
      </c>
      <c r="AJ18" s="57">
        <f t="shared" si="14"/>
        <v>0.14154508630167295</v>
      </c>
      <c r="AK18" s="57">
        <f t="shared" si="14"/>
        <v>0.11807808402087222</v>
      </c>
      <c r="AL18" s="57">
        <f t="shared" si="14"/>
        <v>0.14627145558080723</v>
      </c>
      <c r="AM18" s="57">
        <f t="shared" si="14"/>
        <v>0.17628579600666816</v>
      </c>
      <c r="AN18" s="57">
        <f t="shared" si="14"/>
        <v>0.14855821059149207</v>
      </c>
      <c r="AO18" s="57">
        <f t="shared" si="14"/>
        <v>0.1001519684250133</v>
      </c>
      <c r="AP18" s="57">
        <f t="shared" si="14"/>
        <v>9.6948054413628915E-2</v>
      </c>
      <c r="AQ18" s="57">
        <f t="shared" si="14"/>
        <v>6.4408090158781781E-2</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137934664.63999999</v>
      </c>
      <c r="C20" s="190">
        <v>95463404.609999999</v>
      </c>
      <c r="D20" s="190">
        <v>21695492.899999999</v>
      </c>
      <c r="E20" s="190">
        <v>98375119.810000002</v>
      </c>
      <c r="F20" s="190">
        <v>78114405.870000005</v>
      </c>
      <c r="G20" s="190">
        <v>10832281.039999999</v>
      </c>
      <c r="H20" s="190">
        <v>20819311.460000001</v>
      </c>
      <c r="I20" s="190">
        <v>73867224.670000002</v>
      </c>
      <c r="J20" s="190">
        <v>5558083.9699999997</v>
      </c>
      <c r="K20" s="190">
        <v>3755394.29</v>
      </c>
      <c r="L20" s="190">
        <v>1977960.73</v>
      </c>
      <c r="M20" s="190">
        <v>6374373.0099999998</v>
      </c>
      <c r="N20" s="190">
        <v>5876433.9199999999</v>
      </c>
      <c r="O20" s="190">
        <v>4730197.6399999997</v>
      </c>
      <c r="P20" s="190">
        <v>1522955.77</v>
      </c>
      <c r="Q20" s="190">
        <v>8084118.1200000001</v>
      </c>
      <c r="R20" s="190">
        <v>5858555.4000000004</v>
      </c>
      <c r="S20" s="190">
        <v>3772845.07</v>
      </c>
      <c r="T20" s="190">
        <v>1993749.5</v>
      </c>
      <c r="U20" s="190">
        <v>8996883.6500000004</v>
      </c>
      <c r="V20" s="190">
        <v>6354691.4299999997</v>
      </c>
      <c r="W20" s="190">
        <v>3202064.88</v>
      </c>
      <c r="X20" s="190">
        <v>186760.31</v>
      </c>
      <c r="Y20" s="190">
        <v>1586580.79</v>
      </c>
      <c r="Z20" s="190">
        <v>1252824.55</v>
      </c>
      <c r="AA20" s="190">
        <v>537005.15</v>
      </c>
      <c r="AB20" s="190">
        <v>-184433.23</v>
      </c>
      <c r="AC20" s="190">
        <v>1413437.28</v>
      </c>
      <c r="AD20" s="190">
        <v>296125.76</v>
      </c>
      <c r="AE20" s="190">
        <v>133281.18</v>
      </c>
      <c r="AF20" s="190">
        <v>-741821.33</v>
      </c>
      <c r="AG20" s="190">
        <v>1674132.64</v>
      </c>
      <c r="AH20" s="190">
        <v>1368964.67</v>
      </c>
      <c r="AI20" s="190">
        <v>-50258.03</v>
      </c>
      <c r="AJ20" s="190">
        <v>-366046.36</v>
      </c>
      <c r="AK20" s="190">
        <v>-998552.2</v>
      </c>
      <c r="AL20" s="190">
        <v>-476540.05</v>
      </c>
      <c r="AM20" s="190">
        <v>-379863.71</v>
      </c>
      <c r="AN20" s="190">
        <v>-550976.51</v>
      </c>
      <c r="AO20" s="190">
        <v>4646892.58</v>
      </c>
      <c r="AP20" s="190">
        <v>-8814265.8200000003</v>
      </c>
      <c r="AQ20" s="190">
        <v>-5503336.3899999997</v>
      </c>
      <c r="AR20" s="190">
        <v>0</v>
      </c>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-33564768.689999998</v>
      </c>
      <c r="C22" s="190">
        <v>-10790835.449999999</v>
      </c>
      <c r="D22" s="190">
        <v>1941248.63</v>
      </c>
      <c r="E22" s="190">
        <v>787969.38</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72180.490000000005</v>
      </c>
      <c r="Z22" s="190">
        <v>0</v>
      </c>
      <c r="AA22" s="190">
        <v>0</v>
      </c>
      <c r="AB22" s="190">
        <v>0</v>
      </c>
      <c r="AC22" s="190">
        <v>0</v>
      </c>
      <c r="AD22" s="190">
        <v>0</v>
      </c>
      <c r="AE22" s="190">
        <v>0</v>
      </c>
      <c r="AF22" s="190">
        <v>0</v>
      </c>
      <c r="AG22" s="190">
        <v>0</v>
      </c>
      <c r="AH22" s="190">
        <v>0</v>
      </c>
      <c r="AI22" s="190">
        <v>0</v>
      </c>
      <c r="AJ22" s="190">
        <v>0</v>
      </c>
      <c r="AK22" s="190">
        <v>52500</v>
      </c>
      <c r="AL22" s="190">
        <v>0</v>
      </c>
      <c r="AM22" s="190">
        <v>0</v>
      </c>
      <c r="AN22" s="190">
        <v>0</v>
      </c>
      <c r="AO22" s="190">
        <v>-52500</v>
      </c>
      <c r="AP22" s="190">
        <v>140750</v>
      </c>
      <c r="AQ22" s="190">
        <v>-96500</v>
      </c>
      <c r="AR22" s="190">
        <v>0</v>
      </c>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151993742.21000001</v>
      </c>
      <c r="F23" s="29">
        <f t="shared" si="16"/>
        <v>34414</v>
      </c>
      <c r="G23" s="29">
        <f t="shared" si="16"/>
        <v>23309</v>
      </c>
      <c r="H23" s="29">
        <f t="shared" si="16"/>
        <v>16814</v>
      </c>
      <c r="I23" s="29">
        <f t="shared" si="16"/>
        <v>46452041.509999998</v>
      </c>
      <c r="J23" s="29">
        <f t="shared" si="16"/>
        <v>0</v>
      </c>
      <c r="K23" s="29">
        <f t="shared" si="16"/>
        <v>0</v>
      </c>
      <c r="L23" s="29">
        <f t="shared" si="16"/>
        <v>0</v>
      </c>
      <c r="M23" s="29">
        <f t="shared" si="16"/>
        <v>24891470.260000002</v>
      </c>
      <c r="N23" s="29">
        <f t="shared" si="16"/>
        <v>0</v>
      </c>
      <c r="O23" s="29">
        <f t="shared" si="16"/>
        <v>0</v>
      </c>
      <c r="P23" s="29">
        <f t="shared" si="16"/>
        <v>0</v>
      </c>
      <c r="Q23" s="29">
        <f t="shared" si="16"/>
        <v>32547157.25</v>
      </c>
      <c r="R23" s="29">
        <f t="shared" si="16"/>
        <v>0</v>
      </c>
      <c r="S23" s="29">
        <f t="shared" si="16"/>
        <v>0</v>
      </c>
      <c r="T23" s="29">
        <f t="shared" si="16"/>
        <v>0</v>
      </c>
      <c r="U23" s="29">
        <f t="shared" si="16"/>
        <v>71700972.709999993</v>
      </c>
      <c r="V23" s="29">
        <f t="shared" si="16"/>
        <v>0</v>
      </c>
      <c r="W23" s="29">
        <f t="shared" si="16"/>
        <v>0</v>
      </c>
      <c r="X23" s="29">
        <f t="shared" si="16"/>
        <v>0</v>
      </c>
      <c r="Y23" s="29">
        <f t="shared" si="16"/>
        <v>110527384.40000001</v>
      </c>
      <c r="Z23" s="29">
        <f t="shared" si="16"/>
        <v>0</v>
      </c>
      <c r="AA23" s="29">
        <f t="shared" si="16"/>
        <v>0</v>
      </c>
      <c r="AB23" s="29">
        <f t="shared" si="16"/>
        <v>0</v>
      </c>
      <c r="AC23" s="29">
        <f t="shared" si="16"/>
        <v>121689777.72</v>
      </c>
      <c r="AD23" s="29">
        <f t="shared" si="16"/>
        <v>0</v>
      </c>
      <c r="AE23" s="29">
        <f t="shared" si="16"/>
        <v>0</v>
      </c>
      <c r="AF23" s="29">
        <f t="shared" si="16"/>
        <v>0</v>
      </c>
      <c r="AG23" s="29">
        <f t="shared" si="16"/>
        <v>31282323.690000001</v>
      </c>
      <c r="AH23" s="29">
        <f t="shared" si="16"/>
        <v>0</v>
      </c>
      <c r="AI23" s="29">
        <f t="shared" si="16"/>
        <v>0</v>
      </c>
      <c r="AJ23" s="29">
        <f t="shared" si="16"/>
        <v>0</v>
      </c>
      <c r="AK23" s="29">
        <f t="shared" si="16"/>
        <v>8263236.6200000001</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420999299.78999996</v>
      </c>
      <c r="C24" s="26">
        <f t="shared" ref="C24:BN24" si="18">C67</f>
        <v>325994916.37</v>
      </c>
      <c r="D24" s="26">
        <f t="shared" si="18"/>
        <v>214030695.94999999</v>
      </c>
      <c r="E24" s="26">
        <f>E67</f>
        <v>115647496.44999999</v>
      </c>
      <c r="F24" s="26">
        <f t="shared" si="18"/>
        <v>32533281.819999993</v>
      </c>
      <c r="G24" s="26">
        <f t="shared" si="18"/>
        <v>70202263.800000012</v>
      </c>
      <c r="H24" s="26">
        <f t="shared" si="18"/>
        <v>19224354.810000002</v>
      </c>
      <c r="I24" s="26">
        <f t="shared" si="18"/>
        <v>84459880.450000003</v>
      </c>
      <c r="J24" s="26">
        <f t="shared" si="18"/>
        <v>26733817.07</v>
      </c>
      <c r="K24" s="26">
        <f t="shared" si="18"/>
        <v>16815458.640000001</v>
      </c>
      <c r="L24" s="26">
        <f t="shared" si="18"/>
        <v>8717356.2400000002</v>
      </c>
      <c r="M24" s="26">
        <f t="shared" si="18"/>
        <v>53330615.450000003</v>
      </c>
      <c r="N24" s="26">
        <f t="shared" si="18"/>
        <v>45012296.659999996</v>
      </c>
      <c r="O24" s="26">
        <f t="shared" si="18"/>
        <v>26777372.43</v>
      </c>
      <c r="P24" s="26">
        <f t="shared" si="18"/>
        <v>12974775.77</v>
      </c>
      <c r="Q24" s="26">
        <f t="shared" si="18"/>
        <v>51475974.900000006</v>
      </c>
      <c r="R24" s="26">
        <f t="shared" si="18"/>
        <v>45017380.910000004</v>
      </c>
      <c r="S24" s="26">
        <f t="shared" si="18"/>
        <v>20504884.919999998</v>
      </c>
      <c r="T24" s="26">
        <f t="shared" si="18"/>
        <v>10784405.470000001</v>
      </c>
      <c r="U24" s="26">
        <f t="shared" si="18"/>
        <v>32548618.57</v>
      </c>
      <c r="V24" s="26">
        <f t="shared" si="18"/>
        <v>26639430.66</v>
      </c>
      <c r="W24" s="26">
        <f t="shared" si="18"/>
        <v>12906520.559999999</v>
      </c>
      <c r="X24" s="26">
        <f t="shared" si="18"/>
        <v>4726027.4000000004</v>
      </c>
      <c r="Y24" s="26">
        <f t="shared" si="18"/>
        <v>25711306.030000001</v>
      </c>
      <c r="Z24" s="26">
        <f t="shared" si="18"/>
        <v>2217782.4699999997</v>
      </c>
      <c r="AA24" s="26">
        <f t="shared" si="18"/>
        <v>3129375</v>
      </c>
      <c r="AB24" s="26">
        <f t="shared" si="18"/>
        <v>3129375</v>
      </c>
      <c r="AC24" s="26">
        <f t="shared" si="18"/>
        <v>3129375</v>
      </c>
      <c r="AD24" s="26">
        <f t="shared" si="18"/>
        <v>3129375</v>
      </c>
      <c r="AE24" s="26">
        <f t="shared" si="18"/>
        <v>0</v>
      </c>
      <c r="AF24" s="26">
        <f t="shared" si="18"/>
        <v>0</v>
      </c>
      <c r="AG24" s="26">
        <f t="shared" si="18"/>
        <v>750000.00000000023</v>
      </c>
      <c r="AH24" s="26">
        <f t="shared" si="18"/>
        <v>0</v>
      </c>
      <c r="AI24" s="26">
        <f t="shared" si="18"/>
        <v>0</v>
      </c>
      <c r="AJ24" s="26">
        <f t="shared" si="18"/>
        <v>0</v>
      </c>
      <c r="AK24" s="26">
        <f t="shared" si="18"/>
        <v>477868.81999999995</v>
      </c>
      <c r="AL24" s="26">
        <f t="shared" si="18"/>
        <v>0</v>
      </c>
      <c r="AM24" s="26">
        <f t="shared" si="18"/>
        <v>1928954.2</v>
      </c>
      <c r="AN24" s="26">
        <f t="shared" si="18"/>
        <v>0</v>
      </c>
      <c r="AO24" s="26">
        <f t="shared" si="18"/>
        <v>484588.28000000026</v>
      </c>
      <c r="AP24" s="26">
        <f t="shared" si="18"/>
        <v>1202682.9700000007</v>
      </c>
      <c r="AQ24" s="26">
        <f t="shared" si="18"/>
        <v>45349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-67192203.189999998</v>
      </c>
      <c r="F25" s="29">
        <f t="shared" si="20"/>
        <v>-2684</v>
      </c>
      <c r="G25" s="29">
        <f t="shared" si="20"/>
        <v>377</v>
      </c>
      <c r="H25" s="29">
        <f t="shared" si="20"/>
        <v>-1008</v>
      </c>
      <c r="I25" s="29">
        <f t="shared" si="20"/>
        <v>98291468.900000006</v>
      </c>
      <c r="J25" s="29">
        <f t="shared" si="20"/>
        <v>0</v>
      </c>
      <c r="K25" s="29">
        <f t="shared" si="20"/>
        <v>0</v>
      </c>
      <c r="L25" s="29">
        <f t="shared" si="20"/>
        <v>0</v>
      </c>
      <c r="M25" s="29">
        <f t="shared" si="20"/>
        <v>2352081.42</v>
      </c>
      <c r="N25" s="29">
        <f t="shared" si="20"/>
        <v>0</v>
      </c>
      <c r="O25" s="29">
        <f t="shared" si="20"/>
        <v>0</v>
      </c>
      <c r="P25" s="29">
        <f t="shared" si="20"/>
        <v>0</v>
      </c>
      <c r="Q25" s="29">
        <f t="shared" si="20"/>
        <v>-31965326.719999999</v>
      </c>
      <c r="R25" s="29">
        <f t="shared" si="20"/>
        <v>0</v>
      </c>
      <c r="S25" s="29">
        <f t="shared" si="20"/>
        <v>0</v>
      </c>
      <c r="T25" s="29">
        <f t="shared" si="20"/>
        <v>0</v>
      </c>
      <c r="U25" s="29">
        <f t="shared" si="20"/>
        <v>-17557355.59</v>
      </c>
      <c r="V25" s="29">
        <f t="shared" si="20"/>
        <v>0</v>
      </c>
      <c r="W25" s="29">
        <f t="shared" si="20"/>
        <v>0</v>
      </c>
      <c r="X25" s="29">
        <f t="shared" si="20"/>
        <v>0</v>
      </c>
      <c r="Y25" s="29">
        <f t="shared" si="20"/>
        <v>-762217.72</v>
      </c>
      <c r="Z25" s="29">
        <f t="shared" si="20"/>
        <v>0</v>
      </c>
      <c r="AA25" s="29">
        <f t="shared" si="20"/>
        <v>0</v>
      </c>
      <c r="AB25" s="29">
        <f t="shared" si="20"/>
        <v>0</v>
      </c>
      <c r="AC25" s="29">
        <f t="shared" si="20"/>
        <v>-14655206.18</v>
      </c>
      <c r="AD25" s="29">
        <f t="shared" si="20"/>
        <v>0</v>
      </c>
      <c r="AE25" s="29">
        <f t="shared" si="20"/>
        <v>0</v>
      </c>
      <c r="AF25" s="29">
        <f t="shared" si="20"/>
        <v>0</v>
      </c>
      <c r="AG25" s="29">
        <f t="shared" si="20"/>
        <v>-9814598.6999999993</v>
      </c>
      <c r="AH25" s="29">
        <f t="shared" si="20"/>
        <v>0</v>
      </c>
      <c r="AI25" s="29">
        <f t="shared" si="20"/>
        <v>0</v>
      </c>
      <c r="AJ25" s="29">
        <f t="shared" si="20"/>
        <v>0</v>
      </c>
      <c r="AK25" s="29">
        <f t="shared" si="20"/>
        <v>-466280.76</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-132043141.7</v>
      </c>
      <c r="C26" s="190">
        <v>-104871174.27</v>
      </c>
      <c r="D26" s="190">
        <v>-68483825.799999997</v>
      </c>
      <c r="E26" s="190">
        <v>-49271357.090000004</v>
      </c>
      <c r="F26" s="190">
        <v>-48636052.399999999</v>
      </c>
      <c r="G26" s="190">
        <v>-37127319.329999998</v>
      </c>
      <c r="H26" s="190">
        <v>753145.15</v>
      </c>
      <c r="I26" s="190">
        <v>-11609784.609999999</v>
      </c>
      <c r="J26" s="190">
        <v>-6774262.7699999996</v>
      </c>
      <c r="K26" s="190">
        <v>-5048186.71</v>
      </c>
      <c r="L26" s="190">
        <v>-5993432.46</v>
      </c>
      <c r="M26" s="190">
        <v>9182737.1699999999</v>
      </c>
      <c r="N26" s="190">
        <v>-140331.35</v>
      </c>
      <c r="O26" s="190">
        <v>-2103566.87</v>
      </c>
      <c r="P26" s="190">
        <v>-1531440.83</v>
      </c>
      <c r="Q26" s="190">
        <v>-1727122.47</v>
      </c>
      <c r="R26" s="190">
        <v>253528.69</v>
      </c>
      <c r="S26" s="190">
        <v>-1283521.82</v>
      </c>
      <c r="T26" s="190">
        <v>695573.35</v>
      </c>
      <c r="U26" s="190">
        <v>337191.13</v>
      </c>
      <c r="V26" s="190">
        <v>-2497684.8199999998</v>
      </c>
      <c r="W26" s="190">
        <v>-1417637.6</v>
      </c>
      <c r="X26" s="190">
        <v>26749.79</v>
      </c>
      <c r="Y26" s="190">
        <v>-1027826.42</v>
      </c>
      <c r="Z26" s="190">
        <v>-1143058.99</v>
      </c>
      <c r="AA26" s="190">
        <v>-512827.36</v>
      </c>
      <c r="AB26" s="190">
        <v>-260050.55</v>
      </c>
      <c r="AC26" s="190">
        <v>-558699.13</v>
      </c>
      <c r="AD26" s="190">
        <v>-520921.59999999998</v>
      </c>
      <c r="AE26" s="190">
        <v>35168.6</v>
      </c>
      <c r="AF26" s="190">
        <v>-1612.29</v>
      </c>
      <c r="AG26" s="190">
        <v>2643464.11</v>
      </c>
      <c r="AH26" s="190">
        <v>2750000</v>
      </c>
      <c r="AI26" s="190">
        <v>2750000</v>
      </c>
      <c r="AJ26" s="190">
        <v>2750000</v>
      </c>
      <c r="AK26" s="190">
        <v>0</v>
      </c>
      <c r="AL26" s="190">
        <v>0</v>
      </c>
      <c r="AM26" s="190">
        <v>0</v>
      </c>
      <c r="AN26" s="190">
        <v>0</v>
      </c>
      <c r="AO26" s="190">
        <v>0</v>
      </c>
      <c r="AP26" s="190">
        <v>0</v>
      </c>
      <c r="AQ26" s="190">
        <v>0</v>
      </c>
      <c r="AR26" s="190">
        <v>0</v>
      </c>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255413921.39999998</v>
      </c>
      <c r="C27" s="26">
        <f t="shared" ref="C27:BN27" si="22">SUM(C22:C26)</f>
        <v>210362048.65000004</v>
      </c>
      <c r="D27" s="26">
        <f t="shared" si="22"/>
        <v>147523775.77999997</v>
      </c>
      <c r="E27" s="26">
        <f t="shared" si="22"/>
        <v>151965647.75999999</v>
      </c>
      <c r="F27" s="26">
        <f t="shared" si="22"/>
        <v>-16071040.580000006</v>
      </c>
      <c r="G27" s="26">
        <f t="shared" si="22"/>
        <v>33098630.470000014</v>
      </c>
      <c r="H27" s="26">
        <f t="shared" si="22"/>
        <v>19993305.960000001</v>
      </c>
      <c r="I27" s="26">
        <f t="shared" si="22"/>
        <v>217593606.25</v>
      </c>
      <c r="J27" s="26">
        <f t="shared" si="22"/>
        <v>19959554.300000001</v>
      </c>
      <c r="K27" s="26">
        <f t="shared" si="22"/>
        <v>11767271.93</v>
      </c>
      <c r="L27" s="26">
        <f t="shared" si="22"/>
        <v>2723923.7800000003</v>
      </c>
      <c r="M27" s="26">
        <f t="shared" si="22"/>
        <v>89756904.300000012</v>
      </c>
      <c r="N27" s="26">
        <f t="shared" si="22"/>
        <v>44871965.309999995</v>
      </c>
      <c r="O27" s="26">
        <f t="shared" si="22"/>
        <v>24673805.559999999</v>
      </c>
      <c r="P27" s="26">
        <f t="shared" si="22"/>
        <v>11443334.939999999</v>
      </c>
      <c r="Q27" s="26">
        <f t="shared" si="22"/>
        <v>50330682.960000008</v>
      </c>
      <c r="R27" s="26">
        <f t="shared" si="22"/>
        <v>45270909.600000001</v>
      </c>
      <c r="S27" s="26">
        <f t="shared" si="22"/>
        <v>19221363.099999998</v>
      </c>
      <c r="T27" s="26">
        <f t="shared" si="22"/>
        <v>11479978.82</v>
      </c>
      <c r="U27" s="26">
        <f t="shared" si="22"/>
        <v>87029426.819999993</v>
      </c>
      <c r="V27" s="26">
        <f t="shared" si="22"/>
        <v>24141745.84</v>
      </c>
      <c r="W27" s="26">
        <f t="shared" si="22"/>
        <v>11488882.959999999</v>
      </c>
      <c r="X27" s="26">
        <f t="shared" si="22"/>
        <v>4752777.1900000004</v>
      </c>
      <c r="Y27" s="26">
        <f t="shared" si="22"/>
        <v>134520826.78000003</v>
      </c>
      <c r="Z27" s="26">
        <f t="shared" si="22"/>
        <v>1074723.4799999997</v>
      </c>
      <c r="AA27" s="26">
        <f t="shared" si="22"/>
        <v>2616547.64</v>
      </c>
      <c r="AB27" s="26">
        <f t="shared" si="22"/>
        <v>2869324.45</v>
      </c>
      <c r="AC27" s="26">
        <f t="shared" si="22"/>
        <v>109605247.41</v>
      </c>
      <c r="AD27" s="26">
        <f t="shared" si="22"/>
        <v>2608453.4</v>
      </c>
      <c r="AE27" s="26">
        <f t="shared" si="22"/>
        <v>35168.6</v>
      </c>
      <c r="AF27" s="26">
        <f t="shared" si="22"/>
        <v>-1612.29</v>
      </c>
      <c r="AG27" s="26">
        <f t="shared" si="22"/>
        <v>24861189.100000001</v>
      </c>
      <c r="AH27" s="26">
        <f t="shared" si="22"/>
        <v>2750000</v>
      </c>
      <c r="AI27" s="26">
        <f t="shared" si="22"/>
        <v>2750000</v>
      </c>
      <c r="AJ27" s="26">
        <f t="shared" si="22"/>
        <v>2750000</v>
      </c>
      <c r="AK27" s="26">
        <f t="shared" si="22"/>
        <v>8327324.6799999997</v>
      </c>
      <c r="AL27" s="26">
        <f t="shared" si="22"/>
        <v>0</v>
      </c>
      <c r="AM27" s="26">
        <f t="shared" si="22"/>
        <v>1928954.2</v>
      </c>
      <c r="AN27" s="26">
        <f t="shared" si="22"/>
        <v>0</v>
      </c>
      <c r="AO27" s="26">
        <f t="shared" si="22"/>
        <v>432088.28000000026</v>
      </c>
      <c r="AP27" s="26">
        <f t="shared" si="22"/>
        <v>1343432.9700000007</v>
      </c>
      <c r="AQ27" s="26">
        <f t="shared" si="22"/>
        <v>-51151</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41611069.0185894</v>
      </c>
      <c r="C28" s="26">
        <f t="shared" ref="C28:BN28" si="24">SUM(C22:C25)*C41</f>
        <v>40017062.526876949</v>
      </c>
      <c r="D28" s="26">
        <f t="shared" si="24"/>
        <v>32671224.326024909</v>
      </c>
      <c r="E28" s="26">
        <f t="shared" si="24"/>
        <v>26295824.177458461</v>
      </c>
      <c r="F28" s="26">
        <f t="shared" si="24"/>
        <v>4267140.1766760657</v>
      </c>
      <c r="G28" s="26">
        <f t="shared" si="24"/>
        <v>9736075.6032438446</v>
      </c>
      <c r="H28" s="26">
        <f t="shared" si="24"/>
        <v>3131622.7584817796</v>
      </c>
      <c r="I28" s="26">
        <f t="shared" si="24"/>
        <v>30812765.52910661</v>
      </c>
      <c r="J28" s="26">
        <f t="shared" si="24"/>
        <v>3930115.2387338644</v>
      </c>
      <c r="K28" s="26">
        <f t="shared" si="24"/>
        <v>2388903.5048828162</v>
      </c>
      <c r="L28" s="26">
        <f t="shared" si="24"/>
        <v>1312142.5657101395</v>
      </c>
      <c r="M28" s="26">
        <f t="shared" si="24"/>
        <v>11866913.328352343</v>
      </c>
      <c r="N28" s="26">
        <f t="shared" si="24"/>
        <v>6660323.0077835126</v>
      </c>
      <c r="O28" s="26">
        <f t="shared" si="24"/>
        <v>4009955.102449656</v>
      </c>
      <c r="P28" s="26">
        <f t="shared" si="24"/>
        <v>2022207.4972626122</v>
      </c>
      <c r="Q28" s="26">
        <f t="shared" si="24"/>
        <v>8124688.0550535051</v>
      </c>
      <c r="R28" s="26">
        <f t="shared" si="24"/>
        <v>6940688.1272708587</v>
      </c>
      <c r="S28" s="26">
        <f t="shared" si="24"/>
        <v>3111557.3031227537</v>
      </c>
      <c r="T28" s="26">
        <f t="shared" si="24"/>
        <v>1647507.1802852075</v>
      </c>
      <c r="U28" s="26">
        <f t="shared" si="24"/>
        <v>13595201.111343892</v>
      </c>
      <c r="V28" s="26">
        <f t="shared" si="24"/>
        <v>4358198.3440570952</v>
      </c>
      <c r="W28" s="26">
        <f t="shared" si="24"/>
        <v>2128988.993979753</v>
      </c>
      <c r="X28" s="26">
        <f t="shared" si="24"/>
        <v>809302.03206019278</v>
      </c>
      <c r="Y28" s="26">
        <f t="shared" si="24"/>
        <v>21911873.629072551</v>
      </c>
      <c r="Z28" s="26">
        <f t="shared" si="24"/>
        <v>367761.97375759692</v>
      </c>
      <c r="AA28" s="26">
        <f t="shared" si="24"/>
        <v>549340.72882519499</v>
      </c>
      <c r="AB28" s="26">
        <f t="shared" si="24"/>
        <v>544963.77421645215</v>
      </c>
      <c r="AC28" s="26">
        <f t="shared" si="24"/>
        <v>17480108.256579515</v>
      </c>
      <c r="AD28" s="26">
        <f t="shared" si="24"/>
        <v>487394.22322364431</v>
      </c>
      <c r="AE28" s="26">
        <f t="shared" si="24"/>
        <v>0</v>
      </c>
      <c r="AF28" s="26">
        <f t="shared" si="24"/>
        <v>0</v>
      </c>
      <c r="AG28" s="26">
        <f t="shared" si="24"/>
        <v>3665413.5524429441</v>
      </c>
      <c r="AH28" s="26">
        <f t="shared" si="24"/>
        <v>0</v>
      </c>
      <c r="AI28" s="26">
        <f t="shared" si="24"/>
        <v>0</v>
      </c>
      <c r="AJ28" s="26">
        <f t="shared" si="24"/>
        <v>0</v>
      </c>
      <c r="AK28" s="26">
        <f t="shared" si="24"/>
        <v>1425631.24226219</v>
      </c>
      <c r="AL28" s="26">
        <f t="shared" si="24"/>
        <v>0</v>
      </c>
      <c r="AM28" s="26">
        <f t="shared" si="24"/>
        <v>346779.33557708323</v>
      </c>
      <c r="AN28" s="26">
        <f t="shared" si="24"/>
        <v>0</v>
      </c>
      <c r="AO28" s="26">
        <f t="shared" si="24"/>
        <v>102286.00510955471</v>
      </c>
      <c r="AP28" s="26">
        <f t="shared" si="24"/>
        <v>425416.84333326743</v>
      </c>
      <c r="AQ28" s="26">
        <f t="shared" si="24"/>
        <v>-15253.44241527297</v>
      </c>
      <c r="AR28" s="26" t="e">
        <f t="shared" si="24"/>
        <v>#DIV/0!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213802852.38141057</v>
      </c>
      <c r="C29" s="28">
        <f t="shared" ref="C29:BN29" si="26">C27-C28</f>
        <v>170344986.12312308</v>
      </c>
      <c r="D29" s="28">
        <f t="shared" si="26"/>
        <v>114852551.45397507</v>
      </c>
      <c r="E29" s="28">
        <f t="shared" si="26"/>
        <v>125669823.58254153</v>
      </c>
      <c r="F29" s="28">
        <f t="shared" si="26"/>
        <v>-20338180.75667607</v>
      </c>
      <c r="G29" s="28">
        <f t="shared" si="26"/>
        <v>23362554.866756171</v>
      </c>
      <c r="H29" s="28">
        <f t="shared" si="26"/>
        <v>16861683.201518223</v>
      </c>
      <c r="I29" s="28">
        <f t="shared" si="26"/>
        <v>186780840.72089338</v>
      </c>
      <c r="J29" s="28">
        <f t="shared" si="26"/>
        <v>16029439.061266135</v>
      </c>
      <c r="K29" s="28">
        <f t="shared" si="26"/>
        <v>9378368.4251171835</v>
      </c>
      <c r="L29" s="28">
        <f t="shared" si="26"/>
        <v>1411781.2142898608</v>
      </c>
      <c r="M29" s="28">
        <f t="shared" si="26"/>
        <v>77889990.971647665</v>
      </c>
      <c r="N29" s="28">
        <f t="shared" si="26"/>
        <v>38211642.302216485</v>
      </c>
      <c r="O29" s="28">
        <f t="shared" si="26"/>
        <v>20663850.457550343</v>
      </c>
      <c r="P29" s="28">
        <f t="shared" si="26"/>
        <v>9421127.4427373875</v>
      </c>
      <c r="Q29" s="28">
        <f t="shared" si="26"/>
        <v>42205994.904946506</v>
      </c>
      <c r="R29" s="28">
        <f t="shared" si="26"/>
        <v>38330221.472729146</v>
      </c>
      <c r="S29" s="28">
        <f t="shared" si="26"/>
        <v>16109805.796877244</v>
      </c>
      <c r="T29" s="28">
        <f t="shared" si="26"/>
        <v>9832471.6397147924</v>
      </c>
      <c r="U29" s="28">
        <f t="shared" si="26"/>
        <v>73434225.708656102</v>
      </c>
      <c r="V29" s="28">
        <f t="shared" si="26"/>
        <v>19783547.495942906</v>
      </c>
      <c r="W29" s="28">
        <f t="shared" si="26"/>
        <v>9359893.9660202451</v>
      </c>
      <c r="X29" s="28">
        <f t="shared" si="26"/>
        <v>3943475.1579398075</v>
      </c>
      <c r="Y29" s="28">
        <f t="shared" si="26"/>
        <v>112608953.15092748</v>
      </c>
      <c r="Z29" s="28">
        <f t="shared" si="26"/>
        <v>706961.50624240283</v>
      </c>
      <c r="AA29" s="28">
        <f t="shared" si="26"/>
        <v>2067206.9111748051</v>
      </c>
      <c r="AB29" s="28">
        <f t="shared" si="26"/>
        <v>2324360.675783548</v>
      </c>
      <c r="AC29" s="28">
        <f t="shared" si="26"/>
        <v>92125139.153420478</v>
      </c>
      <c r="AD29" s="28">
        <f t="shared" si="26"/>
        <v>2121059.1767763556</v>
      </c>
      <c r="AE29" s="28">
        <f t="shared" si="26"/>
        <v>35168.6</v>
      </c>
      <c r="AF29" s="28">
        <f t="shared" si="26"/>
        <v>-1612.29</v>
      </c>
      <c r="AG29" s="28">
        <f t="shared" si="26"/>
        <v>21195775.547557056</v>
      </c>
      <c r="AH29" s="28">
        <f t="shared" si="26"/>
        <v>2750000</v>
      </c>
      <c r="AI29" s="28">
        <f t="shared" si="26"/>
        <v>2750000</v>
      </c>
      <c r="AJ29" s="28">
        <f t="shared" si="26"/>
        <v>2750000</v>
      </c>
      <c r="AK29" s="28">
        <f t="shared" si="26"/>
        <v>6901693.4377378095</v>
      </c>
      <c r="AL29" s="28">
        <f t="shared" si="26"/>
        <v>0</v>
      </c>
      <c r="AM29" s="28">
        <f t="shared" si="26"/>
        <v>1582174.8644229167</v>
      </c>
      <c r="AN29" s="28">
        <f t="shared" si="26"/>
        <v>0</v>
      </c>
      <c r="AO29" s="28">
        <f t="shared" si="26"/>
        <v>329802.27489044552</v>
      </c>
      <c r="AP29" s="28">
        <f t="shared" si="26"/>
        <v>918016.1266667333</v>
      </c>
      <c r="AQ29" s="28">
        <f t="shared" si="26"/>
        <v>-35897.55758472703</v>
      </c>
      <c r="AR29" s="28" t="e">
        <f t="shared" si="26"/>
        <v>#DIV/0!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3824521868.3299994</v>
      </c>
      <c r="C31" s="26">
        <f t="shared" ref="C31:BN31" si="28">C15+C20+C27</f>
        <v>2117810336.3</v>
      </c>
      <c r="D31" s="26">
        <f t="shared" si="28"/>
        <v>796323025.68000042</v>
      </c>
      <c r="E31" s="26">
        <f t="shared" si="28"/>
        <v>3707239600.6900015</v>
      </c>
      <c r="F31" s="26">
        <f t="shared" si="28"/>
        <v>2546903149.6699991</v>
      </c>
      <c r="G31" s="26">
        <f t="shared" si="28"/>
        <v>1622773166.2400002</v>
      </c>
      <c r="H31" s="26">
        <f t="shared" si="28"/>
        <v>578849326.10999978</v>
      </c>
      <c r="I31" s="26">
        <f t="shared" si="28"/>
        <v>3565346188.1800008</v>
      </c>
      <c r="J31" s="26">
        <f t="shared" si="28"/>
        <v>1628110123.8599994</v>
      </c>
      <c r="K31" s="26">
        <f t="shared" si="28"/>
        <v>1015659966.2700003</v>
      </c>
      <c r="L31" s="26">
        <f t="shared" si="28"/>
        <v>422509971.74999982</v>
      </c>
      <c r="M31" s="26">
        <f t="shared" si="28"/>
        <v>2313201323.4499998</v>
      </c>
      <c r="N31" s="26">
        <f t="shared" si="28"/>
        <v>1665069573.75</v>
      </c>
      <c r="O31" s="26">
        <f t="shared" si="28"/>
        <v>1058587054.4799997</v>
      </c>
      <c r="P31" s="26">
        <f t="shared" si="28"/>
        <v>429298391.67999995</v>
      </c>
      <c r="Q31" s="26">
        <f t="shared" si="28"/>
        <v>2434815766.5099993</v>
      </c>
      <c r="R31" s="26">
        <f t="shared" si="28"/>
        <v>1776101518.6000004</v>
      </c>
      <c r="S31" s="26">
        <f t="shared" si="28"/>
        <v>1076735389.9800005</v>
      </c>
      <c r="T31" s="26">
        <f t="shared" si="28"/>
        <v>401101441.21999985</v>
      </c>
      <c r="U31" s="26">
        <f t="shared" si="28"/>
        <v>2115808083.019999</v>
      </c>
      <c r="V31" s="26">
        <f t="shared" si="28"/>
        <v>1481067556.47</v>
      </c>
      <c r="W31" s="26">
        <f t="shared" si="28"/>
        <v>886712265.21999967</v>
      </c>
      <c r="X31" s="26">
        <f t="shared" si="28"/>
        <v>304868596.12000006</v>
      </c>
      <c r="Y31" s="26">
        <f t="shared" si="28"/>
        <v>1779528645.3599994</v>
      </c>
      <c r="Z31" s="26">
        <f t="shared" si="28"/>
        <v>1202743513.4999988</v>
      </c>
      <c r="AA31" s="26">
        <f t="shared" si="28"/>
        <v>622803507.34000003</v>
      </c>
      <c r="AB31" s="26">
        <f t="shared" si="28"/>
        <v>227359086.28</v>
      </c>
      <c r="AC31" s="26">
        <f t="shared" si="28"/>
        <v>1120418411.0100002</v>
      </c>
      <c r="AD31" s="26">
        <f t="shared" si="28"/>
        <v>755508675.4399997</v>
      </c>
      <c r="AE31" s="26">
        <f t="shared" si="28"/>
        <v>473819951.38000005</v>
      </c>
      <c r="AF31" s="26">
        <f t="shared" si="28"/>
        <v>173305438.42999995</v>
      </c>
      <c r="AG31" s="26">
        <f t="shared" si="28"/>
        <v>844138729.37000012</v>
      </c>
      <c r="AH31" s="26">
        <f t="shared" si="28"/>
        <v>729766981.47000039</v>
      </c>
      <c r="AI31" s="26">
        <f t="shared" si="28"/>
        <v>487195214.59000015</v>
      </c>
      <c r="AJ31" s="26">
        <f t="shared" si="28"/>
        <v>200817864.87000006</v>
      </c>
      <c r="AK31" s="26">
        <f t="shared" si="28"/>
        <v>691394189.14999986</v>
      </c>
      <c r="AL31" s="26">
        <f t="shared" si="28"/>
        <v>619506296.64000034</v>
      </c>
      <c r="AM31" s="26">
        <f t="shared" si="28"/>
        <v>452811776.96999991</v>
      </c>
      <c r="AN31" s="26">
        <f t="shared" si="28"/>
        <v>150632265.88000003</v>
      </c>
      <c r="AO31" s="26">
        <f t="shared" si="28"/>
        <v>587941338.48999977</v>
      </c>
      <c r="AP31" s="26">
        <f t="shared" si="28"/>
        <v>586247318.79000032</v>
      </c>
      <c r="AQ31" s="26">
        <f t="shared" si="28"/>
        <v>304388037.67000014</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20.012612056427606</v>
      </c>
      <c r="C32" s="57">
        <f t="shared" ref="C32:D32" si="30">C31/C4*100</f>
        <v>17.793262587221335</v>
      </c>
      <c r="D32" s="57">
        <f t="shared" si="30"/>
        <v>15.629062427543646</v>
      </c>
      <c r="E32" s="57">
        <f>E31/E4</f>
        <v>0.15831707053021055</v>
      </c>
      <c r="F32" s="57">
        <f t="shared" ref="F32:BQ32" si="31">F31/F4</f>
        <v>0.15981485815381832</v>
      </c>
      <c r="G32" s="57">
        <f t="shared" si="31"/>
        <v>0.1638266607851821</v>
      </c>
      <c r="H32" s="57">
        <f t="shared" si="31"/>
        <v>0.14540472261575568</v>
      </c>
      <c r="I32" s="57">
        <f t="shared" si="31"/>
        <v>0.17681262550225113</v>
      </c>
      <c r="J32" s="57">
        <f t="shared" si="31"/>
        <v>0.17874439171350592</v>
      </c>
      <c r="K32" s="57">
        <f t="shared" si="31"/>
        <v>0.18038367172103881</v>
      </c>
      <c r="L32" s="57">
        <f t="shared" si="31"/>
        <v>0.17741185672268706</v>
      </c>
      <c r="M32" s="57">
        <f t="shared" si="31"/>
        <v>0.19234255794702501</v>
      </c>
      <c r="N32" s="57">
        <f t="shared" si="31"/>
        <v>0.18975222312966455</v>
      </c>
      <c r="O32" s="57">
        <f t="shared" si="31"/>
        <v>0.18937327898061956</v>
      </c>
      <c r="P32" s="57">
        <f t="shared" si="31"/>
        <v>0.18983880617804422</v>
      </c>
      <c r="Q32" s="57">
        <f t="shared" si="31"/>
        <v>0.19070822399708912</v>
      </c>
      <c r="R32" s="57">
        <f t="shared" si="31"/>
        <v>0.19082627878035402</v>
      </c>
      <c r="S32" s="57">
        <f t="shared" si="31"/>
        <v>0.18407023287060847</v>
      </c>
      <c r="T32" s="57">
        <f t="shared" si="31"/>
        <v>0.1677760783418478</v>
      </c>
      <c r="U32" s="57">
        <f t="shared" si="31"/>
        <v>0.17695870881887688</v>
      </c>
      <c r="V32" s="57">
        <f t="shared" si="31"/>
        <v>0.17290686596269714</v>
      </c>
      <c r="W32" s="57">
        <f t="shared" si="31"/>
        <v>0.16376173849599718</v>
      </c>
      <c r="X32" s="57">
        <f t="shared" si="31"/>
        <v>0.14726845810446459</v>
      </c>
      <c r="Y32" s="57">
        <f t="shared" si="31"/>
        <v>0.16626193423606631</v>
      </c>
      <c r="Z32" s="57">
        <f t="shared" si="31"/>
        <v>0.15486001065243513</v>
      </c>
      <c r="AA32" s="57">
        <f t="shared" si="31"/>
        <v>0.14308347662500145</v>
      </c>
      <c r="AB32" s="57">
        <f t="shared" si="31"/>
        <v>0.12735065233734036</v>
      </c>
      <c r="AC32" s="57">
        <f t="shared" si="31"/>
        <v>0.13518238535153701</v>
      </c>
      <c r="AD32" s="57">
        <f t="shared" si="31"/>
        <v>0.11941645422216841</v>
      </c>
      <c r="AE32" s="57">
        <f t="shared" si="31"/>
        <v>0.11839878130558941</v>
      </c>
      <c r="AF32" s="57">
        <f t="shared" si="31"/>
        <v>0.10536581861828635</v>
      </c>
      <c r="AG32" s="57">
        <f t="shared" si="31"/>
        <v>0.13316360887354403</v>
      </c>
      <c r="AH32" s="57">
        <f t="shared" si="31"/>
        <v>0.15661035323029127</v>
      </c>
      <c r="AI32" s="57">
        <f t="shared" si="31"/>
        <v>0.17147196620727267</v>
      </c>
      <c r="AJ32" s="57">
        <f t="shared" si="31"/>
        <v>0.17165390613566622</v>
      </c>
      <c r="AK32" s="57">
        <f t="shared" si="31"/>
        <v>0.1439949366224435</v>
      </c>
      <c r="AL32" s="57">
        <f t="shared" si="31"/>
        <v>0.17557965593396033</v>
      </c>
      <c r="AM32" s="57">
        <f t="shared" si="31"/>
        <v>0.21566171056057665</v>
      </c>
      <c r="AN32" s="57">
        <f t="shared" si="31"/>
        <v>0.1723776922019179</v>
      </c>
      <c r="AO32" s="57">
        <f t="shared" si="31"/>
        <v>0.13235681786488424</v>
      </c>
      <c r="AP32" s="57">
        <f t="shared" si="31"/>
        <v>0.14008941850591769</v>
      </c>
      <c r="AQ32" s="57">
        <f t="shared" si="31"/>
        <v>9.0131388855590994E-2</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3414418902.114378</v>
      </c>
      <c r="C33" s="26">
        <f t="shared" ref="C33:BN33" si="33">C17+C20+C29</f>
        <v>1847772111.3756268</v>
      </c>
      <c r="D33" s="26">
        <f t="shared" si="33"/>
        <v>668802141.56988668</v>
      </c>
      <c r="E33" s="26">
        <f t="shared" si="33"/>
        <v>3229227632.2440362</v>
      </c>
      <c r="F33" s="26">
        <f t="shared" si="33"/>
        <v>2217033639.7492876</v>
      </c>
      <c r="G33" s="26">
        <f t="shared" si="33"/>
        <v>1394147526.2887459</v>
      </c>
      <c r="H33" s="26">
        <f t="shared" si="33"/>
        <v>488144214.83075154</v>
      </c>
      <c r="I33" s="26">
        <f t="shared" si="33"/>
        <v>3094411391.7161732</v>
      </c>
      <c r="J33" s="26">
        <f t="shared" si="33"/>
        <v>1388584278.5911717</v>
      </c>
      <c r="K33" s="26">
        <f t="shared" si="33"/>
        <v>871185642.87831962</v>
      </c>
      <c r="L33" s="26">
        <f t="shared" si="33"/>
        <v>358309063.31626326</v>
      </c>
      <c r="M33" s="26">
        <f t="shared" si="33"/>
        <v>1974805709.7010672</v>
      </c>
      <c r="N33" s="26">
        <f t="shared" si="33"/>
        <v>1419543401.6649733</v>
      </c>
      <c r="O33" s="26">
        <f t="shared" si="33"/>
        <v>900455262.41899598</v>
      </c>
      <c r="P33" s="26">
        <f t="shared" si="33"/>
        <v>362387980.2663911</v>
      </c>
      <c r="Q33" s="26">
        <f t="shared" si="33"/>
        <v>2055804976.392715</v>
      </c>
      <c r="R33" s="26">
        <f t="shared" si="33"/>
        <v>1503208151.5234301</v>
      </c>
      <c r="S33" s="26">
        <f t="shared" si="33"/>
        <v>913721639.48465633</v>
      </c>
      <c r="T33" s="26">
        <f t="shared" si="33"/>
        <v>340236998.80329472</v>
      </c>
      <c r="U33" s="26">
        <f t="shared" si="33"/>
        <v>1785467798.7960813</v>
      </c>
      <c r="V33" s="26">
        <f t="shared" si="33"/>
        <v>1239396604.3242261</v>
      </c>
      <c r="W33" s="26">
        <f t="shared" si="33"/>
        <v>740739412.29792917</v>
      </c>
      <c r="X33" s="26">
        <f t="shared" si="33"/>
        <v>252698356.86293212</v>
      </c>
      <c r="Y33" s="26">
        <f t="shared" si="33"/>
        <v>1491952468.6806002</v>
      </c>
      <c r="Z33" s="26">
        <f t="shared" si="33"/>
        <v>1003317750.6793962</v>
      </c>
      <c r="AA33" s="26">
        <f t="shared" si="33"/>
        <v>513478785.69677633</v>
      </c>
      <c r="AB33" s="26">
        <f t="shared" si="33"/>
        <v>187688323.48555076</v>
      </c>
      <c r="AC33" s="26">
        <f t="shared" si="33"/>
        <v>942773230.20104313</v>
      </c>
      <c r="AD33" s="26">
        <f t="shared" si="33"/>
        <v>637804620.09392464</v>
      </c>
      <c r="AE33" s="26">
        <f t="shared" si="33"/>
        <v>394476916.02794296</v>
      </c>
      <c r="AF33" s="26">
        <f t="shared" si="33"/>
        <v>143346330.8736077</v>
      </c>
      <c r="AG33" s="26">
        <f t="shared" si="33"/>
        <v>705587560.76390553</v>
      </c>
      <c r="AH33" s="26">
        <f t="shared" si="33"/>
        <v>600412195.39519167</v>
      </c>
      <c r="AI33" s="26">
        <f t="shared" si="33"/>
        <v>401636070.87249607</v>
      </c>
      <c r="AJ33" s="26">
        <f t="shared" si="33"/>
        <v>167977517.18801737</v>
      </c>
      <c r="AK33" s="26">
        <f t="shared" si="33"/>
        <v>572857112.48780787</v>
      </c>
      <c r="AL33" s="26">
        <f t="shared" si="33"/>
        <v>515620198.31638032</v>
      </c>
      <c r="AM33" s="26">
        <f t="shared" si="33"/>
        <v>371338875.20587373</v>
      </c>
      <c r="AN33" s="26">
        <f t="shared" si="33"/>
        <v>129266632.66336201</v>
      </c>
      <c r="AO33" s="26">
        <f t="shared" si="33"/>
        <v>449861086.2907846</v>
      </c>
      <c r="AP33" s="26">
        <f t="shared" si="33"/>
        <v>397812743.66290766</v>
      </c>
      <c r="AQ33" s="26">
        <f t="shared" si="33"/>
        <v>211977132.13122225</v>
      </c>
      <c r="AR33" s="26" t="e">
        <f t="shared" si="33"/>
        <v>#DIV/0!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17.866662353792698</v>
      </c>
      <c r="C34" s="57">
        <f t="shared" ref="C34:D34" si="35">C33/C4*100</f>
        <v>15.524475358115156</v>
      </c>
      <c r="D34" s="57">
        <f t="shared" si="35"/>
        <v>13.126269221393885</v>
      </c>
      <c r="E34" s="57">
        <f>E33/E4</f>
        <v>0.13790364634563415</v>
      </c>
      <c r="F34" s="57">
        <f t="shared" ref="F34:BQ34" si="36">F33/F4</f>
        <v>0.13911597569176681</v>
      </c>
      <c r="G34" s="57">
        <f t="shared" si="36"/>
        <v>0.14074581625170163</v>
      </c>
      <c r="H34" s="57">
        <f t="shared" si="36"/>
        <v>0.12261994780393529</v>
      </c>
      <c r="I34" s="57">
        <f t="shared" si="36"/>
        <v>0.15345803006936193</v>
      </c>
      <c r="J34" s="57">
        <f t="shared" si="36"/>
        <v>0.15244770521496934</v>
      </c>
      <c r="K34" s="57">
        <f t="shared" si="36"/>
        <v>0.15472468171623222</v>
      </c>
      <c r="L34" s="57">
        <f t="shared" si="36"/>
        <v>0.15045390749053991</v>
      </c>
      <c r="M34" s="57">
        <f t="shared" si="36"/>
        <v>0.16420498198824571</v>
      </c>
      <c r="N34" s="57">
        <f t="shared" si="36"/>
        <v>0.16177192865780995</v>
      </c>
      <c r="O34" s="57">
        <f t="shared" si="36"/>
        <v>0.16108468821527733</v>
      </c>
      <c r="P34" s="57">
        <f t="shared" si="36"/>
        <v>0.16025054572839983</v>
      </c>
      <c r="Q34" s="57">
        <f t="shared" si="36"/>
        <v>0.16102200475488102</v>
      </c>
      <c r="R34" s="57">
        <f t="shared" si="36"/>
        <v>0.16150631863296841</v>
      </c>
      <c r="S34" s="57">
        <f t="shared" si="36"/>
        <v>0.15620268129384957</v>
      </c>
      <c r="T34" s="57">
        <f t="shared" si="36"/>
        <v>0.14231718837107593</v>
      </c>
      <c r="U34" s="57">
        <f t="shared" si="36"/>
        <v>0.14933021517795683</v>
      </c>
      <c r="V34" s="57">
        <f t="shared" si="36"/>
        <v>0.14469305036245436</v>
      </c>
      <c r="W34" s="57">
        <f t="shared" si="36"/>
        <v>0.13680286005778383</v>
      </c>
      <c r="X34" s="57">
        <f t="shared" si="36"/>
        <v>0.12206733607317058</v>
      </c>
      <c r="Y34" s="57">
        <f t="shared" si="36"/>
        <v>0.1393935994668572</v>
      </c>
      <c r="Z34" s="57">
        <f t="shared" si="36"/>
        <v>0.12918281895850664</v>
      </c>
      <c r="AA34" s="57">
        <f t="shared" si="36"/>
        <v>0.1179671099549059</v>
      </c>
      <c r="AB34" s="57">
        <f t="shared" si="36"/>
        <v>0.10512986669268316</v>
      </c>
      <c r="AC34" s="57">
        <f t="shared" si="36"/>
        <v>0.1137488752878171</v>
      </c>
      <c r="AD34" s="57">
        <f t="shared" si="36"/>
        <v>0.10081203392373543</v>
      </c>
      <c r="AE34" s="57">
        <f t="shared" si="36"/>
        <v>9.8572434476146081E-2</v>
      </c>
      <c r="AF34" s="57">
        <f t="shared" si="36"/>
        <v>8.7151353328857067E-2</v>
      </c>
      <c r="AG34" s="57">
        <f t="shared" si="36"/>
        <v>0.11130704314174297</v>
      </c>
      <c r="AH34" s="57">
        <f t="shared" si="36"/>
        <v>0.12885039799307649</v>
      </c>
      <c r="AI34" s="57">
        <f t="shared" si="36"/>
        <v>0.14135879152718586</v>
      </c>
      <c r="AJ34" s="57">
        <f t="shared" si="36"/>
        <v>0.1435828280863356</v>
      </c>
      <c r="AK34" s="57">
        <f t="shared" si="36"/>
        <v>0.11930751646583737</v>
      </c>
      <c r="AL34" s="57">
        <f t="shared" si="36"/>
        <v>0.1461363952295702</v>
      </c>
      <c r="AM34" s="57">
        <f t="shared" si="36"/>
        <v>0.17685842351632344</v>
      </c>
      <c r="AN34" s="57">
        <f t="shared" si="36"/>
        <v>0.14792769455499477</v>
      </c>
      <c r="AO34" s="57">
        <f t="shared" si="36"/>
        <v>0.1012723174315478</v>
      </c>
      <c r="AP34" s="57">
        <f t="shared" si="36"/>
        <v>9.5061169830174083E-2</v>
      </c>
      <c r="AQ34" s="57">
        <f t="shared" si="36"/>
        <v>6.276788493681075E-2</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243139988.5</v>
      </c>
      <c r="C35" s="26">
        <f t="shared" ref="C35:BN35" si="38">C23+C68</f>
        <v>197071057.72</v>
      </c>
      <c r="D35" s="26">
        <f t="shared" si="38"/>
        <v>160461916.27000001</v>
      </c>
      <c r="E35" s="26">
        <f t="shared" si="38"/>
        <v>657326982.90999997</v>
      </c>
      <c r="F35" s="26">
        <f t="shared" si="38"/>
        <v>322976296.69</v>
      </c>
      <c r="G35" s="26">
        <f t="shared" si="38"/>
        <v>201137158.62</v>
      </c>
      <c r="H35" s="26">
        <f t="shared" si="38"/>
        <v>116533199.51000001</v>
      </c>
      <c r="I35" s="26">
        <f t="shared" si="38"/>
        <v>462152976.12</v>
      </c>
      <c r="J35" s="26">
        <f t="shared" si="38"/>
        <v>22706063.27</v>
      </c>
      <c r="K35" s="26">
        <f t="shared" si="38"/>
        <v>25965055.690000001</v>
      </c>
      <c r="L35" s="26">
        <f t="shared" si="38"/>
        <v>26440274.66</v>
      </c>
      <c r="M35" s="26">
        <f t="shared" si="38"/>
        <v>111852940.59</v>
      </c>
      <c r="N35" s="26">
        <f t="shared" si="38"/>
        <v>60024147.170000002</v>
      </c>
      <c r="O35" s="26">
        <f t="shared" si="38"/>
        <v>61876869.630000003</v>
      </c>
      <c r="P35" s="26">
        <f t="shared" si="38"/>
        <v>36993467.100000001</v>
      </c>
      <c r="Q35" s="26">
        <f t="shared" si="38"/>
        <v>149496001.5</v>
      </c>
      <c r="R35" s="26">
        <f t="shared" si="38"/>
        <v>83689044.420000002</v>
      </c>
      <c r="S35" s="26">
        <f t="shared" si="38"/>
        <v>40600589.310000002</v>
      </c>
      <c r="T35" s="26">
        <f t="shared" si="38"/>
        <v>15751878.300000001</v>
      </c>
      <c r="U35" s="26">
        <f t="shared" si="38"/>
        <v>136312389.91999999</v>
      </c>
      <c r="V35" s="26">
        <f t="shared" si="38"/>
        <v>36335047.93</v>
      </c>
      <c r="W35" s="26">
        <f t="shared" si="38"/>
        <v>12900820.48</v>
      </c>
      <c r="X35" s="26">
        <f t="shared" si="38"/>
        <v>-11375472.210000001</v>
      </c>
      <c r="Y35" s="26">
        <f t="shared" si="38"/>
        <v>115016502.74000001</v>
      </c>
      <c r="Z35" s="26">
        <f t="shared" si="38"/>
        <v>-15488482.289999999</v>
      </c>
      <c r="AA35" s="26">
        <f t="shared" si="38"/>
        <v>-23551541.43</v>
      </c>
      <c r="AB35" s="26">
        <f t="shared" si="38"/>
        <v>-34165997.090000004</v>
      </c>
      <c r="AC35" s="26">
        <f t="shared" si="38"/>
        <v>58838873.759999998</v>
      </c>
      <c r="AD35" s="26">
        <f t="shared" si="38"/>
        <v>-52879552.07</v>
      </c>
      <c r="AE35" s="26">
        <f t="shared" si="38"/>
        <v>-56836861.960000001</v>
      </c>
      <c r="AF35" s="26">
        <f t="shared" si="38"/>
        <v>-47448180.68</v>
      </c>
      <c r="AG35" s="26">
        <f t="shared" si="38"/>
        <v>11195393.75</v>
      </c>
      <c r="AH35" s="26">
        <f t="shared" si="38"/>
        <v>-13087137.390000001</v>
      </c>
      <c r="AI35" s="26">
        <f t="shared" si="38"/>
        <v>597425.06999999995</v>
      </c>
      <c r="AJ35" s="26">
        <f t="shared" si="38"/>
        <v>-751143.15</v>
      </c>
      <c r="AK35" s="26">
        <f t="shared" si="38"/>
        <v>3063836.7700000005</v>
      </c>
      <c r="AL35" s="26">
        <f t="shared" si="38"/>
        <v>-3132881.15</v>
      </c>
      <c r="AM35" s="26">
        <f t="shared" si="38"/>
        <v>-573091.39</v>
      </c>
      <c r="AN35" s="26">
        <f t="shared" si="38"/>
        <v>2253641.19</v>
      </c>
      <c r="AO35" s="26">
        <f t="shared" si="38"/>
        <v>16058836.289999999</v>
      </c>
      <c r="AP35" s="26">
        <f t="shared" si="38"/>
        <v>21474158.75</v>
      </c>
      <c r="AQ35" s="26">
        <f t="shared" si="38"/>
        <v>22843189.52</v>
      </c>
      <c r="AR35" s="26">
        <f t="shared" si="38"/>
        <v>0</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26112092.941873468</v>
      </c>
      <c r="C36" s="26">
        <f t="shared" ref="C36:BN36" si="40">C35*C41</f>
        <v>25017048.539393261</v>
      </c>
      <c r="D36" s="26">
        <f t="shared" si="40"/>
        <v>24269920.243058681</v>
      </c>
      <c r="E36" s="26">
        <f t="shared" si="40"/>
        <v>85893520.342268214</v>
      </c>
      <c r="F36" s="26">
        <f t="shared" si="40"/>
        <v>42321038.890995502</v>
      </c>
      <c r="G36" s="26">
        <f t="shared" si="40"/>
        <v>27885512.243309934</v>
      </c>
      <c r="H36" s="26">
        <f t="shared" si="40"/>
        <v>18967514.009266417</v>
      </c>
      <c r="I36" s="26">
        <f t="shared" si="40"/>
        <v>62129147.559001192</v>
      </c>
      <c r="J36" s="26">
        <f t="shared" si="40"/>
        <v>3337998.6492547011</v>
      </c>
      <c r="K36" s="26">
        <f t="shared" si="40"/>
        <v>3688749.3746241652</v>
      </c>
      <c r="L36" s="26">
        <f t="shared" si="40"/>
        <v>3979808.657039945</v>
      </c>
      <c r="M36" s="26">
        <f t="shared" si="40"/>
        <v>16473631.671070227</v>
      </c>
      <c r="N36" s="26">
        <f t="shared" si="40"/>
        <v>8881577.6595153771</v>
      </c>
      <c r="O36" s="26">
        <f t="shared" si="40"/>
        <v>9266161.9337394666</v>
      </c>
      <c r="P36" s="26">
        <f t="shared" si="40"/>
        <v>5765684.7290053619</v>
      </c>
      <c r="Q36" s="26">
        <f t="shared" si="40"/>
        <v>23331916.65750384</v>
      </c>
      <c r="R36" s="26">
        <f t="shared" si="40"/>
        <v>12903006.466542514</v>
      </c>
      <c r="S36" s="26">
        <f t="shared" si="40"/>
        <v>6161022.6378494659</v>
      </c>
      <c r="T36" s="26">
        <f t="shared" si="40"/>
        <v>2406375.8242788645</v>
      </c>
      <c r="U36" s="26">
        <f t="shared" si="40"/>
        <v>21376705.078377541</v>
      </c>
      <c r="V36" s="26">
        <f t="shared" si="40"/>
        <v>5944396.7756239269</v>
      </c>
      <c r="W36" s="26">
        <f t="shared" si="40"/>
        <v>2128048.7399795842</v>
      </c>
      <c r="X36" s="26">
        <f t="shared" si="40"/>
        <v>-1947977.0208689969</v>
      </c>
      <c r="Y36" s="26">
        <f t="shared" si="40"/>
        <v>18592785.791668467</v>
      </c>
      <c r="Z36" s="26">
        <f t="shared" si="40"/>
        <v>-2568364.9747127746</v>
      </c>
      <c r="AA36" s="26">
        <f t="shared" si="40"/>
        <v>-4134314.6583943996</v>
      </c>
      <c r="AB36" s="26">
        <f t="shared" si="40"/>
        <v>-5949824.0779819367</v>
      </c>
      <c r="AC36" s="26">
        <f t="shared" si="40"/>
        <v>9336174.9948434252</v>
      </c>
      <c r="AD36" s="26">
        <f t="shared" si="40"/>
        <v>-8235889.9798112735</v>
      </c>
      <c r="AE36" s="26">
        <f t="shared" si="40"/>
        <v>-9520943.4205502588</v>
      </c>
      <c r="AF36" s="26">
        <f t="shared" si="40"/>
        <v>-8167275.8438726924</v>
      </c>
      <c r="AG36" s="26">
        <f t="shared" si="40"/>
        <v>1846982.4428313365</v>
      </c>
      <c r="AH36" s="26">
        <f t="shared" si="40"/>
        <v>-2332927.0089932107</v>
      </c>
      <c r="AI36" s="26">
        <f t="shared" si="40"/>
        <v>105501.86805287369</v>
      </c>
      <c r="AJ36" s="26">
        <f t="shared" si="40"/>
        <v>-124312.43254761938</v>
      </c>
      <c r="AK36" s="26">
        <f t="shared" si="40"/>
        <v>524526.37411799305</v>
      </c>
      <c r="AL36" s="26">
        <f t="shared" si="40"/>
        <v>-524954.53087494324</v>
      </c>
      <c r="AM36" s="26">
        <f t="shared" si="40"/>
        <v>-103027.97829473976</v>
      </c>
      <c r="AN36" s="26">
        <f t="shared" si="40"/>
        <v>318490.79505277559</v>
      </c>
      <c r="AO36" s="26">
        <f t="shared" si="40"/>
        <v>3801524.5653329026</v>
      </c>
      <c r="AP36" s="26">
        <f t="shared" si="40"/>
        <v>6800092.7717759227</v>
      </c>
      <c r="AQ36" s="26">
        <f t="shared" si="40"/>
        <v>6811934.7798574213</v>
      </c>
      <c r="AR36" s="26" t="e">
        <f t="shared" si="40"/>
        <v>#DIV/0!</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217027895.55812654</v>
      </c>
      <c r="C37" s="26">
        <f t="shared" ref="C37:BN37" si="42">C35-C36</f>
        <v>172054009.18060672</v>
      </c>
      <c r="D37" s="26">
        <f t="shared" si="42"/>
        <v>136191996.02694133</v>
      </c>
      <c r="E37" s="26">
        <f t="shared" si="42"/>
        <v>571433462.56773174</v>
      </c>
      <c r="F37" s="26">
        <f t="shared" si="42"/>
        <v>280655257.7990045</v>
      </c>
      <c r="G37" s="26">
        <f t="shared" si="42"/>
        <v>173251646.37669006</v>
      </c>
      <c r="H37" s="26">
        <f t="shared" si="42"/>
        <v>97565685.500733584</v>
      </c>
      <c r="I37" s="26">
        <f t="shared" si="42"/>
        <v>400023828.5609988</v>
      </c>
      <c r="J37" s="26">
        <f t="shared" si="42"/>
        <v>19368064.620745298</v>
      </c>
      <c r="K37" s="26">
        <f t="shared" si="42"/>
        <v>22276306.315375835</v>
      </c>
      <c r="L37" s="26">
        <f t="shared" si="42"/>
        <v>22460466.002960056</v>
      </c>
      <c r="M37" s="26">
        <f t="shared" si="42"/>
        <v>95379308.918929771</v>
      </c>
      <c r="N37" s="26">
        <f t="shared" si="42"/>
        <v>51142569.510484621</v>
      </c>
      <c r="O37" s="26">
        <f t="shared" si="42"/>
        <v>52610707.696260534</v>
      </c>
      <c r="P37" s="26">
        <f t="shared" si="42"/>
        <v>31227782.370994639</v>
      </c>
      <c r="Q37" s="26">
        <f t="shared" si="42"/>
        <v>126164084.84249616</v>
      </c>
      <c r="R37" s="26">
        <f t="shared" si="42"/>
        <v>70786037.95345749</v>
      </c>
      <c r="S37" s="26">
        <f t="shared" si="42"/>
        <v>34439566.672150537</v>
      </c>
      <c r="T37" s="26">
        <f t="shared" si="42"/>
        <v>13345502.475721136</v>
      </c>
      <c r="U37" s="26">
        <f t="shared" si="42"/>
        <v>114935684.84162244</v>
      </c>
      <c r="V37" s="26">
        <f t="shared" si="42"/>
        <v>30390651.154376075</v>
      </c>
      <c r="W37" s="26">
        <f t="shared" si="42"/>
        <v>10772771.740020417</v>
      </c>
      <c r="X37" s="26">
        <f t="shared" si="42"/>
        <v>-9427495.1891310047</v>
      </c>
      <c r="Y37" s="26">
        <f t="shared" si="42"/>
        <v>96423716.948331535</v>
      </c>
      <c r="Z37" s="26">
        <f t="shared" si="42"/>
        <v>-12920117.315287225</v>
      </c>
      <c r="AA37" s="26">
        <f t="shared" si="42"/>
        <v>-19417226.7716056</v>
      </c>
      <c r="AB37" s="26">
        <f t="shared" si="42"/>
        <v>-28216173.012018066</v>
      </c>
      <c r="AC37" s="26">
        <f t="shared" si="42"/>
        <v>49502698.765156575</v>
      </c>
      <c r="AD37" s="26">
        <f t="shared" si="42"/>
        <v>-44643662.090188727</v>
      </c>
      <c r="AE37" s="26">
        <f t="shared" si="42"/>
        <v>-47315918.539449744</v>
      </c>
      <c r="AF37" s="26">
        <f t="shared" si="42"/>
        <v>-39280904.836127311</v>
      </c>
      <c r="AG37" s="26">
        <f t="shared" si="42"/>
        <v>9348411.3071686625</v>
      </c>
      <c r="AH37" s="26">
        <f t="shared" si="42"/>
        <v>-10754210.38100679</v>
      </c>
      <c r="AI37" s="26">
        <f t="shared" si="42"/>
        <v>491923.20194712625</v>
      </c>
      <c r="AJ37" s="26">
        <f t="shared" si="42"/>
        <v>-626830.71745238069</v>
      </c>
      <c r="AK37" s="26">
        <f t="shared" si="42"/>
        <v>2539310.3958820077</v>
      </c>
      <c r="AL37" s="26">
        <f t="shared" si="42"/>
        <v>-2607926.6191250565</v>
      </c>
      <c r="AM37" s="26">
        <f t="shared" si="42"/>
        <v>-470063.41170526028</v>
      </c>
      <c r="AN37" s="26">
        <f t="shared" si="42"/>
        <v>1935150.3949472243</v>
      </c>
      <c r="AO37" s="26">
        <f t="shared" si="42"/>
        <v>12257311.724667097</v>
      </c>
      <c r="AP37" s="26">
        <f t="shared" si="42"/>
        <v>14674065.978224076</v>
      </c>
      <c r="AQ37" s="26">
        <f t="shared" si="42"/>
        <v>16031254.740142578</v>
      </c>
      <c r="AR37" s="26" t="e">
        <f t="shared" si="42"/>
        <v>#DIV/0!</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3581381879.8299994</v>
      </c>
      <c r="C38" s="28">
        <f t="shared" ref="C38:BN38" si="44">C31-C35</f>
        <v>1920739278.5799999</v>
      </c>
      <c r="D38" s="28">
        <f t="shared" si="44"/>
        <v>635861109.41000044</v>
      </c>
      <c r="E38" s="28">
        <f t="shared" si="44"/>
        <v>3049912617.7800016</v>
      </c>
      <c r="F38" s="28">
        <f t="shared" si="44"/>
        <v>2223926852.9799991</v>
      </c>
      <c r="G38" s="28">
        <f t="shared" si="44"/>
        <v>1421636007.6200004</v>
      </c>
      <c r="H38" s="28">
        <f t="shared" si="44"/>
        <v>462316126.59999979</v>
      </c>
      <c r="I38" s="28">
        <f t="shared" si="44"/>
        <v>3103193212.0600009</v>
      </c>
      <c r="J38" s="28">
        <f t="shared" si="44"/>
        <v>1605404060.5899994</v>
      </c>
      <c r="K38" s="28">
        <f t="shared" si="44"/>
        <v>989694910.58000028</v>
      </c>
      <c r="L38" s="28">
        <f t="shared" si="44"/>
        <v>396069697.08999979</v>
      </c>
      <c r="M38" s="28">
        <f t="shared" si="44"/>
        <v>2201348382.8599997</v>
      </c>
      <c r="N38" s="28">
        <f t="shared" si="44"/>
        <v>1605045426.5799999</v>
      </c>
      <c r="O38" s="28">
        <f t="shared" si="44"/>
        <v>996710184.84999967</v>
      </c>
      <c r="P38" s="28">
        <f t="shared" si="44"/>
        <v>392304924.57999992</v>
      </c>
      <c r="Q38" s="28">
        <f t="shared" si="44"/>
        <v>2285319765.0099993</v>
      </c>
      <c r="R38" s="28">
        <f t="shared" si="44"/>
        <v>1692412474.1800003</v>
      </c>
      <c r="S38" s="28">
        <f t="shared" si="44"/>
        <v>1036134800.6700006</v>
      </c>
      <c r="T38" s="28">
        <f t="shared" si="44"/>
        <v>385349562.91999984</v>
      </c>
      <c r="U38" s="28">
        <f t="shared" si="44"/>
        <v>1979495693.099999</v>
      </c>
      <c r="V38" s="28">
        <f t="shared" si="44"/>
        <v>1444732508.54</v>
      </c>
      <c r="W38" s="28">
        <f t="shared" si="44"/>
        <v>873811444.73999965</v>
      </c>
      <c r="X38" s="28">
        <f t="shared" si="44"/>
        <v>316244068.33000004</v>
      </c>
      <c r="Y38" s="28">
        <f t="shared" si="44"/>
        <v>1664512142.6199994</v>
      </c>
      <c r="Z38" s="28">
        <f t="shared" si="44"/>
        <v>1218231995.7899988</v>
      </c>
      <c r="AA38" s="28">
        <f t="shared" si="44"/>
        <v>646355048.76999998</v>
      </c>
      <c r="AB38" s="28">
        <f t="shared" si="44"/>
        <v>261525083.37</v>
      </c>
      <c r="AC38" s="28">
        <f t="shared" si="44"/>
        <v>1061579537.2500002</v>
      </c>
      <c r="AD38" s="28">
        <f t="shared" si="44"/>
        <v>808388227.50999975</v>
      </c>
      <c r="AE38" s="28">
        <f t="shared" si="44"/>
        <v>530656813.34000003</v>
      </c>
      <c r="AF38" s="28">
        <f t="shared" si="44"/>
        <v>220753619.10999995</v>
      </c>
      <c r="AG38" s="28">
        <f t="shared" si="44"/>
        <v>832943335.62000012</v>
      </c>
      <c r="AH38" s="28">
        <f t="shared" si="44"/>
        <v>742854118.86000037</v>
      </c>
      <c r="AI38" s="28">
        <f t="shared" si="44"/>
        <v>486597789.52000016</v>
      </c>
      <c r="AJ38" s="28">
        <f t="shared" si="44"/>
        <v>201569008.02000007</v>
      </c>
      <c r="AK38" s="28">
        <f t="shared" si="44"/>
        <v>688330352.37999988</v>
      </c>
      <c r="AL38" s="28">
        <f t="shared" si="44"/>
        <v>622639177.79000032</v>
      </c>
      <c r="AM38" s="28">
        <f t="shared" si="44"/>
        <v>453384868.3599999</v>
      </c>
      <c r="AN38" s="28">
        <f t="shared" si="44"/>
        <v>148378624.69000003</v>
      </c>
      <c r="AO38" s="28">
        <f t="shared" si="44"/>
        <v>571882502.19999981</v>
      </c>
      <c r="AP38" s="28">
        <f t="shared" si="44"/>
        <v>564773160.04000032</v>
      </c>
      <c r="AQ38" s="28">
        <f t="shared" si="44"/>
        <v>281544848.15000015</v>
      </c>
      <c r="AR38" s="28">
        <f t="shared" si="44"/>
        <v>0</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18.74033111967891</v>
      </c>
      <c r="C39" s="57">
        <f t="shared" ref="C39:D39" si="46">C38/C4*100</f>
        <v>16.137525518490413</v>
      </c>
      <c r="D39" s="57">
        <f t="shared" si="46"/>
        <v>12.479750872116027</v>
      </c>
      <c r="E39" s="57">
        <f>E38/E4</f>
        <v>0.13024602751065392</v>
      </c>
      <c r="F39" s="57">
        <f t="shared" ref="F39:BQ39" si="47">F38/F4</f>
        <v>0.13954851585130643</v>
      </c>
      <c r="G39" s="57">
        <f t="shared" si="47"/>
        <v>0.1435209090374602</v>
      </c>
      <c r="H39" s="57">
        <f t="shared" si="47"/>
        <v>0.11613203145768035</v>
      </c>
      <c r="I39" s="57">
        <f t="shared" si="47"/>
        <v>0.15389353804803421</v>
      </c>
      <c r="J39" s="57">
        <f t="shared" si="47"/>
        <v>0.17625157417744008</v>
      </c>
      <c r="K39" s="57">
        <f t="shared" si="47"/>
        <v>0.17577221489754677</v>
      </c>
      <c r="L39" s="57">
        <f t="shared" si="47"/>
        <v>0.16630959042525637</v>
      </c>
      <c r="M39" s="57">
        <f t="shared" si="47"/>
        <v>0.18304199232444862</v>
      </c>
      <c r="N39" s="57">
        <f t="shared" si="47"/>
        <v>0.18291183907212741</v>
      </c>
      <c r="O39" s="57">
        <f t="shared" si="47"/>
        <v>0.17830397141134699</v>
      </c>
      <c r="P39" s="57">
        <f t="shared" si="47"/>
        <v>0.17348003156636208</v>
      </c>
      <c r="Q39" s="57">
        <f t="shared" si="47"/>
        <v>0.17899887114465673</v>
      </c>
      <c r="R39" s="57">
        <f t="shared" si="47"/>
        <v>0.18183463683077636</v>
      </c>
      <c r="S39" s="57">
        <f t="shared" si="47"/>
        <v>0.17712947472471485</v>
      </c>
      <c r="T39" s="57">
        <f t="shared" si="47"/>
        <v>0.16118725043922624</v>
      </c>
      <c r="U39" s="57">
        <f t="shared" si="47"/>
        <v>0.16555802238146217</v>
      </c>
      <c r="V39" s="57">
        <f t="shared" si="47"/>
        <v>0.16866493976916502</v>
      </c>
      <c r="W39" s="57">
        <f t="shared" si="47"/>
        <v>0.16137916088576712</v>
      </c>
      <c r="X39" s="57">
        <f t="shared" si="47"/>
        <v>0.15276344274341205</v>
      </c>
      <c r="Y39" s="57">
        <f t="shared" si="47"/>
        <v>0.15551590535674381</v>
      </c>
      <c r="Z39" s="57">
        <f t="shared" si="47"/>
        <v>0.15685424009994189</v>
      </c>
      <c r="AA39" s="57">
        <f t="shared" si="47"/>
        <v>0.14849423039881168</v>
      </c>
      <c r="AB39" s="57">
        <f t="shared" si="47"/>
        <v>0.14648805339026641</v>
      </c>
      <c r="AC39" s="57">
        <f t="shared" si="47"/>
        <v>0.1280832702101635</v>
      </c>
      <c r="AD39" s="57">
        <f t="shared" si="47"/>
        <v>0.12777464892506621</v>
      </c>
      <c r="AE39" s="57">
        <f t="shared" si="47"/>
        <v>0.13260125456510199</v>
      </c>
      <c r="AF39" s="57">
        <f t="shared" si="47"/>
        <v>0.13421324801569606</v>
      </c>
      <c r="AG39" s="57">
        <f t="shared" si="47"/>
        <v>0.13139752590324488</v>
      </c>
      <c r="AH39" s="57">
        <f t="shared" si="47"/>
        <v>0.15941889521898564</v>
      </c>
      <c r="AI39" s="57">
        <f t="shared" si="47"/>
        <v>0.17126169802657917</v>
      </c>
      <c r="AJ39" s="57">
        <f t="shared" si="47"/>
        <v>0.17229596383231596</v>
      </c>
      <c r="AK39" s="57">
        <f t="shared" si="47"/>
        <v>0.14335683900976318</v>
      </c>
      <c r="AL39" s="57">
        <f t="shared" si="47"/>
        <v>0.17646757296948101</v>
      </c>
      <c r="AM39" s="57">
        <f t="shared" si="47"/>
        <v>0.21593465812016083</v>
      </c>
      <c r="AN39" s="57">
        <f t="shared" si="47"/>
        <v>0.16979871308934941</v>
      </c>
      <c r="AO39" s="57">
        <f t="shared" si="47"/>
        <v>0.12874166728639899</v>
      </c>
      <c r="AP39" s="57">
        <f t="shared" si="47"/>
        <v>0.13495796235120072</v>
      </c>
      <c r="AQ39" s="57">
        <f t="shared" si="47"/>
        <v>8.3367363524341917E-2</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384623595.17000002</v>
      </c>
      <c r="C40" s="26">
        <f t="shared" ref="C40:BN40" si="49">C60</f>
        <v>243826913.59999999</v>
      </c>
      <c r="D40" s="26">
        <f t="shared" si="49"/>
        <v>96174212.359999999</v>
      </c>
      <c r="E40" s="26">
        <f t="shared" si="49"/>
        <v>398534881.86000001</v>
      </c>
      <c r="F40" s="26">
        <f t="shared" si="49"/>
        <v>291411152.45999998</v>
      </c>
      <c r="G40" s="26">
        <f t="shared" si="49"/>
        <v>197094602.34999999</v>
      </c>
      <c r="H40" s="26">
        <f t="shared" si="49"/>
        <v>75248835.909999996</v>
      </c>
      <c r="I40" s="26">
        <f t="shared" si="49"/>
        <v>417175175.62</v>
      </c>
      <c r="J40" s="26">
        <f t="shared" si="49"/>
        <v>236009057.22999999</v>
      </c>
      <c r="K40" s="26">
        <f t="shared" si="49"/>
        <v>140601912.28</v>
      </c>
      <c r="L40" s="26">
        <f t="shared" si="49"/>
        <v>59616688.159999996</v>
      </c>
      <c r="M40" s="26">
        <f t="shared" si="49"/>
        <v>324213223.61000001</v>
      </c>
      <c r="N40" s="26">
        <f t="shared" si="49"/>
        <v>237493346.84999999</v>
      </c>
      <c r="O40" s="26">
        <f t="shared" si="49"/>
        <v>149258972.36000001</v>
      </c>
      <c r="P40" s="26">
        <f t="shared" si="49"/>
        <v>61143404.229999997</v>
      </c>
      <c r="Q40" s="26">
        <f t="shared" si="49"/>
        <v>356671012.99000001</v>
      </c>
      <c r="R40" s="26">
        <f t="shared" si="49"/>
        <v>260932709.28999999</v>
      </c>
      <c r="S40" s="26">
        <f t="shared" si="49"/>
        <v>157230475.5</v>
      </c>
      <c r="T40" s="26">
        <f t="shared" si="49"/>
        <v>58868907.850000001</v>
      </c>
      <c r="U40" s="26">
        <f t="shared" si="49"/>
        <v>310427362.18000001</v>
      </c>
      <c r="V40" s="26">
        <f t="shared" si="49"/>
        <v>236357559.84</v>
      </c>
      <c r="W40" s="26">
        <f t="shared" si="49"/>
        <v>144139153.53999999</v>
      </c>
      <c r="X40" s="26">
        <f t="shared" si="49"/>
        <v>54154778.520000003</v>
      </c>
      <c r="Y40" s="26">
        <f t="shared" si="49"/>
        <v>269073715.31999999</v>
      </c>
      <c r="Z40" s="26">
        <f t="shared" si="49"/>
        <v>202012329.58000001</v>
      </c>
      <c r="AA40" s="26">
        <f t="shared" si="49"/>
        <v>113463280.55</v>
      </c>
      <c r="AB40" s="26">
        <f t="shared" si="49"/>
        <v>45543182.420000002</v>
      </c>
      <c r="AC40" s="26">
        <f t="shared" si="49"/>
        <v>168444630.18000001</v>
      </c>
      <c r="AD40" s="26">
        <f t="shared" si="49"/>
        <v>125904933.8</v>
      </c>
      <c r="AE40" s="26">
        <f t="shared" si="49"/>
        <v>88892196.390000001</v>
      </c>
      <c r="AF40" s="26">
        <f t="shared" si="49"/>
        <v>37998415.850000001</v>
      </c>
      <c r="AG40" s="26">
        <f t="shared" si="49"/>
        <v>137416490.31</v>
      </c>
      <c r="AH40" s="26">
        <f t="shared" si="49"/>
        <v>132421964.09999999</v>
      </c>
      <c r="AI40" s="26">
        <f t="shared" si="49"/>
        <v>85930400.920000002</v>
      </c>
      <c r="AJ40" s="26">
        <f t="shared" si="49"/>
        <v>33359198.859999999</v>
      </c>
      <c r="AK40" s="26">
        <f t="shared" si="49"/>
        <v>117841598.95999999</v>
      </c>
      <c r="AL40" s="26">
        <f t="shared" si="49"/>
        <v>104331202.44</v>
      </c>
      <c r="AM40" s="26">
        <f t="shared" si="49"/>
        <v>81507639.430000007</v>
      </c>
      <c r="AN40" s="26">
        <f t="shared" si="49"/>
        <v>20969276.899999999</v>
      </c>
      <c r="AO40" s="26">
        <f t="shared" si="49"/>
        <v>135378762.28</v>
      </c>
      <c r="AP40" s="26">
        <f t="shared" si="49"/>
        <v>178843321.78</v>
      </c>
      <c r="AQ40" s="26">
        <f t="shared" si="49"/>
        <v>83957852.799999997</v>
      </c>
      <c r="AR40" s="26">
        <f t="shared" si="49"/>
        <v>0</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0.10739530384518986</v>
      </c>
      <c r="C41" s="57">
        <f t="shared" ref="C41:BN41" si="51">C40/C38</f>
        <v>0.12694430541362225</v>
      </c>
      <c r="D41" s="57">
        <f t="shared" si="51"/>
        <v>0.15125034529826434</v>
      </c>
      <c r="E41" s="57">
        <f t="shared" si="51"/>
        <v>0.13067091809013506</v>
      </c>
      <c r="F41" s="57">
        <f t="shared" si="51"/>
        <v>0.13103450415624834</v>
      </c>
      <c r="G41" s="57">
        <f t="shared" si="51"/>
        <v>0.13863928691561594</v>
      </c>
      <c r="H41" s="57">
        <f t="shared" si="51"/>
        <v>0.16276489523175555</v>
      </c>
      <c r="I41" s="57">
        <f t="shared" si="51"/>
        <v>0.13443416091486793</v>
      </c>
      <c r="J41" s="57">
        <f t="shared" si="51"/>
        <v>0.14700913185884473</v>
      </c>
      <c r="K41" s="57">
        <f t="shared" si="51"/>
        <v>0.14206591422967077</v>
      </c>
      <c r="L41" s="57">
        <f t="shared" si="51"/>
        <v>0.1505207002656736</v>
      </c>
      <c r="M41" s="57">
        <f t="shared" si="51"/>
        <v>0.14727937937237406</v>
      </c>
      <c r="N41" s="57">
        <f t="shared" si="51"/>
        <v>0.14796674468961685</v>
      </c>
      <c r="O41" s="57">
        <f t="shared" si="51"/>
        <v>0.14975162753299526</v>
      </c>
      <c r="P41" s="57">
        <f t="shared" si="51"/>
        <v>0.1558568358413035</v>
      </c>
      <c r="Q41" s="57">
        <f t="shared" si="51"/>
        <v>0.15607050639079359</v>
      </c>
      <c r="R41" s="57">
        <f t="shared" si="51"/>
        <v>0.15417796386570945</v>
      </c>
      <c r="S41" s="57">
        <f t="shared" si="51"/>
        <v>0.15174712344217117</v>
      </c>
      <c r="T41" s="57">
        <f t="shared" si="51"/>
        <v>0.15276754799958456</v>
      </c>
      <c r="U41" s="57">
        <f t="shared" si="51"/>
        <v>0.1568214385421843</v>
      </c>
      <c r="V41" s="57">
        <f t="shared" si="51"/>
        <v>0.16359953032333668</v>
      </c>
      <c r="W41" s="57">
        <f t="shared" si="51"/>
        <v>0.16495452698366547</v>
      </c>
      <c r="X41" s="57">
        <f t="shared" si="51"/>
        <v>0.17124361827868215</v>
      </c>
      <c r="Y41" s="57">
        <f t="shared" si="51"/>
        <v>0.16165320061676974</v>
      </c>
      <c r="Z41" s="57">
        <f t="shared" si="51"/>
        <v>0.165824186426001</v>
      </c>
      <c r="AA41" s="57">
        <f t="shared" si="51"/>
        <v>0.17554327264236308</v>
      </c>
      <c r="AB41" s="57">
        <f t="shared" si="51"/>
        <v>0.17414460530184211</v>
      </c>
      <c r="AC41" s="57">
        <f t="shared" si="51"/>
        <v>0.1586735842858768</v>
      </c>
      <c r="AD41" s="57">
        <f t="shared" si="51"/>
        <v>0.155748104085846</v>
      </c>
      <c r="AE41" s="57">
        <f t="shared" si="51"/>
        <v>0.16751353069511121</v>
      </c>
      <c r="AF41" s="57">
        <f t="shared" si="51"/>
        <v>0.17213043212245441</v>
      </c>
      <c r="AG41" s="57">
        <f t="shared" si="51"/>
        <v>0.16497699715397116</v>
      </c>
      <c r="AH41" s="57">
        <f t="shared" si="51"/>
        <v>0.17826106194742183</v>
      </c>
      <c r="AI41" s="57">
        <f t="shared" si="51"/>
        <v>0.17659431006615389</v>
      </c>
      <c r="AJ41" s="57">
        <f t="shared" si="51"/>
        <v>0.16549765853235748</v>
      </c>
      <c r="AK41" s="57">
        <f t="shared" si="51"/>
        <v>0.17119919026169039</v>
      </c>
      <c r="AL41" s="57">
        <f t="shared" si="51"/>
        <v>0.16756286170477397</v>
      </c>
      <c r="AM41" s="57">
        <f t="shared" si="51"/>
        <v>0.17977582649556079</v>
      </c>
      <c r="AN41" s="57">
        <f t="shared" si="51"/>
        <v>0.14132276090178117</v>
      </c>
      <c r="AO41" s="57">
        <f t="shared" si="51"/>
        <v>0.23672478482766218</v>
      </c>
      <c r="AP41" s="57">
        <f t="shared" si="51"/>
        <v>0.31666398907365451</v>
      </c>
      <c r="AQ41" s="57">
        <f t="shared" si="51"/>
        <v>0.29820418790000136</v>
      </c>
      <c r="AR41" s="57" t="e">
        <f t="shared" si="51"/>
        <v>#DIV/0!</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3196758284.6599994</v>
      </c>
      <c r="C42" s="28">
        <f t="shared" ref="C42:BN42" si="53">C38-C40</f>
        <v>1676912364.98</v>
      </c>
      <c r="D42" s="28">
        <f t="shared" si="53"/>
        <v>539686897.05000043</v>
      </c>
      <c r="E42" s="28">
        <f t="shared" si="53"/>
        <v>2651377735.9200015</v>
      </c>
      <c r="F42" s="28">
        <f t="shared" si="53"/>
        <v>1932515700.519999</v>
      </c>
      <c r="G42" s="28">
        <f t="shared" si="53"/>
        <v>1224541405.2700005</v>
      </c>
      <c r="H42" s="28">
        <f t="shared" si="53"/>
        <v>387067290.68999982</v>
      </c>
      <c r="I42" s="28">
        <f t="shared" si="53"/>
        <v>2686018036.440001</v>
      </c>
      <c r="J42" s="28">
        <f t="shared" si="53"/>
        <v>1369395003.3599994</v>
      </c>
      <c r="K42" s="28">
        <f t="shared" si="53"/>
        <v>849092998.30000031</v>
      </c>
      <c r="L42" s="28">
        <f t="shared" si="53"/>
        <v>336453008.92999983</v>
      </c>
      <c r="M42" s="28">
        <f t="shared" si="53"/>
        <v>1877135159.2499995</v>
      </c>
      <c r="N42" s="28">
        <f t="shared" si="53"/>
        <v>1367552079.73</v>
      </c>
      <c r="O42" s="28">
        <f t="shared" si="53"/>
        <v>847451212.48999965</v>
      </c>
      <c r="P42" s="28">
        <f t="shared" si="53"/>
        <v>331161520.3499999</v>
      </c>
      <c r="Q42" s="28">
        <f t="shared" si="53"/>
        <v>1928648752.0199993</v>
      </c>
      <c r="R42" s="28">
        <f t="shared" si="53"/>
        <v>1431479764.8900003</v>
      </c>
      <c r="S42" s="28">
        <f t="shared" si="53"/>
        <v>878904325.17000055</v>
      </c>
      <c r="T42" s="28">
        <f t="shared" si="53"/>
        <v>326480655.06999981</v>
      </c>
      <c r="U42" s="28">
        <f t="shared" si="53"/>
        <v>1669068330.9199989</v>
      </c>
      <c r="V42" s="28">
        <f t="shared" si="53"/>
        <v>1208374948.7</v>
      </c>
      <c r="W42" s="28">
        <f t="shared" si="53"/>
        <v>729672291.19999969</v>
      </c>
      <c r="X42" s="28">
        <f t="shared" si="53"/>
        <v>262089289.81000003</v>
      </c>
      <c r="Y42" s="28">
        <f t="shared" si="53"/>
        <v>1395438427.2999995</v>
      </c>
      <c r="Z42" s="28">
        <f t="shared" si="53"/>
        <v>1016219666.2099987</v>
      </c>
      <c r="AA42" s="28">
        <f t="shared" si="53"/>
        <v>532891768.21999997</v>
      </c>
      <c r="AB42" s="28">
        <f t="shared" si="53"/>
        <v>215981900.94999999</v>
      </c>
      <c r="AC42" s="28">
        <f t="shared" si="53"/>
        <v>893134907.07000017</v>
      </c>
      <c r="AD42" s="28">
        <f t="shared" si="53"/>
        <v>682483293.7099998</v>
      </c>
      <c r="AE42" s="28">
        <f t="shared" si="53"/>
        <v>441764616.95000005</v>
      </c>
      <c r="AF42" s="28">
        <f t="shared" si="53"/>
        <v>182755203.25999996</v>
      </c>
      <c r="AG42" s="28">
        <f t="shared" si="53"/>
        <v>695526845.31000018</v>
      </c>
      <c r="AH42" s="28">
        <f t="shared" si="53"/>
        <v>610432154.76000035</v>
      </c>
      <c r="AI42" s="28">
        <f t="shared" si="53"/>
        <v>400667388.60000014</v>
      </c>
      <c r="AJ42" s="28">
        <f t="shared" si="53"/>
        <v>168209809.16000009</v>
      </c>
      <c r="AK42" s="28">
        <f t="shared" si="53"/>
        <v>570488753.41999984</v>
      </c>
      <c r="AL42" s="28">
        <f t="shared" si="53"/>
        <v>518307975.35000032</v>
      </c>
      <c r="AM42" s="28">
        <f t="shared" si="53"/>
        <v>371877228.92999989</v>
      </c>
      <c r="AN42" s="28">
        <f t="shared" si="53"/>
        <v>127409347.79000002</v>
      </c>
      <c r="AO42" s="28">
        <f t="shared" si="53"/>
        <v>436503739.91999984</v>
      </c>
      <c r="AP42" s="28">
        <f t="shared" si="53"/>
        <v>385929838.26000035</v>
      </c>
      <c r="AQ42" s="28">
        <f t="shared" si="53"/>
        <v>197586995.35000014</v>
      </c>
      <c r="AR42" s="28">
        <f t="shared" si="53"/>
        <v>0</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16.727707564921527</v>
      </c>
      <c r="C43" s="57">
        <f t="shared" ref="C43:D43" si="55">C42/C4*100</f>
        <v>14.088958550451045</v>
      </c>
      <c r="D43" s="57">
        <f t="shared" si="55"/>
        <v>10.592184243472163</v>
      </c>
      <c r="E43" s="57">
        <f>E42/E4</f>
        <v>0.11322665951824379</v>
      </c>
      <c r="F43" s="57">
        <f t="shared" ref="F43:BQ43" si="56">F42/F4</f>
        <v>0.12126284527099011</v>
      </c>
      <c r="G43" s="57">
        <f t="shared" si="56"/>
        <v>0.12362327255102576</v>
      </c>
      <c r="H43" s="57">
        <f t="shared" si="56"/>
        <v>9.7229813524420075E-2</v>
      </c>
      <c r="I43" s="57">
        <f t="shared" si="56"/>
        <v>0.13320498939032646</v>
      </c>
      <c r="J43" s="57">
        <f t="shared" si="56"/>
        <v>0.15034098326885983</v>
      </c>
      <c r="K43" s="57">
        <f t="shared" si="56"/>
        <v>0.15080097449195265</v>
      </c>
      <c r="L43" s="57">
        <f t="shared" si="56"/>
        <v>0.14127655441354942</v>
      </c>
      <c r="M43" s="57">
        <f t="shared" si="56"/>
        <v>0.15608368129582098</v>
      </c>
      <c r="N43" s="57">
        <f t="shared" si="56"/>
        <v>0.15584696967943365</v>
      </c>
      <c r="O43" s="57">
        <f t="shared" si="56"/>
        <v>0.15160266149690113</v>
      </c>
      <c r="P43" s="57">
        <f t="shared" si="56"/>
        <v>0.14644198276477943</v>
      </c>
      <c r="Q43" s="57">
        <f t="shared" si="56"/>
        <v>0.15106242668172976</v>
      </c>
      <c r="R43" s="57">
        <f t="shared" si="56"/>
        <v>0.15379974276394653</v>
      </c>
      <c r="S43" s="57">
        <f t="shared" si="56"/>
        <v>0.1502505864584166</v>
      </c>
      <c r="T43" s="57">
        <f t="shared" si="56"/>
        <v>0.13656306942083069</v>
      </c>
      <c r="U43" s="57">
        <f t="shared" si="56"/>
        <v>0.13959497514940214</v>
      </c>
      <c r="V43" s="57">
        <f t="shared" si="56"/>
        <v>0.14107143484091575</v>
      </c>
      <c r="W43" s="57">
        <f t="shared" si="56"/>
        <v>0.13475893773683456</v>
      </c>
      <c r="X43" s="57">
        <f t="shared" si="56"/>
        <v>0.1266036780673219</v>
      </c>
      <c r="Y43" s="57">
        <f t="shared" si="56"/>
        <v>0.13037626150901152</v>
      </c>
      <c r="Z43" s="57">
        <f t="shared" si="56"/>
        <v>0.13084401334790041</v>
      </c>
      <c r="AA43" s="57">
        <f t="shared" si="56"/>
        <v>0.1224270672260952</v>
      </c>
      <c r="AB43" s="57">
        <f t="shared" si="56"/>
        <v>0.12097794915118328</v>
      </c>
      <c r="AC43" s="57">
        <f t="shared" si="56"/>
        <v>0.10775983863886036</v>
      </c>
      <c r="AD43" s="57">
        <f t="shared" si="56"/>
        <v>0.10787398960475257</v>
      </c>
      <c r="AE43" s="57">
        <f t="shared" si="56"/>
        <v>0.11038875023830054</v>
      </c>
      <c r="AF43" s="57">
        <f t="shared" si="56"/>
        <v>0.11111106363819616</v>
      </c>
      <c r="AG43" s="57">
        <f t="shared" si="56"/>
        <v>0.10971995664626641</v>
      </c>
      <c r="AH43" s="57">
        <f t="shared" si="56"/>
        <v>0.13100071366276447</v>
      </c>
      <c r="AI43" s="57">
        <f t="shared" si="56"/>
        <v>0.14101785662281743</v>
      </c>
      <c r="AJ43" s="57">
        <f t="shared" si="56"/>
        <v>0.14378138524349193</v>
      </c>
      <c r="AK43" s="57">
        <f t="shared" si="56"/>
        <v>0.11881426425281622</v>
      </c>
      <c r="AL43" s="57">
        <f t="shared" si="56"/>
        <v>0.14689816144461876</v>
      </c>
      <c r="AM43" s="57">
        <f t="shared" si="56"/>
        <v>0.17711482648757257</v>
      </c>
      <c r="AN43" s="57">
        <f t="shared" si="56"/>
        <v>0.14580229015799312</v>
      </c>
      <c r="AO43" s="57">
        <f t="shared" si="56"/>
        <v>9.8265323799671719E-2</v>
      </c>
      <c r="AP43" s="57">
        <f t="shared" si="56"/>
        <v>9.2221635635817423E-2</v>
      </c>
      <c r="AQ43" s="57">
        <f t="shared" si="56"/>
        <v>5.8506866587201334E-2</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1713175014.7816</v>
      </c>
      <c r="C45" s="26">
        <f t="shared" ref="C45:BN45" si="58">C70*C69</f>
        <v>1659242388.1568</v>
      </c>
      <c r="D45" s="26">
        <f t="shared" si="58"/>
        <v>1685005205.1056001</v>
      </c>
      <c r="E45" s="26">
        <f t="shared" si="58"/>
        <v>1645633153.404</v>
      </c>
      <c r="F45" s="26">
        <f t="shared" si="58"/>
        <v>1587891275.8255999</v>
      </c>
      <c r="G45" s="26">
        <f t="shared" si="58"/>
        <v>1513603847.2607999</v>
      </c>
      <c r="H45" s="26">
        <f t="shared" si="58"/>
        <v>1502457949.6960001</v>
      </c>
      <c r="I45" s="26">
        <f t="shared" si="58"/>
        <v>1124361055.9791999</v>
      </c>
      <c r="J45" s="26">
        <f t="shared" si="58"/>
        <v>635703771.52160001</v>
      </c>
      <c r="K45" s="26">
        <f t="shared" si="58"/>
        <v>627098422.55840003</v>
      </c>
      <c r="L45" s="26">
        <f t="shared" si="58"/>
        <v>590820536.12320006</v>
      </c>
      <c r="M45" s="26">
        <f t="shared" si="58"/>
        <v>568884175.40960002</v>
      </c>
      <c r="N45" s="26">
        <f t="shared" si="58"/>
        <v>591050190.00160003</v>
      </c>
      <c r="O45" s="26">
        <f t="shared" si="58"/>
        <v>548888838.16159999</v>
      </c>
      <c r="P45" s="26">
        <f t="shared" si="58"/>
        <v>535612978.79040003</v>
      </c>
      <c r="Q45" s="26">
        <f t="shared" si="58"/>
        <v>515395100.87279999</v>
      </c>
      <c r="R45" s="26">
        <f t="shared" si="58"/>
        <v>468160580.40560001</v>
      </c>
      <c r="S45" s="26">
        <f t="shared" si="58"/>
        <v>464071239.59120005</v>
      </c>
      <c r="T45" s="26">
        <f t="shared" si="58"/>
        <v>472641945.99519998</v>
      </c>
      <c r="U45" s="26">
        <f t="shared" si="58"/>
        <v>451126406.69999999</v>
      </c>
      <c r="V45" s="26">
        <f t="shared" si="58"/>
        <v>442378467.40240002</v>
      </c>
      <c r="W45" s="26">
        <f t="shared" si="58"/>
        <v>404709538.32160002</v>
      </c>
      <c r="X45" s="26">
        <f t="shared" si="58"/>
        <v>419826466.52880001</v>
      </c>
      <c r="Y45" s="26">
        <f t="shared" si="58"/>
        <v>403205086.86400002</v>
      </c>
      <c r="Z45" s="26">
        <f t="shared" si="58"/>
        <v>382071734.26719999</v>
      </c>
      <c r="AA45" s="26">
        <f t="shared" si="58"/>
        <v>360399399.65120006</v>
      </c>
      <c r="AB45" s="26">
        <f t="shared" si="58"/>
        <v>394306250.91839999</v>
      </c>
      <c r="AC45" s="26">
        <f t="shared" si="58"/>
        <v>411340962.71280003</v>
      </c>
      <c r="AD45" s="26">
        <f t="shared" si="58"/>
        <v>363130516.77760005</v>
      </c>
      <c r="AE45" s="26">
        <f t="shared" si="58"/>
        <v>343264065.79280001</v>
      </c>
      <c r="AF45" s="26">
        <f t="shared" si="58"/>
        <v>356028032.69839996</v>
      </c>
      <c r="AG45" s="26">
        <f t="shared" si="58"/>
        <v>344441056.4368</v>
      </c>
      <c r="AH45" s="26">
        <f t="shared" si="58"/>
        <v>336159108.12240005</v>
      </c>
      <c r="AI45" s="26">
        <f t="shared" si="58"/>
        <v>319377926.82959998</v>
      </c>
      <c r="AJ45" s="26">
        <f t="shared" si="58"/>
        <v>317897256.47439998</v>
      </c>
      <c r="AK45" s="26">
        <f t="shared" si="58"/>
        <v>110079340.84559999</v>
      </c>
      <c r="AL45" s="26">
        <f t="shared" si="58"/>
        <v>116921989.3392</v>
      </c>
      <c r="AM45" s="26">
        <f t="shared" si="58"/>
        <v>88411180.232800007</v>
      </c>
      <c r="AN45" s="26">
        <f t="shared" si="58"/>
        <v>76353574.376000002</v>
      </c>
      <c r="AO45" s="26">
        <f t="shared" si="58"/>
        <v>40187548.219999999</v>
      </c>
      <c r="AP45" s="26">
        <f t="shared" si="58"/>
        <v>0</v>
      </c>
      <c r="AQ45" s="26">
        <f t="shared" si="58"/>
        <v>0</v>
      </c>
      <c r="AR45" s="26">
        <f t="shared" si="58"/>
        <v>0</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1483583269.8783994</v>
      </c>
      <c r="C47" s="28">
        <f t="shared" ref="C47:BN47" si="62">C42-C45</f>
        <v>17669976.823199987</v>
      </c>
      <c r="D47" s="28">
        <f t="shared" si="62"/>
        <v>-1145318308.0555997</v>
      </c>
      <c r="E47" s="28">
        <f t="shared" si="62"/>
        <v>1005744582.5160015</v>
      </c>
      <c r="F47" s="28">
        <f t="shared" si="62"/>
        <v>344624424.69439912</v>
      </c>
      <c r="G47" s="28">
        <f t="shared" si="62"/>
        <v>-289062441.99079943</v>
      </c>
      <c r="H47" s="28">
        <f t="shared" si="62"/>
        <v>-1115390659.0060003</v>
      </c>
      <c r="I47" s="28">
        <f t="shared" si="62"/>
        <v>1561656980.4608011</v>
      </c>
      <c r="J47" s="28">
        <f t="shared" si="62"/>
        <v>733691231.83839941</v>
      </c>
      <c r="K47" s="28">
        <f t="shared" si="62"/>
        <v>221994575.74160028</v>
      </c>
      <c r="L47" s="28">
        <f t="shared" si="62"/>
        <v>-254367527.19320023</v>
      </c>
      <c r="M47" s="28">
        <f t="shared" si="62"/>
        <v>1308250983.8403995</v>
      </c>
      <c r="N47" s="28">
        <f t="shared" si="62"/>
        <v>776501889.72839999</v>
      </c>
      <c r="O47" s="28">
        <f t="shared" si="62"/>
        <v>298562374.32839966</v>
      </c>
      <c r="P47" s="28">
        <f t="shared" si="62"/>
        <v>-204451458.44040012</v>
      </c>
      <c r="Q47" s="28">
        <f t="shared" si="62"/>
        <v>1413253651.1471992</v>
      </c>
      <c r="R47" s="28">
        <f t="shared" si="62"/>
        <v>963319184.48440027</v>
      </c>
      <c r="S47" s="28">
        <f t="shared" si="62"/>
        <v>414833085.5788005</v>
      </c>
      <c r="T47" s="28">
        <f t="shared" si="62"/>
        <v>-146161290.92520016</v>
      </c>
      <c r="U47" s="28">
        <f t="shared" si="62"/>
        <v>1217941924.2199988</v>
      </c>
      <c r="V47" s="28">
        <f t="shared" si="62"/>
        <v>765996481.29760003</v>
      </c>
      <c r="W47" s="28">
        <f t="shared" si="62"/>
        <v>324962752.87839967</v>
      </c>
      <c r="X47" s="28">
        <f t="shared" si="62"/>
        <v>-157737176.71879998</v>
      </c>
      <c r="Y47" s="28">
        <f t="shared" si="62"/>
        <v>992233340.43599939</v>
      </c>
      <c r="Z47" s="28">
        <f t="shared" si="62"/>
        <v>634147931.94279873</v>
      </c>
      <c r="AA47" s="28">
        <f t="shared" si="62"/>
        <v>172492368.56879991</v>
      </c>
      <c r="AB47" s="28">
        <f t="shared" si="62"/>
        <v>-178324349.9684</v>
      </c>
      <c r="AC47" s="28">
        <f t="shared" si="62"/>
        <v>481793944.35720015</v>
      </c>
      <c r="AD47" s="28">
        <f t="shared" si="62"/>
        <v>319352776.93239975</v>
      </c>
      <c r="AE47" s="28">
        <f t="shared" si="62"/>
        <v>98500551.157200038</v>
      </c>
      <c r="AF47" s="28">
        <f t="shared" si="62"/>
        <v>-173272829.4384</v>
      </c>
      <c r="AG47" s="28">
        <f t="shared" si="62"/>
        <v>351085788.87320018</v>
      </c>
      <c r="AH47" s="28">
        <f t="shared" si="62"/>
        <v>274273046.6376003</v>
      </c>
      <c r="AI47" s="28">
        <f t="shared" si="62"/>
        <v>81289461.770400167</v>
      </c>
      <c r="AJ47" s="28">
        <f t="shared" si="62"/>
        <v>-149687447.3143999</v>
      </c>
      <c r="AK47" s="28">
        <f t="shared" si="62"/>
        <v>460409412.57439983</v>
      </c>
      <c r="AL47" s="28">
        <f t="shared" si="62"/>
        <v>401385986.0108003</v>
      </c>
      <c r="AM47" s="28">
        <f t="shared" si="62"/>
        <v>283466048.69719988</v>
      </c>
      <c r="AN47" s="28">
        <f t="shared" si="62"/>
        <v>51055773.414000019</v>
      </c>
      <c r="AO47" s="28">
        <f t="shared" si="62"/>
        <v>396316191.69999981</v>
      </c>
      <c r="AP47" s="28">
        <f t="shared" si="62"/>
        <v>385929838.26000035</v>
      </c>
      <c r="AQ47" s="28">
        <f t="shared" si="62"/>
        <v>197586995.35000014</v>
      </c>
      <c r="AR47" s="28">
        <f t="shared" si="62"/>
        <v>0</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20061231</v>
      </c>
      <c r="AR51" s="190">
        <v>19700101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570</v>
      </c>
      <c r="B52" s="42">
        <v>-25636</v>
      </c>
      <c r="C52" s="42">
        <v>-27718</v>
      </c>
      <c r="D52" s="42">
        <v>-35317</v>
      </c>
      <c r="E52" s="42">
        <v>-151993742.21000001</v>
      </c>
      <c r="F52" s="42">
        <v>-34414</v>
      </c>
      <c r="G52" s="42">
        <v>-23309</v>
      </c>
      <c r="H52" s="42">
        <v>-16814</v>
      </c>
      <c r="I52" s="42">
        <v>-46452041.509999998</v>
      </c>
      <c r="J52" s="42"/>
      <c r="K52" s="42"/>
      <c r="M52" s="43">
        <v>-24891470.260000002</v>
      </c>
      <c r="Q52" s="43">
        <v>-32547157.25</v>
      </c>
      <c r="U52" s="43">
        <v>-71700972.709999993</v>
      </c>
      <c r="Y52" s="43">
        <v>-110527384.40000001</v>
      </c>
      <c r="AC52" s="43">
        <v>-121689777.72</v>
      </c>
      <c r="AG52" s="43">
        <v>-31282323.690000001</v>
      </c>
      <c r="AK52" s="43">
        <v>-8263236.6200000001</v>
      </c>
    </row>
    <row r="53" spans="1:89" s="43" customFormat="1" x14ac:dyDescent="0.25">
      <c r="A53" s="132" t="s">
        <v>90</v>
      </c>
      <c r="B53" s="42">
        <v>217</v>
      </c>
      <c r="C53" s="42">
        <v>189</v>
      </c>
      <c r="D53" s="42"/>
      <c r="E53" s="42">
        <v>573429676.48000002</v>
      </c>
      <c r="F53" s="42"/>
      <c r="G53" s="42"/>
      <c r="H53" s="42"/>
      <c r="I53" s="42">
        <v>541849764.88</v>
      </c>
      <c r="J53" s="42"/>
      <c r="K53" s="42"/>
      <c r="M53" s="43">
        <v>108894090.77</v>
      </c>
      <c r="Q53" s="43">
        <v>112689607.06</v>
      </c>
      <c r="U53" s="43">
        <v>115011419.62</v>
      </c>
      <c r="Y53" s="43">
        <v>114441869.84999999</v>
      </c>
      <c r="AC53" s="43">
        <v>42398761.759999998</v>
      </c>
      <c r="AD53" s="42"/>
      <c r="AE53" s="42"/>
      <c r="AF53" s="42"/>
      <c r="AG53" s="42">
        <v>462385.15</v>
      </c>
      <c r="AH53" s="42"/>
      <c r="AI53" s="42"/>
      <c r="AJ53" s="42"/>
      <c r="AK53" s="42">
        <v>1584598.31</v>
      </c>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67192203.189999998</v>
      </c>
      <c r="F54" s="42">
        <v>2684</v>
      </c>
      <c r="G54" s="42">
        <v>-377</v>
      </c>
      <c r="H54" s="42">
        <v>1008</v>
      </c>
      <c r="I54" s="42">
        <v>-98291468.900000006</v>
      </c>
      <c r="J54" s="42"/>
      <c r="K54" s="42"/>
      <c r="M54" s="43">
        <v>-2352081.42</v>
      </c>
      <c r="Q54" s="43">
        <v>31965326.719999999</v>
      </c>
      <c r="U54" s="43">
        <v>17557355.59</v>
      </c>
      <c r="Y54" s="43">
        <v>762217.72</v>
      </c>
      <c r="AC54" s="43">
        <v>14655206.18</v>
      </c>
      <c r="AG54" s="43">
        <v>9814598.6999999993</v>
      </c>
      <c r="AK54" s="43">
        <v>466280.76</v>
      </c>
    </row>
    <row r="55" spans="1:89" s="43" customFormat="1" x14ac:dyDescent="0.25">
      <c r="A55" s="132" t="s">
        <v>92</v>
      </c>
      <c r="B55" s="42">
        <v>463</v>
      </c>
      <c r="C55" s="42">
        <v>603</v>
      </c>
      <c r="D55" s="42">
        <v>653</v>
      </c>
      <c r="E55" s="42">
        <v>16705103.24</v>
      </c>
      <c r="F55" s="42">
        <v>1204</v>
      </c>
      <c r="G55" s="42">
        <v>868</v>
      </c>
      <c r="H55" s="42">
        <v>644</v>
      </c>
      <c r="I55" s="42">
        <v>18594680.140000001</v>
      </c>
      <c r="J55" s="42"/>
      <c r="K55" s="42"/>
      <c r="M55" s="43">
        <v>5310931.24</v>
      </c>
      <c r="Q55" s="43">
        <v>4841067.72</v>
      </c>
      <c r="U55" s="43">
        <v>4743638.1900000004</v>
      </c>
      <c r="Y55" s="43">
        <v>3863391.81</v>
      </c>
      <c r="AC55" s="43">
        <v>1784905.82</v>
      </c>
      <c r="AG55" s="43">
        <v>1335064.68</v>
      </c>
      <c r="AK55" s="43">
        <v>1012957.7</v>
      </c>
    </row>
    <row r="56" spans="1:89" s="26" customFormat="1" x14ac:dyDescent="0.25">
      <c r="A56" s="133" t="s">
        <v>93</v>
      </c>
      <c r="B56" s="44">
        <f>SUM(B52:B55)</f>
        <v>-21852</v>
      </c>
      <c r="C56" s="44">
        <f t="shared" ref="C56:D56" si="64">SUM(C52:C55)</f>
        <v>-28350</v>
      </c>
      <c r="D56" s="44">
        <f t="shared" si="64"/>
        <v>-35004</v>
      </c>
      <c r="E56" s="44">
        <f>SUM(E52:E55)</f>
        <v>505333240.69999999</v>
      </c>
      <c r="F56" s="44">
        <f t="shared" ref="F56:BQ56" si="65">SUM(F52:F55)</f>
        <v>-30526</v>
      </c>
      <c r="G56" s="44">
        <f t="shared" si="65"/>
        <v>-22818</v>
      </c>
      <c r="H56" s="44">
        <f t="shared" si="65"/>
        <v>-15162</v>
      </c>
      <c r="I56" s="44">
        <f t="shared" si="65"/>
        <v>415700934.61000001</v>
      </c>
      <c r="J56" s="44">
        <f t="shared" si="65"/>
        <v>0</v>
      </c>
      <c r="K56" s="44">
        <f t="shared" si="65"/>
        <v>0</v>
      </c>
      <c r="L56" s="44">
        <f t="shared" si="65"/>
        <v>0</v>
      </c>
      <c r="M56" s="44">
        <f t="shared" si="65"/>
        <v>86961470.329999983</v>
      </c>
      <c r="N56" s="44">
        <f t="shared" si="65"/>
        <v>0</v>
      </c>
      <c r="O56" s="44">
        <f t="shared" si="65"/>
        <v>0</v>
      </c>
      <c r="P56" s="44">
        <f t="shared" si="65"/>
        <v>0</v>
      </c>
      <c r="Q56" s="44">
        <f t="shared" si="65"/>
        <v>116948844.25</v>
      </c>
      <c r="R56" s="44">
        <f t="shared" si="65"/>
        <v>0</v>
      </c>
      <c r="S56" s="44">
        <f t="shared" si="65"/>
        <v>0</v>
      </c>
      <c r="T56" s="44">
        <f t="shared" si="65"/>
        <v>0</v>
      </c>
      <c r="U56" s="44">
        <f t="shared" si="65"/>
        <v>65611440.690000013</v>
      </c>
      <c r="V56" s="44">
        <f t="shared" si="65"/>
        <v>0</v>
      </c>
      <c r="W56" s="44">
        <f t="shared" si="65"/>
        <v>0</v>
      </c>
      <c r="X56" s="44">
        <f t="shared" si="65"/>
        <v>0</v>
      </c>
      <c r="Y56" s="44">
        <f t="shared" si="65"/>
        <v>8540094.9799999874</v>
      </c>
      <c r="Z56" s="44">
        <f t="shared" si="65"/>
        <v>0</v>
      </c>
      <c r="AA56" s="44">
        <f t="shared" si="65"/>
        <v>0</v>
      </c>
      <c r="AB56" s="44">
        <f t="shared" si="65"/>
        <v>0</v>
      </c>
      <c r="AC56" s="44">
        <f t="shared" si="65"/>
        <v>-62850903.960000008</v>
      </c>
      <c r="AD56" s="44">
        <f t="shared" si="65"/>
        <v>0</v>
      </c>
      <c r="AE56" s="44">
        <f t="shared" si="65"/>
        <v>0</v>
      </c>
      <c r="AF56" s="44">
        <f t="shared" si="65"/>
        <v>0</v>
      </c>
      <c r="AG56" s="44">
        <f t="shared" si="65"/>
        <v>-19670275.160000004</v>
      </c>
      <c r="AH56" s="44">
        <f t="shared" si="65"/>
        <v>0</v>
      </c>
      <c r="AI56" s="44">
        <f t="shared" si="65"/>
        <v>0</v>
      </c>
      <c r="AJ56" s="44">
        <f t="shared" si="65"/>
        <v>0</v>
      </c>
      <c r="AK56" s="44">
        <f t="shared" si="65"/>
        <v>-5199399.8500000006</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2887765291.6199999</v>
      </c>
      <c r="C59" s="190">
        <v>1852922651.21</v>
      </c>
      <c r="D59" s="190">
        <v>641754313.15999997</v>
      </c>
      <c r="E59" s="190">
        <v>2996074317.46</v>
      </c>
      <c r="F59" s="190">
        <v>2065111632.03</v>
      </c>
      <c r="G59" s="190">
        <v>1318236991.3</v>
      </c>
      <c r="H59" s="190">
        <v>386315797.54000002</v>
      </c>
      <c r="I59" s="190">
        <v>2617931032.29</v>
      </c>
      <c r="J59" s="190">
        <v>1376169266.1300001</v>
      </c>
      <c r="K59" s="190">
        <v>854141185.00999999</v>
      </c>
      <c r="L59" s="190">
        <v>342446441.38999999</v>
      </c>
      <c r="M59" s="190">
        <v>1870911271.9000001</v>
      </c>
      <c r="N59" s="190">
        <v>1367692411.0799999</v>
      </c>
      <c r="O59" s="190">
        <v>849554779.36000001</v>
      </c>
      <c r="P59" s="190">
        <v>332692961.18000001</v>
      </c>
      <c r="Q59" s="190">
        <v>1967182268.9300001</v>
      </c>
      <c r="R59" s="190">
        <v>1431226236.2</v>
      </c>
      <c r="S59" s="190">
        <v>880187846.99000001</v>
      </c>
      <c r="T59" s="190">
        <v>325785081.72000003</v>
      </c>
      <c r="U59" s="190">
        <v>1691032133.5699999</v>
      </c>
      <c r="V59" s="190">
        <v>1210872633.52</v>
      </c>
      <c r="W59" s="190">
        <v>731089928.79999995</v>
      </c>
      <c r="X59" s="190">
        <v>262062540.02000001</v>
      </c>
      <c r="Y59" s="190">
        <v>1401091863.25</v>
      </c>
      <c r="Z59" s="190">
        <v>1017362725.2</v>
      </c>
      <c r="AA59" s="190">
        <v>533404595.57999998</v>
      </c>
      <c r="AB59" s="190">
        <v>216241951.5</v>
      </c>
      <c r="AC59" s="190">
        <v>910133718.20000005</v>
      </c>
      <c r="AD59" s="190">
        <v>683004215.30999994</v>
      </c>
      <c r="AE59" s="190">
        <v>441729448.35000002</v>
      </c>
      <c r="AF59" s="190">
        <v>182756815.55000001</v>
      </c>
      <c r="AG59" s="190">
        <v>704033044.58000004</v>
      </c>
      <c r="AH59" s="190">
        <v>607682154.75999999</v>
      </c>
      <c r="AI59" s="190">
        <v>397917388.60000002</v>
      </c>
      <c r="AJ59" s="190">
        <v>165459809.16</v>
      </c>
      <c r="AK59" s="190">
        <v>571967991.88</v>
      </c>
      <c r="AL59" s="190">
        <v>518307975.35000002</v>
      </c>
      <c r="AM59" s="190">
        <v>371877228.93000001</v>
      </c>
      <c r="AN59" s="190">
        <v>127409347.79000001</v>
      </c>
      <c r="AO59" s="190">
        <v>436503739.92000002</v>
      </c>
      <c r="AP59" s="190">
        <v>385929838.25999999</v>
      </c>
      <c r="AQ59" s="190">
        <v>197586995.34999999</v>
      </c>
      <c r="AR59" s="190">
        <v>0</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384623595.17000002</v>
      </c>
      <c r="C60" s="190">
        <v>243826913.59999999</v>
      </c>
      <c r="D60" s="190">
        <v>96174212.359999999</v>
      </c>
      <c r="E60" s="190">
        <v>398534881.86000001</v>
      </c>
      <c r="F60" s="190">
        <v>291411152.45999998</v>
      </c>
      <c r="G60" s="190">
        <v>197094602.34999999</v>
      </c>
      <c r="H60" s="190">
        <v>75248835.909999996</v>
      </c>
      <c r="I60" s="190">
        <v>417175175.62</v>
      </c>
      <c r="J60" s="190">
        <v>236009057.22999999</v>
      </c>
      <c r="K60" s="190">
        <v>140601912.28</v>
      </c>
      <c r="L60" s="190">
        <v>59616688.159999996</v>
      </c>
      <c r="M60" s="190">
        <v>324213223.61000001</v>
      </c>
      <c r="N60" s="190">
        <v>237493346.84999999</v>
      </c>
      <c r="O60" s="190">
        <v>149258972.36000001</v>
      </c>
      <c r="P60" s="190">
        <v>61143404.229999997</v>
      </c>
      <c r="Q60" s="190">
        <v>356671012.99000001</v>
      </c>
      <c r="R60" s="190">
        <v>260932709.28999999</v>
      </c>
      <c r="S60" s="190">
        <v>157230475.5</v>
      </c>
      <c r="T60" s="190">
        <v>58868907.850000001</v>
      </c>
      <c r="U60" s="190">
        <v>310427362.18000001</v>
      </c>
      <c r="V60" s="190">
        <v>236357559.84</v>
      </c>
      <c r="W60" s="190">
        <v>144139153.53999999</v>
      </c>
      <c r="X60" s="190">
        <v>54154778.520000003</v>
      </c>
      <c r="Y60" s="190">
        <v>269073715.31999999</v>
      </c>
      <c r="Z60" s="190">
        <v>202012329.58000001</v>
      </c>
      <c r="AA60" s="190">
        <v>113463280.55</v>
      </c>
      <c r="AB60" s="190">
        <v>45543182.420000002</v>
      </c>
      <c r="AC60" s="190">
        <v>168444630.18000001</v>
      </c>
      <c r="AD60" s="190">
        <v>125904933.8</v>
      </c>
      <c r="AE60" s="190">
        <v>88892196.390000001</v>
      </c>
      <c r="AF60" s="190">
        <v>37998415.850000001</v>
      </c>
      <c r="AG60" s="190">
        <v>137416490.31</v>
      </c>
      <c r="AH60" s="190">
        <v>132421964.09999999</v>
      </c>
      <c r="AI60" s="190">
        <v>85930400.920000002</v>
      </c>
      <c r="AJ60" s="190">
        <v>33359198.859999999</v>
      </c>
      <c r="AK60" s="190">
        <v>117841598.95999999</v>
      </c>
      <c r="AL60" s="190">
        <v>104331202.44</v>
      </c>
      <c r="AM60" s="190">
        <v>81507639.430000007</v>
      </c>
      <c r="AN60" s="190">
        <v>20969276.899999999</v>
      </c>
      <c r="AO60" s="190">
        <v>135378762.28</v>
      </c>
      <c r="AP60" s="190">
        <v>178843321.78</v>
      </c>
      <c r="AQ60" s="190">
        <v>83957852.799999997</v>
      </c>
      <c r="AR60" s="190">
        <v>0</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3272388886.79</v>
      </c>
      <c r="C61" s="190">
        <v>2096749564.8099999</v>
      </c>
      <c r="D61" s="190">
        <v>737928525.51999998</v>
      </c>
      <c r="E61" s="190">
        <v>3394609199.3200002</v>
      </c>
      <c r="F61" s="190">
        <v>2356522784.4899998</v>
      </c>
      <c r="G61" s="190">
        <v>1515331593.6500001</v>
      </c>
      <c r="H61" s="190">
        <v>461564633.44999999</v>
      </c>
      <c r="I61" s="190">
        <v>3035106207.9099998</v>
      </c>
      <c r="J61" s="190">
        <v>1612178323.3599999</v>
      </c>
      <c r="K61" s="190">
        <v>994743097.28999996</v>
      </c>
      <c r="L61" s="190">
        <v>402063129.55000001</v>
      </c>
      <c r="M61" s="190">
        <v>2195124495.5100002</v>
      </c>
      <c r="N61" s="190">
        <v>1605185757.9300001</v>
      </c>
      <c r="O61" s="190">
        <v>998813751.72000003</v>
      </c>
      <c r="P61" s="190">
        <v>393836365.41000003</v>
      </c>
      <c r="Q61" s="190">
        <v>2323853281.9200001</v>
      </c>
      <c r="R61" s="190">
        <v>1692158945.49</v>
      </c>
      <c r="S61" s="190">
        <v>1037418322.49</v>
      </c>
      <c r="T61" s="190">
        <v>384653989.56999999</v>
      </c>
      <c r="U61" s="190">
        <v>2001459495.75</v>
      </c>
      <c r="V61" s="190">
        <v>1447230193.3599999</v>
      </c>
      <c r="W61" s="190">
        <v>875229082.34000003</v>
      </c>
      <c r="X61" s="190">
        <v>316217318.54000002</v>
      </c>
      <c r="Y61" s="190">
        <v>1670165578.5699999</v>
      </c>
      <c r="Z61" s="190">
        <v>1219375054.78</v>
      </c>
      <c r="AA61" s="190">
        <v>646867876.13</v>
      </c>
      <c r="AB61" s="190">
        <v>261785133.91999999</v>
      </c>
      <c r="AC61" s="190">
        <v>1078578348.3800001</v>
      </c>
      <c r="AD61" s="190">
        <v>808909149.11000001</v>
      </c>
      <c r="AE61" s="190">
        <v>530621644.74000001</v>
      </c>
      <c r="AF61" s="190">
        <v>220755231.40000001</v>
      </c>
      <c r="AG61" s="190">
        <v>841449534.88999999</v>
      </c>
      <c r="AH61" s="190">
        <v>740104118.86000001</v>
      </c>
      <c r="AI61" s="190">
        <v>483847789.51999998</v>
      </c>
      <c r="AJ61" s="190">
        <v>198819008.02000001</v>
      </c>
      <c r="AK61" s="190">
        <v>689809590.84000003</v>
      </c>
      <c r="AL61" s="190">
        <v>622639177.78999996</v>
      </c>
      <c r="AM61" s="190">
        <v>453384868.36000001</v>
      </c>
      <c r="AN61" s="190">
        <v>148378624.69</v>
      </c>
      <c r="AO61" s="190">
        <v>571882502.20000005</v>
      </c>
      <c r="AP61" s="190">
        <v>564773160.03999996</v>
      </c>
      <c r="AQ61" s="190">
        <v>281544848.14999998</v>
      </c>
      <c r="AR61" s="190">
        <v>0</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558933964.42999995</v>
      </c>
      <c r="C65" s="190">
        <v>421458320.98000002</v>
      </c>
      <c r="D65" s="190">
        <v>235726188.84999999</v>
      </c>
      <c r="E65" s="190">
        <v>214022616.25999999</v>
      </c>
      <c r="F65" s="190">
        <v>110647687.69</v>
      </c>
      <c r="G65" s="190">
        <v>81034544.840000004</v>
      </c>
      <c r="H65" s="190">
        <v>40043666.270000003</v>
      </c>
      <c r="I65" s="190">
        <v>158327105.12</v>
      </c>
      <c r="J65" s="190">
        <v>32291901.039999999</v>
      </c>
      <c r="K65" s="190">
        <v>20570852.93</v>
      </c>
      <c r="L65" s="190">
        <v>10695316.970000001</v>
      </c>
      <c r="M65" s="190">
        <v>59704988.460000001</v>
      </c>
      <c r="N65" s="190">
        <v>50888730.579999998</v>
      </c>
      <c r="O65" s="190">
        <v>31507570.07</v>
      </c>
      <c r="P65" s="190">
        <v>14497731.539999999</v>
      </c>
      <c r="Q65" s="190">
        <v>59560093.020000003</v>
      </c>
      <c r="R65" s="190">
        <v>50875936.310000002</v>
      </c>
      <c r="S65" s="190">
        <v>24277729.989999998</v>
      </c>
      <c r="T65" s="190">
        <v>12778154.970000001</v>
      </c>
      <c r="U65" s="190">
        <v>41545502.219999999</v>
      </c>
      <c r="V65" s="190">
        <v>32994122.09</v>
      </c>
      <c r="W65" s="190">
        <v>16108585.439999999</v>
      </c>
      <c r="X65" s="190">
        <v>4912787.71</v>
      </c>
      <c r="Y65" s="190">
        <v>27297886.82</v>
      </c>
      <c r="Z65" s="190">
        <v>3470607.02</v>
      </c>
      <c r="AA65" s="190">
        <v>3666380.15</v>
      </c>
      <c r="AB65" s="190">
        <v>2944941.77</v>
      </c>
      <c r="AC65" s="190">
        <v>4542812.28</v>
      </c>
      <c r="AD65" s="190">
        <v>3425500.76</v>
      </c>
      <c r="AE65" s="190">
        <v>133281.18</v>
      </c>
      <c r="AF65" s="190">
        <v>-741821.33</v>
      </c>
      <c r="AG65" s="190">
        <v>2424132.64</v>
      </c>
      <c r="AH65" s="190">
        <v>1368964.67</v>
      </c>
      <c r="AI65" s="190">
        <v>-50258.03</v>
      </c>
      <c r="AJ65" s="190">
        <v>-366046.36</v>
      </c>
      <c r="AK65" s="190">
        <v>-520683.38</v>
      </c>
      <c r="AL65" s="190">
        <v>-476540.05</v>
      </c>
      <c r="AM65" s="190">
        <v>1549090.49</v>
      </c>
      <c r="AN65" s="190">
        <v>-550976.51</v>
      </c>
      <c r="AO65" s="190">
        <v>5131480.8600000003</v>
      </c>
      <c r="AP65" s="190">
        <v>-7611582.8499999996</v>
      </c>
      <c r="AQ65" s="190">
        <v>-5457987.3899999997</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137934664.63999999</v>
      </c>
      <c r="C66" s="190">
        <v>95463404.609999999</v>
      </c>
      <c r="D66" s="190">
        <v>21695492.899999999</v>
      </c>
      <c r="E66" s="190">
        <v>98375119.810000002</v>
      </c>
      <c r="F66" s="190">
        <v>78114405.870000005</v>
      </c>
      <c r="G66" s="190">
        <v>10832281.039999999</v>
      </c>
      <c r="H66" s="190">
        <v>20819311.460000001</v>
      </c>
      <c r="I66" s="190">
        <v>73867224.670000002</v>
      </c>
      <c r="J66" s="190">
        <v>5558083.9699999997</v>
      </c>
      <c r="K66" s="190">
        <v>3755394.29</v>
      </c>
      <c r="L66" s="190">
        <v>1977960.73</v>
      </c>
      <c r="M66" s="190">
        <v>6374373.0099999998</v>
      </c>
      <c r="N66" s="190">
        <v>5876433.9199999999</v>
      </c>
      <c r="O66" s="190">
        <v>4730197.6399999997</v>
      </c>
      <c r="P66" s="190">
        <v>1522955.77</v>
      </c>
      <c r="Q66" s="190">
        <v>8084118.1200000001</v>
      </c>
      <c r="R66" s="190">
        <v>5858555.4000000004</v>
      </c>
      <c r="S66" s="190">
        <v>3772845.07</v>
      </c>
      <c r="T66" s="190">
        <v>1993749.5</v>
      </c>
      <c r="U66" s="190">
        <v>8996883.6500000004</v>
      </c>
      <c r="V66" s="190">
        <v>6354691.4299999997</v>
      </c>
      <c r="W66" s="190">
        <v>3202064.88</v>
      </c>
      <c r="X66" s="190">
        <v>186760.31</v>
      </c>
      <c r="Y66" s="190">
        <v>1586580.79</v>
      </c>
      <c r="Z66" s="190">
        <v>1252824.55</v>
      </c>
      <c r="AA66" s="190">
        <v>537005.15</v>
      </c>
      <c r="AB66" s="190">
        <v>-184433.23</v>
      </c>
      <c r="AC66" s="190">
        <v>1413437.28</v>
      </c>
      <c r="AD66" s="190">
        <v>296125.76</v>
      </c>
      <c r="AE66" s="190">
        <v>133281.18</v>
      </c>
      <c r="AF66" s="190">
        <v>-741821.33</v>
      </c>
      <c r="AG66" s="190">
        <v>1674132.64</v>
      </c>
      <c r="AH66" s="190">
        <v>1368964.67</v>
      </c>
      <c r="AI66" s="190">
        <v>-50258.03</v>
      </c>
      <c r="AJ66" s="190">
        <v>-366046.36</v>
      </c>
      <c r="AK66" s="190">
        <v>-998552.2</v>
      </c>
      <c r="AL66" s="190">
        <v>-476540.05</v>
      </c>
      <c r="AM66" s="190">
        <v>-379863.71</v>
      </c>
      <c r="AN66" s="190">
        <v>-550976.51</v>
      </c>
      <c r="AO66" s="190">
        <v>4646892.58</v>
      </c>
      <c r="AP66" s="190">
        <v>-8814265.8200000003</v>
      </c>
      <c r="AQ66" s="190">
        <v>-5503336.3899999997</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420999299.78999996</v>
      </c>
      <c r="C67" s="4">
        <f t="shared" ref="C67:BN67" si="67">C65-C66</f>
        <v>325994916.37</v>
      </c>
      <c r="D67" s="4">
        <f t="shared" si="67"/>
        <v>214030695.94999999</v>
      </c>
      <c r="E67" s="4">
        <f t="shared" si="67"/>
        <v>115647496.44999999</v>
      </c>
      <c r="F67" s="4">
        <f t="shared" si="67"/>
        <v>32533281.819999993</v>
      </c>
      <c r="G67" s="4">
        <f t="shared" si="67"/>
        <v>70202263.800000012</v>
      </c>
      <c r="H67" s="4">
        <f t="shared" si="67"/>
        <v>19224354.810000002</v>
      </c>
      <c r="I67" s="4">
        <f t="shared" si="67"/>
        <v>84459880.450000003</v>
      </c>
      <c r="J67" s="4">
        <f t="shared" si="67"/>
        <v>26733817.07</v>
      </c>
      <c r="K67" s="4">
        <f t="shared" si="67"/>
        <v>16815458.640000001</v>
      </c>
      <c r="L67" s="4">
        <f t="shared" si="67"/>
        <v>8717356.2400000002</v>
      </c>
      <c r="M67" s="4">
        <f t="shared" si="67"/>
        <v>53330615.450000003</v>
      </c>
      <c r="N67" s="4">
        <f t="shared" si="67"/>
        <v>45012296.659999996</v>
      </c>
      <c r="O67" s="4">
        <f t="shared" si="67"/>
        <v>26777372.43</v>
      </c>
      <c r="P67" s="4">
        <f t="shared" si="67"/>
        <v>12974775.77</v>
      </c>
      <c r="Q67" s="4">
        <f t="shared" si="67"/>
        <v>51475974.900000006</v>
      </c>
      <c r="R67" s="4">
        <f t="shared" si="67"/>
        <v>45017380.910000004</v>
      </c>
      <c r="S67" s="4">
        <f t="shared" si="67"/>
        <v>20504884.919999998</v>
      </c>
      <c r="T67" s="4">
        <f t="shared" si="67"/>
        <v>10784405.470000001</v>
      </c>
      <c r="U67" s="4">
        <f t="shared" si="67"/>
        <v>32548618.57</v>
      </c>
      <c r="V67" s="4">
        <f t="shared" si="67"/>
        <v>26639430.66</v>
      </c>
      <c r="W67" s="4">
        <f t="shared" si="67"/>
        <v>12906520.559999999</v>
      </c>
      <c r="X67" s="4">
        <f t="shared" si="67"/>
        <v>4726027.4000000004</v>
      </c>
      <c r="Y67" s="4">
        <f t="shared" si="67"/>
        <v>25711306.030000001</v>
      </c>
      <c r="Z67" s="4">
        <f t="shared" si="67"/>
        <v>2217782.4699999997</v>
      </c>
      <c r="AA67" s="4">
        <f t="shared" si="67"/>
        <v>3129375</v>
      </c>
      <c r="AB67" s="4">
        <f t="shared" si="67"/>
        <v>3129375</v>
      </c>
      <c r="AC67" s="4">
        <f t="shared" si="67"/>
        <v>3129375</v>
      </c>
      <c r="AD67" s="4">
        <f t="shared" si="67"/>
        <v>3129375</v>
      </c>
      <c r="AE67" s="4">
        <f t="shared" si="67"/>
        <v>0</v>
      </c>
      <c r="AF67" s="4">
        <f t="shared" si="67"/>
        <v>0</v>
      </c>
      <c r="AG67" s="4">
        <f t="shared" si="67"/>
        <v>750000.00000000023</v>
      </c>
      <c r="AH67" s="4">
        <f t="shared" si="67"/>
        <v>0</v>
      </c>
      <c r="AI67" s="4">
        <f t="shared" si="67"/>
        <v>0</v>
      </c>
      <c r="AJ67" s="4">
        <f t="shared" si="67"/>
        <v>0</v>
      </c>
      <c r="AK67" s="4">
        <f t="shared" si="67"/>
        <v>477868.81999999995</v>
      </c>
      <c r="AL67" s="4">
        <f t="shared" si="67"/>
        <v>0</v>
      </c>
      <c r="AM67" s="4">
        <f t="shared" si="67"/>
        <v>1928954.2</v>
      </c>
      <c r="AN67" s="4">
        <f t="shared" si="67"/>
        <v>0</v>
      </c>
      <c r="AO67" s="4">
        <f t="shared" si="67"/>
        <v>484588.28000000026</v>
      </c>
      <c r="AP67" s="4">
        <f t="shared" si="67"/>
        <v>1202682.9700000007</v>
      </c>
      <c r="AQ67" s="4">
        <f t="shared" si="67"/>
        <v>45349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243114352.5</v>
      </c>
      <c r="C68" s="190">
        <v>197043339.72</v>
      </c>
      <c r="D68" s="190">
        <v>160426599.27000001</v>
      </c>
      <c r="E68" s="190">
        <v>505333240.69999999</v>
      </c>
      <c r="F68" s="190">
        <v>322941882.69</v>
      </c>
      <c r="G68" s="190">
        <v>201113849.62</v>
      </c>
      <c r="H68" s="190">
        <v>116516385.51000001</v>
      </c>
      <c r="I68" s="190">
        <v>415700934.61000001</v>
      </c>
      <c r="J68" s="190">
        <v>22706063.27</v>
      </c>
      <c r="K68" s="190">
        <v>25965055.690000001</v>
      </c>
      <c r="L68" s="190">
        <v>26440274.66</v>
      </c>
      <c r="M68" s="190">
        <v>86961470.329999998</v>
      </c>
      <c r="N68" s="190">
        <v>60024147.170000002</v>
      </c>
      <c r="O68" s="190">
        <v>61876869.630000003</v>
      </c>
      <c r="P68" s="190">
        <v>36993467.100000001</v>
      </c>
      <c r="Q68" s="190">
        <v>116948844.25</v>
      </c>
      <c r="R68" s="190">
        <v>83689044.420000002</v>
      </c>
      <c r="S68" s="190">
        <v>40600589.310000002</v>
      </c>
      <c r="T68" s="190">
        <v>15751878.300000001</v>
      </c>
      <c r="U68" s="190">
        <v>64611417.210000001</v>
      </c>
      <c r="V68" s="190">
        <v>36335047.93</v>
      </c>
      <c r="W68" s="190">
        <v>12900820.48</v>
      </c>
      <c r="X68" s="190">
        <v>-11375472.210000001</v>
      </c>
      <c r="Y68" s="190">
        <v>4489118.34</v>
      </c>
      <c r="Z68" s="190">
        <v>-15488482.289999999</v>
      </c>
      <c r="AA68" s="190">
        <v>-23551541.43</v>
      </c>
      <c r="AB68" s="190">
        <v>-34165997.090000004</v>
      </c>
      <c r="AC68" s="190">
        <v>-62850903.960000001</v>
      </c>
      <c r="AD68" s="190">
        <v>-52879552.07</v>
      </c>
      <c r="AE68" s="190">
        <v>-56836861.960000001</v>
      </c>
      <c r="AF68" s="190">
        <v>-47448180.68</v>
      </c>
      <c r="AG68" s="190">
        <v>-20086929.940000001</v>
      </c>
      <c r="AH68" s="190">
        <v>-13087137.390000001</v>
      </c>
      <c r="AI68" s="190">
        <v>597425.06999999995</v>
      </c>
      <c r="AJ68" s="190">
        <v>-751143.15</v>
      </c>
      <c r="AK68" s="190">
        <v>-5199399.8499999996</v>
      </c>
      <c r="AL68" s="190">
        <v>-3132881.15</v>
      </c>
      <c r="AM68" s="190">
        <v>-573091.39</v>
      </c>
      <c r="AN68" s="190">
        <v>2253641.19</v>
      </c>
      <c r="AO68" s="190">
        <v>16058836.289999999</v>
      </c>
      <c r="AP68" s="190">
        <v>21474158.75</v>
      </c>
      <c r="AQ68" s="190">
        <v>22843189.52</v>
      </c>
      <c r="AR68" s="190">
        <v>0</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21414687684.77</v>
      </c>
      <c r="C70" s="190">
        <v>20740529851.959999</v>
      </c>
      <c r="D70" s="190">
        <v>21062565063.82</v>
      </c>
      <c r="E70" s="190">
        <v>20570414417.549999</v>
      </c>
      <c r="F70" s="190">
        <v>19848640947.82</v>
      </c>
      <c r="G70" s="190">
        <v>18920048090.759998</v>
      </c>
      <c r="H70" s="190">
        <v>18780724371.200001</v>
      </c>
      <c r="I70" s="190">
        <v>14054513199.74</v>
      </c>
      <c r="J70" s="190">
        <v>7946297144.0200005</v>
      </c>
      <c r="K70" s="190">
        <v>7838730281.9799995</v>
      </c>
      <c r="L70" s="190">
        <v>7385256701.54</v>
      </c>
      <c r="M70" s="190">
        <v>7111052192.6199999</v>
      </c>
      <c r="N70" s="190">
        <v>7388127375.0200005</v>
      </c>
      <c r="O70" s="190">
        <v>6861110477.0200005</v>
      </c>
      <c r="P70" s="190">
        <v>6695162234.8800001</v>
      </c>
      <c r="Q70" s="190">
        <v>6442438760.9099998</v>
      </c>
      <c r="R70" s="190">
        <v>5852007255.0699997</v>
      </c>
      <c r="S70" s="190">
        <v>5800890494.8900003</v>
      </c>
      <c r="T70" s="190">
        <v>5908024324.9399996</v>
      </c>
      <c r="U70" s="190">
        <v>5639080083.75</v>
      </c>
      <c r="V70" s="190">
        <v>5529730842.5299997</v>
      </c>
      <c r="W70" s="190">
        <v>5058869229.0200005</v>
      </c>
      <c r="X70" s="190">
        <v>5247830831.6099997</v>
      </c>
      <c r="Y70" s="190">
        <v>5040063585.8000002</v>
      </c>
      <c r="Z70" s="190">
        <v>4775896678.3400002</v>
      </c>
      <c r="AA70" s="190">
        <v>4504992495.6400003</v>
      </c>
      <c r="AB70" s="190">
        <v>4928828136.4799995</v>
      </c>
      <c r="AC70" s="190">
        <v>5141762033.9099998</v>
      </c>
      <c r="AD70" s="190">
        <v>4539131459.7200003</v>
      </c>
      <c r="AE70" s="190">
        <v>4290800822.4099998</v>
      </c>
      <c r="AF70" s="190">
        <v>4450350408.7299995</v>
      </c>
      <c r="AG70" s="190">
        <v>4305513205.46</v>
      </c>
      <c r="AH70" s="190">
        <v>4201988851.5300002</v>
      </c>
      <c r="AI70" s="190">
        <v>3992224085.3699999</v>
      </c>
      <c r="AJ70" s="190">
        <v>3973715705.9299998</v>
      </c>
      <c r="AK70" s="190">
        <v>1375991760.5699999</v>
      </c>
      <c r="AL70" s="190">
        <v>1461524866.74</v>
      </c>
      <c r="AM70" s="190">
        <v>1105139752.9100001</v>
      </c>
      <c r="AN70" s="190">
        <v>954419679.70000005</v>
      </c>
      <c r="AO70" s="190">
        <v>502344352.75</v>
      </c>
      <c r="AP70" s="190">
        <v>0</v>
      </c>
      <c r="AQ70" s="190"/>
      <c r="AR70" s="190"/>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O42" sqref="AO42"/>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0" width="21.5546875" hidden="1" customWidth="1"/>
    <col min="11" max="12" width="20.33203125" hidden="1" customWidth="1"/>
    <col min="13" max="13" width="22.5546875" bestFit="1" customWidth="1"/>
    <col min="14" max="14" width="21.5546875" hidden="1" customWidth="1"/>
    <col min="15"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18.109375" hidden="1" customWidth="1"/>
    <col min="41" max="43" width="20.33203125" bestFit="1" customWidth="1"/>
    <col min="44"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520564.89</v>
      </c>
      <c r="C3" s="190">
        <v>213225.89</v>
      </c>
      <c r="D3" s="190">
        <v>101331.53</v>
      </c>
      <c r="E3" s="190">
        <v>156554377.59</v>
      </c>
      <c r="F3" s="190">
        <v>15431500.199999999</v>
      </c>
      <c r="G3" s="190">
        <v>84875000</v>
      </c>
      <c r="H3" s="190">
        <v>1780263.86</v>
      </c>
      <c r="I3" s="190">
        <v>432464735.69999999</v>
      </c>
      <c r="J3" s="190">
        <v>6202860.5800000001</v>
      </c>
      <c r="K3" s="190">
        <v>4900082</v>
      </c>
      <c r="L3" s="190">
        <v>4922370</v>
      </c>
      <c r="M3" s="190">
        <v>24566889.960000001</v>
      </c>
      <c r="N3" s="190">
        <v>713319.6</v>
      </c>
      <c r="O3" s="190">
        <v>552400.84</v>
      </c>
      <c r="P3" s="190">
        <v>200350</v>
      </c>
      <c r="Q3" s="190">
        <v>11545587.24</v>
      </c>
      <c r="R3" s="190">
        <v>1126855.81</v>
      </c>
      <c r="S3" s="190">
        <v>379416.58</v>
      </c>
      <c r="T3" s="190">
        <v>213719.58</v>
      </c>
      <c r="U3" s="190">
        <v>11021780.58</v>
      </c>
      <c r="V3" s="190">
        <v>5588523.9100000001</v>
      </c>
      <c r="W3" s="190">
        <v>950828.44</v>
      </c>
      <c r="X3" s="190">
        <v>664055.98</v>
      </c>
      <c r="Y3" s="190">
        <v>10079587.33</v>
      </c>
      <c r="Z3" s="190">
        <v>1262324.04</v>
      </c>
      <c r="AA3" s="190">
        <v>1157877</v>
      </c>
      <c r="AB3" s="190">
        <v>191377</v>
      </c>
      <c r="AC3" s="190">
        <v>641356.51</v>
      </c>
      <c r="AD3" s="190">
        <v>272222.75</v>
      </c>
      <c r="AE3" s="190">
        <v>162850.54999999999</v>
      </c>
      <c r="AF3" s="190">
        <v>15190</v>
      </c>
      <c r="AG3" s="190">
        <v>1820131.66</v>
      </c>
      <c r="AH3" s="190">
        <v>1270142.1200000001</v>
      </c>
      <c r="AI3" s="190">
        <v>507205</v>
      </c>
      <c r="AJ3" s="190">
        <v>145500</v>
      </c>
      <c r="AK3" s="190">
        <v>8343417.9299999997</v>
      </c>
      <c r="AL3" s="190">
        <v>938991.65</v>
      </c>
      <c r="AM3" s="190">
        <v>1672716.14</v>
      </c>
      <c r="AN3" s="190">
        <v>0</v>
      </c>
      <c r="AO3" s="190">
        <v>9166896.7200000007</v>
      </c>
      <c r="AP3" s="190">
        <v>18929240.260000002</v>
      </c>
      <c r="AQ3" s="190">
        <v>386099.61</v>
      </c>
      <c r="AR3" s="190">
        <v>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1982903593.22</v>
      </c>
      <c r="C4" s="190">
        <v>1039129277.21</v>
      </c>
      <c r="D4" s="190">
        <v>531804067.58999997</v>
      </c>
      <c r="E4" s="190">
        <v>3233316501.3800001</v>
      </c>
      <c r="F4" s="190">
        <v>3039664236.0900002</v>
      </c>
      <c r="G4" s="190">
        <v>2108669044.8</v>
      </c>
      <c r="H4" s="190">
        <v>1183345424.1300001</v>
      </c>
      <c r="I4" s="190">
        <v>3821932418.4200001</v>
      </c>
      <c r="J4" s="190">
        <v>94587196.159999996</v>
      </c>
      <c r="K4" s="190">
        <v>67925021.609999999</v>
      </c>
      <c r="L4" s="190">
        <v>46407505.700000003</v>
      </c>
      <c r="M4" s="190">
        <v>436758567.57999998</v>
      </c>
      <c r="N4" s="190">
        <v>187281358.66999999</v>
      </c>
      <c r="O4" s="190">
        <v>143113950.81999999</v>
      </c>
      <c r="P4" s="190">
        <v>113055085.77</v>
      </c>
      <c r="Q4" s="190">
        <v>377345778.39999998</v>
      </c>
      <c r="R4" s="190">
        <v>271080207.19</v>
      </c>
      <c r="S4" s="190">
        <v>213167487.41999999</v>
      </c>
      <c r="T4" s="190">
        <v>134798968.43000001</v>
      </c>
      <c r="U4" s="190">
        <v>521652394.57999998</v>
      </c>
      <c r="V4" s="190">
        <v>335409080.93000001</v>
      </c>
      <c r="W4" s="190">
        <v>214275788</v>
      </c>
      <c r="X4" s="190">
        <v>104585971.78</v>
      </c>
      <c r="Y4" s="190">
        <v>912787029.12</v>
      </c>
      <c r="Z4" s="190">
        <v>403991606.88</v>
      </c>
      <c r="AA4" s="190">
        <v>206273648.81999999</v>
      </c>
      <c r="AB4" s="190">
        <v>57100908.82</v>
      </c>
      <c r="AC4" s="190">
        <v>279514702.91000003</v>
      </c>
      <c r="AD4" s="190">
        <v>190130041.66</v>
      </c>
      <c r="AE4" s="190">
        <v>120963529.97</v>
      </c>
      <c r="AF4" s="190">
        <v>55302359.460000001</v>
      </c>
      <c r="AG4" s="190">
        <v>100383291.88</v>
      </c>
      <c r="AH4" s="190">
        <v>88314686.909999996</v>
      </c>
      <c r="AI4" s="190">
        <v>46873989.75</v>
      </c>
      <c r="AJ4" s="190">
        <v>12514110.98</v>
      </c>
      <c r="AK4" s="190">
        <v>66258748.840000004</v>
      </c>
      <c r="AL4" s="190">
        <v>37074111.770000003</v>
      </c>
      <c r="AM4" s="190">
        <v>24640621.469999999</v>
      </c>
      <c r="AN4" s="190">
        <v>9715572.3200000003</v>
      </c>
      <c r="AO4" s="190">
        <v>121798896.73</v>
      </c>
      <c r="AP4" s="190">
        <v>100797534.72</v>
      </c>
      <c r="AQ4" s="190">
        <v>59648264.020000003</v>
      </c>
      <c r="AR4" s="190">
        <v>0</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3076762123.79</v>
      </c>
      <c r="F5" s="47">
        <f t="shared" ref="F5:AR5" si="0">F4-F3</f>
        <v>3024232735.8900003</v>
      </c>
      <c r="G5" s="47">
        <f t="shared" si="0"/>
        <v>2023794044.8</v>
      </c>
      <c r="H5" s="47">
        <f t="shared" si="0"/>
        <v>1181565160.2700002</v>
      </c>
      <c r="I5" s="47">
        <f t="shared" si="0"/>
        <v>3389467682.7200003</v>
      </c>
      <c r="J5" s="47">
        <f t="shared" si="0"/>
        <v>88384335.579999998</v>
      </c>
      <c r="K5" s="47">
        <f t="shared" si="0"/>
        <v>63024939.609999999</v>
      </c>
      <c r="L5" s="47">
        <f t="shared" si="0"/>
        <v>41485135.700000003</v>
      </c>
      <c r="M5" s="47">
        <f t="shared" si="0"/>
        <v>412191677.62</v>
      </c>
      <c r="N5" s="47">
        <f t="shared" si="0"/>
        <v>186568039.06999999</v>
      </c>
      <c r="O5" s="47">
        <f t="shared" si="0"/>
        <v>142561549.97999999</v>
      </c>
      <c r="P5" s="47">
        <f t="shared" si="0"/>
        <v>112854735.77</v>
      </c>
      <c r="Q5" s="47">
        <f t="shared" si="0"/>
        <v>365800191.15999997</v>
      </c>
      <c r="R5" s="47">
        <f t="shared" si="0"/>
        <v>269953351.38</v>
      </c>
      <c r="S5" s="47">
        <f t="shared" si="0"/>
        <v>212788070.83999997</v>
      </c>
      <c r="T5" s="47">
        <f t="shared" si="0"/>
        <v>134585248.84999999</v>
      </c>
      <c r="U5" s="47">
        <f t="shared" si="0"/>
        <v>510630614</v>
      </c>
      <c r="V5" s="47">
        <f t="shared" si="0"/>
        <v>329820557.01999998</v>
      </c>
      <c r="W5" s="47">
        <f t="shared" si="0"/>
        <v>213324959.56</v>
      </c>
      <c r="X5" s="47">
        <f t="shared" si="0"/>
        <v>103921915.8</v>
      </c>
      <c r="Y5" s="47">
        <f t="shared" si="0"/>
        <v>902707441.78999996</v>
      </c>
      <c r="Z5" s="47">
        <f t="shared" si="0"/>
        <v>402729282.83999997</v>
      </c>
      <c r="AA5" s="47">
        <f t="shared" si="0"/>
        <v>205115771.81999999</v>
      </c>
      <c r="AB5" s="47">
        <f t="shared" si="0"/>
        <v>56909531.82</v>
      </c>
      <c r="AC5" s="47">
        <f t="shared" si="0"/>
        <v>278873346.40000004</v>
      </c>
      <c r="AD5" s="47">
        <f t="shared" si="0"/>
        <v>189857818.91</v>
      </c>
      <c r="AE5" s="47">
        <f t="shared" si="0"/>
        <v>120800679.42</v>
      </c>
      <c r="AF5" s="47">
        <f t="shared" si="0"/>
        <v>55287169.460000001</v>
      </c>
      <c r="AG5" s="47">
        <f t="shared" si="0"/>
        <v>98563160.219999999</v>
      </c>
      <c r="AH5" s="47">
        <f t="shared" si="0"/>
        <v>87044544.789999992</v>
      </c>
      <c r="AI5" s="47">
        <f t="shared" si="0"/>
        <v>46366784.75</v>
      </c>
      <c r="AJ5" s="47">
        <f t="shared" si="0"/>
        <v>12368610.98</v>
      </c>
      <c r="AK5" s="47">
        <f t="shared" si="0"/>
        <v>57915330.910000004</v>
      </c>
      <c r="AL5" s="47">
        <f t="shared" si="0"/>
        <v>36135120.120000005</v>
      </c>
      <c r="AM5" s="47">
        <f t="shared" si="0"/>
        <v>22967905.329999998</v>
      </c>
      <c r="AN5" s="47">
        <f t="shared" si="0"/>
        <v>9715572.3200000003</v>
      </c>
      <c r="AO5" s="47">
        <f t="shared" si="0"/>
        <v>112632000.01000001</v>
      </c>
      <c r="AP5" s="47">
        <f t="shared" si="0"/>
        <v>81868294.459999993</v>
      </c>
      <c r="AQ5" s="47">
        <f t="shared" si="0"/>
        <v>59262164.410000004</v>
      </c>
      <c r="AR5" s="47">
        <f t="shared" si="0"/>
        <v>0</v>
      </c>
    </row>
    <row r="6" spans="1:74" s="105" customFormat="1" x14ac:dyDescent="0.25">
      <c r="A6" s="136" t="s">
        <v>305</v>
      </c>
      <c r="B6" s="190">
        <v>0</v>
      </c>
      <c r="C6" s="190">
        <v>634782890.55999994</v>
      </c>
      <c r="D6" s="190">
        <v>0</v>
      </c>
      <c r="E6" s="190">
        <v>1043475059.79</v>
      </c>
      <c r="F6" s="190">
        <v>0</v>
      </c>
      <c r="G6" s="190">
        <v>496575982.13</v>
      </c>
      <c r="H6" s="190">
        <v>0</v>
      </c>
      <c r="I6" s="190">
        <v>801026576.38999999</v>
      </c>
      <c r="J6" s="190">
        <v>0</v>
      </c>
      <c r="K6" s="190">
        <v>102634097.53</v>
      </c>
      <c r="L6" s="190">
        <v>0</v>
      </c>
      <c r="M6" s="190">
        <v>192309665.59</v>
      </c>
      <c r="N6" s="190">
        <v>0</v>
      </c>
      <c r="O6" s="190">
        <v>76900141.560000002</v>
      </c>
      <c r="P6" s="190">
        <v>0</v>
      </c>
      <c r="Q6" s="190">
        <v>155612483.99000001</v>
      </c>
      <c r="R6" s="190">
        <v>0</v>
      </c>
      <c r="S6" s="190">
        <v>79735542.790000007</v>
      </c>
      <c r="T6" s="190">
        <v>0</v>
      </c>
      <c r="U6" s="190">
        <v>136884310.62</v>
      </c>
      <c r="V6" s="190">
        <v>0</v>
      </c>
      <c r="W6" s="190">
        <v>72677287.719999999</v>
      </c>
      <c r="X6" s="190">
        <v>0</v>
      </c>
      <c r="Y6" s="190">
        <v>126455011.06999999</v>
      </c>
      <c r="Z6" s="190">
        <v>0</v>
      </c>
      <c r="AA6" s="190">
        <v>38576605.810000002</v>
      </c>
      <c r="AB6" s="190">
        <v>0</v>
      </c>
      <c r="AC6" s="190">
        <v>69898757.359999999</v>
      </c>
      <c r="AD6" s="190">
        <v>0</v>
      </c>
      <c r="AE6" s="190">
        <v>33601644.409999996</v>
      </c>
      <c r="AF6" s="190">
        <v>0</v>
      </c>
      <c r="AG6" s="190">
        <v>66585542.469999999</v>
      </c>
      <c r="AH6" s="190">
        <v>0</v>
      </c>
      <c r="AI6" s="190">
        <v>32897381.359999999</v>
      </c>
      <c r="AJ6" s="190">
        <v>0</v>
      </c>
      <c r="AK6" s="190">
        <v>71455036.890000001</v>
      </c>
      <c r="AL6" s="190">
        <v>0</v>
      </c>
      <c r="AM6" s="190">
        <v>33399415.449999999</v>
      </c>
      <c r="AN6" s="190">
        <v>0</v>
      </c>
      <c r="AO6" s="190">
        <v>61127567.609999999</v>
      </c>
      <c r="AP6" s="190">
        <v>56310797.18</v>
      </c>
      <c r="AQ6" s="190">
        <v>54122801.670000002</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19288894.739999998</v>
      </c>
      <c r="D7" s="190">
        <v>0</v>
      </c>
      <c r="E7" s="190">
        <v>45636820.869999997</v>
      </c>
      <c r="F7" s="190">
        <v>0</v>
      </c>
      <c r="G7" s="190">
        <v>26586793.859999999</v>
      </c>
      <c r="H7" s="190">
        <v>0</v>
      </c>
      <c r="I7" s="190">
        <v>43392230.850000001</v>
      </c>
      <c r="J7" s="190">
        <v>0</v>
      </c>
      <c r="K7" s="190">
        <v>14086437.17</v>
      </c>
      <c r="L7" s="190">
        <v>0</v>
      </c>
      <c r="M7" s="190">
        <v>21918007.100000001</v>
      </c>
      <c r="N7" s="190">
        <v>0</v>
      </c>
      <c r="O7" s="190">
        <v>10137219.08</v>
      </c>
      <c r="P7" s="190">
        <v>0</v>
      </c>
      <c r="Q7" s="190">
        <v>25531189.530000001</v>
      </c>
      <c r="R7" s="190">
        <v>0</v>
      </c>
      <c r="S7" s="190">
        <v>12704351.289999999</v>
      </c>
      <c r="T7" s="190">
        <v>0</v>
      </c>
      <c r="U7" s="190">
        <v>28428928.43</v>
      </c>
      <c r="V7" s="190">
        <v>0</v>
      </c>
      <c r="W7" s="190">
        <v>13331422.58</v>
      </c>
      <c r="X7" s="190">
        <v>0</v>
      </c>
      <c r="Y7" s="190">
        <v>26726372.02</v>
      </c>
      <c r="Z7" s="190">
        <v>0</v>
      </c>
      <c r="AA7" s="190">
        <v>4114342.7</v>
      </c>
      <c r="AB7" s="190">
        <v>0</v>
      </c>
      <c r="AC7" s="190">
        <v>5699189.2300000004</v>
      </c>
      <c r="AD7" s="190">
        <v>0</v>
      </c>
      <c r="AE7" s="190">
        <v>7779602.0300000003</v>
      </c>
      <c r="AF7" s="190">
        <v>0</v>
      </c>
      <c r="AG7" s="190">
        <v>4691297.66</v>
      </c>
      <c r="AH7" s="190">
        <v>0</v>
      </c>
      <c r="AI7" s="190">
        <v>1512590.24</v>
      </c>
      <c r="AJ7" s="190">
        <v>0</v>
      </c>
      <c r="AK7" s="190">
        <v>3146040.04</v>
      </c>
      <c r="AL7" s="190">
        <v>0</v>
      </c>
      <c r="AM7" s="190">
        <v>1612125.38</v>
      </c>
      <c r="AN7" s="190">
        <v>0</v>
      </c>
      <c r="AO7" s="190">
        <v>7168117.9699999997</v>
      </c>
      <c r="AP7" s="190">
        <v>4189289.26</v>
      </c>
      <c r="AQ7" s="190">
        <v>2019846.69</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20736213.710000001</v>
      </c>
      <c r="D8" s="190">
        <v>0</v>
      </c>
      <c r="E8" s="190">
        <v>25403781.109999999</v>
      </c>
      <c r="F8" s="190">
        <v>0</v>
      </c>
      <c r="G8" s="190">
        <v>13768921.24</v>
      </c>
      <c r="H8" s="190">
        <v>0</v>
      </c>
      <c r="I8" s="190">
        <v>20233090.210000001</v>
      </c>
      <c r="J8" s="190">
        <v>0</v>
      </c>
      <c r="K8" s="190">
        <v>4578422.01</v>
      </c>
      <c r="L8" s="190">
        <v>0</v>
      </c>
      <c r="M8" s="190">
        <v>8037430.8200000003</v>
      </c>
      <c r="N8" s="190">
        <v>0</v>
      </c>
      <c r="O8" s="190">
        <v>3258477.68</v>
      </c>
      <c r="P8" s="190">
        <v>0</v>
      </c>
      <c r="Q8" s="190">
        <v>4639916.8899999997</v>
      </c>
      <c r="R8" s="190">
        <v>0</v>
      </c>
      <c r="S8" s="190">
        <v>2463630.16</v>
      </c>
      <c r="T8" s="190">
        <v>0</v>
      </c>
      <c r="U8" s="190">
        <v>16337306</v>
      </c>
      <c r="V8" s="190">
        <v>0</v>
      </c>
      <c r="W8" s="190">
        <v>5571473.0099999998</v>
      </c>
      <c r="X8" s="190">
        <v>0</v>
      </c>
      <c r="Y8" s="190">
        <v>9724118.9299999997</v>
      </c>
      <c r="Z8" s="190">
        <v>0</v>
      </c>
      <c r="AA8" s="190">
        <v>723234.6</v>
      </c>
      <c r="AB8" s="190">
        <v>0</v>
      </c>
      <c r="AC8" s="190">
        <v>1570303.79</v>
      </c>
      <c r="AD8" s="190">
        <v>0</v>
      </c>
      <c r="AE8" s="190">
        <v>812689.44</v>
      </c>
      <c r="AF8" s="190">
        <v>0</v>
      </c>
      <c r="AG8" s="190">
        <v>1074066.22</v>
      </c>
      <c r="AH8" s="190">
        <v>0</v>
      </c>
      <c r="AI8" s="190">
        <v>537033.1</v>
      </c>
      <c r="AJ8" s="190">
        <v>0</v>
      </c>
      <c r="AK8" s="190">
        <v>307082.44</v>
      </c>
      <c r="AL8" s="190">
        <v>0</v>
      </c>
      <c r="AM8" s="190">
        <v>131749.26</v>
      </c>
      <c r="AN8" s="190">
        <v>0</v>
      </c>
      <c r="AO8" s="190">
        <v>1428842.84</v>
      </c>
      <c r="AP8" s="190">
        <v>802485.12</v>
      </c>
      <c r="AQ8" s="190">
        <v>1381438.31</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-4020684.76</v>
      </c>
      <c r="D9" s="190">
        <v>0</v>
      </c>
      <c r="E9" s="190">
        <v>-58791038.140000001</v>
      </c>
      <c r="F9" s="190">
        <v>0</v>
      </c>
      <c r="G9" s="190">
        <v>-147435.17000000001</v>
      </c>
      <c r="H9" s="190">
        <v>0</v>
      </c>
      <c r="I9" s="190">
        <v>8429045.4100000001</v>
      </c>
      <c r="J9" s="190">
        <v>0</v>
      </c>
      <c r="K9" s="190">
        <v>119035.78</v>
      </c>
      <c r="L9" s="190">
        <v>0</v>
      </c>
      <c r="M9" s="190">
        <v>-4410764.01</v>
      </c>
      <c r="N9" s="190">
        <v>0</v>
      </c>
      <c r="O9" s="190">
        <v>0</v>
      </c>
      <c r="P9" s="190">
        <v>0</v>
      </c>
      <c r="Q9" s="190">
        <v>-848179.68</v>
      </c>
      <c r="R9" s="190">
        <v>0</v>
      </c>
      <c r="S9" s="190">
        <v>-488484.92</v>
      </c>
      <c r="T9" s="190">
        <v>0</v>
      </c>
      <c r="U9" s="190">
        <v>-1795056.37</v>
      </c>
      <c r="V9" s="190">
        <v>0</v>
      </c>
      <c r="W9" s="190">
        <v>463204.19</v>
      </c>
      <c r="X9" s="190">
        <v>0</v>
      </c>
      <c r="Y9" s="190">
        <v>5263783.33</v>
      </c>
      <c r="Z9" s="190">
        <v>0</v>
      </c>
      <c r="AA9" s="190">
        <v>-779670.26</v>
      </c>
      <c r="AB9" s="190">
        <v>0</v>
      </c>
      <c r="AC9" s="190">
        <v>972976.97</v>
      </c>
      <c r="AD9" s="190">
        <v>0</v>
      </c>
      <c r="AE9" s="190">
        <v>486402.25</v>
      </c>
      <c r="AF9" s="190">
        <v>0</v>
      </c>
      <c r="AG9" s="190">
        <v>-75998.86</v>
      </c>
      <c r="AH9" s="190">
        <v>0</v>
      </c>
      <c r="AI9" s="190">
        <v>-813117.51</v>
      </c>
      <c r="AJ9" s="190">
        <v>0</v>
      </c>
      <c r="AK9" s="190">
        <v>1851086.05</v>
      </c>
      <c r="AL9" s="190">
        <v>0</v>
      </c>
      <c r="AM9" s="190">
        <v>67240.78</v>
      </c>
      <c r="AN9" s="190">
        <v>0</v>
      </c>
      <c r="AO9" s="190">
        <v>-255564.67</v>
      </c>
      <c r="AP9" s="190">
        <v>-1747975.99</v>
      </c>
      <c r="AQ9" s="190">
        <v>632263.41</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581954.29</v>
      </c>
      <c r="D10" s="190">
        <v>0</v>
      </c>
      <c r="E10" s="190">
        <v>4575991.97</v>
      </c>
      <c r="F10" s="190">
        <v>0</v>
      </c>
      <c r="G10" s="190">
        <v>0</v>
      </c>
      <c r="H10" s="190">
        <v>0</v>
      </c>
      <c r="I10" s="190">
        <v>0</v>
      </c>
      <c r="J10" s="190">
        <v>0</v>
      </c>
      <c r="K10" s="190">
        <v>0</v>
      </c>
      <c r="L10" s="190">
        <v>0</v>
      </c>
      <c r="M10" s="190">
        <v>0</v>
      </c>
      <c r="N10" s="190">
        <v>0</v>
      </c>
      <c r="O10" s="190">
        <v>-27244.04</v>
      </c>
      <c r="P10" s="190">
        <v>0</v>
      </c>
      <c r="Q10" s="190">
        <v>0</v>
      </c>
      <c r="R10" s="190">
        <v>0</v>
      </c>
      <c r="S10" s="190">
        <v>136205.95000000001</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395948.79999999999</v>
      </c>
      <c r="AJ10" s="190">
        <v>0</v>
      </c>
      <c r="AK10" s="190">
        <v>0</v>
      </c>
      <c r="AL10" s="190">
        <v>0</v>
      </c>
      <c r="AM10" s="190">
        <v>975</v>
      </c>
      <c r="AN10" s="190">
        <v>0</v>
      </c>
      <c r="AO10" s="190">
        <v>0</v>
      </c>
      <c r="AP10" s="190">
        <v>11501</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2016461508.1900003</v>
      </c>
      <c r="F11" s="47">
        <f t="shared" ref="F11:BQ11" si="1">F5-F6-F7-F8-F9-F10</f>
        <v>3024232735.8900003</v>
      </c>
      <c r="G11" s="47">
        <f t="shared" si="1"/>
        <v>1487009782.7400002</v>
      </c>
      <c r="H11" s="47">
        <f t="shared" si="1"/>
        <v>1181565160.2700002</v>
      </c>
      <c r="I11" s="47">
        <f t="shared" si="1"/>
        <v>2516386739.8600006</v>
      </c>
      <c r="J11" s="47">
        <f t="shared" si="1"/>
        <v>88384335.579999998</v>
      </c>
      <c r="K11" s="47">
        <f t="shared" si="1"/>
        <v>-58393052.880000003</v>
      </c>
      <c r="L11" s="47">
        <f t="shared" si="1"/>
        <v>41485135.700000003</v>
      </c>
      <c r="M11" s="47">
        <f t="shared" si="1"/>
        <v>194337338.12</v>
      </c>
      <c r="N11" s="47">
        <f t="shared" si="1"/>
        <v>186568039.06999999</v>
      </c>
      <c r="O11" s="47">
        <f t="shared" si="1"/>
        <v>52292955.699999988</v>
      </c>
      <c r="P11" s="47">
        <f t="shared" si="1"/>
        <v>112854735.77</v>
      </c>
      <c r="Q11" s="47">
        <f t="shared" si="1"/>
        <v>180864780.42999998</v>
      </c>
      <c r="R11" s="47">
        <f t="shared" si="1"/>
        <v>269953351.38</v>
      </c>
      <c r="S11" s="47">
        <f t="shared" si="1"/>
        <v>118236825.56999996</v>
      </c>
      <c r="T11" s="47">
        <f t="shared" si="1"/>
        <v>134585248.84999999</v>
      </c>
      <c r="U11" s="47">
        <f t="shared" si="1"/>
        <v>330775125.31999999</v>
      </c>
      <c r="V11" s="47">
        <f t="shared" si="1"/>
        <v>329820557.01999998</v>
      </c>
      <c r="W11" s="47">
        <f t="shared" si="1"/>
        <v>121281572.06</v>
      </c>
      <c r="X11" s="47">
        <f t="shared" si="1"/>
        <v>103921915.8</v>
      </c>
      <c r="Y11" s="47">
        <f t="shared" si="1"/>
        <v>734538156.44000006</v>
      </c>
      <c r="Z11" s="47">
        <f t="shared" si="1"/>
        <v>402729282.83999997</v>
      </c>
      <c r="AA11" s="47">
        <f t="shared" si="1"/>
        <v>162481258.97</v>
      </c>
      <c r="AB11" s="47">
        <f t="shared" si="1"/>
        <v>56909531.82</v>
      </c>
      <c r="AC11" s="47">
        <f t="shared" si="1"/>
        <v>200732119.05000004</v>
      </c>
      <c r="AD11" s="47">
        <f t="shared" si="1"/>
        <v>189857818.91</v>
      </c>
      <c r="AE11" s="47">
        <f t="shared" si="1"/>
        <v>78120341.290000007</v>
      </c>
      <c r="AF11" s="47">
        <f t="shared" si="1"/>
        <v>55287169.460000001</v>
      </c>
      <c r="AG11" s="47">
        <f t="shared" si="1"/>
        <v>26288252.73</v>
      </c>
      <c r="AH11" s="47">
        <f t="shared" si="1"/>
        <v>87044544.789999992</v>
      </c>
      <c r="AI11" s="47">
        <f t="shared" si="1"/>
        <v>11836948.76</v>
      </c>
      <c r="AJ11" s="47">
        <f t="shared" si="1"/>
        <v>12368610.98</v>
      </c>
      <c r="AK11" s="47">
        <f t="shared" si="1"/>
        <v>-18843914.509999998</v>
      </c>
      <c r="AL11" s="47">
        <f t="shared" si="1"/>
        <v>36135120.120000005</v>
      </c>
      <c r="AM11" s="47">
        <f t="shared" si="1"/>
        <v>-12243600.539999999</v>
      </c>
      <c r="AN11" s="47">
        <f t="shared" si="1"/>
        <v>9715572.3200000003</v>
      </c>
      <c r="AO11" s="47">
        <f t="shared" si="1"/>
        <v>43163036.260000005</v>
      </c>
      <c r="AP11" s="47">
        <f t="shared" si="1"/>
        <v>22302197.889999993</v>
      </c>
      <c r="AQ11" s="47">
        <f t="shared" si="1"/>
        <v>1105814.3300000019</v>
      </c>
      <c r="AR11" s="47">
        <f t="shared" si="1"/>
        <v>0</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17259274345.759995</v>
      </c>
      <c r="F12" s="26">
        <f t="shared" si="3"/>
        <v>2798892258.3599997</v>
      </c>
      <c r="G12" s="26">
        <f t="shared" si="3"/>
        <v>2834054928.3699999</v>
      </c>
      <c r="H12" s="26">
        <f t="shared" si="3"/>
        <v>2735512381.6900001</v>
      </c>
      <c r="I12" s="26">
        <f t="shared" si="3"/>
        <v>2802138806.6299996</v>
      </c>
      <c r="J12" s="26">
        <f t="shared" si="3"/>
        <v>2774140972.71</v>
      </c>
      <c r="K12" s="26">
        <f t="shared" si="3"/>
        <v>2892325741.5899997</v>
      </c>
      <c r="L12" s="26">
        <f t="shared" si="3"/>
        <v>2629955826.8199997</v>
      </c>
      <c r="M12" s="26">
        <f t="shared" si="3"/>
        <v>2571371504.9900002</v>
      </c>
      <c r="N12" s="26">
        <f t="shared" si="3"/>
        <v>2492904603.02</v>
      </c>
      <c r="O12" s="26">
        <f t="shared" si="3"/>
        <v>2944051429.75</v>
      </c>
      <c r="P12" s="26">
        <f t="shared" si="3"/>
        <v>2857339454.7900004</v>
      </c>
      <c r="Q12" s="26">
        <f t="shared" si="3"/>
        <v>2779711915.8800001</v>
      </c>
      <c r="R12" s="193">
        <f t="shared" ref="R12" si="4">V34</f>
        <v>2685696781.5599999</v>
      </c>
      <c r="S12" s="193">
        <f t="shared" ref="S12" si="5">W34</f>
        <v>2611125918.9700003</v>
      </c>
      <c r="T12" s="193">
        <f t="shared" ref="T12" si="6">X34</f>
        <v>2539180972.3000002</v>
      </c>
      <c r="U12" s="193">
        <f t="shared" ref="U12" si="7">Y34</f>
        <v>2400024474.0700002</v>
      </c>
      <c r="V12" s="193">
        <f t="shared" ref="V12" si="8">Z34</f>
        <v>2146812920</v>
      </c>
      <c r="W12" s="193">
        <f t="shared" ref="W12" si="9">AA34</f>
        <v>1380712322.2900002</v>
      </c>
      <c r="X12" s="193">
        <f t="shared" ref="X12" si="10">AB34</f>
        <v>1298608118.72</v>
      </c>
      <c r="Y12" s="193">
        <f t="shared" ref="Y12" si="11">AC34</f>
        <v>1431327187.6400001</v>
      </c>
      <c r="Z12" s="193">
        <f t="shared" ref="Z12" si="12">AD34</f>
        <v>892900417.40999997</v>
      </c>
      <c r="AA12" s="193">
        <f t="shared" ref="AA12" si="13">AE34</f>
        <v>855770008.19000006</v>
      </c>
      <c r="AB12" s="193">
        <f t="shared" ref="AB12" si="14">AF34</f>
        <v>798243593.01999998</v>
      </c>
      <c r="AC12" s="193">
        <f t="shared" ref="AC12" si="15">AG34</f>
        <v>643285389.13999999</v>
      </c>
      <c r="AD12" s="193">
        <f t="shared" ref="AD12" si="16">AH34</f>
        <v>595650677.73000002</v>
      </c>
      <c r="AE12" s="193">
        <f t="shared" ref="AE12" si="17">AI34</f>
        <v>568515598.5</v>
      </c>
      <c r="AF12" s="193">
        <f t="shared" ref="AF12" si="18">AJ34</f>
        <v>535659985.44</v>
      </c>
      <c r="AG12" s="193">
        <f t="shared" ref="AG12" si="19">AK34</f>
        <v>543367720.39999998</v>
      </c>
      <c r="AH12" s="193">
        <f t="shared" ref="AH12" si="20">AL34</f>
        <v>478513326.94999999</v>
      </c>
      <c r="AI12" s="193">
        <f t="shared" ref="AI12" si="21">AM34</f>
        <v>511607740.62</v>
      </c>
      <c r="AJ12" s="193">
        <f t="shared" ref="AJ12" si="22">AN34</f>
        <v>463272752.60000002</v>
      </c>
      <c r="AK12" s="193">
        <f t="shared" ref="AK12" si="23">AO34</f>
        <v>473449840.36000001</v>
      </c>
      <c r="AL12" s="193">
        <f t="shared" ref="AL12" si="24">AP34</f>
        <v>0</v>
      </c>
      <c r="AM12" s="193">
        <f t="shared" ref="AM12" si="25">AQ34</f>
        <v>0</v>
      </c>
      <c r="AN12" s="193">
        <f t="shared" ref="AN12" si="26">AR34</f>
        <v>0</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350</v>
      </c>
      <c r="E13" s="220">
        <f>E11/E12</f>
        <v>0.11683350457230406</v>
      </c>
      <c r="F13" s="220">
        <f t="shared" ref="F13:AR13" si="53">F11/F12</f>
        <v>1.0805105937382664</v>
      </c>
      <c r="G13" s="220">
        <f t="shared" si="53"/>
        <v>0.52469335292497332</v>
      </c>
      <c r="H13" s="220">
        <f t="shared" si="53"/>
        <v>0.43193559209555799</v>
      </c>
      <c r="I13" s="220">
        <f t="shared" si="53"/>
        <v>0.89802358609291755</v>
      </c>
      <c r="J13" s="220">
        <f t="shared" si="53"/>
        <v>3.1860073604572159E-2</v>
      </c>
      <c r="K13" s="220">
        <f t="shared" si="53"/>
        <v>-2.0188961443844688E-2</v>
      </c>
      <c r="L13" s="220">
        <f t="shared" si="53"/>
        <v>1.5774080795175022E-2</v>
      </c>
      <c r="M13" s="220">
        <f t="shared" si="53"/>
        <v>7.5577308740829255E-2</v>
      </c>
      <c r="N13" s="220">
        <f t="shared" si="53"/>
        <v>7.4839622360191538E-2</v>
      </c>
      <c r="O13" s="220">
        <f t="shared" si="53"/>
        <v>1.7762242592494572E-2</v>
      </c>
      <c r="P13" s="220">
        <f t="shared" si="53"/>
        <v>3.9496439802002535E-2</v>
      </c>
      <c r="Q13" s="220">
        <f t="shared" si="53"/>
        <v>6.5066016156836839E-2</v>
      </c>
      <c r="R13" s="220">
        <f t="shared" si="53"/>
        <v>0.10051520083484491</v>
      </c>
      <c r="S13" s="220">
        <f t="shared" si="53"/>
        <v>4.5281931718038453E-2</v>
      </c>
      <c r="T13" s="220">
        <f t="shared" si="53"/>
        <v>5.3003409492349864E-2</v>
      </c>
      <c r="U13" s="220">
        <f t="shared" si="53"/>
        <v>0.1378215634439203</v>
      </c>
      <c r="V13" s="220">
        <f t="shared" si="53"/>
        <v>0.15363264956501194</v>
      </c>
      <c r="W13" s="220">
        <f t="shared" si="53"/>
        <v>8.7839856356787427E-2</v>
      </c>
      <c r="X13" s="220">
        <f t="shared" si="53"/>
        <v>8.0025616890823686E-2</v>
      </c>
      <c r="Y13" s="220">
        <f t="shared" si="53"/>
        <v>0.5131867561679736</v>
      </c>
      <c r="Z13" s="220">
        <f t="shared" si="53"/>
        <v>0.45103493624538832</v>
      </c>
      <c r="AA13" s="220">
        <f t="shared" si="53"/>
        <v>0.18986556833611951</v>
      </c>
      <c r="AB13" s="220">
        <f t="shared" si="53"/>
        <v>7.1293440144873335E-2</v>
      </c>
      <c r="AC13" s="220">
        <f t="shared" si="53"/>
        <v>0.31204209273018968</v>
      </c>
      <c r="AD13" s="220">
        <f t="shared" si="53"/>
        <v>0.31874020463393116</v>
      </c>
      <c r="AE13" s="220">
        <f t="shared" si="53"/>
        <v>0.13741107807088604</v>
      </c>
      <c r="AF13" s="220">
        <f t="shared" si="53"/>
        <v>0.10321317806590724</v>
      </c>
      <c r="AG13" s="220">
        <f t="shared" si="53"/>
        <v>4.8380225293191713E-2</v>
      </c>
      <c r="AH13" s="220">
        <f t="shared" si="53"/>
        <v>0.18190620801475671</v>
      </c>
      <c r="AI13" s="220">
        <f t="shared" si="53"/>
        <v>2.3136766354737333E-2</v>
      </c>
      <c r="AJ13" s="220">
        <f t="shared" si="53"/>
        <v>2.6698334643218989E-2</v>
      </c>
      <c r="AK13" s="220">
        <f t="shared" si="53"/>
        <v>-3.9801290239471904E-2</v>
      </c>
      <c r="AL13" s="220" t="e">
        <f t="shared" si="53"/>
        <v>#DIV/0!</v>
      </c>
      <c r="AM13" s="220" t="e">
        <f t="shared" si="53"/>
        <v>#DIV/0!</v>
      </c>
      <c r="AN13" s="220" t="e">
        <f t="shared" si="53"/>
        <v>#DIV/0!</v>
      </c>
      <c r="AO13" s="220">
        <f t="shared" si="53"/>
        <v>8.4837027513595797E-3</v>
      </c>
      <c r="AP13" s="220">
        <f t="shared" si="53"/>
        <v>4.3560462712761809E-3</v>
      </c>
      <c r="AQ13" s="220">
        <f t="shared" si="53"/>
        <v>2.1404276597486116E-4</v>
      </c>
      <c r="AR13" s="220">
        <f t="shared" si="53"/>
        <v>0</v>
      </c>
    </row>
    <row r="14" spans="1:74" s="48" customFormat="1" x14ac:dyDescent="0.25">
      <c r="A14" s="46" t="s">
        <v>293</v>
      </c>
    </row>
    <row r="15" spans="1:74" s="26" customFormat="1" x14ac:dyDescent="0.25">
      <c r="A15" s="17" t="s">
        <v>313</v>
      </c>
      <c r="B15" s="190">
        <v>436616657.33999997</v>
      </c>
      <c r="C15" s="190">
        <v>340337368.80000001</v>
      </c>
      <c r="D15" s="190">
        <v>179163189.55000001</v>
      </c>
      <c r="E15" s="190">
        <v>163654187.63999999</v>
      </c>
      <c r="F15" s="190">
        <v>0</v>
      </c>
      <c r="G15" s="190">
        <v>15353595.859999999</v>
      </c>
      <c r="H15" s="190">
        <v>0</v>
      </c>
      <c r="I15" s="190">
        <v>16931908.379999999</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2819350.47</v>
      </c>
      <c r="AM15" s="190">
        <v>2819350.47</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587731.57999999996</v>
      </c>
      <c r="C16" s="190">
        <v>587731.57999999996</v>
      </c>
      <c r="D16" s="190">
        <v>0</v>
      </c>
      <c r="E16" s="190">
        <v>118873122.11</v>
      </c>
      <c r="F16" s="190">
        <v>0</v>
      </c>
      <c r="G16" s="190">
        <v>0</v>
      </c>
      <c r="H16" s="190">
        <v>116186061.15000001</v>
      </c>
      <c r="I16" s="190">
        <v>2944714.69</v>
      </c>
      <c r="J16" s="190">
        <v>0</v>
      </c>
      <c r="K16" s="190">
        <v>0</v>
      </c>
      <c r="L16" s="190">
        <v>0</v>
      </c>
      <c r="M16" s="190">
        <v>9524719.7599999998</v>
      </c>
      <c r="N16" s="190">
        <v>0</v>
      </c>
      <c r="O16" s="190">
        <v>0</v>
      </c>
      <c r="P16" s="190">
        <v>0</v>
      </c>
      <c r="Q16" s="190">
        <v>0</v>
      </c>
      <c r="R16" s="190">
        <v>0</v>
      </c>
      <c r="S16" s="190">
        <v>0</v>
      </c>
      <c r="T16" s="190">
        <v>0</v>
      </c>
      <c r="U16" s="190">
        <v>7206380.75</v>
      </c>
      <c r="V16" s="190">
        <v>15300000</v>
      </c>
      <c r="W16" s="190">
        <v>15300000</v>
      </c>
      <c r="X16" s="190">
        <v>90300000</v>
      </c>
      <c r="Y16" s="190">
        <v>639417659.33000004</v>
      </c>
      <c r="Z16" s="190">
        <v>817617355.36000001</v>
      </c>
      <c r="AA16" s="190">
        <v>0</v>
      </c>
      <c r="AB16" s="190">
        <v>0</v>
      </c>
      <c r="AC16" s="190">
        <v>116500000</v>
      </c>
      <c r="AD16" s="190">
        <v>0</v>
      </c>
      <c r="AE16" s="190">
        <v>0</v>
      </c>
      <c r="AF16" s="190">
        <v>0</v>
      </c>
      <c r="AG16" s="190">
        <v>0</v>
      </c>
      <c r="AH16" s="190">
        <v>702998.45</v>
      </c>
      <c r="AI16" s="190">
        <v>0</v>
      </c>
      <c r="AJ16" s="190">
        <v>0</v>
      </c>
      <c r="AK16" s="190">
        <v>0</v>
      </c>
      <c r="AL16" s="190">
        <v>0</v>
      </c>
      <c r="AM16" s="190">
        <v>0</v>
      </c>
      <c r="AN16" s="190">
        <v>0</v>
      </c>
      <c r="AO16" s="190">
        <v>150000000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-44781065.529999986</v>
      </c>
      <c r="F17" s="47">
        <f t="shared" ref="F17:AV17" si="54">F16-F15</f>
        <v>0</v>
      </c>
      <c r="G17" s="47">
        <f t="shared" si="54"/>
        <v>-15353595.859999999</v>
      </c>
      <c r="H17" s="47">
        <f t="shared" si="54"/>
        <v>116186061.15000001</v>
      </c>
      <c r="I17" s="47">
        <f t="shared" si="54"/>
        <v>-13987193.689999999</v>
      </c>
      <c r="J17" s="47">
        <f t="shared" si="54"/>
        <v>0</v>
      </c>
      <c r="K17" s="47">
        <f t="shared" si="54"/>
        <v>0</v>
      </c>
      <c r="L17" s="47">
        <f t="shared" si="54"/>
        <v>0</v>
      </c>
      <c r="M17" s="47">
        <f t="shared" si="54"/>
        <v>9524719.7599999998</v>
      </c>
      <c r="N17" s="47">
        <f t="shared" si="54"/>
        <v>0</v>
      </c>
      <c r="O17" s="47">
        <f t="shared" si="54"/>
        <v>0</v>
      </c>
      <c r="P17" s="47">
        <f t="shared" si="54"/>
        <v>0</v>
      </c>
      <c r="Q17" s="47">
        <f t="shared" si="54"/>
        <v>0</v>
      </c>
      <c r="R17" s="47">
        <f t="shared" si="54"/>
        <v>0</v>
      </c>
      <c r="S17" s="47">
        <f t="shared" si="54"/>
        <v>0</v>
      </c>
      <c r="T17" s="47">
        <f t="shared" si="54"/>
        <v>0</v>
      </c>
      <c r="U17" s="47">
        <f t="shared" si="54"/>
        <v>7206380.75</v>
      </c>
      <c r="V17" s="47">
        <f t="shared" si="54"/>
        <v>15300000</v>
      </c>
      <c r="W17" s="47">
        <f t="shared" si="54"/>
        <v>15300000</v>
      </c>
      <c r="X17" s="47">
        <f t="shared" si="54"/>
        <v>90300000</v>
      </c>
      <c r="Y17" s="47">
        <f t="shared" si="54"/>
        <v>639417659.33000004</v>
      </c>
      <c r="Z17" s="47">
        <f t="shared" si="54"/>
        <v>817617355.36000001</v>
      </c>
      <c r="AA17" s="47">
        <f t="shared" si="54"/>
        <v>0</v>
      </c>
      <c r="AB17" s="47">
        <f t="shared" si="54"/>
        <v>0</v>
      </c>
      <c r="AC17" s="47">
        <f t="shared" si="54"/>
        <v>116500000</v>
      </c>
      <c r="AD17" s="47">
        <f t="shared" si="54"/>
        <v>0</v>
      </c>
      <c r="AE17" s="47">
        <f t="shared" si="54"/>
        <v>0</v>
      </c>
      <c r="AF17" s="47">
        <f t="shared" si="54"/>
        <v>0</v>
      </c>
      <c r="AG17" s="47">
        <f t="shared" si="54"/>
        <v>0</v>
      </c>
      <c r="AH17" s="47">
        <f t="shared" si="54"/>
        <v>702998.45</v>
      </c>
      <c r="AI17" s="47">
        <f t="shared" si="54"/>
        <v>0</v>
      </c>
      <c r="AJ17" s="47">
        <f t="shared" si="54"/>
        <v>0</v>
      </c>
      <c r="AK17" s="47">
        <f t="shared" si="54"/>
        <v>0</v>
      </c>
      <c r="AL17" s="47">
        <f t="shared" si="54"/>
        <v>-2819350.47</v>
      </c>
      <c r="AM17" s="47">
        <f t="shared" si="54"/>
        <v>-2819350.47</v>
      </c>
      <c r="AN17" s="47">
        <f t="shared" si="54"/>
        <v>0</v>
      </c>
      <c r="AO17" s="47">
        <f t="shared" si="54"/>
        <v>150000000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3031981058.2599998</v>
      </c>
      <c r="F19" s="193">
        <f t="shared" ref="F19:AS19" si="55">F5+F17</f>
        <v>3024232735.8900003</v>
      </c>
      <c r="G19" s="193">
        <f t="shared" si="55"/>
        <v>2008440448.9400001</v>
      </c>
      <c r="H19" s="193">
        <f t="shared" si="55"/>
        <v>1297751221.4200003</v>
      </c>
      <c r="I19" s="193">
        <f t="shared" si="55"/>
        <v>3375480489.0300002</v>
      </c>
      <c r="J19" s="193">
        <f t="shared" si="55"/>
        <v>88384335.579999998</v>
      </c>
      <c r="K19" s="193">
        <f t="shared" si="55"/>
        <v>63024939.609999999</v>
      </c>
      <c r="L19" s="193">
        <f t="shared" si="55"/>
        <v>41485135.700000003</v>
      </c>
      <c r="M19" s="193">
        <f t="shared" si="55"/>
        <v>421716397.38</v>
      </c>
      <c r="N19" s="193">
        <f t="shared" si="55"/>
        <v>186568039.06999999</v>
      </c>
      <c r="O19" s="193">
        <f t="shared" si="55"/>
        <v>142561549.97999999</v>
      </c>
      <c r="P19" s="193">
        <f t="shared" si="55"/>
        <v>112854735.77</v>
      </c>
      <c r="Q19" s="193">
        <f t="shared" si="55"/>
        <v>365800191.15999997</v>
      </c>
      <c r="R19" s="193">
        <f t="shared" si="55"/>
        <v>269953351.38</v>
      </c>
      <c r="S19" s="193">
        <f t="shared" si="55"/>
        <v>212788070.83999997</v>
      </c>
      <c r="T19" s="193">
        <f t="shared" si="55"/>
        <v>134585248.84999999</v>
      </c>
      <c r="U19" s="193">
        <f t="shared" si="55"/>
        <v>517836994.75</v>
      </c>
      <c r="V19" s="193">
        <f t="shared" si="55"/>
        <v>345120557.01999998</v>
      </c>
      <c r="W19" s="193">
        <f t="shared" si="55"/>
        <v>228624959.56</v>
      </c>
      <c r="X19" s="193">
        <f t="shared" si="55"/>
        <v>194221915.80000001</v>
      </c>
      <c r="Y19" s="193">
        <f t="shared" si="55"/>
        <v>1542125101.1199999</v>
      </c>
      <c r="Z19" s="193">
        <f t="shared" si="55"/>
        <v>1220346638.2</v>
      </c>
      <c r="AA19" s="193">
        <f t="shared" si="55"/>
        <v>205115771.81999999</v>
      </c>
      <c r="AB19" s="193">
        <f t="shared" si="55"/>
        <v>56909531.82</v>
      </c>
      <c r="AC19" s="193">
        <f t="shared" si="55"/>
        <v>395373346.40000004</v>
      </c>
      <c r="AD19" s="193">
        <f t="shared" si="55"/>
        <v>189857818.91</v>
      </c>
      <c r="AE19" s="193">
        <f t="shared" si="55"/>
        <v>120800679.42</v>
      </c>
      <c r="AF19" s="193">
        <f t="shared" si="55"/>
        <v>55287169.460000001</v>
      </c>
      <c r="AG19" s="193">
        <f t="shared" si="55"/>
        <v>98563160.219999999</v>
      </c>
      <c r="AH19" s="193">
        <f t="shared" si="55"/>
        <v>87747543.239999995</v>
      </c>
      <c r="AI19" s="193">
        <f t="shared" si="55"/>
        <v>46366784.75</v>
      </c>
      <c r="AJ19" s="193">
        <f t="shared" si="55"/>
        <v>12368610.98</v>
      </c>
      <c r="AK19" s="193">
        <f t="shared" si="55"/>
        <v>57915330.910000004</v>
      </c>
      <c r="AL19" s="193">
        <f t="shared" si="55"/>
        <v>33315769.650000006</v>
      </c>
      <c r="AM19" s="193">
        <f t="shared" si="55"/>
        <v>20148554.859999999</v>
      </c>
      <c r="AN19" s="193">
        <f t="shared" si="55"/>
        <v>9715572.3200000003</v>
      </c>
      <c r="AO19" s="193">
        <f t="shared" si="55"/>
        <v>262632000.00999999</v>
      </c>
      <c r="AP19" s="193">
        <f t="shared" si="55"/>
        <v>81868294.459999993</v>
      </c>
      <c r="AQ19" s="193">
        <f t="shared" si="55"/>
        <v>59262164.410000004</v>
      </c>
      <c r="AR19" s="193">
        <f t="shared" si="55"/>
        <v>0</v>
      </c>
      <c r="AS19" s="193">
        <f t="shared" si="55"/>
        <v>0</v>
      </c>
    </row>
    <row r="20" spans="1:74" s="193" customFormat="1" x14ac:dyDescent="0.25">
      <c r="A20" s="193" t="s">
        <v>300</v>
      </c>
      <c r="B20" s="190">
        <v>1484469766.1600001</v>
      </c>
      <c r="C20" s="190">
        <v>1047043655.66</v>
      </c>
      <c r="D20" s="190">
        <v>110623686.81</v>
      </c>
      <c r="E20" s="190">
        <v>2567621371.1799998</v>
      </c>
      <c r="F20" s="190">
        <v>1759646053.4000001</v>
      </c>
      <c r="G20" s="190">
        <v>812414521.89999998</v>
      </c>
      <c r="H20" s="190">
        <v>-56093681.409999996</v>
      </c>
      <c r="I20" s="190">
        <v>4898198299.3299999</v>
      </c>
      <c r="J20" s="190">
        <v>1855418982.24</v>
      </c>
      <c r="K20" s="190">
        <v>1465855084.8199999</v>
      </c>
      <c r="L20" s="190">
        <v>397292102.38999999</v>
      </c>
      <c r="M20" s="190">
        <v>1925609938.27</v>
      </c>
      <c r="N20" s="190">
        <v>1108837110.6900001</v>
      </c>
      <c r="O20" s="190">
        <v>979524078.72000003</v>
      </c>
      <c r="P20" s="190">
        <v>147639066.25999999</v>
      </c>
      <c r="Q20" s="190">
        <v>2344058849.4000001</v>
      </c>
      <c r="R20" s="190">
        <v>1187134249.0699999</v>
      </c>
      <c r="S20" s="190">
        <v>747926972.51999998</v>
      </c>
      <c r="T20" s="190">
        <v>-234476101.72999999</v>
      </c>
      <c r="U20" s="190">
        <v>637711952.63</v>
      </c>
      <c r="V20" s="190">
        <v>5428603.9800000004</v>
      </c>
      <c r="W20" s="190">
        <v>20180369.059999999</v>
      </c>
      <c r="X20" s="190">
        <v>-655267549.44000006</v>
      </c>
      <c r="Y20" s="190">
        <v>2548426317.3699999</v>
      </c>
      <c r="Z20" s="190">
        <v>1176759546.4200001</v>
      </c>
      <c r="AA20" s="190">
        <v>696450920.50999999</v>
      </c>
      <c r="AB20" s="190">
        <v>47254943.850000001</v>
      </c>
      <c r="AC20" s="190">
        <v>117177359.66</v>
      </c>
      <c r="AD20" s="190">
        <v>67589790.359999999</v>
      </c>
      <c r="AE20" s="190">
        <v>153709288.53999999</v>
      </c>
      <c r="AF20" s="190">
        <v>-210844768.84</v>
      </c>
      <c r="AG20" s="190">
        <v>692573057.20000005</v>
      </c>
      <c r="AH20" s="190">
        <v>726274095.45000005</v>
      </c>
      <c r="AI20" s="190">
        <v>379748165.04000002</v>
      </c>
      <c r="AJ20" s="190">
        <v>-120582796.98</v>
      </c>
      <c r="AK20" s="190">
        <v>1103801231.95</v>
      </c>
      <c r="AL20" s="190">
        <v>1032315001.29</v>
      </c>
      <c r="AM20" s="190">
        <v>678938700.12</v>
      </c>
      <c r="AN20" s="190">
        <v>174717030.16</v>
      </c>
      <c r="AO20" s="190">
        <v>367828258.45999998</v>
      </c>
      <c r="AP20" s="190">
        <v>546468577.73000002</v>
      </c>
      <c r="AQ20" s="190">
        <v>254693635.24000001</v>
      </c>
      <c r="AR20" s="190">
        <v>0</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665</v>
      </c>
      <c r="E21" s="221">
        <f>E20/E19</f>
        <v>0.84684611211044714</v>
      </c>
      <c r="F21" s="221">
        <f t="shared" ref="F21:AS21" si="56">F20/F19</f>
        <v>0.58184875539420233</v>
      </c>
      <c r="G21" s="221">
        <f t="shared" si="56"/>
        <v>0.40450017939479865</v>
      </c>
      <c r="H21" s="221">
        <f t="shared" si="56"/>
        <v>-4.3223755434899341E-2</v>
      </c>
      <c r="I21" s="221">
        <f t="shared" si="56"/>
        <v>1.4511114240620533</v>
      </c>
      <c r="J21" s="221">
        <f t="shared" si="56"/>
        <v>20.992622392466707</v>
      </c>
      <c r="K21" s="221">
        <f t="shared" si="56"/>
        <v>23.258333826113127</v>
      </c>
      <c r="L21" s="221">
        <f t="shared" si="56"/>
        <v>9.5767338273404743</v>
      </c>
      <c r="M21" s="221">
        <f t="shared" si="56"/>
        <v>4.5661253634747156</v>
      </c>
      <c r="N21" s="221">
        <f t="shared" si="56"/>
        <v>5.9433390425139558</v>
      </c>
      <c r="O21" s="221">
        <f t="shared" si="56"/>
        <v>6.8708854446196597</v>
      </c>
      <c r="P21" s="221">
        <f t="shared" si="56"/>
        <v>1.3082221605736697</v>
      </c>
      <c r="Q21" s="221">
        <f t="shared" si="56"/>
        <v>6.4080306846387494</v>
      </c>
      <c r="R21" s="221">
        <f t="shared" si="56"/>
        <v>4.3975532920831562</v>
      </c>
      <c r="S21" s="221">
        <f t="shared" si="56"/>
        <v>3.5148914578128898</v>
      </c>
      <c r="T21" s="221">
        <f t="shared" si="56"/>
        <v>-1.7422124915883752</v>
      </c>
      <c r="U21" s="221">
        <f t="shared" si="56"/>
        <v>1.2314916838606189</v>
      </c>
      <c r="V21" s="221">
        <f t="shared" si="56"/>
        <v>1.5729587442933481E-2</v>
      </c>
      <c r="W21" s="221">
        <f t="shared" si="56"/>
        <v>8.8268442338221134E-2</v>
      </c>
      <c r="X21" s="221">
        <f t="shared" si="56"/>
        <v>-3.3738084949937459</v>
      </c>
      <c r="Y21" s="221">
        <f t="shared" si="56"/>
        <v>1.6525418823149647</v>
      </c>
      <c r="Z21" s="221">
        <f t="shared" si="56"/>
        <v>0.964283023842889</v>
      </c>
      <c r="AA21" s="221">
        <f t="shared" si="56"/>
        <v>3.395404040997748</v>
      </c>
      <c r="AB21" s="221">
        <f t="shared" si="56"/>
        <v>0.83035200499387984</v>
      </c>
      <c r="AC21" s="221">
        <f t="shared" si="56"/>
        <v>0.29637141888024848</v>
      </c>
      <c r="AD21" s="221">
        <f t="shared" si="56"/>
        <v>0.35600214280371667</v>
      </c>
      <c r="AE21" s="221">
        <f t="shared" si="56"/>
        <v>1.2724207287409641</v>
      </c>
      <c r="AF21" s="221">
        <f t="shared" si="56"/>
        <v>-3.8136292904729943</v>
      </c>
      <c r="AG21" s="221">
        <f t="shared" si="56"/>
        <v>7.026692890671602</v>
      </c>
      <c r="AH21" s="221">
        <f t="shared" si="56"/>
        <v>8.2768595978072437</v>
      </c>
      <c r="AI21" s="221">
        <f t="shared" si="56"/>
        <v>8.19009053760192</v>
      </c>
      <c r="AJ21" s="221">
        <f t="shared" si="56"/>
        <v>-9.7490977099192424</v>
      </c>
      <c r="AK21" s="221">
        <f t="shared" si="56"/>
        <v>19.058878100261552</v>
      </c>
      <c r="AL21" s="221">
        <f t="shared" si="56"/>
        <v>30.985776769830672</v>
      </c>
      <c r="AM21" s="221">
        <f t="shared" si="56"/>
        <v>33.696644987073782</v>
      </c>
      <c r="AN21" s="221">
        <f t="shared" si="56"/>
        <v>17.983194855164228</v>
      </c>
      <c r="AO21" s="221">
        <f t="shared" si="56"/>
        <v>1.4005462336881818</v>
      </c>
      <c r="AP21" s="221">
        <f t="shared" si="56"/>
        <v>6.6749720552319429</v>
      </c>
      <c r="AQ21" s="221">
        <f t="shared" si="56"/>
        <v>4.2977444002538414</v>
      </c>
      <c r="AR21" s="221" t="e">
        <f t="shared" si="56"/>
        <v>#DIV/0!</v>
      </c>
      <c r="AS21" s="221" t="e">
        <f t="shared" si="56"/>
        <v>#DIV/0!</v>
      </c>
    </row>
    <row r="22" spans="1:74" s="193" customFormat="1" x14ac:dyDescent="0.25">
      <c r="A22" s="193" t="s">
        <v>301</v>
      </c>
      <c r="E22" s="193">
        <f>I35</f>
        <v>5303835407.5299997</v>
      </c>
      <c r="F22" s="193">
        <f t="shared" ref="F22:Y22" si="57">J35</f>
        <v>1945069874.46</v>
      </c>
      <c r="G22" s="193">
        <f t="shared" si="57"/>
        <v>2380867049.1300001</v>
      </c>
      <c r="H22" s="193">
        <f t="shared" si="57"/>
        <v>3203710527.9299998</v>
      </c>
      <c r="I22" s="193">
        <f t="shared" si="57"/>
        <v>2386090451.9099998</v>
      </c>
      <c r="J22" s="193">
        <f t="shared" si="57"/>
        <v>2753272195.0799999</v>
      </c>
      <c r="K22" s="193">
        <f t="shared" si="57"/>
        <v>3146514319.4300003</v>
      </c>
      <c r="L22" s="193">
        <f t="shared" si="57"/>
        <v>2597765869.3499999</v>
      </c>
      <c r="M22" s="193">
        <f t="shared" si="57"/>
        <v>2893950934.0300002</v>
      </c>
      <c r="N22" s="193">
        <f t="shared" si="57"/>
        <v>2434729413.3299999</v>
      </c>
      <c r="O22" s="193">
        <f t="shared" si="57"/>
        <v>2043014316.96</v>
      </c>
      <c r="P22" s="193">
        <f t="shared" si="57"/>
        <v>2123771111.1599998</v>
      </c>
      <c r="Q22" s="193">
        <f t="shared" si="57"/>
        <v>1992522681.77</v>
      </c>
      <c r="R22" s="193">
        <f t="shared" si="57"/>
        <v>2158772260.1600003</v>
      </c>
      <c r="S22" s="193">
        <f t="shared" si="57"/>
        <v>2250323465.4300003</v>
      </c>
      <c r="T22" s="193">
        <f t="shared" si="57"/>
        <v>2740173856.3400002</v>
      </c>
      <c r="U22" s="193">
        <f t="shared" si="57"/>
        <v>3969873677.3299999</v>
      </c>
      <c r="V22" s="193">
        <f t="shared" si="57"/>
        <v>3286353801.2799997</v>
      </c>
      <c r="W22" s="193">
        <f t="shared" si="57"/>
        <v>4207987751.7399998</v>
      </c>
      <c r="X22" s="193">
        <f t="shared" si="57"/>
        <v>4376492814.7799997</v>
      </c>
      <c r="Y22" s="193">
        <f t="shared" si="57"/>
        <v>4564881707.46</v>
      </c>
      <c r="Z22" s="193">
        <f t="shared" ref="Z22" si="58">AD35</f>
        <v>4667499154.4899998</v>
      </c>
      <c r="AA22" s="193">
        <f t="shared" ref="AA22" si="59">AE35</f>
        <v>3318285512.1500001</v>
      </c>
      <c r="AB22" s="193">
        <f t="shared" ref="AB22" si="60">AF35</f>
        <v>3403911500.1900001</v>
      </c>
      <c r="AC22" s="193">
        <f t="shared" ref="AC22" si="61">AG35</f>
        <v>3847081771.3099999</v>
      </c>
      <c r="AD22" s="193">
        <f t="shared" ref="AD22" si="62">AH35</f>
        <v>3881667889.71</v>
      </c>
      <c r="AE22" s="193">
        <f t="shared" ref="AE22" si="63">AI35</f>
        <v>3577450507.1500001</v>
      </c>
      <c r="AF22" s="193">
        <f t="shared" ref="AF22" si="64">AJ35</f>
        <v>3322562731.0099998</v>
      </c>
      <c r="AG22" s="193">
        <f t="shared" ref="AG22" si="65">AK35</f>
        <v>999966016.5999999</v>
      </c>
      <c r="AH22" s="193">
        <f t="shared" ref="AH22" si="66">AL35</f>
        <v>997803438.87</v>
      </c>
      <c r="AI22" s="193">
        <f t="shared" ref="AI22" si="67">AM35</f>
        <v>299043732.51000005</v>
      </c>
      <c r="AJ22" s="193">
        <f t="shared" ref="AJ22" si="68">AN35</f>
        <v>575444316.69999993</v>
      </c>
      <c r="AK22" s="193">
        <f t="shared" ref="AK22" si="69">AO35</f>
        <v>102963093.97</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4839475720.4499989</v>
      </c>
      <c r="F23" s="193">
        <f t="shared" ref="F23:AS23" si="78">F20+F22-F19</f>
        <v>680483191.96999979</v>
      </c>
      <c r="G23" s="193">
        <f t="shared" si="78"/>
        <v>1184841122.0900002</v>
      </c>
      <c r="H23" s="193">
        <f t="shared" si="78"/>
        <v>1849865625.0999997</v>
      </c>
      <c r="I23" s="193">
        <f t="shared" si="78"/>
        <v>3908808262.2099996</v>
      </c>
      <c r="J23" s="193">
        <f t="shared" si="78"/>
        <v>4520306841.7399998</v>
      </c>
      <c r="K23" s="193">
        <f t="shared" si="78"/>
        <v>4549344464.6400003</v>
      </c>
      <c r="L23" s="193">
        <f t="shared" si="78"/>
        <v>2953572836.04</v>
      </c>
      <c r="M23" s="193">
        <f t="shared" si="78"/>
        <v>4397844474.9200001</v>
      </c>
      <c r="N23" s="193">
        <f t="shared" si="78"/>
        <v>3356998484.9499998</v>
      </c>
      <c r="O23" s="193">
        <f t="shared" si="78"/>
        <v>2879976845.7000003</v>
      </c>
      <c r="P23" s="193">
        <f t="shared" si="78"/>
        <v>2158555441.6500001</v>
      </c>
      <c r="Q23" s="193">
        <f t="shared" si="78"/>
        <v>3970781340.0100002</v>
      </c>
      <c r="R23" s="193">
        <f t="shared" si="78"/>
        <v>3075953157.8500004</v>
      </c>
      <c r="S23" s="193">
        <f t="shared" si="78"/>
        <v>2785462367.1100001</v>
      </c>
      <c r="T23" s="193">
        <f t="shared" si="78"/>
        <v>2371112505.7600002</v>
      </c>
      <c r="U23" s="193">
        <f t="shared" si="78"/>
        <v>4089748635.21</v>
      </c>
      <c r="V23" s="193">
        <f t="shared" si="78"/>
        <v>2946661848.2399998</v>
      </c>
      <c r="W23" s="193">
        <f t="shared" si="78"/>
        <v>3999543161.2399998</v>
      </c>
      <c r="X23" s="193">
        <f t="shared" si="78"/>
        <v>3527003349.5399995</v>
      </c>
      <c r="Y23" s="193">
        <f t="shared" si="78"/>
        <v>5571182923.71</v>
      </c>
      <c r="Z23" s="193">
        <f t="shared" si="78"/>
        <v>4623912062.71</v>
      </c>
      <c r="AA23" s="193">
        <f t="shared" si="78"/>
        <v>3809620660.8399997</v>
      </c>
      <c r="AB23" s="193">
        <f t="shared" si="78"/>
        <v>3394256912.2199998</v>
      </c>
      <c r="AC23" s="193">
        <f t="shared" si="78"/>
        <v>3568885784.5699997</v>
      </c>
      <c r="AD23" s="193">
        <f t="shared" si="78"/>
        <v>3759399861.1600003</v>
      </c>
      <c r="AE23" s="193">
        <f t="shared" si="78"/>
        <v>3610359116.27</v>
      </c>
      <c r="AF23" s="193">
        <f t="shared" si="78"/>
        <v>3056430792.7099996</v>
      </c>
      <c r="AG23" s="193">
        <f t="shared" si="78"/>
        <v>1593975913.5799999</v>
      </c>
      <c r="AH23" s="193">
        <f t="shared" si="78"/>
        <v>1636329991.0800002</v>
      </c>
      <c r="AI23" s="193">
        <f t="shared" si="78"/>
        <v>632425112.80000007</v>
      </c>
      <c r="AJ23" s="193">
        <f t="shared" si="78"/>
        <v>442492908.73999989</v>
      </c>
      <c r="AK23" s="193">
        <f t="shared" si="78"/>
        <v>1148848995.01</v>
      </c>
      <c r="AL23" s="193">
        <f t="shared" si="78"/>
        <v>998999231.63999999</v>
      </c>
      <c r="AM23" s="193">
        <f t="shared" si="78"/>
        <v>658790145.25999999</v>
      </c>
      <c r="AN23" s="193">
        <f t="shared" si="78"/>
        <v>165001457.84</v>
      </c>
      <c r="AO23" s="193">
        <f t="shared" si="78"/>
        <v>105196258.44999999</v>
      </c>
      <c r="AP23" s="193">
        <f t="shared" si="78"/>
        <v>464600283.27000004</v>
      </c>
      <c r="AQ23" s="193">
        <f t="shared" si="78"/>
        <v>195431470.83000001</v>
      </c>
      <c r="AR23" s="193">
        <f t="shared" si="78"/>
        <v>0</v>
      </c>
      <c r="AS23" s="193">
        <f t="shared" si="78"/>
        <v>1665545943.71</v>
      </c>
    </row>
    <row r="24" spans="1:74" s="221" customFormat="1" x14ac:dyDescent="0.25">
      <c r="A24" s="221" t="s">
        <v>303</v>
      </c>
      <c r="B24" s="190">
        <v>-2123343738.7</v>
      </c>
      <c r="C24" s="190">
        <v>-1593478791.0799999</v>
      </c>
      <c r="D24" s="190">
        <v>27397162.690000001</v>
      </c>
      <c r="E24" s="190">
        <v>3185052158.0799999</v>
      </c>
      <c r="F24" s="190">
        <v>3570225269.0799999</v>
      </c>
      <c r="G24" s="190">
        <v>3116368955.9299998</v>
      </c>
      <c r="H24" s="190">
        <v>4278174132.9099998</v>
      </c>
      <c r="I24" s="190">
        <v>277636495.76999998</v>
      </c>
      <c r="J24" s="190">
        <v>-2223667794.3800001</v>
      </c>
      <c r="K24" s="190">
        <v>-327067405.13999999</v>
      </c>
      <c r="L24" s="190">
        <v>-31171334.5</v>
      </c>
      <c r="M24" s="190">
        <v>-1561278380.3800001</v>
      </c>
      <c r="N24" s="190">
        <v>-587040726.07000005</v>
      </c>
      <c r="O24" s="190">
        <v>-496636728.37</v>
      </c>
      <c r="P24" s="190">
        <v>-177111211.61000001</v>
      </c>
      <c r="Q24" s="190">
        <v>-1429097000.9300001</v>
      </c>
      <c r="R24" s="190">
        <v>-1369632419.23</v>
      </c>
      <c r="S24" s="190">
        <v>-676305350.65999997</v>
      </c>
      <c r="T24" s="190">
        <v>-68724186.810000002</v>
      </c>
      <c r="U24" s="190">
        <v>-1106186835.4400001</v>
      </c>
      <c r="V24" s="190">
        <v>-692426943.09000003</v>
      </c>
      <c r="W24" s="190">
        <v>-654815201.44000006</v>
      </c>
      <c r="X24" s="190">
        <v>68785949.560000002</v>
      </c>
      <c r="Y24" s="190">
        <v>-1623790509.79</v>
      </c>
      <c r="Z24" s="190">
        <v>-1240716402.3699999</v>
      </c>
      <c r="AA24" s="190">
        <v>-753885646.25999999</v>
      </c>
      <c r="AB24" s="190">
        <v>-27607743.859999999</v>
      </c>
      <c r="AC24" s="190">
        <v>1032054326.5700001</v>
      </c>
      <c r="AD24" s="190">
        <v>1032900061.92</v>
      </c>
      <c r="AE24" s="190">
        <v>-448624379.04000002</v>
      </c>
      <c r="AF24" s="190">
        <v>-31325828.989999998</v>
      </c>
      <c r="AG24" s="190">
        <v>2221574249.23</v>
      </c>
      <c r="AH24" s="190">
        <v>2240189461.1300001</v>
      </c>
      <c r="AI24" s="190">
        <v>2241437624.8200002</v>
      </c>
      <c r="AJ24" s="190">
        <v>2458600366.6500001</v>
      </c>
      <c r="AK24" s="190">
        <v>-339176181.81999999</v>
      </c>
      <c r="AL24" s="190">
        <v>-284918435.68000001</v>
      </c>
      <c r="AM24" s="190">
        <v>16223539.789999999</v>
      </c>
      <c r="AN24" s="190">
        <v>45848278.789999999</v>
      </c>
      <c r="AO24" s="190">
        <v>-383819079.68000001</v>
      </c>
      <c r="AP24" s="190">
        <v>-30854190.289999999</v>
      </c>
      <c r="AQ24" s="190">
        <v>-157900035.44999999</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10203037225.25</v>
      </c>
      <c r="F26" s="26">
        <f>现金流量表!F15</f>
        <v>8571479060.9499998</v>
      </c>
      <c r="G26" s="26">
        <f>现金流量表!G15</f>
        <v>8226739837.4200001</v>
      </c>
      <c r="H26" s="26">
        <f>现金流量表!H15</f>
        <v>5022872652.8199997</v>
      </c>
      <c r="I26" s="26">
        <f>现金流量表!I15</f>
        <v>14012290909.610001</v>
      </c>
      <c r="J26" s="26">
        <f>现金流量表!J15</f>
        <v>10975916490.719999</v>
      </c>
      <c r="K26" s="26">
        <f>现金流量表!K15</f>
        <v>6968966676.7200003</v>
      </c>
      <c r="L26" s="26">
        <f>现金流量表!L15</f>
        <v>3501500000</v>
      </c>
      <c r="M26" s="26">
        <f>现金流量表!M15</f>
        <v>14632211790.02</v>
      </c>
      <c r="N26" s="26">
        <f>现金流量表!N15</f>
        <v>11835426076</v>
      </c>
      <c r="O26" s="26">
        <f>现金流量表!O15</f>
        <v>6934500000</v>
      </c>
      <c r="P26" s="26">
        <f>现金流量表!P15</f>
        <v>1676500000</v>
      </c>
      <c r="Q26" s="26">
        <f>现金流量表!Q15</f>
        <v>2980902870</v>
      </c>
      <c r="R26" s="26">
        <f>现金流量表!R15</f>
        <v>2179275000</v>
      </c>
      <c r="S26" s="26">
        <f>现金流量表!S15</f>
        <v>1050000000</v>
      </c>
      <c r="T26" s="26">
        <f>现金流量表!T15</f>
        <v>550000000</v>
      </c>
      <c r="U26" s="26">
        <f>现金流量表!U15</f>
        <v>2025839966.6099999</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3808897.68</v>
      </c>
      <c r="AL26" s="26">
        <f>现金流量表!AL15</f>
        <v>0</v>
      </c>
      <c r="AM26" s="26">
        <f>现金流量表!AM15</f>
        <v>0</v>
      </c>
      <c r="AN26" s="26">
        <f>现金流量表!AN15</f>
        <v>0</v>
      </c>
      <c r="AO26" s="26">
        <f>现金流量表!AO15</f>
        <v>225073.28</v>
      </c>
      <c r="AP26" s="26">
        <f>现金流量表!AP15</f>
        <v>7324480.4699999997</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9209583032.4500008</v>
      </c>
      <c r="F27" s="26">
        <f>现金流量表!F22</f>
        <v>6963283765.8699999</v>
      </c>
      <c r="G27" s="26">
        <f>现金流量表!G22</f>
        <v>6914106646.1300001</v>
      </c>
      <c r="H27" s="26">
        <f>现金流量表!H22</f>
        <v>4592388724.7399998</v>
      </c>
      <c r="I27" s="26">
        <f>现金流量表!I22</f>
        <v>15021540442.889999</v>
      </c>
      <c r="J27" s="26">
        <f>现金流量表!J22</f>
        <v>11046621256.459999</v>
      </c>
      <c r="K27" s="26">
        <f>现金流量表!K22</f>
        <v>8130533512.9799995</v>
      </c>
      <c r="L27" s="26">
        <f>现金流量表!L22</f>
        <v>3103533512.98</v>
      </c>
      <c r="M27" s="26">
        <f>现金流量表!M22</f>
        <v>15388698650.4</v>
      </c>
      <c r="N27" s="26">
        <f>现金流量表!N22</f>
        <v>12615067330.459999</v>
      </c>
      <c r="O27" s="26">
        <f>现金流量表!O22</f>
        <v>7139704860</v>
      </c>
      <c r="P27" s="26">
        <f>现金流量表!P22</f>
        <v>1897704860</v>
      </c>
      <c r="Q27" s="26">
        <f>现金流量表!Q22</f>
        <v>3063750000</v>
      </c>
      <c r="R27" s="26">
        <f>现金流量表!R22</f>
        <v>1732988461.9000001</v>
      </c>
      <c r="S27" s="26">
        <f>现金流量表!S22</f>
        <v>880897180.70000005</v>
      </c>
      <c r="T27" s="26">
        <f>现金流量表!T22</f>
        <v>0</v>
      </c>
      <c r="U27" s="26">
        <f>现金流量表!U22</f>
        <v>3057662753</v>
      </c>
      <c r="V27" s="26">
        <f>现金流量表!V22</f>
        <v>120000000</v>
      </c>
      <c r="W27" s="26">
        <f>现金流量表!W22</f>
        <v>120000000</v>
      </c>
      <c r="X27" s="26">
        <f>现金流量表!X22</f>
        <v>0</v>
      </c>
      <c r="Y27" s="26">
        <f>现金流量表!Y22</f>
        <v>115646875</v>
      </c>
      <c r="Z27" s="26">
        <f>现金流量表!Z22</f>
        <v>96066723.579999998</v>
      </c>
      <c r="AA27" s="26">
        <f>现金流量表!AA22</f>
        <v>46719723.579999998</v>
      </c>
      <c r="AB27" s="26">
        <f>现金流量表!AB22</f>
        <v>0</v>
      </c>
      <c r="AC27" s="26">
        <f>现金流量表!AC22</f>
        <v>361809000</v>
      </c>
      <c r="AD27" s="26">
        <f>现金流量表!AD22</f>
        <v>161809000</v>
      </c>
      <c r="AE27" s="26">
        <f>现金流量表!AE22</f>
        <v>161809000</v>
      </c>
      <c r="AF27" s="26">
        <f>现金流量表!AF22</f>
        <v>145650000</v>
      </c>
      <c r="AG27" s="26">
        <f>现金流量表!AG22</f>
        <v>0</v>
      </c>
      <c r="AH27" s="26">
        <f>现金流量表!AH22</f>
        <v>0</v>
      </c>
      <c r="AI27" s="26">
        <f>现金流量表!AI22</f>
        <v>0</v>
      </c>
      <c r="AJ27" s="26">
        <f>现金流量表!AJ22</f>
        <v>0</v>
      </c>
      <c r="AK27" s="26">
        <f>现金流量表!AK22</f>
        <v>40441266.359999999</v>
      </c>
      <c r="AL27" s="26">
        <f>现金流量表!AL22</f>
        <v>0</v>
      </c>
      <c r="AM27" s="26">
        <f>现金流量表!AM22</f>
        <v>0</v>
      </c>
      <c r="AN27" s="26">
        <f>现金流量表!AN22</f>
        <v>0</v>
      </c>
      <c r="AO27" s="26">
        <f>现金流量表!AO22</f>
        <v>2888927.91</v>
      </c>
      <c r="AP27" s="26">
        <f>现金流量表!AP22</f>
        <v>16500000</v>
      </c>
      <c r="AQ27" s="26">
        <f>现金流量表!AQ22</f>
        <v>11094379.380000001</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-993454192.79999924</v>
      </c>
      <c r="F28" s="26">
        <f t="shared" ref="F28:BQ28" si="79">F27-F26</f>
        <v>-1608195295.0799999</v>
      </c>
      <c r="G28" s="26">
        <f t="shared" si="79"/>
        <v>-1312633191.29</v>
      </c>
      <c r="H28" s="26">
        <f t="shared" si="79"/>
        <v>-430483928.07999992</v>
      </c>
      <c r="I28" s="26">
        <f t="shared" si="79"/>
        <v>1009249533.2799988</v>
      </c>
      <c r="J28" s="26">
        <f t="shared" si="79"/>
        <v>70704765.739999771</v>
      </c>
      <c r="K28" s="26">
        <f t="shared" si="79"/>
        <v>1161566836.2599993</v>
      </c>
      <c r="L28" s="26">
        <f t="shared" si="79"/>
        <v>-397966487.01999998</v>
      </c>
      <c r="M28" s="26">
        <f t="shared" si="79"/>
        <v>756486860.37999916</v>
      </c>
      <c r="N28" s="26">
        <f t="shared" si="79"/>
        <v>779641254.45999908</v>
      </c>
      <c r="O28" s="26">
        <f t="shared" si="79"/>
        <v>205204860</v>
      </c>
      <c r="P28" s="26">
        <f t="shared" si="79"/>
        <v>221204860</v>
      </c>
      <c r="Q28" s="26">
        <f t="shared" si="79"/>
        <v>82847130</v>
      </c>
      <c r="R28" s="26">
        <f t="shared" si="79"/>
        <v>-446286538.0999999</v>
      </c>
      <c r="S28" s="26">
        <f t="shared" si="79"/>
        <v>-169102819.29999995</v>
      </c>
      <c r="T28" s="26">
        <f t="shared" si="79"/>
        <v>-550000000</v>
      </c>
      <c r="U28" s="26">
        <f t="shared" si="79"/>
        <v>1031822786.3900001</v>
      </c>
      <c r="V28" s="26">
        <f t="shared" si="79"/>
        <v>120000000</v>
      </c>
      <c r="W28" s="26">
        <f t="shared" si="79"/>
        <v>120000000</v>
      </c>
      <c r="X28" s="26">
        <f t="shared" si="79"/>
        <v>0</v>
      </c>
      <c r="Y28" s="26">
        <f t="shared" si="79"/>
        <v>115646875</v>
      </c>
      <c r="Z28" s="26">
        <f t="shared" si="79"/>
        <v>96066723.579999998</v>
      </c>
      <c r="AA28" s="26">
        <f t="shared" si="79"/>
        <v>46719723.579999998</v>
      </c>
      <c r="AB28" s="26">
        <f t="shared" si="79"/>
        <v>0</v>
      </c>
      <c r="AC28" s="26">
        <f t="shared" si="79"/>
        <v>361809000</v>
      </c>
      <c r="AD28" s="26">
        <f t="shared" si="79"/>
        <v>161809000</v>
      </c>
      <c r="AE28" s="26">
        <f t="shared" si="79"/>
        <v>161809000</v>
      </c>
      <c r="AF28" s="26">
        <f t="shared" si="79"/>
        <v>145650000</v>
      </c>
      <c r="AG28" s="26">
        <f t="shared" si="79"/>
        <v>0</v>
      </c>
      <c r="AH28" s="26">
        <f t="shared" si="79"/>
        <v>0</v>
      </c>
      <c r="AI28" s="26">
        <f t="shared" si="79"/>
        <v>0</v>
      </c>
      <c r="AJ28" s="26">
        <f t="shared" si="79"/>
        <v>0</v>
      </c>
      <c r="AK28" s="26">
        <f t="shared" si="79"/>
        <v>36632368.68</v>
      </c>
      <c r="AL28" s="26">
        <f t="shared" si="79"/>
        <v>0</v>
      </c>
      <c r="AM28" s="26">
        <f t="shared" si="79"/>
        <v>0</v>
      </c>
      <c r="AN28" s="26">
        <f t="shared" si="79"/>
        <v>0</v>
      </c>
      <c r="AO28" s="26">
        <f t="shared" si="79"/>
        <v>2663854.6300000004</v>
      </c>
      <c r="AP28" s="26">
        <f t="shared" si="79"/>
        <v>9175519.5300000012</v>
      </c>
      <c r="AQ28" s="26">
        <f t="shared" si="79"/>
        <v>11094379.380000001</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f>POWER(E28/U28,1/5)-1</f>
        <v>-1.9924497953508791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39082</v>
      </c>
      <c r="AR30" s="1">
        <v>25569</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25125217673.349998</v>
      </c>
      <c r="C31" s="190">
        <v>24325586194.639999</v>
      </c>
      <c r="D31" s="190">
        <v>23058155203.169998</v>
      </c>
      <c r="E31" s="190">
        <v>23115249260.889999</v>
      </c>
      <c r="F31" s="190">
        <v>21877325072.380001</v>
      </c>
      <c r="G31" s="190">
        <v>21112261189.759998</v>
      </c>
      <c r="H31" s="190">
        <v>19549382860.400002</v>
      </c>
      <c r="I31" s="190">
        <v>18775690507.919998</v>
      </c>
      <c r="J31" s="190">
        <v>3473070170.4499998</v>
      </c>
      <c r="K31" s="190">
        <v>3516264004.46</v>
      </c>
      <c r="L31" s="190">
        <v>3424688124.7800002</v>
      </c>
      <c r="M31" s="190">
        <v>3425367436.9299998</v>
      </c>
      <c r="N31" s="190">
        <v>3413568916.8800001</v>
      </c>
      <c r="O31" s="190">
        <v>3413266161.8899999</v>
      </c>
      <c r="P31" s="190">
        <v>3128896247.1199999</v>
      </c>
      <c r="Q31" s="190">
        <v>3012278639.71</v>
      </c>
      <c r="R31" s="190">
        <v>2953439607.7399998</v>
      </c>
      <c r="S31" s="190">
        <v>2946714806.4699998</v>
      </c>
      <c r="T31" s="190">
        <v>2860002831.5100002</v>
      </c>
      <c r="U31" s="190">
        <v>2782375292.5999999</v>
      </c>
      <c r="V31" s="190">
        <v>2686739403.6999998</v>
      </c>
      <c r="W31" s="190">
        <v>2612168541.1100001</v>
      </c>
      <c r="X31" s="190">
        <v>2540223594.4400001</v>
      </c>
      <c r="Y31" s="190">
        <v>2401067096.21</v>
      </c>
      <c r="Z31" s="190">
        <v>2148192183.6199999</v>
      </c>
      <c r="AA31" s="190">
        <v>1382091585.9100001</v>
      </c>
      <c r="AB31" s="190">
        <v>1298608118.72</v>
      </c>
      <c r="AC31" s="190">
        <v>1431327187.6400001</v>
      </c>
      <c r="AD31" s="190">
        <v>892900417.40999997</v>
      </c>
      <c r="AE31" s="190">
        <v>855770008.19000006</v>
      </c>
      <c r="AF31" s="190">
        <v>798243593.01999998</v>
      </c>
      <c r="AG31" s="190">
        <v>643285389.13999999</v>
      </c>
      <c r="AH31" s="190">
        <v>595650677.73000002</v>
      </c>
      <c r="AI31" s="190">
        <v>568515598.5</v>
      </c>
      <c r="AJ31" s="190">
        <v>535659985.44</v>
      </c>
      <c r="AK31" s="190">
        <v>543367720.39999998</v>
      </c>
      <c r="AL31" s="190">
        <v>478513326.94999999</v>
      </c>
      <c r="AM31" s="190">
        <v>511607740.62</v>
      </c>
      <c r="AN31" s="190">
        <v>463272752.60000002</v>
      </c>
      <c r="AO31" s="190">
        <v>473449840.36000001</v>
      </c>
      <c r="AP31" s="190">
        <v>0</v>
      </c>
      <c r="AQ31" s="190"/>
      <c r="AR31" s="190"/>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49334938.409999996</v>
      </c>
      <c r="C32" s="190">
        <v>48807841.689999998</v>
      </c>
      <c r="D32" s="190">
        <v>38071978.200000003</v>
      </c>
      <c r="E32" s="190">
        <v>38071978.200000003</v>
      </c>
      <c r="F32" s="190">
        <v>7963285.5800000001</v>
      </c>
      <c r="G32" s="190">
        <v>7963285.5800000001</v>
      </c>
      <c r="H32" s="190">
        <v>7963285.5800000001</v>
      </c>
      <c r="I32" s="190">
        <v>7963285.5800000001</v>
      </c>
      <c r="J32" s="190">
        <v>10626662.300000001</v>
      </c>
      <c r="K32" s="190">
        <v>10626662.300000001</v>
      </c>
      <c r="L32" s="190">
        <v>10626662.300000001</v>
      </c>
      <c r="M32" s="190">
        <v>10626662.300000001</v>
      </c>
      <c r="N32" s="190">
        <v>10626662.300000001</v>
      </c>
      <c r="O32" s="190">
        <v>10626662.300000001</v>
      </c>
      <c r="P32" s="190">
        <v>10626662.300000001</v>
      </c>
      <c r="Q32" s="190">
        <v>2663376.7200000002</v>
      </c>
      <c r="R32" s="190">
        <v>2663376.7200000002</v>
      </c>
      <c r="S32" s="190">
        <v>2663376.7200000002</v>
      </c>
      <c r="T32" s="190">
        <v>2663376.7200000002</v>
      </c>
      <c r="U32" s="190">
        <v>2663376.7200000002</v>
      </c>
      <c r="V32" s="190">
        <v>1042622.14</v>
      </c>
      <c r="W32" s="190">
        <v>1042622.14</v>
      </c>
      <c r="X32" s="190">
        <v>1042622.14</v>
      </c>
      <c r="Y32" s="190">
        <v>1042622.14</v>
      </c>
      <c r="Z32" s="190">
        <v>1379263.62</v>
      </c>
      <c r="AA32" s="190">
        <v>1379263.62</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c r="AR32" s="190"/>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1389071545.3299999</v>
      </c>
      <c r="C33" s="190">
        <v>1451600365.8299999</v>
      </c>
      <c r="D33" s="190">
        <v>1463486807.6199999</v>
      </c>
      <c r="E33" s="190">
        <v>1379351197.6199999</v>
      </c>
      <c r="F33" s="190">
        <v>1771090329.23</v>
      </c>
      <c r="G33" s="190">
        <v>1753429863.8099999</v>
      </c>
      <c r="H33" s="190">
        <v>1537615893.6600001</v>
      </c>
      <c r="I33" s="190">
        <v>1508452876.5799999</v>
      </c>
      <c r="J33" s="190">
        <v>663551249.78999996</v>
      </c>
      <c r="K33" s="190">
        <v>671582413.78999996</v>
      </c>
      <c r="L33" s="190">
        <v>678549080.78999996</v>
      </c>
      <c r="M33" s="190">
        <v>612601968</v>
      </c>
      <c r="N33" s="190">
        <v>628801281.87</v>
      </c>
      <c r="O33" s="190">
        <v>510313758</v>
      </c>
      <c r="P33" s="190">
        <v>488313758</v>
      </c>
      <c r="Q33" s="190">
        <v>438243758</v>
      </c>
      <c r="R33" s="190">
        <v>457871628</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c r="AR33" s="190"/>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21697826085.07</v>
      </c>
      <c r="F34" s="49">
        <f t="shared" ref="F34:BP34" si="81">F31-F32-F33</f>
        <v>20098271457.57</v>
      </c>
      <c r="G34" s="49">
        <f t="shared" si="81"/>
        <v>19350868040.369995</v>
      </c>
      <c r="H34" s="49">
        <f t="shared" si="81"/>
        <v>18003803681.16</v>
      </c>
      <c r="I34" s="49">
        <f t="shared" si="81"/>
        <v>17259274345.759995</v>
      </c>
      <c r="J34" s="49">
        <f t="shared" si="81"/>
        <v>2798892258.3599997</v>
      </c>
      <c r="K34" s="49">
        <f t="shared" si="81"/>
        <v>2834054928.3699999</v>
      </c>
      <c r="L34" s="49">
        <f t="shared" si="81"/>
        <v>2735512381.6900001</v>
      </c>
      <c r="M34" s="49">
        <f t="shared" si="81"/>
        <v>2802138806.6299996</v>
      </c>
      <c r="N34" s="49">
        <f t="shared" si="81"/>
        <v>2774140972.71</v>
      </c>
      <c r="O34" s="49">
        <f t="shared" si="81"/>
        <v>2892325741.5899997</v>
      </c>
      <c r="P34" s="49">
        <f t="shared" si="81"/>
        <v>2629955826.8199997</v>
      </c>
      <c r="Q34" s="49">
        <f t="shared" si="81"/>
        <v>2571371504.9900002</v>
      </c>
      <c r="R34" s="49">
        <f t="shared" si="81"/>
        <v>2492904603.02</v>
      </c>
      <c r="S34" s="49">
        <f t="shared" si="81"/>
        <v>2944051429.75</v>
      </c>
      <c r="T34" s="49">
        <f t="shared" si="81"/>
        <v>2857339454.7900004</v>
      </c>
      <c r="U34" s="49">
        <f t="shared" si="81"/>
        <v>2779711915.8800001</v>
      </c>
      <c r="V34" s="49">
        <f t="shared" si="81"/>
        <v>2685696781.5599999</v>
      </c>
      <c r="W34" s="49">
        <f t="shared" si="81"/>
        <v>2611125918.9700003</v>
      </c>
      <c r="X34" s="49">
        <f t="shared" si="81"/>
        <v>2539180972.3000002</v>
      </c>
      <c r="Y34" s="49">
        <f t="shared" si="81"/>
        <v>2400024474.0700002</v>
      </c>
      <c r="Z34" s="49">
        <f t="shared" si="81"/>
        <v>2146812920</v>
      </c>
      <c r="AA34" s="49">
        <f t="shared" si="81"/>
        <v>1380712322.2900002</v>
      </c>
      <c r="AB34" s="49">
        <f t="shared" si="81"/>
        <v>1298608118.72</v>
      </c>
      <c r="AC34" s="49">
        <f t="shared" si="81"/>
        <v>1431327187.6400001</v>
      </c>
      <c r="AD34" s="49">
        <f t="shared" si="81"/>
        <v>892900417.40999997</v>
      </c>
      <c r="AE34" s="49">
        <f t="shared" si="81"/>
        <v>855770008.19000006</v>
      </c>
      <c r="AF34" s="49">
        <f t="shared" si="81"/>
        <v>798243593.01999998</v>
      </c>
      <c r="AG34" s="49">
        <f t="shared" si="81"/>
        <v>643285389.13999999</v>
      </c>
      <c r="AH34" s="49">
        <f t="shared" si="81"/>
        <v>595650677.73000002</v>
      </c>
      <c r="AI34" s="49">
        <f t="shared" si="81"/>
        <v>568515598.5</v>
      </c>
      <c r="AJ34" s="49">
        <f t="shared" si="81"/>
        <v>535659985.44</v>
      </c>
      <c r="AK34" s="49">
        <f t="shared" si="81"/>
        <v>543367720.39999998</v>
      </c>
      <c r="AL34" s="49">
        <f t="shared" si="81"/>
        <v>478513326.94999999</v>
      </c>
      <c r="AM34" s="49">
        <f t="shared" si="81"/>
        <v>511607740.62</v>
      </c>
      <c r="AN34" s="49">
        <f t="shared" si="81"/>
        <v>463272752.60000002</v>
      </c>
      <c r="AO34" s="49">
        <f t="shared" si="81"/>
        <v>473449840.36000001</v>
      </c>
      <c r="AP34" s="49">
        <f t="shared" si="81"/>
        <v>0</v>
      </c>
      <c r="AQ34" s="49">
        <f t="shared" si="81"/>
        <v>0</v>
      </c>
      <c r="AR34" s="49">
        <f t="shared" si="81"/>
        <v>0</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0</v>
      </c>
      <c r="BT34" s="49"/>
      <c r="BU34" s="50"/>
    </row>
    <row r="35" spans="1:74" s="106" customFormat="1" ht="15" thickBot="1" x14ac:dyDescent="0.3">
      <c r="A35" s="140" t="s">
        <v>317</v>
      </c>
      <c r="B35" s="33">
        <f>SUM(B22:B31)</f>
        <v>23001917307.649998</v>
      </c>
      <c r="C35" s="33">
        <f>SUM(C22:C31)</f>
        <v>22732150684.559998</v>
      </c>
      <c r="D35" s="33">
        <f>SUM(D22:D31)</f>
        <v>23085595555.859997</v>
      </c>
      <c r="E35" s="33">
        <f>资产资本表!E17</f>
        <v>9086142508.9199982</v>
      </c>
      <c r="F35" s="33">
        <f>资产资本表!F17</f>
        <v>9522526504.6199989</v>
      </c>
      <c r="G35" s="33">
        <f>资产资本表!G17</f>
        <v>8890338541.3999996</v>
      </c>
      <c r="H35" s="33">
        <f>资产资本表!H17</f>
        <v>8675638929.6099987</v>
      </c>
      <c r="I35" s="33">
        <f>资产资本表!I17</f>
        <v>5303835407.5299997</v>
      </c>
      <c r="J35" s="33">
        <f>资产资本表!J17</f>
        <v>1945069874.46</v>
      </c>
      <c r="K35" s="33">
        <f>资产资本表!K17</f>
        <v>2380867049.1300001</v>
      </c>
      <c r="L35" s="33">
        <f>资产资本表!L17</f>
        <v>3203710527.9299998</v>
      </c>
      <c r="M35" s="33">
        <f>资产资本表!M17</f>
        <v>2386090451.9099998</v>
      </c>
      <c r="N35" s="33">
        <f>资产资本表!N17</f>
        <v>2753272195.0799999</v>
      </c>
      <c r="O35" s="33">
        <f>资产资本表!O17</f>
        <v>3146514319.4300003</v>
      </c>
      <c r="P35" s="33">
        <f>资产资本表!P17</f>
        <v>2597765869.3499999</v>
      </c>
      <c r="Q35" s="33">
        <f>资产资本表!Q17</f>
        <v>2893950934.0300002</v>
      </c>
      <c r="R35" s="33">
        <f>资产资本表!R17</f>
        <v>2434729413.3299999</v>
      </c>
      <c r="S35" s="33">
        <f>资产资本表!S17</f>
        <v>2043014316.96</v>
      </c>
      <c r="T35" s="33">
        <f>资产资本表!T17</f>
        <v>2123771111.1599998</v>
      </c>
      <c r="U35" s="33">
        <f>资产资本表!U17</f>
        <v>1992522681.77</v>
      </c>
      <c r="V35" s="33">
        <f>资产资本表!V17</f>
        <v>2158772260.1600003</v>
      </c>
      <c r="W35" s="33">
        <f>资产资本表!W17</f>
        <v>2250323465.4300003</v>
      </c>
      <c r="X35" s="33">
        <f>资产资本表!X17</f>
        <v>2740173856.3400002</v>
      </c>
      <c r="Y35" s="33">
        <f>资产资本表!Y17</f>
        <v>3969873677.3299999</v>
      </c>
      <c r="Z35" s="33">
        <f>资产资本表!Z17</f>
        <v>3286353801.2799997</v>
      </c>
      <c r="AA35" s="33">
        <f>资产资本表!AA17</f>
        <v>4207987751.7399998</v>
      </c>
      <c r="AB35" s="33">
        <f>资产资本表!AB17</f>
        <v>4376492814.7799997</v>
      </c>
      <c r="AC35" s="33">
        <f>资产资本表!AC17</f>
        <v>4564881707.46</v>
      </c>
      <c r="AD35" s="33">
        <f>资产资本表!AD17</f>
        <v>4667499154.4899998</v>
      </c>
      <c r="AE35" s="33">
        <f>资产资本表!AE17</f>
        <v>3318285512.1500001</v>
      </c>
      <c r="AF35" s="33">
        <f>资产资本表!AF17</f>
        <v>3403911500.1900001</v>
      </c>
      <c r="AG35" s="33">
        <f>资产资本表!AG17</f>
        <v>3847081771.3099999</v>
      </c>
      <c r="AH35" s="33">
        <f>资产资本表!AH17</f>
        <v>3881667889.71</v>
      </c>
      <c r="AI35" s="33">
        <f>资产资本表!AI17</f>
        <v>3577450507.1500001</v>
      </c>
      <c r="AJ35" s="33">
        <f>资产资本表!AJ17</f>
        <v>3322562731.0099998</v>
      </c>
      <c r="AK35" s="33">
        <f>资产资本表!AK17</f>
        <v>999966016.5999999</v>
      </c>
      <c r="AL35" s="33">
        <f>资产资本表!AL17</f>
        <v>997803438.87</v>
      </c>
      <c r="AM35" s="33">
        <f>资产资本表!AM17</f>
        <v>299043732.51000005</v>
      </c>
      <c r="AN35" s="33">
        <f>资产资本表!AN17</f>
        <v>575444316.69999993</v>
      </c>
      <c r="AO35" s="33">
        <f>资产资本表!AO17</f>
        <v>102963093.97</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742</v>
      </c>
      <c r="B40" s="190">
        <v>1894549.12</v>
      </c>
      <c r="C40" s="190">
        <v>853043.19999999995</v>
      </c>
      <c r="D40" s="190">
        <v>1121201.32</v>
      </c>
      <c r="E40" s="190">
        <v>4459434714.3599997</v>
      </c>
      <c r="F40" s="190">
        <v>4623944087.3900003</v>
      </c>
      <c r="G40" s="190">
        <v>4404939790.8900003</v>
      </c>
      <c r="H40" s="190">
        <v>4397007838.8900003</v>
      </c>
      <c r="I40" s="190">
        <v>65108022.340000004</v>
      </c>
      <c r="J40" s="190">
        <v>68516522.5</v>
      </c>
      <c r="K40" s="190">
        <v>61466522.5</v>
      </c>
      <c r="L40" s="190">
        <v>0</v>
      </c>
      <c r="M40" s="190">
        <v>800000</v>
      </c>
      <c r="N40" s="190">
        <v>300000</v>
      </c>
      <c r="O40" s="190">
        <v>0</v>
      </c>
      <c r="P40" s="190">
        <v>0</v>
      </c>
      <c r="Q40" s="190">
        <v>65432493</v>
      </c>
      <c r="R40" s="190">
        <v>5220888</v>
      </c>
      <c r="S40" s="190">
        <v>5220888</v>
      </c>
      <c r="T40" s="190">
        <v>600000</v>
      </c>
      <c r="U40" s="190">
        <v>79180720</v>
      </c>
      <c r="V40" s="190">
        <v>0</v>
      </c>
      <c r="W40" s="190">
        <v>0</v>
      </c>
      <c r="X40" s="190">
        <v>0</v>
      </c>
      <c r="Y40" s="190">
        <v>0</v>
      </c>
      <c r="Z40" s="190">
        <v>0</v>
      </c>
      <c r="AA40" s="190">
        <v>0</v>
      </c>
      <c r="AB40" s="190">
        <v>0</v>
      </c>
      <c r="AC40" s="190">
        <v>0</v>
      </c>
      <c r="AD40" s="190">
        <v>0</v>
      </c>
      <c r="AE40" s="190">
        <v>0</v>
      </c>
      <c r="AF40" s="190">
        <v>0</v>
      </c>
      <c r="AG40" s="190">
        <v>2460024100</v>
      </c>
      <c r="AH40" s="190">
        <v>2463024100</v>
      </c>
      <c r="AI40" s="190">
        <v>2463024100</v>
      </c>
      <c r="AJ40" s="190">
        <v>2463024100</v>
      </c>
      <c r="AK40" s="190">
        <v>0</v>
      </c>
      <c r="AL40" s="190">
        <v>0</v>
      </c>
      <c r="AM40" s="190">
        <v>0</v>
      </c>
      <c r="AN40" s="190">
        <v>0</v>
      </c>
      <c r="AO40" s="190">
        <v>0</v>
      </c>
      <c r="AP40" s="190">
        <v>26749800</v>
      </c>
      <c r="AQ40" s="190">
        <v>4230000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633</v>
      </c>
      <c r="B41" s="53">
        <v>1419647033.29</v>
      </c>
      <c r="C41" s="53">
        <v>682396282.87</v>
      </c>
      <c r="D41" s="53">
        <v>73246783.790000007</v>
      </c>
      <c r="E41" s="53">
        <v>1036174665.3</v>
      </c>
      <c r="I41" s="53">
        <v>1051925108</v>
      </c>
      <c r="M41" s="53">
        <v>807567785</v>
      </c>
      <c r="Q41" s="53">
        <v>1006810800</v>
      </c>
      <c r="U41" s="53">
        <v>894450000</v>
      </c>
      <c r="Y41" s="53">
        <v>703500000</v>
      </c>
      <c r="AC41" s="53">
        <v>402000000</v>
      </c>
      <c r="AG41" s="53">
        <v>471000000</v>
      </c>
      <c r="AO41" s="53">
        <v>93000000</v>
      </c>
    </row>
    <row r="42" spans="1:74" s="26" customFormat="1" x14ac:dyDescent="0.25">
      <c r="A42" s="17" t="s">
        <v>322</v>
      </c>
      <c r="E42" s="26">
        <f>E40-E41</f>
        <v>3423260049.0599995</v>
      </c>
      <c r="F42" s="26">
        <f t="shared" ref="F42:Y42" si="82">F40-F41</f>
        <v>4623944087.3900003</v>
      </c>
      <c r="G42" s="26">
        <f t="shared" si="82"/>
        <v>4404939790.8900003</v>
      </c>
      <c r="H42" s="26">
        <f t="shared" si="82"/>
        <v>4397007838.8900003</v>
      </c>
      <c r="I42" s="26">
        <f>I40-I41</f>
        <v>-986817085.65999997</v>
      </c>
      <c r="J42" s="26">
        <f t="shared" si="82"/>
        <v>68516522.5</v>
      </c>
      <c r="K42" s="26">
        <f t="shared" si="82"/>
        <v>61466522.5</v>
      </c>
      <c r="L42" s="26">
        <f t="shared" si="82"/>
        <v>0</v>
      </c>
      <c r="M42" s="26">
        <f t="shared" si="82"/>
        <v>-806767785</v>
      </c>
      <c r="N42" s="26">
        <f t="shared" si="82"/>
        <v>300000</v>
      </c>
      <c r="O42" s="26">
        <f t="shared" si="82"/>
        <v>0</v>
      </c>
      <c r="P42" s="26">
        <f t="shared" si="82"/>
        <v>0</v>
      </c>
      <c r="Q42" s="26">
        <f t="shared" si="82"/>
        <v>-941378307</v>
      </c>
      <c r="R42" s="26">
        <f t="shared" si="82"/>
        <v>5220888</v>
      </c>
      <c r="S42" s="26">
        <f t="shared" si="82"/>
        <v>5220888</v>
      </c>
      <c r="T42" s="26">
        <f t="shared" si="82"/>
        <v>600000</v>
      </c>
      <c r="U42" s="26">
        <f t="shared" si="82"/>
        <v>-815269280</v>
      </c>
      <c r="V42" s="26">
        <f t="shared" si="82"/>
        <v>0</v>
      </c>
      <c r="W42" s="26">
        <f t="shared" si="82"/>
        <v>0</v>
      </c>
      <c r="X42" s="26">
        <f t="shared" si="82"/>
        <v>0</v>
      </c>
      <c r="Y42" s="26">
        <f t="shared" si="82"/>
        <v>-703500000</v>
      </c>
      <c r="Z42" s="26">
        <f t="shared" ref="Z42:BQ42" si="83">Z40-Z41</f>
        <v>0</v>
      </c>
      <c r="AA42" s="26">
        <f t="shared" si="83"/>
        <v>0</v>
      </c>
      <c r="AB42" s="26">
        <f t="shared" si="83"/>
        <v>0</v>
      </c>
      <c r="AC42" s="26">
        <f t="shared" si="83"/>
        <v>-402000000</v>
      </c>
      <c r="AD42" s="26">
        <f t="shared" si="83"/>
        <v>0</v>
      </c>
      <c r="AE42" s="26">
        <f t="shared" si="83"/>
        <v>0</v>
      </c>
      <c r="AF42" s="26">
        <f t="shared" si="83"/>
        <v>0</v>
      </c>
      <c r="AG42" s="26">
        <f t="shared" si="83"/>
        <v>1989024100</v>
      </c>
      <c r="AH42" s="26">
        <f t="shared" si="83"/>
        <v>2463024100</v>
      </c>
      <c r="AI42" s="26">
        <f t="shared" si="83"/>
        <v>2463024100</v>
      </c>
      <c r="AJ42" s="26">
        <f t="shared" si="83"/>
        <v>2463024100</v>
      </c>
      <c r="AK42" s="26">
        <f t="shared" si="83"/>
        <v>0</v>
      </c>
      <c r="AL42" s="193">
        <f t="shared" si="83"/>
        <v>0</v>
      </c>
      <c r="AM42" s="193">
        <f t="shared" si="83"/>
        <v>0</v>
      </c>
      <c r="AN42" s="193">
        <f t="shared" si="83"/>
        <v>0</v>
      </c>
      <c r="AO42" s="193">
        <f t="shared" si="83"/>
        <v>-93000000</v>
      </c>
      <c r="AP42" s="193">
        <f t="shared" si="83"/>
        <v>26749800</v>
      </c>
      <c r="AQ42" s="193">
        <f t="shared" si="83"/>
        <v>4230000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1957278663.8</v>
      </c>
      <c r="C44" s="190">
        <v>1537353405.0799999</v>
      </c>
      <c r="D44" s="190">
        <v>742831628.99000001</v>
      </c>
      <c r="E44" s="190">
        <v>3929656263.1599998</v>
      </c>
      <c r="F44" s="190">
        <v>3437565488.25</v>
      </c>
      <c r="G44" s="190">
        <v>1997173422.3099999</v>
      </c>
      <c r="H44" s="190">
        <v>1443791089.8199999</v>
      </c>
      <c r="I44" s="190">
        <v>6591307762.0799999</v>
      </c>
      <c r="J44" s="190">
        <v>23499630</v>
      </c>
      <c r="K44" s="190">
        <v>23499630</v>
      </c>
      <c r="L44" s="190">
        <v>23499630</v>
      </c>
      <c r="M44" s="190">
        <v>205000360</v>
      </c>
      <c r="N44" s="190">
        <v>178652090</v>
      </c>
      <c r="O44" s="190">
        <v>88652090</v>
      </c>
      <c r="P44" s="190">
        <v>28652090</v>
      </c>
      <c r="Q44" s="190">
        <v>462629022</v>
      </c>
      <c r="R44" s="190">
        <v>244950244.28999999</v>
      </c>
      <c r="S44" s="190">
        <v>194950244.28999999</v>
      </c>
      <c r="T44" s="190">
        <v>11878337.970000001</v>
      </c>
      <c r="U44" s="190">
        <v>509972905.5</v>
      </c>
      <c r="V44" s="190">
        <v>151049314.47</v>
      </c>
      <c r="W44" s="190">
        <v>78229892.469999999</v>
      </c>
      <c r="X44" s="190">
        <v>133137032.48</v>
      </c>
      <c r="Y44" s="190">
        <v>538002314.98000002</v>
      </c>
      <c r="Z44" s="190">
        <v>50033637.170000002</v>
      </c>
      <c r="AA44" s="190">
        <v>37926532.399999999</v>
      </c>
      <c r="AB44" s="190">
        <v>11924341</v>
      </c>
      <c r="AC44" s="190">
        <v>1096755</v>
      </c>
      <c r="AD44" s="190">
        <v>1112463</v>
      </c>
      <c r="AE44" s="190">
        <v>1299276</v>
      </c>
      <c r="AF44" s="190">
        <v>0</v>
      </c>
      <c r="AG44" s="190">
        <v>0</v>
      </c>
      <c r="AH44" s="190">
        <v>0</v>
      </c>
      <c r="AI44" s="190">
        <v>0</v>
      </c>
      <c r="AJ44" s="190">
        <v>0</v>
      </c>
      <c r="AK44" s="190">
        <v>49261873.600000001</v>
      </c>
      <c r="AL44" s="190">
        <v>42668496</v>
      </c>
      <c r="AM44" s="190">
        <v>42631056</v>
      </c>
      <c r="AN44" s="190">
        <v>42668496</v>
      </c>
      <c r="AO44" s="190">
        <v>405700550.44999999</v>
      </c>
      <c r="AP44" s="190">
        <v>568769594.44000006</v>
      </c>
      <c r="AQ44" s="190">
        <v>583386186.24000001</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573429676.48000002</v>
      </c>
      <c r="F45" s="193">
        <f>股权价值增加表!F53</f>
        <v>0</v>
      </c>
      <c r="G45" s="193">
        <f>股权价值增加表!G53</f>
        <v>0</v>
      </c>
      <c r="H45" s="193">
        <f>股权价值增加表!H53</f>
        <v>0</v>
      </c>
      <c r="I45" s="193">
        <f>股权价值增加表!I53</f>
        <v>541849764.88</v>
      </c>
      <c r="J45" s="193">
        <f>股权价值增加表!J53</f>
        <v>0</v>
      </c>
      <c r="K45" s="193">
        <f>股权价值增加表!K53</f>
        <v>0</v>
      </c>
      <c r="L45" s="193">
        <f>股权价值增加表!L53</f>
        <v>0</v>
      </c>
      <c r="M45" s="193">
        <f>股权价值增加表!M53</f>
        <v>108894090.77</v>
      </c>
      <c r="N45" s="193">
        <f>股权价值增加表!N53</f>
        <v>0</v>
      </c>
      <c r="O45" s="193">
        <f>股权价值增加表!O53</f>
        <v>0</v>
      </c>
      <c r="P45" s="193">
        <f>股权价值增加表!P53</f>
        <v>0</v>
      </c>
      <c r="Q45" s="193">
        <f>股权价值增加表!Q53</f>
        <v>112689607.06</v>
      </c>
      <c r="R45" s="193">
        <f>股权价值增加表!R53</f>
        <v>0</v>
      </c>
      <c r="S45" s="193">
        <f>股权价值增加表!S53</f>
        <v>0</v>
      </c>
      <c r="T45" s="193">
        <f>股权价值增加表!T53</f>
        <v>0</v>
      </c>
      <c r="U45" s="193">
        <f>股权价值增加表!U53</f>
        <v>115011419.62</v>
      </c>
      <c r="V45" s="193">
        <f>股权价值增加表!V53</f>
        <v>0</v>
      </c>
      <c r="W45" s="193">
        <f>股权价值增加表!W53</f>
        <v>0</v>
      </c>
      <c r="X45" s="193">
        <f>股权价值增加表!X53</f>
        <v>0</v>
      </c>
      <c r="Y45" s="193">
        <f>股权价值增加表!Y53</f>
        <v>114441869.84999999</v>
      </c>
      <c r="Z45" s="193">
        <f>股权价值增加表!Z53</f>
        <v>0</v>
      </c>
      <c r="AA45" s="193">
        <f>股权价值增加表!AA53</f>
        <v>0</v>
      </c>
      <c r="AB45" s="193">
        <f>股权价值增加表!AB53</f>
        <v>0</v>
      </c>
      <c r="AC45" s="193">
        <f>股权价值增加表!AC53</f>
        <v>42398761.759999998</v>
      </c>
      <c r="AD45" s="193">
        <f>股权价值增加表!AD53</f>
        <v>0</v>
      </c>
      <c r="AE45" s="193">
        <f>股权价值增加表!AE53</f>
        <v>0</v>
      </c>
      <c r="AF45" s="193">
        <f>股权价值增加表!AF53</f>
        <v>0</v>
      </c>
      <c r="AG45" s="193">
        <f>股权价值增加表!AG53</f>
        <v>462385.15</v>
      </c>
      <c r="AH45" s="193">
        <f>股权价值增加表!AH53</f>
        <v>0</v>
      </c>
      <c r="AI45" s="193">
        <f>股权价值增加表!AI53</f>
        <v>0</v>
      </c>
      <c r="AJ45" s="193">
        <f>股权价值增加表!AJ53</f>
        <v>0</v>
      </c>
      <c r="AK45" s="193">
        <f>股权价值增加表!AK53</f>
        <v>1584598.31</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14315542.869999999</v>
      </c>
      <c r="C46" s="190">
        <v>12252742.279999999</v>
      </c>
      <c r="D46" s="190">
        <v>22780982.699999999</v>
      </c>
      <c r="E46" s="190">
        <v>20628458.09</v>
      </c>
      <c r="F46" s="190">
        <v>34119059</v>
      </c>
      <c r="G46" s="190">
        <v>30539144.75</v>
      </c>
      <c r="H46" s="190">
        <v>27940487.260000002</v>
      </c>
      <c r="I46" s="190">
        <v>18091764.73</v>
      </c>
      <c r="J46" s="190">
        <v>0</v>
      </c>
      <c r="K46" s="190">
        <v>79885823.200000003</v>
      </c>
      <c r="L46" s="190">
        <v>60541588.329999998</v>
      </c>
      <c r="M46" s="190">
        <v>37717353.460000001</v>
      </c>
      <c r="N46" s="190">
        <v>16109417.76</v>
      </c>
      <c r="O46" s="190">
        <v>79613272.810000002</v>
      </c>
      <c r="P46" s="190">
        <v>64511837.939999998</v>
      </c>
      <c r="Q46" s="190">
        <v>37449103.07</v>
      </c>
      <c r="R46" s="190">
        <v>16586068.199999999</v>
      </c>
      <c r="S46" s="190">
        <v>85989833.329999998</v>
      </c>
      <c r="T46" s="190">
        <v>63786333.329999998</v>
      </c>
      <c r="U46" s="190">
        <v>40738333.329999998</v>
      </c>
      <c r="V46" s="190">
        <v>18071527.829999998</v>
      </c>
      <c r="W46" s="190">
        <v>86004027.829999998</v>
      </c>
      <c r="X46" s="190">
        <v>63512254.140000001</v>
      </c>
      <c r="Y46" s="190">
        <v>40685813.140000001</v>
      </c>
      <c r="Z46" s="190">
        <v>18405970.84</v>
      </c>
      <c r="AA46" s="190">
        <v>85708333.329999998</v>
      </c>
      <c r="AB46" s="190">
        <v>63510848.700000003</v>
      </c>
      <c r="AC46" s="190">
        <v>41120845.829999998</v>
      </c>
      <c r="AD46" s="190">
        <v>15125000</v>
      </c>
      <c r="AE46" s="190">
        <v>0</v>
      </c>
      <c r="AF46" s="190">
        <v>0</v>
      </c>
      <c r="AG46" s="190">
        <v>0</v>
      </c>
      <c r="AH46" s="190">
        <v>0</v>
      </c>
      <c r="AI46" s="190">
        <v>0</v>
      </c>
      <c r="AJ46" s="190">
        <v>0</v>
      </c>
      <c r="AK46" s="190">
        <v>0</v>
      </c>
      <c r="AL46" s="190">
        <v>0</v>
      </c>
      <c r="AM46" s="190">
        <v>0</v>
      </c>
      <c r="AN46" s="190">
        <v>354297.58</v>
      </c>
      <c r="AO46" s="190">
        <v>417520.16</v>
      </c>
      <c r="AP46" s="190">
        <v>0</v>
      </c>
      <c r="AQ46" s="190"/>
      <c r="AR46" s="190"/>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1629422254.6400001</v>
      </c>
      <c r="C47" s="190">
        <v>1254937394.3800001</v>
      </c>
      <c r="D47" s="190">
        <v>511666112.41000003</v>
      </c>
      <c r="E47" s="190">
        <v>3790552183.71</v>
      </c>
      <c r="F47" s="190">
        <v>2748870257.3200002</v>
      </c>
      <c r="G47" s="190">
        <v>2314065719.5</v>
      </c>
      <c r="H47" s="190">
        <v>1347253338.54</v>
      </c>
      <c r="I47" s="190">
        <v>5130309483.7799997</v>
      </c>
      <c r="J47" s="190">
        <v>1456650871.1300001</v>
      </c>
      <c r="K47" s="190">
        <v>62651871.130000003</v>
      </c>
      <c r="L47" s="190">
        <v>0</v>
      </c>
      <c r="M47" s="190">
        <v>440216494</v>
      </c>
      <c r="N47" s="190">
        <v>250323854</v>
      </c>
      <c r="O47" s="190">
        <v>160323854</v>
      </c>
      <c r="P47" s="190">
        <v>130323854</v>
      </c>
      <c r="Q47" s="190">
        <v>606492844.5</v>
      </c>
      <c r="R47" s="190">
        <v>339533691.31999999</v>
      </c>
      <c r="S47" s="190">
        <v>203532691.31999999</v>
      </c>
      <c r="T47" s="190">
        <v>29308685</v>
      </c>
      <c r="U47" s="190">
        <v>362497594.98000002</v>
      </c>
      <c r="V47" s="190">
        <v>0</v>
      </c>
      <c r="W47" s="190">
        <v>0</v>
      </c>
      <c r="X47" s="190">
        <v>14176040.01</v>
      </c>
      <c r="Y47" s="190">
        <v>777851055</v>
      </c>
      <c r="Z47" s="190">
        <v>145862997.38999999</v>
      </c>
      <c r="AA47" s="190">
        <v>7639156</v>
      </c>
      <c r="AB47" s="190">
        <v>631512</v>
      </c>
      <c r="AC47" s="190">
        <v>0</v>
      </c>
      <c r="AD47" s="190">
        <v>0</v>
      </c>
      <c r="AE47" s="190">
        <v>0</v>
      </c>
      <c r="AF47" s="190">
        <v>0</v>
      </c>
      <c r="AG47" s="190">
        <v>1242732.3999999999</v>
      </c>
      <c r="AH47" s="190">
        <v>1243278.3999999999</v>
      </c>
      <c r="AI47" s="190">
        <v>1243278.3999999999</v>
      </c>
      <c r="AJ47" s="190">
        <v>1243278.3999999999</v>
      </c>
      <c r="AK47" s="190">
        <v>64832257.200000003</v>
      </c>
      <c r="AL47" s="190">
        <v>26739943.390000001</v>
      </c>
      <c r="AM47" s="190">
        <v>6599425.5</v>
      </c>
      <c r="AN47" s="190">
        <v>5597004.8899999997</v>
      </c>
      <c r="AO47" s="190">
        <v>646252140.16999996</v>
      </c>
      <c r="AP47" s="190">
        <v>609951416.01999998</v>
      </c>
      <c r="AQ47" s="190">
        <v>722602900.88</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597</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1489500000</v>
      </c>
      <c r="AD48" s="190">
        <v>1489500000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598</v>
      </c>
      <c r="E49" s="193">
        <f>E44+E48-E45-E46-E47</f>
        <v>-454954055.12000036</v>
      </c>
      <c r="F49" s="193">
        <f t="shared" ref="F49:BQ49" si="85">F44+F48-F45-F46-F47</f>
        <v>654576171.92999983</v>
      </c>
      <c r="G49" s="193">
        <f t="shared" si="85"/>
        <v>-347431441.94000006</v>
      </c>
      <c r="H49" s="193">
        <f t="shared" si="85"/>
        <v>68597264.019999981</v>
      </c>
      <c r="I49" s="193">
        <f t="shared" si="85"/>
        <v>901056748.69000053</v>
      </c>
      <c r="J49" s="193">
        <f t="shared" si="85"/>
        <v>-1433151241.1300001</v>
      </c>
      <c r="K49" s="193">
        <f t="shared" si="85"/>
        <v>-119038064.33000001</v>
      </c>
      <c r="L49" s="193">
        <f t="shared" si="85"/>
        <v>-37041958.329999998</v>
      </c>
      <c r="M49" s="193">
        <f t="shared" si="85"/>
        <v>-381827578.23000002</v>
      </c>
      <c r="N49" s="193">
        <f t="shared" si="85"/>
        <v>-87781181.75999999</v>
      </c>
      <c r="O49" s="193">
        <f t="shared" si="85"/>
        <v>-151285036.81</v>
      </c>
      <c r="P49" s="193">
        <f t="shared" si="85"/>
        <v>-166183601.94</v>
      </c>
      <c r="Q49" s="193">
        <f t="shared" si="85"/>
        <v>-294002532.63</v>
      </c>
      <c r="R49" s="193">
        <f t="shared" si="85"/>
        <v>-111169515.22999999</v>
      </c>
      <c r="S49" s="193">
        <f t="shared" si="85"/>
        <v>-94572280.359999999</v>
      </c>
      <c r="T49" s="193">
        <f t="shared" si="85"/>
        <v>-81216680.359999999</v>
      </c>
      <c r="U49" s="193">
        <f t="shared" si="85"/>
        <v>-8274442.4300000072</v>
      </c>
      <c r="V49" s="193">
        <f t="shared" si="85"/>
        <v>132977786.64</v>
      </c>
      <c r="W49" s="193">
        <f t="shared" si="85"/>
        <v>-7774135.3599999994</v>
      </c>
      <c r="X49" s="193">
        <f t="shared" si="85"/>
        <v>55448738.330000006</v>
      </c>
      <c r="Y49" s="193">
        <f t="shared" si="85"/>
        <v>-394976423.00999999</v>
      </c>
      <c r="Z49" s="193">
        <f t="shared" si="85"/>
        <v>-114235331.05999999</v>
      </c>
      <c r="AA49" s="193">
        <f t="shared" si="85"/>
        <v>-55420956.93</v>
      </c>
      <c r="AB49" s="193">
        <f t="shared" si="85"/>
        <v>-52218019.700000003</v>
      </c>
      <c r="AC49" s="193">
        <f t="shared" si="85"/>
        <v>1407077147.4100001</v>
      </c>
      <c r="AD49" s="193">
        <f t="shared" si="85"/>
        <v>1475487463</v>
      </c>
      <c r="AE49" s="193">
        <f t="shared" si="85"/>
        <v>1299276</v>
      </c>
      <c r="AF49" s="193">
        <f t="shared" si="85"/>
        <v>0</v>
      </c>
      <c r="AG49" s="193">
        <f t="shared" si="85"/>
        <v>-1705117.5499999998</v>
      </c>
      <c r="AH49" s="193">
        <f t="shared" si="85"/>
        <v>-1243278.3999999999</v>
      </c>
      <c r="AI49" s="193">
        <f t="shared" si="85"/>
        <v>-1243278.3999999999</v>
      </c>
      <c r="AJ49" s="193">
        <f t="shared" si="85"/>
        <v>-1243278.3999999999</v>
      </c>
      <c r="AK49" s="193">
        <f t="shared" si="85"/>
        <v>-17154981.910000004</v>
      </c>
      <c r="AL49" s="193">
        <f t="shared" si="85"/>
        <v>15928552.609999999</v>
      </c>
      <c r="AM49" s="193">
        <f t="shared" si="85"/>
        <v>36031630.5</v>
      </c>
      <c r="AN49" s="193">
        <f t="shared" si="85"/>
        <v>36717193.530000001</v>
      </c>
      <c r="AO49" s="193">
        <f t="shared" si="85"/>
        <v>-240969109.88</v>
      </c>
      <c r="AP49" s="193">
        <f t="shared" si="85"/>
        <v>-41181821.579999924</v>
      </c>
      <c r="AQ49" s="193">
        <f t="shared" si="85"/>
        <v>-139216714.63999999</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7.21875" bestFit="1" customWidth="1"/>
    <col min="42" max="42" width="9.5546875" bestFit="1" customWidth="1"/>
    <col min="43" max="43" width="20.44140625" bestFit="1" customWidth="1"/>
    <col min="44"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573429676.48000002</v>
      </c>
      <c r="F3" s="26">
        <f>股权价值增加表!F53</f>
        <v>0</v>
      </c>
      <c r="G3" s="26">
        <f>股权价值增加表!G53</f>
        <v>0</v>
      </c>
      <c r="H3" s="26">
        <f>股权价值增加表!H53</f>
        <v>0</v>
      </c>
      <c r="I3" s="26">
        <f>股权价值增加表!I53</f>
        <v>541849764.88</v>
      </c>
      <c r="J3" s="26">
        <f>股权价值增加表!J53</f>
        <v>0</v>
      </c>
      <c r="K3" s="26">
        <f>股权价值增加表!K53</f>
        <v>0</v>
      </c>
      <c r="L3" s="26">
        <f>股权价值增加表!L53</f>
        <v>0</v>
      </c>
      <c r="M3" s="26">
        <f>股权价值增加表!M53</f>
        <v>108894090.77</v>
      </c>
      <c r="N3" s="26">
        <f>股权价值增加表!N53</f>
        <v>0</v>
      </c>
      <c r="O3" s="26">
        <f>股权价值增加表!O53</f>
        <v>0</v>
      </c>
      <c r="P3" s="26">
        <f>股权价值增加表!P53</f>
        <v>0</v>
      </c>
      <c r="Q3" s="26">
        <f>股权价值增加表!Q53</f>
        <v>112689607.06</v>
      </c>
      <c r="R3" s="26">
        <f>股权价值增加表!R53</f>
        <v>0</v>
      </c>
      <c r="S3" s="26">
        <f>股权价值增加表!S53</f>
        <v>0</v>
      </c>
      <c r="T3" s="26">
        <f>股权价值增加表!T53</f>
        <v>0</v>
      </c>
      <c r="U3" s="26">
        <f>股权价值增加表!U53</f>
        <v>115011419.62</v>
      </c>
      <c r="V3" s="26">
        <f>股权价值增加表!V53</f>
        <v>0</v>
      </c>
      <c r="W3" s="26">
        <f>股权价值增加表!W53</f>
        <v>0</v>
      </c>
      <c r="X3" s="26">
        <f>股权价值增加表!X53</f>
        <v>0</v>
      </c>
      <c r="Y3" s="26">
        <f>股权价值增加表!Y53</f>
        <v>114441869.84999999</v>
      </c>
      <c r="Z3" s="26">
        <f>股权价值增加表!Z53</f>
        <v>0</v>
      </c>
      <c r="AA3" s="26">
        <f>股权价值增加表!AA53</f>
        <v>0</v>
      </c>
      <c r="AB3" s="26">
        <f>股权价值增加表!AB53</f>
        <v>0</v>
      </c>
      <c r="AC3" s="26">
        <f>股权价值增加表!AC53</f>
        <v>42398761.759999998</v>
      </c>
      <c r="AD3" s="26">
        <f>股权价值增加表!AD53</f>
        <v>0</v>
      </c>
      <c r="AE3" s="26">
        <f>股权价值增加表!AE53</f>
        <v>0</v>
      </c>
      <c r="AF3" s="26">
        <f>股权价值增加表!AF53</f>
        <v>0</v>
      </c>
      <c r="AG3" s="26">
        <f>股权价值增加表!AG53</f>
        <v>462385.15</v>
      </c>
      <c r="AH3" s="26">
        <f>股权价值增加表!AH53</f>
        <v>0</v>
      </c>
      <c r="AI3" s="26">
        <f>股权价值增加表!AI53</f>
        <v>0</v>
      </c>
      <c r="AJ3" s="26">
        <f>股权价值增加表!AJ53</f>
        <v>0</v>
      </c>
      <c r="AK3" s="26">
        <f>股权价值增加表!AK53</f>
        <v>1584598.31</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12526587241.380001</v>
      </c>
      <c r="F4" s="26">
        <f>资产资本表!F89</f>
        <v>12271146066.68</v>
      </c>
      <c r="G4" s="26">
        <f>资产资本表!G89</f>
        <v>11804618312.65</v>
      </c>
      <c r="H4" s="26">
        <f>资产资本表!H89</f>
        <v>12649950290.790001</v>
      </c>
      <c r="I4" s="26">
        <f>资产资本表!I89</f>
        <v>12330766494.75</v>
      </c>
      <c r="J4" s="26">
        <f>资产资本表!J89</f>
        <v>55419930</v>
      </c>
      <c r="K4" s="26">
        <f>资产资本表!K89</f>
        <v>1528838463.2</v>
      </c>
      <c r="L4" s="26">
        <f>资产资本表!L89</f>
        <v>1563077063.24</v>
      </c>
      <c r="M4" s="26">
        <f>资产资本表!M89</f>
        <v>1515277971.8099999</v>
      </c>
      <c r="N4" s="26">
        <f>资产资本表!N89</f>
        <v>1658129486.53</v>
      </c>
      <c r="O4" s="26">
        <f>资产资本表!O89</f>
        <v>1719910258.9400001</v>
      </c>
      <c r="P4" s="26">
        <f>资产资本表!P89</f>
        <v>1673524234.03</v>
      </c>
      <c r="Q4" s="26">
        <f>资产资本表!Q89</f>
        <v>1747982999.1099999</v>
      </c>
      <c r="R4" s="26">
        <f>资产资本表!R89</f>
        <v>1787325113.28</v>
      </c>
      <c r="S4" s="26">
        <f>资产资本表!S89</f>
        <v>1946666165.0899999</v>
      </c>
      <c r="T4" s="26">
        <f>资产资本表!T89</f>
        <v>1915576958.8799999</v>
      </c>
      <c r="U4" s="26">
        <f>资产资本表!U89</f>
        <v>1908958145.0399997</v>
      </c>
      <c r="V4" s="26">
        <f>资产资本表!V89</f>
        <v>1894945007.27</v>
      </c>
      <c r="W4" s="26">
        <f>资产资本表!W89</f>
        <v>1888327480.4099998</v>
      </c>
      <c r="X4" s="26">
        <f>资产资本表!X89</f>
        <v>1898105086.7400002</v>
      </c>
      <c r="Y4" s="26">
        <f>资产资本表!Y89</f>
        <v>1755601196.3200002</v>
      </c>
      <c r="Z4" s="26">
        <f>资产资本表!Z89</f>
        <v>1751909339.73</v>
      </c>
      <c r="AA4" s="26">
        <f>资产资本表!AA89</f>
        <v>1618977951.01</v>
      </c>
      <c r="AB4" s="26">
        <f>资产资本表!AB89</f>
        <v>1577298623.97</v>
      </c>
      <c r="AC4" s="26">
        <f>资产资本表!AC89</f>
        <v>1970307883.47</v>
      </c>
      <c r="AD4" s="26">
        <f>资产资本表!AD89</f>
        <v>1512444432.3599999</v>
      </c>
      <c r="AE4" s="26">
        <f>资产资本表!AE89</f>
        <v>5929276</v>
      </c>
      <c r="AF4" s="26">
        <f>资产资本表!AF89</f>
        <v>4630000</v>
      </c>
      <c r="AG4" s="26">
        <f>资产资本表!AG89</f>
        <v>4630000</v>
      </c>
      <c r="AH4" s="26">
        <f>资产资本表!AH89</f>
        <v>800000</v>
      </c>
      <c r="AI4" s="26">
        <f>资产资本表!AI89</f>
        <v>0</v>
      </c>
      <c r="AJ4" s="26">
        <f>资产资本表!AJ89</f>
        <v>0</v>
      </c>
      <c r="AK4" s="26">
        <f>资产资本表!AK89</f>
        <v>1242732.3999999999</v>
      </c>
      <c r="AL4" s="26">
        <f>资产资本表!AL89</f>
        <v>52844746.5</v>
      </c>
      <c r="AM4" s="26">
        <f>资产资本表!AM89</f>
        <v>16813116</v>
      </c>
      <c r="AN4" s="26">
        <f>资产资本表!AN89</f>
        <v>257719003.30000001</v>
      </c>
      <c r="AO4" s="26">
        <f>资产资本表!AO89</f>
        <v>298964047.46000004</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4.6137628531755071E-2</v>
      </c>
      <c r="F5" s="63">
        <f t="shared" ref="F5:BQ5" si="0">IF(F4+J4=0,0,F3/((F4+J4)/2))</f>
        <v>0</v>
      </c>
      <c r="G5" s="63">
        <f t="shared" si="0"/>
        <v>0</v>
      </c>
      <c r="H5" s="63">
        <f t="shared" si="0"/>
        <v>0</v>
      </c>
      <c r="I5" s="63">
        <f t="shared" si="0"/>
        <v>7.826780654773105E-2</v>
      </c>
      <c r="J5" s="63">
        <f t="shared" si="0"/>
        <v>0</v>
      </c>
      <c r="K5" s="63">
        <f t="shared" si="0"/>
        <v>0</v>
      </c>
      <c r="L5" s="63">
        <f t="shared" si="0"/>
        <v>0</v>
      </c>
      <c r="M5" s="63">
        <f t="shared" si="0"/>
        <v>6.6739431348207409E-2</v>
      </c>
      <c r="N5" s="63">
        <f t="shared" si="0"/>
        <v>0</v>
      </c>
      <c r="O5" s="63">
        <f t="shared" si="0"/>
        <v>0</v>
      </c>
      <c r="P5" s="63">
        <f t="shared" si="0"/>
        <v>0</v>
      </c>
      <c r="Q5" s="63">
        <f t="shared" si="0"/>
        <v>6.1630528147968315E-2</v>
      </c>
      <c r="R5" s="63">
        <f t="shared" si="0"/>
        <v>0</v>
      </c>
      <c r="S5" s="63">
        <f t="shared" si="0"/>
        <v>0</v>
      </c>
      <c r="T5" s="63">
        <f t="shared" si="0"/>
        <v>0</v>
      </c>
      <c r="U5" s="63">
        <f t="shared" si="0"/>
        <v>6.2769576861220477E-2</v>
      </c>
      <c r="V5" s="63">
        <f t="shared" si="0"/>
        <v>0</v>
      </c>
      <c r="W5" s="63">
        <f t="shared" si="0"/>
        <v>0</v>
      </c>
      <c r="X5" s="63">
        <f t="shared" si="0"/>
        <v>0</v>
      </c>
      <c r="Y5" s="63">
        <f t="shared" si="0"/>
        <v>6.1430307288362587E-2</v>
      </c>
      <c r="Z5" s="63">
        <f t="shared" si="0"/>
        <v>0</v>
      </c>
      <c r="AA5" s="63">
        <f t="shared" si="0"/>
        <v>0</v>
      </c>
      <c r="AB5" s="63">
        <f t="shared" si="0"/>
        <v>0</v>
      </c>
      <c r="AC5" s="63">
        <f t="shared" si="0"/>
        <v>4.2936805369801948E-2</v>
      </c>
      <c r="AD5" s="63">
        <f t="shared" si="0"/>
        <v>0</v>
      </c>
      <c r="AE5" s="63">
        <f t="shared" si="0"/>
        <v>0</v>
      </c>
      <c r="AF5" s="63">
        <f t="shared" si="0"/>
        <v>0</v>
      </c>
      <c r="AG5" s="63">
        <f t="shared" si="0"/>
        <v>0.15746848945475533</v>
      </c>
      <c r="AH5" s="63">
        <f t="shared" si="0"/>
        <v>0</v>
      </c>
      <c r="AI5" s="63">
        <f t="shared" si="0"/>
        <v>0</v>
      </c>
      <c r="AJ5" s="63">
        <f t="shared" si="0"/>
        <v>0</v>
      </c>
      <c r="AK5" s="63">
        <f t="shared" si="0"/>
        <v>1.0556712348328508E-2</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0.13067091809013506</v>
      </c>
      <c r="F6" s="63">
        <f>股权价值增加表!F41</f>
        <v>0.13103450415624834</v>
      </c>
      <c r="G6" s="63">
        <f>股权价值增加表!G41</f>
        <v>0.13863928691561594</v>
      </c>
      <c r="H6" s="63">
        <f>股权价值增加表!H41</f>
        <v>0.16276489523175555</v>
      </c>
      <c r="I6" s="63">
        <f>股权价值增加表!I41</f>
        <v>0.13443416091486793</v>
      </c>
      <c r="J6" s="63">
        <f>股权价值增加表!J41</f>
        <v>0.14700913185884473</v>
      </c>
      <c r="K6" s="63">
        <f>股权价值增加表!K41</f>
        <v>0.14206591422967077</v>
      </c>
      <c r="L6" s="63">
        <f>股权价值增加表!L41</f>
        <v>0.1505207002656736</v>
      </c>
      <c r="M6" s="63">
        <f>股权价值增加表!M41</f>
        <v>0.14727937937237406</v>
      </c>
      <c r="N6" s="63">
        <f>股权价值增加表!N41</f>
        <v>0.14796674468961685</v>
      </c>
      <c r="O6" s="63">
        <f>股权价值增加表!O41</f>
        <v>0.14975162753299526</v>
      </c>
      <c r="P6" s="63">
        <f>股权价值增加表!P41</f>
        <v>0.1558568358413035</v>
      </c>
      <c r="Q6" s="63">
        <f>股权价值增加表!Q41</f>
        <v>0.15607050639079359</v>
      </c>
      <c r="R6" s="63">
        <f>股权价值增加表!R41</f>
        <v>0.15417796386570945</v>
      </c>
      <c r="S6" s="63">
        <f>股权价值增加表!S41</f>
        <v>0.15174712344217117</v>
      </c>
      <c r="T6" s="63">
        <f>股权价值增加表!T41</f>
        <v>0.15276754799958456</v>
      </c>
      <c r="U6" s="63">
        <f>股权价值增加表!U41</f>
        <v>0.1568214385421843</v>
      </c>
      <c r="V6" s="63">
        <f>股权价值增加表!V41</f>
        <v>0.16359953032333668</v>
      </c>
      <c r="W6" s="63">
        <f>股权价值增加表!W41</f>
        <v>0.16495452698366547</v>
      </c>
      <c r="X6" s="63">
        <f>股权价值增加表!X41</f>
        <v>0.17124361827868215</v>
      </c>
      <c r="Y6" s="63">
        <f>股权价值增加表!Y41</f>
        <v>0.16165320061676974</v>
      </c>
      <c r="Z6" s="63">
        <f>股权价值增加表!Z41</f>
        <v>0.165824186426001</v>
      </c>
      <c r="AA6" s="63">
        <f>股权价值增加表!AA41</f>
        <v>0.17554327264236308</v>
      </c>
      <c r="AB6" s="63">
        <f>股权价值增加表!AB41</f>
        <v>0.17414460530184211</v>
      </c>
      <c r="AC6" s="63">
        <f>股权价值增加表!AC41</f>
        <v>0.1586735842858768</v>
      </c>
      <c r="AD6" s="63">
        <f>股权价值增加表!AD41</f>
        <v>0.155748104085846</v>
      </c>
      <c r="AE6" s="63">
        <f>股权价值增加表!AE41</f>
        <v>0.16751353069511121</v>
      </c>
      <c r="AF6" s="63">
        <f>股权价值增加表!AF41</f>
        <v>0.17213043212245441</v>
      </c>
      <c r="AG6" s="63">
        <f>股权价值增加表!AG41</f>
        <v>0.16497699715397116</v>
      </c>
      <c r="AH6" s="63">
        <f>股权价值增加表!AH41</f>
        <v>0.17826106194742183</v>
      </c>
      <c r="AI6" s="63">
        <f>股权价值增加表!AI41</f>
        <v>0.17659431006615389</v>
      </c>
      <c r="AJ6" s="63">
        <f>股权价值增加表!AJ41</f>
        <v>0.16549765853235748</v>
      </c>
      <c r="AK6" s="63">
        <f>股权价值增加表!AK41</f>
        <v>0.17119919026169039</v>
      </c>
      <c r="AL6" s="63">
        <f>股权价值增加表!AL41</f>
        <v>0.16756286170477397</v>
      </c>
      <c r="AM6" s="63">
        <f>股权价值增加表!AM41</f>
        <v>0.17977582649556079</v>
      </c>
      <c r="AN6" s="63">
        <f>股权价值增加表!AN41</f>
        <v>0.14132276090178117</v>
      </c>
      <c r="AO6" s="63">
        <f>股权价值增加表!AO41</f>
        <v>0.23672478482766218</v>
      </c>
      <c r="AP6" s="63">
        <f>股权价值增加表!AP41</f>
        <v>0.31666398907365451</v>
      </c>
      <c r="AQ6" s="63">
        <f>股权价值增加表!AQ41</f>
        <v>0.29820418790000136</v>
      </c>
      <c r="AR6" s="63" t="e">
        <f>股权价值增加表!AR41</f>
        <v>#DIV/0!</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4.0108782253009026E-2</v>
      </c>
      <c r="F7" s="63">
        <f t="shared" ref="F7:BQ7" si="2">F5*(1-F6)</f>
        <v>0</v>
      </c>
      <c r="G7" s="63">
        <f t="shared" si="2"/>
        <v>0</v>
      </c>
      <c r="H7" s="63">
        <f t="shared" si="2"/>
        <v>0</v>
      </c>
      <c r="I7" s="63">
        <f t="shared" si="2"/>
        <v>6.774593964783962E-2</v>
      </c>
      <c r="J7" s="63">
        <f t="shared" si="2"/>
        <v>0</v>
      </c>
      <c r="K7" s="63">
        <f t="shared" si="2"/>
        <v>0</v>
      </c>
      <c r="L7" s="63">
        <f t="shared" si="2"/>
        <v>0</v>
      </c>
      <c r="M7" s="63">
        <f t="shared" si="2"/>
        <v>5.691008931957825E-2</v>
      </c>
      <c r="N7" s="63">
        <f t="shared" si="2"/>
        <v>0</v>
      </c>
      <c r="O7" s="63">
        <f t="shared" si="2"/>
        <v>0</v>
      </c>
      <c r="P7" s="63">
        <f t="shared" si="2"/>
        <v>0</v>
      </c>
      <c r="Q7" s="63">
        <f t="shared" si="2"/>
        <v>5.2011820410782846E-2</v>
      </c>
      <c r="R7" s="63">
        <f t="shared" si="2"/>
        <v>0</v>
      </c>
      <c r="S7" s="63">
        <f t="shared" si="2"/>
        <v>0</v>
      </c>
      <c r="T7" s="63">
        <f t="shared" si="2"/>
        <v>0</v>
      </c>
      <c r="U7" s="63">
        <f t="shared" si="2"/>
        <v>5.2925961521159672E-2</v>
      </c>
      <c r="V7" s="63">
        <f t="shared" si="2"/>
        <v>0</v>
      </c>
      <c r="W7" s="63">
        <f t="shared" si="2"/>
        <v>0</v>
      </c>
      <c r="X7" s="63">
        <f t="shared" si="2"/>
        <v>0</v>
      </c>
      <c r="Y7" s="63">
        <f t="shared" si="2"/>
        <v>5.14999015003271E-2</v>
      </c>
      <c r="Z7" s="63">
        <f t="shared" si="2"/>
        <v>0</v>
      </c>
      <c r="AA7" s="63">
        <f t="shared" si="2"/>
        <v>0</v>
      </c>
      <c r="AB7" s="63">
        <f t="shared" si="2"/>
        <v>0</v>
      </c>
      <c r="AC7" s="63">
        <f t="shared" si="2"/>
        <v>3.6123868563990386E-2</v>
      </c>
      <c r="AD7" s="63">
        <f t="shared" si="2"/>
        <v>0</v>
      </c>
      <c r="AE7" s="63">
        <f t="shared" si="2"/>
        <v>0</v>
      </c>
      <c r="AF7" s="63">
        <f t="shared" si="2"/>
        <v>0</v>
      </c>
      <c r="AG7" s="63">
        <f t="shared" si="2"/>
        <v>0.13148981091813802</v>
      </c>
      <c r="AH7" s="63">
        <f t="shared" si="2"/>
        <v>0</v>
      </c>
      <c r="AI7" s="63">
        <f t="shared" si="2"/>
        <v>0</v>
      </c>
      <c r="AJ7" s="63">
        <f t="shared" si="2"/>
        <v>0</v>
      </c>
      <c r="AK7" s="63">
        <f t="shared" si="2"/>
        <v>8.7494117424690796E-3</v>
      </c>
      <c r="AL7" s="63">
        <f t="shared" si="2"/>
        <v>0</v>
      </c>
      <c r="AM7" s="63">
        <f t="shared" si="2"/>
        <v>0</v>
      </c>
      <c r="AN7" s="63">
        <f t="shared" si="2"/>
        <v>0</v>
      </c>
      <c r="AO7" s="63">
        <f t="shared" si="2"/>
        <v>0</v>
      </c>
      <c r="AP7" s="63">
        <f t="shared" si="2"/>
        <v>0</v>
      </c>
      <c r="AQ7" s="63">
        <f t="shared" si="2"/>
        <v>0</v>
      </c>
      <c r="AR7" s="63" t="e">
        <f t="shared" si="2"/>
        <v>#DIV/0!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20570414417.549999</v>
      </c>
      <c r="F8" s="26">
        <f>资产资本表!F107</f>
        <v>19848640947.82</v>
      </c>
      <c r="G8" s="26">
        <f>资产资本表!G107</f>
        <v>18920048090.759998</v>
      </c>
      <c r="H8" s="26">
        <f>资产资本表!H107</f>
        <v>18780724371.199997</v>
      </c>
      <c r="I8" s="26">
        <f>资产资本表!I107</f>
        <v>14054513199.74</v>
      </c>
      <c r="J8" s="26">
        <f>资产资本表!J107</f>
        <v>7946297144.0199995</v>
      </c>
      <c r="K8" s="26">
        <f>资产资本表!K107</f>
        <v>7838730281.9800005</v>
      </c>
      <c r="L8" s="26">
        <f>资产资本表!L107</f>
        <v>7385256701.54</v>
      </c>
      <c r="M8" s="26">
        <f>资产资本表!M107</f>
        <v>7111052192.6199999</v>
      </c>
      <c r="N8" s="26">
        <f>资产资本表!N107</f>
        <v>7388127375.0200005</v>
      </c>
      <c r="O8" s="26">
        <f>资产资本表!O107</f>
        <v>6861110477.0199995</v>
      </c>
      <c r="P8" s="26">
        <f>资产资本表!P107</f>
        <v>6695162234.8800001</v>
      </c>
      <c r="Q8" s="26">
        <f>资产资本表!Q107</f>
        <v>6442438760.9099998</v>
      </c>
      <c r="R8" s="26">
        <f>资产资本表!R107</f>
        <v>5852007255.0699997</v>
      </c>
      <c r="S8" s="26">
        <f>资产资本表!S107</f>
        <v>5800890494.8899994</v>
      </c>
      <c r="T8" s="26">
        <f>资产资本表!T107</f>
        <v>5908024324.9399996</v>
      </c>
      <c r="U8" s="26">
        <f>资产资本表!U107</f>
        <v>5639080083.75</v>
      </c>
      <c r="V8" s="26">
        <f>资产资本表!V107</f>
        <v>5529730842.5300007</v>
      </c>
      <c r="W8" s="26">
        <f>资产资本表!W107</f>
        <v>5058869229.0199995</v>
      </c>
      <c r="X8" s="26">
        <f>资产资本表!X107</f>
        <v>5247830831.6099997</v>
      </c>
      <c r="Y8" s="26">
        <f>资产资本表!Y107</f>
        <v>5040063585.8000002</v>
      </c>
      <c r="Z8" s="26">
        <f>资产资本表!Z107</f>
        <v>4775896678.3400002</v>
      </c>
      <c r="AA8" s="26">
        <f>资产资本表!AA107</f>
        <v>4504992495.6400003</v>
      </c>
      <c r="AB8" s="26">
        <f>资产资本表!AB107</f>
        <v>4928828136.4800005</v>
      </c>
      <c r="AC8" s="26">
        <f>资产资本表!AC107</f>
        <v>5141762033.9100008</v>
      </c>
      <c r="AD8" s="26">
        <f>资产资本表!AD107</f>
        <v>4539131459.7200003</v>
      </c>
      <c r="AE8" s="26">
        <f>资产资本表!AE107</f>
        <v>4290800822.4099998</v>
      </c>
      <c r="AF8" s="26">
        <f>资产资本表!AF107</f>
        <v>4450350408.7300005</v>
      </c>
      <c r="AG8" s="26">
        <f>资产资本表!AG107</f>
        <v>4305513205.46</v>
      </c>
      <c r="AH8" s="26">
        <f>资产资本表!AH107</f>
        <v>4201988851.5299997</v>
      </c>
      <c r="AI8" s="26">
        <f>资产资本表!AI107</f>
        <v>3992224085.3699999</v>
      </c>
      <c r="AJ8" s="26">
        <f>资产资本表!AJ107</f>
        <v>3973715705.9300003</v>
      </c>
      <c r="AK8" s="26">
        <f>资产资本表!AK107</f>
        <v>1375991760.5700002</v>
      </c>
      <c r="AL8" s="26">
        <f>资产资本表!AL107</f>
        <v>1461524866.74</v>
      </c>
      <c r="AM8" s="26">
        <f>资产资本表!AM107</f>
        <v>1105139752.9100001</v>
      </c>
      <c r="AN8" s="26">
        <f>资产资本表!AN107</f>
        <v>954419679.70000005</v>
      </c>
      <c r="AO8" s="26">
        <f>资产资本表!AO107</f>
        <v>502344352.75</v>
      </c>
      <c r="AP8" s="26">
        <f>资产资本表!AP107</f>
        <v>0</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33284499007.429996</v>
      </c>
      <c r="F10" s="26">
        <f>资产资本表!F70</f>
        <v>32288528233.139999</v>
      </c>
      <c r="G10" s="26">
        <f>资产资本表!G70</f>
        <v>30894574541.590004</v>
      </c>
      <c r="H10" s="26">
        <f>资产资本表!H70</f>
        <v>31590474436.519997</v>
      </c>
      <c r="I10" s="26">
        <f>资产资本表!I70</f>
        <v>26548408220.710003</v>
      </c>
      <c r="J10" s="26">
        <f>资产资本表!J70</f>
        <v>8139345294.79</v>
      </c>
      <c r="K10" s="26">
        <f>资产资本表!K70</f>
        <v>9500654009.0600014</v>
      </c>
      <c r="L10" s="26">
        <f>资产资本表!L70</f>
        <v>9077861026.2900009</v>
      </c>
      <c r="M10" s="26">
        <f>资产资本表!M70</f>
        <v>8752758632.7699986</v>
      </c>
      <c r="N10" s="26">
        <f>资产资本表!N70</f>
        <v>9165382111.9200001</v>
      </c>
      <c r="O10" s="26">
        <f>资产资本表!O70</f>
        <v>8700102176.5</v>
      </c>
      <c r="P10" s="26">
        <f>资产资本表!P70</f>
        <v>8473113212.9400005</v>
      </c>
      <c r="Q10" s="26">
        <f>资产资本表!Q70</f>
        <v>8295088855.420002</v>
      </c>
      <c r="R10" s="26">
        <f>资产资本表!R70</f>
        <v>7730681808.3500004</v>
      </c>
      <c r="S10" s="26">
        <f>资产资本表!S70</f>
        <v>7848273498.4499989</v>
      </c>
      <c r="T10" s="26">
        <f>资产资本表!T70</f>
        <v>7910758392.3399992</v>
      </c>
      <c r="U10" s="26">
        <f>资产资本表!U70</f>
        <v>7635261127.2600002</v>
      </c>
      <c r="V10" s="26">
        <f>资产资本表!V70</f>
        <v>7536671748.5400009</v>
      </c>
      <c r="W10" s="26">
        <f>资产资本表!W70</f>
        <v>7061150201.3700008</v>
      </c>
      <c r="X10" s="26">
        <f>资产资本表!X70</f>
        <v>7260627422.1600008</v>
      </c>
      <c r="Y10" s="26">
        <f>资产资本表!Y70</f>
        <v>6910356285.9300003</v>
      </c>
      <c r="Z10" s="26">
        <f>资产资本表!Z70</f>
        <v>6611306797.3600006</v>
      </c>
      <c r="AA10" s="26">
        <f>资产资本表!AA70</f>
        <v>6165439277.3799992</v>
      </c>
      <c r="AB10" s="26">
        <f>资产资本表!AB70</f>
        <v>6546173450.0499992</v>
      </c>
      <c r="AC10" s="26">
        <f>资产资本表!AC70</f>
        <v>7152148619.9800005</v>
      </c>
      <c r="AD10" s="26">
        <f>资产资本表!AD70</f>
        <v>6088296792.4399986</v>
      </c>
      <c r="AE10" s="26">
        <f>资产资本表!AE70</f>
        <v>4333450998.7699995</v>
      </c>
      <c r="AF10" s="26">
        <f>资产资本表!AF70</f>
        <v>4486027012.9899998</v>
      </c>
      <c r="AG10" s="26">
        <f>资产资本表!AG70</f>
        <v>4341189809.7200003</v>
      </c>
      <c r="AH10" s="26">
        <f>资产资本表!AH70</f>
        <v>4227788851.5299997</v>
      </c>
      <c r="AI10" s="26">
        <f>资产资本表!AI70</f>
        <v>4017224085.3699999</v>
      </c>
      <c r="AJ10" s="26">
        <f>资产资本表!AJ70</f>
        <v>3998715705.9299994</v>
      </c>
      <c r="AK10" s="26">
        <f>资产资本表!AK70</f>
        <v>1400628603.1300001</v>
      </c>
      <c r="AL10" s="26">
        <f>资产资本表!AL70</f>
        <v>1514369613.24</v>
      </c>
      <c r="AM10" s="26">
        <f>资产资本表!AM70</f>
        <v>1121952868.9100003</v>
      </c>
      <c r="AN10" s="26">
        <f>资产资本表!AN70</f>
        <v>1212138682.9999995</v>
      </c>
      <c r="AO10" s="26">
        <f>资产资本表!AO70</f>
        <v>801308400.21000028</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0.37634897970324654</v>
      </c>
      <c r="F11" s="63">
        <f t="shared" ref="F11:BQ11" si="3">F4/F10</f>
        <v>0.38004662145254597</v>
      </c>
      <c r="G11" s="63">
        <f t="shared" si="3"/>
        <v>0.38209357104946456</v>
      </c>
      <c r="H11" s="63">
        <f t="shared" si="3"/>
        <v>0.40043559067812207</v>
      </c>
      <c r="I11" s="63">
        <f t="shared" si="3"/>
        <v>0.46446349597453301</v>
      </c>
      <c r="J11" s="63">
        <f t="shared" si="3"/>
        <v>6.8088928522880496E-3</v>
      </c>
      <c r="K11" s="63">
        <f t="shared" si="3"/>
        <v>0.16091928637145098</v>
      </c>
      <c r="L11" s="63">
        <f t="shared" si="3"/>
        <v>0.17218561274657546</v>
      </c>
      <c r="M11" s="63">
        <f t="shared" si="3"/>
        <v>0.17312004539195863</v>
      </c>
      <c r="N11" s="63">
        <f t="shared" si="3"/>
        <v>0.18091220489034784</v>
      </c>
      <c r="O11" s="63">
        <f t="shared" si="3"/>
        <v>0.19768851262295287</v>
      </c>
      <c r="P11" s="63">
        <f t="shared" si="3"/>
        <v>0.19750995790711506</v>
      </c>
      <c r="Q11" s="63">
        <f t="shared" si="3"/>
        <v>0.21072504822752677</v>
      </c>
      <c r="R11" s="63">
        <f t="shared" si="3"/>
        <v>0.23119889779314021</v>
      </c>
      <c r="S11" s="63">
        <f t="shared" si="3"/>
        <v>0.24803750346805042</v>
      </c>
      <c r="T11" s="63">
        <f t="shared" si="3"/>
        <v>0.24214833317812567</v>
      </c>
      <c r="U11" s="63">
        <f t="shared" si="3"/>
        <v>0.25001871098088441</v>
      </c>
      <c r="V11" s="63">
        <f t="shared" si="3"/>
        <v>0.25142995084495851</v>
      </c>
      <c r="W11" s="63">
        <f t="shared" si="3"/>
        <v>0.26742491330146573</v>
      </c>
      <c r="X11" s="63">
        <f t="shared" si="3"/>
        <v>0.26142438888226593</v>
      </c>
      <c r="Y11" s="63">
        <f t="shared" si="3"/>
        <v>0.25405364407831399</v>
      </c>
      <c r="Z11" s="63">
        <f t="shared" si="3"/>
        <v>0.26498684653835231</v>
      </c>
      <c r="AA11" s="63">
        <f t="shared" si="3"/>
        <v>0.26258922976498505</v>
      </c>
      <c r="AB11" s="63">
        <f t="shared" si="3"/>
        <v>0.24094971451725783</v>
      </c>
      <c r="AC11" s="63">
        <f t="shared" si="3"/>
        <v>0.27548475124885052</v>
      </c>
      <c r="AD11" s="63">
        <f t="shared" si="3"/>
        <v>0.24841831532228237</v>
      </c>
      <c r="AE11" s="63">
        <f t="shared" si="3"/>
        <v>1.3682573084783829E-3</v>
      </c>
      <c r="AF11" s="63">
        <f t="shared" si="3"/>
        <v>1.0320936513741677E-3</v>
      </c>
      <c r="AG11" s="63">
        <f t="shared" si="3"/>
        <v>1.0665278881916999E-3</v>
      </c>
      <c r="AH11" s="63">
        <f t="shared" si="3"/>
        <v>1.8922420870438859E-4</v>
      </c>
      <c r="AI11" s="63">
        <f t="shared" si="3"/>
        <v>0</v>
      </c>
      <c r="AJ11" s="63">
        <f t="shared" si="3"/>
        <v>0</v>
      </c>
      <c r="AK11" s="63">
        <f t="shared" si="3"/>
        <v>8.872676148572521E-4</v>
      </c>
      <c r="AL11" s="63">
        <f t="shared" si="3"/>
        <v>3.4895540717393585E-2</v>
      </c>
      <c r="AM11" s="63">
        <f t="shared" si="3"/>
        <v>1.4985581360769886E-2</v>
      </c>
      <c r="AN11" s="63">
        <f t="shared" si="3"/>
        <v>0.21261511319988136</v>
      </c>
      <c r="AO11" s="63">
        <f t="shared" si="3"/>
        <v>0.37309486257931407</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0.61801784707524454</v>
      </c>
      <c r="F12" s="63">
        <f t="shared" ref="F12:BQ12" si="4">F8/F10</f>
        <v>0.6147273361146246</v>
      </c>
      <c r="G12" s="63">
        <f t="shared" si="4"/>
        <v>0.61240681807383357</v>
      </c>
      <c r="H12" s="63">
        <f t="shared" si="4"/>
        <v>0.59450592959403747</v>
      </c>
      <c r="I12" s="63">
        <f t="shared" si="4"/>
        <v>0.52939193502291759</v>
      </c>
      <c r="J12" s="63">
        <f t="shared" si="4"/>
        <v>0.97628210331688836</v>
      </c>
      <c r="K12" s="63">
        <f t="shared" si="4"/>
        <v>0.82507270283759837</v>
      </c>
      <c r="L12" s="63">
        <f t="shared" si="4"/>
        <v>0.813545909124614</v>
      </c>
      <c r="M12" s="63">
        <f t="shared" si="4"/>
        <v>0.8124355407215833</v>
      </c>
      <c r="N12" s="63">
        <f t="shared" si="4"/>
        <v>0.80609049189683013</v>
      </c>
      <c r="O12" s="63">
        <f t="shared" si="4"/>
        <v>0.78862412622608802</v>
      </c>
      <c r="P12" s="63">
        <f t="shared" si="4"/>
        <v>0.79016555858775228</v>
      </c>
      <c r="Q12" s="63">
        <f t="shared" si="4"/>
        <v>0.77665699225156792</v>
      </c>
      <c r="R12" s="63">
        <f t="shared" si="4"/>
        <v>0.756984623109074</v>
      </c>
      <c r="S12" s="63">
        <f t="shared" si="4"/>
        <v>0.73912950358262242</v>
      </c>
      <c r="T12" s="63">
        <f t="shared" si="4"/>
        <v>0.74683412536789762</v>
      </c>
      <c r="U12" s="63">
        <f t="shared" si="4"/>
        <v>0.73855759348123928</v>
      </c>
      <c r="V12" s="63">
        <f t="shared" si="4"/>
        <v>0.73370992223473397</v>
      </c>
      <c r="W12" s="63">
        <f t="shared" si="4"/>
        <v>0.71643699464691746</v>
      </c>
      <c r="X12" s="63">
        <f t="shared" si="4"/>
        <v>0.72277924847007169</v>
      </c>
      <c r="Y12" s="63">
        <f t="shared" si="4"/>
        <v>0.7293493095373309</v>
      </c>
      <c r="Z12" s="63">
        <f t="shared" si="4"/>
        <v>0.72238315732785097</v>
      </c>
      <c r="AA12" s="63">
        <f t="shared" si="4"/>
        <v>0.73068475626190821</v>
      </c>
      <c r="AB12" s="63">
        <f t="shared" si="4"/>
        <v>0.7529327131474578</v>
      </c>
      <c r="AC12" s="63">
        <f t="shared" si="4"/>
        <v>0.71891151975591616</v>
      </c>
      <c r="AD12" s="63">
        <f t="shared" si="4"/>
        <v>0.74555029336880574</v>
      </c>
      <c r="AE12" s="63">
        <f t="shared" si="4"/>
        <v>0.99015791885679438</v>
      </c>
      <c r="AF12" s="63">
        <f t="shared" si="4"/>
        <v>0.99204717132627784</v>
      </c>
      <c r="AG12" s="63">
        <f t="shared" si="4"/>
        <v>0.99178183727877556</v>
      </c>
      <c r="AH12" s="63">
        <f t="shared" si="4"/>
        <v>0.99389751926928349</v>
      </c>
      <c r="AI12" s="63">
        <f t="shared" si="4"/>
        <v>0.99377679724388657</v>
      </c>
      <c r="AJ12" s="63">
        <f t="shared" si="4"/>
        <v>0.99374799264600766</v>
      </c>
      <c r="AK12" s="63">
        <f t="shared" si="4"/>
        <v>0.98241015319482716</v>
      </c>
      <c r="AL12" s="63">
        <f t="shared" si="4"/>
        <v>0.96510445928260646</v>
      </c>
      <c r="AM12" s="63">
        <f t="shared" si="4"/>
        <v>0.98501441863922989</v>
      </c>
      <c r="AN12" s="63">
        <f t="shared" si="4"/>
        <v>0.78738488680011909</v>
      </c>
      <c r="AO12" s="63">
        <f t="shared" si="4"/>
        <v>0.62690513742068565</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6.4536327044079189E-2</v>
      </c>
      <c r="F13" s="63">
        <f t="shared" ref="F13:J13" si="5">F5*F11*(1-F6)+F9*F12</f>
        <v>4.9178186889169972E-2</v>
      </c>
      <c r="G13" s="63">
        <f t="shared" si="5"/>
        <v>4.8992545445906685E-2</v>
      </c>
      <c r="H13" s="63">
        <f t="shared" si="5"/>
        <v>4.7560474367522997E-2</v>
      </c>
      <c r="I13" s="63">
        <f t="shared" si="5"/>
        <v>7.381687076874871E-2</v>
      </c>
      <c r="J13" s="63">
        <f t="shared" si="5"/>
        <v>7.8102568265351072E-2</v>
      </c>
      <c r="K13" s="63">
        <f t="shared" ref="K13" si="6">K5*K11*(1-K6)+K9*K12</f>
        <v>6.6005816227007866E-2</v>
      </c>
      <c r="L13" s="63">
        <f t="shared" ref="L13" si="7">L5*L11*(1-L6)+L9*L12</f>
        <v>6.5083672729969122E-2</v>
      </c>
      <c r="M13" s="63">
        <f t="shared" ref="M13" si="8">M5*M11*(1-M6)+M9*M12</f>
        <v>7.4847120503992476E-2</v>
      </c>
      <c r="N13" s="63">
        <f t="shared" ref="N13:O13" si="9">N5*N11*(1-N6)+N9*N12</f>
        <v>6.4487239351746412E-2</v>
      </c>
      <c r="O13" s="63">
        <f t="shared" si="9"/>
        <v>6.3089930098087041E-2</v>
      </c>
      <c r="P13" s="63">
        <f t="shared" ref="P13" si="10">P5*P11*(1-P6)+P9*P12</f>
        <v>6.3213244687020179E-2</v>
      </c>
      <c r="Q13" s="63">
        <f t="shared" ref="Q13" si="11">Q5*Q11*(1-Q6)+Q9*Q12</f>
        <v>7.309275274458911E-2</v>
      </c>
      <c r="R13" s="63">
        <f t="shared" ref="R13" si="12">R5*R11*(1-R6)+R9*R12</f>
        <v>6.0558769848725921E-2</v>
      </c>
      <c r="S13" s="63">
        <f t="shared" ref="S13:T13" si="13">S5*S11*(1-S6)+S9*S12</f>
        <v>5.9130360286609791E-2</v>
      </c>
      <c r="T13" s="63">
        <f t="shared" si="13"/>
        <v>5.9746730029431809E-2</v>
      </c>
      <c r="U13" s="63">
        <f t="shared" ref="U13" si="14">U5*U11*(1-U6)+U9*U12</f>
        <v>7.2317088155443368E-2</v>
      </c>
      <c r="V13" s="63">
        <f t="shared" ref="V13" si="15">V5*V11*(1-V6)+V9*V12</f>
        <v>5.8696793778778719E-2</v>
      </c>
      <c r="W13" s="63">
        <f t="shared" ref="W13" si="16">W5*W11*(1-W6)+W9*W12</f>
        <v>5.73149595717534E-2</v>
      </c>
      <c r="X13" s="63">
        <f t="shared" ref="X13:Y13" si="17">X5*X11*(1-X6)+X9*X12</f>
        <v>5.7822339877605738E-2</v>
      </c>
      <c r="Y13" s="63">
        <f t="shared" si="17"/>
        <v>7.1431682408818808E-2</v>
      </c>
      <c r="Z13" s="63">
        <f t="shared" ref="Z13" si="18">Z5*Z11*(1-Z6)+Z9*Z12</f>
        <v>5.7790652586228078E-2</v>
      </c>
      <c r="AA13" s="63">
        <f t="shared" ref="AA13" si="19">AA5*AA11*(1-AA6)+AA9*AA12</f>
        <v>5.8454780500952659E-2</v>
      </c>
      <c r="AB13" s="63">
        <f t="shared" ref="AB13" si="20">AB5*AB11*(1-AB6)+AB9*AB12</f>
        <v>6.0234617051796627E-2</v>
      </c>
      <c r="AC13" s="63">
        <f t="shared" ref="AC13:AD13" si="21">AC5*AC11*(1-AC6)+AC9*AC12</f>
        <v>6.7464496525970363E-2</v>
      </c>
      <c r="AD13" s="63">
        <f t="shared" si="21"/>
        <v>5.964402346950446E-2</v>
      </c>
      <c r="AE13" s="63">
        <f t="shared" ref="AE13" si="22">AE5*AE11*(1-AE6)+AE9*AE12</f>
        <v>7.9212633508543559E-2</v>
      </c>
      <c r="AF13" s="63">
        <f t="shared" ref="AF13" si="23">AF5*AF11*(1-AF6)+AF9*AF12</f>
        <v>7.9363773706102231E-2</v>
      </c>
      <c r="AG13" s="63">
        <f t="shared" ref="AG13" si="24">AG5*AG11*(1-AG6)+AG9*AG12</f>
        <v>7.9482784532659292E-2</v>
      </c>
      <c r="AH13" s="63">
        <f t="shared" ref="AH13:AI13" si="25">AH5*AH11*(1-AH6)+AH9*AH12</f>
        <v>7.9511801541542679E-2</v>
      </c>
      <c r="AI13" s="63">
        <f t="shared" si="25"/>
        <v>7.9502143779510925E-2</v>
      </c>
      <c r="AJ13" s="63">
        <f t="shared" ref="AJ13" si="26">AJ5*AJ11*(1-AJ6)+AJ9*AJ12</f>
        <v>7.9499839411680609E-2</v>
      </c>
      <c r="AK13" s="63">
        <f t="shared" ref="AK13" si="27">AK5*AK11*(1-AK6)+AK9*AK12</f>
        <v>7.8600575325274313E-2</v>
      </c>
      <c r="AL13" s="63">
        <f t="shared" ref="AL13" si="28">AL5*AL11*(1-AL6)+AL9*AL12</f>
        <v>7.7208356742608522E-2</v>
      </c>
      <c r="AM13" s="63">
        <f t="shared" ref="AM13:AN13" si="29">AM5*AM11*(1-AM6)+AM9*AM12</f>
        <v>7.8801153491138393E-2</v>
      </c>
      <c r="AN13" s="63">
        <f t="shared" si="29"/>
        <v>6.2990790944009528E-2</v>
      </c>
      <c r="AO13" s="63">
        <f t="shared" ref="AO13" si="30">AO5*AO11*(1-AO6)+AO9*AO12</f>
        <v>5.0152410993654854E-2</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40" width="21.44140625" bestFit="1" customWidth="1"/>
    <col min="41" max="41" width="19.33203125" bestFit="1" customWidth="1"/>
    <col min="42" max="42" width="9.5546875" hidden="1" customWidth="1"/>
    <col min="43" max="90" width="8.5546875" bestFit="1" customWidth="1"/>
  </cols>
  <sheetData>
    <row r="1" spans="1:90"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39994</v>
      </c>
      <c r="AM1" s="1">
        <v>39813</v>
      </c>
      <c r="AN1" s="1">
        <v>39447</v>
      </c>
      <c r="AO1" s="1">
        <v>39082</v>
      </c>
      <c r="AP1" s="1">
        <v>25569</v>
      </c>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9086142508.9199982</v>
      </c>
      <c r="F2" s="26">
        <f>资产资本表!F17</f>
        <v>9522526504.6199989</v>
      </c>
      <c r="G2" s="26">
        <f>资产资本表!G17</f>
        <v>8890338541.3999996</v>
      </c>
      <c r="H2" s="26">
        <f>资产资本表!H17</f>
        <v>8675638929.6099987</v>
      </c>
      <c r="I2" s="26">
        <f>资产资本表!I17</f>
        <v>5303835407.5299997</v>
      </c>
      <c r="J2" s="26">
        <f>资产资本表!J17</f>
        <v>1945069874.46</v>
      </c>
      <c r="K2" s="26">
        <f>资产资本表!K17</f>
        <v>2380867049.1300001</v>
      </c>
      <c r="L2" s="26">
        <f>资产资本表!L17</f>
        <v>3203710527.9299998</v>
      </c>
      <c r="M2" s="26">
        <f>资产资本表!M17</f>
        <v>2386090451.9099998</v>
      </c>
      <c r="N2" s="26">
        <f>资产资本表!N17</f>
        <v>2753272195.0799999</v>
      </c>
      <c r="O2" s="26">
        <f>资产资本表!O17</f>
        <v>3146514319.4300003</v>
      </c>
      <c r="P2" s="26">
        <f>资产资本表!P17</f>
        <v>2597765869.3499999</v>
      </c>
      <c r="Q2" s="26">
        <f>资产资本表!Q17</f>
        <v>2893950934.0300002</v>
      </c>
      <c r="R2" s="26">
        <f>资产资本表!R17</f>
        <v>2434729413.3299999</v>
      </c>
      <c r="S2" s="26">
        <f>资产资本表!S17</f>
        <v>2043014316.96</v>
      </c>
      <c r="T2" s="26">
        <f>资产资本表!T17</f>
        <v>2123771111.1599998</v>
      </c>
      <c r="U2" s="26">
        <f>资产资本表!U17</f>
        <v>1992522681.77</v>
      </c>
      <c r="V2" s="26">
        <f>资产资本表!V17</f>
        <v>2158772260.1600003</v>
      </c>
      <c r="W2" s="26">
        <f>资产资本表!W17</f>
        <v>2250323465.4300003</v>
      </c>
      <c r="X2" s="26">
        <f>资产资本表!X17</f>
        <v>2740173856.3400002</v>
      </c>
      <c r="Y2" s="26">
        <f>资产资本表!Y17</f>
        <v>3969873677.3299999</v>
      </c>
      <c r="Z2" s="26">
        <f>资产资本表!Z17</f>
        <v>3286353801.2799997</v>
      </c>
      <c r="AA2" s="26">
        <f>资产资本表!AA17</f>
        <v>4207987751.7399998</v>
      </c>
      <c r="AB2" s="26">
        <f>资产资本表!AB17</f>
        <v>4376492814.7799997</v>
      </c>
      <c r="AC2" s="26">
        <f>资产资本表!AC17</f>
        <v>4564881707.46</v>
      </c>
      <c r="AD2" s="26">
        <f>资产资本表!AD17</f>
        <v>4667499154.4899998</v>
      </c>
      <c r="AE2" s="26">
        <f>资产资本表!AE17</f>
        <v>3318285512.1500001</v>
      </c>
      <c r="AF2" s="26">
        <f>资产资本表!AF17</f>
        <v>3403911500.1900001</v>
      </c>
      <c r="AG2" s="26">
        <f>资产资本表!AG17</f>
        <v>3847081771.3099999</v>
      </c>
      <c r="AH2" s="26">
        <f>资产资本表!AH17</f>
        <v>3881667889.71</v>
      </c>
      <c r="AI2" s="26">
        <f>资产资本表!AI17</f>
        <v>3577450507.1500001</v>
      </c>
      <c r="AJ2" s="26">
        <f>资产资本表!AJ17</f>
        <v>3322562731.0099998</v>
      </c>
      <c r="AK2" s="26">
        <f>资产资本表!AK17</f>
        <v>999966016.5999999</v>
      </c>
      <c r="AL2" s="26">
        <f>资产资本表!AL17</f>
        <v>997803438.87</v>
      </c>
      <c r="AM2" s="26">
        <f>资产资本表!AM17</f>
        <v>299043732.51000005</v>
      </c>
      <c r="AN2" s="26">
        <f>资产资本表!AN17</f>
        <v>575444316.69999993</v>
      </c>
      <c r="AO2" s="26">
        <f>资产资本表!AO17</f>
        <v>102963093.97</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1693182531.9100001</v>
      </c>
      <c r="F3" s="26">
        <f>资产资本表!F19</f>
        <v>778902588.85000002</v>
      </c>
      <c r="G3" s="26">
        <f>资产资本表!G19</f>
        <v>730480762.20000005</v>
      </c>
      <c r="H3" s="26">
        <f>资产资本表!H19</f>
        <v>739999144.57000005</v>
      </c>
      <c r="I3" s="26">
        <f>资产资本表!I19</f>
        <v>606055478.36000001</v>
      </c>
      <c r="J3" s="26">
        <f>资产资本表!J19</f>
        <v>109862456.66</v>
      </c>
      <c r="K3" s="26">
        <f>资产资本表!K19</f>
        <v>108059766.98</v>
      </c>
      <c r="L3" s="26">
        <f>资产资本表!L19</f>
        <v>106282333.42</v>
      </c>
      <c r="M3" s="26">
        <f>资产资本表!M19</f>
        <v>104304372.69</v>
      </c>
      <c r="N3" s="26">
        <f>资产资本表!N19</f>
        <v>110146517.26000001</v>
      </c>
      <c r="O3" s="26">
        <f>资产资本表!O19</f>
        <v>103340735.97</v>
      </c>
      <c r="P3" s="26">
        <f>资产资本表!P19</f>
        <v>105845182.06999999</v>
      </c>
      <c r="Q3" s="26">
        <f>资产资本表!Q19</f>
        <v>104310538.33</v>
      </c>
      <c r="R3" s="26">
        <f>资产资本表!R19</f>
        <v>99323437.510000005</v>
      </c>
      <c r="S3" s="26">
        <f>资产资本表!S19</f>
        <v>568895893.27999997</v>
      </c>
      <c r="T3" s="26">
        <f>资产资本表!T19</f>
        <v>543116797.71000004</v>
      </c>
      <c r="U3" s="26">
        <f>资产资本表!U19</f>
        <v>541123048.21000004</v>
      </c>
      <c r="V3" s="26">
        <f>资产资本表!V19</f>
        <v>525816787.92000002</v>
      </c>
      <c r="W3" s="26">
        <f>资产资本表!W19</f>
        <v>522665476.44</v>
      </c>
      <c r="X3" s="26">
        <f>资产资本表!X19</f>
        <v>504948856.80000001</v>
      </c>
      <c r="Y3" s="26">
        <f>资产资本表!Y19</f>
        <v>414463411.56</v>
      </c>
      <c r="Z3" s="26">
        <f>资产资本表!Z19</f>
        <v>358541487.23000002</v>
      </c>
      <c r="AA3" s="26">
        <f>资产资本表!AA19</f>
        <v>308971720.89999998</v>
      </c>
      <c r="AB3" s="26">
        <f>资产资本表!AB19</f>
        <v>425072082.31999999</v>
      </c>
      <c r="AC3" s="26">
        <f>资产资本表!AC19</f>
        <v>394003515.55000001</v>
      </c>
      <c r="AD3" s="26">
        <f>资产资本表!AD19</f>
        <v>224139204.03</v>
      </c>
      <c r="AE3" s="26">
        <f>资产资本表!AE19</f>
        <v>223976359.44999999</v>
      </c>
      <c r="AF3" s="26">
        <f>资产资本表!AF19</f>
        <v>206942256.94</v>
      </c>
      <c r="AG3" s="26">
        <f>资产资本表!AG19</f>
        <v>62034078.270000003</v>
      </c>
      <c r="AH3" s="26">
        <f>资产资本表!AH19</f>
        <v>62056908.75</v>
      </c>
      <c r="AI3" s="26">
        <f>资产资本表!AI19</f>
        <v>60309687.600000001</v>
      </c>
      <c r="AJ3" s="26">
        <f>资产资本表!AJ19</f>
        <v>59993899.270000003</v>
      </c>
      <c r="AK3" s="26">
        <f>资产资本表!AK19</f>
        <v>60359945.630000003</v>
      </c>
      <c r="AL3" s="26">
        <f>资产资本表!AL19</f>
        <v>24478634.120000001</v>
      </c>
      <c r="AM3" s="26">
        <f>资产资本表!AM19</f>
        <v>35780592.719999999</v>
      </c>
      <c r="AN3" s="26">
        <f>资产资本表!AN19</f>
        <v>31133700.140000001</v>
      </c>
      <c r="AO3" s="26">
        <f>资产资本表!AO19</f>
        <v>29447965.960000001</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3499528527.2600021</v>
      </c>
      <c r="F4" s="26">
        <f>资产资本表!F50</f>
        <v>3318344848.5799999</v>
      </c>
      <c r="G4" s="26">
        <f>资产资本表!G50</f>
        <v>3298541998.460001</v>
      </c>
      <c r="H4" s="26">
        <f>资产资本表!H50</f>
        <v>5554944074.3600006</v>
      </c>
      <c r="I4" s="26">
        <f>资产资本表!I50</f>
        <v>4620798332.9700012</v>
      </c>
      <c r="J4" s="26">
        <f>资产资本表!J50</f>
        <v>3388862973.4599996</v>
      </c>
      <c r="K4" s="26">
        <f>资产资本表!K50</f>
        <v>4279387917.7600002</v>
      </c>
      <c r="L4" s="26">
        <f>资产资本表!L50</f>
        <v>3132470077.5700002</v>
      </c>
      <c r="M4" s="26">
        <f>资产资本表!M50</f>
        <v>3558537409.8399992</v>
      </c>
      <c r="N4" s="26">
        <f>资产资本表!N50</f>
        <v>3632153054.4399996</v>
      </c>
      <c r="O4" s="26">
        <f>资产资本表!O50</f>
        <v>2655622300.5</v>
      </c>
      <c r="P4" s="26">
        <f>资产资本表!P50</f>
        <v>3239927776.4899998</v>
      </c>
      <c r="Q4" s="26">
        <f>资产资本表!Q50</f>
        <v>2832442036.4100018</v>
      </c>
      <c r="R4" s="26">
        <f>资产资本表!R50</f>
        <v>2805899486.71</v>
      </c>
      <c r="S4" s="26">
        <f>资产资本表!S50</f>
        <v>2864235521.1499996</v>
      </c>
      <c r="T4" s="26">
        <f>资产资本表!T50</f>
        <v>2932851670.5099998</v>
      </c>
      <c r="U4" s="26">
        <f>资产资本表!U50</f>
        <v>2866406448.4300003</v>
      </c>
      <c r="V4" s="26">
        <f>资产资本表!V50</f>
        <v>2693603271.9700007</v>
      </c>
      <c r="W4" s="26">
        <f>资产资本表!W50</f>
        <v>2201195254.3699999</v>
      </c>
      <c r="X4" s="26">
        <f>资产资本表!X50</f>
        <v>1982860903.1700001</v>
      </c>
      <c r="Y4" s="26">
        <f>资产资本表!Y50</f>
        <v>542140316.42999935</v>
      </c>
      <c r="Z4" s="26">
        <f>资产资本表!Z50</f>
        <v>1179579488.7500005</v>
      </c>
      <c r="AA4" s="26">
        <f>资产资本表!AA50</f>
        <v>578272488.26999998</v>
      </c>
      <c r="AB4" s="26">
        <f>资产资本表!AB50</f>
        <v>874078937.33999968</v>
      </c>
      <c r="AC4" s="26">
        <f>资产资本表!AC50</f>
        <v>1159040017.9200001</v>
      </c>
      <c r="AD4" s="26">
        <f>资产资本表!AD50</f>
        <v>531091385.82999945</v>
      </c>
      <c r="AE4" s="26">
        <f>资产资本表!AE50</f>
        <v>162683515.96999979</v>
      </c>
      <c r="AF4" s="26">
        <f>资产资本表!AF50</f>
        <v>287253829.56999993</v>
      </c>
      <c r="AG4" s="26">
        <f>资产资本表!AG50</f>
        <v>-145701568.69000006</v>
      </c>
      <c r="AH4" s="26">
        <f>资产资本表!AH50</f>
        <v>-245960061.62000012</v>
      </c>
      <c r="AI4" s="26">
        <f>资产资本表!AI50</f>
        <v>-125078493.74000001</v>
      </c>
      <c r="AJ4" s="26">
        <f>资产资本表!AJ50</f>
        <v>144250388.26999974</v>
      </c>
      <c r="AK4" s="26">
        <f>资产资本表!AK50</f>
        <v>-138853862.82999969</v>
      </c>
      <c r="AL4" s="26">
        <f>资产资本表!AL50</f>
        <v>41974075.350000024</v>
      </c>
      <c r="AM4" s="26">
        <f>资产资本表!AM50</f>
        <v>315528155.94000018</v>
      </c>
      <c r="AN4" s="26">
        <f>资产资本表!AN50</f>
        <v>177953906.08999968</v>
      </c>
      <c r="AO4" s="26">
        <f>资产资本表!AO50</f>
        <v>224895465.88000035</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14362066389.760002</v>
      </c>
      <c r="F5" s="26">
        <f>资产资本表!F33</f>
        <v>13116993292.620001</v>
      </c>
      <c r="G5" s="26">
        <f>资产资本表!G33</f>
        <v>12430962655.700001</v>
      </c>
      <c r="H5" s="26">
        <f>资产资本表!H33</f>
        <v>13688179820.82</v>
      </c>
      <c r="I5" s="26">
        <f>资产资本表!I33</f>
        <v>13414767027.030001</v>
      </c>
      <c r="J5" s="26">
        <f>资产资本表!J33</f>
        <v>7472836228.3100004</v>
      </c>
      <c r="K5" s="26">
        <f>资产资本表!K33</f>
        <v>8355425086.3500004</v>
      </c>
      <c r="L5" s="26">
        <f>资产资本表!L33</f>
        <v>6573575011.75</v>
      </c>
      <c r="M5" s="26">
        <f>资产资本表!M33</f>
        <v>6916903021.8899994</v>
      </c>
      <c r="N5" s="26">
        <f>资产资本表!N33</f>
        <v>7754204804.2299995</v>
      </c>
      <c r="O5" s="26">
        <f>资产资本表!O33</f>
        <v>6768735334.4399996</v>
      </c>
      <c r="P5" s="26">
        <f>资产资本表!P33</f>
        <v>6644372743.8299999</v>
      </c>
      <c r="Q5" s="26">
        <f>资产资本表!Q33</f>
        <v>6739526039.3100014</v>
      </c>
      <c r="R5" s="26">
        <f>资产资本表!R33</f>
        <v>6537149016.1100006</v>
      </c>
      <c r="S5" s="26">
        <f>资产资本表!S33</f>
        <v>6418512122.6000004</v>
      </c>
      <c r="T5" s="26">
        <f>资产资本表!T33</f>
        <v>5744789417.4200001</v>
      </c>
      <c r="U5" s="26">
        <f>资产资本表!U33</f>
        <v>6237702279.4900007</v>
      </c>
      <c r="V5" s="26">
        <f>资产资本表!V33</f>
        <v>6046664257.9100008</v>
      </c>
      <c r="W5" s="26">
        <f>资产资本表!W33</f>
        <v>5373655882.0799999</v>
      </c>
      <c r="X5" s="26">
        <f>资产资本表!X33</f>
        <v>4377821584.96</v>
      </c>
      <c r="Y5" s="26">
        <f>资产资本表!Y33</f>
        <v>3531925967.7399998</v>
      </c>
      <c r="Z5" s="26">
        <f>资产资本表!Z33</f>
        <v>4000363162.3600001</v>
      </c>
      <c r="AA5" s="26">
        <f>资产资本表!AA33</f>
        <v>2744218875.6599998</v>
      </c>
      <c r="AB5" s="26">
        <f>资产资本表!AB33</f>
        <v>2634242371.02</v>
      </c>
      <c r="AC5" s="26">
        <f>资产资本表!AC33</f>
        <v>3518522567.9200001</v>
      </c>
      <c r="AD5" s="26">
        <f>资产资本表!AD33</f>
        <v>2723087719.1099997</v>
      </c>
      <c r="AE5" s="26">
        <f>资产资本表!AE33</f>
        <v>2382766563.9299998</v>
      </c>
      <c r="AF5" s="26">
        <f>资产资本表!AF33</f>
        <v>1892800411.1099999</v>
      </c>
      <c r="AG5" s="26">
        <f>资产资本表!AG33</f>
        <v>1602692786.7</v>
      </c>
      <c r="AH5" s="26">
        <f>资产资本表!AH33</f>
        <v>1480509870.75</v>
      </c>
      <c r="AI5" s="26">
        <f>资产资本表!AI33</f>
        <v>1372468845.9400001</v>
      </c>
      <c r="AJ5" s="26">
        <f>资产资本表!AJ33</f>
        <v>1296967295.4199998</v>
      </c>
      <c r="AK5" s="26">
        <f>资产资本表!AK33</f>
        <v>1167786608.3300002</v>
      </c>
      <c r="AL5" s="26">
        <f>资产资本表!AL33</f>
        <v>1115008944.3199999</v>
      </c>
      <c r="AM5" s="26">
        <f>资产资本表!AM33</f>
        <v>1191560566.7700002</v>
      </c>
      <c r="AN5" s="26">
        <f>资产资本表!AN33</f>
        <v>1343701689.5799999</v>
      </c>
      <c r="AO5" s="26">
        <f>资产资本表!AO33</f>
        <v>1251600217.2200003</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10862537862.5</v>
      </c>
      <c r="F6" s="26">
        <f>资产资本表!F49</f>
        <v>9798648444.0400009</v>
      </c>
      <c r="G6" s="26">
        <f>资产资本表!G49</f>
        <v>9132420657.2399998</v>
      </c>
      <c r="H6" s="26">
        <f>资产资本表!H49</f>
        <v>8133235746.4599991</v>
      </c>
      <c r="I6" s="26">
        <f>资产资本表!I49</f>
        <v>8793968694.0599995</v>
      </c>
      <c r="J6" s="26">
        <f>资产资本表!J49</f>
        <v>4083973254.8500009</v>
      </c>
      <c r="K6" s="26">
        <f>资产资本表!K49</f>
        <v>4076037168.5900002</v>
      </c>
      <c r="L6" s="26">
        <f>资产资本表!L49</f>
        <v>3441104934.1799998</v>
      </c>
      <c r="M6" s="26">
        <f>资产资本表!M49</f>
        <v>3358365612.0500002</v>
      </c>
      <c r="N6" s="26">
        <f>资产资本表!N49</f>
        <v>4122051749.79</v>
      </c>
      <c r="O6" s="26">
        <f>资产资本表!O49</f>
        <v>4113113033.9399996</v>
      </c>
      <c r="P6" s="26">
        <f>资产资本表!P49</f>
        <v>3404444967.3400002</v>
      </c>
      <c r="Q6" s="26">
        <f>资产资本表!Q49</f>
        <v>3907084002.8999996</v>
      </c>
      <c r="R6" s="26">
        <f>资产资本表!R49</f>
        <v>3731249529.4000006</v>
      </c>
      <c r="S6" s="26">
        <f>资产资本表!S49</f>
        <v>3554276601.4500008</v>
      </c>
      <c r="T6" s="26">
        <f>资产资本表!T49</f>
        <v>2811937746.9100003</v>
      </c>
      <c r="U6" s="26">
        <f>资产资本表!U49</f>
        <v>3371295831.0600004</v>
      </c>
      <c r="V6" s="26">
        <f>资产资本表!V49</f>
        <v>3353060985.9400001</v>
      </c>
      <c r="W6" s="26">
        <f>资产资本表!W49</f>
        <v>3172460627.71</v>
      </c>
      <c r="X6" s="26">
        <f>资产资本表!X49</f>
        <v>2394960681.79</v>
      </c>
      <c r="Y6" s="26">
        <f>资产资本表!Y49</f>
        <v>2989785651.3100004</v>
      </c>
      <c r="Z6" s="26">
        <f>资产资本表!Z49</f>
        <v>2820783673.6099997</v>
      </c>
      <c r="AA6" s="26">
        <f>资产资本表!AA49</f>
        <v>2165946387.3899999</v>
      </c>
      <c r="AB6" s="26">
        <f>资产资本表!AB49</f>
        <v>1760163433.6800003</v>
      </c>
      <c r="AC6" s="26">
        <f>资产资本表!AC49</f>
        <v>2359482550</v>
      </c>
      <c r="AD6" s="26">
        <f>资产资本表!AD49</f>
        <v>2191996333.2800002</v>
      </c>
      <c r="AE6" s="26">
        <f>资产资本表!AE49</f>
        <v>2220083047.96</v>
      </c>
      <c r="AF6" s="26">
        <f>资产资本表!AF49</f>
        <v>1605546581.54</v>
      </c>
      <c r="AG6" s="26">
        <f>资产资本表!AG49</f>
        <v>1748394355.3900001</v>
      </c>
      <c r="AH6" s="26">
        <f>资产资本表!AH49</f>
        <v>1726469932.3700001</v>
      </c>
      <c r="AI6" s="26">
        <f>资产资本表!AI49</f>
        <v>1497547339.6800001</v>
      </c>
      <c r="AJ6" s="26">
        <f>资产资本表!AJ49</f>
        <v>1152716907.1500001</v>
      </c>
      <c r="AK6" s="26">
        <f>资产资本表!AK49</f>
        <v>1306640471.1599998</v>
      </c>
      <c r="AL6" s="26">
        <f>资产资本表!AL49</f>
        <v>1073034868.9699999</v>
      </c>
      <c r="AM6" s="26">
        <f>资产资本表!AM49</f>
        <v>876032410.83000004</v>
      </c>
      <c r="AN6" s="26">
        <f>资产资本表!AN49</f>
        <v>1165747783.4900002</v>
      </c>
      <c r="AO6" s="26">
        <f>资产资本表!AO49</f>
        <v>1026704751.3399999</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19005645439.339996</v>
      </c>
      <c r="F7" s="26">
        <f>资产资本表!F68</f>
        <v>18668754291.09</v>
      </c>
      <c r="G7" s="26">
        <f>资产资本表!G68</f>
        <v>17975213239.530003</v>
      </c>
      <c r="H7" s="26">
        <f>资产资本表!H68</f>
        <v>16619892287.98</v>
      </c>
      <c r="I7" s="26">
        <f>资产资本表!I68</f>
        <v>16017719001.850002</v>
      </c>
      <c r="J7" s="26">
        <f>资产资本表!J68</f>
        <v>2695549990.21</v>
      </c>
      <c r="K7" s="26">
        <f>资产资本表!K68</f>
        <v>2732339275.1900005</v>
      </c>
      <c r="L7" s="26">
        <f>资产资本表!L68</f>
        <v>2635398087.3700004</v>
      </c>
      <c r="M7" s="26">
        <f>资产资本表!M68</f>
        <v>2703826398.3299994</v>
      </c>
      <c r="N7" s="26">
        <f>资产资本表!N68</f>
        <v>2669810345.1400008</v>
      </c>
      <c r="O7" s="26">
        <f>资产资本表!O68</f>
        <v>2794624820.6000009</v>
      </c>
      <c r="P7" s="26">
        <f>资产资本表!P68</f>
        <v>2529574385.0300002</v>
      </c>
      <c r="Q7" s="26">
        <f>资产资本表!Q68</f>
        <v>2464385346.6499996</v>
      </c>
      <c r="R7" s="26">
        <f>资产资本表!R68</f>
        <v>2390729470.7999997</v>
      </c>
      <c r="S7" s="26">
        <f>资产资本表!S68</f>
        <v>2372127767.0599995</v>
      </c>
      <c r="T7" s="26">
        <f>资产资本表!T68</f>
        <v>2311018812.9599996</v>
      </c>
      <c r="U7" s="26">
        <f>资产资本表!U68</f>
        <v>2235208948.8499999</v>
      </c>
      <c r="V7" s="26">
        <f>资产资本表!V68</f>
        <v>2158479428.4900002</v>
      </c>
      <c r="W7" s="26">
        <f>资产资本表!W68</f>
        <v>2086966005.1300001</v>
      </c>
      <c r="X7" s="26">
        <f>资产资本表!X68</f>
        <v>2032643805.8500001</v>
      </c>
      <c r="Y7" s="26">
        <f>资产资本表!Y68</f>
        <v>1983878880.6100001</v>
      </c>
      <c r="Z7" s="26">
        <f>资产资本表!Z68</f>
        <v>1786832020.0999999</v>
      </c>
      <c r="AA7" s="26">
        <f>资产资本表!AA68</f>
        <v>1070207316.47</v>
      </c>
      <c r="AB7" s="26">
        <f>资产资本表!AB68</f>
        <v>870529615.61000001</v>
      </c>
      <c r="AC7" s="26">
        <f>资产资本表!AC68</f>
        <v>1034223379.05</v>
      </c>
      <c r="AD7" s="26">
        <f>资产资本表!AD68</f>
        <v>665567048.08999991</v>
      </c>
      <c r="AE7" s="26">
        <f>资产资本表!AE68</f>
        <v>628505611.20000005</v>
      </c>
      <c r="AF7" s="26">
        <f>资产资本表!AF68</f>
        <v>587919426.28999996</v>
      </c>
      <c r="AG7" s="26">
        <f>资产资本表!AG68</f>
        <v>577775528.83000004</v>
      </c>
      <c r="AH7" s="26">
        <f>资产资本表!AH68</f>
        <v>530024114.69</v>
      </c>
      <c r="AI7" s="26">
        <f>资产资本表!AI68</f>
        <v>504542384.35999995</v>
      </c>
      <c r="AJ7" s="26">
        <f>资产资本表!AJ68</f>
        <v>471908687.38</v>
      </c>
      <c r="AK7" s="26">
        <f>资产资本表!AK68</f>
        <v>479156503.72999996</v>
      </c>
      <c r="AL7" s="26">
        <f>资产资本表!AL68</f>
        <v>450113464.89999998</v>
      </c>
      <c r="AM7" s="26">
        <f>资产资本表!AM68</f>
        <v>471600387.74000001</v>
      </c>
      <c r="AN7" s="26">
        <f>资产资本表!AN68</f>
        <v>427606760.06999999</v>
      </c>
      <c r="AO7" s="26">
        <f>资产资本表!AO68</f>
        <v>444001874.39999998</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22505173966.599998</v>
      </c>
      <c r="F8" s="26">
        <f>资产资本表!F69</f>
        <v>21987099139.669998</v>
      </c>
      <c r="G8" s="26">
        <f>资产资本表!G69</f>
        <v>21273755237.990005</v>
      </c>
      <c r="H8" s="26">
        <f>资产资本表!H69</f>
        <v>22174836362.34</v>
      </c>
      <c r="I8" s="26">
        <f>资产资本表!I69</f>
        <v>20638517334.820004</v>
      </c>
      <c r="J8" s="26">
        <f>资产资本表!J69</f>
        <v>6084412963.6700001</v>
      </c>
      <c r="K8" s="26">
        <f>资产资本表!K69</f>
        <v>7011727192.9500008</v>
      </c>
      <c r="L8" s="26">
        <f>资产资本表!L69</f>
        <v>5767868164.9400005</v>
      </c>
      <c r="M8" s="26">
        <f>资产资本表!M69</f>
        <v>6262363808.1699982</v>
      </c>
      <c r="N8" s="26">
        <f>资产资本表!N69</f>
        <v>6301963399.5799999</v>
      </c>
      <c r="O8" s="26">
        <f>资产资本表!O69</f>
        <v>5450247121.1000004</v>
      </c>
      <c r="P8" s="26">
        <f>资产资本表!P69</f>
        <v>5769502161.5200005</v>
      </c>
      <c r="Q8" s="26">
        <f>资产资本表!Q69</f>
        <v>5296827383.0600014</v>
      </c>
      <c r="R8" s="26">
        <f>资产资本表!R69</f>
        <v>5196628957.5100002</v>
      </c>
      <c r="S8" s="26">
        <f>资产资本表!S69</f>
        <v>5236363288.2099991</v>
      </c>
      <c r="T8" s="26">
        <f>资产资本表!T69</f>
        <v>5243870483.4699993</v>
      </c>
      <c r="U8" s="26">
        <f>资产资本表!U69</f>
        <v>5101615397.2800007</v>
      </c>
      <c r="V8" s="26">
        <f>资产资本表!V69</f>
        <v>4852082700.460001</v>
      </c>
      <c r="W8" s="26">
        <f>资产资本表!W69</f>
        <v>4288161259.5</v>
      </c>
      <c r="X8" s="26">
        <f>资产资本表!X69</f>
        <v>4015504709.0200005</v>
      </c>
      <c r="Y8" s="26">
        <f>资产资本表!Y69</f>
        <v>2526019197.0399995</v>
      </c>
      <c r="Z8" s="26">
        <f>资产资本表!Z69</f>
        <v>2966411508.8500004</v>
      </c>
      <c r="AA8" s="26">
        <f>资产资本表!AA69</f>
        <v>1648479804.74</v>
      </c>
      <c r="AB8" s="26">
        <f>资产资本表!AB69</f>
        <v>1744608552.9499998</v>
      </c>
      <c r="AC8" s="26">
        <f>资产资本表!AC69</f>
        <v>2193263396.9700003</v>
      </c>
      <c r="AD8" s="26">
        <f>资产资本表!AD69</f>
        <v>1196658433.9199994</v>
      </c>
      <c r="AE8" s="26">
        <f>资产资本表!AE69</f>
        <v>791189127.16999984</v>
      </c>
      <c r="AF8" s="26">
        <f>资产资本表!AF69</f>
        <v>875173255.8599999</v>
      </c>
      <c r="AG8" s="26">
        <f>资产资本表!AG69</f>
        <v>432073960.13999999</v>
      </c>
      <c r="AH8" s="26">
        <f>资产资本表!AH69</f>
        <v>284064053.06999987</v>
      </c>
      <c r="AI8" s="26">
        <f>资产资本表!AI69</f>
        <v>379463890.61999995</v>
      </c>
      <c r="AJ8" s="26">
        <f>资产资本表!AJ69</f>
        <v>616159075.64999974</v>
      </c>
      <c r="AK8" s="26">
        <f>资产资本表!AK69</f>
        <v>340302640.90000027</v>
      </c>
      <c r="AL8" s="26">
        <f>资产资本表!AL69</f>
        <v>492087540.25</v>
      </c>
      <c r="AM8" s="26">
        <f>资产资本表!AM69</f>
        <v>787128543.68000019</v>
      </c>
      <c r="AN8" s="26">
        <f>资产资本表!AN69</f>
        <v>605560666.15999961</v>
      </c>
      <c r="AO8" s="26">
        <f>资产资本表!AO69</f>
        <v>668897340.28000033</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33284499007.429996</v>
      </c>
      <c r="F9" s="48">
        <f>资产资本表!F70</f>
        <v>32288528233.139999</v>
      </c>
      <c r="G9" s="48">
        <f>资产资本表!G70</f>
        <v>30894574541.590004</v>
      </c>
      <c r="H9" s="48">
        <f>资产资本表!H70</f>
        <v>31590474436.519997</v>
      </c>
      <c r="I9" s="48">
        <f>资产资本表!I70</f>
        <v>26548408220.710003</v>
      </c>
      <c r="J9" s="48">
        <f>资产资本表!J70</f>
        <v>8139345294.79</v>
      </c>
      <c r="K9" s="48">
        <f>资产资本表!K70</f>
        <v>9500654009.0600014</v>
      </c>
      <c r="L9" s="48">
        <f>资产资本表!L70</f>
        <v>9077861026.2900009</v>
      </c>
      <c r="M9" s="48">
        <f>资产资本表!M70</f>
        <v>8752758632.7699986</v>
      </c>
      <c r="N9" s="48">
        <f>资产资本表!N70</f>
        <v>9165382111.9200001</v>
      </c>
      <c r="O9" s="48">
        <f>资产资本表!O70</f>
        <v>8700102176.5</v>
      </c>
      <c r="P9" s="48">
        <f>资产资本表!P70</f>
        <v>8473113212.9400005</v>
      </c>
      <c r="Q9" s="48">
        <f>资产资本表!Q70</f>
        <v>8295088855.420002</v>
      </c>
      <c r="R9" s="48">
        <f>资产资本表!R70</f>
        <v>7730681808.3500004</v>
      </c>
      <c r="S9" s="48">
        <f>资产资本表!S70</f>
        <v>7848273498.4499989</v>
      </c>
      <c r="T9" s="48">
        <f>资产资本表!T70</f>
        <v>7910758392.3399992</v>
      </c>
      <c r="U9" s="48">
        <f>资产资本表!U70</f>
        <v>7635261127.2600002</v>
      </c>
      <c r="V9" s="48">
        <f>资产资本表!V70</f>
        <v>7536671748.5400009</v>
      </c>
      <c r="W9" s="48">
        <f>资产资本表!W70</f>
        <v>7061150201.3700008</v>
      </c>
      <c r="X9" s="48">
        <f>资产资本表!X70</f>
        <v>7260627422.1600008</v>
      </c>
      <c r="Y9" s="48">
        <f>资产资本表!Y70</f>
        <v>6910356285.9300003</v>
      </c>
      <c r="Z9" s="48">
        <f>资产资本表!Z70</f>
        <v>6611306797.3600006</v>
      </c>
      <c r="AA9" s="48">
        <f>资产资本表!AA70</f>
        <v>6165439277.3799992</v>
      </c>
      <c r="AB9" s="48">
        <f>资产资本表!AB70</f>
        <v>6546173450.0499992</v>
      </c>
      <c r="AC9" s="48">
        <f>资产资本表!AC70</f>
        <v>7152148619.9800005</v>
      </c>
      <c r="AD9" s="48">
        <f>资产资本表!AD70</f>
        <v>6088296792.4399986</v>
      </c>
      <c r="AE9" s="48">
        <f>资产资本表!AE70</f>
        <v>4333450998.7699995</v>
      </c>
      <c r="AF9" s="48">
        <f>资产资本表!AF70</f>
        <v>4486027012.9899998</v>
      </c>
      <c r="AG9" s="48">
        <f>资产资本表!AG70</f>
        <v>4341189809.7200003</v>
      </c>
      <c r="AH9" s="48">
        <f>资产资本表!AH70</f>
        <v>4227788851.5299997</v>
      </c>
      <c r="AI9" s="48">
        <f>资产资本表!AI70</f>
        <v>4017224085.3699999</v>
      </c>
      <c r="AJ9" s="48">
        <f>资产资本表!AJ70</f>
        <v>3998715705.9299994</v>
      </c>
      <c r="AK9" s="48">
        <f>资产资本表!AK70</f>
        <v>1400628603.1300001</v>
      </c>
      <c r="AL9" s="48">
        <f>资产资本表!AL70</f>
        <v>1514369613.24</v>
      </c>
      <c r="AM9" s="48">
        <f>资产资本表!AM70</f>
        <v>1121952868.9100003</v>
      </c>
      <c r="AN9" s="48">
        <f>资产资本表!AN70</f>
        <v>1212138682.9999995</v>
      </c>
      <c r="AO9" s="48">
        <f>资产资本表!AO70</f>
        <v>801308400.21000028</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2967536230.21</v>
      </c>
      <c r="F10" s="26">
        <f>资产资本表!F72</f>
        <v>3284932759.1700001</v>
      </c>
      <c r="G10" s="26">
        <f>资产资本表!G72</f>
        <v>3270123327.5099998</v>
      </c>
      <c r="H10" s="26">
        <f>资产资本表!H72</f>
        <v>3836796239.1400003</v>
      </c>
      <c r="I10" s="26">
        <f>资产资本表!I72</f>
        <v>4255769991.2700005</v>
      </c>
      <c r="J10" s="26">
        <f>资产资本表!J72</f>
        <v>55419930</v>
      </c>
      <c r="K10" s="26">
        <f>资产资本表!K72</f>
        <v>1528838463.2</v>
      </c>
      <c r="L10" s="26">
        <f>资产资本表!L72</f>
        <v>1508433054.24</v>
      </c>
      <c r="M10" s="26">
        <f>资产资本表!M72</f>
        <v>1460633962.8099999</v>
      </c>
      <c r="N10" s="26">
        <f>资产资本表!N72</f>
        <v>211172217.75999999</v>
      </c>
      <c r="O10" s="26">
        <f>资产资本表!O72</f>
        <v>273497272.81</v>
      </c>
      <c r="P10" s="26">
        <f>资产资本表!P72</f>
        <v>227663287.94</v>
      </c>
      <c r="Q10" s="26">
        <f>资产资本表!Q72</f>
        <v>274372703.06999999</v>
      </c>
      <c r="R10" s="26">
        <f>资产资本表!R72</f>
        <v>302313705.69999999</v>
      </c>
      <c r="S10" s="26">
        <f>资产资本表!S72</f>
        <v>353052415.82999998</v>
      </c>
      <c r="T10" s="26">
        <f>资产资本表!T72</f>
        <v>321978460.82999998</v>
      </c>
      <c r="U10" s="26">
        <f>资产资本表!U72</f>
        <v>326216070.82999998</v>
      </c>
      <c r="V10" s="26">
        <f>资产资本表!V72</f>
        <v>380530449.82999998</v>
      </c>
      <c r="W10" s="26">
        <f>资产资本表!W72</f>
        <v>374450727.82999998</v>
      </c>
      <c r="X10" s="26">
        <f>资产资本表!X72</f>
        <v>392916340.11000001</v>
      </c>
      <c r="Y10" s="26">
        <f>资产资本表!Y72</f>
        <v>250933828.12</v>
      </c>
      <c r="Z10" s="26">
        <f>资产资本表!Z72</f>
        <v>245563213.34</v>
      </c>
      <c r="AA10" s="26">
        <f>资产资本表!AA72</f>
        <v>116289978.33</v>
      </c>
      <c r="AB10" s="26">
        <f>资产资本表!AB72</f>
        <v>76088356.700000003</v>
      </c>
      <c r="AC10" s="26">
        <f>资产资本表!AC72</f>
        <v>472217600.82999998</v>
      </c>
      <c r="AD10" s="26">
        <f>资产资本表!AD72</f>
        <v>16237463</v>
      </c>
      <c r="AE10" s="26">
        <f>资产资本表!AE72</f>
        <v>1299276</v>
      </c>
      <c r="AF10" s="26">
        <f>资产资本表!AF72</f>
        <v>0</v>
      </c>
      <c r="AG10" s="26">
        <f>资产资本表!AG72</f>
        <v>0</v>
      </c>
      <c r="AH10" s="26">
        <f>资产资本表!AH72</f>
        <v>0</v>
      </c>
      <c r="AI10" s="26">
        <f>资产资本表!AI72</f>
        <v>0</v>
      </c>
      <c r="AJ10" s="26">
        <f>资产资本表!AJ72</f>
        <v>0</v>
      </c>
      <c r="AK10" s="26">
        <f>资产资本表!AK72</f>
        <v>1242732.3999999999</v>
      </c>
      <c r="AL10" s="26">
        <f>资产资本表!AL72</f>
        <v>52844746.5</v>
      </c>
      <c r="AM10" s="26">
        <f>资产资本表!AM72</f>
        <v>16813116</v>
      </c>
      <c r="AN10" s="26">
        <f>资产资本表!AN72</f>
        <v>257719003.30000001</v>
      </c>
      <c r="AO10" s="26">
        <f>资产资本表!AO72</f>
        <v>298964047.46000004</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9559051011.1700001</v>
      </c>
      <c r="F11" s="26">
        <f>资产资本表!F81</f>
        <v>8986213307.5100002</v>
      </c>
      <c r="G11" s="26">
        <f>资产资本表!G81</f>
        <v>8534494985.1399994</v>
      </c>
      <c r="H11" s="26">
        <f>资产资本表!H81</f>
        <v>8813154051.6499996</v>
      </c>
      <c r="I11" s="26">
        <f>资产资本表!I81</f>
        <v>8074996503.4799995</v>
      </c>
      <c r="J11" s="26">
        <f>资产资本表!J81</f>
        <v>0</v>
      </c>
      <c r="K11" s="26">
        <f>资产资本表!K81</f>
        <v>0</v>
      </c>
      <c r="L11" s="26">
        <f>资产资本表!L81</f>
        <v>54644009</v>
      </c>
      <c r="M11" s="26">
        <f>资产资本表!M81</f>
        <v>54644009</v>
      </c>
      <c r="N11" s="26">
        <f>资产资本表!N81</f>
        <v>1446957268.77</v>
      </c>
      <c r="O11" s="26">
        <f>资产资本表!O81</f>
        <v>1446412986.1300001</v>
      </c>
      <c r="P11" s="26">
        <f>资产资本表!P81</f>
        <v>1445860946.0899999</v>
      </c>
      <c r="Q11" s="26">
        <f>资产资本表!Q81</f>
        <v>1473610296.04</v>
      </c>
      <c r="R11" s="26">
        <f>资产资本表!R81</f>
        <v>1485011407.5799999</v>
      </c>
      <c r="S11" s="26">
        <f>资产资本表!S81</f>
        <v>1593613749.26</v>
      </c>
      <c r="T11" s="26">
        <f>资产资本表!T81</f>
        <v>1593598498.05</v>
      </c>
      <c r="U11" s="26">
        <f>资产资本表!U81</f>
        <v>1582742074.2099998</v>
      </c>
      <c r="V11" s="26">
        <f>资产资本表!V81</f>
        <v>1514414557.4400001</v>
      </c>
      <c r="W11" s="26">
        <f>资产资本表!W81</f>
        <v>1513876752.5799999</v>
      </c>
      <c r="X11" s="26">
        <f>资产资本表!X81</f>
        <v>1505188746.6300001</v>
      </c>
      <c r="Y11" s="26">
        <f>资产资本表!Y81</f>
        <v>1504667368.2</v>
      </c>
      <c r="Z11" s="26">
        <f>资产资本表!Z81</f>
        <v>1506346126.3900001</v>
      </c>
      <c r="AA11" s="26">
        <f>资产资本表!AA81</f>
        <v>1502687972.6800001</v>
      </c>
      <c r="AB11" s="26">
        <f>资产资本表!AB81</f>
        <v>1501210267.27</v>
      </c>
      <c r="AC11" s="26">
        <f>资产资本表!AC81</f>
        <v>1498090282.6400001</v>
      </c>
      <c r="AD11" s="26">
        <f>资产资本表!AD81</f>
        <v>1496206969.3599999</v>
      </c>
      <c r="AE11" s="26">
        <f>资产资本表!AE81</f>
        <v>4630000</v>
      </c>
      <c r="AF11" s="26">
        <f>资产资本表!AF81</f>
        <v>4630000</v>
      </c>
      <c r="AG11" s="26">
        <f>资产资本表!AG81</f>
        <v>4630000</v>
      </c>
      <c r="AH11" s="26">
        <f>资产资本表!AH81</f>
        <v>800000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12526587241.380001</v>
      </c>
      <c r="F12" s="26">
        <f>资产资本表!F89</f>
        <v>12271146066.68</v>
      </c>
      <c r="G12" s="26">
        <f>资产资本表!G89</f>
        <v>11804618312.65</v>
      </c>
      <c r="H12" s="26">
        <f>资产资本表!H89</f>
        <v>12649950290.790001</v>
      </c>
      <c r="I12" s="26">
        <f>资产资本表!I89</f>
        <v>12330766494.75</v>
      </c>
      <c r="J12" s="26">
        <f>资产资本表!J89</f>
        <v>55419930</v>
      </c>
      <c r="K12" s="26">
        <f>资产资本表!K89</f>
        <v>1528838463.2</v>
      </c>
      <c r="L12" s="26">
        <f>资产资本表!L89</f>
        <v>1563077063.24</v>
      </c>
      <c r="M12" s="26">
        <f>资产资本表!M89</f>
        <v>1515277971.8099999</v>
      </c>
      <c r="N12" s="26">
        <f>资产资本表!N89</f>
        <v>1658129486.53</v>
      </c>
      <c r="O12" s="26">
        <f>资产资本表!O89</f>
        <v>1719910258.9400001</v>
      </c>
      <c r="P12" s="26">
        <f>资产资本表!P89</f>
        <v>1673524234.03</v>
      </c>
      <c r="Q12" s="26">
        <f>资产资本表!Q89</f>
        <v>1747982999.1099999</v>
      </c>
      <c r="R12" s="26">
        <f>资产资本表!R89</f>
        <v>1787325113.28</v>
      </c>
      <c r="S12" s="26">
        <f>资产资本表!S89</f>
        <v>1946666165.0899999</v>
      </c>
      <c r="T12" s="26">
        <f>资产资本表!T89</f>
        <v>1915576958.8799999</v>
      </c>
      <c r="U12" s="26">
        <f>资产资本表!U89</f>
        <v>1908958145.0399997</v>
      </c>
      <c r="V12" s="26">
        <f>资产资本表!V89</f>
        <v>1894945007.27</v>
      </c>
      <c r="W12" s="26">
        <f>资产资本表!W89</f>
        <v>1888327480.4099998</v>
      </c>
      <c r="X12" s="26">
        <f>资产资本表!X89</f>
        <v>1898105086.7400002</v>
      </c>
      <c r="Y12" s="26">
        <f>资产资本表!Y89</f>
        <v>1755601196.3200002</v>
      </c>
      <c r="Z12" s="26">
        <f>资产资本表!Z89</f>
        <v>1751909339.73</v>
      </c>
      <c r="AA12" s="26">
        <f>资产资本表!AA89</f>
        <v>1618977951.01</v>
      </c>
      <c r="AB12" s="26">
        <f>资产资本表!AB89</f>
        <v>1577298623.97</v>
      </c>
      <c r="AC12" s="26">
        <f>资产资本表!AC89</f>
        <v>1970307883.47</v>
      </c>
      <c r="AD12" s="26">
        <f>资产资本表!AD89</f>
        <v>1512444432.3599999</v>
      </c>
      <c r="AE12" s="26">
        <f>资产资本表!AE89</f>
        <v>5929276</v>
      </c>
      <c r="AF12" s="26">
        <f>资产资本表!AF89</f>
        <v>4630000</v>
      </c>
      <c r="AG12" s="26">
        <f>资产资本表!AG89</f>
        <v>4630000</v>
      </c>
      <c r="AH12" s="26">
        <f>资产资本表!AH89</f>
        <v>800000</v>
      </c>
      <c r="AI12" s="26">
        <f>资产资本表!AI89</f>
        <v>0</v>
      </c>
      <c r="AJ12" s="26">
        <f>资产资本表!AJ89</f>
        <v>0</v>
      </c>
      <c r="AK12" s="26">
        <f>资产资本表!AK89</f>
        <v>1242732.3999999999</v>
      </c>
      <c r="AL12" s="26">
        <f>资产资本表!AL89</f>
        <v>52844746.5</v>
      </c>
      <c r="AM12" s="26">
        <f>资产资本表!AM89</f>
        <v>16813116</v>
      </c>
      <c r="AN12" s="26">
        <f>资产资本表!AN89</f>
        <v>257719003.30000001</v>
      </c>
      <c r="AO12" s="26">
        <f>资产资本表!AO89</f>
        <v>298964047.46000004</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20757911766.049995</v>
      </c>
      <c r="F13" s="26">
        <f t="shared" ref="F13:BQ13" si="0">F9-F12</f>
        <v>20017382166.459999</v>
      </c>
      <c r="G13" s="26">
        <f t="shared" si="0"/>
        <v>19089956228.940002</v>
      </c>
      <c r="H13" s="26">
        <f t="shared" si="0"/>
        <v>18940524145.729996</v>
      </c>
      <c r="I13" s="26">
        <f t="shared" si="0"/>
        <v>14217641725.960003</v>
      </c>
      <c r="J13" s="26">
        <f t="shared" si="0"/>
        <v>8083925364.79</v>
      </c>
      <c r="K13" s="26">
        <f t="shared" si="0"/>
        <v>7971815545.8600016</v>
      </c>
      <c r="L13" s="26">
        <f t="shared" si="0"/>
        <v>7514783963.0500011</v>
      </c>
      <c r="M13" s="26">
        <f t="shared" si="0"/>
        <v>7237480660.9599991</v>
      </c>
      <c r="N13" s="26">
        <f t="shared" si="0"/>
        <v>7507252625.3900003</v>
      </c>
      <c r="O13" s="26">
        <f t="shared" si="0"/>
        <v>6980191917.5599995</v>
      </c>
      <c r="P13" s="26">
        <f t="shared" si="0"/>
        <v>6799588978.9100008</v>
      </c>
      <c r="Q13" s="26">
        <f t="shared" si="0"/>
        <v>6547105856.3100023</v>
      </c>
      <c r="R13" s="26">
        <f t="shared" si="0"/>
        <v>5943356695.0700006</v>
      </c>
      <c r="S13" s="26">
        <f t="shared" si="0"/>
        <v>5901607333.3599987</v>
      </c>
      <c r="T13" s="26">
        <f t="shared" si="0"/>
        <v>5995181433.4599991</v>
      </c>
      <c r="U13" s="26">
        <f t="shared" si="0"/>
        <v>5726302982.2200003</v>
      </c>
      <c r="V13" s="26">
        <f t="shared" si="0"/>
        <v>5641726741.2700005</v>
      </c>
      <c r="W13" s="26">
        <f t="shared" si="0"/>
        <v>5172822720.960001</v>
      </c>
      <c r="X13" s="26">
        <f t="shared" si="0"/>
        <v>5362522335.4200001</v>
      </c>
      <c r="Y13" s="26">
        <f t="shared" si="0"/>
        <v>5154755089.6100006</v>
      </c>
      <c r="Z13" s="26">
        <f t="shared" si="0"/>
        <v>4859397457.6300011</v>
      </c>
      <c r="AA13" s="26">
        <f t="shared" si="0"/>
        <v>4546461326.3699989</v>
      </c>
      <c r="AB13" s="26">
        <f t="shared" si="0"/>
        <v>4968874826.079999</v>
      </c>
      <c r="AC13" s="26">
        <f t="shared" si="0"/>
        <v>5181840736.5100002</v>
      </c>
      <c r="AD13" s="26">
        <f t="shared" si="0"/>
        <v>4575852360.079999</v>
      </c>
      <c r="AE13" s="26">
        <f t="shared" si="0"/>
        <v>4327521722.7699995</v>
      </c>
      <c r="AF13" s="26">
        <f t="shared" si="0"/>
        <v>4481397012.9899998</v>
      </c>
      <c r="AG13" s="26">
        <f t="shared" si="0"/>
        <v>4336559809.7200003</v>
      </c>
      <c r="AH13" s="26">
        <f t="shared" si="0"/>
        <v>4226988851.5299997</v>
      </c>
      <c r="AI13" s="26">
        <f t="shared" si="0"/>
        <v>4017224085.3699999</v>
      </c>
      <c r="AJ13" s="26">
        <f t="shared" si="0"/>
        <v>3998715705.9299994</v>
      </c>
      <c r="AK13" s="26">
        <f t="shared" si="0"/>
        <v>1399385870.73</v>
      </c>
      <c r="AL13" s="26">
        <f t="shared" si="0"/>
        <v>1461524866.74</v>
      </c>
      <c r="AM13" s="26">
        <f t="shared" si="0"/>
        <v>1105139752.9100003</v>
      </c>
      <c r="AN13" s="26">
        <f t="shared" si="0"/>
        <v>954419679.69999957</v>
      </c>
      <c r="AO13" s="26">
        <f t="shared" si="0"/>
        <v>502344352.75000024</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33284499007.429996</v>
      </c>
      <c r="F14" s="48">
        <f t="shared" ref="F14:BQ14" si="2">F9</f>
        <v>32288528233.139999</v>
      </c>
      <c r="G14" s="48">
        <f t="shared" si="2"/>
        <v>30894574541.590004</v>
      </c>
      <c r="H14" s="48">
        <f t="shared" si="2"/>
        <v>31590474436.519997</v>
      </c>
      <c r="I14" s="48">
        <f t="shared" si="2"/>
        <v>26548408220.710003</v>
      </c>
      <c r="J14" s="48">
        <f t="shared" si="2"/>
        <v>8139345294.79</v>
      </c>
      <c r="K14" s="48">
        <f t="shared" si="2"/>
        <v>9500654009.0600014</v>
      </c>
      <c r="L14" s="48">
        <f t="shared" si="2"/>
        <v>9077861026.2900009</v>
      </c>
      <c r="M14" s="48">
        <f t="shared" si="2"/>
        <v>8752758632.7699986</v>
      </c>
      <c r="N14" s="48">
        <f t="shared" si="2"/>
        <v>9165382111.9200001</v>
      </c>
      <c r="O14" s="48">
        <f t="shared" si="2"/>
        <v>8700102176.5</v>
      </c>
      <c r="P14" s="48">
        <f t="shared" si="2"/>
        <v>8473113212.9400005</v>
      </c>
      <c r="Q14" s="48">
        <f t="shared" si="2"/>
        <v>8295088855.420002</v>
      </c>
      <c r="R14" s="48">
        <f t="shared" si="2"/>
        <v>7730681808.3500004</v>
      </c>
      <c r="S14" s="48">
        <f t="shared" si="2"/>
        <v>7848273498.4499989</v>
      </c>
      <c r="T14" s="48">
        <f t="shared" si="2"/>
        <v>7910758392.3399992</v>
      </c>
      <c r="U14" s="48">
        <f t="shared" si="2"/>
        <v>7635261127.2600002</v>
      </c>
      <c r="V14" s="48">
        <f t="shared" si="2"/>
        <v>7536671748.5400009</v>
      </c>
      <c r="W14" s="48">
        <f t="shared" si="2"/>
        <v>7061150201.3700008</v>
      </c>
      <c r="X14" s="48">
        <f t="shared" si="2"/>
        <v>7260627422.1600008</v>
      </c>
      <c r="Y14" s="48">
        <f t="shared" si="2"/>
        <v>6910356285.9300003</v>
      </c>
      <c r="Z14" s="48">
        <f t="shared" si="2"/>
        <v>6611306797.3600006</v>
      </c>
      <c r="AA14" s="48">
        <f t="shared" si="2"/>
        <v>6165439277.3799992</v>
      </c>
      <c r="AB14" s="48">
        <f t="shared" si="2"/>
        <v>6546173450.0499992</v>
      </c>
      <c r="AC14" s="48">
        <f t="shared" si="2"/>
        <v>7152148619.9800005</v>
      </c>
      <c r="AD14" s="48">
        <f t="shared" si="2"/>
        <v>6088296792.4399986</v>
      </c>
      <c r="AE14" s="48">
        <f t="shared" si="2"/>
        <v>4333450998.7699995</v>
      </c>
      <c r="AF14" s="48">
        <f t="shared" si="2"/>
        <v>4486027012.9899998</v>
      </c>
      <c r="AG14" s="48">
        <f t="shared" si="2"/>
        <v>4341189809.7200003</v>
      </c>
      <c r="AH14" s="48">
        <f t="shared" si="2"/>
        <v>4227788851.5299997</v>
      </c>
      <c r="AI14" s="48">
        <f t="shared" si="2"/>
        <v>4017224085.3699999</v>
      </c>
      <c r="AJ14" s="48">
        <f t="shared" si="2"/>
        <v>3998715705.9299994</v>
      </c>
      <c r="AK14" s="48">
        <f t="shared" si="2"/>
        <v>1400628603.1300001</v>
      </c>
      <c r="AL14" s="48">
        <f t="shared" si="2"/>
        <v>1514369613.24</v>
      </c>
      <c r="AM14" s="48">
        <f t="shared" si="2"/>
        <v>1121952868.9100003</v>
      </c>
      <c r="AN14" s="48">
        <f t="shared" si="2"/>
        <v>1212138682.9999995</v>
      </c>
      <c r="AO14" s="48">
        <f t="shared" si="2"/>
        <v>801308400.21000028</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6118606278.7099953</v>
      </c>
      <c r="F15" s="58">
        <f t="shared" ref="F15:BQ15" si="4">F11+F13-F3-F4-F7</f>
        <v>6237593745.4500008</v>
      </c>
      <c r="G15" s="58">
        <f t="shared" si="4"/>
        <v>5620215213.8899956</v>
      </c>
      <c r="H15" s="58">
        <f t="shared" si="4"/>
        <v>4838842690.4699974</v>
      </c>
      <c r="I15" s="58">
        <f t="shared" si="4"/>
        <v>1048065416.2599983</v>
      </c>
      <c r="J15" s="58">
        <f t="shared" si="4"/>
        <v>1889649944.46</v>
      </c>
      <c r="K15" s="58">
        <f t="shared" si="4"/>
        <v>852028585.93000126</v>
      </c>
      <c r="L15" s="58">
        <f t="shared" si="4"/>
        <v>1695277473.690001</v>
      </c>
      <c r="M15" s="58">
        <f t="shared" si="4"/>
        <v>925456489.10000086</v>
      </c>
      <c r="N15" s="58">
        <f t="shared" si="4"/>
        <v>2542099977.3199992</v>
      </c>
      <c r="O15" s="58">
        <f t="shared" si="4"/>
        <v>2873017046.6199985</v>
      </c>
      <c r="P15" s="58">
        <f t="shared" si="4"/>
        <v>2370102581.4100013</v>
      </c>
      <c r="Q15" s="58">
        <f t="shared" si="4"/>
        <v>2619578230.960001</v>
      </c>
      <c r="R15" s="58">
        <f t="shared" si="4"/>
        <v>2132415707.6300006</v>
      </c>
      <c r="S15" s="58">
        <f t="shared" si="4"/>
        <v>1689961901.1300001</v>
      </c>
      <c r="T15" s="58">
        <f t="shared" si="4"/>
        <v>1801792650.3299999</v>
      </c>
      <c r="U15" s="58">
        <f t="shared" si="4"/>
        <v>1666306610.9400001</v>
      </c>
      <c r="V15" s="58">
        <f t="shared" si="4"/>
        <v>1778241810.3299999</v>
      </c>
      <c r="W15" s="58">
        <f t="shared" si="4"/>
        <v>1875872737.6000013</v>
      </c>
      <c r="X15" s="58">
        <f t="shared" si="4"/>
        <v>2347257516.2299995</v>
      </c>
      <c r="Y15" s="58">
        <f t="shared" si="4"/>
        <v>3718939849.2100005</v>
      </c>
      <c r="Z15" s="58">
        <f t="shared" si="4"/>
        <v>3040790587.940001</v>
      </c>
      <c r="AA15" s="58">
        <f t="shared" si="4"/>
        <v>4091697773.4099989</v>
      </c>
      <c r="AB15" s="58">
        <f t="shared" si="4"/>
        <v>4300404458.079999</v>
      </c>
      <c r="AC15" s="58">
        <f t="shared" si="4"/>
        <v>4092664106.6300001</v>
      </c>
      <c r="AD15" s="58">
        <f t="shared" si="4"/>
        <v>4651261691.4899998</v>
      </c>
      <c r="AE15" s="58">
        <f t="shared" si="4"/>
        <v>3316986236.1499996</v>
      </c>
      <c r="AF15" s="58">
        <f t="shared" si="4"/>
        <v>3403911500.1899996</v>
      </c>
      <c r="AG15" s="58">
        <f t="shared" si="4"/>
        <v>3847081771.3100004</v>
      </c>
      <c r="AH15" s="58">
        <f t="shared" si="4"/>
        <v>3881667889.7099996</v>
      </c>
      <c r="AI15" s="58">
        <f t="shared" si="4"/>
        <v>3577450507.1500001</v>
      </c>
      <c r="AJ15" s="58">
        <f t="shared" si="4"/>
        <v>3322562731.0099993</v>
      </c>
      <c r="AK15" s="58">
        <f t="shared" si="4"/>
        <v>998723284.19999957</v>
      </c>
      <c r="AL15" s="58">
        <f t="shared" si="4"/>
        <v>944958692.37</v>
      </c>
      <c r="AM15" s="58">
        <f t="shared" si="4"/>
        <v>282230616.51000011</v>
      </c>
      <c r="AN15" s="58">
        <f t="shared" si="4"/>
        <v>317725313.39999992</v>
      </c>
      <c r="AO15" s="58">
        <f t="shared" si="4"/>
        <v>-196000953.49000007</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-6118606278.7099981</v>
      </c>
      <c r="F16" s="58">
        <f t="shared" ref="F16:BQ16" si="6">F10-F2</f>
        <v>-6237593745.4499989</v>
      </c>
      <c r="G16" s="58">
        <f t="shared" si="6"/>
        <v>-5620215213.8899994</v>
      </c>
      <c r="H16" s="58">
        <f t="shared" si="6"/>
        <v>-4838842690.4699984</v>
      </c>
      <c r="I16" s="58">
        <f t="shared" si="6"/>
        <v>-1048065416.2599993</v>
      </c>
      <c r="J16" s="58">
        <f t="shared" si="6"/>
        <v>-1889649944.46</v>
      </c>
      <c r="K16" s="58">
        <f t="shared" si="6"/>
        <v>-852028585.93000007</v>
      </c>
      <c r="L16" s="58">
        <f t="shared" si="6"/>
        <v>-1695277473.6899998</v>
      </c>
      <c r="M16" s="58">
        <f t="shared" si="6"/>
        <v>-925456489.0999999</v>
      </c>
      <c r="N16" s="58">
        <f t="shared" si="6"/>
        <v>-2542099977.3199997</v>
      </c>
      <c r="O16" s="58">
        <f t="shared" si="6"/>
        <v>-2873017046.6200004</v>
      </c>
      <c r="P16" s="58">
        <f t="shared" si="6"/>
        <v>-2370102581.4099998</v>
      </c>
      <c r="Q16" s="58">
        <f t="shared" si="6"/>
        <v>-2619578230.96</v>
      </c>
      <c r="R16" s="58">
        <f t="shared" si="6"/>
        <v>-2132415707.6299999</v>
      </c>
      <c r="S16" s="58">
        <f t="shared" si="6"/>
        <v>-1689961901.1300001</v>
      </c>
      <c r="T16" s="58">
        <f t="shared" si="6"/>
        <v>-1801792650.3299999</v>
      </c>
      <c r="U16" s="58">
        <f t="shared" si="6"/>
        <v>-1666306610.9400001</v>
      </c>
      <c r="V16" s="58">
        <f t="shared" si="6"/>
        <v>-1778241810.3300004</v>
      </c>
      <c r="W16" s="58">
        <f t="shared" si="6"/>
        <v>-1875872737.6000004</v>
      </c>
      <c r="X16" s="58">
        <f t="shared" si="6"/>
        <v>-2347257516.23</v>
      </c>
      <c r="Y16" s="58">
        <f t="shared" si="6"/>
        <v>-3718939849.21</v>
      </c>
      <c r="Z16" s="58">
        <f t="shared" si="6"/>
        <v>-3040790587.9399996</v>
      </c>
      <c r="AA16" s="58">
        <f t="shared" si="6"/>
        <v>-4091697773.4099998</v>
      </c>
      <c r="AB16" s="58">
        <f t="shared" si="6"/>
        <v>-4300404458.0799999</v>
      </c>
      <c r="AC16" s="58">
        <f t="shared" si="6"/>
        <v>-4092664106.6300001</v>
      </c>
      <c r="AD16" s="58">
        <f t="shared" si="6"/>
        <v>-4651261691.4899998</v>
      </c>
      <c r="AE16" s="58">
        <f t="shared" si="6"/>
        <v>-3316986236.1500001</v>
      </c>
      <c r="AF16" s="58">
        <f t="shared" si="6"/>
        <v>-3403911500.1900001</v>
      </c>
      <c r="AG16" s="58">
        <f t="shared" si="6"/>
        <v>-3847081771.3099999</v>
      </c>
      <c r="AH16" s="58">
        <f t="shared" si="6"/>
        <v>-3881667889.71</v>
      </c>
      <c r="AI16" s="58">
        <f t="shared" si="6"/>
        <v>-3577450507.1500001</v>
      </c>
      <c r="AJ16" s="58">
        <f t="shared" si="6"/>
        <v>-3322562731.0099998</v>
      </c>
      <c r="AK16" s="58">
        <f t="shared" si="6"/>
        <v>-998723284.19999993</v>
      </c>
      <c r="AL16" s="58">
        <f t="shared" si="6"/>
        <v>-944958692.37</v>
      </c>
      <c r="AM16" s="58">
        <f t="shared" si="6"/>
        <v>-282230616.51000005</v>
      </c>
      <c r="AN16" s="58">
        <f t="shared" si="6"/>
        <v>-317725313.39999992</v>
      </c>
      <c r="AO16" s="58">
        <f t="shared" si="6"/>
        <v>196000953.49000004</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2.7484087445061154</v>
      </c>
      <c r="F17" s="59">
        <f t="shared" ref="F17:BQ17" si="8">(F11+F13-F7-F3)/F4</f>
        <v>2.8797304168429685</v>
      </c>
      <c r="G17" s="59">
        <f t="shared" si="8"/>
        <v>2.7038483113187346</v>
      </c>
      <c r="H17" s="59">
        <f t="shared" si="8"/>
        <v>1.8710875619440854</v>
      </c>
      <c r="I17" s="59">
        <f t="shared" si="8"/>
        <v>1.22681479275603</v>
      </c>
      <c r="J17" s="59">
        <f t="shared" si="8"/>
        <v>1.5576058870656209</v>
      </c>
      <c r="K17" s="59">
        <f t="shared" si="8"/>
        <v>1.19910057286323</v>
      </c>
      <c r="L17" s="59">
        <f t="shared" si="8"/>
        <v>1.5411951053671689</v>
      </c>
      <c r="M17" s="59">
        <f t="shared" si="8"/>
        <v>1.2600665336665975</v>
      </c>
      <c r="N17" s="59">
        <f t="shared" si="8"/>
        <v>1.6998879009827235</v>
      </c>
      <c r="O17" s="59">
        <f t="shared" si="8"/>
        <v>2.0818620728102286</v>
      </c>
      <c r="P17" s="59">
        <f t="shared" si="8"/>
        <v>1.7315294490847171</v>
      </c>
      <c r="Q17" s="59">
        <f t="shared" si="8"/>
        <v>1.9248479570936616</v>
      </c>
      <c r="R17" s="59">
        <f t="shared" si="8"/>
        <v>1.7599758001774755</v>
      </c>
      <c r="S17" s="59">
        <f t="shared" si="8"/>
        <v>1.5900219757247738</v>
      </c>
      <c r="T17" s="59">
        <f t="shared" si="8"/>
        <v>1.6143483724209897</v>
      </c>
      <c r="U17" s="59">
        <f t="shared" si="8"/>
        <v>1.5813225168582341</v>
      </c>
      <c r="V17" s="59">
        <f t="shared" si="8"/>
        <v>1.6601721303336037</v>
      </c>
      <c r="W17" s="59">
        <f t="shared" si="8"/>
        <v>1.8522064246122005</v>
      </c>
      <c r="X17" s="59">
        <f t="shared" si="8"/>
        <v>2.1837731595178655</v>
      </c>
      <c r="Y17" s="59">
        <f t="shared" si="8"/>
        <v>7.8597367443529489</v>
      </c>
      <c r="Z17" s="59">
        <f t="shared" si="8"/>
        <v>3.5778598364424981</v>
      </c>
      <c r="AA17" s="59">
        <f t="shared" si="8"/>
        <v>8.0757261609505342</v>
      </c>
      <c r="AB17" s="59">
        <f t="shared" si="8"/>
        <v>5.9199268788777895</v>
      </c>
      <c r="AC17" s="59">
        <f t="shared" si="8"/>
        <v>4.5310809319376633</v>
      </c>
      <c r="AD17" s="59">
        <f t="shared" si="8"/>
        <v>9.7579309617702066</v>
      </c>
      <c r="AE17" s="59">
        <f t="shared" si="8"/>
        <v>21.389196879428646</v>
      </c>
      <c r="AF17" s="59">
        <f t="shared" si="8"/>
        <v>12.849838539264843</v>
      </c>
      <c r="AG17" s="59">
        <f t="shared" si="8"/>
        <v>-25.403845929038631</v>
      </c>
      <c r="AH17" s="59">
        <f t="shared" si="8"/>
        <v>-14.78169993999694</v>
      </c>
      <c r="AI17" s="59">
        <f t="shared" si="8"/>
        <v>-27.601643657353492</v>
      </c>
      <c r="AJ17" s="59">
        <f t="shared" si="8"/>
        <v>24.033301822321711</v>
      </c>
      <c r="AK17" s="59">
        <f t="shared" si="8"/>
        <v>-6.1926215363756034</v>
      </c>
      <c r="AL17" s="59">
        <f t="shared" si="8"/>
        <v>23.51291266074309</v>
      </c>
      <c r="AM17" s="59">
        <f t="shared" si="8"/>
        <v>1.8944704654619418</v>
      </c>
      <c r="AN17" s="59">
        <f t="shared" si="8"/>
        <v>2.785436017568006</v>
      </c>
      <c r="AO17" s="59">
        <f t="shared" si="8"/>
        <v>0.1284797462542788</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0.34240520053583778</v>
      </c>
      <c r="F20" s="115"/>
      <c r="G20" s="115"/>
      <c r="H20" s="115"/>
      <c r="I20" s="115">
        <f>POWER(E9/Y9,1/6)-1</f>
        <v>0.29954183274236112</v>
      </c>
      <c r="M20" s="115">
        <f>POWER(E9/AC9,1/7)-1</f>
        <v>0.2456636312719982</v>
      </c>
    </row>
    <row r="21" spans="1:90" s="63" customFormat="1" ht="14.25" customHeight="1" x14ac:dyDescent="0.25">
      <c r="A21" s="113" t="s">
        <v>572</v>
      </c>
      <c r="B21" s="115"/>
      <c r="C21" s="115"/>
      <c r="D21" s="115"/>
      <c r="E21" s="115">
        <f>POWER(E4/U4,1/5)-1</f>
        <v>4.0721084368566807E-2</v>
      </c>
      <c r="F21" s="115"/>
      <c r="G21" s="115"/>
      <c r="H21" s="115"/>
      <c r="I21" s="115">
        <f>POWER(E4/Y4,1/6)-1</f>
        <v>0.36452963511784997</v>
      </c>
      <c r="M21" s="115">
        <f>POWER(E4/AC4,1/7)-1</f>
        <v>0.17100494646190967</v>
      </c>
    </row>
    <row r="22" spans="1:90" s="63" customFormat="1" ht="14.25" customHeight="1" x14ac:dyDescent="0.25">
      <c r="A22" s="113" t="s">
        <v>575</v>
      </c>
      <c r="B22" s="115"/>
      <c r="C22" s="115"/>
      <c r="D22" s="115"/>
      <c r="E22" s="115">
        <f>POWER(E5/U5,1/5)-1</f>
        <v>0.18151287225800061</v>
      </c>
      <c r="F22" s="115"/>
      <c r="G22" s="115"/>
      <c r="H22" s="115"/>
      <c r="I22" s="115">
        <f>POWER(E5/Y5,1/6)-1</f>
        <v>0.26338065608227335</v>
      </c>
      <c r="M22" s="115">
        <f>POWER(E5/AC5,1/7)-1</f>
        <v>0.22254605056135834</v>
      </c>
    </row>
    <row r="23" spans="1:90" s="63" customFormat="1" ht="14.25" customHeight="1" x14ac:dyDescent="0.25">
      <c r="A23" s="113" t="s">
        <v>576</v>
      </c>
      <c r="B23" s="115"/>
      <c r="C23" s="115"/>
      <c r="D23" s="115"/>
      <c r="E23" s="115">
        <f>POWER(E6/U6,1/5)-1</f>
        <v>0.26365025093775984</v>
      </c>
      <c r="F23" s="115"/>
      <c r="G23" s="115"/>
      <c r="H23" s="115"/>
      <c r="I23" s="115">
        <f>POWER(E6/Y6,1/6)-1</f>
        <v>0.23988633899579503</v>
      </c>
      <c r="M23" s="115">
        <f>POWER(E6/AC6,1/7)-1</f>
        <v>0.24374299473007066</v>
      </c>
    </row>
    <row r="24" spans="1:90" s="63" customFormat="1" ht="14.25" customHeight="1" x14ac:dyDescent="0.25">
      <c r="A24" s="113" t="s">
        <v>577</v>
      </c>
      <c r="B24" s="115"/>
      <c r="C24" s="115"/>
      <c r="D24" s="115"/>
      <c r="E24" s="115">
        <f>POWER(E7/U7,1/5)-1</f>
        <v>0.53430923512056649</v>
      </c>
      <c r="F24" s="115"/>
      <c r="G24" s="115"/>
      <c r="H24" s="115"/>
      <c r="I24" s="115">
        <f>POWER(E7/Y7,1/6)-1</f>
        <v>0.45734120650617771</v>
      </c>
      <c r="M24" s="115">
        <f>POWER(E7/AC7,1/7)-1</f>
        <v>0.51568779380931473</v>
      </c>
    </row>
    <row r="25" spans="1:90" s="107" customFormat="1" x14ac:dyDescent="0.25">
      <c r="A25" s="143" t="s">
        <v>553</v>
      </c>
      <c r="B25" s="108"/>
      <c r="C25" s="108"/>
      <c r="D25" s="108"/>
      <c r="E25" s="108">
        <f>(E2-I2)/I2</f>
        <v>0.71312678670611718</v>
      </c>
      <c r="F25" s="108">
        <f t="shared" ref="F25:BQ25" si="10">(F2-J2)/J2</f>
        <v>3.8957246367633398</v>
      </c>
      <c r="G25" s="108">
        <f t="shared" si="10"/>
        <v>2.7340760143027074</v>
      </c>
      <c r="H25" s="108">
        <f t="shared" si="10"/>
        <v>1.7079971345649485</v>
      </c>
      <c r="I25" s="108">
        <f t="shared" si="10"/>
        <v>1.2228140610865883</v>
      </c>
      <c r="J25" s="107">
        <f t="shared" si="10"/>
        <v>-0.29354246996146216</v>
      </c>
      <c r="K25" s="107">
        <f t="shared" si="10"/>
        <v>-0.24333188810616926</v>
      </c>
      <c r="L25" s="107">
        <f t="shared" si="10"/>
        <v>0.23325607042932486</v>
      </c>
      <c r="M25" s="108">
        <f t="shared" si="10"/>
        <v>-0.17549035685023665</v>
      </c>
      <c r="N25" s="108">
        <f t="shared" si="10"/>
        <v>0.13083292952637654</v>
      </c>
      <c r="O25" s="108">
        <f t="shared" si="10"/>
        <v>0.54013326940948969</v>
      </c>
      <c r="P25" s="108">
        <f t="shared" si="10"/>
        <v>0.2231854250673487</v>
      </c>
      <c r="Q25" s="108">
        <f t="shared" si="10"/>
        <v>0.45240551613658042</v>
      </c>
      <c r="R25" s="108">
        <f t="shared" si="10"/>
        <v>0.12783059994922608</v>
      </c>
      <c r="S25" s="108">
        <f t="shared" si="10"/>
        <v>-9.2124155329103702E-2</v>
      </c>
      <c r="T25" s="108">
        <f t="shared" si="10"/>
        <v>-0.22495023217370524</v>
      </c>
      <c r="U25" s="108">
        <f t="shared" si="10"/>
        <v>-0.49808914748388117</v>
      </c>
      <c r="V25" s="107">
        <f t="shared" si="10"/>
        <v>-0.34311020946095894</v>
      </c>
      <c r="W25" s="107">
        <f t="shared" si="10"/>
        <v>-0.46522575677662242</v>
      </c>
      <c r="X25" s="107">
        <f t="shared" si="10"/>
        <v>-0.37388818574405797</v>
      </c>
      <c r="Y25" s="107">
        <f t="shared" si="10"/>
        <v>-0.13034467665561383</v>
      </c>
      <c r="Z25" s="107">
        <f t="shared" si="10"/>
        <v>-0.29590693163412318</v>
      </c>
      <c r="AA25" s="107">
        <f t="shared" si="10"/>
        <v>0.2681210632214524</v>
      </c>
      <c r="AB25" s="107">
        <f t="shared" si="10"/>
        <v>0.28572461843843827</v>
      </c>
      <c r="AC25" s="107">
        <f t="shared" si="10"/>
        <v>0.18658296829120333</v>
      </c>
      <c r="AD25" s="107">
        <f t="shared" si="10"/>
        <v>0.20244680562785325</v>
      </c>
      <c r="AE25" s="107">
        <f t="shared" si="10"/>
        <v>-7.2444047648465029E-2</v>
      </c>
      <c r="AF25" s="107">
        <f t="shared" si="10"/>
        <v>2.4483742149022339E-2</v>
      </c>
      <c r="AG25" s="107">
        <f t="shared" si="10"/>
        <v>2.8472125126717036</v>
      </c>
      <c r="AH25" s="107">
        <f t="shared" si="10"/>
        <v>2.8902129803300145</v>
      </c>
      <c r="AI25" s="107">
        <f t="shared" si="10"/>
        <v>10.962967680756758</v>
      </c>
      <c r="AJ25" s="107">
        <f t="shared" si="10"/>
        <v>4.7739083254204298</v>
      </c>
      <c r="AK25" s="107">
        <f t="shared" si="10"/>
        <v>8.7118878041034442</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561</v>
      </c>
      <c r="E26" s="108">
        <f>E2/E9</f>
        <v>0.27298420525697942</v>
      </c>
      <c r="F26" s="108">
        <f t="shared" ref="F26:BQ26" si="12">F2/F9</f>
        <v>0.29491980668373596</v>
      </c>
      <c r="G26" s="108">
        <f t="shared" si="12"/>
        <v>0.28776374730235899</v>
      </c>
      <c r="H26" s="108">
        <f t="shared" si="12"/>
        <v>0.27462832022492745</v>
      </c>
      <c r="I26" s="108">
        <f t="shared" si="12"/>
        <v>0.19977978956164158</v>
      </c>
      <c r="J26" s="108">
        <f t="shared" si="12"/>
        <v>0.23897129363771316</v>
      </c>
      <c r="K26" s="108">
        <f t="shared" si="12"/>
        <v>0.25060033202551746</v>
      </c>
      <c r="L26" s="108">
        <f t="shared" si="12"/>
        <v>0.35291469197995784</v>
      </c>
      <c r="M26" s="108">
        <f t="shared" si="12"/>
        <v>0.27261010522746132</v>
      </c>
      <c r="N26" s="108">
        <f t="shared" si="12"/>
        <v>0.30039906263146882</v>
      </c>
      <c r="O26" s="108">
        <f t="shared" si="12"/>
        <v>0.36166406504156995</v>
      </c>
      <c r="P26" s="108">
        <f t="shared" si="12"/>
        <v>0.30658930242814814</v>
      </c>
      <c r="Q26" s="108">
        <f t="shared" si="12"/>
        <v>0.34887521815261757</v>
      </c>
      <c r="R26" s="108">
        <f t="shared" si="12"/>
        <v>0.31494368461785865</v>
      </c>
      <c r="S26" s="108">
        <f t="shared" si="12"/>
        <v>0.26031385340527274</v>
      </c>
      <c r="T26" s="108">
        <f t="shared" si="12"/>
        <v>0.26846618311797399</v>
      </c>
      <c r="U26" s="108">
        <f t="shared" si="12"/>
        <v>0.26096326616206239</v>
      </c>
      <c r="V26" s="108">
        <f t="shared" si="12"/>
        <v>0.28643575469214194</v>
      </c>
      <c r="W26" s="108">
        <f t="shared" si="12"/>
        <v>0.31869078000824763</v>
      </c>
      <c r="X26" s="108">
        <f t="shared" si="12"/>
        <v>0.37740179973658694</v>
      </c>
      <c r="Y26" s="108">
        <f t="shared" si="12"/>
        <v>0.57448176520405436</v>
      </c>
      <c r="Z26" s="108">
        <f t="shared" si="12"/>
        <v>0.49708081957296141</v>
      </c>
      <c r="AA26" s="108">
        <f t="shared" si="12"/>
        <v>0.6825122367482277</v>
      </c>
      <c r="AB26" s="108">
        <f t="shared" si="12"/>
        <v>0.66855741727200524</v>
      </c>
      <c r="AC26" s="108">
        <f t="shared" si="12"/>
        <v>0.63825319495007427</v>
      </c>
      <c r="AD26" s="108">
        <f t="shared" si="12"/>
        <v>0.76663462929168613</v>
      </c>
      <c r="AE26" s="108">
        <f t="shared" si="12"/>
        <v>0.76573740261326539</v>
      </c>
      <c r="AF26" s="108">
        <f t="shared" si="12"/>
        <v>0.75878087455412924</v>
      </c>
      <c r="AG26" s="108">
        <f t="shared" si="12"/>
        <v>0.88618142489331297</v>
      </c>
      <c r="AH26" s="108">
        <f t="shared" si="12"/>
        <v>0.91813191860451082</v>
      </c>
      <c r="AI26" s="108">
        <f t="shared" si="12"/>
        <v>0.8905279942382166</v>
      </c>
      <c r="AJ26" s="108">
        <f t="shared" si="12"/>
        <v>0.83090746513504798</v>
      </c>
      <c r="AK26" s="108">
        <f t="shared" si="12"/>
        <v>0.7139408793775629</v>
      </c>
      <c r="AL26" s="108">
        <f t="shared" si="12"/>
        <v>0.6588902934569556</v>
      </c>
      <c r="AM26" s="108">
        <f t="shared" si="12"/>
        <v>0.2665385871338134</v>
      </c>
      <c r="AN26" s="108">
        <f t="shared" si="12"/>
        <v>0.47473471870050049</v>
      </c>
      <c r="AO26" s="108">
        <f t="shared" si="12"/>
        <v>0.12849371595632378</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554</v>
      </c>
      <c r="E27" s="109">
        <f>(E3-I3)/I3</f>
        <v>1.7937748149588399</v>
      </c>
      <c r="F27" s="109">
        <f t="shared" ref="F27:BQ27" si="14">(F3-J3)/J3</f>
        <v>6.0897976663723377</v>
      </c>
      <c r="G27" s="109">
        <f t="shared" si="14"/>
        <v>5.7599698075898997</v>
      </c>
      <c r="H27" s="109">
        <f t="shared" si="14"/>
        <v>5.9625790172080331</v>
      </c>
      <c r="I27" s="109">
        <f t="shared" si="14"/>
        <v>4.8104513044840402</v>
      </c>
      <c r="J27" s="109">
        <f t="shared" si="14"/>
        <v>-2.5789340150400406E-3</v>
      </c>
      <c r="K27" s="109">
        <f t="shared" si="14"/>
        <v>4.5664770680266378E-2</v>
      </c>
      <c r="L27" s="109">
        <f t="shared" si="14"/>
        <v>4.1301015450179099E-3</v>
      </c>
      <c r="M27" s="109">
        <f t="shared" si="14"/>
        <v>-5.9108505225951275E-5</v>
      </c>
      <c r="N27" s="109">
        <f t="shared" si="14"/>
        <v>0.10896803434647859</v>
      </c>
      <c r="O27" s="109">
        <f t="shared" si="14"/>
        <v>-0.81834859911857782</v>
      </c>
      <c r="P27" s="109">
        <f t="shared" si="14"/>
        <v>-0.80511524866053474</v>
      </c>
      <c r="Q27" s="109">
        <f t="shared" si="14"/>
        <v>-0.80723323710743333</v>
      </c>
      <c r="R27" s="109">
        <f t="shared" si="14"/>
        <v>-0.81110637813049158</v>
      </c>
      <c r="S27" s="109">
        <f t="shared" si="14"/>
        <v>8.8451254050461572E-2</v>
      </c>
      <c r="T27" s="109">
        <f t="shared" si="14"/>
        <v>7.5587736056837079E-2</v>
      </c>
      <c r="U27" s="109">
        <f t="shared" si="14"/>
        <v>0.30559907851278229</v>
      </c>
      <c r="V27" s="109">
        <f t="shared" si="14"/>
        <v>0.46654377986303974</v>
      </c>
      <c r="W27" s="109">
        <f t="shared" si="14"/>
        <v>0.69162884848339545</v>
      </c>
      <c r="X27" s="109">
        <f t="shared" si="14"/>
        <v>0.18791348056555665</v>
      </c>
      <c r="Y27" s="109">
        <f t="shared" si="14"/>
        <v>5.1928206735514723E-2</v>
      </c>
      <c r="Z27" s="109">
        <f t="shared" si="14"/>
        <v>0.59963755016284837</v>
      </c>
      <c r="AA27" s="109">
        <f t="shared" si="14"/>
        <v>0.37948362790928464</v>
      </c>
      <c r="AB27" s="109">
        <f t="shared" si="14"/>
        <v>1.0540613048558936</v>
      </c>
      <c r="AC27" s="109">
        <f t="shared" si="14"/>
        <v>5.351404365760394</v>
      </c>
      <c r="AD27" s="109">
        <f t="shared" si="14"/>
        <v>2.6118332115600262</v>
      </c>
      <c r="AE27" s="109">
        <f t="shared" si="14"/>
        <v>2.7137708445035948</v>
      </c>
      <c r="AF27" s="109">
        <f t="shared" si="14"/>
        <v>2.449388345449345</v>
      </c>
      <c r="AG27" s="109">
        <f t="shared" si="14"/>
        <v>2.7735820874694856E-2</v>
      </c>
      <c r="AH27" s="109">
        <f t="shared" si="14"/>
        <v>1.5351458927725496</v>
      </c>
      <c r="AI27" s="109">
        <f t="shared" si="14"/>
        <v>0.68554188221396251</v>
      </c>
      <c r="AJ27" s="109">
        <f t="shared" si="14"/>
        <v>0.92697620264290248</v>
      </c>
      <c r="AK27" s="109">
        <f t="shared" si="14"/>
        <v>1.0497152744603349</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562</v>
      </c>
      <c r="E28" s="109">
        <f>E3/E9</f>
        <v>5.0870002025027811E-2</v>
      </c>
      <c r="F28" s="109">
        <f t="shared" ref="F28:BQ28" si="16">F3/F9</f>
        <v>2.4123198902901904E-2</v>
      </c>
      <c r="G28" s="109">
        <f t="shared" si="16"/>
        <v>2.3644305611544618E-2</v>
      </c>
      <c r="H28" s="109">
        <f t="shared" si="16"/>
        <v>2.3424755650853033E-2</v>
      </c>
      <c r="I28" s="109">
        <f t="shared" si="16"/>
        <v>2.2828316986900386E-2</v>
      </c>
      <c r="J28" s="109">
        <f t="shared" si="16"/>
        <v>1.349770192577074E-2</v>
      </c>
      <c r="K28" s="109">
        <f t="shared" si="16"/>
        <v>1.1373929297599112E-2</v>
      </c>
      <c r="L28" s="109">
        <f t="shared" si="16"/>
        <v>1.1707860817895353E-2</v>
      </c>
      <c r="M28" s="109">
        <f t="shared" si="16"/>
        <v>1.1916742716917653E-2</v>
      </c>
      <c r="N28" s="109">
        <f t="shared" si="16"/>
        <v>1.2017667775874768E-2</v>
      </c>
      <c r="O28" s="109">
        <f t="shared" si="16"/>
        <v>1.1878106012264487E-2</v>
      </c>
      <c r="P28" s="109">
        <f t="shared" si="16"/>
        <v>1.249188809472709E-2</v>
      </c>
      <c r="Q28" s="109">
        <f t="shared" si="16"/>
        <v>1.2574975403891377E-2</v>
      </c>
      <c r="R28" s="109">
        <f t="shared" si="16"/>
        <v>1.2847953126556004E-2</v>
      </c>
      <c r="S28" s="109">
        <f t="shared" si="16"/>
        <v>7.2486756914416209E-2</v>
      </c>
      <c r="T28" s="109">
        <f t="shared" si="16"/>
        <v>6.8655465225167411E-2</v>
      </c>
      <c r="U28" s="109">
        <f t="shared" si="16"/>
        <v>7.0871583720698253E-2</v>
      </c>
      <c r="V28" s="109">
        <f t="shared" si="16"/>
        <v>6.9767770902568624E-2</v>
      </c>
      <c r="W28" s="109">
        <f t="shared" si="16"/>
        <v>7.4019877999280156E-2</v>
      </c>
      <c r="X28" s="109">
        <f t="shared" si="16"/>
        <v>6.954617382774067E-2</v>
      </c>
      <c r="Y28" s="109">
        <f t="shared" si="16"/>
        <v>5.9977140745098537E-2</v>
      </c>
      <c r="Z28" s="109">
        <f t="shared" si="16"/>
        <v>5.4231560903083682E-2</v>
      </c>
      <c r="AA28" s="109">
        <f t="shared" si="16"/>
        <v>5.0113496703076341E-2</v>
      </c>
      <c r="AB28" s="109">
        <f t="shared" si="16"/>
        <v>6.4934436211242355E-2</v>
      </c>
      <c r="AC28" s="109">
        <f t="shared" si="16"/>
        <v>5.508883224955996E-2</v>
      </c>
      <c r="AD28" s="109">
        <f t="shared" si="16"/>
        <v>3.6814763089131869E-2</v>
      </c>
      <c r="AE28" s="109">
        <f t="shared" si="16"/>
        <v>5.1685448736716558E-2</v>
      </c>
      <c r="AF28" s="109">
        <f t="shared" si="16"/>
        <v>4.6130408118534728E-2</v>
      </c>
      <c r="AG28" s="109">
        <f t="shared" si="16"/>
        <v>1.4289648918622404E-2</v>
      </c>
      <c r="AH28" s="109">
        <f t="shared" si="16"/>
        <v>1.4678336816073998E-2</v>
      </c>
      <c r="AI28" s="109">
        <f t="shared" si="16"/>
        <v>1.5012776563706497E-2</v>
      </c>
      <c r="AJ28" s="109">
        <f t="shared" si="16"/>
        <v>1.5003291977229211E-2</v>
      </c>
      <c r="AK28" s="109">
        <f t="shared" si="16"/>
        <v>4.3094897173392696E-2</v>
      </c>
      <c r="AL28" s="109">
        <f t="shared" si="16"/>
        <v>1.6164240160384532E-2</v>
      </c>
      <c r="AM28" s="109">
        <f t="shared" si="16"/>
        <v>3.1891350975163123E-2</v>
      </c>
      <c r="AN28" s="109">
        <f t="shared" si="16"/>
        <v>2.5684932406368894E-2</v>
      </c>
      <c r="AO28" s="109">
        <f t="shared" si="16"/>
        <v>3.6749853055680584E-2</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571</v>
      </c>
      <c r="E29" s="108">
        <f>(E4-I4)/I4</f>
        <v>-0.24265716114672051</v>
      </c>
      <c r="F29" s="108">
        <f t="shared" ref="F29:BQ29" si="18">(F4-J4)/J4</f>
        <v>-2.0808786142214906E-2</v>
      </c>
      <c r="G29" s="108">
        <f t="shared" si="18"/>
        <v>-0.2292023855162475</v>
      </c>
      <c r="H29" s="108">
        <f t="shared" si="18"/>
        <v>0.77334306052469104</v>
      </c>
      <c r="I29" s="108">
        <f t="shared" si="18"/>
        <v>0.29851053980566805</v>
      </c>
      <c r="J29" s="108">
        <f t="shared" si="18"/>
        <v>-6.6982331783237634E-2</v>
      </c>
      <c r="K29" s="108">
        <f t="shared" si="18"/>
        <v>0.6114444877776023</v>
      </c>
      <c r="L29" s="108">
        <f t="shared" si="18"/>
        <v>-3.3166695782464235E-2</v>
      </c>
      <c r="M29" s="108">
        <f t="shared" si="18"/>
        <v>0.25634959660120427</v>
      </c>
      <c r="N29" s="108">
        <f t="shared" si="18"/>
        <v>0.29447012326831645</v>
      </c>
      <c r="O29" s="108">
        <f t="shared" si="18"/>
        <v>-7.2833822187304192E-2</v>
      </c>
      <c r="P29" s="108">
        <f t="shared" si="18"/>
        <v>0.10470222857421287</v>
      </c>
      <c r="Q29" s="108">
        <f t="shared" si="18"/>
        <v>-1.1849126294912459E-2</v>
      </c>
      <c r="R29" s="108">
        <f t="shared" si="18"/>
        <v>4.1689960770603773E-2</v>
      </c>
      <c r="S29" s="108">
        <f t="shared" si="18"/>
        <v>0.30121828832025505</v>
      </c>
      <c r="T29" s="108">
        <f t="shared" si="18"/>
        <v>0.47910106342873032</v>
      </c>
      <c r="U29" s="108">
        <f t="shared" si="18"/>
        <v>4.2872039978604102</v>
      </c>
      <c r="V29" s="108">
        <f t="shared" si="18"/>
        <v>1.2835284079281593</v>
      </c>
      <c r="W29" s="108">
        <f t="shared" si="18"/>
        <v>2.8065017773113294</v>
      </c>
      <c r="X29" s="108">
        <f t="shared" si="18"/>
        <v>1.2685146826718532</v>
      </c>
      <c r="Y29" s="108">
        <f t="shared" si="18"/>
        <v>-0.53225056249315861</v>
      </c>
      <c r="Z29" s="108">
        <f t="shared" si="18"/>
        <v>1.221048053540789</v>
      </c>
      <c r="AA29" s="108">
        <f t="shared" si="18"/>
        <v>2.5545856310152426</v>
      </c>
      <c r="AB29" s="108">
        <f t="shared" si="18"/>
        <v>2.0428800153802591</v>
      </c>
      <c r="AC29" s="108">
        <f t="shared" si="18"/>
        <v>-8.954890454103591</v>
      </c>
      <c r="AD29" s="108">
        <f t="shared" si="18"/>
        <v>-3.1592586305760384</v>
      </c>
      <c r="AE29" s="108">
        <f t="shared" si="18"/>
        <v>-2.3006513838275757</v>
      </c>
      <c r="AF29" s="108">
        <f t="shared" si="18"/>
        <v>0.99135567685498649</v>
      </c>
      <c r="AG29" s="108">
        <f t="shared" si="18"/>
        <v>4.9315919056455014E-2</v>
      </c>
      <c r="AH29" s="108">
        <f t="shared" si="18"/>
        <v>-6.859808931324082</v>
      </c>
      <c r="AI29" s="108">
        <f t="shared" si="18"/>
        <v>-1.396409928512955</v>
      </c>
      <c r="AJ29" s="108">
        <f t="shared" si="18"/>
        <v>-0.18939465033689384</v>
      </c>
      <c r="AK29" s="108">
        <f t="shared" si="18"/>
        <v>-1.6174151278980844</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555</v>
      </c>
      <c r="E30" s="108">
        <f>(E5-I5)/I5</f>
        <v>7.0616162086247686E-2</v>
      </c>
      <c r="F30" s="108">
        <f t="shared" ref="F30:BQ30" si="20">(F5-J5)/J5</f>
        <v>0.75528981124030869</v>
      </c>
      <c r="G30" s="108">
        <f t="shared" si="20"/>
        <v>0.48777142123003175</v>
      </c>
      <c r="H30" s="108">
        <f t="shared" si="20"/>
        <v>1.0823037382783236</v>
      </c>
      <c r="I30" s="108">
        <f t="shared" si="20"/>
        <v>0.93941811596550351</v>
      </c>
      <c r="J30" s="108">
        <f t="shared" si="20"/>
        <v>-3.6285935569629217E-2</v>
      </c>
      <c r="K30" s="108">
        <f t="shared" si="20"/>
        <v>0.23441450633130317</v>
      </c>
      <c r="L30" s="108">
        <f t="shared" si="20"/>
        <v>-1.0655292050817449E-2</v>
      </c>
      <c r="M30" s="108">
        <f t="shared" si="20"/>
        <v>2.6318910490945743E-2</v>
      </c>
      <c r="N30" s="108">
        <f t="shared" si="20"/>
        <v>0.18617531665879339</v>
      </c>
      <c r="O30" s="108">
        <f t="shared" si="20"/>
        <v>5.4564547850091363E-2</v>
      </c>
      <c r="P30" s="108">
        <f t="shared" si="20"/>
        <v>0.15659117524520247</v>
      </c>
      <c r="Q30" s="108">
        <f t="shared" si="20"/>
        <v>8.0450098022477295E-2</v>
      </c>
      <c r="R30" s="108">
        <f t="shared" si="20"/>
        <v>8.1116585488993795E-2</v>
      </c>
      <c r="S30" s="108">
        <f t="shared" si="20"/>
        <v>0.19444048213142451</v>
      </c>
      <c r="T30" s="108">
        <f t="shared" si="20"/>
        <v>0.31224841075210014</v>
      </c>
      <c r="U30" s="108">
        <f t="shared" si="20"/>
        <v>0.76609089105040518</v>
      </c>
      <c r="V30" s="108">
        <f t="shared" si="20"/>
        <v>0.51152883188305143</v>
      </c>
      <c r="W30" s="108">
        <f t="shared" si="20"/>
        <v>0.95817320904754943</v>
      </c>
      <c r="X30" s="108">
        <f t="shared" si="20"/>
        <v>0.66189020157050771</v>
      </c>
      <c r="Y30" s="108">
        <f t="shared" si="20"/>
        <v>3.8093829331108174E-3</v>
      </c>
      <c r="Z30" s="108">
        <f t="shared" si="20"/>
        <v>0.46905409410294679</v>
      </c>
      <c r="AA30" s="108">
        <f t="shared" si="20"/>
        <v>0.15169438634972329</v>
      </c>
      <c r="AB30" s="108">
        <f t="shared" si="20"/>
        <v>0.39171692670712932</v>
      </c>
      <c r="AC30" s="108">
        <f t="shared" si="20"/>
        <v>1.195381795637054</v>
      </c>
      <c r="AD30" s="108">
        <f t="shared" si="20"/>
        <v>0.83929048560178243</v>
      </c>
      <c r="AE30" s="108">
        <f t="shared" si="20"/>
        <v>0.73611704992695093</v>
      </c>
      <c r="AF30" s="108">
        <f t="shared" si="20"/>
        <v>0.45940488846100785</v>
      </c>
      <c r="AG30" s="108">
        <f t="shared" si="20"/>
        <v>0.37241922048749981</v>
      </c>
      <c r="AH30" s="108">
        <f t="shared" si="20"/>
        <v>0.32780089190486689</v>
      </c>
      <c r="AI30" s="108">
        <f t="shared" si="20"/>
        <v>0.15182466104966319</v>
      </c>
      <c r="AJ30" s="108">
        <f t="shared" si="20"/>
        <v>-3.4780334446559959E-2</v>
      </c>
      <c r="AK30" s="108">
        <f t="shared" si="20"/>
        <v>-6.6965160070172586E-2</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556</v>
      </c>
      <c r="E31" s="108">
        <f>(E6-I6)/I6</f>
        <v>0.23522589633929927</v>
      </c>
      <c r="F31" s="108">
        <f t="shared" ref="F31:BQ31" si="22">(F6-J6)/J6</f>
        <v>1.3992930003651294</v>
      </c>
      <c r="G31" s="108">
        <f t="shared" si="22"/>
        <v>1.2405145683200738</v>
      </c>
      <c r="H31" s="108">
        <f t="shared" si="22"/>
        <v>1.3635535393511948</v>
      </c>
      <c r="I31" s="108">
        <f t="shared" si="22"/>
        <v>1.6185263041363802</v>
      </c>
      <c r="J31" s="108">
        <f t="shared" si="22"/>
        <v>-9.2377527627931968E-3</v>
      </c>
      <c r="K31" s="108">
        <f t="shared" si="22"/>
        <v>-9.0140642973003879E-3</v>
      </c>
      <c r="L31" s="108">
        <f t="shared" si="22"/>
        <v>1.0768265368273309E-2</v>
      </c>
      <c r="M31" s="108">
        <f t="shared" si="22"/>
        <v>-0.14044192304099884</v>
      </c>
      <c r="N31" s="108">
        <f t="shared" si="22"/>
        <v>0.10473762671478096</v>
      </c>
      <c r="O31" s="108">
        <f t="shared" si="22"/>
        <v>0.1572293029366415</v>
      </c>
      <c r="P31" s="108">
        <f t="shared" si="22"/>
        <v>0.21071135770381041</v>
      </c>
      <c r="Q31" s="108">
        <f t="shared" si="22"/>
        <v>0.15892647773705965</v>
      </c>
      <c r="R31" s="108">
        <f t="shared" si="22"/>
        <v>0.11278904411396466</v>
      </c>
      <c r="S31" s="108">
        <f t="shared" si="22"/>
        <v>0.12035325841556926</v>
      </c>
      <c r="T31" s="108">
        <f t="shared" si="22"/>
        <v>0.17410601697575703</v>
      </c>
      <c r="U31" s="108">
        <f t="shared" si="22"/>
        <v>0.12760452562304525</v>
      </c>
      <c r="V31" s="108">
        <f t="shared" si="22"/>
        <v>0.18869838098885452</v>
      </c>
      <c r="W31" s="108">
        <f t="shared" si="22"/>
        <v>0.46469951711633362</v>
      </c>
      <c r="X31" s="108">
        <f t="shared" si="22"/>
        <v>0.3606467649329696</v>
      </c>
      <c r="Y31" s="108">
        <f t="shared" si="22"/>
        <v>0.26713615716717226</v>
      </c>
      <c r="Z31" s="108">
        <f t="shared" si="22"/>
        <v>0.28685601831692464</v>
      </c>
      <c r="AA31" s="108">
        <f t="shared" si="22"/>
        <v>-2.4384970922482162E-2</v>
      </c>
      <c r="AB31" s="108">
        <f t="shared" si="22"/>
        <v>9.6301691846085058E-2</v>
      </c>
      <c r="AC31" s="108">
        <f t="shared" si="22"/>
        <v>0.34951393701662314</v>
      </c>
      <c r="AD31" s="108">
        <f t="shared" si="22"/>
        <v>0.26964060721923594</v>
      </c>
      <c r="AE31" s="108">
        <f t="shared" si="22"/>
        <v>0.48247937753633441</v>
      </c>
      <c r="AF31" s="108">
        <f t="shared" si="22"/>
        <v>0.3928368462206257</v>
      </c>
      <c r="AG31" s="108">
        <f t="shared" si="22"/>
        <v>0.33808372997801239</v>
      </c>
      <c r="AH31" s="108">
        <f t="shared" si="22"/>
        <v>0.60895976663575602</v>
      </c>
      <c r="AI31" s="108">
        <f t="shared" si="22"/>
        <v>0.70946567862842369</v>
      </c>
      <c r="AJ31" s="108">
        <f t="shared" si="22"/>
        <v>-1.1178126627861549E-2</v>
      </c>
      <c r="AK31" s="108">
        <f t="shared" si="22"/>
        <v>0.27265454791617832</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558</v>
      </c>
      <c r="E32" s="109">
        <f>(E7-I7)/I7</f>
        <v>0.1865388222346076</v>
      </c>
      <c r="F32" s="109">
        <f t="shared" ref="F32:BQ32" si="24">(F7-J7)/J7</f>
        <v>5.9257681582212429</v>
      </c>
      <c r="G32" s="109">
        <f t="shared" si="24"/>
        <v>5.5786900633999954</v>
      </c>
      <c r="H32" s="109">
        <f t="shared" si="24"/>
        <v>5.3064067503235712</v>
      </c>
      <c r="I32" s="109">
        <f t="shared" si="24"/>
        <v>4.9240929860523739</v>
      </c>
      <c r="J32" s="109">
        <f t="shared" si="24"/>
        <v>9.6410013231293668E-3</v>
      </c>
      <c r="K32" s="109">
        <f t="shared" si="24"/>
        <v>-2.2287623351397751E-2</v>
      </c>
      <c r="L32" s="109">
        <f t="shared" si="24"/>
        <v>4.1834588050173156E-2</v>
      </c>
      <c r="M32" s="109">
        <f t="shared" si="24"/>
        <v>9.7160556487437211E-2</v>
      </c>
      <c r="N32" s="109">
        <f t="shared" si="24"/>
        <v>0.11673461081592534</v>
      </c>
      <c r="O32" s="109">
        <f t="shared" si="24"/>
        <v>0.17810889422016321</v>
      </c>
      <c r="P32" s="109">
        <f t="shared" si="24"/>
        <v>9.4571091695298773E-2</v>
      </c>
      <c r="Q32" s="109">
        <f t="shared" si="24"/>
        <v>0.10253018981420482</v>
      </c>
      <c r="R32" s="109">
        <f t="shared" si="24"/>
        <v>0.10759891395975629</v>
      </c>
      <c r="S32" s="109">
        <f t="shared" si="24"/>
        <v>0.13663939001835165</v>
      </c>
      <c r="T32" s="109">
        <f t="shared" si="24"/>
        <v>0.13695218331358849</v>
      </c>
      <c r="U32" s="109">
        <f t="shared" si="24"/>
        <v>0.12668619576348389</v>
      </c>
      <c r="V32" s="109">
        <f t="shared" si="24"/>
        <v>0.20799235977940508</v>
      </c>
      <c r="W32" s="109">
        <f t="shared" si="24"/>
        <v>0.95005768790079259</v>
      </c>
      <c r="X32" s="109">
        <f t="shared" si="24"/>
        <v>1.3349507809974739</v>
      </c>
      <c r="Y32" s="109">
        <f t="shared" si="24"/>
        <v>0.91823054941217752</v>
      </c>
      <c r="Z32" s="109">
        <f t="shared" si="24"/>
        <v>1.6846762098991104</v>
      </c>
      <c r="AA32" s="109">
        <f t="shared" si="24"/>
        <v>0.70278084618315961</v>
      </c>
      <c r="AB32" s="109">
        <f t="shared" si="24"/>
        <v>0.48069544342730802</v>
      </c>
      <c r="AC32" s="109">
        <f t="shared" si="24"/>
        <v>0.79000896965004797</v>
      </c>
      <c r="AD32" s="109">
        <f t="shared" si="24"/>
        <v>0.25572974821961852</v>
      </c>
      <c r="AE32" s="109">
        <f t="shared" si="24"/>
        <v>0.2456943770883481</v>
      </c>
      <c r="AF32" s="109">
        <f t="shared" si="24"/>
        <v>0.24583302238846774</v>
      </c>
      <c r="AG32" s="109">
        <f t="shared" si="24"/>
        <v>0.20581798291852249</v>
      </c>
      <c r="AH32" s="109">
        <f t="shared" si="24"/>
        <v>0.17753445746785973</v>
      </c>
      <c r="AI32" s="109">
        <f t="shared" si="24"/>
        <v>6.9851504528790451E-2</v>
      </c>
      <c r="AJ32" s="109">
        <f t="shared" si="24"/>
        <v>0.1036043660833325</v>
      </c>
      <c r="AK32" s="109">
        <f t="shared" si="24"/>
        <v>7.917675883126854E-2</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565</v>
      </c>
      <c r="E33" s="109">
        <f>E7/E9</f>
        <v>0.57100590383221406</v>
      </c>
      <c r="F33" s="109">
        <f t="shared" ref="F33:BQ33" si="26">F7/F9</f>
        <v>0.57818535909385105</v>
      </c>
      <c r="G33" s="109">
        <f t="shared" si="26"/>
        <v>0.58182426870232273</v>
      </c>
      <c r="H33" s="109">
        <f t="shared" si="26"/>
        <v>0.52610454842573251</v>
      </c>
      <c r="I33" s="109">
        <f t="shared" si="26"/>
        <v>0.60334008987231214</v>
      </c>
      <c r="J33" s="109">
        <f t="shared" si="26"/>
        <v>0.33117528407787583</v>
      </c>
      <c r="K33" s="109">
        <f t="shared" si="26"/>
        <v>0.28759486163630321</v>
      </c>
      <c r="L33" s="109">
        <f t="shared" si="26"/>
        <v>0.29031046848346082</v>
      </c>
      <c r="M33" s="109">
        <f t="shared" si="26"/>
        <v>0.30891134004392345</v>
      </c>
      <c r="N33" s="109">
        <f t="shared" si="26"/>
        <v>0.29129285746502481</v>
      </c>
      <c r="O33" s="109">
        <f t="shared" si="26"/>
        <v>0.32121747123253463</v>
      </c>
      <c r="P33" s="109">
        <f t="shared" si="26"/>
        <v>0.29854131786730709</v>
      </c>
      <c r="Q33" s="109">
        <f t="shared" si="26"/>
        <v>0.29708968639193939</v>
      </c>
      <c r="R33" s="109">
        <f t="shared" si="26"/>
        <v>0.30925208540050692</v>
      </c>
      <c r="S33" s="109">
        <f t="shared" si="26"/>
        <v>0.3022483566007842</v>
      </c>
      <c r="T33" s="109">
        <f t="shared" si="26"/>
        <v>0.29213618952106579</v>
      </c>
      <c r="U33" s="109">
        <f t="shared" si="26"/>
        <v>0.29274819964829807</v>
      </c>
      <c r="V33" s="109">
        <f t="shared" si="26"/>
        <v>0.28639690044987559</v>
      </c>
      <c r="W33" s="109">
        <f t="shared" si="26"/>
        <v>0.2955560985978018</v>
      </c>
      <c r="X33" s="109">
        <f t="shared" si="26"/>
        <v>0.27995429150464501</v>
      </c>
      <c r="Y33" s="109">
        <f t="shared" si="26"/>
        <v>0.28708778513335487</v>
      </c>
      <c r="Z33" s="109">
        <f t="shared" si="26"/>
        <v>0.27026911242623169</v>
      </c>
      <c r="AA33" s="109">
        <f t="shared" si="26"/>
        <v>0.17358168142153599</v>
      </c>
      <c r="AB33" s="109">
        <f t="shared" si="26"/>
        <v>0.13298297429062944</v>
      </c>
      <c r="AC33" s="109">
        <f t="shared" si="26"/>
        <v>0.14460317227760458</v>
      </c>
      <c r="AD33" s="109">
        <f t="shared" si="26"/>
        <v>0.1093190872226289</v>
      </c>
      <c r="AE33" s="109">
        <f t="shared" si="26"/>
        <v>0.14503581819164316</v>
      </c>
      <c r="AF33" s="109">
        <f t="shared" si="26"/>
        <v>0.13105570354070237</v>
      </c>
      <c r="AG33" s="109">
        <f t="shared" si="26"/>
        <v>0.13309151503496816</v>
      </c>
      <c r="AH33" s="109">
        <f t="shared" si="26"/>
        <v>0.12536674212057419</v>
      </c>
      <c r="AI33" s="109">
        <f t="shared" si="26"/>
        <v>0.12559478227700854</v>
      </c>
      <c r="AJ33" s="109">
        <f t="shared" si="26"/>
        <v>0.11801506335650988</v>
      </c>
      <c r="AK33" s="109">
        <f t="shared" si="26"/>
        <v>0.34210104138900466</v>
      </c>
      <c r="AL33" s="109">
        <f t="shared" si="26"/>
        <v>0.29722827304820276</v>
      </c>
      <c r="AM33" s="109">
        <f t="shared" si="26"/>
        <v>0.42033885808248722</v>
      </c>
      <c r="AN33" s="109">
        <f t="shared" si="26"/>
        <v>0.35277049240907704</v>
      </c>
      <c r="AO33" s="109">
        <f t="shared" si="26"/>
        <v>0.55409611865249342</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559</v>
      </c>
      <c r="E34" s="108">
        <f>(E10-I10)/I10</f>
        <v>-0.30270286310176447</v>
      </c>
      <c r="F34" s="108">
        <f t="shared" ref="F34:BQ34" si="28">(F10-J10)/J10</f>
        <v>58.273491669332678</v>
      </c>
      <c r="G34" s="108">
        <f t="shared" si="28"/>
        <v>1.138959351313892</v>
      </c>
      <c r="H34" s="108">
        <f t="shared" si="28"/>
        <v>1.5435641498012049</v>
      </c>
      <c r="I34" s="108">
        <f t="shared" si="28"/>
        <v>1.9136457864382779</v>
      </c>
      <c r="J34" s="108">
        <f t="shared" si="28"/>
        <v>-0.7375605058853647</v>
      </c>
      <c r="K34" s="108">
        <f t="shared" si="28"/>
        <v>4.5899587132705788</v>
      </c>
      <c r="L34" s="108">
        <f t="shared" si="28"/>
        <v>5.6257193590103256</v>
      </c>
      <c r="M34" s="108">
        <f t="shared" si="28"/>
        <v>4.3235396468625824</v>
      </c>
      <c r="N34" s="108">
        <f t="shared" si="28"/>
        <v>-0.30147984104446773</v>
      </c>
      <c r="O34" s="108">
        <f t="shared" si="28"/>
        <v>-0.22533521781170016</v>
      </c>
      <c r="P34" s="108">
        <f t="shared" si="28"/>
        <v>-0.29292385784711555</v>
      </c>
      <c r="Q34" s="108">
        <f t="shared" si="28"/>
        <v>-0.15892340198964927</v>
      </c>
      <c r="R34" s="108">
        <f t="shared" si="28"/>
        <v>-0.20554661043536179</v>
      </c>
      <c r="S34" s="108">
        <f t="shared" si="28"/>
        <v>-5.7145868360322156E-2</v>
      </c>
      <c r="T34" s="108">
        <f t="shared" si="28"/>
        <v>-0.18054194249121941</v>
      </c>
      <c r="U34" s="108">
        <f t="shared" si="28"/>
        <v>0.30000834592137565</v>
      </c>
      <c r="V34" s="108">
        <f t="shared" si="28"/>
        <v>0.54962318929720178</v>
      </c>
      <c r="W34" s="108">
        <f t="shared" si="28"/>
        <v>2.219974181845735</v>
      </c>
      <c r="X34" s="108">
        <f t="shared" si="28"/>
        <v>4.1639482984129161</v>
      </c>
      <c r="Y34" s="108">
        <f t="shared" si="28"/>
        <v>-0.46860551644211779</v>
      </c>
      <c r="Z34" s="108">
        <f t="shared" si="28"/>
        <v>14.123250063141022</v>
      </c>
      <c r="AA34" s="108">
        <f t="shared" si="28"/>
        <v>88.503676147331277</v>
      </c>
      <c r="AB34" s="108" t="e">
        <f t="shared" si="28"/>
        <v>#DIV/0!</v>
      </c>
      <c r="AC34" s="108" t="e">
        <f t="shared" si="28"/>
        <v>#DIV/0!</v>
      </c>
      <c r="AD34" s="108" t="e">
        <f t="shared" si="28"/>
        <v>#DIV/0!</v>
      </c>
      <c r="AE34" s="108" t="e">
        <f t="shared" si="28"/>
        <v>#DIV/0!</v>
      </c>
      <c r="AF34" s="108" t="e">
        <f t="shared" si="28"/>
        <v>#DIV/0!</v>
      </c>
      <c r="AG34" s="108">
        <f t="shared" si="28"/>
        <v>-1</v>
      </c>
      <c r="AH34" s="108">
        <f t="shared" si="28"/>
        <v>-1</v>
      </c>
      <c r="AI34" s="108">
        <f t="shared" si="28"/>
        <v>-1</v>
      </c>
      <c r="AJ34" s="108">
        <f t="shared" si="28"/>
        <v>-1</v>
      </c>
      <c r="AK34" s="108">
        <f t="shared" si="28"/>
        <v>-0.9958432045238943</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563</v>
      </c>
      <c r="E35" s="108">
        <f>E10/E12</f>
        <v>0.23689901910451064</v>
      </c>
      <c r="F35" s="108">
        <f t="shared" ref="F35:BQ35" si="30">F10/F12</f>
        <v>0.26769567743062078</v>
      </c>
      <c r="G35" s="108">
        <f t="shared" si="30"/>
        <v>0.27702067452750151</v>
      </c>
      <c r="H35" s="108">
        <f t="shared" si="30"/>
        <v>0.30330524238766704</v>
      </c>
      <c r="I35" s="108">
        <f t="shared" si="30"/>
        <v>0.34513426177374745</v>
      </c>
      <c r="J35" s="108">
        <f t="shared" si="30"/>
        <v>1</v>
      </c>
      <c r="K35" s="108">
        <f t="shared" si="30"/>
        <v>1</v>
      </c>
      <c r="L35" s="108">
        <f t="shared" si="30"/>
        <v>0.96504074540846241</v>
      </c>
      <c r="M35" s="108">
        <f t="shared" si="30"/>
        <v>0.96393796384782937</v>
      </c>
      <c r="N35" s="108">
        <f t="shared" si="30"/>
        <v>0.12735568571422262</v>
      </c>
      <c r="O35" s="108">
        <f t="shared" si="30"/>
        <v>0.15901833911878602</v>
      </c>
      <c r="P35" s="108">
        <f t="shared" si="30"/>
        <v>0.13603823793562039</v>
      </c>
      <c r="Q35" s="108">
        <f t="shared" si="30"/>
        <v>0.15696531557211893</v>
      </c>
      <c r="R35" s="108">
        <f t="shared" si="30"/>
        <v>0.16914309738825895</v>
      </c>
      <c r="S35" s="108">
        <f t="shared" si="30"/>
        <v>0.18136258910817271</v>
      </c>
      <c r="T35" s="108">
        <f t="shared" si="30"/>
        <v>0.16808432537122103</v>
      </c>
      <c r="U35" s="108">
        <f t="shared" si="30"/>
        <v>0.17088696872563675</v>
      </c>
      <c r="V35" s="108">
        <f t="shared" si="30"/>
        <v>0.2008134528284917</v>
      </c>
      <c r="W35" s="108">
        <f t="shared" si="30"/>
        <v>0.19829755787311745</v>
      </c>
      <c r="X35" s="108">
        <f t="shared" si="30"/>
        <v>0.20700452406712355</v>
      </c>
      <c r="Y35" s="108">
        <f t="shared" si="30"/>
        <v>0.14293327473573977</v>
      </c>
      <c r="Z35" s="108">
        <f t="shared" si="30"/>
        <v>0.14016890473216245</v>
      </c>
      <c r="AA35" s="108">
        <f t="shared" si="30"/>
        <v>7.182925391754251E-2</v>
      </c>
      <c r="AB35" s="108">
        <f t="shared" si="30"/>
        <v>4.823966466697887E-2</v>
      </c>
      <c r="AC35" s="108">
        <f t="shared" si="30"/>
        <v>0.23966690931488119</v>
      </c>
      <c r="AD35" s="108">
        <f t="shared" si="30"/>
        <v>1.0735907153073558E-2</v>
      </c>
      <c r="AE35" s="108">
        <f t="shared" si="30"/>
        <v>0.21912894592864288</v>
      </c>
      <c r="AF35" s="108">
        <f t="shared" si="30"/>
        <v>0</v>
      </c>
      <c r="AG35" s="108">
        <f t="shared" si="30"/>
        <v>0</v>
      </c>
      <c r="AH35" s="108">
        <f t="shared" si="30"/>
        <v>0</v>
      </c>
      <c r="AI35" s="108" t="e">
        <f t="shared" si="30"/>
        <v>#DIV/0!</v>
      </c>
      <c r="AJ35" s="108" t="e">
        <f t="shared" si="30"/>
        <v>#DIV/0!</v>
      </c>
      <c r="AK35" s="108">
        <f t="shared" si="30"/>
        <v>1</v>
      </c>
      <c r="AL35" s="108">
        <f t="shared" si="30"/>
        <v>1</v>
      </c>
      <c r="AM35" s="108">
        <f t="shared" si="30"/>
        <v>1</v>
      </c>
      <c r="AN35" s="108">
        <f t="shared" si="30"/>
        <v>1</v>
      </c>
      <c r="AO35" s="108">
        <f t="shared" si="30"/>
        <v>1</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560</v>
      </c>
      <c r="E36" s="108">
        <f>(E11-I11)/I11</f>
        <v>0.18378391954107132</v>
      </c>
      <c r="F36" s="108" t="e">
        <f t="shared" ref="F36:BQ36" si="32">(F11-J11)/J11</f>
        <v>#DIV/0!</v>
      </c>
      <c r="G36" s="108" t="e">
        <f t="shared" si="32"/>
        <v>#DIV/0!</v>
      </c>
      <c r="H36" s="108">
        <f t="shared" si="32"/>
        <v>160.28307957144943</v>
      </c>
      <c r="I36" s="108">
        <f t="shared" si="32"/>
        <v>146.77459873926892</v>
      </c>
      <c r="J36" s="108">
        <f t="shared" si="32"/>
        <v>-1</v>
      </c>
      <c r="K36" s="108">
        <f t="shared" si="32"/>
        <v>-1</v>
      </c>
      <c r="L36" s="108">
        <f t="shared" si="32"/>
        <v>-0.96220659452226565</v>
      </c>
      <c r="M36" s="108">
        <f t="shared" si="32"/>
        <v>-0.96291827686950637</v>
      </c>
      <c r="N36" s="108">
        <f t="shared" si="32"/>
        <v>-2.5625485848633056E-2</v>
      </c>
      <c r="O36" s="108">
        <f t="shared" si="32"/>
        <v>-9.2369159840866744E-2</v>
      </c>
      <c r="P36" s="108">
        <f t="shared" si="32"/>
        <v>-9.2706884538846179E-2</v>
      </c>
      <c r="Q36" s="108">
        <f t="shared" si="32"/>
        <v>-6.8951081763888283E-2</v>
      </c>
      <c r="R36" s="108">
        <f t="shared" si="32"/>
        <v>-1.9415522464142097E-2</v>
      </c>
      <c r="S36" s="108">
        <f t="shared" si="32"/>
        <v>5.2670731976106763E-2</v>
      </c>
      <c r="T36" s="108">
        <f t="shared" si="32"/>
        <v>5.8736654534484366E-2</v>
      </c>
      <c r="U36" s="108">
        <f t="shared" si="32"/>
        <v>5.1888349318958631E-2</v>
      </c>
      <c r="V36" s="108">
        <f t="shared" si="32"/>
        <v>5.3562928922160601E-3</v>
      </c>
      <c r="W36" s="108">
        <f t="shared" si="32"/>
        <v>7.4458437835534111E-3</v>
      </c>
      <c r="X36" s="108">
        <f t="shared" si="32"/>
        <v>2.650181288218291E-3</v>
      </c>
      <c r="Y36" s="108">
        <f t="shared" si="32"/>
        <v>4.3903132115706107E-3</v>
      </c>
      <c r="Z36" s="108">
        <f t="shared" si="32"/>
        <v>6.7765738548439041E-3</v>
      </c>
      <c r="AA36" s="108">
        <f t="shared" si="32"/>
        <v>323.5546377278618</v>
      </c>
      <c r="AB36" s="108">
        <f t="shared" si="32"/>
        <v>323.23547889200864</v>
      </c>
      <c r="AC36" s="108">
        <f t="shared" si="32"/>
        <v>322.56161612095036</v>
      </c>
      <c r="AD36" s="108">
        <f t="shared" si="32"/>
        <v>1869.2587116999998</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564</v>
      </c>
      <c r="B37" s="108"/>
      <c r="C37" s="108"/>
      <c r="D37" s="108"/>
      <c r="E37" s="108">
        <f>E11/E12</f>
        <v>0.76310098089548928</v>
      </c>
      <c r="F37" s="108">
        <f t="shared" ref="F37:BQ37" si="34">F11/F12</f>
        <v>0.73230432256937927</v>
      </c>
      <c r="G37" s="108">
        <f t="shared" si="34"/>
        <v>0.72297932547249844</v>
      </c>
      <c r="H37" s="108">
        <f t="shared" si="34"/>
        <v>0.6966947576123329</v>
      </c>
      <c r="I37" s="108">
        <f t="shared" si="34"/>
        <v>0.6548657382262526</v>
      </c>
      <c r="J37" s="108">
        <f t="shared" si="34"/>
        <v>0</v>
      </c>
      <c r="K37" s="108">
        <f t="shared" si="34"/>
        <v>0</v>
      </c>
      <c r="L37" s="108">
        <f t="shared" si="34"/>
        <v>3.495925459153755E-2</v>
      </c>
      <c r="M37" s="108">
        <f t="shared" si="34"/>
        <v>3.6062036152170629E-2</v>
      </c>
      <c r="N37" s="108">
        <f t="shared" si="34"/>
        <v>0.87264431428577738</v>
      </c>
      <c r="O37" s="110">
        <f t="shared" si="34"/>
        <v>0.84098166088121407</v>
      </c>
      <c r="P37" s="110">
        <f t="shared" si="34"/>
        <v>0.86396176206437958</v>
      </c>
      <c r="Q37" s="110">
        <f t="shared" si="34"/>
        <v>0.8430346844278811</v>
      </c>
      <c r="R37" s="110">
        <f t="shared" si="34"/>
        <v>0.83085690261174105</v>
      </c>
      <c r="S37" s="110">
        <f t="shared" si="34"/>
        <v>0.81863741089182729</v>
      </c>
      <c r="T37" s="110">
        <f t="shared" si="34"/>
        <v>0.83191567462877902</v>
      </c>
      <c r="U37" s="110">
        <f t="shared" si="34"/>
        <v>0.82911303127436331</v>
      </c>
      <c r="V37" s="110">
        <f t="shared" si="34"/>
        <v>0.79918654717150839</v>
      </c>
      <c r="W37" s="110">
        <f t="shared" si="34"/>
        <v>0.80170244212688258</v>
      </c>
      <c r="X37" s="110">
        <f t="shared" si="34"/>
        <v>0.79299547593287634</v>
      </c>
      <c r="Y37" s="110">
        <f t="shared" si="34"/>
        <v>0.8570667252642602</v>
      </c>
      <c r="Z37" s="110">
        <f t="shared" si="34"/>
        <v>0.85983109526783763</v>
      </c>
      <c r="AA37" s="110">
        <f t="shared" si="34"/>
        <v>0.92817074608245753</v>
      </c>
      <c r="AB37" s="110">
        <f t="shared" si="34"/>
        <v>0.95176033533302107</v>
      </c>
      <c r="AC37" s="110">
        <f t="shared" si="34"/>
        <v>0.7603330906851189</v>
      </c>
      <c r="AD37" s="110">
        <f t="shared" si="34"/>
        <v>0.9892640928469264</v>
      </c>
      <c r="AE37" s="110">
        <f t="shared" si="34"/>
        <v>0.78087105407135715</v>
      </c>
      <c r="AF37" s="110">
        <f t="shared" si="34"/>
        <v>1</v>
      </c>
      <c r="AG37" s="110">
        <f t="shared" si="34"/>
        <v>1</v>
      </c>
      <c r="AH37" s="110">
        <f t="shared" si="34"/>
        <v>1</v>
      </c>
      <c r="AI37" s="110" t="e">
        <f t="shared" si="34"/>
        <v>#DIV/0!</v>
      </c>
      <c r="AJ37" s="110" t="e">
        <f t="shared" si="34"/>
        <v>#DIV/0!</v>
      </c>
      <c r="AK37" s="110">
        <f t="shared" si="34"/>
        <v>0</v>
      </c>
      <c r="AL37" s="110">
        <f t="shared" si="34"/>
        <v>0</v>
      </c>
      <c r="AM37" s="110">
        <f t="shared" si="34"/>
        <v>0</v>
      </c>
      <c r="AN37" s="110">
        <f t="shared" si="34"/>
        <v>0</v>
      </c>
      <c r="AO37" s="110">
        <f t="shared" si="34"/>
        <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0.27298420525697942</v>
      </c>
      <c r="F39" s="224">
        <f t="shared" ref="F39:U39" si="37">F2/F9</f>
        <v>0.29491980668373596</v>
      </c>
      <c r="G39" s="224">
        <f t="shared" si="37"/>
        <v>0.28776374730235899</v>
      </c>
      <c r="H39" s="224">
        <f t="shared" si="37"/>
        <v>0.27462832022492745</v>
      </c>
      <c r="I39" s="224">
        <f t="shared" si="37"/>
        <v>0.19977978956164158</v>
      </c>
      <c r="J39" s="224">
        <f t="shared" si="37"/>
        <v>0.23897129363771316</v>
      </c>
      <c r="K39" s="224">
        <f t="shared" si="37"/>
        <v>0.25060033202551746</v>
      </c>
      <c r="L39" s="224">
        <f t="shared" si="37"/>
        <v>0.35291469197995784</v>
      </c>
      <c r="M39" s="224">
        <f t="shared" si="37"/>
        <v>0.27261010522746132</v>
      </c>
      <c r="N39" s="224">
        <f t="shared" si="37"/>
        <v>0.30039906263146882</v>
      </c>
      <c r="O39" s="224">
        <f t="shared" si="37"/>
        <v>0.36166406504156995</v>
      </c>
      <c r="P39" s="224">
        <f t="shared" si="37"/>
        <v>0.30658930242814814</v>
      </c>
      <c r="Q39" s="224">
        <f t="shared" si="37"/>
        <v>0.34887521815261757</v>
      </c>
      <c r="R39" s="224">
        <f t="shared" si="37"/>
        <v>0.31494368461785865</v>
      </c>
      <c r="S39" s="224">
        <f t="shared" si="37"/>
        <v>0.26031385340527274</v>
      </c>
      <c r="T39" s="224">
        <f t="shared" si="37"/>
        <v>0.26846618311797399</v>
      </c>
      <c r="U39" s="224">
        <f t="shared" si="37"/>
        <v>0.26096326616206239</v>
      </c>
    </row>
    <row r="40" spans="1:89" s="225" customFormat="1" x14ac:dyDescent="0.25">
      <c r="A40" s="222" t="s">
        <v>552</v>
      </c>
      <c r="B40" s="223"/>
      <c r="C40" s="223"/>
      <c r="D40" s="223"/>
      <c r="E40" s="224">
        <f>E3/E9</f>
        <v>5.0870002025027811E-2</v>
      </c>
      <c r="F40" s="224">
        <f t="shared" ref="F40:U40" si="38">F3/F9</f>
        <v>2.4123198902901904E-2</v>
      </c>
      <c r="G40" s="224">
        <f t="shared" si="38"/>
        <v>2.3644305611544618E-2</v>
      </c>
      <c r="H40" s="224">
        <f t="shared" si="38"/>
        <v>2.3424755650853033E-2</v>
      </c>
      <c r="I40" s="224">
        <f t="shared" si="38"/>
        <v>2.2828316986900386E-2</v>
      </c>
      <c r="J40" s="224">
        <f t="shared" si="38"/>
        <v>1.349770192577074E-2</v>
      </c>
      <c r="K40" s="224">
        <f t="shared" si="38"/>
        <v>1.1373929297599112E-2</v>
      </c>
      <c r="L40" s="224">
        <f t="shared" si="38"/>
        <v>1.1707860817895353E-2</v>
      </c>
      <c r="M40" s="224">
        <f t="shared" si="38"/>
        <v>1.1916742716917653E-2</v>
      </c>
      <c r="N40" s="224">
        <f t="shared" si="38"/>
        <v>1.2017667775874768E-2</v>
      </c>
      <c r="O40" s="224">
        <f t="shared" si="38"/>
        <v>1.1878106012264487E-2</v>
      </c>
      <c r="P40" s="224">
        <f t="shared" si="38"/>
        <v>1.249188809472709E-2</v>
      </c>
      <c r="Q40" s="224">
        <f t="shared" si="38"/>
        <v>1.2574975403891377E-2</v>
      </c>
      <c r="R40" s="224">
        <f t="shared" si="38"/>
        <v>1.2847953126556004E-2</v>
      </c>
      <c r="S40" s="224">
        <f t="shared" si="38"/>
        <v>7.2486756914416209E-2</v>
      </c>
      <c r="T40" s="224">
        <f t="shared" si="38"/>
        <v>6.8655465225167411E-2</v>
      </c>
      <c r="U40" s="224">
        <f t="shared" si="38"/>
        <v>7.0871583720698253E-2</v>
      </c>
    </row>
    <row r="41" spans="1:89" x14ac:dyDescent="0.25">
      <c r="A41" s="184" t="s">
        <v>557</v>
      </c>
      <c r="B41" s="64"/>
      <c r="C41" s="64"/>
      <c r="D41" s="64"/>
      <c r="E41" s="90">
        <f>E4/E9</f>
        <v>0.10513988888577873</v>
      </c>
      <c r="F41" s="90">
        <f t="shared" ref="F41:U41" si="39">F4/F9</f>
        <v>0.10277163531951103</v>
      </c>
      <c r="G41" s="90">
        <f t="shared" si="39"/>
        <v>0.10676767838377359</v>
      </c>
      <c r="H41" s="90">
        <f t="shared" si="39"/>
        <v>0.17584237569848707</v>
      </c>
      <c r="I41" s="90">
        <f t="shared" si="39"/>
        <v>0.17405180357914596</v>
      </c>
      <c r="J41" s="90">
        <f t="shared" si="39"/>
        <v>0.41635572035864027</v>
      </c>
      <c r="K41" s="90">
        <f t="shared" si="39"/>
        <v>0.45043087704058016</v>
      </c>
      <c r="L41" s="90">
        <f t="shared" si="39"/>
        <v>0.34506697871868591</v>
      </c>
      <c r="M41" s="90">
        <f t="shared" si="39"/>
        <v>0.40656181201169755</v>
      </c>
      <c r="N41" s="214">
        <f t="shared" si="39"/>
        <v>0.39629041212763161</v>
      </c>
      <c r="O41" s="214">
        <f t="shared" si="39"/>
        <v>0.30524035771363106</v>
      </c>
      <c r="P41" s="214">
        <f t="shared" si="39"/>
        <v>0.3823774916098176</v>
      </c>
      <c r="Q41" s="214">
        <f t="shared" si="39"/>
        <v>0.34146012005155163</v>
      </c>
      <c r="R41" s="214">
        <f t="shared" si="39"/>
        <v>0.36295627685507831</v>
      </c>
      <c r="S41" s="214">
        <f t="shared" si="39"/>
        <v>0.36495103307952687</v>
      </c>
      <c r="T41" s="214">
        <f t="shared" si="39"/>
        <v>0.37074216213579281</v>
      </c>
      <c r="U41" s="214">
        <f t="shared" si="39"/>
        <v>0.3754169504689413</v>
      </c>
    </row>
    <row r="42" spans="1:89" x14ac:dyDescent="0.25">
      <c r="A42" s="184" t="s">
        <v>334</v>
      </c>
      <c r="B42" s="64"/>
      <c r="C42" s="64"/>
      <c r="D42" s="64"/>
      <c r="E42" s="90">
        <f>E5/E9</f>
        <v>0.43149414346161563</v>
      </c>
      <c r="F42" s="90">
        <f t="shared" ref="F42:U42" si="40">F5/F9</f>
        <v>0.40624314610775919</v>
      </c>
      <c r="G42" s="90">
        <f t="shared" si="40"/>
        <v>0.40236717417699175</v>
      </c>
      <c r="H42" s="90">
        <f t="shared" si="40"/>
        <v>0.43330086252189531</v>
      </c>
      <c r="I42" s="90">
        <f t="shared" si="40"/>
        <v>0.50529458924642223</v>
      </c>
      <c r="J42" s="90">
        <f t="shared" si="40"/>
        <v>0.91811269305571386</v>
      </c>
      <c r="K42" s="90">
        <f t="shared" si="40"/>
        <v>0.87945788557104709</v>
      </c>
      <c r="L42" s="90">
        <f t="shared" si="40"/>
        <v>0.72413258946271086</v>
      </c>
      <c r="M42" s="90">
        <f t="shared" si="40"/>
        <v>0.79025405727439746</v>
      </c>
      <c r="N42" s="214">
        <f t="shared" si="40"/>
        <v>0.84603180855332816</v>
      </c>
      <c r="O42" s="214">
        <f t="shared" si="40"/>
        <v>0.77800641844450402</v>
      </c>
      <c r="P42" s="214">
        <f t="shared" si="40"/>
        <v>0.78417136380083086</v>
      </c>
      <c r="Q42" s="214">
        <f t="shared" si="40"/>
        <v>0.81247183204148588</v>
      </c>
      <c r="R42" s="214">
        <f t="shared" si="40"/>
        <v>0.84561092775143698</v>
      </c>
      <c r="S42" s="214">
        <f t="shared" si="40"/>
        <v>0.81782472589259658</v>
      </c>
      <c r="T42" s="214">
        <f t="shared" si="40"/>
        <v>0.72619957942119551</v>
      </c>
      <c r="U42" s="214">
        <f t="shared" si="40"/>
        <v>0.81695991473293206</v>
      </c>
    </row>
    <row r="43" spans="1:89" x14ac:dyDescent="0.25">
      <c r="A43" s="184" t="s">
        <v>335</v>
      </c>
      <c r="B43" s="64"/>
      <c r="C43" s="64"/>
      <c r="D43" s="64"/>
      <c r="E43" s="90">
        <f>E6/E9</f>
        <v>0.32635425457583689</v>
      </c>
      <c r="F43" s="90">
        <f t="shared" ref="F43:U43" si="41">F6/F9</f>
        <v>0.30347151078824819</v>
      </c>
      <c r="G43" s="90">
        <f t="shared" si="41"/>
        <v>0.2955994957932182</v>
      </c>
      <c r="H43" s="90">
        <f t="shared" si="41"/>
        <v>0.25745848682340827</v>
      </c>
      <c r="I43" s="90">
        <f t="shared" si="41"/>
        <v>0.33124278566727627</v>
      </c>
      <c r="J43" s="90">
        <f t="shared" si="41"/>
        <v>0.50175697269707364</v>
      </c>
      <c r="K43" s="90">
        <f t="shared" si="41"/>
        <v>0.42902700853046694</v>
      </c>
      <c r="L43" s="90">
        <f t="shared" si="41"/>
        <v>0.37906561074402489</v>
      </c>
      <c r="M43" s="90">
        <f t="shared" si="41"/>
        <v>0.3836922452626999</v>
      </c>
      <c r="N43" s="214">
        <f t="shared" si="41"/>
        <v>0.44974139642569649</v>
      </c>
      <c r="O43" s="214">
        <f t="shared" si="41"/>
        <v>0.47276606073087302</v>
      </c>
      <c r="P43" s="214">
        <f t="shared" si="41"/>
        <v>0.40179387219101326</v>
      </c>
      <c r="Q43" s="214">
        <f t="shared" si="41"/>
        <v>0.4710117119899343</v>
      </c>
      <c r="R43" s="214">
        <f t="shared" si="41"/>
        <v>0.48265465089635873</v>
      </c>
      <c r="S43" s="214">
        <f t="shared" si="41"/>
        <v>0.45287369281306972</v>
      </c>
      <c r="T43" s="214">
        <f t="shared" si="41"/>
        <v>0.3554574172854027</v>
      </c>
      <c r="U43" s="214">
        <f t="shared" si="41"/>
        <v>0.44154296426399081</v>
      </c>
    </row>
    <row r="44" spans="1:89" x14ac:dyDescent="0.25">
      <c r="A44" s="184" t="s">
        <v>336</v>
      </c>
      <c r="B44" s="64"/>
      <c r="C44" s="64"/>
      <c r="D44" s="64"/>
      <c r="E44" s="90">
        <f>E7/E9</f>
        <v>0.57100590383221406</v>
      </c>
      <c r="F44" s="90">
        <f t="shared" ref="F44:U44" si="42">F7/F9</f>
        <v>0.57818535909385105</v>
      </c>
      <c r="G44" s="90">
        <f t="shared" si="42"/>
        <v>0.58182426870232273</v>
      </c>
      <c r="H44" s="90">
        <f t="shared" si="42"/>
        <v>0.52610454842573251</v>
      </c>
      <c r="I44" s="90">
        <f t="shared" si="42"/>
        <v>0.60334008987231214</v>
      </c>
      <c r="J44" s="90">
        <f t="shared" si="42"/>
        <v>0.33117528407787583</v>
      </c>
      <c r="K44" s="90">
        <f t="shared" si="42"/>
        <v>0.28759486163630321</v>
      </c>
      <c r="L44" s="90">
        <f t="shared" si="42"/>
        <v>0.29031046848346082</v>
      </c>
      <c r="M44" s="90">
        <f t="shared" si="42"/>
        <v>0.30891134004392345</v>
      </c>
      <c r="N44" s="214">
        <f t="shared" si="42"/>
        <v>0.29129285746502481</v>
      </c>
      <c r="O44" s="214">
        <f t="shared" si="42"/>
        <v>0.32121747123253463</v>
      </c>
      <c r="P44" s="214">
        <f t="shared" si="42"/>
        <v>0.29854131786730709</v>
      </c>
      <c r="Q44" s="214">
        <f t="shared" si="42"/>
        <v>0.29708968639193939</v>
      </c>
      <c r="R44" s="214">
        <f t="shared" si="42"/>
        <v>0.30925208540050692</v>
      </c>
      <c r="S44" s="214">
        <f t="shared" si="42"/>
        <v>0.3022483566007842</v>
      </c>
      <c r="T44" s="214">
        <f t="shared" si="42"/>
        <v>0.29213618952106579</v>
      </c>
      <c r="U44" s="214">
        <f t="shared" si="42"/>
        <v>0.29274819964829807</v>
      </c>
    </row>
    <row r="45" spans="1:89" s="225" customFormat="1" x14ac:dyDescent="0.25">
      <c r="A45" s="222" t="s">
        <v>337</v>
      </c>
      <c r="B45" s="223"/>
      <c r="C45" s="223"/>
      <c r="D45" s="223"/>
      <c r="E45" s="224">
        <f>E8/E9</f>
        <v>0.6761457927179928</v>
      </c>
      <c r="F45" s="224">
        <f t="shared" ref="F45:U45" si="43">F8/F9</f>
        <v>0.6809569944133621</v>
      </c>
      <c r="G45" s="224">
        <f t="shared" si="43"/>
        <v>0.68859194708609639</v>
      </c>
      <c r="H45" s="224">
        <f t="shared" si="43"/>
        <v>0.70194692412421955</v>
      </c>
      <c r="I45" s="224">
        <f t="shared" si="43"/>
        <v>0.77739189345145809</v>
      </c>
      <c r="J45" s="224">
        <f t="shared" si="43"/>
        <v>0.7475310044365161</v>
      </c>
      <c r="K45" s="224">
        <f t="shared" si="43"/>
        <v>0.73802573867688337</v>
      </c>
      <c r="L45" s="224">
        <f t="shared" si="43"/>
        <v>0.63537744720214673</v>
      </c>
      <c r="M45" s="224">
        <f t="shared" si="43"/>
        <v>0.71547315205562101</v>
      </c>
      <c r="N45" s="224">
        <f t="shared" si="43"/>
        <v>0.68758326959265637</v>
      </c>
      <c r="O45" s="224">
        <f t="shared" si="43"/>
        <v>0.62645782894616564</v>
      </c>
      <c r="P45" s="224">
        <f t="shared" si="43"/>
        <v>0.68091880947712469</v>
      </c>
      <c r="Q45" s="224">
        <f t="shared" si="43"/>
        <v>0.63854980644349102</v>
      </c>
      <c r="R45" s="224">
        <f t="shared" si="43"/>
        <v>0.67220836225558533</v>
      </c>
      <c r="S45" s="224">
        <f t="shared" si="43"/>
        <v>0.66719938968031112</v>
      </c>
      <c r="T45" s="224">
        <f t="shared" si="43"/>
        <v>0.6628783516568586</v>
      </c>
      <c r="U45" s="224">
        <f t="shared" si="43"/>
        <v>0.66816515011723943</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8.9156704132682479E-2</v>
      </c>
      <c r="F47" s="90">
        <f t="shared" ref="F47:U47" si="45">F10/F14</f>
        <v>0.10173683778495798</v>
      </c>
      <c r="G47" s="90">
        <f t="shared" si="45"/>
        <v>0.1058478187847445</v>
      </c>
      <c r="H47" s="90">
        <f t="shared" si="45"/>
        <v>0.12145421389127645</v>
      </c>
      <c r="I47" s="90">
        <f t="shared" si="45"/>
        <v>0.16030226580402437</v>
      </c>
      <c r="J47" s="90">
        <f t="shared" si="45"/>
        <v>6.8088928522880496E-3</v>
      </c>
      <c r="K47" s="90">
        <f t="shared" si="45"/>
        <v>0.16091928637145098</v>
      </c>
      <c r="L47" s="90">
        <f t="shared" si="45"/>
        <v>0.16616613207356801</v>
      </c>
      <c r="M47" s="90">
        <f t="shared" si="45"/>
        <v>0.16687698405636842</v>
      </c>
      <c r="N47" s="214">
        <f t="shared" si="45"/>
        <v>2.3040197907882184E-2</v>
      </c>
      <c r="O47" s="214">
        <f t="shared" si="45"/>
        <v>3.1436098940165129E-2</v>
      </c>
      <c r="P47" s="214">
        <f t="shared" si="45"/>
        <v>2.6868906648422487E-2</v>
      </c>
      <c r="Q47" s="214">
        <f t="shared" si="45"/>
        <v>3.3076523693983721E-2</v>
      </c>
      <c r="R47" s="214">
        <f t="shared" si="45"/>
        <v>3.9105697685483241E-2</v>
      </c>
      <c r="S47" s="214">
        <f t="shared" si="45"/>
        <v>4.4984723824892998E-2</v>
      </c>
      <c r="T47" s="214">
        <f t="shared" si="45"/>
        <v>4.0701339222010913E-2</v>
      </c>
      <c r="U47" s="214">
        <f t="shared" si="45"/>
        <v>4.2724939644214407E-2</v>
      </c>
    </row>
    <row r="48" spans="1:89" x14ac:dyDescent="0.25">
      <c r="A48" s="184" t="s">
        <v>340</v>
      </c>
      <c r="B48" s="64"/>
      <c r="C48" s="64"/>
      <c r="D48" s="64"/>
      <c r="E48" s="90">
        <f>E11/E14</f>
        <v>0.28719227557056404</v>
      </c>
      <c r="F48" s="90">
        <f t="shared" ref="F48:U48" si="46">F11/F14</f>
        <v>0.27830978366758796</v>
      </c>
      <c r="G48" s="90">
        <f t="shared" si="46"/>
        <v>0.27624575226472003</v>
      </c>
      <c r="H48" s="90">
        <f t="shared" si="46"/>
        <v>0.27898137678684559</v>
      </c>
      <c r="I48" s="90">
        <f t="shared" si="46"/>
        <v>0.30416123017050867</v>
      </c>
      <c r="J48" s="90">
        <f t="shared" si="46"/>
        <v>0</v>
      </c>
      <c r="K48" s="90">
        <f t="shared" si="46"/>
        <v>0</v>
      </c>
      <c r="L48" s="90">
        <f t="shared" si="46"/>
        <v>6.0194806730074239E-3</v>
      </c>
      <c r="M48" s="90">
        <f t="shared" si="46"/>
        <v>6.2430613355902321E-3</v>
      </c>
      <c r="N48" s="214">
        <f t="shared" si="46"/>
        <v>0.15787200698246565</v>
      </c>
      <c r="O48" s="214">
        <f t="shared" si="46"/>
        <v>0.16625241368278776</v>
      </c>
      <c r="P48" s="214">
        <f t="shared" si="46"/>
        <v>0.17064105125869256</v>
      </c>
      <c r="Q48" s="214">
        <f t="shared" si="46"/>
        <v>0.17764852453354307</v>
      </c>
      <c r="R48" s="214">
        <f t="shared" si="46"/>
        <v>0.19209320010765696</v>
      </c>
      <c r="S48" s="214">
        <f t="shared" si="46"/>
        <v>0.20305277964315743</v>
      </c>
      <c r="T48" s="214">
        <f t="shared" si="46"/>
        <v>0.20144699395611476</v>
      </c>
      <c r="U48" s="214">
        <f t="shared" si="46"/>
        <v>0.20729377133667001</v>
      </c>
    </row>
    <row r="49" spans="1:21" x14ac:dyDescent="0.25">
      <c r="A49" s="184" t="s">
        <v>341</v>
      </c>
      <c r="B49" s="64"/>
      <c r="C49" s="64"/>
      <c r="D49" s="64"/>
      <c r="E49" s="90">
        <f>E12/E14</f>
        <v>0.37634897970324654</v>
      </c>
      <c r="F49" s="90">
        <f t="shared" ref="F49:U49" si="47">F12/F14</f>
        <v>0.38004662145254597</v>
      </c>
      <c r="G49" s="90">
        <f t="shared" si="47"/>
        <v>0.38209357104946456</v>
      </c>
      <c r="H49" s="90">
        <f t="shared" si="47"/>
        <v>0.40043559067812207</v>
      </c>
      <c r="I49" s="90">
        <f t="shared" si="47"/>
        <v>0.46446349597453301</v>
      </c>
      <c r="J49" s="90">
        <f t="shared" si="47"/>
        <v>6.8088928522880496E-3</v>
      </c>
      <c r="K49" s="90">
        <f t="shared" si="47"/>
        <v>0.16091928637145098</v>
      </c>
      <c r="L49" s="90">
        <f t="shared" si="47"/>
        <v>0.17218561274657546</v>
      </c>
      <c r="M49" s="90">
        <f t="shared" si="47"/>
        <v>0.17312004539195863</v>
      </c>
      <c r="N49" s="214">
        <f t="shared" si="47"/>
        <v>0.18091220489034784</v>
      </c>
      <c r="O49" s="214">
        <f t="shared" si="47"/>
        <v>0.19768851262295287</v>
      </c>
      <c r="P49" s="214">
        <f t="shared" si="47"/>
        <v>0.19750995790711506</v>
      </c>
      <c r="Q49" s="214">
        <f t="shared" si="47"/>
        <v>0.21072504822752677</v>
      </c>
      <c r="R49" s="214">
        <f t="shared" si="47"/>
        <v>0.23119889779314021</v>
      </c>
      <c r="S49" s="214">
        <f t="shared" si="47"/>
        <v>0.24803750346805042</v>
      </c>
      <c r="T49" s="214">
        <f t="shared" si="47"/>
        <v>0.24214833317812567</v>
      </c>
      <c r="U49" s="214">
        <f t="shared" si="47"/>
        <v>0.25001871098088441</v>
      </c>
    </row>
    <row r="50" spans="1:21" x14ac:dyDescent="0.25">
      <c r="A50" s="184" t="s">
        <v>345</v>
      </c>
      <c r="B50" s="64"/>
      <c r="C50" s="64"/>
      <c r="D50" s="64"/>
      <c r="E50" s="90">
        <f>E13/E14</f>
        <v>0.62365102029675346</v>
      </c>
      <c r="F50" s="90">
        <f t="shared" ref="F50:U50" si="48">F13/F14</f>
        <v>0.61995337854745403</v>
      </c>
      <c r="G50" s="90">
        <f t="shared" si="48"/>
        <v>0.61790642895053538</v>
      </c>
      <c r="H50" s="90">
        <f t="shared" si="48"/>
        <v>0.59956440932187793</v>
      </c>
      <c r="I50" s="90">
        <f t="shared" si="48"/>
        <v>0.53553650402546693</v>
      </c>
      <c r="J50" s="90">
        <f t="shared" si="48"/>
        <v>0.99319110714771197</v>
      </c>
      <c r="K50" s="90">
        <f t="shared" si="48"/>
        <v>0.83908071362854908</v>
      </c>
      <c r="L50" s="90">
        <f t="shared" si="48"/>
        <v>0.8278143872534246</v>
      </c>
      <c r="M50" s="90">
        <f t="shared" si="48"/>
        <v>0.82687995460804142</v>
      </c>
      <c r="N50" s="214">
        <f t="shared" si="48"/>
        <v>0.81908779510965224</v>
      </c>
      <c r="O50" s="214">
        <f t="shared" si="48"/>
        <v>0.80231148737704705</v>
      </c>
      <c r="P50" s="214">
        <f t="shared" si="48"/>
        <v>0.80249004209288499</v>
      </c>
      <c r="Q50" s="214">
        <f t="shared" si="48"/>
        <v>0.7892749517724732</v>
      </c>
      <c r="R50" s="214">
        <f t="shared" si="48"/>
        <v>0.76880110220685982</v>
      </c>
      <c r="S50" s="214">
        <f t="shared" si="48"/>
        <v>0.75196249653194958</v>
      </c>
      <c r="T50" s="214">
        <f t="shared" si="48"/>
        <v>0.75785166682187433</v>
      </c>
      <c r="U50" s="214">
        <f t="shared" si="48"/>
        <v>0.74998128901911554</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640</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644</v>
      </c>
      <c r="B55" s="64"/>
      <c r="C55" s="64"/>
      <c r="D55" s="64"/>
      <c r="E55" s="214">
        <f>E2/E9</f>
        <v>0.27298420525697942</v>
      </c>
      <c r="F55" s="214">
        <f t="shared" ref="F55:U55" si="51">F2/F9</f>
        <v>0.29491980668373596</v>
      </c>
      <c r="G55" s="214">
        <f t="shared" si="51"/>
        <v>0.28776374730235899</v>
      </c>
      <c r="H55" s="214">
        <f t="shared" si="51"/>
        <v>0.27462832022492745</v>
      </c>
      <c r="I55" s="214">
        <f t="shared" si="51"/>
        <v>0.19977978956164158</v>
      </c>
      <c r="J55" s="214">
        <f t="shared" si="51"/>
        <v>0.23897129363771316</v>
      </c>
      <c r="K55" s="214">
        <f t="shared" si="51"/>
        <v>0.25060033202551746</v>
      </c>
      <c r="L55" s="214">
        <f t="shared" si="51"/>
        <v>0.35291469197995784</v>
      </c>
      <c r="M55" s="214">
        <f t="shared" si="51"/>
        <v>0.27261010522746132</v>
      </c>
      <c r="N55" s="214">
        <f t="shared" si="51"/>
        <v>0.30039906263146882</v>
      </c>
      <c r="O55" s="214">
        <f t="shared" si="51"/>
        <v>0.36166406504156995</v>
      </c>
      <c r="P55" s="214">
        <f t="shared" si="51"/>
        <v>0.30658930242814814</v>
      </c>
      <c r="Q55" s="214">
        <f t="shared" si="51"/>
        <v>0.34887521815261757</v>
      </c>
      <c r="R55" s="214">
        <f t="shared" si="51"/>
        <v>0.31494368461785865</v>
      </c>
      <c r="S55" s="214">
        <f t="shared" si="51"/>
        <v>0.26031385340527274</v>
      </c>
      <c r="T55" s="214">
        <f t="shared" si="51"/>
        <v>0.26846618311797399</v>
      </c>
      <c r="U55" s="214">
        <f t="shared" si="51"/>
        <v>0.26096326616206239</v>
      </c>
    </row>
    <row r="56" spans="1:21" x14ac:dyDescent="0.25">
      <c r="A56" s="184" t="s">
        <v>645</v>
      </c>
      <c r="B56" s="64"/>
      <c r="C56" s="64"/>
      <c r="D56" s="64"/>
      <c r="E56" s="214">
        <f>E4/E9</f>
        <v>0.10513988888577873</v>
      </c>
      <c r="F56" s="214">
        <f t="shared" ref="F56:U56" si="52">F4/F9</f>
        <v>0.10277163531951103</v>
      </c>
      <c r="G56" s="214">
        <f t="shared" si="52"/>
        <v>0.10676767838377359</v>
      </c>
      <c r="H56" s="214">
        <f t="shared" si="52"/>
        <v>0.17584237569848707</v>
      </c>
      <c r="I56" s="214">
        <f t="shared" si="52"/>
        <v>0.17405180357914596</v>
      </c>
      <c r="J56" s="214">
        <f t="shared" si="52"/>
        <v>0.41635572035864027</v>
      </c>
      <c r="K56" s="214">
        <f t="shared" si="52"/>
        <v>0.45043087704058016</v>
      </c>
      <c r="L56" s="214">
        <f t="shared" si="52"/>
        <v>0.34506697871868591</v>
      </c>
      <c r="M56" s="214">
        <f t="shared" si="52"/>
        <v>0.40656181201169755</v>
      </c>
      <c r="N56" s="214">
        <f t="shared" si="52"/>
        <v>0.39629041212763161</v>
      </c>
      <c r="O56" s="214">
        <f t="shared" si="52"/>
        <v>0.30524035771363106</v>
      </c>
      <c r="P56" s="214">
        <f t="shared" si="52"/>
        <v>0.3823774916098176</v>
      </c>
      <c r="Q56" s="214">
        <f t="shared" si="52"/>
        <v>0.34146012005155163</v>
      </c>
      <c r="R56" s="214">
        <f t="shared" si="52"/>
        <v>0.36295627685507831</v>
      </c>
      <c r="S56" s="214">
        <f t="shared" si="52"/>
        <v>0.36495103307952687</v>
      </c>
      <c r="T56" s="214">
        <f t="shared" si="52"/>
        <v>0.37074216213579281</v>
      </c>
      <c r="U56" s="214">
        <f t="shared" si="52"/>
        <v>0.3754169504689413</v>
      </c>
    </row>
    <row r="57" spans="1:21" x14ac:dyDescent="0.25">
      <c r="A57" s="184" t="s">
        <v>646</v>
      </c>
      <c r="B57" s="64"/>
      <c r="C57" s="64"/>
      <c r="D57" s="64"/>
      <c r="E57" s="214">
        <f>E5/E9</f>
        <v>0.43149414346161563</v>
      </c>
      <c r="F57" s="214">
        <f t="shared" ref="F57:U57" si="53">F5/F9</f>
        <v>0.40624314610775919</v>
      </c>
      <c r="G57" s="214">
        <f t="shared" si="53"/>
        <v>0.40236717417699175</v>
      </c>
      <c r="H57" s="214">
        <f t="shared" si="53"/>
        <v>0.43330086252189531</v>
      </c>
      <c r="I57" s="214">
        <f t="shared" si="53"/>
        <v>0.50529458924642223</v>
      </c>
      <c r="J57" s="214">
        <f t="shared" si="53"/>
        <v>0.91811269305571386</v>
      </c>
      <c r="K57" s="214">
        <f t="shared" si="53"/>
        <v>0.87945788557104709</v>
      </c>
      <c r="L57" s="214">
        <f t="shared" si="53"/>
        <v>0.72413258946271086</v>
      </c>
      <c r="M57" s="214">
        <f t="shared" si="53"/>
        <v>0.79025405727439746</v>
      </c>
      <c r="N57" s="214">
        <f t="shared" si="53"/>
        <v>0.84603180855332816</v>
      </c>
      <c r="O57" s="214">
        <f t="shared" si="53"/>
        <v>0.77800641844450402</v>
      </c>
      <c r="P57" s="214">
        <f t="shared" si="53"/>
        <v>0.78417136380083086</v>
      </c>
      <c r="Q57" s="214">
        <f t="shared" si="53"/>
        <v>0.81247183204148588</v>
      </c>
      <c r="R57" s="214">
        <f t="shared" si="53"/>
        <v>0.84561092775143698</v>
      </c>
      <c r="S57" s="214">
        <f t="shared" si="53"/>
        <v>0.81782472589259658</v>
      </c>
      <c r="T57" s="214">
        <f t="shared" si="53"/>
        <v>0.72619957942119551</v>
      </c>
      <c r="U57" s="214">
        <f t="shared" si="53"/>
        <v>0.81695991473293206</v>
      </c>
    </row>
    <row r="58" spans="1:21" x14ac:dyDescent="0.25">
      <c r="A58" s="184" t="s">
        <v>647</v>
      </c>
      <c r="B58" s="64"/>
      <c r="C58" s="64"/>
      <c r="D58" s="64"/>
      <c r="E58" s="214">
        <f>E6/E9</f>
        <v>0.32635425457583689</v>
      </c>
      <c r="F58" s="214">
        <f t="shared" ref="F58:U58" si="54">F6/F9</f>
        <v>0.30347151078824819</v>
      </c>
      <c r="G58" s="214">
        <f t="shared" si="54"/>
        <v>0.2955994957932182</v>
      </c>
      <c r="H58" s="214">
        <f t="shared" si="54"/>
        <v>0.25745848682340827</v>
      </c>
      <c r="I58" s="214">
        <f t="shared" si="54"/>
        <v>0.33124278566727627</v>
      </c>
      <c r="J58" s="214">
        <f t="shared" si="54"/>
        <v>0.50175697269707364</v>
      </c>
      <c r="K58" s="214">
        <f t="shared" si="54"/>
        <v>0.42902700853046694</v>
      </c>
      <c r="L58" s="214">
        <f t="shared" si="54"/>
        <v>0.37906561074402489</v>
      </c>
      <c r="M58" s="214">
        <f t="shared" si="54"/>
        <v>0.3836922452626999</v>
      </c>
      <c r="N58" s="214">
        <f t="shared" si="54"/>
        <v>0.44974139642569649</v>
      </c>
      <c r="O58" s="214">
        <f t="shared" si="54"/>
        <v>0.47276606073087302</v>
      </c>
      <c r="P58" s="214">
        <f t="shared" si="54"/>
        <v>0.40179387219101326</v>
      </c>
      <c r="Q58" s="214">
        <f t="shared" si="54"/>
        <v>0.4710117119899343</v>
      </c>
      <c r="R58" s="214">
        <f t="shared" si="54"/>
        <v>0.48265465089635873</v>
      </c>
      <c r="S58" s="214">
        <f t="shared" si="54"/>
        <v>0.45287369281306972</v>
      </c>
      <c r="T58" s="214">
        <f t="shared" si="54"/>
        <v>0.3554574172854027</v>
      </c>
      <c r="U58" s="214">
        <f t="shared" si="54"/>
        <v>0.44154296426399081</v>
      </c>
    </row>
    <row r="59" spans="1:21" s="225" customFormat="1" x14ac:dyDescent="0.25">
      <c r="A59" s="227" t="s">
        <v>641</v>
      </c>
      <c r="B59" s="223"/>
      <c r="C59" s="223"/>
      <c r="D59" s="223"/>
      <c r="E59" s="224">
        <f>E55+E56</f>
        <v>0.37812409414275816</v>
      </c>
      <c r="F59" s="224">
        <f t="shared" ref="F59:U59" si="55">F55+F56</f>
        <v>0.39769144200324702</v>
      </c>
      <c r="G59" s="224">
        <f t="shared" si="55"/>
        <v>0.39453142568613259</v>
      </c>
      <c r="H59" s="224">
        <f t="shared" si="55"/>
        <v>0.45047069592341449</v>
      </c>
      <c r="I59" s="224">
        <f t="shared" si="55"/>
        <v>0.37383159314078751</v>
      </c>
      <c r="J59" s="224">
        <f t="shared" si="55"/>
        <v>0.6553270139963534</v>
      </c>
      <c r="K59" s="224">
        <f t="shared" si="55"/>
        <v>0.70103120906609762</v>
      </c>
      <c r="L59" s="224">
        <f t="shared" si="55"/>
        <v>0.6979816706986437</v>
      </c>
      <c r="M59" s="224">
        <f t="shared" si="55"/>
        <v>0.67917191723915882</v>
      </c>
      <c r="N59" s="224">
        <f t="shared" si="55"/>
        <v>0.69668947475910037</v>
      </c>
      <c r="O59" s="224">
        <f t="shared" si="55"/>
        <v>0.66690442275520101</v>
      </c>
      <c r="P59" s="224">
        <f t="shared" si="55"/>
        <v>0.68896679403796579</v>
      </c>
      <c r="Q59" s="224">
        <f t="shared" si="55"/>
        <v>0.69033533820416926</v>
      </c>
      <c r="R59" s="224">
        <f t="shared" si="55"/>
        <v>0.67789996147293696</v>
      </c>
      <c r="S59" s="224">
        <f t="shared" si="55"/>
        <v>0.62526488648479961</v>
      </c>
      <c r="T59" s="224">
        <f t="shared" si="55"/>
        <v>0.6392083452537668</v>
      </c>
      <c r="U59" s="224">
        <f t="shared" si="55"/>
        <v>0.63638021663100375</v>
      </c>
    </row>
    <row r="60" spans="1:21" x14ac:dyDescent="0.25">
      <c r="A60" s="184" t="s">
        <v>648</v>
      </c>
      <c r="B60" s="64"/>
      <c r="C60" s="64"/>
      <c r="D60" s="64"/>
      <c r="E60" s="214">
        <f>E3/E9</f>
        <v>5.0870002025027811E-2</v>
      </c>
      <c r="F60" s="214">
        <f t="shared" ref="F60:U60" si="56">F3/F9</f>
        <v>2.4123198902901904E-2</v>
      </c>
      <c r="G60" s="214">
        <f t="shared" si="56"/>
        <v>2.3644305611544618E-2</v>
      </c>
      <c r="H60" s="214">
        <f t="shared" si="56"/>
        <v>2.3424755650853033E-2</v>
      </c>
      <c r="I60" s="214">
        <f t="shared" si="56"/>
        <v>2.2828316986900386E-2</v>
      </c>
      <c r="J60" s="214">
        <f t="shared" si="56"/>
        <v>1.349770192577074E-2</v>
      </c>
      <c r="K60" s="214">
        <f t="shared" si="56"/>
        <v>1.1373929297599112E-2</v>
      </c>
      <c r="L60" s="214">
        <f t="shared" si="56"/>
        <v>1.1707860817895353E-2</v>
      </c>
      <c r="M60" s="214">
        <f t="shared" si="56"/>
        <v>1.1916742716917653E-2</v>
      </c>
      <c r="N60" s="214">
        <f t="shared" si="56"/>
        <v>1.2017667775874768E-2</v>
      </c>
      <c r="O60" s="214">
        <f t="shared" si="56"/>
        <v>1.1878106012264487E-2</v>
      </c>
      <c r="P60" s="214">
        <f t="shared" si="56"/>
        <v>1.249188809472709E-2</v>
      </c>
      <c r="Q60" s="214">
        <f t="shared" si="56"/>
        <v>1.2574975403891377E-2</v>
      </c>
      <c r="R60" s="214">
        <f t="shared" si="56"/>
        <v>1.2847953126556004E-2</v>
      </c>
      <c r="S60" s="214">
        <f t="shared" si="56"/>
        <v>7.2486756914416209E-2</v>
      </c>
      <c r="T60" s="214">
        <f t="shared" si="56"/>
        <v>6.8655465225167411E-2</v>
      </c>
      <c r="U60" s="214">
        <f t="shared" si="56"/>
        <v>7.0871583720698253E-2</v>
      </c>
    </row>
    <row r="61" spans="1:21" x14ac:dyDescent="0.25">
      <c r="A61" s="184" t="s">
        <v>649</v>
      </c>
      <c r="B61" s="64"/>
      <c r="C61" s="64"/>
      <c r="D61" s="64"/>
      <c r="E61" s="214">
        <f>E7/E9</f>
        <v>0.57100590383221406</v>
      </c>
      <c r="F61" s="214">
        <f t="shared" ref="F61:U61" si="57">F7/F9</f>
        <v>0.57818535909385105</v>
      </c>
      <c r="G61" s="214">
        <f t="shared" si="57"/>
        <v>0.58182426870232273</v>
      </c>
      <c r="H61" s="214">
        <f t="shared" si="57"/>
        <v>0.52610454842573251</v>
      </c>
      <c r="I61" s="214">
        <f t="shared" si="57"/>
        <v>0.60334008987231214</v>
      </c>
      <c r="J61" s="214">
        <f t="shared" si="57"/>
        <v>0.33117528407787583</v>
      </c>
      <c r="K61" s="214">
        <f t="shared" si="57"/>
        <v>0.28759486163630321</v>
      </c>
      <c r="L61" s="214">
        <f t="shared" si="57"/>
        <v>0.29031046848346082</v>
      </c>
      <c r="M61" s="214">
        <f t="shared" si="57"/>
        <v>0.30891134004392345</v>
      </c>
      <c r="N61" s="214">
        <f t="shared" si="57"/>
        <v>0.29129285746502481</v>
      </c>
      <c r="O61" s="214">
        <f t="shared" si="57"/>
        <v>0.32121747123253463</v>
      </c>
      <c r="P61" s="214">
        <f t="shared" si="57"/>
        <v>0.29854131786730709</v>
      </c>
      <c r="Q61" s="214">
        <f t="shared" si="57"/>
        <v>0.29708968639193939</v>
      </c>
      <c r="R61" s="214">
        <f t="shared" si="57"/>
        <v>0.30925208540050692</v>
      </c>
      <c r="S61" s="214">
        <f t="shared" si="57"/>
        <v>0.3022483566007842</v>
      </c>
      <c r="T61" s="214">
        <f t="shared" si="57"/>
        <v>0.29213618952106579</v>
      </c>
      <c r="U61" s="214">
        <f t="shared" si="57"/>
        <v>0.29274819964829807</v>
      </c>
    </row>
    <row r="62" spans="1:21" s="225" customFormat="1" x14ac:dyDescent="0.25">
      <c r="A62" s="227" t="s">
        <v>642</v>
      </c>
      <c r="B62" s="223"/>
      <c r="C62" s="223"/>
      <c r="D62" s="223"/>
      <c r="E62" s="224">
        <f>E60+E61</f>
        <v>0.62187590585724184</v>
      </c>
      <c r="F62" s="224">
        <f t="shared" ref="F62:M62" si="58">F60+F61</f>
        <v>0.60230855799675298</v>
      </c>
      <c r="G62" s="224">
        <f t="shared" si="58"/>
        <v>0.60546857431386736</v>
      </c>
      <c r="H62" s="224">
        <f t="shared" si="58"/>
        <v>0.54952930407658551</v>
      </c>
      <c r="I62" s="224">
        <f t="shared" si="58"/>
        <v>0.62616840685921249</v>
      </c>
      <c r="J62" s="224">
        <f t="shared" si="58"/>
        <v>0.3446729860036466</v>
      </c>
      <c r="K62" s="224">
        <f t="shared" si="58"/>
        <v>0.29896879093390233</v>
      </c>
      <c r="L62" s="224">
        <f t="shared" si="58"/>
        <v>0.30201832930135619</v>
      </c>
      <c r="M62" s="224">
        <f t="shared" si="58"/>
        <v>0.32082808276084113</v>
      </c>
      <c r="N62" s="224">
        <f t="shared" ref="N62" si="59">N60+N61</f>
        <v>0.30331052524089958</v>
      </c>
      <c r="O62" s="224">
        <f t="shared" ref="O62" si="60">O60+O61</f>
        <v>0.3330955772447991</v>
      </c>
      <c r="P62" s="224">
        <f t="shared" ref="P62" si="61">P60+P61</f>
        <v>0.31103320596203415</v>
      </c>
      <c r="Q62" s="224">
        <f t="shared" ref="Q62" si="62">Q60+Q61</f>
        <v>0.30966466179583074</v>
      </c>
      <c r="R62" s="224">
        <f t="shared" ref="R62" si="63">R60+R61</f>
        <v>0.32210003852706293</v>
      </c>
      <c r="S62" s="224">
        <f t="shared" ref="S62" si="64">S60+S61</f>
        <v>0.37473511351520039</v>
      </c>
      <c r="T62" s="224">
        <f t="shared" ref="T62" si="65">T60+T61</f>
        <v>0.3607916547462332</v>
      </c>
      <c r="U62" s="224">
        <f t="shared" ref="U62" si="66">U60+U61</f>
        <v>0.36361978336899631</v>
      </c>
    </row>
    <row r="63" spans="1:21" x14ac:dyDescent="0.25">
      <c r="A63" s="226" t="s">
        <v>643</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650</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651</v>
      </c>
      <c r="E67" s="193">
        <f>E10</f>
        <v>2967536230.21</v>
      </c>
      <c r="F67" s="193">
        <f t="shared" ref="F67:U67" si="68">F10</f>
        <v>3284932759.1700001</v>
      </c>
      <c r="G67" s="193">
        <f t="shared" si="68"/>
        <v>3270123327.5099998</v>
      </c>
      <c r="H67" s="193">
        <f t="shared" si="68"/>
        <v>3836796239.1400003</v>
      </c>
      <c r="I67" s="193">
        <f t="shared" si="68"/>
        <v>4255769991.2700005</v>
      </c>
      <c r="J67" s="193">
        <f t="shared" si="68"/>
        <v>55419930</v>
      </c>
      <c r="K67" s="193">
        <f t="shared" si="68"/>
        <v>1528838463.2</v>
      </c>
      <c r="L67" s="193">
        <f t="shared" si="68"/>
        <v>1508433054.24</v>
      </c>
      <c r="M67" s="193">
        <f t="shared" si="68"/>
        <v>1460633962.8099999</v>
      </c>
      <c r="N67" s="193">
        <f t="shared" si="68"/>
        <v>211172217.75999999</v>
      </c>
      <c r="O67" s="193">
        <f t="shared" si="68"/>
        <v>273497272.81</v>
      </c>
      <c r="P67" s="193">
        <f t="shared" si="68"/>
        <v>227663287.94</v>
      </c>
      <c r="Q67" s="193">
        <f t="shared" si="68"/>
        <v>274372703.06999999</v>
      </c>
      <c r="R67" s="193">
        <f t="shared" si="68"/>
        <v>302313705.69999999</v>
      </c>
      <c r="S67" s="193">
        <f t="shared" si="68"/>
        <v>353052415.82999998</v>
      </c>
      <c r="T67" s="193">
        <f t="shared" si="68"/>
        <v>321978460.82999998</v>
      </c>
      <c r="U67" s="193">
        <f t="shared" si="68"/>
        <v>326216070.82999998</v>
      </c>
    </row>
    <row r="68" spans="1:21" x14ac:dyDescent="0.25">
      <c r="A68" s="17" t="s">
        <v>652</v>
      </c>
      <c r="E68" s="193">
        <f>E11</f>
        <v>9559051011.1700001</v>
      </c>
      <c r="F68" s="193">
        <f t="shared" ref="F68:U68" si="69">F11</f>
        <v>8986213307.5100002</v>
      </c>
      <c r="G68" s="193">
        <f t="shared" si="69"/>
        <v>8534494985.1399994</v>
      </c>
      <c r="H68" s="193">
        <f t="shared" si="69"/>
        <v>8813154051.6499996</v>
      </c>
      <c r="I68" s="193">
        <f t="shared" si="69"/>
        <v>8074996503.4799995</v>
      </c>
      <c r="J68" s="193">
        <f t="shared" si="69"/>
        <v>0</v>
      </c>
      <c r="K68" s="193">
        <f t="shared" si="69"/>
        <v>0</v>
      </c>
      <c r="L68" s="193">
        <f t="shared" si="69"/>
        <v>54644009</v>
      </c>
      <c r="M68" s="193">
        <f t="shared" si="69"/>
        <v>54644009</v>
      </c>
      <c r="N68" s="193">
        <f t="shared" si="69"/>
        <v>1446957268.77</v>
      </c>
      <c r="O68" s="193">
        <f t="shared" si="69"/>
        <v>1446412986.1300001</v>
      </c>
      <c r="P68" s="193">
        <f t="shared" si="69"/>
        <v>1445860946.0899999</v>
      </c>
      <c r="Q68" s="193">
        <f t="shared" si="69"/>
        <v>1473610296.04</v>
      </c>
      <c r="R68" s="193">
        <f t="shared" si="69"/>
        <v>1485011407.5799999</v>
      </c>
      <c r="S68" s="193">
        <f t="shared" si="69"/>
        <v>1593613749.26</v>
      </c>
      <c r="T68" s="193">
        <f t="shared" si="69"/>
        <v>1593598498.05</v>
      </c>
      <c r="U68" s="193">
        <f t="shared" si="69"/>
        <v>1582742074.2099998</v>
      </c>
    </row>
    <row r="69" spans="1:21" x14ac:dyDescent="0.25">
      <c r="A69" s="17" t="s">
        <v>653</v>
      </c>
      <c r="E69" s="193">
        <f>E12</f>
        <v>12526587241.380001</v>
      </c>
      <c r="F69" s="193">
        <f t="shared" ref="F69:U69" si="70">F12</f>
        <v>12271146066.68</v>
      </c>
      <c r="G69" s="193">
        <f t="shared" si="70"/>
        <v>11804618312.65</v>
      </c>
      <c r="H69" s="193">
        <f t="shared" si="70"/>
        <v>12649950290.790001</v>
      </c>
      <c r="I69" s="193">
        <f t="shared" si="70"/>
        <v>12330766494.75</v>
      </c>
      <c r="J69" s="193">
        <f t="shared" si="70"/>
        <v>55419930</v>
      </c>
      <c r="K69" s="193">
        <f t="shared" si="70"/>
        <v>1528838463.2</v>
      </c>
      <c r="L69" s="193">
        <f t="shared" si="70"/>
        <v>1563077063.24</v>
      </c>
      <c r="M69" s="193">
        <f t="shared" si="70"/>
        <v>1515277971.8099999</v>
      </c>
      <c r="N69" s="193">
        <f t="shared" si="70"/>
        <v>1658129486.53</v>
      </c>
      <c r="O69" s="193">
        <f t="shared" si="70"/>
        <v>1719910258.9400001</v>
      </c>
      <c r="P69" s="193">
        <f t="shared" si="70"/>
        <v>1673524234.03</v>
      </c>
      <c r="Q69" s="193">
        <f t="shared" si="70"/>
        <v>1747982999.1099999</v>
      </c>
      <c r="R69" s="193">
        <f t="shared" si="70"/>
        <v>1787325113.28</v>
      </c>
      <c r="S69" s="193">
        <f t="shared" si="70"/>
        <v>1946666165.0899999</v>
      </c>
      <c r="T69" s="193">
        <f t="shared" si="70"/>
        <v>1915576958.8799999</v>
      </c>
      <c r="U69" s="193">
        <f t="shared" si="70"/>
        <v>1908958145.0399997</v>
      </c>
    </row>
    <row r="70" spans="1:21" s="234" customFormat="1" x14ac:dyDescent="0.25">
      <c r="A70" s="234" t="s">
        <v>656</v>
      </c>
      <c r="E70" s="234">
        <f>E69/E74</f>
        <v>0.37634897970324654</v>
      </c>
      <c r="F70" s="234">
        <f t="shared" ref="F70:U70" si="71">F69/F74</f>
        <v>0.38004662145254597</v>
      </c>
      <c r="G70" s="234">
        <f t="shared" si="71"/>
        <v>0.38209357104946456</v>
      </c>
      <c r="H70" s="234">
        <f t="shared" si="71"/>
        <v>0.40043559067812207</v>
      </c>
      <c r="I70" s="234">
        <f t="shared" si="71"/>
        <v>0.46446349597453301</v>
      </c>
      <c r="J70" s="234">
        <f t="shared" si="71"/>
        <v>6.8088928522880496E-3</v>
      </c>
      <c r="K70" s="234">
        <f t="shared" si="71"/>
        <v>0.16091928637145098</v>
      </c>
      <c r="L70" s="234">
        <f t="shared" si="71"/>
        <v>0.17218561274657546</v>
      </c>
      <c r="M70" s="234">
        <f t="shared" si="71"/>
        <v>0.17312004539195863</v>
      </c>
      <c r="N70" s="234">
        <f t="shared" si="71"/>
        <v>0.18091220489034784</v>
      </c>
      <c r="O70" s="234">
        <f t="shared" si="71"/>
        <v>0.19768851262295287</v>
      </c>
      <c r="P70" s="234">
        <f t="shared" si="71"/>
        <v>0.19750995790711506</v>
      </c>
      <c r="Q70" s="234">
        <f t="shared" si="71"/>
        <v>0.21072504822752677</v>
      </c>
      <c r="R70" s="234">
        <f t="shared" si="71"/>
        <v>0.23119889779314021</v>
      </c>
      <c r="S70" s="234">
        <f t="shared" si="71"/>
        <v>0.24803750346805042</v>
      </c>
      <c r="T70" s="234">
        <f t="shared" si="71"/>
        <v>0.24214833317812567</v>
      </c>
      <c r="U70" s="234">
        <f t="shared" si="71"/>
        <v>0.25001871098088441</v>
      </c>
    </row>
    <row r="71" spans="1:21" x14ac:dyDescent="0.25">
      <c r="A71" s="17" t="s">
        <v>654</v>
      </c>
      <c r="E71" s="193">
        <f>E13</f>
        <v>20757911766.049995</v>
      </c>
      <c r="F71" s="193">
        <f t="shared" ref="F71:U71" si="72">F13</f>
        <v>20017382166.459999</v>
      </c>
      <c r="G71" s="193">
        <f t="shared" si="72"/>
        <v>19089956228.940002</v>
      </c>
      <c r="H71" s="193">
        <f t="shared" si="72"/>
        <v>18940524145.729996</v>
      </c>
      <c r="I71" s="193">
        <f t="shared" si="72"/>
        <v>14217641725.960003</v>
      </c>
      <c r="J71" s="193">
        <f t="shared" si="72"/>
        <v>8083925364.79</v>
      </c>
      <c r="K71" s="193">
        <f t="shared" si="72"/>
        <v>7971815545.8600016</v>
      </c>
      <c r="L71" s="193">
        <f t="shared" si="72"/>
        <v>7514783963.0500011</v>
      </c>
      <c r="M71" s="193">
        <f t="shared" si="72"/>
        <v>7237480660.9599991</v>
      </c>
      <c r="N71" s="193">
        <f t="shared" si="72"/>
        <v>7507252625.3900003</v>
      </c>
      <c r="O71" s="193">
        <f t="shared" si="72"/>
        <v>6980191917.5599995</v>
      </c>
      <c r="P71" s="193">
        <f t="shared" si="72"/>
        <v>6799588978.9100008</v>
      </c>
      <c r="Q71" s="193">
        <f t="shared" si="72"/>
        <v>6547105856.3100023</v>
      </c>
      <c r="R71" s="193">
        <f t="shared" si="72"/>
        <v>5943356695.0700006</v>
      </c>
      <c r="S71" s="193">
        <f t="shared" si="72"/>
        <v>5901607333.3599987</v>
      </c>
      <c r="T71" s="193">
        <f t="shared" si="72"/>
        <v>5995181433.4599991</v>
      </c>
      <c r="U71" s="193">
        <f t="shared" si="72"/>
        <v>5726302982.2200003</v>
      </c>
    </row>
    <row r="72" spans="1:21" s="234" customFormat="1" x14ac:dyDescent="0.25">
      <c r="A72" s="234" t="s">
        <v>657</v>
      </c>
      <c r="E72" s="234">
        <f>E71/E74</f>
        <v>0.62365102029675346</v>
      </c>
      <c r="F72" s="234">
        <f t="shared" ref="F72:U72" si="73">F71/F74</f>
        <v>0.61995337854745403</v>
      </c>
      <c r="G72" s="234">
        <f t="shared" si="73"/>
        <v>0.61790642895053538</v>
      </c>
      <c r="H72" s="234">
        <f t="shared" si="73"/>
        <v>0.59956440932187793</v>
      </c>
      <c r="I72" s="234">
        <f t="shared" si="73"/>
        <v>0.53553650402546693</v>
      </c>
      <c r="J72" s="234">
        <f t="shared" si="73"/>
        <v>0.99319110714771197</v>
      </c>
      <c r="K72" s="234">
        <f t="shared" si="73"/>
        <v>0.83908071362854908</v>
      </c>
      <c r="L72" s="234">
        <f t="shared" si="73"/>
        <v>0.8278143872534246</v>
      </c>
      <c r="M72" s="234">
        <f t="shared" si="73"/>
        <v>0.82687995460804142</v>
      </c>
      <c r="N72" s="234">
        <f t="shared" si="73"/>
        <v>0.81908779510965224</v>
      </c>
      <c r="O72" s="234">
        <f t="shared" si="73"/>
        <v>0.80231148737704705</v>
      </c>
      <c r="P72" s="234">
        <f t="shared" si="73"/>
        <v>0.80249004209288499</v>
      </c>
      <c r="Q72" s="234">
        <f t="shared" si="73"/>
        <v>0.7892749517724732</v>
      </c>
      <c r="R72" s="234">
        <f t="shared" si="73"/>
        <v>0.76880110220685982</v>
      </c>
      <c r="S72" s="234">
        <f t="shared" si="73"/>
        <v>0.75196249653194958</v>
      </c>
      <c r="T72" s="234">
        <f t="shared" si="73"/>
        <v>0.75785166682187433</v>
      </c>
      <c r="U72" s="234">
        <f t="shared" si="73"/>
        <v>0.74998128901911554</v>
      </c>
    </row>
    <row r="73" spans="1:21" s="236" customFormat="1" x14ac:dyDescent="0.25">
      <c r="A73" s="235" t="s">
        <v>658</v>
      </c>
      <c r="E73" s="237">
        <f>E74/E71</f>
        <v>1.6034608578434899</v>
      </c>
      <c r="F73" s="237">
        <f t="shared" ref="F73:U73" si="74">F74/F71</f>
        <v>1.6130245186226619</v>
      </c>
      <c r="G73" s="237">
        <f t="shared" si="74"/>
        <v>1.6183680135816356</v>
      </c>
      <c r="H73" s="237">
        <f t="shared" si="74"/>
        <v>1.6678775198331479</v>
      </c>
      <c r="I73" s="237">
        <f t="shared" si="74"/>
        <v>1.8672863427297681</v>
      </c>
      <c r="J73" s="237">
        <f t="shared" si="74"/>
        <v>1.0068555717054717</v>
      </c>
      <c r="K73" s="237">
        <f t="shared" si="74"/>
        <v>1.1917804613522411</v>
      </c>
      <c r="L73" s="237">
        <f t="shared" si="74"/>
        <v>1.2080002659990772</v>
      </c>
      <c r="M73" s="237">
        <f t="shared" si="74"/>
        <v>1.2093653914660698</v>
      </c>
      <c r="N73" s="237">
        <f t="shared" si="74"/>
        <v>1.2208703462198809</v>
      </c>
      <c r="O73" s="237">
        <f t="shared" si="74"/>
        <v>1.2463987064042235</v>
      </c>
      <c r="P73" s="237">
        <f t="shared" si="74"/>
        <v>1.2461213816336105</v>
      </c>
      <c r="Q73" s="237">
        <f t="shared" si="74"/>
        <v>1.2669856021077344</v>
      </c>
      <c r="R73" s="237">
        <f t="shared" si="74"/>
        <v>1.3007265430934982</v>
      </c>
      <c r="S73" s="237">
        <f t="shared" si="74"/>
        <v>1.3298535560111033</v>
      </c>
      <c r="T73" s="237">
        <f t="shared" si="74"/>
        <v>1.3195194307529845</v>
      </c>
      <c r="U73" s="237">
        <f t="shared" si="74"/>
        <v>1.3333665981292393</v>
      </c>
    </row>
    <row r="74" spans="1:21" x14ac:dyDescent="0.25">
      <c r="A74" s="17" t="s">
        <v>655</v>
      </c>
      <c r="E74" s="193">
        <f>E14</f>
        <v>33284499007.429996</v>
      </c>
      <c r="F74" s="193">
        <f t="shared" ref="F74:U74" si="75">F14</f>
        <v>32288528233.139999</v>
      </c>
      <c r="G74" s="193">
        <f t="shared" si="75"/>
        <v>30894574541.590004</v>
      </c>
      <c r="H74" s="193">
        <f t="shared" si="75"/>
        <v>31590474436.519997</v>
      </c>
      <c r="I74" s="193">
        <f t="shared" si="75"/>
        <v>26548408220.710003</v>
      </c>
      <c r="J74" s="193">
        <f t="shared" si="75"/>
        <v>8139345294.79</v>
      </c>
      <c r="K74" s="193">
        <f t="shared" si="75"/>
        <v>9500654009.0600014</v>
      </c>
      <c r="L74" s="193">
        <f t="shared" si="75"/>
        <v>9077861026.2900009</v>
      </c>
      <c r="M74" s="193">
        <f t="shared" si="75"/>
        <v>8752758632.7699986</v>
      </c>
      <c r="N74" s="193">
        <f t="shared" si="75"/>
        <v>9165382111.9200001</v>
      </c>
      <c r="O74" s="193">
        <f t="shared" si="75"/>
        <v>8700102176.5</v>
      </c>
      <c r="P74" s="193">
        <f t="shared" si="75"/>
        <v>8473113212.9400005</v>
      </c>
      <c r="Q74" s="193">
        <f t="shared" si="75"/>
        <v>8295088855.420002</v>
      </c>
      <c r="R74" s="193">
        <f t="shared" si="75"/>
        <v>7730681808.3500004</v>
      </c>
      <c r="S74" s="193">
        <f t="shared" si="75"/>
        <v>7848273498.4499989</v>
      </c>
      <c r="T74" s="193">
        <f t="shared" si="75"/>
        <v>7910758392.3399992</v>
      </c>
      <c r="U74" s="193">
        <f t="shared" si="75"/>
        <v>7635261127.2600002</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659</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651</v>
      </c>
      <c r="B78" s="64"/>
      <c r="C78" s="64"/>
      <c r="D78" s="64"/>
      <c r="E78" s="89">
        <f>E10</f>
        <v>2967536230.21</v>
      </c>
      <c r="F78" s="89">
        <f t="shared" ref="F78:U78" si="77">F10</f>
        <v>3284932759.1700001</v>
      </c>
      <c r="G78" s="89">
        <f t="shared" si="77"/>
        <v>3270123327.5099998</v>
      </c>
      <c r="H78" s="89">
        <f t="shared" si="77"/>
        <v>3836796239.1400003</v>
      </c>
      <c r="I78" s="89">
        <f t="shared" si="77"/>
        <v>4255769991.2700005</v>
      </c>
      <c r="J78" s="89">
        <f t="shared" si="77"/>
        <v>55419930</v>
      </c>
      <c r="K78" s="89">
        <f t="shared" si="77"/>
        <v>1528838463.2</v>
      </c>
      <c r="L78" s="89">
        <f t="shared" si="77"/>
        <v>1508433054.24</v>
      </c>
      <c r="M78" s="89">
        <f t="shared" si="77"/>
        <v>1460633962.8099999</v>
      </c>
      <c r="N78" s="89">
        <f t="shared" si="77"/>
        <v>211172217.75999999</v>
      </c>
      <c r="O78" s="89">
        <f t="shared" si="77"/>
        <v>273497272.81</v>
      </c>
      <c r="P78" s="89">
        <f t="shared" si="77"/>
        <v>227663287.94</v>
      </c>
      <c r="Q78" s="89">
        <f t="shared" si="77"/>
        <v>274372703.06999999</v>
      </c>
      <c r="R78" s="89">
        <f t="shared" si="77"/>
        <v>302313705.69999999</v>
      </c>
      <c r="S78" s="89">
        <f t="shared" si="77"/>
        <v>353052415.82999998</v>
      </c>
      <c r="T78" s="89">
        <f t="shared" si="77"/>
        <v>321978460.82999998</v>
      </c>
      <c r="U78" s="89">
        <f t="shared" si="77"/>
        <v>326216070.82999998</v>
      </c>
    </row>
    <row r="79" spans="1:21" x14ac:dyDescent="0.25">
      <c r="A79" s="184" t="s">
        <v>660</v>
      </c>
      <c r="B79" s="64"/>
      <c r="C79" s="64"/>
      <c r="D79" s="64"/>
      <c r="E79" s="89">
        <f>E78</f>
        <v>2967536230.21</v>
      </c>
      <c r="F79" s="89">
        <f t="shared" ref="F79:U79" si="78">F78</f>
        <v>3284932759.1700001</v>
      </c>
      <c r="G79" s="89">
        <f t="shared" si="78"/>
        <v>3270123327.5099998</v>
      </c>
      <c r="H79" s="89">
        <f t="shared" si="78"/>
        <v>3836796239.1400003</v>
      </c>
      <c r="I79" s="89">
        <f t="shared" si="78"/>
        <v>4255769991.2700005</v>
      </c>
      <c r="J79" s="89">
        <f t="shared" si="78"/>
        <v>55419930</v>
      </c>
      <c r="K79" s="89">
        <f t="shared" si="78"/>
        <v>1528838463.2</v>
      </c>
      <c r="L79" s="89">
        <f t="shared" si="78"/>
        <v>1508433054.24</v>
      </c>
      <c r="M79" s="89">
        <f t="shared" si="78"/>
        <v>1460633962.8099999</v>
      </c>
      <c r="N79" s="89">
        <f t="shared" si="78"/>
        <v>211172217.75999999</v>
      </c>
      <c r="O79" s="89">
        <f t="shared" si="78"/>
        <v>273497272.81</v>
      </c>
      <c r="P79" s="89">
        <f t="shared" si="78"/>
        <v>227663287.94</v>
      </c>
      <c r="Q79" s="89">
        <f t="shared" si="78"/>
        <v>274372703.06999999</v>
      </c>
      <c r="R79" s="89">
        <f t="shared" si="78"/>
        <v>302313705.69999999</v>
      </c>
      <c r="S79" s="89">
        <f t="shared" si="78"/>
        <v>353052415.82999998</v>
      </c>
      <c r="T79" s="89">
        <f t="shared" si="78"/>
        <v>321978460.82999998</v>
      </c>
      <c r="U79" s="89">
        <f t="shared" si="78"/>
        <v>326216070.82999998</v>
      </c>
    </row>
    <row r="80" spans="1:21" s="220" customFormat="1" x14ac:dyDescent="0.25">
      <c r="A80" s="224" t="s">
        <v>661</v>
      </c>
      <c r="B80" s="224"/>
      <c r="C80" s="224"/>
      <c r="D80" s="224"/>
      <c r="E80" s="224">
        <f>E79/E85</f>
        <v>8.9156704132682479E-2</v>
      </c>
      <c r="F80" s="224">
        <f t="shared" ref="F80:U80" si="79">F79/F85</f>
        <v>0.10173683778495798</v>
      </c>
      <c r="G80" s="224">
        <f t="shared" si="79"/>
        <v>0.1058478187847445</v>
      </c>
      <c r="H80" s="224">
        <f t="shared" si="79"/>
        <v>0.12145421389127645</v>
      </c>
      <c r="I80" s="224">
        <f t="shared" si="79"/>
        <v>0.16030226580402437</v>
      </c>
      <c r="J80" s="224">
        <f t="shared" si="79"/>
        <v>6.8088928522880496E-3</v>
      </c>
      <c r="K80" s="224">
        <f t="shared" si="79"/>
        <v>0.16091928637145098</v>
      </c>
      <c r="L80" s="224">
        <f t="shared" si="79"/>
        <v>0.16616613207356801</v>
      </c>
      <c r="M80" s="224">
        <f t="shared" si="79"/>
        <v>0.16687698405636842</v>
      </c>
      <c r="N80" s="224">
        <f t="shared" si="79"/>
        <v>2.3040197907882184E-2</v>
      </c>
      <c r="O80" s="224">
        <f t="shared" si="79"/>
        <v>3.1436098940165129E-2</v>
      </c>
      <c r="P80" s="224">
        <f t="shared" si="79"/>
        <v>2.6868906648422487E-2</v>
      </c>
      <c r="Q80" s="224">
        <f t="shared" si="79"/>
        <v>3.3076523693983721E-2</v>
      </c>
      <c r="R80" s="224">
        <f t="shared" si="79"/>
        <v>3.9105697685483241E-2</v>
      </c>
      <c r="S80" s="224">
        <f t="shared" si="79"/>
        <v>4.4984723824892998E-2</v>
      </c>
      <c r="T80" s="224">
        <f t="shared" si="79"/>
        <v>4.0701339222010913E-2</v>
      </c>
      <c r="U80" s="224">
        <f t="shared" si="79"/>
        <v>4.2724939644214407E-2</v>
      </c>
    </row>
    <row r="81" spans="1:21" x14ac:dyDescent="0.25">
      <c r="A81" s="184" t="s">
        <v>652</v>
      </c>
      <c r="B81" s="64"/>
      <c r="C81" s="64"/>
      <c r="D81" s="64"/>
      <c r="E81" s="89">
        <f>E11</f>
        <v>9559051011.1700001</v>
      </c>
      <c r="F81" s="89">
        <f t="shared" ref="F81:U81" si="80">F11</f>
        <v>8986213307.5100002</v>
      </c>
      <c r="G81" s="89">
        <f t="shared" si="80"/>
        <v>8534494985.1399994</v>
      </c>
      <c r="H81" s="89">
        <f t="shared" si="80"/>
        <v>8813154051.6499996</v>
      </c>
      <c r="I81" s="89">
        <f t="shared" si="80"/>
        <v>8074996503.4799995</v>
      </c>
      <c r="J81" s="89">
        <f t="shared" si="80"/>
        <v>0</v>
      </c>
      <c r="K81" s="89">
        <f t="shared" si="80"/>
        <v>0</v>
      </c>
      <c r="L81" s="89">
        <f t="shared" si="80"/>
        <v>54644009</v>
      </c>
      <c r="M81" s="89">
        <f t="shared" si="80"/>
        <v>54644009</v>
      </c>
      <c r="N81" s="89">
        <f t="shared" si="80"/>
        <v>1446957268.77</v>
      </c>
      <c r="O81" s="89">
        <f t="shared" si="80"/>
        <v>1446412986.1300001</v>
      </c>
      <c r="P81" s="89">
        <f t="shared" si="80"/>
        <v>1445860946.0899999</v>
      </c>
      <c r="Q81" s="89">
        <f t="shared" si="80"/>
        <v>1473610296.04</v>
      </c>
      <c r="R81" s="89">
        <f t="shared" si="80"/>
        <v>1485011407.5799999</v>
      </c>
      <c r="S81" s="89">
        <f t="shared" si="80"/>
        <v>1593613749.26</v>
      </c>
      <c r="T81" s="89">
        <f t="shared" si="80"/>
        <v>1593598498.05</v>
      </c>
      <c r="U81" s="89">
        <f t="shared" si="80"/>
        <v>1582742074.2099998</v>
      </c>
    </row>
    <row r="82" spans="1:21" x14ac:dyDescent="0.25">
      <c r="A82" s="184" t="s">
        <v>654</v>
      </c>
      <c r="B82" s="64"/>
      <c r="C82" s="64"/>
      <c r="D82" s="64"/>
      <c r="E82" s="89">
        <f>E13</f>
        <v>20757911766.049995</v>
      </c>
      <c r="F82" s="89">
        <f t="shared" ref="F82:U82" si="81">F13</f>
        <v>20017382166.459999</v>
      </c>
      <c r="G82" s="89">
        <f t="shared" si="81"/>
        <v>19089956228.940002</v>
      </c>
      <c r="H82" s="89">
        <f t="shared" si="81"/>
        <v>18940524145.729996</v>
      </c>
      <c r="I82" s="89">
        <f t="shared" si="81"/>
        <v>14217641725.960003</v>
      </c>
      <c r="J82" s="89">
        <f t="shared" si="81"/>
        <v>8083925364.79</v>
      </c>
      <c r="K82" s="89">
        <f t="shared" si="81"/>
        <v>7971815545.8600016</v>
      </c>
      <c r="L82" s="89">
        <f t="shared" si="81"/>
        <v>7514783963.0500011</v>
      </c>
      <c r="M82" s="89">
        <f t="shared" si="81"/>
        <v>7237480660.9599991</v>
      </c>
      <c r="N82" s="89">
        <f t="shared" si="81"/>
        <v>7507252625.3900003</v>
      </c>
      <c r="O82" s="89">
        <f t="shared" si="81"/>
        <v>6980191917.5599995</v>
      </c>
      <c r="P82" s="89">
        <f t="shared" si="81"/>
        <v>6799588978.9100008</v>
      </c>
      <c r="Q82" s="89">
        <f t="shared" si="81"/>
        <v>6547105856.3100023</v>
      </c>
      <c r="R82" s="89">
        <f t="shared" si="81"/>
        <v>5943356695.0700006</v>
      </c>
      <c r="S82" s="89">
        <f t="shared" si="81"/>
        <v>5901607333.3599987</v>
      </c>
      <c r="T82" s="89">
        <f t="shared" si="81"/>
        <v>5995181433.4599991</v>
      </c>
      <c r="U82" s="89">
        <f t="shared" si="81"/>
        <v>5726302982.2200003</v>
      </c>
    </row>
    <row r="83" spans="1:21" x14ac:dyDescent="0.25">
      <c r="A83" s="184" t="s">
        <v>662</v>
      </c>
      <c r="B83" s="64"/>
      <c r="C83" s="64"/>
      <c r="D83" s="64"/>
      <c r="E83" s="89">
        <f>E81+E82</f>
        <v>30316962777.219994</v>
      </c>
      <c r="F83" s="89">
        <f t="shared" ref="F83:U83" si="82">F81+F82</f>
        <v>29003595473.970001</v>
      </c>
      <c r="G83" s="89">
        <f t="shared" si="82"/>
        <v>27624451214.080002</v>
      </c>
      <c r="H83" s="89">
        <f t="shared" si="82"/>
        <v>27753678197.379997</v>
      </c>
      <c r="I83" s="89">
        <f t="shared" si="82"/>
        <v>22292638229.440002</v>
      </c>
      <c r="J83" s="89">
        <f t="shared" si="82"/>
        <v>8083925364.79</v>
      </c>
      <c r="K83" s="89">
        <f t="shared" si="82"/>
        <v>7971815545.8600016</v>
      </c>
      <c r="L83" s="89">
        <f t="shared" si="82"/>
        <v>7569427972.0500011</v>
      </c>
      <c r="M83" s="89">
        <f t="shared" si="82"/>
        <v>7292124669.9599991</v>
      </c>
      <c r="N83" s="89">
        <f t="shared" si="82"/>
        <v>8954209894.1599998</v>
      </c>
      <c r="O83" s="89">
        <f t="shared" si="82"/>
        <v>8426604903.6899996</v>
      </c>
      <c r="P83" s="89">
        <f t="shared" si="82"/>
        <v>8245449925.000001</v>
      </c>
      <c r="Q83" s="89">
        <f t="shared" si="82"/>
        <v>8020716152.3500023</v>
      </c>
      <c r="R83" s="89">
        <f t="shared" si="82"/>
        <v>7428368102.6500006</v>
      </c>
      <c r="S83" s="89">
        <f t="shared" si="82"/>
        <v>7495221082.6199989</v>
      </c>
      <c r="T83" s="89">
        <f t="shared" si="82"/>
        <v>7588779931.5099993</v>
      </c>
      <c r="U83" s="89">
        <f t="shared" si="82"/>
        <v>7309045056.4300003</v>
      </c>
    </row>
    <row r="84" spans="1:21" s="220" customFormat="1" x14ac:dyDescent="0.25">
      <c r="A84" s="224" t="s">
        <v>663</v>
      </c>
      <c r="B84" s="224"/>
      <c r="C84" s="224"/>
      <c r="D84" s="224"/>
      <c r="E84" s="224">
        <f>E83/E85</f>
        <v>0.91084329586731738</v>
      </c>
      <c r="F84" s="224">
        <f t="shared" ref="F84:U84" si="83">F83/F85</f>
        <v>0.8982631622150421</v>
      </c>
      <c r="G84" s="224">
        <f t="shared" si="83"/>
        <v>0.89415218121525541</v>
      </c>
      <c r="H84" s="224">
        <f t="shared" si="83"/>
        <v>0.87854578610872358</v>
      </c>
      <c r="I84" s="224">
        <f t="shared" si="83"/>
        <v>0.8396977341959756</v>
      </c>
      <c r="J84" s="224">
        <f t="shared" si="83"/>
        <v>0.99319110714771197</v>
      </c>
      <c r="K84" s="224">
        <f t="shared" si="83"/>
        <v>0.83908071362854908</v>
      </c>
      <c r="L84" s="224">
        <f t="shared" si="83"/>
        <v>0.83383386792643199</v>
      </c>
      <c r="M84" s="224">
        <f t="shared" si="83"/>
        <v>0.8331230159436317</v>
      </c>
      <c r="N84" s="224">
        <f t="shared" si="83"/>
        <v>0.97695980209211775</v>
      </c>
      <c r="O84" s="224">
        <f t="shared" si="83"/>
        <v>0.96856390105983481</v>
      </c>
      <c r="P84" s="224">
        <f t="shared" si="83"/>
        <v>0.97313109335157755</v>
      </c>
      <c r="Q84" s="224">
        <f t="shared" si="83"/>
        <v>0.96692347630601627</v>
      </c>
      <c r="R84" s="224">
        <f t="shared" si="83"/>
        <v>0.96089430231451678</v>
      </c>
      <c r="S84" s="224">
        <f t="shared" si="83"/>
        <v>0.95501527617510706</v>
      </c>
      <c r="T84" s="224">
        <f t="shared" si="83"/>
        <v>0.95929866077798909</v>
      </c>
      <c r="U84" s="224">
        <f t="shared" si="83"/>
        <v>0.95727506035578558</v>
      </c>
    </row>
    <row r="85" spans="1:21" x14ac:dyDescent="0.25">
      <c r="A85" s="184" t="s">
        <v>655</v>
      </c>
      <c r="B85" s="64"/>
      <c r="C85" s="64"/>
      <c r="D85" s="64"/>
      <c r="E85" s="89">
        <f>E14</f>
        <v>33284499007.429996</v>
      </c>
      <c r="F85" s="89">
        <f t="shared" ref="F85:U85" si="84">F14</f>
        <v>32288528233.139999</v>
      </c>
      <c r="G85" s="89">
        <f t="shared" si="84"/>
        <v>30894574541.590004</v>
      </c>
      <c r="H85" s="89">
        <f t="shared" si="84"/>
        <v>31590474436.519997</v>
      </c>
      <c r="I85" s="89">
        <f t="shared" si="84"/>
        <v>26548408220.710003</v>
      </c>
      <c r="J85" s="89">
        <f t="shared" si="84"/>
        <v>8139345294.79</v>
      </c>
      <c r="K85" s="89">
        <f t="shared" si="84"/>
        <v>9500654009.0600014</v>
      </c>
      <c r="L85" s="89">
        <f t="shared" si="84"/>
        <v>9077861026.2900009</v>
      </c>
      <c r="M85" s="89">
        <f t="shared" si="84"/>
        <v>8752758632.7699986</v>
      </c>
      <c r="N85" s="89">
        <f t="shared" si="84"/>
        <v>9165382111.9200001</v>
      </c>
      <c r="O85" s="89">
        <f t="shared" si="84"/>
        <v>8700102176.5</v>
      </c>
      <c r="P85" s="89">
        <f t="shared" si="84"/>
        <v>8473113212.9400005</v>
      </c>
      <c r="Q85" s="89">
        <f t="shared" si="84"/>
        <v>8295088855.420002</v>
      </c>
      <c r="R85" s="89">
        <f t="shared" si="84"/>
        <v>7730681808.3500004</v>
      </c>
      <c r="S85" s="89">
        <f t="shared" si="84"/>
        <v>7848273498.4499989</v>
      </c>
      <c r="T85" s="89">
        <f t="shared" si="84"/>
        <v>7910758392.3399992</v>
      </c>
      <c r="U85" s="89">
        <f t="shared" si="84"/>
        <v>7635261127.2600002</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7" width="19.33203125" hidden="1" customWidth="1"/>
    <col min="8" max="8" width="20.44140625" hidden="1" customWidth="1"/>
    <col min="9" max="9" width="21.5546875" bestFit="1" customWidth="1"/>
    <col min="10" max="12" width="19.33203125" hidden="1" customWidth="1"/>
    <col min="13" max="13" width="21.5546875" bestFit="1" customWidth="1"/>
    <col min="14" max="16" width="19.33203125" hidden="1" customWidth="1"/>
    <col min="17" max="17" width="20.44140625" bestFit="1" customWidth="1"/>
    <col min="18" max="20" width="19.33203125" hidden="1" customWidth="1"/>
    <col min="21" max="21" width="20.441406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17.21875" hidden="1" customWidth="1"/>
    <col min="41" max="43" width="19.33203125" bestFit="1" customWidth="1"/>
    <col min="44" max="44" width="9.5546875" hidden="1" customWidth="1"/>
    <col min="45"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23416550017.470001</v>
      </c>
      <c r="F2" s="26">
        <f>股权价值增加表!F4</f>
        <v>15936585490.809999</v>
      </c>
      <c r="G2" s="26">
        <f>股权价值增加表!G4</f>
        <v>9905427837.3400002</v>
      </c>
      <c r="H2" s="26">
        <f>股权价值增加表!H4</f>
        <v>3980952720.77</v>
      </c>
      <c r="I2" s="26">
        <f>股权价值增加表!I4</f>
        <v>20164545252.650002</v>
      </c>
      <c r="J2" s="26">
        <f>股权价值增加表!J4</f>
        <v>9108594167.6399994</v>
      </c>
      <c r="K2" s="26">
        <f>股权价值增加表!K4</f>
        <v>5630553788.9300003</v>
      </c>
      <c r="L2" s="26">
        <f>股权价值增加表!L4</f>
        <v>2381520488.8499999</v>
      </c>
      <c r="M2" s="26">
        <f>股权价值增加表!M4</f>
        <v>12026466467.639999</v>
      </c>
      <c r="N2" s="26">
        <f>股权价值增加表!N4</f>
        <v>8774967409.0100002</v>
      </c>
      <c r="O2" s="26">
        <f>股权价值增加表!O4</f>
        <v>5589949438.3699999</v>
      </c>
      <c r="P2" s="26">
        <f>股权价值增加表!P4</f>
        <v>2261383751.4200001</v>
      </c>
      <c r="Q2" s="26">
        <f>股权价值增加表!Q4</f>
        <v>12767230041.15</v>
      </c>
      <c r="R2" s="26">
        <f>股权价值增加表!R4</f>
        <v>9307426262</v>
      </c>
      <c r="S2" s="26">
        <f>股权价值增加表!S4</f>
        <v>5849589980.8900003</v>
      </c>
      <c r="T2" s="26">
        <f>股权价值增加表!T4</f>
        <v>2390695057.27</v>
      </c>
      <c r="U2" s="26">
        <f>股权价值增加表!U4</f>
        <v>11956507239.129999</v>
      </c>
      <c r="V2" s="26">
        <f>股权价值增加表!V4</f>
        <v>8565695458.21</v>
      </c>
      <c r="W2" s="26">
        <f>股权价值增加表!W4</f>
        <v>5414648582.5299997</v>
      </c>
      <c r="X2" s="26">
        <f>股权价值增加表!X4</f>
        <v>2070155415.79</v>
      </c>
      <c r="Y2" s="26">
        <f>股权价值增加表!Y4</f>
        <v>10703163376.129999</v>
      </c>
      <c r="Z2" s="26">
        <f>股权价值增加表!Z4</f>
        <v>7766650075.9799995</v>
      </c>
      <c r="AA2" s="26">
        <f>股权价值增加表!AA4</f>
        <v>4352728365.5</v>
      </c>
      <c r="AB2" s="26">
        <f>股权价值增加表!AB4</f>
        <v>1785299738.22</v>
      </c>
      <c r="AC2" s="26">
        <f>股权价值增加表!AC4</f>
        <v>8288198259.6800003</v>
      </c>
      <c r="AD2" s="26">
        <f>股权价值增加表!AD4</f>
        <v>6326671482.2600002</v>
      </c>
      <c r="AE2" s="26">
        <f>股权价值增加表!AE4</f>
        <v>4001898889.1199999</v>
      </c>
      <c r="AF2" s="26">
        <f>股权价值增加表!AF4</f>
        <v>1644797532.0899999</v>
      </c>
      <c r="AG2" s="26">
        <f>股权价值增加表!AG4</f>
        <v>6339109735.0900002</v>
      </c>
      <c r="AH2" s="26">
        <f>股权价值增加表!AH4</f>
        <v>4659762055.4300003</v>
      </c>
      <c r="AI2" s="26">
        <f>股权价值增加表!AI4</f>
        <v>2841252861.1300001</v>
      </c>
      <c r="AJ2" s="26">
        <f>股权价值增加表!AJ4</f>
        <v>1169899767.45</v>
      </c>
      <c r="AK2" s="26">
        <f>股权价值增加表!AK4</f>
        <v>4801517368.3699999</v>
      </c>
      <c r="AL2" s="26">
        <f>股权价值增加表!AL4</f>
        <v>3528348961.3000002</v>
      </c>
      <c r="AM2" s="26">
        <f>股权价值增加表!AM4</f>
        <v>2099639179.3099999</v>
      </c>
      <c r="AN2" s="26">
        <f>股权价值增加表!AN4</f>
        <v>873850113.40999997</v>
      </c>
      <c r="AO2" s="26">
        <f>股权价值增加表!AO4</f>
        <v>4442093335.0799999</v>
      </c>
      <c r="AP2" s="26">
        <f>股权价值增加表!AP4</f>
        <v>4184807996.5100002</v>
      </c>
      <c r="AQ2" s="26">
        <f>股权价值增加表!AQ4</f>
        <v>3377159073.3800001</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0.16127339962663551</v>
      </c>
      <c r="F3" s="66">
        <f t="shared" ref="F3:BQ3" si="0">(F2-J2)/J2</f>
        <v>0.74962076446744419</v>
      </c>
      <c r="G3" s="66">
        <f t="shared" si="0"/>
        <v>0.75922799224734405</v>
      </c>
      <c r="H3" s="66">
        <f t="shared" si="0"/>
        <v>0.67160128976775746</v>
      </c>
      <c r="I3" s="66">
        <f t="shared" si="0"/>
        <v>0.67668078623986461</v>
      </c>
      <c r="J3" s="66">
        <f t="shared" si="0"/>
        <v>3.8020284643728294E-2</v>
      </c>
      <c r="K3" s="66">
        <f t="shared" si="0"/>
        <v>7.2638135653406623E-3</v>
      </c>
      <c r="L3" s="66">
        <f t="shared" si="0"/>
        <v>5.3125320881324045E-2</v>
      </c>
      <c r="M3" s="66">
        <f t="shared" si="0"/>
        <v>-5.8020696041541399E-2</v>
      </c>
      <c r="N3" s="66">
        <f t="shared" si="0"/>
        <v>-5.7207958247695409E-2</v>
      </c>
      <c r="O3" s="66">
        <f t="shared" si="0"/>
        <v>-4.4386109687724953E-2</v>
      </c>
      <c r="P3" s="66">
        <f t="shared" si="0"/>
        <v>-5.40894186637354E-2</v>
      </c>
      <c r="Q3" s="66">
        <f t="shared" si="0"/>
        <v>6.7805989308211356E-2</v>
      </c>
      <c r="R3" s="66">
        <f t="shared" si="0"/>
        <v>8.6593179434025988E-2</v>
      </c>
      <c r="S3" s="66">
        <f t="shared" si="0"/>
        <v>8.0326800849700536E-2</v>
      </c>
      <c r="T3" s="66">
        <f t="shared" si="0"/>
        <v>0.15483844306330868</v>
      </c>
      <c r="U3" s="66">
        <f t="shared" si="0"/>
        <v>0.11710032062064799</v>
      </c>
      <c r="V3" s="66">
        <f t="shared" si="0"/>
        <v>0.1028815994557572</v>
      </c>
      <c r="W3" s="66">
        <f t="shared" si="0"/>
        <v>0.24396657173621181</v>
      </c>
      <c r="X3" s="66">
        <f t="shared" si="0"/>
        <v>0.15955621987264165</v>
      </c>
      <c r="Y3" s="66">
        <f t="shared" si="0"/>
        <v>0.29137395617069112</v>
      </c>
      <c r="Z3" s="66">
        <f t="shared" si="0"/>
        <v>0.22760445168643612</v>
      </c>
      <c r="AA3" s="66">
        <f t="shared" si="0"/>
        <v>8.7665752209233352E-2</v>
      </c>
      <c r="AB3" s="66">
        <f t="shared" si="0"/>
        <v>8.5422189290050646E-2</v>
      </c>
      <c r="AC3" s="66">
        <f t="shared" si="0"/>
        <v>0.30747038717453717</v>
      </c>
      <c r="AD3" s="66">
        <f t="shared" si="0"/>
        <v>0.35772415136252667</v>
      </c>
      <c r="AE3" s="66">
        <f t="shared" si="0"/>
        <v>0.40849797069043586</v>
      </c>
      <c r="AF3" s="66">
        <f t="shared" si="0"/>
        <v>0.40593030091383137</v>
      </c>
      <c r="AG3" s="66">
        <f t="shared" si="0"/>
        <v>0.32023051230614957</v>
      </c>
      <c r="AH3" s="66">
        <f t="shared" si="0"/>
        <v>0.3206636040084701</v>
      </c>
      <c r="AI3" s="66">
        <f t="shared" si="0"/>
        <v>0.35321006062751942</v>
      </c>
      <c r="AJ3" s="66">
        <f t="shared" si="0"/>
        <v>0.33878768165942569</v>
      </c>
      <c r="AK3" s="66">
        <f t="shared" si="0"/>
        <v>8.0913210546830372E-2</v>
      </c>
      <c r="AL3" s="66">
        <f t="shared" si="0"/>
        <v>-0.15686718142324962</v>
      </c>
      <c r="AM3" s="66">
        <f t="shared" si="0"/>
        <v>-0.37828241617040725</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16550869196.219999</v>
      </c>
      <c r="F4" s="26">
        <f>股权价值增加表!F5</f>
        <v>11165450332.620001</v>
      </c>
      <c r="G4" s="26">
        <f>股权价值增加表!G5</f>
        <v>6977459678.54</v>
      </c>
      <c r="H4" s="26">
        <f>股权价值增加表!H5</f>
        <v>2850748064.7600002</v>
      </c>
      <c r="I4" s="26">
        <f>股权价值增加表!I5</f>
        <v>14133408263.85</v>
      </c>
      <c r="J4" s="26">
        <f>股权价值增加表!J5</f>
        <v>6056785146.3400002</v>
      </c>
      <c r="K4" s="26">
        <f>股权价值增加表!K5</f>
        <v>3706679737.6399999</v>
      </c>
      <c r="L4" s="26">
        <f>股权价值增加表!L5</f>
        <v>1581859069.72</v>
      </c>
      <c r="M4" s="26">
        <f>股权价值增加表!M5</f>
        <v>7834815227.1300001</v>
      </c>
      <c r="N4" s="26">
        <f>股权价值增加表!N5</f>
        <v>5772001657.5900002</v>
      </c>
      <c r="O4" s="26">
        <f>股权价值增加表!O5</f>
        <v>3697041344.4400001</v>
      </c>
      <c r="P4" s="26">
        <f>股权价值增加表!P5</f>
        <v>1503157164.6400001</v>
      </c>
      <c r="Q4" s="26">
        <f>股权价值增加表!Q5</f>
        <v>8530428903.8100004</v>
      </c>
      <c r="R4" s="26">
        <f>股权价值增加表!R5</f>
        <v>6318306894.7399998</v>
      </c>
      <c r="S4" s="26">
        <f>股权价值增加表!S5</f>
        <v>3988494937.8899999</v>
      </c>
      <c r="T4" s="26">
        <f>股权价值增加表!T5</f>
        <v>1649556180.6500001</v>
      </c>
      <c r="U4" s="26">
        <f>股权价值增加表!U5</f>
        <v>8178719989.4300003</v>
      </c>
      <c r="V4" s="26">
        <f>股权价值增加表!V5</f>
        <v>5967713193.1999998</v>
      </c>
      <c r="W4" s="26">
        <f>股权价值增加表!W5</f>
        <v>3799988539.3400002</v>
      </c>
      <c r="X4" s="26">
        <f>股权价值增加表!X5</f>
        <v>1466120463.5599999</v>
      </c>
      <c r="Y4" s="26">
        <f>股权价值增加表!Y5</f>
        <v>7498731689.9099998</v>
      </c>
      <c r="Z4" s="26">
        <f>股权价值增加表!Z5</f>
        <v>5538830502.7700005</v>
      </c>
      <c r="AA4" s="26">
        <f>股权价值增加表!AA5</f>
        <v>3184574104.1799998</v>
      </c>
      <c r="AB4" s="26">
        <f>股权价值增加表!AB5</f>
        <v>1301604761.22</v>
      </c>
      <c r="AC4" s="26">
        <f>股权价值增加表!AC5</f>
        <v>6296733197.0900002</v>
      </c>
      <c r="AD4" s="26">
        <f>股权价值增加表!AD5</f>
        <v>4898410276.7700005</v>
      </c>
      <c r="AE4" s="26">
        <f>股权价值增加表!AE5</f>
        <v>3104943543.1399999</v>
      </c>
      <c r="AF4" s="26">
        <f>股权价值增加表!AF5</f>
        <v>1275846191.04</v>
      </c>
      <c r="AG4" s="26">
        <f>股权价值增加表!AG5</f>
        <v>4696761911.8800001</v>
      </c>
      <c r="AH4" s="26">
        <f>股权价值增加表!AH5</f>
        <v>3390889481.8699999</v>
      </c>
      <c r="AI4" s="26">
        <f>股权价值增加表!AI5</f>
        <v>2061871902.01</v>
      </c>
      <c r="AJ4" s="26">
        <f>股权价值增加表!AJ5</f>
        <v>841969122.13999999</v>
      </c>
      <c r="AK4" s="26">
        <f>股权价值增加表!AK5</f>
        <v>3449294141.2199998</v>
      </c>
      <c r="AL4" s="26">
        <f>股权价值增加表!AL5</f>
        <v>2463110319.4499998</v>
      </c>
      <c r="AM4" s="26">
        <f>股权价值增加表!AM5</f>
        <v>1463794341.21</v>
      </c>
      <c r="AN4" s="26">
        <f>股权价值增加表!AN5</f>
        <v>615881525.79999995</v>
      </c>
      <c r="AO4" s="26">
        <f>股权价值增加表!AO5</f>
        <v>3323817825.8200002</v>
      </c>
      <c r="AP4" s="26">
        <f>股权价值增加表!AP5</f>
        <v>3206716574.3499999</v>
      </c>
      <c r="AQ4" s="26">
        <f>股权价值增加表!AQ5</f>
        <v>2664705297.6700001</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0.70680220544325123</v>
      </c>
      <c r="F5" s="66">
        <f t="shared" si="2"/>
        <v>0.70061747788186346</v>
      </c>
      <c r="G5" s="66">
        <f t="shared" si="2"/>
        <v>0.70440770384873397</v>
      </c>
      <c r="H5" s="66">
        <f t="shared" si="2"/>
        <v>0.71609694078672848</v>
      </c>
      <c r="I5" s="66">
        <f t="shared" si="2"/>
        <v>0.70090389278640464</v>
      </c>
      <c r="J5" s="66">
        <f t="shared" si="2"/>
        <v>0.66495279456602352</v>
      </c>
      <c r="K5" s="66">
        <f t="shared" si="2"/>
        <v>0.65831530549047412</v>
      </c>
      <c r="L5" s="66">
        <f t="shared" si="2"/>
        <v>0.66422232230462808</v>
      </c>
      <c r="M5" s="66">
        <f t="shared" si="2"/>
        <v>0.65146443872033322</v>
      </c>
      <c r="N5" s="66">
        <f t="shared" si="2"/>
        <v>0.65778040972133967</v>
      </c>
      <c r="O5" s="66">
        <f t="shared" si="2"/>
        <v>0.66137294893279719</v>
      </c>
      <c r="P5" s="66">
        <f t="shared" si="2"/>
        <v>0.66470680338802135</v>
      </c>
      <c r="Q5" s="66">
        <f t="shared" si="2"/>
        <v>0.6681503251931401</v>
      </c>
      <c r="R5" s="66">
        <f t="shared" si="2"/>
        <v>0.67884576432650767</v>
      </c>
      <c r="S5" s="66">
        <f t="shared" si="2"/>
        <v>0.68184179590706295</v>
      </c>
      <c r="T5" s="66">
        <f t="shared" si="2"/>
        <v>0.68999020834287139</v>
      </c>
      <c r="U5" s="66">
        <f t="shared" si="2"/>
        <v>0.68403922866901679</v>
      </c>
      <c r="V5" s="66">
        <f t="shared" si="2"/>
        <v>0.69669920233740035</v>
      </c>
      <c r="W5" s="66">
        <f t="shared" si="2"/>
        <v>0.70179781410014463</v>
      </c>
      <c r="X5" s="66">
        <f t="shared" si="2"/>
        <v>0.70821758230191045</v>
      </c>
      <c r="Y5" s="66">
        <f t="shared" si="2"/>
        <v>0.70060891592419627</v>
      </c>
      <c r="Z5" s="66">
        <f t="shared" si="2"/>
        <v>0.71315566538783559</v>
      </c>
      <c r="AA5" s="66">
        <f t="shared" si="2"/>
        <v>0.7316271167806232</v>
      </c>
      <c r="AB5" s="66">
        <f t="shared" si="2"/>
        <v>0.72906791691894879</v>
      </c>
      <c r="AC5" s="66">
        <f t="shared" si="2"/>
        <v>0.75972280100031186</v>
      </c>
      <c r="AD5" s="66">
        <f t="shared" si="2"/>
        <v>0.77424761037540091</v>
      </c>
      <c r="AE5" s="66">
        <f t="shared" si="2"/>
        <v>0.77586756416596103</v>
      </c>
      <c r="AF5" s="66">
        <f t="shared" si="2"/>
        <v>0.77568586172355003</v>
      </c>
      <c r="AG5" s="66">
        <f t="shared" si="2"/>
        <v>0.7409182216678124</v>
      </c>
      <c r="AH5" s="66">
        <f t="shared" si="2"/>
        <v>0.72769584402246701</v>
      </c>
      <c r="AI5" s="66">
        <f t="shared" si="2"/>
        <v>0.72569109571964285</v>
      </c>
      <c r="AJ5" s="66">
        <f t="shared" si="2"/>
        <v>0.71969338362654611</v>
      </c>
      <c r="AK5" s="66">
        <f t="shared" ref="AK5:BP5" si="3">AK4/AK2</f>
        <v>0.71837585425437134</v>
      </c>
      <c r="AL5" s="66">
        <f t="shared" si="3"/>
        <v>0.69809147180909248</v>
      </c>
      <c r="AM5" s="66">
        <f t="shared" si="3"/>
        <v>0.6971647107914245</v>
      </c>
      <c r="AN5" s="66">
        <f t="shared" si="3"/>
        <v>0.70479080605329825</v>
      </c>
      <c r="AO5" s="66">
        <f t="shared" si="3"/>
        <v>0.74825483732438047</v>
      </c>
      <c r="AP5" s="66">
        <f t="shared" si="3"/>
        <v>0.76627567549677356</v>
      </c>
      <c r="AQ5" s="66">
        <f t="shared" si="3"/>
        <v>0.78903754302667573</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0.17104585725109964</v>
      </c>
      <c r="F6" s="66">
        <f t="shared" ref="F6:BQ6" si="5">(F4-J4)/J4</f>
        <v>0.84346151676967929</v>
      </c>
      <c r="G6" s="66">
        <f t="shared" si="5"/>
        <v>0.88240154866534759</v>
      </c>
      <c r="H6" s="66">
        <f t="shared" si="5"/>
        <v>0.80215046923529176</v>
      </c>
      <c r="I6" s="66">
        <f t="shared" si="5"/>
        <v>0.80392362220739455</v>
      </c>
      <c r="J6" s="66">
        <f t="shared" si="5"/>
        <v>4.9338774595727754E-2</v>
      </c>
      <c r="K6" s="66">
        <f t="shared" si="5"/>
        <v>2.6070558324956358E-3</v>
      </c>
      <c r="L6" s="66">
        <f t="shared" si="5"/>
        <v>5.2357735392791545E-2</v>
      </c>
      <c r="M6" s="66">
        <f t="shared" si="5"/>
        <v>-8.1544982617382092E-2</v>
      </c>
      <c r="N6" s="66">
        <f t="shared" si="5"/>
        <v>-8.6463865439141543E-2</v>
      </c>
      <c r="O6" s="66">
        <f t="shared" si="5"/>
        <v>-7.3073577374072107E-2</v>
      </c>
      <c r="P6" s="66">
        <f t="shared" si="5"/>
        <v>-8.87505486186667E-2</v>
      </c>
      <c r="Q6" s="66">
        <f t="shared" si="5"/>
        <v>4.3002928922195781E-2</v>
      </c>
      <c r="R6" s="66">
        <f t="shared" si="5"/>
        <v>5.8748416720074484E-2</v>
      </c>
      <c r="S6" s="66">
        <f t="shared" si="5"/>
        <v>4.9607096600017747E-2</v>
      </c>
      <c r="T6" s="66">
        <f t="shared" si="5"/>
        <v>0.12511640185731107</v>
      </c>
      <c r="U6" s="66">
        <f t="shared" si="5"/>
        <v>9.0680441391837785E-2</v>
      </c>
      <c r="V6" s="66">
        <f t="shared" si="5"/>
        <v>7.7431994031142981E-2</v>
      </c>
      <c r="W6" s="66">
        <f t="shared" si="5"/>
        <v>0.19324858364960679</v>
      </c>
      <c r="X6" s="66">
        <f t="shared" si="5"/>
        <v>0.12639451486471101</v>
      </c>
      <c r="Y6" s="66">
        <f t="shared" si="5"/>
        <v>0.19089239692980745</v>
      </c>
      <c r="Z6" s="66">
        <f t="shared" si="5"/>
        <v>0.13074042185422891</v>
      </c>
      <c r="AA6" s="66">
        <f t="shared" si="5"/>
        <v>2.5646379695351992E-2</v>
      </c>
      <c r="AB6" s="66">
        <f t="shared" si="5"/>
        <v>2.0189400854818629E-2</v>
      </c>
      <c r="AC6" s="66">
        <f t="shared" si="5"/>
        <v>0.34065411771523463</v>
      </c>
      <c r="AD6" s="66">
        <f t="shared" si="5"/>
        <v>0.44457974904821623</v>
      </c>
      <c r="AE6" s="66">
        <f t="shared" si="5"/>
        <v>0.50588576337510083</v>
      </c>
      <c r="AF6" s="66">
        <f t="shared" si="5"/>
        <v>0.51531232855336973</v>
      </c>
      <c r="AG6" s="66">
        <f t="shared" si="5"/>
        <v>0.36165885528648378</v>
      </c>
      <c r="AH6" s="66">
        <f t="shared" si="5"/>
        <v>0.37666975575303041</v>
      </c>
      <c r="AI6" s="66">
        <f t="shared" si="5"/>
        <v>0.40858032031030928</v>
      </c>
      <c r="AJ6" s="66">
        <f t="shared" si="5"/>
        <v>0.36709592164876731</v>
      </c>
      <c r="AK6" s="66">
        <f t="shared" si="5"/>
        <v>3.7750659625590058E-2</v>
      </c>
      <c r="AL6" s="66">
        <f t="shared" si="5"/>
        <v>-0.23189023340821094</v>
      </c>
      <c r="AM6" s="66">
        <f t="shared" si="5"/>
        <v>-0.45067308475352541</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6865680821.2500019</v>
      </c>
      <c r="F7" s="27">
        <f>股权价值增加表!F6</f>
        <v>4771135158.1899986</v>
      </c>
      <c r="G7" s="27">
        <f>股权价值增加表!G6</f>
        <v>2927968158.8000002</v>
      </c>
      <c r="H7" s="27">
        <f>股权价值增加表!H6</f>
        <v>1130204656.0099998</v>
      </c>
      <c r="I7" s="27">
        <f>股权价值增加表!I6</f>
        <v>6031136988.8000011</v>
      </c>
      <c r="J7" s="27">
        <f>股权价值增加表!J6</f>
        <v>3051809021.2999992</v>
      </c>
      <c r="K7" s="27">
        <f>股权价值增加表!K6</f>
        <v>1923874051.2900004</v>
      </c>
      <c r="L7" s="27">
        <f>股权价值增加表!L6</f>
        <v>799661419.12999988</v>
      </c>
      <c r="M7" s="27">
        <f>股权价值增加表!M6</f>
        <v>4191651240.5099993</v>
      </c>
      <c r="N7" s="27">
        <f>股权价值增加表!N6</f>
        <v>3002965751.4200001</v>
      </c>
      <c r="O7" s="27">
        <f>股权价值增加表!O6</f>
        <v>1892908093.9299998</v>
      </c>
      <c r="P7" s="27">
        <f>股权价值增加表!P6</f>
        <v>758226586.77999997</v>
      </c>
      <c r="Q7" s="27">
        <f>股权价值增加表!Q6</f>
        <v>4236801137.3399992</v>
      </c>
      <c r="R7" s="27">
        <f>股权价值增加表!R6</f>
        <v>2989119367.2600002</v>
      </c>
      <c r="S7" s="27">
        <f>股权价值增加表!S6</f>
        <v>1861095043.0000005</v>
      </c>
      <c r="T7" s="27">
        <f>股权价值增加表!T6</f>
        <v>741138876.61999989</v>
      </c>
      <c r="U7" s="27">
        <f>股权价值增加表!U6</f>
        <v>3777787249.6999989</v>
      </c>
      <c r="V7" s="27">
        <f>股权价值增加表!V6</f>
        <v>2597982265.0100002</v>
      </c>
      <c r="W7" s="27">
        <f>股权价值增加表!W6</f>
        <v>1614660043.1899996</v>
      </c>
      <c r="X7" s="27">
        <f>股权价值增加表!X6</f>
        <v>604034952.23000002</v>
      </c>
      <c r="Y7" s="27">
        <f>股权价值增加表!Y6</f>
        <v>3204431686.2199993</v>
      </c>
      <c r="Z7" s="27">
        <f>股权价值增加表!Z6</f>
        <v>2227819573.2099991</v>
      </c>
      <c r="AA7" s="27">
        <f>股权价值增加表!AA6</f>
        <v>1168154261.3200002</v>
      </c>
      <c r="AB7" s="27">
        <f>股权价值增加表!AB6</f>
        <v>483694977</v>
      </c>
      <c r="AC7" s="27">
        <f>股权价值增加表!AC6</f>
        <v>1991465062.5900002</v>
      </c>
      <c r="AD7" s="27">
        <f>股权价值增加表!AD6</f>
        <v>1428261205.4899998</v>
      </c>
      <c r="AE7" s="27">
        <f>股权价值增加表!AE6</f>
        <v>896955345.98000002</v>
      </c>
      <c r="AF7" s="27">
        <f>股权价值增加表!AF6</f>
        <v>368951341.04999995</v>
      </c>
      <c r="AG7" s="27">
        <f>股权价值增加表!AG6</f>
        <v>1642347823.21</v>
      </c>
      <c r="AH7" s="27">
        <f>股权价值增加表!AH6</f>
        <v>1268872573.5600004</v>
      </c>
      <c r="AI7" s="27">
        <f>股权价值增加表!AI6</f>
        <v>779380959.12000012</v>
      </c>
      <c r="AJ7" s="27">
        <f>股权价值增加表!AJ6</f>
        <v>327930645.31000006</v>
      </c>
      <c r="AK7" s="27">
        <f>股权价值增加表!AK6</f>
        <v>1352223227.1500001</v>
      </c>
      <c r="AL7" s="27">
        <f>股权价值增加表!AL6</f>
        <v>1065238641.8500004</v>
      </c>
      <c r="AM7" s="27">
        <f>股权价值增加表!AM6</f>
        <v>635844838.0999999</v>
      </c>
      <c r="AN7" s="27">
        <f>股权价值增加表!AN6</f>
        <v>257968587.61000001</v>
      </c>
      <c r="AO7" s="27">
        <f>股权价值增加表!AO6</f>
        <v>1118275509.2599998</v>
      </c>
      <c r="AP7" s="27">
        <f>股权价值增加表!AP6</f>
        <v>978091422.16000032</v>
      </c>
      <c r="AQ7" s="27">
        <f>股权价值增加表!AQ6</f>
        <v>712453775.71000004</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0.29319779455674883</v>
      </c>
      <c r="F8" s="66">
        <f t="shared" ref="F8:BQ8" si="7">F7/F2</f>
        <v>0.29938252211813654</v>
      </c>
      <c r="G8" s="66">
        <f t="shared" si="7"/>
        <v>0.29559229615126603</v>
      </c>
      <c r="H8" s="66">
        <f t="shared" si="7"/>
        <v>0.28390305921327152</v>
      </c>
      <c r="I8" s="66">
        <f t="shared" si="7"/>
        <v>0.29909610721359542</v>
      </c>
      <c r="J8" s="66">
        <f t="shared" si="7"/>
        <v>0.33504720543397654</v>
      </c>
      <c r="K8" s="66">
        <f t="shared" si="7"/>
        <v>0.34168469450952582</v>
      </c>
      <c r="L8" s="66">
        <f t="shared" si="7"/>
        <v>0.33577767769537192</v>
      </c>
      <c r="M8" s="66">
        <f t="shared" si="7"/>
        <v>0.34853556127966684</v>
      </c>
      <c r="N8" s="66">
        <f t="shared" si="7"/>
        <v>0.34221959027866033</v>
      </c>
      <c r="O8" s="66">
        <f t="shared" si="7"/>
        <v>0.33862705106720287</v>
      </c>
      <c r="P8" s="66">
        <f t="shared" si="7"/>
        <v>0.33529319661197865</v>
      </c>
      <c r="Q8" s="66">
        <f t="shared" si="7"/>
        <v>0.33184967480685984</v>
      </c>
      <c r="R8" s="66">
        <f t="shared" si="7"/>
        <v>0.32115423567349238</v>
      </c>
      <c r="S8" s="66">
        <f t="shared" si="7"/>
        <v>0.31815820409293705</v>
      </c>
      <c r="T8" s="66">
        <f t="shared" si="7"/>
        <v>0.31000979165712861</v>
      </c>
      <c r="U8" s="66">
        <f t="shared" si="7"/>
        <v>0.31596077133098321</v>
      </c>
      <c r="V8" s="66">
        <f t="shared" si="7"/>
        <v>0.30330079766259965</v>
      </c>
      <c r="W8" s="66">
        <f t="shared" si="7"/>
        <v>0.29820218589985542</v>
      </c>
      <c r="X8" s="66">
        <f t="shared" si="7"/>
        <v>0.29178241769808955</v>
      </c>
      <c r="Y8" s="66">
        <f t="shared" si="7"/>
        <v>0.29939108407580367</v>
      </c>
      <c r="Z8" s="66">
        <f t="shared" si="7"/>
        <v>0.28684433461216441</v>
      </c>
      <c r="AA8" s="66">
        <f t="shared" si="7"/>
        <v>0.26837288321937675</v>
      </c>
      <c r="AB8" s="66">
        <f t="shared" si="7"/>
        <v>0.27093208308105121</v>
      </c>
      <c r="AC8" s="66">
        <f t="shared" si="7"/>
        <v>0.24027719899968811</v>
      </c>
      <c r="AD8" s="66">
        <f t="shared" si="7"/>
        <v>0.22575238962459915</v>
      </c>
      <c r="AE8" s="66">
        <f t="shared" si="7"/>
        <v>0.22413243583403891</v>
      </c>
      <c r="AF8" s="66">
        <f t="shared" si="7"/>
        <v>0.22431413827645</v>
      </c>
      <c r="AG8" s="66">
        <f t="shared" si="7"/>
        <v>0.25908177833218765</v>
      </c>
      <c r="AH8" s="66">
        <f t="shared" si="7"/>
        <v>0.27230415597753299</v>
      </c>
      <c r="AI8" s="66">
        <f t="shared" si="7"/>
        <v>0.27430890428035715</v>
      </c>
      <c r="AJ8" s="66">
        <f t="shared" si="7"/>
        <v>0.28030661637345389</v>
      </c>
      <c r="AK8" s="66">
        <f t="shared" si="7"/>
        <v>0.28162414574562861</v>
      </c>
      <c r="AL8" s="66">
        <f t="shared" si="7"/>
        <v>0.30190852819090752</v>
      </c>
      <c r="AM8" s="66">
        <f t="shared" si="7"/>
        <v>0.3028352892085755</v>
      </c>
      <c r="AN8" s="66">
        <f t="shared" si="7"/>
        <v>0.29520919394670175</v>
      </c>
      <c r="AO8" s="66">
        <f t="shared" si="7"/>
        <v>0.25174516267561953</v>
      </c>
      <c r="AP8" s="66">
        <f t="shared" si="7"/>
        <v>0.23372432450322647</v>
      </c>
      <c r="AQ8" s="66">
        <f t="shared" si="7"/>
        <v>0.2109624569733243</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0.13837255462772163</v>
      </c>
      <c r="F9" s="66">
        <f t="shared" ref="F9:BQ9" si="9">(F7-J7)/J7</f>
        <v>0.56337933497477066</v>
      </c>
      <c r="G9" s="66">
        <f t="shared" si="9"/>
        <v>0.52191259965106984</v>
      </c>
      <c r="H9" s="66">
        <f t="shared" si="9"/>
        <v>0.41335398829121694</v>
      </c>
      <c r="I9" s="66">
        <f t="shared" si="9"/>
        <v>0.43884513351501808</v>
      </c>
      <c r="J9" s="66">
        <f t="shared" si="9"/>
        <v>1.6265010633871813E-2</v>
      </c>
      <c r="K9" s="66">
        <f t="shared" si="9"/>
        <v>1.6358933357250329E-2</v>
      </c>
      <c r="L9" s="66">
        <f t="shared" si="9"/>
        <v>5.4647031734884617E-2</v>
      </c>
      <c r="M9" s="66">
        <f t="shared" si="9"/>
        <v>-1.0656600431887745E-2</v>
      </c>
      <c r="N9" s="66">
        <f t="shared" si="9"/>
        <v>4.6322620339823515E-3</v>
      </c>
      <c r="O9" s="66">
        <f t="shared" si="9"/>
        <v>1.7093727184785877E-2</v>
      </c>
      <c r="P9" s="66">
        <f t="shared" si="9"/>
        <v>2.3056016489014074E-2</v>
      </c>
      <c r="Q9" s="66">
        <f t="shared" si="9"/>
        <v>0.12150337149781304</v>
      </c>
      <c r="R9" s="66">
        <f t="shared" si="9"/>
        <v>0.1505541848833577</v>
      </c>
      <c r="S9" s="66">
        <f t="shared" si="9"/>
        <v>0.15262345832447313</v>
      </c>
      <c r="T9" s="66">
        <f t="shared" si="9"/>
        <v>0.22698011743167212</v>
      </c>
      <c r="U9" s="66">
        <f t="shared" si="9"/>
        <v>0.1789258188731554</v>
      </c>
      <c r="V9" s="66">
        <f t="shared" si="9"/>
        <v>0.16615469953280135</v>
      </c>
      <c r="W9" s="66">
        <f t="shared" si="9"/>
        <v>0.38223186496401024</v>
      </c>
      <c r="X9" s="66">
        <f t="shared" si="9"/>
        <v>0.24879310506050598</v>
      </c>
      <c r="Y9" s="66">
        <f t="shared" si="9"/>
        <v>0.60908255254675436</v>
      </c>
      <c r="Z9" s="66">
        <f t="shared" si="9"/>
        <v>0.55981242411866206</v>
      </c>
      <c r="AA9" s="66">
        <f t="shared" si="9"/>
        <v>0.30235497960457802</v>
      </c>
      <c r="AB9" s="66">
        <f t="shared" si="9"/>
        <v>0.31099937358528285</v>
      </c>
      <c r="AC9" s="66">
        <f t="shared" si="9"/>
        <v>0.21257204743489952</v>
      </c>
      <c r="AD9" s="66">
        <f t="shared" si="9"/>
        <v>0.12561437235798401</v>
      </c>
      <c r="AE9" s="66">
        <f t="shared" si="9"/>
        <v>0.1508561191856076</v>
      </c>
      <c r="AF9" s="66">
        <f t="shared" si="9"/>
        <v>0.12508954660587493</v>
      </c>
      <c r="AG9" s="66">
        <f t="shared" si="9"/>
        <v>0.21455377354482971</v>
      </c>
      <c r="AH9" s="66">
        <f t="shared" si="9"/>
        <v>0.1911627345365062</v>
      </c>
      <c r="AI9" s="66">
        <f t="shared" si="9"/>
        <v>0.22574079778473591</v>
      </c>
      <c r="AJ9" s="66">
        <f t="shared" si="9"/>
        <v>0.27120378627559694</v>
      </c>
      <c r="AK9" s="66">
        <f t="shared" si="9"/>
        <v>0.20920400737812039</v>
      </c>
      <c r="AL9" s="66">
        <f t="shared" si="9"/>
        <v>8.9099257713093558E-2</v>
      </c>
      <c r="AM9" s="66">
        <f t="shared" si="9"/>
        <v>-0.10752829197045807</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172847931.47</v>
      </c>
      <c r="F10" s="27">
        <f>股权价值增加表!F8</f>
        <v>125643147.61</v>
      </c>
      <c r="G10" s="27">
        <f>股权价值增加表!G8</f>
        <v>84730729.579999998</v>
      </c>
      <c r="H10" s="27">
        <f>股权价值增加表!H8</f>
        <v>39298428.310000002</v>
      </c>
      <c r="I10" s="27">
        <f>股权价值增加表!I8</f>
        <v>140953420.24000001</v>
      </c>
      <c r="J10" s="27">
        <f>股权价值增加表!J8</f>
        <v>61554838.520000003</v>
      </c>
      <c r="K10" s="27">
        <f>股权价值增加表!K8</f>
        <v>36864689.57</v>
      </c>
      <c r="L10" s="27">
        <f>股权价值增加表!L8</f>
        <v>16224190.449999999</v>
      </c>
      <c r="M10" s="27">
        <f>股权价值增加表!M8</f>
        <v>80065876.439999998</v>
      </c>
      <c r="N10" s="27">
        <f>股权价值增加表!N8</f>
        <v>59992069.630000003</v>
      </c>
      <c r="O10" s="27">
        <f>股权价值增加表!O8</f>
        <v>40117131.350000001</v>
      </c>
      <c r="P10" s="27">
        <f>股权价值增加表!P8</f>
        <v>16597056.779999999</v>
      </c>
      <c r="Q10" s="27">
        <f>股权价值增加表!Q8</f>
        <v>86817539.200000003</v>
      </c>
      <c r="R10" s="27">
        <f>股权价值增加表!R8</f>
        <v>64685794.259999998</v>
      </c>
      <c r="S10" s="27">
        <f>股权价值增加表!S8</f>
        <v>40273195.219999999</v>
      </c>
      <c r="T10" s="27">
        <f>股权价值增加表!T8</f>
        <v>16456102.74</v>
      </c>
      <c r="U10" s="27">
        <f>股权价值增加表!U8</f>
        <v>72341776.040000007</v>
      </c>
      <c r="V10" s="27">
        <f>股权价值增加表!V8</f>
        <v>52726185.840000004</v>
      </c>
      <c r="W10" s="27">
        <f>股权价值增加表!W8</f>
        <v>34688736.259999998</v>
      </c>
      <c r="X10" s="27">
        <f>股权价值增加表!X8</f>
        <v>14139226.84</v>
      </c>
      <c r="Y10" s="27">
        <f>股权价值增加表!Y8</f>
        <v>70865876.530000001</v>
      </c>
      <c r="Z10" s="27">
        <f>股权价值增加表!Z8</f>
        <v>49925721.030000001</v>
      </c>
      <c r="AA10" s="27">
        <f>股权价值增加表!AA8</f>
        <v>29606147.609999999</v>
      </c>
      <c r="AB10" s="27">
        <f>股权价值增加表!AB8</f>
        <v>11299821.58</v>
      </c>
      <c r="AC10" s="27">
        <f>股权价值增加表!AC8</f>
        <v>39387688.710000001</v>
      </c>
      <c r="AD10" s="27">
        <f>股权价值增加表!AD8</f>
        <v>32588454.109999999</v>
      </c>
      <c r="AE10" s="27">
        <f>股权价值增加表!AE8</f>
        <v>21109252.890000001</v>
      </c>
      <c r="AF10" s="27">
        <f>股权价值增加表!AF8</f>
        <v>10094291.289999999</v>
      </c>
      <c r="AG10" s="27">
        <f>股权价值增加表!AG8</f>
        <v>34480350.68</v>
      </c>
      <c r="AH10" s="27">
        <f>股权价值增加表!AH8</f>
        <v>27875527.77</v>
      </c>
      <c r="AI10" s="27">
        <f>股权价值增加表!AI8</f>
        <v>17644207.02</v>
      </c>
      <c r="AJ10" s="27">
        <f>股权价值增加表!AJ8</f>
        <v>8234488.3600000003</v>
      </c>
      <c r="AK10" s="27">
        <f>股权价值增加表!AK8</f>
        <v>31444873.27</v>
      </c>
      <c r="AL10" s="27">
        <f>股权价值增加表!AL8</f>
        <v>25497631.59</v>
      </c>
      <c r="AM10" s="27">
        <f>股权价值增加表!AM8</f>
        <v>16872103.5</v>
      </c>
      <c r="AN10" s="27">
        <f>股权价值增加表!AN8</f>
        <v>7947650.8099999996</v>
      </c>
      <c r="AO10" s="27">
        <f>股权价值增加表!AO8</f>
        <v>26668060.41</v>
      </c>
      <c r="AP10" s="27">
        <f>股权价值增加表!AP8</f>
        <v>20135095.489999998</v>
      </c>
      <c r="AQ10" s="27">
        <f>股权价值增加表!AQ8</f>
        <v>14632984.1</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7.3814430964871504E-3</v>
      </c>
      <c r="F11" s="57">
        <f t="shared" ref="F11:BQ11" si="11">F10/F2</f>
        <v>7.883944003089836E-3</v>
      </c>
      <c r="G11" s="57">
        <f t="shared" si="11"/>
        <v>8.5539696993798455E-3</v>
      </c>
      <c r="H11" s="57">
        <f t="shared" si="11"/>
        <v>9.8716139242163263E-3</v>
      </c>
      <c r="I11" s="57">
        <f t="shared" si="11"/>
        <v>6.9901611206171915E-3</v>
      </c>
      <c r="J11" s="57">
        <f t="shared" si="11"/>
        <v>6.7578857271614083E-3</v>
      </c>
      <c r="K11" s="57">
        <f t="shared" si="11"/>
        <v>6.5472582186281826E-3</v>
      </c>
      <c r="L11" s="57">
        <f t="shared" si="11"/>
        <v>6.8125344820503366E-3</v>
      </c>
      <c r="M11" s="57">
        <f t="shared" si="11"/>
        <v>6.6574730537382557E-3</v>
      </c>
      <c r="N11" s="57">
        <f t="shared" si="11"/>
        <v>6.8367284838461145E-3</v>
      </c>
      <c r="O11" s="57">
        <f t="shared" si="11"/>
        <v>7.1766537054220566E-3</v>
      </c>
      <c r="P11" s="57">
        <f t="shared" si="11"/>
        <v>7.3393367090296554E-3</v>
      </c>
      <c r="Q11" s="57">
        <f t="shared" si="11"/>
        <v>6.8000293658200565E-3</v>
      </c>
      <c r="R11" s="57">
        <f t="shared" si="11"/>
        <v>6.9499120851589935E-3</v>
      </c>
      <c r="S11" s="57">
        <f t="shared" si="11"/>
        <v>6.8847894214070253E-3</v>
      </c>
      <c r="T11" s="57">
        <f t="shared" si="11"/>
        <v>6.8833968138084806E-3</v>
      </c>
      <c r="U11" s="57">
        <f t="shared" si="11"/>
        <v>6.0504104244797725E-3</v>
      </c>
      <c r="V11" s="57">
        <f t="shared" si="11"/>
        <v>6.1555055391869324E-3</v>
      </c>
      <c r="W11" s="57">
        <f t="shared" si="11"/>
        <v>6.4064612377469658E-3</v>
      </c>
      <c r="X11" s="57">
        <f t="shared" si="11"/>
        <v>6.830031567752741E-3</v>
      </c>
      <c r="Y11" s="57">
        <f t="shared" si="11"/>
        <v>6.621021658703612E-3</v>
      </c>
      <c r="Z11" s="57">
        <f t="shared" si="11"/>
        <v>6.4282181560368998E-3</v>
      </c>
      <c r="AA11" s="57">
        <f t="shared" si="11"/>
        <v>6.8017448193322134E-3</v>
      </c>
      <c r="AB11" s="57">
        <f t="shared" si="11"/>
        <v>6.3293694263722219E-3</v>
      </c>
      <c r="AC11" s="57">
        <f t="shared" si="11"/>
        <v>4.7522618880403954E-3</v>
      </c>
      <c r="AD11" s="57">
        <f t="shared" si="11"/>
        <v>5.1509635360992099E-3</v>
      </c>
      <c r="AE11" s="57">
        <f t="shared" si="11"/>
        <v>5.2748091530722893E-3</v>
      </c>
      <c r="AF11" s="57">
        <f t="shared" si="11"/>
        <v>6.1371026482350413E-3</v>
      </c>
      <c r="AG11" s="57">
        <f t="shared" si="11"/>
        <v>5.4393049057243461E-3</v>
      </c>
      <c r="AH11" s="57">
        <f t="shared" si="11"/>
        <v>5.9821783684247927E-3</v>
      </c>
      <c r="AI11" s="57">
        <f t="shared" si="11"/>
        <v>6.2100094156993437E-3</v>
      </c>
      <c r="AJ11" s="57">
        <f t="shared" si="11"/>
        <v>7.0386272303895742E-3</v>
      </c>
      <c r="AK11" s="57">
        <f t="shared" si="11"/>
        <v>6.5489450224929168E-3</v>
      </c>
      <c r="AL11" s="57">
        <f t="shared" si="11"/>
        <v>7.2265050508511898E-3</v>
      </c>
      <c r="AM11" s="57">
        <f t="shared" si="11"/>
        <v>8.0357156916573847E-3</v>
      </c>
      <c r="AN11" s="57">
        <f t="shared" si="11"/>
        <v>9.0949817228793538E-3</v>
      </c>
      <c r="AO11" s="57">
        <f t="shared" si="11"/>
        <v>6.0034894358021685E-3</v>
      </c>
      <c r="AP11" s="57">
        <f t="shared" si="11"/>
        <v>4.8114741481071633E-3</v>
      </c>
      <c r="AQ11" s="57">
        <f t="shared" si="11"/>
        <v>4.3329271088657084E-3</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1341469811.8800001</v>
      </c>
      <c r="F12" s="27">
        <f>股权价值增加表!F9</f>
        <v>943220685.75</v>
      </c>
      <c r="G12" s="27">
        <f>股权价值增加表!G9</f>
        <v>536793153.63</v>
      </c>
      <c r="H12" s="27">
        <f>股权价值增加表!H9</f>
        <v>238114840.24000001</v>
      </c>
      <c r="I12" s="27">
        <f>股权价值增加表!I9</f>
        <v>1012287977.97</v>
      </c>
      <c r="J12" s="27">
        <f>股权价值增加表!J9</f>
        <v>585917334.28999996</v>
      </c>
      <c r="K12" s="27">
        <f>股权价值增加表!K9</f>
        <v>376718506.63999999</v>
      </c>
      <c r="L12" s="27">
        <f>股权价值增加表!L9</f>
        <v>155185785.18000001</v>
      </c>
      <c r="M12" s="27">
        <f>股权价值增加表!M9</f>
        <v>799960742.79999995</v>
      </c>
      <c r="N12" s="27">
        <f>股权价值增加表!N9</f>
        <v>557077371.64999998</v>
      </c>
      <c r="O12" s="27">
        <f>股权价值增加表!O9</f>
        <v>347629173.56999999</v>
      </c>
      <c r="P12" s="27">
        <f>股权价值增加表!P9</f>
        <v>132177782.84999999</v>
      </c>
      <c r="Q12" s="27">
        <f>股权价值增加表!Q9</f>
        <v>799110210.19000006</v>
      </c>
      <c r="R12" s="27">
        <f>股权价值增加表!R9</f>
        <v>519117602.83999997</v>
      </c>
      <c r="S12" s="27">
        <f>股权价值增加表!S9</f>
        <v>338400874.31</v>
      </c>
      <c r="T12" s="27">
        <f>股权价值增加表!T9</f>
        <v>134787666.25</v>
      </c>
      <c r="U12" s="27">
        <f>股权价值增加表!U9</f>
        <v>700102393.12</v>
      </c>
      <c r="V12" s="27">
        <f>股权价值增加表!V9</f>
        <v>442424799.10000002</v>
      </c>
      <c r="W12" s="27">
        <f>股权价值增加表!W9</f>
        <v>286737260.63999999</v>
      </c>
      <c r="X12" s="27">
        <f>股权价值增加表!X9</f>
        <v>111119736.79000001</v>
      </c>
      <c r="Y12" s="27">
        <f>股权价值增加表!Y9</f>
        <v>640488295.13999999</v>
      </c>
      <c r="Z12" s="27">
        <f>股权价值增加表!Z9</f>
        <v>376397658.36000001</v>
      </c>
      <c r="AA12" s="27">
        <f>股权价值增加表!AA9</f>
        <v>192487414.75999999</v>
      </c>
      <c r="AB12" s="27">
        <f>股权价值增加表!AB9</f>
        <v>90503685.140000001</v>
      </c>
      <c r="AC12" s="27">
        <f>股权价值增加表!AC9</f>
        <v>339492443.41000003</v>
      </c>
      <c r="AD12" s="27">
        <f>股权价值增加表!AD9</f>
        <v>226688355.41</v>
      </c>
      <c r="AE12" s="27">
        <f>股权价值增加表!AE9</f>
        <v>144583266.66</v>
      </c>
      <c r="AF12" s="27">
        <f>股权价值增加表!AF9</f>
        <v>61573455.109999999</v>
      </c>
      <c r="AG12" s="27">
        <f>股权价值增加表!AG9</f>
        <v>304087272.88</v>
      </c>
      <c r="AH12" s="27">
        <f>股权价值增加表!AH9</f>
        <v>173048403.86000001</v>
      </c>
      <c r="AI12" s="27">
        <f>股权价值增加表!AI9</f>
        <v>109804959.87</v>
      </c>
      <c r="AJ12" s="27">
        <f>股权价值增加表!AJ9</f>
        <v>46256843.770000003</v>
      </c>
      <c r="AK12" s="27">
        <f>股权价值增加表!AK9</f>
        <v>242378250.05000001</v>
      </c>
      <c r="AL12" s="27">
        <f>股权价值增加表!AL9</f>
        <v>172863377.22999999</v>
      </c>
      <c r="AM12" s="27">
        <f>股权价值增加表!AM9</f>
        <v>98365299.659999996</v>
      </c>
      <c r="AN12" s="27">
        <f>股权价值增加表!AN9</f>
        <v>45868554.920000002</v>
      </c>
      <c r="AO12" s="27">
        <f>股权价值增加表!AO9</f>
        <v>235948325.06</v>
      </c>
      <c r="AP12" s="27">
        <f>股权价值增加表!AP9</f>
        <v>205162394.99000001</v>
      </c>
      <c r="AQ12" s="27">
        <f>股权价值增加表!AQ9</f>
        <v>208491220.16999999</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5.7287252429550545E-2</v>
      </c>
      <c r="F13" s="57">
        <f t="shared" ref="F13:BQ13" si="13">F12/F2</f>
        <v>5.9185870542590079E-2</v>
      </c>
      <c r="G13" s="57">
        <f t="shared" si="13"/>
        <v>5.4191819116230139E-2</v>
      </c>
      <c r="H13" s="57">
        <f t="shared" si="13"/>
        <v>5.9813531318187473E-2</v>
      </c>
      <c r="I13" s="57">
        <f t="shared" si="13"/>
        <v>5.0201378969206671E-2</v>
      </c>
      <c r="J13" s="57">
        <f t="shared" si="13"/>
        <v>6.4325770092116069E-2</v>
      </c>
      <c r="K13" s="57">
        <f t="shared" si="13"/>
        <v>6.6906119852837689E-2</v>
      </c>
      <c r="L13" s="57">
        <f t="shared" si="13"/>
        <v>6.5162481661006771E-2</v>
      </c>
      <c r="M13" s="57">
        <f t="shared" si="13"/>
        <v>6.6516690081203825E-2</v>
      </c>
      <c r="N13" s="57">
        <f t="shared" si="13"/>
        <v>6.3484836545147916E-2</v>
      </c>
      <c r="O13" s="57">
        <f t="shared" si="13"/>
        <v>6.2188250073218349E-2</v>
      </c>
      <c r="P13" s="57">
        <f t="shared" si="13"/>
        <v>5.8449956919961528E-2</v>
      </c>
      <c r="Q13" s="57">
        <f t="shared" si="13"/>
        <v>6.2590727010823147E-2</v>
      </c>
      <c r="R13" s="57">
        <f t="shared" si="13"/>
        <v>5.5774559822131843E-2</v>
      </c>
      <c r="S13" s="57">
        <f t="shared" si="13"/>
        <v>5.7850357959364732E-2</v>
      </c>
      <c r="T13" s="57">
        <f t="shared" si="13"/>
        <v>5.6380116669466712E-2</v>
      </c>
      <c r="U13" s="57">
        <f t="shared" si="13"/>
        <v>5.8554089343815938E-2</v>
      </c>
      <c r="V13" s="57">
        <f t="shared" si="13"/>
        <v>5.1650773864012074E-2</v>
      </c>
      <c r="W13" s="57">
        <f t="shared" si="13"/>
        <v>5.2955839380811991E-2</v>
      </c>
      <c r="X13" s="57">
        <f t="shared" si="13"/>
        <v>5.367700219144908E-2</v>
      </c>
      <c r="Y13" s="57">
        <f t="shared" si="13"/>
        <v>5.9841027613238659E-2</v>
      </c>
      <c r="Z13" s="57">
        <f t="shared" si="13"/>
        <v>4.8463321339027365E-2</v>
      </c>
      <c r="AA13" s="57">
        <f t="shared" si="13"/>
        <v>4.4222243750762717E-2</v>
      </c>
      <c r="AB13" s="57">
        <f t="shared" si="13"/>
        <v>5.0693832078995887E-2</v>
      </c>
      <c r="AC13" s="57">
        <f t="shared" si="13"/>
        <v>4.0960946248299268E-2</v>
      </c>
      <c r="AD13" s="57">
        <f t="shared" si="13"/>
        <v>3.583058738637443E-2</v>
      </c>
      <c r="AE13" s="57">
        <f t="shared" si="13"/>
        <v>3.6128665582501315E-2</v>
      </c>
      <c r="AF13" s="57">
        <f t="shared" si="13"/>
        <v>3.7435279363387829E-2</v>
      </c>
      <c r="AG13" s="57">
        <f t="shared" si="13"/>
        <v>4.7970028219693324E-2</v>
      </c>
      <c r="AH13" s="57">
        <f t="shared" si="13"/>
        <v>3.7136746855635575E-2</v>
      </c>
      <c r="AI13" s="57">
        <f t="shared" si="13"/>
        <v>3.8646669352170669E-2</v>
      </c>
      <c r="AJ13" s="57">
        <f t="shared" si="13"/>
        <v>3.9539151179442351E-2</v>
      </c>
      <c r="AK13" s="57">
        <f t="shared" si="13"/>
        <v>5.0479511257559319E-2</v>
      </c>
      <c r="AL13" s="57">
        <f t="shared" si="13"/>
        <v>4.8992709940546657E-2</v>
      </c>
      <c r="AM13" s="57">
        <f t="shared" si="13"/>
        <v>4.6848668394693219E-2</v>
      </c>
      <c r="AN13" s="57">
        <f t="shared" si="13"/>
        <v>5.2490185921025369E-2</v>
      </c>
      <c r="AO13" s="57">
        <f t="shared" si="13"/>
        <v>5.3116471731171018E-2</v>
      </c>
      <c r="AP13" s="57">
        <f t="shared" si="13"/>
        <v>4.9025521639487181E-2</v>
      </c>
      <c r="AQ13" s="57">
        <f t="shared" si="13"/>
        <v>6.1735682459675603E-2</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1809757827.79</v>
      </c>
      <c r="F14" s="26">
        <f>股权价值增加表!F10</f>
        <v>1195795900.72</v>
      </c>
      <c r="G14" s="26">
        <f>股权价值增加表!G10</f>
        <v>710007855.64999998</v>
      </c>
      <c r="H14" s="26">
        <f>股权价值增加表!H10</f>
        <v>331002346.07999998</v>
      </c>
      <c r="I14" s="26">
        <f>股权价值增加表!I10</f>
        <v>1599436189.22</v>
      </c>
      <c r="J14" s="26">
        <f>股权价值增加表!J10</f>
        <v>789091353.80999994</v>
      </c>
      <c r="K14" s="26">
        <f>股权价值增加表!K10</f>
        <v>495371249.25999999</v>
      </c>
      <c r="L14" s="26">
        <f>股权价值增加表!L10</f>
        <v>205491976.12</v>
      </c>
      <c r="M14" s="26">
        <f>股权价值增加表!M10</f>
        <v>1021786675.23</v>
      </c>
      <c r="N14" s="26">
        <f>股权价值增加表!N10</f>
        <v>689967405.90999997</v>
      </c>
      <c r="O14" s="26">
        <f>股权价值增加表!O10</f>
        <v>417311348.56999999</v>
      </c>
      <c r="P14" s="26">
        <f>股权价值增加表!P10</f>
        <v>183118439.18000001</v>
      </c>
      <c r="Q14" s="26">
        <f>股权价值增加表!Q10</f>
        <v>914875070.05999994</v>
      </c>
      <c r="R14" s="26">
        <f>股权价值增加表!R10</f>
        <v>648228184.92999995</v>
      </c>
      <c r="S14" s="26">
        <f>股权价值增加表!S10</f>
        <v>405635770.99000001</v>
      </c>
      <c r="T14" s="26">
        <f>股权价值增加表!T10</f>
        <v>184726394.09999999</v>
      </c>
      <c r="U14" s="26">
        <f>股权价值增加表!U10</f>
        <v>876437478.94000006</v>
      </c>
      <c r="V14" s="26">
        <f>股权价值增加表!V10</f>
        <v>625296419.80999994</v>
      </c>
      <c r="W14" s="26">
        <f>股权价值增加表!W10</f>
        <v>390891059.19999999</v>
      </c>
      <c r="X14" s="26">
        <f>股权价值增加表!X10</f>
        <v>168010196.88</v>
      </c>
      <c r="Y14" s="26">
        <f>股权价值增加表!Y10</f>
        <v>823881754.29999995</v>
      </c>
      <c r="Z14" s="26">
        <f>股权价值增加表!Z10</f>
        <v>589429908.96000004</v>
      </c>
      <c r="AA14" s="26">
        <f>股权价值增加表!AA10</f>
        <v>301768185.20999998</v>
      </c>
      <c r="AB14" s="26">
        <f>股权价值增加表!AB10</f>
        <v>144657164.99000001</v>
      </c>
      <c r="AC14" s="26">
        <f>股权价值增加表!AC10</f>
        <v>587905120.27999997</v>
      </c>
      <c r="AD14" s="26">
        <f>股权价值增加表!AD10</f>
        <v>401396291.48000002</v>
      </c>
      <c r="AE14" s="26">
        <f>股权价值增加表!AE10</f>
        <v>244177208.99000001</v>
      </c>
      <c r="AF14" s="26">
        <f>股权价值增加表!AF10</f>
        <v>114344750.41</v>
      </c>
      <c r="AG14" s="26">
        <f>股权价值增加表!AG10</f>
        <v>493330199.16000003</v>
      </c>
      <c r="AH14" s="26">
        <f>股权价值增加表!AH10</f>
        <v>335619169.76999998</v>
      </c>
      <c r="AI14" s="26">
        <f>股权价值增加表!AI10</f>
        <v>164304271.16</v>
      </c>
      <c r="AJ14" s="26">
        <f>股权价值增加表!AJ10</f>
        <v>74178353.920000002</v>
      </c>
      <c r="AK14" s="26">
        <f>股权价值增加表!AK10</f>
        <v>364095361.85000002</v>
      </c>
      <c r="AL14" s="26">
        <f>股权价值增加表!AL10</f>
        <v>234897856.68000001</v>
      </c>
      <c r="AM14" s="26">
        <f>股权价值增加表!AM10</f>
        <v>121176259.28</v>
      </c>
      <c r="AN14" s="26">
        <f>股权价值增加表!AN10</f>
        <v>52272916.82</v>
      </c>
      <c r="AO14" s="26">
        <f>股权价值增加表!AO10</f>
        <v>243091183.40000001</v>
      </c>
      <c r="AP14" s="26">
        <f>股权价值增加表!AP10</f>
        <v>164890658.56</v>
      </c>
      <c r="AQ14" s="26">
        <f>股权价值增加表!AQ10</f>
        <v>168473850.03999999</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7.7285416785983579E-2</v>
      </c>
      <c r="F15" s="57">
        <f t="shared" ref="F15:BQ15" si="15">F14/F2</f>
        <v>7.5034636585708303E-2</v>
      </c>
      <c r="G15" s="57">
        <f t="shared" si="15"/>
        <v>7.1678666213035092E-2</v>
      </c>
      <c r="H15" s="57">
        <f t="shared" si="15"/>
        <v>8.3146515243209707E-2</v>
      </c>
      <c r="I15" s="57">
        <f t="shared" si="15"/>
        <v>7.9319229329498711E-2</v>
      </c>
      <c r="J15" s="57">
        <f t="shared" si="15"/>
        <v>8.6631519561316719E-2</v>
      </c>
      <c r="K15" s="57">
        <f t="shared" si="15"/>
        <v>8.7979134527393907E-2</v>
      </c>
      <c r="L15" s="57">
        <f t="shared" si="15"/>
        <v>8.6286041662076554E-2</v>
      </c>
      <c r="M15" s="57">
        <f t="shared" si="15"/>
        <v>8.4961503695150556E-2</v>
      </c>
      <c r="N15" s="57">
        <f t="shared" si="15"/>
        <v>7.8629056240317449E-2</v>
      </c>
      <c r="O15" s="57">
        <f t="shared" si="15"/>
        <v>7.4653868191638925E-2</v>
      </c>
      <c r="P15" s="57">
        <f t="shared" si="15"/>
        <v>8.0976277938237459E-2</v>
      </c>
      <c r="Q15" s="57">
        <f t="shared" si="15"/>
        <v>7.165807047505765E-2</v>
      </c>
      <c r="R15" s="57">
        <f t="shared" si="15"/>
        <v>6.9646341177749746E-2</v>
      </c>
      <c r="S15" s="57">
        <f t="shared" si="15"/>
        <v>6.9344308287447448E-2</v>
      </c>
      <c r="T15" s="57">
        <f t="shared" si="15"/>
        <v>7.7268907022773586E-2</v>
      </c>
      <c r="U15" s="57">
        <f t="shared" si="15"/>
        <v>7.3302132588661653E-2</v>
      </c>
      <c r="V15" s="57">
        <f t="shared" si="15"/>
        <v>7.3000076042940482E-2</v>
      </c>
      <c r="W15" s="57">
        <f t="shared" si="15"/>
        <v>7.2191399541825074E-2</v>
      </c>
      <c r="X15" s="57">
        <f t="shared" si="15"/>
        <v>8.1158252949759799E-2</v>
      </c>
      <c r="Y15" s="57">
        <f t="shared" si="15"/>
        <v>7.6975537544106451E-2</v>
      </c>
      <c r="Z15" s="57">
        <f t="shared" si="15"/>
        <v>7.589242507306157E-2</v>
      </c>
      <c r="AA15" s="57">
        <f t="shared" si="15"/>
        <v>6.9328513031466352E-2</v>
      </c>
      <c r="AB15" s="57">
        <f t="shared" si="15"/>
        <v>8.1026822495491854E-2</v>
      </c>
      <c r="AC15" s="57">
        <f t="shared" si="15"/>
        <v>7.093280129892772E-2</v>
      </c>
      <c r="AD15" s="57">
        <f t="shared" si="15"/>
        <v>6.3445097885280757E-2</v>
      </c>
      <c r="AE15" s="57">
        <f t="shared" si="15"/>
        <v>6.1015336907648238E-2</v>
      </c>
      <c r="AF15" s="57">
        <f t="shared" si="15"/>
        <v>6.9519043030606451E-2</v>
      </c>
      <c r="AG15" s="57">
        <f t="shared" si="15"/>
        <v>7.7823262220747147E-2</v>
      </c>
      <c r="AH15" s="57">
        <f t="shared" si="15"/>
        <v>7.2024958737733069E-2</v>
      </c>
      <c r="AI15" s="57">
        <f t="shared" si="15"/>
        <v>5.7828105835907272E-2</v>
      </c>
      <c r="AJ15" s="57">
        <f t="shared" si="15"/>
        <v>6.3405734391831378E-2</v>
      </c>
      <c r="AK15" s="57">
        <f t="shared" si="15"/>
        <v>7.5829229369965126E-2</v>
      </c>
      <c r="AL15" s="57">
        <f t="shared" si="15"/>
        <v>6.6574440129485726E-2</v>
      </c>
      <c r="AM15" s="57">
        <f t="shared" si="15"/>
        <v>5.7712896803450729E-2</v>
      </c>
      <c r="AN15" s="57">
        <f t="shared" si="15"/>
        <v>5.9819087985257466E-2</v>
      </c>
      <c r="AO15" s="57">
        <f t="shared" si="15"/>
        <v>5.4724465485735244E-2</v>
      </c>
      <c r="AP15" s="57">
        <f t="shared" si="15"/>
        <v>3.9402204043175619E-2</v>
      </c>
      <c r="AQ15" s="57">
        <f t="shared" si="15"/>
        <v>4.9886264276969461E-2</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79416827.400000006</v>
      </c>
      <c r="F16" s="26">
        <f>股权价值增加表!F11</f>
        <v>56644768.100000001</v>
      </c>
      <c r="G16" s="26">
        <f>股权价值增加表!G11</f>
        <v>54427001.840000004</v>
      </c>
      <c r="H16" s="26">
        <f>股权价值增加表!H11</f>
        <v>14381504.779999999</v>
      </c>
      <c r="I16" s="26">
        <f>股权价值增加表!I11</f>
        <v>143909070.41999999</v>
      </c>
      <c r="J16" s="26">
        <f>股权价值增加表!J11</f>
        <v>27359612.09</v>
      </c>
      <c r="K16" s="26">
        <f>股权价值增加表!K11</f>
        <v>20261842.149999999</v>
      </c>
      <c r="L16" s="26">
        <f>股权价值增加表!L11</f>
        <v>6025060.7199999997</v>
      </c>
      <c r="M16" s="26">
        <f>股权价值增加表!M11</f>
        <v>75947956.810000002</v>
      </c>
      <c r="N16" s="26">
        <f>股权价值增加表!N11</f>
        <v>68225989.950000003</v>
      </c>
      <c r="O16" s="26">
        <f>股权价值增加表!O11</f>
        <v>45585700.079999998</v>
      </c>
      <c r="P16" s="26">
        <f>股权价值增加表!P11</f>
        <v>9681510.5600000005</v>
      </c>
      <c r="Q16" s="26">
        <f>股权价值增加表!Q11</f>
        <v>69437394.159999996</v>
      </c>
      <c r="R16" s="26">
        <f>股权价值增加表!R11</f>
        <v>33705892.560000002</v>
      </c>
      <c r="S16" s="26">
        <f>股权价值增加表!S11</f>
        <v>22367059.449999999</v>
      </c>
      <c r="T16" s="26">
        <f>股权价值增加表!T11</f>
        <v>17763949.710000001</v>
      </c>
      <c r="U16" s="26">
        <f>股权价值增加表!U11</f>
        <v>125128091.59999999</v>
      </c>
      <c r="V16" s="26">
        <f>股权价值增加表!V11</f>
        <v>30481626.710000001</v>
      </c>
      <c r="W16" s="26">
        <f>股权价值增加表!W11</f>
        <v>25984898.969999999</v>
      </c>
      <c r="X16" s="26">
        <f>股权价值增加表!X11</f>
        <v>15067174.310000001</v>
      </c>
      <c r="Y16" s="26">
        <f>股权价值增加表!Y11</f>
        <v>26000027.32</v>
      </c>
      <c r="Z16" s="26">
        <f>股权价值增加表!Z11</f>
        <v>25524095.870000001</v>
      </c>
      <c r="AA16" s="26">
        <f>股权价值增加表!AA11</f>
        <v>20654923.629999999</v>
      </c>
      <c r="AB16" s="26">
        <f>股权价值增加表!AB11</f>
        <v>11150894.560000001</v>
      </c>
      <c r="AC16" s="26">
        <f>股权价值增加表!AC11</f>
        <v>5807525.2999999998</v>
      </c>
      <c r="AD16" s="26">
        <f>股权价值增加表!AD11</f>
        <v>8057143.8600000003</v>
      </c>
      <c r="AE16" s="26">
        <f>股权价值增加表!AE11</f>
        <v>9176437.6199999992</v>
      </c>
      <c r="AF16" s="26">
        <f>股权价值增加表!AF11</f>
        <v>7613596.4400000004</v>
      </c>
      <c r="AG16" s="26">
        <f>股权价值增加表!AG11</f>
        <v>-5911659.8899999997</v>
      </c>
      <c r="AH16" s="26">
        <f>股权价值增加表!AH11</f>
        <v>2212673.29</v>
      </c>
      <c r="AI16" s="26">
        <f>股权价值增加表!AI11</f>
        <v>498710.47</v>
      </c>
      <c r="AJ16" s="26">
        <f>股权价值增加表!AJ11</f>
        <v>-690062.62</v>
      </c>
      <c r="AK16" s="26">
        <f>股权价值增加表!AK11</f>
        <v>18512250.579999998</v>
      </c>
      <c r="AL16" s="26">
        <f>股权价值增加表!AL11</f>
        <v>5238474.42</v>
      </c>
      <c r="AM16" s="26">
        <f>股权价值增加表!AM11</f>
        <v>11874278.67</v>
      </c>
      <c r="AN16" s="26">
        <f>股权价值增加表!AN11</f>
        <v>0</v>
      </c>
      <c r="AO16" s="26">
        <f>股权价值增加表!AO11</f>
        <v>10062331.880000001</v>
      </c>
      <c r="AP16" s="26">
        <f>股权价值增加表!AP11</f>
        <v>-11495957.26</v>
      </c>
      <c r="AQ16" s="26">
        <f>股权价值增加表!AQ11</f>
        <v>7790134.0199999996</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3.3914828333273177E-3</v>
      </c>
      <c r="F17" s="57">
        <f t="shared" ref="F17:BQ17" si="17">F16/F2</f>
        <v>3.5543854819255231E-3</v>
      </c>
      <c r="G17" s="57">
        <f t="shared" si="17"/>
        <v>5.4946644136691638E-3</v>
      </c>
      <c r="H17" s="57">
        <f t="shared" si="17"/>
        <v>3.6125786435409648E-3</v>
      </c>
      <c r="I17" s="57">
        <f t="shared" si="17"/>
        <v>7.1367377055571151E-3</v>
      </c>
      <c r="J17" s="57">
        <f t="shared" si="17"/>
        <v>3.0037140294602417E-3</v>
      </c>
      <c r="K17" s="57">
        <f t="shared" si="17"/>
        <v>3.5985522755924951E-3</v>
      </c>
      <c r="L17" s="57">
        <f t="shared" si="17"/>
        <v>2.5299218495950923E-3</v>
      </c>
      <c r="M17" s="57">
        <f t="shared" si="17"/>
        <v>6.3150682716619725E-3</v>
      </c>
      <c r="N17" s="57">
        <f t="shared" si="17"/>
        <v>7.7750704669223743E-3</v>
      </c>
      <c r="O17" s="57">
        <f t="shared" si="17"/>
        <v>8.1549396076993057E-3</v>
      </c>
      <c r="P17" s="57">
        <f t="shared" si="17"/>
        <v>4.281232919410803E-3</v>
      </c>
      <c r="Q17" s="57">
        <f t="shared" si="17"/>
        <v>5.4387203752260006E-3</v>
      </c>
      <c r="R17" s="57">
        <f t="shared" si="17"/>
        <v>3.6213977539218461E-3</v>
      </c>
      <c r="S17" s="57">
        <f t="shared" si="17"/>
        <v>3.8236969639018881E-3</v>
      </c>
      <c r="T17" s="57">
        <f t="shared" si="17"/>
        <v>7.4304540246488571E-3</v>
      </c>
      <c r="U17" s="57">
        <f t="shared" si="17"/>
        <v>1.0465271261702075E-2</v>
      </c>
      <c r="V17" s="57">
        <f t="shared" si="17"/>
        <v>3.558569979368592E-3</v>
      </c>
      <c r="W17" s="57">
        <f t="shared" si="17"/>
        <v>4.7990000780177185E-3</v>
      </c>
      <c r="X17" s="57">
        <f t="shared" si="17"/>
        <v>7.2782817150229074E-3</v>
      </c>
      <c r="Y17" s="57">
        <f t="shared" si="17"/>
        <v>2.4291909229363713E-3</v>
      </c>
      <c r="Z17" s="57">
        <f t="shared" si="17"/>
        <v>3.2863712952561929E-3</v>
      </c>
      <c r="AA17" s="57">
        <f t="shared" si="17"/>
        <v>4.7452820152326129E-3</v>
      </c>
      <c r="AB17" s="57">
        <f t="shared" si="17"/>
        <v>6.245950929852145E-3</v>
      </c>
      <c r="AC17" s="57">
        <f t="shared" si="17"/>
        <v>7.0069816358666877E-4</v>
      </c>
      <c r="AD17" s="57">
        <f t="shared" si="17"/>
        <v>1.2735201887109594E-3</v>
      </c>
      <c r="AE17" s="57">
        <f t="shared" si="17"/>
        <v>2.2930208569107197E-3</v>
      </c>
      <c r="AF17" s="57">
        <f t="shared" si="17"/>
        <v>4.6288958315286429E-3</v>
      </c>
      <c r="AG17" s="57">
        <f t="shared" si="17"/>
        <v>-9.3256942016260399E-4</v>
      </c>
      <c r="AH17" s="57">
        <f t="shared" si="17"/>
        <v>4.748468406067176E-4</v>
      </c>
      <c r="AI17" s="57">
        <f t="shared" si="17"/>
        <v>1.7552484568432846E-4</v>
      </c>
      <c r="AJ17" s="57">
        <f t="shared" si="17"/>
        <v>-5.8984764267806583E-4</v>
      </c>
      <c r="AK17" s="57">
        <f t="shared" si="17"/>
        <v>3.8555000762778586E-3</v>
      </c>
      <c r="AL17" s="57">
        <f t="shared" si="17"/>
        <v>1.4846814976231585E-3</v>
      </c>
      <c r="AM17" s="57">
        <f t="shared" si="17"/>
        <v>5.6553901198882275E-3</v>
      </c>
      <c r="AN17" s="57">
        <f t="shared" si="17"/>
        <v>0</v>
      </c>
      <c r="AO17" s="57">
        <f t="shared" si="17"/>
        <v>2.2652229750635762E-3</v>
      </c>
      <c r="AP17" s="57">
        <f t="shared" si="17"/>
        <v>-2.7470692250605691E-3</v>
      </c>
      <c r="AQ17" s="57">
        <f t="shared" si="17"/>
        <v>2.3067121952900227E-3</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16705103.24</v>
      </c>
      <c r="F18" s="26">
        <f>股权价值增加表!F12</f>
        <v>1204</v>
      </c>
      <c r="G18" s="26">
        <f>股权价值增加表!G12</f>
        <v>868</v>
      </c>
      <c r="H18" s="26">
        <f>股权价值增加表!H12</f>
        <v>644</v>
      </c>
      <c r="I18" s="26">
        <f>股权价值增加表!I12</f>
        <v>18594680.140000001</v>
      </c>
      <c r="J18" s="26">
        <f>股权价值增加表!J12</f>
        <v>0</v>
      </c>
      <c r="K18" s="26">
        <f>股权价值增加表!K12</f>
        <v>0</v>
      </c>
      <c r="L18" s="26">
        <f>股权价值增加表!L12</f>
        <v>0</v>
      </c>
      <c r="M18" s="26">
        <f>股权价值增加表!M12</f>
        <v>5310931.24</v>
      </c>
      <c r="N18" s="26">
        <f>股权价值增加表!N12</f>
        <v>0</v>
      </c>
      <c r="O18" s="26">
        <f>股权价值增加表!O12</f>
        <v>0</v>
      </c>
      <c r="P18" s="26">
        <f>股权价值增加表!P12</f>
        <v>0</v>
      </c>
      <c r="Q18" s="26">
        <f>股权价值增加表!Q12</f>
        <v>4841067.72</v>
      </c>
      <c r="R18" s="26">
        <f>股权价值增加表!R12</f>
        <v>0</v>
      </c>
      <c r="S18" s="26">
        <f>股权价值增加表!S12</f>
        <v>0</v>
      </c>
      <c r="T18" s="26">
        <f>股权价值增加表!T12</f>
        <v>0</v>
      </c>
      <c r="U18" s="26">
        <f>股权价值增加表!U12</f>
        <v>4743638.1900000004</v>
      </c>
      <c r="V18" s="26">
        <f>股权价值增加表!V12</f>
        <v>0</v>
      </c>
      <c r="W18" s="26">
        <f>股权价值增加表!W12</f>
        <v>0</v>
      </c>
      <c r="X18" s="26">
        <f>股权价值增加表!X12</f>
        <v>0</v>
      </c>
      <c r="Y18" s="26">
        <f>股权价值增加表!Y12</f>
        <v>3863391.81</v>
      </c>
      <c r="Z18" s="26">
        <f>股权价值增加表!Z12</f>
        <v>0</v>
      </c>
      <c r="AA18" s="26">
        <f>股权价值增加表!AA12</f>
        <v>0</v>
      </c>
      <c r="AB18" s="26">
        <f>股权价值增加表!AB12</f>
        <v>0</v>
      </c>
      <c r="AC18" s="26">
        <f>股权价值增加表!AC12</f>
        <v>1784905.82</v>
      </c>
      <c r="AD18" s="26">
        <f>股权价值增加表!AD12</f>
        <v>0</v>
      </c>
      <c r="AE18" s="26">
        <f>股权价值增加表!AE12</f>
        <v>0</v>
      </c>
      <c r="AF18" s="26">
        <f>股权价值增加表!AF12</f>
        <v>0</v>
      </c>
      <c r="AG18" s="26">
        <f>股权价值增加表!AG12</f>
        <v>1335064.68</v>
      </c>
      <c r="AH18" s="26">
        <f>股权价值增加表!AH12</f>
        <v>0</v>
      </c>
      <c r="AI18" s="26">
        <f>股权价值增加表!AI12</f>
        <v>0</v>
      </c>
      <c r="AJ18" s="26">
        <f>股权价值增加表!AJ12</f>
        <v>0</v>
      </c>
      <c r="AK18" s="26">
        <f>股权价值增加表!AK12</f>
        <v>1012957.7</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7.1338874546152608E-4</v>
      </c>
      <c r="F19" s="57">
        <f t="shared" ref="F19:BQ19" si="19">F18/F2</f>
        <v>7.5549433138880309E-8</v>
      </c>
      <c r="G19" s="57">
        <f t="shared" si="19"/>
        <v>8.7628723792014661E-8</v>
      </c>
      <c r="H19" s="57">
        <f t="shared" si="19"/>
        <v>1.6177032111937185E-7</v>
      </c>
      <c r="I19" s="57">
        <f t="shared" si="19"/>
        <v>9.2214725931180164E-4</v>
      </c>
      <c r="J19" s="57">
        <f t="shared" si="19"/>
        <v>0</v>
      </c>
      <c r="K19" s="57">
        <f t="shared" si="19"/>
        <v>0</v>
      </c>
      <c r="L19" s="57">
        <f t="shared" si="19"/>
        <v>0</v>
      </c>
      <c r="M19" s="57">
        <f t="shared" si="19"/>
        <v>4.4160362931957561E-4</v>
      </c>
      <c r="N19" s="57">
        <f t="shared" si="19"/>
        <v>0</v>
      </c>
      <c r="O19" s="57">
        <f t="shared" si="19"/>
        <v>0</v>
      </c>
      <c r="P19" s="57">
        <f t="shared" si="19"/>
        <v>0</v>
      </c>
      <c r="Q19" s="57">
        <f t="shared" si="19"/>
        <v>3.7917917233391872E-4</v>
      </c>
      <c r="R19" s="57">
        <f t="shared" si="19"/>
        <v>0</v>
      </c>
      <c r="S19" s="57">
        <f t="shared" si="19"/>
        <v>0</v>
      </c>
      <c r="T19" s="57">
        <f t="shared" si="19"/>
        <v>0</v>
      </c>
      <c r="U19" s="57">
        <f t="shared" si="19"/>
        <v>3.9674112975698455E-4</v>
      </c>
      <c r="V19" s="57">
        <f t="shared" si="19"/>
        <v>0</v>
      </c>
      <c r="W19" s="57">
        <f t="shared" si="19"/>
        <v>0</v>
      </c>
      <c r="X19" s="57">
        <f t="shared" si="19"/>
        <v>0</v>
      </c>
      <c r="Y19" s="57">
        <f t="shared" si="19"/>
        <v>3.609579405856839E-4</v>
      </c>
      <c r="Z19" s="57">
        <f t="shared" si="19"/>
        <v>0</v>
      </c>
      <c r="AA19" s="57">
        <f t="shared" si="19"/>
        <v>0</v>
      </c>
      <c r="AB19" s="57">
        <f t="shared" si="19"/>
        <v>0</v>
      </c>
      <c r="AC19" s="57">
        <f t="shared" si="19"/>
        <v>2.1535510663193446E-4</v>
      </c>
      <c r="AD19" s="57">
        <f t="shared" si="19"/>
        <v>0</v>
      </c>
      <c r="AE19" s="57">
        <f t="shared" si="19"/>
        <v>0</v>
      </c>
      <c r="AF19" s="57">
        <f t="shared" si="19"/>
        <v>0</v>
      </c>
      <c r="AG19" s="57">
        <f t="shared" si="19"/>
        <v>2.1060759882571194E-4</v>
      </c>
      <c r="AH19" s="57">
        <f t="shared" si="19"/>
        <v>0</v>
      </c>
      <c r="AI19" s="57">
        <f t="shared" si="19"/>
        <v>0</v>
      </c>
      <c r="AJ19" s="57">
        <f t="shared" si="19"/>
        <v>0</v>
      </c>
      <c r="AK19" s="57">
        <f t="shared" si="19"/>
        <v>2.1096616387828975E-4</v>
      </c>
      <c r="AL19" s="57">
        <f t="shared" si="19"/>
        <v>0</v>
      </c>
      <c r="AM19" s="57">
        <f t="shared" si="19"/>
        <v>0</v>
      </c>
      <c r="AN19" s="57">
        <f t="shared" si="19"/>
        <v>0</v>
      </c>
      <c r="AO19" s="57">
        <f t="shared" si="19"/>
        <v>0</v>
      </c>
      <c r="AP19" s="57">
        <f t="shared" si="19"/>
        <v>0</v>
      </c>
      <c r="AQ19" s="57">
        <f t="shared" si="19"/>
        <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11415513.649999999</v>
      </c>
      <c r="F20" s="26">
        <f>股权价值增加表!F13-股权价值增加表!F14</f>
        <v>35030332.370000005</v>
      </c>
      <c r="G20" s="26">
        <f>股权价值增加表!G13-股权价值增加表!G14</f>
        <v>36833704.630000003</v>
      </c>
      <c r="H20" s="26">
        <f>股权价值增加表!H13-股权价值增加表!H14</f>
        <v>30629816.09</v>
      </c>
      <c r="I20" s="26">
        <f>股权价值增加表!I13-股权价值增加表!I14</f>
        <v>157929706.44999999</v>
      </c>
      <c r="J20" s="26">
        <f>股权价值增加表!J13-股权价值增加表!J14</f>
        <v>14706603</v>
      </c>
      <c r="K20" s="26">
        <f>股权价值增加表!K13-股权价值增加表!K14</f>
        <v>5479536.3800000008</v>
      </c>
      <c r="L20" s="26">
        <f>股权价值增加表!L13-股权价值增加表!L14</f>
        <v>1073680.5799999996</v>
      </c>
      <c r="M20" s="26">
        <f>股权价值增加表!M13-股权价值增加表!M14</f>
        <v>8490988.1499999985</v>
      </c>
      <c r="N20" s="26">
        <f>股权价值增加表!N13-股权价值增加表!N14</f>
        <v>-13381739.759999998</v>
      </c>
      <c r="O20" s="26">
        <f>股权价值增加表!O13-股权价值增加表!O14</f>
        <v>-13081689.08</v>
      </c>
      <c r="P20" s="26">
        <f>股权价值增加表!P13-股权价值增加表!P14</f>
        <v>-319696.43999999994</v>
      </c>
      <c r="Q20" s="26">
        <f>股权价值增加表!Q13-股权价值增加表!Q14</f>
        <v>14681109.419999998</v>
      </c>
      <c r="R20" s="26">
        <f>股权价值增加表!R13-股权价值增加表!R14</f>
        <v>1590160.9300000016</v>
      </c>
      <c r="S20" s="26">
        <f>股权价值增加表!S13-股权价值增加表!S14</f>
        <v>-676961.21999999974</v>
      </c>
      <c r="T20" s="26">
        <f>股权价值增加表!T13-股权价值增加表!T14</f>
        <v>222949.08000000007</v>
      </c>
      <c r="U20" s="26">
        <f>股权价值增加表!U13-股权价值增加表!U14</f>
        <v>20747900.740000002</v>
      </c>
      <c r="V20" s="26">
        <f>股权价值增加表!V13-股权价值增加表!V14</f>
        <v>3517885.6499999985</v>
      </c>
      <c r="W20" s="26">
        <f>股权价值增加表!W13-股权价值增加表!W14</f>
        <v>-4336770.74</v>
      </c>
      <c r="X20" s="26">
        <f>股权价值增加表!X13-股权价值增加表!X14</f>
        <v>4230441.209999999</v>
      </c>
      <c r="Y20" s="26">
        <f>股权价值增加表!Y13-股权价值增加表!Y14</f>
        <v>4088896.6699999981</v>
      </c>
      <c r="Z20" s="26">
        <f>股权价值增加表!Z13-股权价值增加表!Z14</f>
        <v>13873776.48</v>
      </c>
      <c r="AA20" s="26">
        <f>股权价值增加表!AA13-股权价值增加表!AA14</f>
        <v>-3987635.56</v>
      </c>
      <c r="AB20" s="26">
        <f>股权价值增加表!AB13-股权价值增加表!AB14</f>
        <v>-1409215.6700000002</v>
      </c>
      <c r="AC20" s="26">
        <f>股权价值增加表!AC13-股权价值增加表!AC14</f>
        <v>-7687652.7500000009</v>
      </c>
      <c r="AD20" s="26">
        <f>股权价值增加表!AD13-股权价值增加表!AD14</f>
        <v>-6926864.3499999996</v>
      </c>
      <c r="AE20" s="26">
        <f>股权价值增加表!AE13-股权价值增加表!AE14</f>
        <v>-4257678.2200000007</v>
      </c>
      <c r="AF20" s="26">
        <f>股权价值增加表!AF13-股权价值增加表!AF14</f>
        <v>-1276375.7500000002</v>
      </c>
      <c r="AG20" s="26">
        <f>股权价值增加表!AG13-股权价值增加表!AG14</f>
        <v>2576811.9299999997</v>
      </c>
      <c r="AH20" s="26">
        <f>股权价值增加表!AH13-股权价值增加表!AH14</f>
        <v>-4468782.07</v>
      </c>
      <c r="AI20" s="26">
        <f>股权价值增加表!AI13-股权价值增加表!AI14</f>
        <v>-2633337.9800000004</v>
      </c>
      <c r="AJ20" s="26">
        <f>股权价值增加表!AJ13-股权价值增加表!AJ14</f>
        <v>-1517110.65</v>
      </c>
      <c r="AK20" s="26">
        <f>股权价值增加表!AK13-股权价值增加表!AK14</f>
        <v>-10714117.030000001</v>
      </c>
      <c r="AL20" s="26">
        <f>股权价值增加表!AL13-股权价值增加表!AL14</f>
        <v>-6758465.2399999946</v>
      </c>
      <c r="AM20" s="26">
        <f>股权价值增加表!AM13-股权价值增加表!AM14</f>
        <v>63705789.489999995</v>
      </c>
      <c r="AN20" s="26">
        <f>股权价值增加表!AN13-股权价值增加表!AN14</f>
        <v>-696222.67</v>
      </c>
      <c r="AO20" s="26">
        <f>股权价值增加表!AO13-股权价值增加表!AO14</f>
        <v>-19643250.879999999</v>
      </c>
      <c r="AP20" s="26">
        <f>股权价值增加表!AP13-股权价值增加表!AP14</f>
        <v>-5681078.7400000002</v>
      </c>
      <c r="AQ20" s="26">
        <f>股权价值增加表!AQ13-股权价值增加表!AQ14</f>
        <v>-3123062.3200000003</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4.8749767329019062E-4</v>
      </c>
      <c r="F21" s="57">
        <f t="shared" ref="F21:BQ21" si="21">F20/F2</f>
        <v>2.1981077684552074E-3</v>
      </c>
      <c r="G21" s="57">
        <f t="shared" si="21"/>
        <v>3.7185374761047486E-3</v>
      </c>
      <c r="H21" s="57">
        <f t="shared" si="21"/>
        <v>7.6940919017183277E-3</v>
      </c>
      <c r="I21" s="57">
        <f t="shared" si="21"/>
        <v>7.83204899843923E-3</v>
      </c>
      <c r="J21" s="57">
        <f t="shared" si="21"/>
        <v>1.6145853826980221E-3</v>
      </c>
      <c r="K21" s="57">
        <f t="shared" si="21"/>
        <v>9.7317894214474807E-4</v>
      </c>
      <c r="L21" s="57">
        <f t="shared" si="21"/>
        <v>4.5083827119138652E-4</v>
      </c>
      <c r="M21" s="57">
        <f t="shared" si="21"/>
        <v>7.0602517978551502E-4</v>
      </c>
      <c r="N21" s="57">
        <f t="shared" si="21"/>
        <v>-1.524990251959208E-3</v>
      </c>
      <c r="O21" s="57">
        <f t="shared" si="21"/>
        <v>-2.3402159937630047E-3</v>
      </c>
      <c r="P21" s="57">
        <f t="shared" si="21"/>
        <v>-1.4137204258200388E-4</v>
      </c>
      <c r="Q21" s="57">
        <f t="shared" si="21"/>
        <v>1.1499056077693738E-3</v>
      </c>
      <c r="R21" s="57">
        <f t="shared" si="21"/>
        <v>1.708486197190999E-4</v>
      </c>
      <c r="S21" s="57">
        <f t="shared" si="21"/>
        <v>-1.1572797789444412E-4</v>
      </c>
      <c r="T21" s="57">
        <f t="shared" si="21"/>
        <v>9.325701298541677E-5</v>
      </c>
      <c r="U21" s="57">
        <f t="shared" si="21"/>
        <v>1.7352810754045675E-3</v>
      </c>
      <c r="V21" s="57">
        <f t="shared" si="21"/>
        <v>4.1069469106891902E-4</v>
      </c>
      <c r="W21" s="57">
        <f t="shared" si="21"/>
        <v>-8.0093300126480964E-4</v>
      </c>
      <c r="X21" s="57">
        <f t="shared" si="21"/>
        <v>2.0435379767782336E-3</v>
      </c>
      <c r="Y21" s="57">
        <f t="shared" si="21"/>
        <v>3.8202693225434468E-4</v>
      </c>
      <c r="Z21" s="57">
        <f t="shared" si="21"/>
        <v>1.7863269677756662E-3</v>
      </c>
      <c r="AA21" s="57">
        <f t="shared" si="21"/>
        <v>-9.1612322781413412E-4</v>
      </c>
      <c r="AB21" s="57">
        <f t="shared" si="21"/>
        <v>-7.8934401872765212E-4</v>
      </c>
      <c r="AC21" s="57">
        <f t="shared" si="21"/>
        <v>-9.2754209167491782E-4</v>
      </c>
      <c r="AD21" s="57">
        <f t="shared" si="21"/>
        <v>-1.094867082860702E-3</v>
      </c>
      <c r="AE21" s="57">
        <f t="shared" si="21"/>
        <v>-1.0639144910870662E-3</v>
      </c>
      <c r="AF21" s="57">
        <f t="shared" si="21"/>
        <v>-7.7600782169106491E-4</v>
      </c>
      <c r="AG21" s="57">
        <f t="shared" si="21"/>
        <v>4.0649429299766099E-4</v>
      </c>
      <c r="AH21" s="57">
        <f t="shared" si="21"/>
        <v>-9.5901507777474348E-4</v>
      </c>
      <c r="AI21" s="57">
        <f t="shared" si="21"/>
        <v>-9.2682281680226471E-4</v>
      </c>
      <c r="AJ21" s="57">
        <f t="shared" si="21"/>
        <v>-1.2967868634650697E-3</v>
      </c>
      <c r="AK21" s="57">
        <f t="shared" si="21"/>
        <v>-2.2314023272266507E-3</v>
      </c>
      <c r="AL21" s="57">
        <f t="shared" si="21"/>
        <v>-1.9154752872034167E-3</v>
      </c>
      <c r="AM21" s="57">
        <f t="shared" si="21"/>
        <v>3.0341303457166149E-2</v>
      </c>
      <c r="AN21" s="57">
        <f t="shared" si="21"/>
        <v>-7.9673007912438266E-4</v>
      </c>
      <c r="AO21" s="57">
        <f t="shared" si="21"/>
        <v>-4.4220707216738918E-3</v>
      </c>
      <c r="AP21" s="57">
        <f t="shared" si="21"/>
        <v>-1.3575482422939938E-3</v>
      </c>
      <c r="AQ21" s="57">
        <f t="shared" si="21"/>
        <v>-9.2476020588343525E-4</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0.1465464815641003</v>
      </c>
      <c r="F22" s="66">
        <f t="shared" ref="F22:BQ22" si="23">F11+F13+F15+F17+F19+F21</f>
        <v>0.14785701993120207</v>
      </c>
      <c r="G22" s="66">
        <f t="shared" si="23"/>
        <v>0.14363774454714281</v>
      </c>
      <c r="H22" s="66">
        <f t="shared" si="23"/>
        <v>0.16413849280119391</v>
      </c>
      <c r="I22" s="66">
        <f t="shared" si="23"/>
        <v>0.15240170338263073</v>
      </c>
      <c r="J22" s="66">
        <f t="shared" si="23"/>
        <v>0.16233347479275245</v>
      </c>
      <c r="K22" s="66">
        <f t="shared" si="23"/>
        <v>0.16600424381659701</v>
      </c>
      <c r="L22" s="66">
        <f t="shared" si="23"/>
        <v>0.16124181792592013</v>
      </c>
      <c r="M22" s="66">
        <f t="shared" si="23"/>
        <v>0.16559836391085972</v>
      </c>
      <c r="N22" s="66">
        <f t="shared" si="23"/>
        <v>0.15520070148427464</v>
      </c>
      <c r="O22" s="66">
        <f t="shared" si="23"/>
        <v>0.14983349558421566</v>
      </c>
      <c r="P22" s="66">
        <f t="shared" si="23"/>
        <v>0.15090543244405744</v>
      </c>
      <c r="Q22" s="66">
        <f t="shared" si="23"/>
        <v>0.14801663200703014</v>
      </c>
      <c r="R22" s="66">
        <f t="shared" si="23"/>
        <v>0.13616305945868151</v>
      </c>
      <c r="S22" s="66">
        <f t="shared" si="23"/>
        <v>0.13778742465422666</v>
      </c>
      <c r="T22" s="66">
        <f t="shared" si="23"/>
        <v>0.14805613154368305</v>
      </c>
      <c r="U22" s="66">
        <f t="shared" si="23"/>
        <v>0.15050392582382102</v>
      </c>
      <c r="V22" s="66">
        <f t="shared" si="23"/>
        <v>0.13477562011657701</v>
      </c>
      <c r="W22" s="66">
        <f t="shared" si="23"/>
        <v>0.13555176723713697</v>
      </c>
      <c r="X22" s="66">
        <f t="shared" si="23"/>
        <v>0.15098710640076274</v>
      </c>
      <c r="Y22" s="66">
        <f t="shared" si="23"/>
        <v>0.14660976261182512</v>
      </c>
      <c r="Z22" s="66">
        <f t="shared" si="23"/>
        <v>0.13585666283115769</v>
      </c>
      <c r="AA22" s="66">
        <f t="shared" si="23"/>
        <v>0.12418166038897975</v>
      </c>
      <c r="AB22" s="66">
        <f t="shared" si="23"/>
        <v>0.14350663091198446</v>
      </c>
      <c r="AC22" s="66">
        <f t="shared" si="23"/>
        <v>0.11663452061381108</v>
      </c>
      <c r="AD22" s="66">
        <f t="shared" si="23"/>
        <v>0.10460530191360466</v>
      </c>
      <c r="AE22" s="66">
        <f t="shared" si="23"/>
        <v>0.10364791800904548</v>
      </c>
      <c r="AF22" s="66">
        <f t="shared" si="23"/>
        <v>0.1169443130520669</v>
      </c>
      <c r="AG22" s="66">
        <f t="shared" si="23"/>
        <v>0.13091712781782561</v>
      </c>
      <c r="AH22" s="66">
        <f t="shared" si="23"/>
        <v>0.11465971572462542</v>
      </c>
      <c r="AI22" s="66">
        <f t="shared" si="23"/>
        <v>0.10193348663265935</v>
      </c>
      <c r="AJ22" s="66">
        <f t="shared" si="23"/>
        <v>0.10809687829552016</v>
      </c>
      <c r="AK22" s="66">
        <f t="shared" si="23"/>
        <v>0.13469274956294686</v>
      </c>
      <c r="AL22" s="66">
        <f t="shared" si="23"/>
        <v>0.12236286133130332</v>
      </c>
      <c r="AM22" s="66">
        <f t="shared" si="23"/>
        <v>0.14859397446685571</v>
      </c>
      <c r="AN22" s="66">
        <f t="shared" si="23"/>
        <v>0.1206075255500378</v>
      </c>
      <c r="AO22" s="66">
        <f t="shared" si="23"/>
        <v>0.11168757890609812</v>
      </c>
      <c r="AP22" s="66">
        <f t="shared" si="23"/>
        <v>8.9134582363415399E-2</v>
      </c>
      <c r="AQ22" s="66">
        <f t="shared" si="23"/>
        <v>0.11733682583491736</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3005182688.8514948</v>
      </c>
      <c r="F23" s="27">
        <f>股权价值增加表!F17</f>
        <v>2159257414.6359639</v>
      </c>
      <c r="G23" s="27">
        <f>股权价值增加表!G17</f>
        <v>1359952690.3819897</v>
      </c>
      <c r="H23" s="27">
        <f>股权价值增加表!H17</f>
        <v>450463220.16923332</v>
      </c>
      <c r="I23" s="27">
        <f>股权价值增加表!I17</f>
        <v>2833763326.3252797</v>
      </c>
      <c r="J23" s="27">
        <f>股权价值增加表!J17</f>
        <v>1366996755.5599055</v>
      </c>
      <c r="K23" s="27">
        <f>股权价值增加表!K17</f>
        <v>858051880.16320252</v>
      </c>
      <c r="L23" s="27">
        <f>股权价值增加表!L17</f>
        <v>354919321.3719734</v>
      </c>
      <c r="M23" s="27">
        <f>股权价值增加表!M17</f>
        <v>1890541345.7194195</v>
      </c>
      <c r="N23" s="27">
        <f>股权价值增加表!N17</f>
        <v>1375455325.4427567</v>
      </c>
      <c r="O23" s="27">
        <f>股权价值增加表!O17</f>
        <v>875061214.3214457</v>
      </c>
      <c r="P23" s="27">
        <f>股权价值增加表!P17</f>
        <v>351443897.05365372</v>
      </c>
      <c r="Q23" s="27">
        <f>股权价值增加表!Q17</f>
        <v>2005514863.3677685</v>
      </c>
      <c r="R23" s="27">
        <f>股权价值增加表!R17</f>
        <v>1459019374.6507008</v>
      </c>
      <c r="S23" s="27">
        <f>股权价值增加表!S17</f>
        <v>893838988.61777902</v>
      </c>
      <c r="T23" s="27">
        <f>股权价值增加表!T17</f>
        <v>328410777.66357994</v>
      </c>
      <c r="U23" s="27">
        <f>股权价值增加表!U17</f>
        <v>1703036689.4374251</v>
      </c>
      <c r="V23" s="27">
        <f>股权价值增加表!V17</f>
        <v>1213258365.3982832</v>
      </c>
      <c r="W23" s="27">
        <f>股权价值增加表!W17</f>
        <v>728177453.45190895</v>
      </c>
      <c r="X23" s="27">
        <f>股权价值增加表!X17</f>
        <v>248568121.39499229</v>
      </c>
      <c r="Y23" s="27">
        <f>股权价值增加表!Y17</f>
        <v>1377756934.7396727</v>
      </c>
      <c r="Z23" s="27">
        <f>股权价值增加表!Z17</f>
        <v>1001357964.6231538</v>
      </c>
      <c r="AA23" s="27">
        <f>股权价值增加表!AA17</f>
        <v>510874573.63560152</v>
      </c>
      <c r="AB23" s="27">
        <f>股权价值增加表!AB17</f>
        <v>185548396.03976721</v>
      </c>
      <c r="AC23" s="27">
        <f>股权价值增加表!AC17</f>
        <v>849234653.76762271</v>
      </c>
      <c r="AD23" s="27">
        <f>股权价值增加表!AD17</f>
        <v>635387435.15714824</v>
      </c>
      <c r="AE23" s="27">
        <f>股权价值增加表!AE17</f>
        <v>394308466.24794292</v>
      </c>
      <c r="AF23" s="27">
        <f>股权价值增加表!AF17</f>
        <v>144089764.4936077</v>
      </c>
      <c r="AG23" s="27">
        <f>股权价值增加表!AG17</f>
        <v>682717652.57634842</v>
      </c>
      <c r="AH23" s="27">
        <f>股权价值增加表!AH17</f>
        <v>596293230.72519171</v>
      </c>
      <c r="AI23" s="27">
        <f>股权价值增加表!AI17</f>
        <v>398936328.90249604</v>
      </c>
      <c r="AJ23" s="27">
        <f>股权价值增加表!AJ17</f>
        <v>165593563.54801738</v>
      </c>
      <c r="AK23" s="27">
        <f>股权价值增加表!AK17</f>
        <v>566953971.2500701</v>
      </c>
      <c r="AL23" s="27">
        <f>股权价值增加表!AL17</f>
        <v>516096738.36638033</v>
      </c>
      <c r="AM23" s="27">
        <f>股权价值增加表!AM17</f>
        <v>370136564.05145079</v>
      </c>
      <c r="AN23" s="27">
        <f>股权价值增加表!AN17</f>
        <v>129817609.17336202</v>
      </c>
      <c r="AO23" s="27">
        <f>股权价值增加表!AO17</f>
        <v>444884391.43589419</v>
      </c>
      <c r="AP23" s="27">
        <f>股权价值增加表!AP17</f>
        <v>405708993.35624093</v>
      </c>
      <c r="AQ23" s="27">
        <f>股权价值增加表!AQ17</f>
        <v>217516366.07880697</v>
      </c>
      <c r="AR23" s="27" t="e">
        <f>股权价值增加表!AR17</f>
        <v>#DIV/0!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0.1283358430942845</v>
      </c>
      <c r="F24" s="57">
        <f t="shared" ref="F24:BQ24" si="25">F23/F2</f>
        <v>0.13549059275471037</v>
      </c>
      <c r="G24" s="57">
        <f t="shared" si="25"/>
        <v>0.13729368511024265</v>
      </c>
      <c r="H24" s="57">
        <f t="shared" si="25"/>
        <v>0.11315462698640245</v>
      </c>
      <c r="I24" s="57">
        <f t="shared" si="25"/>
        <v>0.14053197286722197</v>
      </c>
      <c r="J24" s="57">
        <f t="shared" si="25"/>
        <v>0.15007768821410658</v>
      </c>
      <c r="K24" s="57">
        <f t="shared" si="25"/>
        <v>0.15239209362499706</v>
      </c>
      <c r="L24" s="57">
        <f t="shared" si="25"/>
        <v>0.14903055549329267</v>
      </c>
      <c r="M24" s="57">
        <f t="shared" si="25"/>
        <v>0.15719840493517859</v>
      </c>
      <c r="N24" s="57">
        <f t="shared" si="25"/>
        <v>0.15674762780662416</v>
      </c>
      <c r="O24" s="57">
        <f t="shared" si="25"/>
        <v>0.15654188360183255</v>
      </c>
      <c r="P24" s="57">
        <f t="shared" si="25"/>
        <v>0.15541099419015905</v>
      </c>
      <c r="Q24" s="57">
        <f t="shared" si="25"/>
        <v>0.15708300523322624</v>
      </c>
      <c r="R24" s="57">
        <f t="shared" si="25"/>
        <v>0.15675862838769175</v>
      </c>
      <c r="S24" s="57">
        <f t="shared" si="25"/>
        <v>0.15280369932556942</v>
      </c>
      <c r="T24" s="57">
        <f t="shared" si="25"/>
        <v>0.13737041730391211</v>
      </c>
      <c r="U24" s="57">
        <f t="shared" si="25"/>
        <v>0.14243596857984628</v>
      </c>
      <c r="V24" s="57">
        <f t="shared" si="25"/>
        <v>0.14164154811684393</v>
      </c>
      <c r="W24" s="57">
        <f t="shared" si="25"/>
        <v>0.13448286483472346</v>
      </c>
      <c r="X24" s="57">
        <f t="shared" si="25"/>
        <v>0.12007220303318882</v>
      </c>
      <c r="Y24" s="57">
        <f t="shared" si="25"/>
        <v>0.12872427396673408</v>
      </c>
      <c r="Z24" s="57">
        <f t="shared" si="25"/>
        <v>0.12893048545087207</v>
      </c>
      <c r="AA24" s="57">
        <f t="shared" si="25"/>
        <v>0.11736881577192496</v>
      </c>
      <c r="AB24" s="57">
        <f t="shared" si="25"/>
        <v>0.10393122906339794</v>
      </c>
      <c r="AC24" s="57">
        <f t="shared" si="25"/>
        <v>0.10246312010885836</v>
      </c>
      <c r="AD24" s="57">
        <f t="shared" si="25"/>
        <v>0.1004299712635271</v>
      </c>
      <c r="AE24" s="57">
        <f t="shared" si="25"/>
        <v>9.853034201337596E-2</v>
      </c>
      <c r="AF24" s="57">
        <f t="shared" si="25"/>
        <v>8.7603344291571697E-2</v>
      </c>
      <c r="AG24" s="57">
        <f t="shared" si="25"/>
        <v>0.1076992955015718</v>
      </c>
      <c r="AH24" s="57">
        <f t="shared" si="25"/>
        <v>0.1279664548601433</v>
      </c>
      <c r="AI24" s="57">
        <f t="shared" si="25"/>
        <v>0.14040859733400649</v>
      </c>
      <c r="AJ24" s="57">
        <f t="shared" si="25"/>
        <v>0.14154508630167295</v>
      </c>
      <c r="AK24" s="57">
        <f t="shared" si="25"/>
        <v>0.11807808402087222</v>
      </c>
      <c r="AL24" s="57">
        <f t="shared" si="25"/>
        <v>0.14627145558080723</v>
      </c>
      <c r="AM24" s="57">
        <f t="shared" si="25"/>
        <v>0.17628579600666816</v>
      </c>
      <c r="AN24" s="57">
        <f t="shared" si="25"/>
        <v>0.14855821059149207</v>
      </c>
      <c r="AO24" s="57">
        <f t="shared" si="25"/>
        <v>0.1001519684250133</v>
      </c>
      <c r="AP24" s="57">
        <f t="shared" si="25"/>
        <v>9.6948054413628915E-2</v>
      </c>
      <c r="AQ24" s="57">
        <f t="shared" si="25"/>
        <v>6.4408090158781781E-2</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669</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599</v>
      </c>
      <c r="B26" s="152"/>
      <c r="C26" s="152"/>
      <c r="D26" s="152"/>
      <c r="E26" s="153">
        <f>POWER(E2/Y2,1/6)-1</f>
        <v>0.13937965226088722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39082</v>
      </c>
      <c r="AR27" s="1">
        <v>25569</v>
      </c>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3456898833.1200018</v>
      </c>
      <c r="F28" s="26">
        <f>股权价值增加表!F15</f>
        <v>2484859784.3799992</v>
      </c>
      <c r="G28" s="26">
        <f>股权价值增加表!G15</f>
        <v>1578842254.7300003</v>
      </c>
      <c r="H28" s="26">
        <f>股权价值增加表!H15</f>
        <v>538036708.6899997</v>
      </c>
      <c r="I28" s="26">
        <f>股权价值增加表!I15</f>
        <v>3273885357.2600007</v>
      </c>
      <c r="J28" s="26">
        <f>股权价值增加表!J15</f>
        <v>1602592485.5899994</v>
      </c>
      <c r="K28" s="26">
        <f>股权价值增加表!K15</f>
        <v>1000137300.0500004</v>
      </c>
      <c r="L28" s="26">
        <f>股权价值增加表!L15</f>
        <v>417808087.23999983</v>
      </c>
      <c r="M28" s="26">
        <f>股权价值增加表!M15</f>
        <v>2217070046.1399994</v>
      </c>
      <c r="N28" s="26">
        <f>股权价值增加表!N15</f>
        <v>1614321174.52</v>
      </c>
      <c r="O28" s="26">
        <f>股权价值增加表!O15</f>
        <v>1029183051.2799997</v>
      </c>
      <c r="P28" s="26">
        <f>股权价值增加表!P15</f>
        <v>416332100.96999997</v>
      </c>
      <c r="Q28" s="26">
        <f>股权价值增加表!Q15</f>
        <v>2376400965.4299994</v>
      </c>
      <c r="R28" s="26">
        <f>股权价值增加表!R15</f>
        <v>1724972053.6000004</v>
      </c>
      <c r="S28" s="26">
        <f>股权价值增加表!S15</f>
        <v>1053741181.8100005</v>
      </c>
      <c r="T28" s="26">
        <f>股权价值增加表!T15</f>
        <v>387627712.89999986</v>
      </c>
      <c r="U28" s="26">
        <f>股权价值增加表!U15</f>
        <v>2019781772.549999</v>
      </c>
      <c r="V28" s="26">
        <f>股权价值增加表!V15</f>
        <v>1450571119.2</v>
      </c>
      <c r="W28" s="26">
        <f>股权价值增加表!W15</f>
        <v>872021317.37999964</v>
      </c>
      <c r="X28" s="26">
        <f>股权价值增加表!X15</f>
        <v>299929058.62000006</v>
      </c>
      <c r="Y28" s="26">
        <f>股权价值增加表!Y15</f>
        <v>1643421237.7899995</v>
      </c>
      <c r="Z28" s="26">
        <f>股权价值增加表!Z15</f>
        <v>1200415965.4699988</v>
      </c>
      <c r="AA28" s="26">
        <f>股权价值增加表!AA15</f>
        <v>619649954.55000007</v>
      </c>
      <c r="AB28" s="26">
        <f>股权价值增加表!AB15</f>
        <v>224674195.06</v>
      </c>
      <c r="AC28" s="26">
        <f>股权价值增加表!AC15</f>
        <v>1009399726.3200002</v>
      </c>
      <c r="AD28" s="26">
        <f>股权价值增加表!AD15</f>
        <v>752604096.27999973</v>
      </c>
      <c r="AE28" s="26">
        <f>股权价值增加表!AE15</f>
        <v>473651501.60000002</v>
      </c>
      <c r="AF28" s="26">
        <f>股权价值增加表!AF15</f>
        <v>174048872.04999995</v>
      </c>
      <c r="AG28" s="26">
        <f>股权价值增加表!AG15</f>
        <v>817603407.63000011</v>
      </c>
      <c r="AH28" s="26">
        <f>股权价值增加表!AH15</f>
        <v>725648016.80000043</v>
      </c>
      <c r="AI28" s="26">
        <f>股权价值增加表!AI15</f>
        <v>484495472.62000012</v>
      </c>
      <c r="AJ28" s="26">
        <f>股权价值增加表!AJ15</f>
        <v>198433911.23000008</v>
      </c>
      <c r="AK28" s="26">
        <f>股权价值增加表!AK15</f>
        <v>684065416.66999996</v>
      </c>
      <c r="AL28" s="26">
        <f>股权价值增加表!AL15</f>
        <v>619982836.6900003</v>
      </c>
      <c r="AM28" s="26">
        <f>股权价值增加表!AM15</f>
        <v>451262686.4799999</v>
      </c>
      <c r="AN28" s="26">
        <f>股权价值增加表!AN15</f>
        <v>151183242.39000002</v>
      </c>
      <c r="AO28" s="26">
        <f>股权价值增加表!AO15</f>
        <v>582862357.62999976</v>
      </c>
      <c r="AP28" s="26">
        <f>股权价值增加表!AP15</f>
        <v>593718151.64000034</v>
      </c>
      <c r="AQ28" s="26">
        <f>股权价值增加表!AQ15</f>
        <v>309942525.06000012</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0.93247246077016288</v>
      </c>
      <c r="F29" s="59">
        <f t="shared" si="27"/>
        <v>0.97563968410104684</v>
      </c>
      <c r="G29" s="59">
        <f t="shared" si="27"/>
        <v>0.97292849523030456</v>
      </c>
      <c r="H29" s="59">
        <f t="shared" si="27"/>
        <v>0.92949353902807452</v>
      </c>
      <c r="I29" s="59">
        <f t="shared" si="27"/>
        <v>0.91825174456094494</v>
      </c>
      <c r="J29" s="59">
        <f t="shared" si="27"/>
        <v>0.98432683520847986</v>
      </c>
      <c r="K29" s="59">
        <f t="shared" si="27"/>
        <v>0.9847166702090201</v>
      </c>
      <c r="L29" s="59">
        <f t="shared" si="27"/>
        <v>0.9888715419176376</v>
      </c>
      <c r="M29" s="59">
        <f t="shared" si="27"/>
        <v>0.95844232132522456</v>
      </c>
      <c r="N29" s="59">
        <f t="shared" si="27"/>
        <v>0.96952175450800737</v>
      </c>
      <c r="O29" s="59">
        <f t="shared" si="27"/>
        <v>0.97222334896732343</v>
      </c>
      <c r="P29" s="59">
        <f t="shared" si="27"/>
        <v>0.96979655418866539</v>
      </c>
      <c r="Q29" s="59">
        <f t="shared" si="27"/>
        <v>0.97600853342438709</v>
      </c>
      <c r="R29" s="59">
        <f t="shared" si="27"/>
        <v>0.97121253235552529</v>
      </c>
      <c r="S29" s="59">
        <f t="shared" si="27"/>
        <v>0.97864451342086278</v>
      </c>
      <c r="T29" s="59">
        <f t="shared" si="27"/>
        <v>0.96640817774421861</v>
      </c>
      <c r="U29" s="59">
        <f t="shared" si="27"/>
        <v>0.95461482955820032</v>
      </c>
      <c r="V29" s="59">
        <f t="shared" si="27"/>
        <v>0.9794091517724649</v>
      </c>
      <c r="W29" s="59">
        <f t="shared" si="27"/>
        <v>0.98343211387026985</v>
      </c>
      <c r="X29" s="59">
        <f t="shared" si="27"/>
        <v>0.98379781465567628</v>
      </c>
      <c r="Y29" s="59">
        <f t="shared" si="27"/>
        <v>0.92351491057764601</v>
      </c>
      <c r="Z29" s="59">
        <f t="shared" si="27"/>
        <v>0.99806480101212369</v>
      </c>
      <c r="AA29" s="59">
        <f t="shared" si="27"/>
        <v>0.99493652050312176</v>
      </c>
      <c r="AB29" s="59">
        <f t="shared" si="27"/>
        <v>0.98819096582446031</v>
      </c>
      <c r="AC29" s="59">
        <f t="shared" si="27"/>
        <v>0.90091319135864401</v>
      </c>
      <c r="AD29" s="59">
        <f t="shared" si="27"/>
        <v>0.99615546551029555</v>
      </c>
      <c r="AE29" s="59">
        <f t="shared" si="27"/>
        <v>0.99964448567539332</v>
      </c>
      <c r="AF29" s="59">
        <f t="shared" si="27"/>
        <v>1.0042897304708662</v>
      </c>
      <c r="AG29" s="59">
        <f t="shared" si="27"/>
        <v>0.96856521230840342</v>
      </c>
      <c r="AH29" s="59">
        <f t="shared" si="27"/>
        <v>0.99435578098956612</v>
      </c>
      <c r="AI29" s="59">
        <f t="shared" si="27"/>
        <v>0.99445860326794877</v>
      </c>
      <c r="AJ29" s="59">
        <f t="shared" si="27"/>
        <v>0.98812877708094726</v>
      </c>
      <c r="AK29" s="59">
        <f t="shared" ref="AK29:BP29" si="28">AK28/AK34</f>
        <v>0.98940000856962673</v>
      </c>
      <c r="AL29" s="59">
        <f t="shared" si="28"/>
        <v>1.000769225514873</v>
      </c>
      <c r="AM29" s="59">
        <f t="shared" si="28"/>
        <v>0.99657895273756836</v>
      </c>
      <c r="AN29" s="59">
        <f t="shared" si="28"/>
        <v>1.0036577588923672</v>
      </c>
      <c r="AO29" s="59">
        <f t="shared" si="28"/>
        <v>0.99136141562516378</v>
      </c>
      <c r="AP29" s="59">
        <f t="shared" si="28"/>
        <v>1.0127434831862765</v>
      </c>
      <c r="AQ29" s="59">
        <f t="shared" si="28"/>
        <v>1.018248047566251</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98375119.810000002</v>
      </c>
      <c r="F30" s="26">
        <f>股权价值增加表!F20</f>
        <v>78114405.870000005</v>
      </c>
      <c r="G30" s="26">
        <f>股权价值增加表!G20</f>
        <v>10832281.039999999</v>
      </c>
      <c r="H30" s="26">
        <f>股权价值增加表!H20</f>
        <v>20819311.460000001</v>
      </c>
      <c r="I30" s="26">
        <f>股权价值增加表!I20</f>
        <v>73867224.670000002</v>
      </c>
      <c r="J30" s="26">
        <f>股权价值增加表!J20</f>
        <v>5558083.9699999997</v>
      </c>
      <c r="K30" s="26">
        <f>股权价值增加表!K20</f>
        <v>3755394.29</v>
      </c>
      <c r="L30" s="26">
        <f>股权价值增加表!L20</f>
        <v>1977960.73</v>
      </c>
      <c r="M30" s="26">
        <f>股权价值增加表!M20</f>
        <v>6374373.0099999998</v>
      </c>
      <c r="N30" s="26">
        <f>股权价值增加表!N20</f>
        <v>5876433.9199999999</v>
      </c>
      <c r="O30" s="26">
        <f>股权价值增加表!O20</f>
        <v>4730197.6399999997</v>
      </c>
      <c r="P30" s="26">
        <f>股权价值增加表!P20</f>
        <v>1522955.77</v>
      </c>
      <c r="Q30" s="26">
        <f>股权价值增加表!Q20</f>
        <v>8084118.1200000001</v>
      </c>
      <c r="R30" s="26">
        <f>股权价值增加表!R20</f>
        <v>5858555.4000000004</v>
      </c>
      <c r="S30" s="26">
        <f>股权价值增加表!S20</f>
        <v>3772845.07</v>
      </c>
      <c r="T30" s="26">
        <f>股权价值增加表!T20</f>
        <v>1993749.5</v>
      </c>
      <c r="U30" s="26">
        <f>股权价值增加表!U20</f>
        <v>8996883.6500000004</v>
      </c>
      <c r="V30" s="26">
        <f>股权价值增加表!V20</f>
        <v>6354691.4299999997</v>
      </c>
      <c r="W30" s="26">
        <f>股权价值增加表!W20</f>
        <v>3202064.88</v>
      </c>
      <c r="X30" s="26">
        <f>股权价值增加表!X20</f>
        <v>186760.31</v>
      </c>
      <c r="Y30" s="26">
        <f>股权价值增加表!Y20</f>
        <v>1586580.79</v>
      </c>
      <c r="Z30" s="26">
        <f>股权价值增加表!Z20</f>
        <v>1252824.55</v>
      </c>
      <c r="AA30" s="26">
        <f>股权价值增加表!AA20</f>
        <v>537005.15</v>
      </c>
      <c r="AB30" s="26">
        <f>股权价值增加表!AB20</f>
        <v>-184433.23</v>
      </c>
      <c r="AC30" s="26">
        <f>股权价值增加表!AC20</f>
        <v>1413437.28</v>
      </c>
      <c r="AD30" s="26">
        <f>股权价值增加表!AD20</f>
        <v>296125.76</v>
      </c>
      <c r="AE30" s="26">
        <f>股权价值增加表!AE20</f>
        <v>133281.18</v>
      </c>
      <c r="AF30" s="26">
        <f>股权价值增加表!AF20</f>
        <v>-741821.33</v>
      </c>
      <c r="AG30" s="26">
        <f>股权价值增加表!AG20</f>
        <v>1674132.64</v>
      </c>
      <c r="AH30" s="26">
        <f>股权价值增加表!AH20</f>
        <v>1368964.67</v>
      </c>
      <c r="AI30" s="26">
        <f>股权价值增加表!AI20</f>
        <v>-50258.03</v>
      </c>
      <c r="AJ30" s="26">
        <f>股权价值增加表!AJ20</f>
        <v>-366046.36</v>
      </c>
      <c r="AK30" s="26">
        <f>股权价值增加表!AK20</f>
        <v>-998552.2</v>
      </c>
      <c r="AL30" s="26">
        <f>股权价值增加表!AL20</f>
        <v>-476540.05</v>
      </c>
      <c r="AM30" s="26">
        <f>股权价值增加表!AM20</f>
        <v>-379863.71</v>
      </c>
      <c r="AN30" s="26">
        <f>股权价值增加表!AN20</f>
        <v>-550976.51</v>
      </c>
      <c r="AO30" s="26">
        <f>股权价值增加表!AO20</f>
        <v>4646892.58</v>
      </c>
      <c r="AP30" s="26">
        <f>股权价值增加表!AP20</f>
        <v>-8814265.8200000003</v>
      </c>
      <c r="AQ30" s="26">
        <f>股权价值增加表!AQ20</f>
        <v>-5503336.3899999997</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2.6535948685833567E-2</v>
      </c>
      <c r="F31" s="59">
        <f t="shared" ref="F31:BQ31" si="30">F30/F34</f>
        <v>3.0670347979318037E-2</v>
      </c>
      <c r="G31" s="59">
        <f t="shared" si="30"/>
        <v>6.6751664775790099E-3</v>
      </c>
      <c r="H31" s="59">
        <f t="shared" si="30"/>
        <v>3.5966719698734988E-2</v>
      </c>
      <c r="I31" s="59">
        <f t="shared" si="30"/>
        <v>2.0718107238755105E-2</v>
      </c>
      <c r="J31" s="59">
        <f t="shared" si="30"/>
        <v>3.4138255690116556E-3</v>
      </c>
      <c r="K31" s="59">
        <f t="shared" si="30"/>
        <v>3.6974916947761982E-3</v>
      </c>
      <c r="L31" s="59">
        <f t="shared" si="30"/>
        <v>4.6814533673784249E-3</v>
      </c>
      <c r="M31" s="59">
        <f t="shared" si="30"/>
        <v>2.7556499062057461E-3</v>
      </c>
      <c r="N31" s="59">
        <f t="shared" si="30"/>
        <v>3.529242268697122E-3</v>
      </c>
      <c r="O31" s="59">
        <f t="shared" si="30"/>
        <v>4.4684068447479481E-3</v>
      </c>
      <c r="P31" s="59">
        <f t="shared" si="30"/>
        <v>3.5475459482625198E-3</v>
      </c>
      <c r="Q31" s="59">
        <f t="shared" si="30"/>
        <v>3.3202175832743033E-3</v>
      </c>
      <c r="R31" s="59">
        <f t="shared" si="30"/>
        <v>3.2985475991360934E-3</v>
      </c>
      <c r="S31" s="59">
        <f t="shared" si="30"/>
        <v>3.5039668103321814E-3</v>
      </c>
      <c r="T31" s="59">
        <f t="shared" si="30"/>
        <v>4.9706864526234641E-3</v>
      </c>
      <c r="U31" s="59">
        <f t="shared" si="30"/>
        <v>4.2522210413140577E-3</v>
      </c>
      <c r="V31" s="59">
        <f t="shared" si="30"/>
        <v>4.2906155105752724E-3</v>
      </c>
      <c r="W31" s="59">
        <f t="shared" si="30"/>
        <v>3.6111656572220129E-3</v>
      </c>
      <c r="X31" s="59">
        <f t="shared" si="30"/>
        <v>6.1259281007247082E-4</v>
      </c>
      <c r="Y31" s="59">
        <f t="shared" si="30"/>
        <v>8.9157361649496467E-4</v>
      </c>
      <c r="Z31" s="59">
        <f t="shared" si="30"/>
        <v>1.0416389994523977E-3</v>
      </c>
      <c r="AA31" s="59">
        <f t="shared" si="30"/>
        <v>8.6223848079076233E-4</v>
      </c>
      <c r="AB31" s="59">
        <f t="shared" si="30"/>
        <v>-8.1119797329262916E-4</v>
      </c>
      <c r="AC31" s="59">
        <f t="shared" si="30"/>
        <v>1.2615262888494114E-3</v>
      </c>
      <c r="AD31" s="59">
        <f t="shared" si="30"/>
        <v>3.9195547268539271E-4</v>
      </c>
      <c r="AE31" s="59">
        <f t="shared" si="30"/>
        <v>2.8129077218428376E-4</v>
      </c>
      <c r="AF31" s="59">
        <f t="shared" si="30"/>
        <v>-4.2804273006102466E-3</v>
      </c>
      <c r="AG31" s="59">
        <f t="shared" si="30"/>
        <v>1.9832434903791739E-3</v>
      </c>
      <c r="AH31" s="59">
        <f t="shared" si="30"/>
        <v>1.8758928599954421E-3</v>
      </c>
      <c r="AI31" s="59">
        <f t="shared" si="30"/>
        <v>-1.0315788927092545E-4</v>
      </c>
      <c r="AJ31" s="59">
        <f t="shared" si="30"/>
        <v>-1.8227778700712757E-3</v>
      </c>
      <c r="AK31" s="59">
        <f t="shared" si="30"/>
        <v>-1.4442588839625918E-3</v>
      </c>
      <c r="AL31" s="59">
        <f t="shared" si="30"/>
        <v>-7.6922551487304883E-4</v>
      </c>
      <c r="AM31" s="59">
        <f t="shared" si="30"/>
        <v>-8.3889980190415207E-4</v>
      </c>
      <c r="AN31" s="59">
        <f t="shared" si="30"/>
        <v>-3.6577588923672635E-3</v>
      </c>
      <c r="AO31" s="59">
        <f t="shared" si="30"/>
        <v>7.9036670425905748E-3</v>
      </c>
      <c r="AP31" s="59">
        <f t="shared" si="30"/>
        <v>-1.5035063764884116E-2</v>
      </c>
      <c r="AQ31" s="59">
        <f t="shared" si="30"/>
        <v>-1.8080002197610662E-2</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151965647.75999999</v>
      </c>
      <c r="F32" s="26">
        <f>股权价值增加表!F27</f>
        <v>-16071040.580000006</v>
      </c>
      <c r="G32" s="26">
        <f>股权价值增加表!G27</f>
        <v>33098630.470000014</v>
      </c>
      <c r="H32" s="26">
        <f>股权价值增加表!H27</f>
        <v>19993305.960000001</v>
      </c>
      <c r="I32" s="26">
        <f>股权价值增加表!I27</f>
        <v>217593606.25</v>
      </c>
      <c r="J32" s="26">
        <f>股权价值增加表!J27</f>
        <v>19959554.300000001</v>
      </c>
      <c r="K32" s="26">
        <f>股权价值增加表!K27</f>
        <v>11767271.93</v>
      </c>
      <c r="L32" s="26">
        <f>股权价值增加表!L27</f>
        <v>2723923.7800000003</v>
      </c>
      <c r="M32" s="26">
        <f>股权价值增加表!M27</f>
        <v>89756904.300000012</v>
      </c>
      <c r="N32" s="26">
        <f>股权价值增加表!N27</f>
        <v>44871965.309999995</v>
      </c>
      <c r="O32" s="26">
        <f>股权价值增加表!O27</f>
        <v>24673805.559999999</v>
      </c>
      <c r="P32" s="26">
        <f>股权价值增加表!P27</f>
        <v>11443334.939999999</v>
      </c>
      <c r="Q32" s="26">
        <f>股权价值增加表!Q27</f>
        <v>50330682.960000008</v>
      </c>
      <c r="R32" s="26">
        <f>股权价值增加表!R27</f>
        <v>45270909.600000001</v>
      </c>
      <c r="S32" s="26">
        <f>股权价值增加表!S27</f>
        <v>19221363.099999998</v>
      </c>
      <c r="T32" s="26">
        <f>股权价值增加表!T27</f>
        <v>11479978.82</v>
      </c>
      <c r="U32" s="26">
        <f>股权价值增加表!U27</f>
        <v>87029426.819999993</v>
      </c>
      <c r="V32" s="26">
        <f>股权价值增加表!V27</f>
        <v>24141745.84</v>
      </c>
      <c r="W32" s="26">
        <f>股权价值增加表!W27</f>
        <v>11488882.959999999</v>
      </c>
      <c r="X32" s="26">
        <f>股权价值增加表!X27</f>
        <v>4752777.1900000004</v>
      </c>
      <c r="Y32" s="26">
        <f>股权价值增加表!Y27</f>
        <v>134520826.78000003</v>
      </c>
      <c r="Z32" s="26">
        <f>股权价值增加表!Z27</f>
        <v>1074723.4799999997</v>
      </c>
      <c r="AA32" s="26">
        <f>股权价值增加表!AA27</f>
        <v>2616547.64</v>
      </c>
      <c r="AB32" s="26">
        <f>股权价值增加表!AB27</f>
        <v>2869324.45</v>
      </c>
      <c r="AC32" s="26">
        <f>股权价值增加表!AC27</f>
        <v>109605247.41</v>
      </c>
      <c r="AD32" s="26">
        <f>股权价值增加表!AD27</f>
        <v>2608453.4</v>
      </c>
      <c r="AE32" s="26">
        <f>股权价值增加表!AE27</f>
        <v>35168.6</v>
      </c>
      <c r="AF32" s="26">
        <f>股权价值增加表!AF27</f>
        <v>-1612.29</v>
      </c>
      <c r="AG32" s="26">
        <f>股权价值增加表!AG27</f>
        <v>24861189.100000001</v>
      </c>
      <c r="AH32" s="26">
        <f>股权价值增加表!AH27</f>
        <v>2750000</v>
      </c>
      <c r="AI32" s="26">
        <f>股权价值增加表!AI27</f>
        <v>2750000</v>
      </c>
      <c r="AJ32" s="26">
        <f>股权价值增加表!AJ27</f>
        <v>2750000</v>
      </c>
      <c r="AK32" s="26">
        <f>股权价值增加表!AK27</f>
        <v>8327324.6799999997</v>
      </c>
      <c r="AL32" s="26">
        <f>股权价值增加表!AL27</f>
        <v>0</v>
      </c>
      <c r="AM32" s="26">
        <f>股权价值增加表!AM27</f>
        <v>1928954.2</v>
      </c>
      <c r="AN32" s="26">
        <f>股权价值增加表!AN27</f>
        <v>0</v>
      </c>
      <c r="AO32" s="26">
        <f>股权价值增加表!AO27</f>
        <v>432088.28000000026</v>
      </c>
      <c r="AP32" s="26">
        <f>股权价值增加表!AP27</f>
        <v>1343432.9700000007</v>
      </c>
      <c r="AQ32" s="26">
        <f>股权价值增加表!AQ27</f>
        <v>-51151</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4.0991590544003614E-2</v>
      </c>
      <c r="F33" s="59">
        <f t="shared" ref="F33:BQ33" si="32">F32/F34</f>
        <v>-6.3100320803648625E-3</v>
      </c>
      <c r="G33" s="59">
        <f t="shared" si="32"/>
        <v>2.0396338292116477E-2</v>
      </c>
      <c r="H33" s="59">
        <f t="shared" si="32"/>
        <v>3.4539741273190386E-2</v>
      </c>
      <c r="I33" s="59">
        <f t="shared" si="32"/>
        <v>6.1030148200299963E-2</v>
      </c>
      <c r="J33" s="59">
        <f t="shared" si="32"/>
        <v>1.2259339222508462E-2</v>
      </c>
      <c r="K33" s="59">
        <f t="shared" si="32"/>
        <v>1.1585838096203763E-2</v>
      </c>
      <c r="L33" s="59">
        <f t="shared" si="32"/>
        <v>6.4470047149839879E-3</v>
      </c>
      <c r="M33" s="59">
        <f t="shared" si="32"/>
        <v>3.8802028768569537E-2</v>
      </c>
      <c r="N33" s="59">
        <f t="shared" si="32"/>
        <v>2.6949003223295489E-2</v>
      </c>
      <c r="O33" s="59">
        <f t="shared" si="32"/>
        <v>2.3308244187928685E-2</v>
      </c>
      <c r="P33" s="59">
        <f t="shared" si="32"/>
        <v>2.6655899863072138E-2</v>
      </c>
      <c r="Q33" s="59">
        <f t="shared" si="32"/>
        <v>2.0671248992338621E-2</v>
      </c>
      <c r="R33" s="59">
        <f t="shared" si="32"/>
        <v>2.5488920045338669E-2</v>
      </c>
      <c r="S33" s="59">
        <f t="shared" si="32"/>
        <v>1.7851519768805054E-2</v>
      </c>
      <c r="T33" s="59">
        <f t="shared" si="32"/>
        <v>2.8621135803157973E-2</v>
      </c>
      <c r="U33" s="59">
        <f t="shared" si="32"/>
        <v>4.113294940048557E-2</v>
      </c>
      <c r="V33" s="59">
        <f t="shared" si="32"/>
        <v>1.6300232716959798E-2</v>
      </c>
      <c r="W33" s="59">
        <f t="shared" si="32"/>
        <v>1.2956720472508097E-2</v>
      </c>
      <c r="X33" s="59">
        <f t="shared" si="32"/>
        <v>1.558959253425121E-2</v>
      </c>
      <c r="Y33" s="59">
        <f t="shared" si="32"/>
        <v>7.5593515805859032E-2</v>
      </c>
      <c r="Z33" s="59">
        <f t="shared" si="32"/>
        <v>8.9355998842391665E-4</v>
      </c>
      <c r="AA33" s="59">
        <f t="shared" si="32"/>
        <v>4.2012410160875632E-3</v>
      </c>
      <c r="AB33" s="59">
        <f t="shared" si="32"/>
        <v>1.2620232148832332E-2</v>
      </c>
      <c r="AC33" s="59">
        <f t="shared" si="32"/>
        <v>9.7825282352506537E-2</v>
      </c>
      <c r="AD33" s="59">
        <f t="shared" si="32"/>
        <v>3.4525790170190519E-3</v>
      </c>
      <c r="AE33" s="59">
        <f t="shared" si="32"/>
        <v>7.4223552422331509E-5</v>
      </c>
      <c r="AF33" s="59">
        <f t="shared" si="32"/>
        <v>-9.3031702559710635E-6</v>
      </c>
      <c r="AG33" s="59">
        <f t="shared" si="32"/>
        <v>2.9451544201217341E-2</v>
      </c>
      <c r="AH33" s="59">
        <f t="shared" si="32"/>
        <v>3.7683261504385403E-3</v>
      </c>
      <c r="AI33" s="59">
        <f t="shared" si="32"/>
        <v>5.6445546213221053E-3</v>
      </c>
      <c r="AJ33" s="59">
        <f t="shared" si="32"/>
        <v>1.3694000789124111E-2</v>
      </c>
      <c r="AK33" s="59">
        <f t="shared" si="32"/>
        <v>1.2044250314336043E-2</v>
      </c>
      <c r="AL33" s="59">
        <f t="shared" si="32"/>
        <v>0</v>
      </c>
      <c r="AM33" s="59">
        <f t="shared" si="32"/>
        <v>4.2599470643357382E-3</v>
      </c>
      <c r="AN33" s="59">
        <f t="shared" si="32"/>
        <v>0</v>
      </c>
      <c r="AO33" s="59">
        <f t="shared" si="32"/>
        <v>7.3491733224563798E-4</v>
      </c>
      <c r="AP33" s="59">
        <f t="shared" si="32"/>
        <v>2.2915805786076983E-3</v>
      </c>
      <c r="AQ33" s="59">
        <f t="shared" si="32"/>
        <v>-1.680453686404554E-4</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3707239600.6900015</v>
      </c>
      <c r="F34" s="58">
        <f>股权价值增加表!F31</f>
        <v>2546903149.6699991</v>
      </c>
      <c r="G34" s="58">
        <f>股权价值增加表!G31</f>
        <v>1622773166.2400002</v>
      </c>
      <c r="H34" s="58">
        <f>股权价值增加表!H31</f>
        <v>578849326.10999978</v>
      </c>
      <c r="I34" s="58">
        <f>股权价值增加表!I31</f>
        <v>3565346188.1800008</v>
      </c>
      <c r="J34" s="58">
        <f>股权价值增加表!J31</f>
        <v>1628110123.8599994</v>
      </c>
      <c r="K34" s="58">
        <f>股权价值增加表!K31</f>
        <v>1015659966.2700003</v>
      </c>
      <c r="L34" s="58">
        <f>股权价值增加表!L31</f>
        <v>422509971.74999982</v>
      </c>
      <c r="M34" s="58">
        <f>股权价值增加表!M31</f>
        <v>2313201323.4499998</v>
      </c>
      <c r="N34" s="58">
        <f>股权价值增加表!N31</f>
        <v>1665069573.75</v>
      </c>
      <c r="O34" s="58">
        <f>股权价值增加表!O31</f>
        <v>1058587054.4799997</v>
      </c>
      <c r="P34" s="58">
        <f>股权价值增加表!P31</f>
        <v>429298391.67999995</v>
      </c>
      <c r="Q34" s="58">
        <f>股权价值增加表!Q31</f>
        <v>2434815766.5099993</v>
      </c>
      <c r="R34" s="58">
        <f>股权价值增加表!R31</f>
        <v>1776101518.6000004</v>
      </c>
      <c r="S34" s="58">
        <f>股权价值增加表!S31</f>
        <v>1076735389.9800005</v>
      </c>
      <c r="T34" s="58">
        <f>股权价值增加表!T31</f>
        <v>401101441.21999985</v>
      </c>
      <c r="U34" s="58">
        <f>股权价值增加表!U31</f>
        <v>2115808083.019999</v>
      </c>
      <c r="V34" s="58">
        <f>股权价值增加表!V31</f>
        <v>1481067556.47</v>
      </c>
      <c r="W34" s="58">
        <f>股权价值增加表!W31</f>
        <v>886712265.21999967</v>
      </c>
      <c r="X34" s="58">
        <f>股权价值增加表!X31</f>
        <v>304868596.12000006</v>
      </c>
      <c r="Y34" s="58">
        <f>股权价值增加表!Y31</f>
        <v>1779528645.3599994</v>
      </c>
      <c r="Z34" s="58">
        <f>股权价值增加表!Z31</f>
        <v>1202743513.4999988</v>
      </c>
      <c r="AA34" s="58">
        <f>股权价值增加表!AA31</f>
        <v>622803507.34000003</v>
      </c>
      <c r="AB34" s="58">
        <f>股权价值增加表!AB31</f>
        <v>227359086.28</v>
      </c>
      <c r="AC34" s="58">
        <f>股权价值增加表!AC31</f>
        <v>1120418411.0100002</v>
      </c>
      <c r="AD34" s="58">
        <f>股权价值增加表!AD31</f>
        <v>755508675.4399997</v>
      </c>
      <c r="AE34" s="58">
        <f>股权价值增加表!AE31</f>
        <v>473819951.38000005</v>
      </c>
      <c r="AF34" s="58">
        <f>股权价值增加表!AF31</f>
        <v>173305438.42999995</v>
      </c>
      <c r="AG34" s="58">
        <f>股权价值增加表!AG31</f>
        <v>844138729.37000012</v>
      </c>
      <c r="AH34" s="58">
        <f>股权价值增加表!AH31</f>
        <v>729766981.47000039</v>
      </c>
      <c r="AI34" s="58">
        <f>股权价值增加表!AI31</f>
        <v>487195214.59000015</v>
      </c>
      <c r="AJ34" s="58">
        <f>股权价值增加表!AJ31</f>
        <v>200817864.87000006</v>
      </c>
      <c r="AK34" s="58">
        <f>股权价值增加表!AK31</f>
        <v>691394189.14999986</v>
      </c>
      <c r="AL34" s="58">
        <f>股权价值增加表!AL31</f>
        <v>619506296.64000034</v>
      </c>
      <c r="AM34" s="58">
        <f>股权价值增加表!AM31</f>
        <v>452811776.96999991</v>
      </c>
      <c r="AN34" s="58">
        <f>股权价值增加表!AN31</f>
        <v>150632265.88000003</v>
      </c>
      <c r="AO34" s="58">
        <f>股权价值增加表!AO31</f>
        <v>587941338.48999977</v>
      </c>
      <c r="AP34" s="58">
        <f>股权价值增加表!AP31</f>
        <v>586247318.79000032</v>
      </c>
      <c r="AQ34" s="58">
        <f>股权价值增加表!AQ31</f>
        <v>304388037.67000014</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676</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3707239600.6900015</v>
      </c>
      <c r="F39" s="26">
        <f>股权价值增加表!F31</f>
        <v>2546903149.6699991</v>
      </c>
      <c r="G39" s="26">
        <f>股权价值增加表!G31</f>
        <v>1622773166.2400002</v>
      </c>
      <c r="H39" s="26">
        <f>股权价值增加表!H31</f>
        <v>578849326.10999978</v>
      </c>
      <c r="I39" s="26">
        <f>股权价值增加表!I31</f>
        <v>3565346188.1800008</v>
      </c>
      <c r="J39" s="26">
        <f>股权价值增加表!J31</f>
        <v>1628110123.8599994</v>
      </c>
      <c r="K39" s="26">
        <f>股权价值增加表!K31</f>
        <v>1015659966.2700003</v>
      </c>
      <c r="L39" s="26">
        <f>股权价值增加表!L31</f>
        <v>422509971.74999982</v>
      </c>
      <c r="M39" s="26">
        <f>股权价值增加表!M31</f>
        <v>2313201323.4499998</v>
      </c>
      <c r="N39" s="26">
        <f>股权价值增加表!N31</f>
        <v>1665069573.75</v>
      </c>
      <c r="O39" s="26">
        <f>股权价值增加表!O31</f>
        <v>1058587054.4799997</v>
      </c>
      <c r="P39" s="26">
        <f>股权价值增加表!P31</f>
        <v>429298391.67999995</v>
      </c>
      <c r="Q39" s="26">
        <f>股权价值增加表!Q31</f>
        <v>2434815766.5099993</v>
      </c>
      <c r="R39" s="26">
        <f>股权价值增加表!R31</f>
        <v>1776101518.6000004</v>
      </c>
      <c r="S39" s="26">
        <f>股权价值增加表!S31</f>
        <v>1076735389.9800005</v>
      </c>
      <c r="T39" s="26">
        <f>股权价值增加表!T31</f>
        <v>401101441.21999985</v>
      </c>
      <c r="U39" s="26">
        <f>股权价值增加表!U31</f>
        <v>2115808083.019999</v>
      </c>
      <c r="V39" s="26">
        <f>股权价值增加表!V31</f>
        <v>1481067556.47</v>
      </c>
      <c r="W39" s="26">
        <f>股权价值增加表!W31</f>
        <v>886712265.21999967</v>
      </c>
      <c r="X39" s="26">
        <f>股权价值增加表!X31</f>
        <v>304868596.12000006</v>
      </c>
      <c r="Y39" s="26">
        <f>股权价值增加表!Y31</f>
        <v>1779528645.3599994</v>
      </c>
      <c r="Z39" s="26">
        <f>股权价值增加表!Z31</f>
        <v>1202743513.4999988</v>
      </c>
      <c r="AA39" s="26">
        <f>股权价值增加表!AA31</f>
        <v>622803507.34000003</v>
      </c>
      <c r="AB39" s="26">
        <f>股权价值增加表!AB31</f>
        <v>227359086.28</v>
      </c>
      <c r="AC39" s="26">
        <f>股权价值增加表!AC31</f>
        <v>1120418411.0100002</v>
      </c>
      <c r="AD39" s="26">
        <f>股权价值增加表!AD31</f>
        <v>755508675.4399997</v>
      </c>
      <c r="AE39" s="26">
        <f>股权价值增加表!AE31</f>
        <v>473819951.38000005</v>
      </c>
      <c r="AF39" s="26">
        <f>股权价值增加表!AF31</f>
        <v>173305438.42999995</v>
      </c>
      <c r="AG39" s="26">
        <f>股权价值增加表!AG31</f>
        <v>844138729.37000012</v>
      </c>
      <c r="AH39" s="26">
        <f>股权价值增加表!AH31</f>
        <v>729766981.47000039</v>
      </c>
      <c r="AI39" s="26">
        <f>股权价值增加表!AI31</f>
        <v>487195214.59000015</v>
      </c>
      <c r="AJ39" s="26">
        <f>股权价值增加表!AJ31</f>
        <v>200817864.87000006</v>
      </c>
      <c r="AK39" s="26">
        <f>股权价值增加表!AK31</f>
        <v>691394189.14999986</v>
      </c>
      <c r="AL39" s="26">
        <f>股权价值增加表!AL31</f>
        <v>619506296.64000034</v>
      </c>
      <c r="AM39" s="26">
        <f>股权价值增加表!AM31</f>
        <v>452811776.96999991</v>
      </c>
      <c r="AN39" s="26">
        <f>股权价值增加表!AN31</f>
        <v>150632265.88000003</v>
      </c>
      <c r="AO39" s="26">
        <f>股权价值增加表!AO31</f>
        <v>587941338.48999977</v>
      </c>
      <c r="AP39" s="26">
        <f>股权价值增加表!AP31</f>
        <v>586247318.79000032</v>
      </c>
      <c r="AQ39" s="26">
        <f>股权价值增加表!AQ31</f>
        <v>304388037.67000014</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3049912617.7800016</v>
      </c>
      <c r="F40" s="26">
        <f>股权价值增加表!F38</f>
        <v>2223926852.9799991</v>
      </c>
      <c r="G40" s="26">
        <f>股权价值增加表!G38</f>
        <v>1421636007.6200004</v>
      </c>
      <c r="H40" s="26">
        <f>股权价值增加表!H38</f>
        <v>462316126.59999979</v>
      </c>
      <c r="I40" s="26">
        <f>股权价值增加表!I38</f>
        <v>3103193212.0600009</v>
      </c>
      <c r="J40" s="26">
        <f>股权价值增加表!J38</f>
        <v>1605404060.5899994</v>
      </c>
      <c r="K40" s="26">
        <f>股权价值增加表!K38</f>
        <v>989694910.58000028</v>
      </c>
      <c r="L40" s="26">
        <f>股权价值增加表!L38</f>
        <v>396069697.08999979</v>
      </c>
      <c r="M40" s="26">
        <f>股权价值增加表!M38</f>
        <v>2201348382.8599997</v>
      </c>
      <c r="N40" s="26">
        <f>股权价值增加表!N38</f>
        <v>1605045426.5799999</v>
      </c>
      <c r="O40" s="26">
        <f>股权价值增加表!O38</f>
        <v>996710184.84999967</v>
      </c>
      <c r="P40" s="26">
        <f>股权价值增加表!P38</f>
        <v>392304924.57999992</v>
      </c>
      <c r="Q40" s="26">
        <f>股权价值增加表!Q38</f>
        <v>2285319765.0099993</v>
      </c>
      <c r="R40" s="26">
        <f>股权价值增加表!R38</f>
        <v>1692412474.1800003</v>
      </c>
      <c r="S40" s="26">
        <f>股权价值增加表!S38</f>
        <v>1036134800.6700006</v>
      </c>
      <c r="T40" s="26">
        <f>股权价值增加表!T38</f>
        <v>385349562.91999984</v>
      </c>
      <c r="U40" s="26">
        <f>股权价值增加表!U38</f>
        <v>1979495693.099999</v>
      </c>
      <c r="V40" s="26">
        <f>股权价值增加表!V38</f>
        <v>1444732508.54</v>
      </c>
      <c r="W40" s="26">
        <f>股权价值增加表!W38</f>
        <v>873811444.73999965</v>
      </c>
      <c r="X40" s="26">
        <f>股权价值增加表!X38</f>
        <v>316244068.33000004</v>
      </c>
      <c r="Y40" s="26">
        <f>股权价值增加表!Y38</f>
        <v>1664512142.6199994</v>
      </c>
      <c r="Z40" s="26">
        <f>股权价值增加表!Z38</f>
        <v>1218231995.7899988</v>
      </c>
      <c r="AA40" s="26">
        <f>股权价值增加表!AA38</f>
        <v>646355048.76999998</v>
      </c>
      <c r="AB40" s="26">
        <f>股权价值增加表!AB38</f>
        <v>261525083.37</v>
      </c>
      <c r="AC40" s="26">
        <f>股权价值增加表!AC38</f>
        <v>1061579537.2500002</v>
      </c>
      <c r="AD40" s="26">
        <f>股权价值增加表!AD38</f>
        <v>808388227.50999975</v>
      </c>
      <c r="AE40" s="26">
        <f>股权价值增加表!AE38</f>
        <v>530656813.34000003</v>
      </c>
      <c r="AF40" s="26">
        <f>股权价值增加表!AF38</f>
        <v>220753619.10999995</v>
      </c>
      <c r="AG40" s="26">
        <f>股权价值增加表!AG38</f>
        <v>832943335.62000012</v>
      </c>
      <c r="AH40" s="26">
        <f>股权价值增加表!AH38</f>
        <v>742854118.86000037</v>
      </c>
      <c r="AI40" s="26">
        <f>股权价值增加表!AI38</f>
        <v>486597789.52000016</v>
      </c>
      <c r="AJ40" s="26">
        <f>股权价值增加表!AJ38</f>
        <v>201569008.02000007</v>
      </c>
      <c r="AK40" s="26">
        <f>股权价值增加表!AK38</f>
        <v>688330352.37999988</v>
      </c>
      <c r="AL40" s="26">
        <f>股权价值增加表!AL38</f>
        <v>622639177.79000032</v>
      </c>
      <c r="AM40" s="26">
        <f>股权价值增加表!AM38</f>
        <v>453384868.3599999</v>
      </c>
      <c r="AN40" s="26">
        <f>股权价值增加表!AN38</f>
        <v>148378624.69000003</v>
      </c>
      <c r="AO40" s="26">
        <f>股权价值增加表!AO38</f>
        <v>571882502.19999981</v>
      </c>
      <c r="AP40" s="26">
        <f>股权价值增加表!AP38</f>
        <v>564773160.04000032</v>
      </c>
      <c r="AQ40" s="26">
        <f>股权价值增加表!AQ38</f>
        <v>281544848.15000015</v>
      </c>
      <c r="AR40" s="26">
        <f>股权价值增加表!AR38</f>
        <v>0</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0.17730900985942655</v>
      </c>
      <c r="F41" s="59">
        <f t="shared" ref="F41:BQ41" si="34">1-F40/F39</f>
        <v>0.12681137746908355</v>
      </c>
      <c r="G41" s="59">
        <f t="shared" si="34"/>
        <v>0.12394656431621864</v>
      </c>
      <c r="H41" s="59">
        <f t="shared" si="34"/>
        <v>0.20131870981543643</v>
      </c>
      <c r="I41" s="59">
        <f t="shared" si="34"/>
        <v>0.12962359101400889</v>
      </c>
      <c r="J41" s="59">
        <f t="shared" si="34"/>
        <v>1.3946269934227429E-2</v>
      </c>
      <c r="K41" s="59">
        <f t="shared" si="34"/>
        <v>2.5564713144455631E-2</v>
      </c>
      <c r="L41" s="59">
        <f t="shared" si="34"/>
        <v>6.2579054762865627E-2</v>
      </c>
      <c r="M41" s="59">
        <f t="shared" si="34"/>
        <v>4.8354174561502594E-2</v>
      </c>
      <c r="N41" s="59">
        <f t="shared" si="34"/>
        <v>3.6049032494669953E-2</v>
      </c>
      <c r="O41" s="59">
        <f t="shared" si="34"/>
        <v>5.8452320352996634E-2</v>
      </c>
      <c r="P41" s="59">
        <f t="shared" si="34"/>
        <v>8.6171921015662845E-2</v>
      </c>
      <c r="Q41" s="59">
        <f t="shared" si="34"/>
        <v>6.1399307313622198E-2</v>
      </c>
      <c r="R41" s="59">
        <f t="shared" si="34"/>
        <v>4.7119516279659157E-2</v>
      </c>
      <c r="S41" s="59">
        <f t="shared" si="34"/>
        <v>3.7707118840733966E-2</v>
      </c>
      <c r="T41" s="59">
        <f t="shared" si="34"/>
        <v>3.9271557469573559E-2</v>
      </c>
      <c r="U41" s="59">
        <f t="shared" si="34"/>
        <v>6.4425687288912625E-2</v>
      </c>
      <c r="V41" s="59">
        <f t="shared" si="34"/>
        <v>2.4533011861121001E-2</v>
      </c>
      <c r="W41" s="59">
        <f t="shared" si="34"/>
        <v>1.4549049320750296E-2</v>
      </c>
      <c r="X41" s="59">
        <f t="shared" si="34"/>
        <v>-3.7312705719031891E-2</v>
      </c>
      <c r="Y41" s="59">
        <f t="shared" si="34"/>
        <v>6.4633128013925401E-2</v>
      </c>
      <c r="Z41" s="59">
        <f t="shared" si="34"/>
        <v>-1.2877626955499766E-2</v>
      </c>
      <c r="AA41" s="59">
        <f t="shared" si="34"/>
        <v>-3.7815364159699216E-2</v>
      </c>
      <c r="AB41" s="59">
        <f t="shared" si="34"/>
        <v>-0.15027328640793125</v>
      </c>
      <c r="AC41" s="59">
        <f t="shared" si="34"/>
        <v>5.2515090060827996E-2</v>
      </c>
      <c r="AD41" s="59">
        <f t="shared" si="34"/>
        <v>-6.9991985253119227E-2</v>
      </c>
      <c r="AE41" s="59">
        <f t="shared" si="34"/>
        <v>-0.11995455614408534</v>
      </c>
      <c r="AF41" s="59">
        <f t="shared" si="34"/>
        <v>-0.27378356449653407</v>
      </c>
      <c r="AG41" s="59">
        <f t="shared" si="34"/>
        <v>1.3262504562911559E-2</v>
      </c>
      <c r="AH41" s="59">
        <f t="shared" si="34"/>
        <v>-1.7933309840406864E-2</v>
      </c>
      <c r="AI41" s="59">
        <f t="shared" si="34"/>
        <v>1.2262539780952819E-3</v>
      </c>
      <c r="AJ41" s="59">
        <f t="shared" si="34"/>
        <v>-3.7404199595800769E-3</v>
      </c>
      <c r="AK41" s="59">
        <f t="shared" si="34"/>
        <v>4.4313892394245435E-3</v>
      </c>
      <c r="AL41" s="59">
        <f t="shared" si="34"/>
        <v>-5.0570610290674445E-3</v>
      </c>
      <c r="AM41" s="59">
        <f t="shared" si="34"/>
        <v>-1.2656282790055595E-3</v>
      </c>
      <c r="AN41" s="59">
        <f t="shared" si="34"/>
        <v>1.4961211509593508E-2</v>
      </c>
      <c r="AO41" s="59">
        <f t="shared" si="34"/>
        <v>2.7313671005416262E-2</v>
      </c>
      <c r="AP41" s="59">
        <f t="shared" si="34"/>
        <v>3.6629862622352127E-2</v>
      </c>
      <c r="AQ41" s="59">
        <f t="shared" si="34"/>
        <v>7.5046278739656747E-2</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5.639871322911433</v>
      </c>
      <c r="F42" s="29">
        <f t="shared" ref="F42:BQ42" si="36">F39/(F39-F40)</f>
        <v>7.8857277632190277</v>
      </c>
      <c r="G42" s="29">
        <f t="shared" si="36"/>
        <v>8.0679928928788271</v>
      </c>
      <c r="H42" s="29">
        <f t="shared" si="36"/>
        <v>4.9672482051805957</v>
      </c>
      <c r="I42" s="29">
        <f t="shared" si="36"/>
        <v>7.7146450902747068</v>
      </c>
      <c r="J42" s="29">
        <f t="shared" si="36"/>
        <v>71.703760555054629</v>
      </c>
      <c r="K42" s="29">
        <f t="shared" si="36"/>
        <v>39.116417788434099</v>
      </c>
      <c r="L42" s="29">
        <f t="shared" si="36"/>
        <v>15.979787546957327</v>
      </c>
      <c r="M42" s="29">
        <f t="shared" si="36"/>
        <v>20.680737683322061</v>
      </c>
      <c r="N42" s="29">
        <f t="shared" si="36"/>
        <v>27.739995522705197</v>
      </c>
      <c r="O42" s="29">
        <f t="shared" si="36"/>
        <v>17.107960709873417</v>
      </c>
      <c r="P42" s="29">
        <f t="shared" si="36"/>
        <v>11.604708218332952</v>
      </c>
      <c r="Q42" s="29">
        <f t="shared" si="36"/>
        <v>16.286828691602157</v>
      </c>
      <c r="R42" s="29">
        <f t="shared" si="36"/>
        <v>21.222628731264926</v>
      </c>
      <c r="S42" s="29">
        <f t="shared" si="36"/>
        <v>26.520191166653831</v>
      </c>
      <c r="T42" s="29">
        <f t="shared" si="36"/>
        <v>25.463721442032696</v>
      </c>
      <c r="U42" s="29">
        <f t="shared" si="36"/>
        <v>15.521759131812878</v>
      </c>
      <c r="V42" s="29">
        <f t="shared" si="36"/>
        <v>40.761403681737136</v>
      </c>
      <c r="W42" s="29">
        <f t="shared" si="36"/>
        <v>68.733013268005593</v>
      </c>
      <c r="X42" s="29">
        <f t="shared" si="36"/>
        <v>-26.800522254539501</v>
      </c>
      <c r="Y42" s="29">
        <f t="shared" si="36"/>
        <v>15.471941877616503</v>
      </c>
      <c r="Z42" s="29">
        <f t="shared" si="36"/>
        <v>-77.654058737345906</v>
      </c>
      <c r="AA42" s="29">
        <f t="shared" si="36"/>
        <v>-26.444277933616398</v>
      </c>
      <c r="AB42" s="29">
        <f t="shared" si="36"/>
        <v>-6.6545426928735942</v>
      </c>
      <c r="AC42" s="29">
        <f t="shared" si="36"/>
        <v>19.042145768801003</v>
      </c>
      <c r="AD42" s="29">
        <f t="shared" si="36"/>
        <v>-14.28735013564193</v>
      </c>
      <c r="AE42" s="29">
        <f t="shared" si="36"/>
        <v>-8.3364903522200056</v>
      </c>
      <c r="AF42" s="29">
        <f t="shared" si="36"/>
        <v>-3.6525202009073094</v>
      </c>
      <c r="AG42" s="29">
        <f t="shared" si="36"/>
        <v>75.400539562978764</v>
      </c>
      <c r="AH42" s="29">
        <f t="shared" si="36"/>
        <v>-55.762154833617224</v>
      </c>
      <c r="AI42" s="29">
        <f t="shared" si="36"/>
        <v>815.49174792749488</v>
      </c>
      <c r="AJ42" s="29">
        <f t="shared" si="36"/>
        <v>-267.34965881003967</v>
      </c>
      <c r="AK42" s="29">
        <f t="shared" si="36"/>
        <v>225.66286687329108</v>
      </c>
      <c r="AL42" s="29">
        <f t="shared" si="36"/>
        <v>-197.74331261816462</v>
      </c>
      <c r="AM42" s="29">
        <f t="shared" si="36"/>
        <v>-790.12140972840507</v>
      </c>
      <c r="AN42" s="29">
        <f t="shared" si="36"/>
        <v>66.839506904823736</v>
      </c>
      <c r="AO42" s="29">
        <f t="shared" si="36"/>
        <v>36.611702608620412</v>
      </c>
      <c r="AP42" s="29">
        <f t="shared" si="36"/>
        <v>27.300129686803228</v>
      </c>
      <c r="AQ42" s="29">
        <f t="shared" si="36"/>
        <v>13.325111075381928</v>
      </c>
      <c r="AR42" s="29" t="e">
        <f t="shared" si="36"/>
        <v>#DIV/0!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698</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39082</v>
      </c>
      <c r="AR46" s="1">
        <v>25569</v>
      </c>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2651377735.9200015</v>
      </c>
      <c r="F47" s="26">
        <f>股权价值增加表!F42</f>
        <v>1932515700.519999</v>
      </c>
      <c r="G47" s="26">
        <f>股权价值增加表!G42</f>
        <v>1224541405.2700005</v>
      </c>
      <c r="H47" s="26">
        <f>股权价值增加表!H42</f>
        <v>387067290.68999982</v>
      </c>
      <c r="I47" s="26">
        <f>股权价值增加表!I42</f>
        <v>2686018036.440001</v>
      </c>
      <c r="J47" s="26">
        <f>股权价值增加表!J42</f>
        <v>1369395003.3599994</v>
      </c>
      <c r="K47" s="26">
        <f>股权价值增加表!K42</f>
        <v>849092998.30000031</v>
      </c>
      <c r="L47" s="26">
        <f>股权价值增加表!L42</f>
        <v>336453008.92999983</v>
      </c>
      <c r="M47" s="26">
        <f>股权价值增加表!M42</f>
        <v>1877135159.2499995</v>
      </c>
      <c r="N47" s="26">
        <f>股权价值增加表!N42</f>
        <v>1367552079.73</v>
      </c>
      <c r="O47" s="26">
        <f>股权价值增加表!O42</f>
        <v>847451212.48999965</v>
      </c>
      <c r="P47" s="26">
        <f>股权价值增加表!P42</f>
        <v>331161520.3499999</v>
      </c>
      <c r="Q47" s="26">
        <f>股权价值增加表!Q42</f>
        <v>1928648752.0199993</v>
      </c>
      <c r="R47" s="26">
        <f>股权价值增加表!R42</f>
        <v>1431479764.8900003</v>
      </c>
      <c r="S47" s="26">
        <f>股权价值增加表!S42</f>
        <v>878904325.17000055</v>
      </c>
      <c r="T47" s="26">
        <f>股权价值增加表!T42</f>
        <v>326480655.06999981</v>
      </c>
      <c r="U47" s="26">
        <f>股权价值增加表!U42</f>
        <v>1669068330.9199989</v>
      </c>
      <c r="V47" s="26">
        <f>股权价值增加表!V42</f>
        <v>1208374948.7</v>
      </c>
      <c r="W47" s="26">
        <f>股权价值增加表!W42</f>
        <v>729672291.19999969</v>
      </c>
      <c r="X47" s="26">
        <f>股权价值增加表!X42</f>
        <v>262089289.81000003</v>
      </c>
      <c r="Y47" s="26">
        <f>股权价值增加表!Y42</f>
        <v>1395438427.2999995</v>
      </c>
      <c r="Z47" s="26">
        <f>股权价值增加表!Z42</f>
        <v>1016219666.2099987</v>
      </c>
      <c r="AA47" s="26">
        <f>股权价值增加表!AA42</f>
        <v>532891768.21999997</v>
      </c>
      <c r="AB47" s="26">
        <f>股权价值增加表!AB42</f>
        <v>215981900.94999999</v>
      </c>
      <c r="AC47" s="26">
        <f>股权价值增加表!AC42</f>
        <v>893134907.07000017</v>
      </c>
      <c r="AD47" s="26">
        <f>股权价值增加表!AD42</f>
        <v>682483293.7099998</v>
      </c>
      <c r="AE47" s="26">
        <f>股权价值增加表!AE42</f>
        <v>441764616.95000005</v>
      </c>
      <c r="AF47" s="26">
        <f>股权价值增加表!AF42</f>
        <v>182755203.25999996</v>
      </c>
      <c r="AG47" s="26">
        <f>股权价值增加表!AG42</f>
        <v>695526845.31000018</v>
      </c>
      <c r="AH47" s="26">
        <f>股权价值增加表!AH42</f>
        <v>610432154.76000035</v>
      </c>
      <c r="AI47" s="26">
        <f>股权价值增加表!AI42</f>
        <v>400667388.60000014</v>
      </c>
      <c r="AJ47" s="26">
        <f>股权价值增加表!AJ42</f>
        <v>168209809.16000009</v>
      </c>
      <c r="AK47" s="26">
        <f>股权价值增加表!AK42</f>
        <v>570488753.41999984</v>
      </c>
      <c r="AL47" s="26">
        <f>股权价值增加表!AL42</f>
        <v>518307975.35000032</v>
      </c>
      <c r="AM47" s="26">
        <f>股权价值增加表!AM42</f>
        <v>371877228.92999989</v>
      </c>
      <c r="AN47" s="26">
        <f>股权价值增加表!AN42</f>
        <v>127409347.79000002</v>
      </c>
      <c r="AO47" s="26">
        <f>股权价值增加表!AO42</f>
        <v>436503739.91999984</v>
      </c>
      <c r="AP47" s="26">
        <f>股权价值增加表!AP42</f>
        <v>385929838.26000035</v>
      </c>
      <c r="AQ47" s="26">
        <f>股权价值增加表!AQ42</f>
        <v>197586995.35000014</v>
      </c>
      <c r="AR47" s="26">
        <f>股权价值增加表!AR42</f>
        <v>0</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0.11322665951824379</v>
      </c>
      <c r="F48" s="63">
        <f>股权价值增加表!F43</f>
        <v>0.12126284527099011</v>
      </c>
      <c r="G48" s="63">
        <f>股权价值增加表!G43</f>
        <v>0.12362327255102576</v>
      </c>
      <c r="H48" s="63">
        <f>股权价值增加表!H43</f>
        <v>9.7229813524420075E-2</v>
      </c>
      <c r="I48" s="63">
        <f>股权价值增加表!I43</f>
        <v>0.13320498939032646</v>
      </c>
      <c r="J48" s="63">
        <f>股权价值增加表!J43</f>
        <v>0.15034098326885983</v>
      </c>
      <c r="K48" s="63">
        <f>股权价值增加表!K43</f>
        <v>0.15080097449195265</v>
      </c>
      <c r="L48" s="63">
        <f>股权价值增加表!L43</f>
        <v>0.14127655441354942</v>
      </c>
      <c r="M48" s="63">
        <f>股权价值增加表!M43</f>
        <v>0.15608368129582098</v>
      </c>
      <c r="N48" s="63">
        <f>股权价值增加表!N43</f>
        <v>0.15584696967943365</v>
      </c>
      <c r="O48" s="63">
        <f>股权价值增加表!O43</f>
        <v>0.15160266149690113</v>
      </c>
      <c r="P48" s="63">
        <f>股权价值增加表!P43</f>
        <v>0.14644198276477943</v>
      </c>
      <c r="Q48" s="63">
        <f>股权价值增加表!Q43</f>
        <v>0.15106242668172976</v>
      </c>
      <c r="R48" s="63">
        <f>股权价值增加表!R43</f>
        <v>0.15379974276394653</v>
      </c>
      <c r="S48" s="63">
        <f>股权价值增加表!S43</f>
        <v>0.1502505864584166</v>
      </c>
      <c r="T48" s="63">
        <f>股权价值增加表!T43</f>
        <v>0.13656306942083069</v>
      </c>
      <c r="U48" s="63">
        <f>股权价值增加表!U43</f>
        <v>0.13959497514940214</v>
      </c>
      <c r="V48" s="63">
        <f>股权价值增加表!V43</f>
        <v>0.14107143484091575</v>
      </c>
      <c r="W48" s="63">
        <f>股权价值增加表!W43</f>
        <v>0.13475893773683456</v>
      </c>
      <c r="X48" s="63">
        <f>股权价值增加表!X43</f>
        <v>0.1266036780673219</v>
      </c>
      <c r="Y48" s="63">
        <f>股权价值增加表!Y43</f>
        <v>0.13037626150901152</v>
      </c>
      <c r="Z48" s="63">
        <f>股权价值增加表!Z43</f>
        <v>0.13084401334790041</v>
      </c>
      <c r="AA48" s="63">
        <f>股权价值增加表!AA43</f>
        <v>0.1224270672260952</v>
      </c>
      <c r="AB48" s="63">
        <f>股权价值增加表!AB43</f>
        <v>0.12097794915118328</v>
      </c>
      <c r="AC48" s="63">
        <f>股权价值增加表!AC43</f>
        <v>0.10775983863886036</v>
      </c>
      <c r="AD48" s="63">
        <f>股权价值增加表!AD43</f>
        <v>0.10787398960475257</v>
      </c>
      <c r="AE48" s="63">
        <f>股权价值增加表!AE43</f>
        <v>0.11038875023830054</v>
      </c>
      <c r="AF48" s="63">
        <f>股权价值增加表!AF43</f>
        <v>0.11111106363819616</v>
      </c>
      <c r="AG48" s="63">
        <f>股权价值增加表!AG43</f>
        <v>0.10971995664626641</v>
      </c>
      <c r="AH48" s="63">
        <f>股权价值增加表!AH43</f>
        <v>0.13100071366276447</v>
      </c>
      <c r="AI48" s="63">
        <f>股权价值增加表!AI43</f>
        <v>0.14101785662281743</v>
      </c>
      <c r="AJ48" s="63">
        <f>股权价值增加表!AJ43</f>
        <v>0.14378138524349193</v>
      </c>
      <c r="AK48" s="63">
        <f>股权价值增加表!AK43</f>
        <v>0.11881426425281622</v>
      </c>
      <c r="AL48" s="63">
        <f>股权价值增加表!AL43</f>
        <v>0.14689816144461876</v>
      </c>
      <c r="AM48" s="63">
        <f>股权价值增加表!AM43</f>
        <v>0.17711482648757257</v>
      </c>
      <c r="AN48" s="63">
        <f>股权价值增加表!AN43</f>
        <v>0.14580229015799312</v>
      </c>
      <c r="AO48" s="63">
        <f>股权价值增加表!AO43</f>
        <v>9.8265323799671719E-2</v>
      </c>
      <c r="AP48" s="63">
        <f>股权价值增加表!AP43</f>
        <v>9.2221635635817423E-2</v>
      </c>
      <c r="AQ48" s="63">
        <f>股权价值增加表!AQ43</f>
        <v>5.8506866587201334E-2</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-1.2896525656213062E-2</v>
      </c>
      <c r="F49" s="59">
        <f t="shared" ref="F49:BQ49" si="38">(F47-J47)/J47</f>
        <v>0.41121860075311023</v>
      </c>
      <c r="G49" s="59">
        <f t="shared" si="38"/>
        <v>0.44217583671246724</v>
      </c>
      <c r="H49" s="59">
        <f t="shared" si="38"/>
        <v>0.15043492082583948</v>
      </c>
      <c r="I49" s="59">
        <f t="shared" si="38"/>
        <v>0.43091349773299586</v>
      </c>
      <c r="J49" s="59">
        <f t="shared" si="38"/>
        <v>1.3476076394569581E-3</v>
      </c>
      <c r="K49" s="59">
        <f t="shared" si="38"/>
        <v>1.9373219198975799E-3</v>
      </c>
      <c r="L49" s="59">
        <f t="shared" si="38"/>
        <v>1.5978573157918303E-2</v>
      </c>
      <c r="M49" s="59">
        <f t="shared" si="38"/>
        <v>-2.6709680918335289E-2</v>
      </c>
      <c r="N49" s="59">
        <f t="shared" si="38"/>
        <v>-4.4658462332447108E-2</v>
      </c>
      <c r="O49" s="59">
        <f t="shared" si="38"/>
        <v>-3.5786731023217049E-2</v>
      </c>
      <c r="P49" s="59">
        <f t="shared" si="38"/>
        <v>1.4337343445345879E-2</v>
      </c>
      <c r="Q49" s="59">
        <f t="shared" si="38"/>
        <v>0.15552414259571887</v>
      </c>
      <c r="R49" s="59">
        <f t="shared" si="38"/>
        <v>0.18463210978514744</v>
      </c>
      <c r="S49" s="59">
        <f t="shared" si="38"/>
        <v>0.2045192557943756</v>
      </c>
      <c r="T49" s="59">
        <f t="shared" si="38"/>
        <v>0.24568484010422514</v>
      </c>
      <c r="U49" s="59">
        <f t="shared" si="38"/>
        <v>0.19608884080212652</v>
      </c>
      <c r="V49" s="59">
        <f t="shared" si="38"/>
        <v>0.18908833284701757</v>
      </c>
      <c r="W49" s="59">
        <f t="shared" si="38"/>
        <v>0.36926921133966645</v>
      </c>
      <c r="X49" s="59">
        <f t="shared" si="38"/>
        <v>0.21347802133973229</v>
      </c>
      <c r="Y49" s="59">
        <f t="shared" si="38"/>
        <v>0.56240498076359569</v>
      </c>
      <c r="Z49" s="59">
        <f t="shared" si="38"/>
        <v>0.48900299183266144</v>
      </c>
      <c r="AA49" s="59">
        <f t="shared" si="38"/>
        <v>0.20627987795662212</v>
      </c>
      <c r="AB49" s="59">
        <f t="shared" si="38"/>
        <v>0.18180985874711031</v>
      </c>
      <c r="AC49" s="59">
        <f t="shared" si="38"/>
        <v>0.28411277449963124</v>
      </c>
      <c r="AD49" s="59">
        <f t="shared" si="38"/>
        <v>0.11803300069985227</v>
      </c>
      <c r="AE49" s="59">
        <f t="shared" si="38"/>
        <v>0.10257193252887538</v>
      </c>
      <c r="AF49" s="59">
        <f t="shared" si="38"/>
        <v>8.6471735344306758E-2</v>
      </c>
      <c r="AG49" s="59">
        <f t="shared" si="38"/>
        <v>0.219177137393883</v>
      </c>
      <c r="AH49" s="59">
        <f t="shared" si="38"/>
        <v>0.1777402312742552</v>
      </c>
      <c r="AI49" s="59">
        <f t="shared" si="38"/>
        <v>7.7418452731935233E-2</v>
      </c>
      <c r="AJ49" s="59">
        <f t="shared" si="38"/>
        <v>0.32023130231581304</v>
      </c>
      <c r="AK49" s="59">
        <f t="shared" si="38"/>
        <v>0.3069504364946703</v>
      </c>
      <c r="AL49" s="59">
        <f t="shared" si="38"/>
        <v>0.34301088945814295</v>
      </c>
      <c r="AM49" s="59">
        <f t="shared" si="38"/>
        <v>0.88209364827511472</v>
      </c>
      <c r="AN49" s="59" t="e">
        <f t="shared" si="38"/>
        <v>#DIV/0!</v>
      </c>
      <c r="AO49" s="59">
        <f t="shared" si="38"/>
        <v>-1.7154212734479657</v>
      </c>
      <c r="AP49" s="59">
        <f t="shared" si="38"/>
        <v>-1.6361383518091048</v>
      </c>
      <c r="AQ49" s="59">
        <f t="shared" si="38"/>
        <v>-1.3761812197552359</v>
      </c>
      <c r="AR49" s="59">
        <f t="shared" si="38"/>
        <v>-1</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1005744582.5160015</v>
      </c>
      <c r="F50" s="26">
        <f>股权价值增加表!F47</f>
        <v>344624424.69439912</v>
      </c>
      <c r="G50" s="26">
        <f>股权价值增加表!G47</f>
        <v>-289062441.99079943</v>
      </c>
      <c r="H50" s="26">
        <f>股权价值增加表!H47</f>
        <v>-1115390659.0060003</v>
      </c>
      <c r="I50" s="26">
        <f>股权价值增加表!I47</f>
        <v>1561656980.4608011</v>
      </c>
      <c r="J50" s="26">
        <f>股权价值增加表!J47</f>
        <v>733691231.83839941</v>
      </c>
      <c r="K50" s="26">
        <f>股权价值增加表!K47</f>
        <v>221994575.74160028</v>
      </c>
      <c r="L50" s="26">
        <f>股权价值增加表!L47</f>
        <v>-254367527.19320023</v>
      </c>
      <c r="M50" s="26">
        <f>股权价值增加表!M47</f>
        <v>1308250983.8403995</v>
      </c>
      <c r="N50" s="26">
        <f>股权价值增加表!N47</f>
        <v>776501889.72839999</v>
      </c>
      <c r="O50" s="26">
        <f>股权价值增加表!O47</f>
        <v>298562374.32839966</v>
      </c>
      <c r="P50" s="26">
        <f>股权价值增加表!P47</f>
        <v>-204451458.44040012</v>
      </c>
      <c r="Q50" s="26">
        <f>股权价值增加表!Q47</f>
        <v>1413253651.1471992</v>
      </c>
      <c r="R50" s="26">
        <f>股权价值增加表!R47</f>
        <v>963319184.48440027</v>
      </c>
      <c r="S50" s="26">
        <f>股权价值增加表!S47</f>
        <v>414833085.5788005</v>
      </c>
      <c r="T50" s="26">
        <f>股权价值增加表!T47</f>
        <v>-146161290.92520016</v>
      </c>
      <c r="U50" s="26">
        <f>股权价值增加表!U47</f>
        <v>1217941924.2199988</v>
      </c>
      <c r="V50" s="26">
        <f>股权价值增加表!V47</f>
        <v>765996481.29760003</v>
      </c>
      <c r="W50" s="26">
        <f>股权价值增加表!W47</f>
        <v>324962752.87839967</v>
      </c>
      <c r="X50" s="26">
        <f>股权价值增加表!X47</f>
        <v>-157737176.71879998</v>
      </c>
      <c r="Y50" s="26">
        <f>股权价值增加表!Y47</f>
        <v>992233340.43599939</v>
      </c>
      <c r="Z50" s="26">
        <f>股权价值增加表!Z47</f>
        <v>634147931.94279873</v>
      </c>
      <c r="AA50" s="26">
        <f>股权价值增加表!AA47</f>
        <v>172492368.56879991</v>
      </c>
      <c r="AB50" s="26">
        <f>股权价值增加表!AB47</f>
        <v>-178324349.9684</v>
      </c>
      <c r="AC50" s="26">
        <f>股权价值增加表!AC47</f>
        <v>481793944.35720015</v>
      </c>
      <c r="AD50" s="26">
        <f>股权价值增加表!AD47</f>
        <v>319352776.93239975</v>
      </c>
      <c r="AE50" s="26">
        <f>股权价值增加表!AE47</f>
        <v>98500551.157200038</v>
      </c>
      <c r="AF50" s="26">
        <f>股权价值增加表!AF47</f>
        <v>-173272829.4384</v>
      </c>
      <c r="AG50" s="26">
        <f>股权价值增加表!AG47</f>
        <v>351085788.87320018</v>
      </c>
      <c r="AH50" s="26">
        <f>股权价值增加表!AH47</f>
        <v>274273046.6376003</v>
      </c>
      <c r="AI50" s="26">
        <f>股权价值增加表!AI47</f>
        <v>81289461.770400167</v>
      </c>
      <c r="AJ50" s="26">
        <f>股权价值增加表!AJ47</f>
        <v>-149687447.3143999</v>
      </c>
      <c r="AK50" s="26">
        <f>股权价值增加表!AK47</f>
        <v>460409412.57439983</v>
      </c>
      <c r="AL50" s="26">
        <f>股权价值增加表!AL47</f>
        <v>401385986.0108003</v>
      </c>
      <c r="AM50" s="26">
        <f>股权价值增加表!AM47</f>
        <v>283466048.69719988</v>
      </c>
      <c r="AN50" s="26">
        <f>股权价值增加表!AN47</f>
        <v>51055773.414000019</v>
      </c>
      <c r="AO50" s="26">
        <f>股权价值增加表!AO47</f>
        <v>396316191.69999981</v>
      </c>
      <c r="AP50" s="26">
        <f>股权价值增加表!AP47</f>
        <v>385929838.26000035</v>
      </c>
      <c r="AQ50" s="26">
        <f>股权价值增加表!AQ47</f>
        <v>197586995.35000014</v>
      </c>
      <c r="AR50" s="26">
        <f>股权价值增加表!AR47</f>
        <v>0</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683</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3707239600.6900015</v>
      </c>
      <c r="F54" s="193">
        <f t="shared" ref="F54:AC54" si="41">F39</f>
        <v>2546903149.6699991</v>
      </c>
      <c r="G54" s="193">
        <f t="shared" si="41"/>
        <v>1622773166.2400002</v>
      </c>
      <c r="H54" s="193">
        <f t="shared" si="41"/>
        <v>578849326.10999978</v>
      </c>
      <c r="I54" s="193">
        <f t="shared" si="41"/>
        <v>3565346188.1800008</v>
      </c>
      <c r="J54" s="193">
        <f t="shared" si="41"/>
        <v>1628110123.8599994</v>
      </c>
      <c r="K54" s="193">
        <f t="shared" si="41"/>
        <v>1015659966.2700003</v>
      </c>
      <c r="L54" s="193">
        <f t="shared" si="41"/>
        <v>422509971.74999982</v>
      </c>
      <c r="M54" s="193">
        <f t="shared" si="41"/>
        <v>2313201323.4499998</v>
      </c>
      <c r="N54" s="193">
        <f t="shared" si="41"/>
        <v>1665069573.75</v>
      </c>
      <c r="O54" s="193">
        <f t="shared" si="41"/>
        <v>1058587054.4799997</v>
      </c>
      <c r="P54" s="193">
        <f t="shared" si="41"/>
        <v>429298391.67999995</v>
      </c>
      <c r="Q54" s="193">
        <f t="shared" si="41"/>
        <v>2434815766.5099993</v>
      </c>
      <c r="R54" s="193">
        <f t="shared" si="41"/>
        <v>1776101518.6000004</v>
      </c>
      <c r="S54" s="193">
        <f t="shared" si="41"/>
        <v>1076735389.9800005</v>
      </c>
      <c r="T54" s="193">
        <f t="shared" si="41"/>
        <v>401101441.21999985</v>
      </c>
      <c r="U54" s="193">
        <f t="shared" si="41"/>
        <v>2115808083.019999</v>
      </c>
      <c r="V54" s="193">
        <f t="shared" si="41"/>
        <v>1481067556.47</v>
      </c>
      <c r="W54" s="193">
        <f t="shared" si="41"/>
        <v>886712265.21999967</v>
      </c>
      <c r="X54" s="193">
        <f t="shared" si="41"/>
        <v>304868596.12000006</v>
      </c>
      <c r="Y54" s="193">
        <f t="shared" si="41"/>
        <v>1779528645.3599994</v>
      </c>
      <c r="Z54" s="193">
        <f t="shared" si="41"/>
        <v>1202743513.4999988</v>
      </c>
      <c r="AA54" s="193">
        <f t="shared" si="41"/>
        <v>622803507.34000003</v>
      </c>
      <c r="AB54" s="193">
        <f t="shared" si="41"/>
        <v>227359086.28</v>
      </c>
      <c r="AC54" s="193">
        <f t="shared" si="41"/>
        <v>1120418411.0100002</v>
      </c>
    </row>
    <row r="55" spans="1:88" s="63" customFormat="1" x14ac:dyDescent="0.25">
      <c r="A55" s="63" t="s">
        <v>672</v>
      </c>
      <c r="E55" s="63">
        <f>E54/E2</f>
        <v>0.15831707053021055</v>
      </c>
      <c r="F55" s="63">
        <f t="shared" ref="F55:AC55" si="42">F54/F2</f>
        <v>0.15981485815381832</v>
      </c>
      <c r="G55" s="63">
        <f t="shared" si="42"/>
        <v>0.1638266607851821</v>
      </c>
      <c r="H55" s="63">
        <f t="shared" si="42"/>
        <v>0.14540472261575568</v>
      </c>
      <c r="I55" s="63">
        <f t="shared" si="42"/>
        <v>0.17681262550225113</v>
      </c>
      <c r="J55" s="63">
        <f t="shared" si="42"/>
        <v>0.17874439171350592</v>
      </c>
      <c r="K55" s="63">
        <f t="shared" si="42"/>
        <v>0.18038367172103881</v>
      </c>
      <c r="L55" s="63">
        <f t="shared" si="42"/>
        <v>0.17741185672268706</v>
      </c>
      <c r="M55" s="63">
        <f t="shared" si="42"/>
        <v>0.19234255794702501</v>
      </c>
      <c r="N55" s="63">
        <f t="shared" si="42"/>
        <v>0.18975222312966455</v>
      </c>
      <c r="O55" s="63">
        <f t="shared" si="42"/>
        <v>0.18937327898061956</v>
      </c>
      <c r="P55" s="63">
        <f t="shared" si="42"/>
        <v>0.18983880617804422</v>
      </c>
      <c r="Q55" s="63">
        <f t="shared" si="42"/>
        <v>0.19070822399708912</v>
      </c>
      <c r="R55" s="63">
        <f t="shared" si="42"/>
        <v>0.19082627878035402</v>
      </c>
      <c r="S55" s="63">
        <f t="shared" si="42"/>
        <v>0.18407023287060847</v>
      </c>
      <c r="T55" s="63">
        <f t="shared" si="42"/>
        <v>0.1677760783418478</v>
      </c>
      <c r="U55" s="63">
        <f t="shared" si="42"/>
        <v>0.17695870881887688</v>
      </c>
      <c r="V55" s="63">
        <f t="shared" si="42"/>
        <v>0.17290686596269714</v>
      </c>
      <c r="W55" s="63">
        <f t="shared" si="42"/>
        <v>0.16376173849599718</v>
      </c>
      <c r="X55" s="63">
        <f t="shared" si="42"/>
        <v>0.14726845810446459</v>
      </c>
      <c r="Y55" s="63">
        <f t="shared" si="42"/>
        <v>0.16626193423606631</v>
      </c>
      <c r="Z55" s="63">
        <f t="shared" si="42"/>
        <v>0.15486001065243513</v>
      </c>
      <c r="AA55" s="63">
        <f t="shared" si="42"/>
        <v>0.14308347662500145</v>
      </c>
      <c r="AB55" s="63">
        <f t="shared" si="42"/>
        <v>0.12735065233734036</v>
      </c>
      <c r="AC55" s="63">
        <f t="shared" si="42"/>
        <v>0.13518238535153701</v>
      </c>
    </row>
    <row r="56" spans="1:88" x14ac:dyDescent="0.25">
      <c r="A56" s="17" t="s">
        <v>673</v>
      </c>
      <c r="E56" s="193">
        <f>E23</f>
        <v>3005182688.8514948</v>
      </c>
      <c r="F56" s="193">
        <f t="shared" ref="F56:AC56" si="43">F23</f>
        <v>2159257414.6359639</v>
      </c>
      <c r="G56" s="193">
        <f t="shared" si="43"/>
        <v>1359952690.3819897</v>
      </c>
      <c r="H56" s="193">
        <f t="shared" si="43"/>
        <v>450463220.16923332</v>
      </c>
      <c r="I56" s="193">
        <f t="shared" si="43"/>
        <v>2833763326.3252797</v>
      </c>
      <c r="J56" s="193">
        <f t="shared" si="43"/>
        <v>1366996755.5599055</v>
      </c>
      <c r="K56" s="193">
        <f t="shared" si="43"/>
        <v>858051880.16320252</v>
      </c>
      <c r="L56" s="193">
        <f t="shared" si="43"/>
        <v>354919321.3719734</v>
      </c>
      <c r="M56" s="193">
        <f t="shared" si="43"/>
        <v>1890541345.7194195</v>
      </c>
      <c r="N56" s="193">
        <f t="shared" si="43"/>
        <v>1375455325.4427567</v>
      </c>
      <c r="O56" s="193">
        <f t="shared" si="43"/>
        <v>875061214.3214457</v>
      </c>
      <c r="P56" s="193">
        <f t="shared" si="43"/>
        <v>351443897.05365372</v>
      </c>
      <c r="Q56" s="193">
        <f t="shared" si="43"/>
        <v>2005514863.3677685</v>
      </c>
      <c r="R56" s="193">
        <f t="shared" si="43"/>
        <v>1459019374.6507008</v>
      </c>
      <c r="S56" s="193">
        <f t="shared" si="43"/>
        <v>893838988.61777902</v>
      </c>
      <c r="T56" s="193">
        <f t="shared" si="43"/>
        <v>328410777.66357994</v>
      </c>
      <c r="U56" s="193">
        <f t="shared" si="43"/>
        <v>1703036689.4374251</v>
      </c>
      <c r="V56" s="193">
        <f t="shared" si="43"/>
        <v>1213258365.3982832</v>
      </c>
      <c r="W56" s="193">
        <f t="shared" si="43"/>
        <v>728177453.45190895</v>
      </c>
      <c r="X56" s="193">
        <f t="shared" si="43"/>
        <v>248568121.39499229</v>
      </c>
      <c r="Y56" s="193">
        <f t="shared" si="43"/>
        <v>1377756934.7396727</v>
      </c>
      <c r="Z56" s="193">
        <f t="shared" si="43"/>
        <v>1001357964.6231538</v>
      </c>
      <c r="AA56" s="193">
        <f t="shared" si="43"/>
        <v>510874573.63560152</v>
      </c>
      <c r="AB56" s="193">
        <f t="shared" si="43"/>
        <v>185548396.03976721</v>
      </c>
      <c r="AC56" s="193">
        <f t="shared" si="43"/>
        <v>849234653.76762271</v>
      </c>
    </row>
    <row r="57" spans="1:88" s="63" customFormat="1" x14ac:dyDescent="0.25">
      <c r="A57" s="63" t="s">
        <v>674</v>
      </c>
      <c r="E57" s="63">
        <f>E56/E2</f>
        <v>0.1283358430942845</v>
      </c>
      <c r="F57" s="63">
        <f t="shared" ref="F57:AC57" si="44">F56/F2</f>
        <v>0.13549059275471037</v>
      </c>
      <c r="G57" s="63">
        <f t="shared" si="44"/>
        <v>0.13729368511024265</v>
      </c>
      <c r="H57" s="63">
        <f t="shared" si="44"/>
        <v>0.11315462698640245</v>
      </c>
      <c r="I57" s="63">
        <f t="shared" si="44"/>
        <v>0.14053197286722197</v>
      </c>
      <c r="J57" s="63">
        <f t="shared" si="44"/>
        <v>0.15007768821410658</v>
      </c>
      <c r="K57" s="63">
        <f t="shared" si="44"/>
        <v>0.15239209362499706</v>
      </c>
      <c r="L57" s="63">
        <f t="shared" si="44"/>
        <v>0.14903055549329267</v>
      </c>
      <c r="M57" s="63">
        <f t="shared" si="44"/>
        <v>0.15719840493517859</v>
      </c>
      <c r="N57" s="63">
        <f t="shared" si="44"/>
        <v>0.15674762780662416</v>
      </c>
      <c r="O57" s="63">
        <f t="shared" si="44"/>
        <v>0.15654188360183255</v>
      </c>
      <c r="P57" s="63">
        <f t="shared" si="44"/>
        <v>0.15541099419015905</v>
      </c>
      <c r="Q57" s="63">
        <f t="shared" si="44"/>
        <v>0.15708300523322624</v>
      </c>
      <c r="R57" s="63">
        <f t="shared" si="44"/>
        <v>0.15675862838769175</v>
      </c>
      <c r="S57" s="63">
        <f t="shared" si="44"/>
        <v>0.15280369932556942</v>
      </c>
      <c r="T57" s="63">
        <f t="shared" si="44"/>
        <v>0.13737041730391211</v>
      </c>
      <c r="U57" s="63">
        <f t="shared" si="44"/>
        <v>0.14243596857984628</v>
      </c>
      <c r="V57" s="63">
        <f t="shared" si="44"/>
        <v>0.14164154811684393</v>
      </c>
      <c r="W57" s="63">
        <f t="shared" si="44"/>
        <v>0.13448286483472346</v>
      </c>
      <c r="X57" s="63">
        <f t="shared" si="44"/>
        <v>0.12007220303318882</v>
      </c>
      <c r="Y57" s="63">
        <f t="shared" si="44"/>
        <v>0.12872427396673408</v>
      </c>
      <c r="Z57" s="63">
        <f t="shared" si="44"/>
        <v>0.12893048545087207</v>
      </c>
      <c r="AA57" s="63">
        <f t="shared" si="44"/>
        <v>0.11736881577192496</v>
      </c>
      <c r="AB57" s="63">
        <f t="shared" si="44"/>
        <v>0.10393122906339794</v>
      </c>
      <c r="AC57" s="63">
        <f t="shared" si="44"/>
        <v>0.10246312010885836</v>
      </c>
    </row>
    <row r="58" spans="1:88" ht="93" customHeight="1" x14ac:dyDescent="0.25">
      <c r="A58" s="279" t="s">
        <v>675</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3049912617.7800016</v>
      </c>
      <c r="F61" s="89">
        <f>股权价值增加表!F38</f>
        <v>2223926852.9799991</v>
      </c>
      <c r="G61" s="89">
        <f>股权价值增加表!G38</f>
        <v>1421636007.6200004</v>
      </c>
      <c r="H61" s="89">
        <f>股权价值增加表!H38</f>
        <v>462316126.59999979</v>
      </c>
      <c r="I61" s="89">
        <f>股权价值增加表!I38</f>
        <v>3103193212.0600009</v>
      </c>
      <c r="J61" s="89">
        <f>股权价值增加表!J38</f>
        <v>1605404060.5899994</v>
      </c>
      <c r="K61" s="89">
        <f>股权价值增加表!K38</f>
        <v>989694910.58000028</v>
      </c>
      <c r="L61" s="89">
        <f>股权价值增加表!L38</f>
        <v>396069697.08999979</v>
      </c>
      <c r="M61" s="89">
        <f>股权价值增加表!M38</f>
        <v>2201348382.8599997</v>
      </c>
      <c r="N61" s="89">
        <f>股权价值增加表!N38</f>
        <v>1605045426.5799999</v>
      </c>
      <c r="O61" s="89">
        <f>股权价值增加表!O38</f>
        <v>996710184.84999967</v>
      </c>
      <c r="P61" s="89">
        <f>股权价值增加表!P38</f>
        <v>392304924.57999992</v>
      </c>
      <c r="Q61" s="89">
        <f>股权价值增加表!Q38</f>
        <v>2285319765.0099993</v>
      </c>
      <c r="R61" s="89">
        <f>股权价值增加表!R38</f>
        <v>1692412474.1800003</v>
      </c>
      <c r="S61" s="89">
        <f>股权价值增加表!S38</f>
        <v>1036134800.6700006</v>
      </c>
      <c r="T61" s="89">
        <f>股权价值增加表!T38</f>
        <v>385349562.91999984</v>
      </c>
      <c r="U61" s="89">
        <f>股权价值增加表!U38</f>
        <v>1979495693.099999</v>
      </c>
      <c r="V61" s="89">
        <f>股权价值增加表!V38</f>
        <v>1444732508.54</v>
      </c>
      <c r="W61" s="89">
        <f>股权价值增加表!W38</f>
        <v>873811444.73999965</v>
      </c>
      <c r="X61" s="89">
        <f>股权价值增加表!X38</f>
        <v>316244068.33000004</v>
      </c>
      <c r="Y61" s="89">
        <f>股权价值增加表!Y38</f>
        <v>1664512142.6199994</v>
      </c>
      <c r="Z61" s="89">
        <f>股权价值增加表!Z38</f>
        <v>1218231995.7899988</v>
      </c>
      <c r="AA61" s="89">
        <f>股权价值增加表!AA38</f>
        <v>646355048.76999998</v>
      </c>
      <c r="AB61" s="89">
        <f>股权价值增加表!AB38</f>
        <v>261525083.37</v>
      </c>
      <c r="AC61" s="89">
        <f>股权价值增加表!AC38</f>
        <v>1061579537.2500002</v>
      </c>
    </row>
    <row r="62" spans="1:88" s="193" customFormat="1" x14ac:dyDescent="0.25">
      <c r="A62" s="89" t="s">
        <v>679</v>
      </c>
      <c r="B62" s="89"/>
      <c r="C62" s="89"/>
      <c r="D62" s="89"/>
      <c r="E62" s="89">
        <f>股权价值增加表!E40</f>
        <v>398534881.86000001</v>
      </c>
      <c r="F62" s="89">
        <f>股权价值增加表!F40</f>
        <v>291411152.45999998</v>
      </c>
      <c r="G62" s="89">
        <f>股权价值增加表!G40</f>
        <v>197094602.34999999</v>
      </c>
      <c r="H62" s="89">
        <f>股权价值增加表!H40</f>
        <v>75248835.909999996</v>
      </c>
      <c r="I62" s="89">
        <f>股权价值增加表!I40</f>
        <v>417175175.62</v>
      </c>
      <c r="J62" s="89">
        <f>股权价值增加表!J40</f>
        <v>236009057.22999999</v>
      </c>
      <c r="K62" s="89">
        <f>股权价值增加表!K40</f>
        <v>140601912.28</v>
      </c>
      <c r="L62" s="89">
        <f>股权价值增加表!L40</f>
        <v>59616688.159999996</v>
      </c>
      <c r="M62" s="89">
        <f>股权价值增加表!M40</f>
        <v>324213223.61000001</v>
      </c>
      <c r="N62" s="89">
        <f>股权价值增加表!N40</f>
        <v>237493346.84999999</v>
      </c>
      <c r="O62" s="89">
        <f>股权价值增加表!O40</f>
        <v>149258972.36000001</v>
      </c>
      <c r="P62" s="89">
        <f>股权价值增加表!P40</f>
        <v>61143404.229999997</v>
      </c>
      <c r="Q62" s="89">
        <f>股权价值增加表!Q40</f>
        <v>356671012.99000001</v>
      </c>
      <c r="R62" s="89">
        <f>股权价值增加表!R40</f>
        <v>260932709.28999999</v>
      </c>
      <c r="S62" s="89">
        <f>股权价值增加表!S40</f>
        <v>157230475.5</v>
      </c>
      <c r="T62" s="89">
        <f>股权价值增加表!T40</f>
        <v>58868907.850000001</v>
      </c>
      <c r="U62" s="89">
        <f>股权价值增加表!U40</f>
        <v>310427362.18000001</v>
      </c>
      <c r="V62" s="89">
        <f>股权价值增加表!V40</f>
        <v>236357559.84</v>
      </c>
      <c r="W62" s="89">
        <f>股权价值增加表!W40</f>
        <v>144139153.53999999</v>
      </c>
      <c r="X62" s="89">
        <f>股权价值增加表!X40</f>
        <v>54154778.520000003</v>
      </c>
      <c r="Y62" s="89">
        <f>股权价值增加表!Y40</f>
        <v>269073715.31999999</v>
      </c>
      <c r="Z62" s="89">
        <f>股权价值增加表!Z40</f>
        <v>202012329.58000001</v>
      </c>
      <c r="AA62" s="89">
        <f>股权价值增加表!AA40</f>
        <v>113463280.55</v>
      </c>
      <c r="AB62" s="89">
        <f>股权价值增加表!AB40</f>
        <v>45543182.420000002</v>
      </c>
      <c r="AC62" s="89">
        <f>股权价值增加表!AC40</f>
        <v>168444630.18000001</v>
      </c>
    </row>
    <row r="63" spans="1:88" x14ac:dyDescent="0.25">
      <c r="A63" s="184" t="s">
        <v>680</v>
      </c>
      <c r="B63" s="64"/>
      <c r="C63" s="64"/>
      <c r="D63" s="64"/>
      <c r="E63" s="64">
        <f>股权价值增加表!E42</f>
        <v>2651377735.9200015</v>
      </c>
      <c r="F63" s="64">
        <f>股权价值增加表!F42</f>
        <v>1932515700.519999</v>
      </c>
      <c r="G63" s="64">
        <f>股权价值增加表!G42</f>
        <v>1224541405.2700005</v>
      </c>
      <c r="H63" s="64">
        <f>股权价值增加表!H42</f>
        <v>387067290.68999982</v>
      </c>
      <c r="I63" s="64">
        <f>股权价值增加表!I42</f>
        <v>2686018036.440001</v>
      </c>
      <c r="J63" s="64">
        <f>股权价值增加表!J42</f>
        <v>1369395003.3599994</v>
      </c>
      <c r="K63" s="64">
        <f>股权价值增加表!K42</f>
        <v>849092998.30000031</v>
      </c>
      <c r="L63" s="64">
        <f>股权价值增加表!L42</f>
        <v>336453008.92999983</v>
      </c>
      <c r="M63" s="64">
        <f>股权价值增加表!M42</f>
        <v>1877135159.2499995</v>
      </c>
      <c r="N63" s="64">
        <f>股权价值增加表!N42</f>
        <v>1367552079.73</v>
      </c>
      <c r="O63" s="64">
        <f>股权价值增加表!O42</f>
        <v>847451212.48999965</v>
      </c>
      <c r="P63" s="64">
        <f>股权价值增加表!P42</f>
        <v>331161520.3499999</v>
      </c>
      <c r="Q63" s="64">
        <f>股权价值增加表!Q42</f>
        <v>1928648752.0199993</v>
      </c>
      <c r="R63" s="64">
        <f>股权价值增加表!R42</f>
        <v>1431479764.8900003</v>
      </c>
      <c r="S63" s="64">
        <f>股权价值增加表!S42</f>
        <v>878904325.17000055</v>
      </c>
      <c r="T63" s="64">
        <f>股权价值增加表!T42</f>
        <v>326480655.06999981</v>
      </c>
      <c r="U63" s="64">
        <f>股权价值增加表!U42</f>
        <v>1669068330.9199989</v>
      </c>
      <c r="V63" s="64">
        <f>股权价值增加表!V42</f>
        <v>1208374948.7</v>
      </c>
      <c r="W63" s="64">
        <f>股权价值增加表!W42</f>
        <v>729672291.19999969</v>
      </c>
      <c r="X63" s="64">
        <f>股权价值增加表!X42</f>
        <v>262089289.81000003</v>
      </c>
      <c r="Y63" s="64">
        <f>股权价值增加表!Y42</f>
        <v>1395438427.2999995</v>
      </c>
      <c r="Z63" s="64">
        <f>股权价值增加表!Z42</f>
        <v>1016219666.2099987</v>
      </c>
      <c r="AA63" s="64">
        <f>股权价值增加表!AA42</f>
        <v>532891768.21999997</v>
      </c>
      <c r="AB63" s="64">
        <f>股权价值增加表!AB42</f>
        <v>215981900.94999999</v>
      </c>
      <c r="AC63" s="64">
        <f>股权价值增加表!AC42</f>
        <v>893134907.07000017</v>
      </c>
    </row>
    <row r="64" spans="1:88" s="63" customFormat="1" x14ac:dyDescent="0.25">
      <c r="A64" s="214" t="s">
        <v>681</v>
      </c>
      <c r="B64" s="214"/>
      <c r="C64" s="214"/>
      <c r="D64" s="214"/>
      <c r="E64" s="214">
        <f>1-E63/E61</f>
        <v>0.13067091809013509</v>
      </c>
      <c r="F64" s="214">
        <f t="shared" ref="F64:AC64" si="46">1-F63/F61</f>
        <v>0.1310345041562484</v>
      </c>
      <c r="G64" s="214">
        <f t="shared" si="46"/>
        <v>0.13863928691561589</v>
      </c>
      <c r="H64" s="214">
        <f t="shared" si="46"/>
        <v>0.16276489523175552</v>
      </c>
      <c r="I64" s="214">
        <f t="shared" si="46"/>
        <v>0.13443416091486793</v>
      </c>
      <c r="J64" s="214">
        <f t="shared" si="46"/>
        <v>0.14700913185884479</v>
      </c>
      <c r="K64" s="214">
        <f t="shared" si="46"/>
        <v>0.14206591422967074</v>
      </c>
      <c r="L64" s="214">
        <f t="shared" si="46"/>
        <v>0.15052070026567355</v>
      </c>
      <c r="M64" s="214">
        <f t="shared" si="46"/>
        <v>0.14727937937237412</v>
      </c>
      <c r="N64" s="214">
        <f t="shared" si="46"/>
        <v>0.14796674468961679</v>
      </c>
      <c r="O64" s="214">
        <f t="shared" si="46"/>
        <v>0.14975162753299531</v>
      </c>
      <c r="P64" s="214">
        <f t="shared" si="46"/>
        <v>0.1558568358413035</v>
      </c>
      <c r="Q64" s="214">
        <f t="shared" si="46"/>
        <v>0.15607050639079356</v>
      </c>
      <c r="R64" s="214">
        <f t="shared" si="46"/>
        <v>0.15417796386570937</v>
      </c>
      <c r="S64" s="214">
        <f t="shared" si="46"/>
        <v>0.15174712344217123</v>
      </c>
      <c r="T64" s="214">
        <f t="shared" si="46"/>
        <v>0.15276754799958459</v>
      </c>
      <c r="U64" s="214">
        <f t="shared" si="46"/>
        <v>0.15682143854218433</v>
      </c>
      <c r="V64" s="214">
        <f t="shared" si="46"/>
        <v>0.16359953032333663</v>
      </c>
      <c r="W64" s="214">
        <f t="shared" si="46"/>
        <v>0.16495452698366542</v>
      </c>
      <c r="X64" s="214">
        <f t="shared" si="46"/>
        <v>0.17124361827868217</v>
      </c>
      <c r="Y64" s="214">
        <f t="shared" si="46"/>
        <v>0.16165320061676969</v>
      </c>
      <c r="Z64" s="214">
        <f t="shared" si="46"/>
        <v>0.16582418642600105</v>
      </c>
      <c r="AA64" s="214">
        <f t="shared" si="46"/>
        <v>0.17554327264236314</v>
      </c>
      <c r="AB64" s="214">
        <f t="shared" si="46"/>
        <v>0.17414460530184217</v>
      </c>
      <c r="AC64" s="214">
        <f t="shared" si="46"/>
        <v>0.15867358428587686</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702</v>
      </c>
      <c r="B69" s="283"/>
      <c r="C69" s="283"/>
      <c r="D69" s="283"/>
      <c r="E69" s="283"/>
      <c r="F69" s="257"/>
      <c r="G69" s="257"/>
      <c r="H69" s="257"/>
      <c r="I69" s="257" t="s">
        <v>706</v>
      </c>
      <c r="J69" s="257"/>
      <c r="K69" s="257"/>
      <c r="L69" s="257"/>
      <c r="M69" s="257" t="s">
        <v>707</v>
      </c>
    </row>
    <row r="70" spans="1:29" ht="57.6" x14ac:dyDescent="0.25">
      <c r="A70" s="284" t="s">
        <v>703</v>
      </c>
      <c r="B70" s="65"/>
      <c r="C70" s="65"/>
      <c r="D70" s="65"/>
      <c r="E70" s="65" t="s">
        <v>704</v>
      </c>
      <c r="F70" s="65"/>
      <c r="G70" s="65"/>
      <c r="H70" s="65"/>
      <c r="I70" s="258" t="s">
        <v>708</v>
      </c>
      <c r="J70" s="259"/>
      <c r="K70" s="259"/>
      <c r="L70" s="259"/>
      <c r="M70" s="258" t="s">
        <v>709</v>
      </c>
    </row>
    <row r="71" spans="1:29" ht="54.6" customHeight="1" x14ac:dyDescent="0.25">
      <c r="A71" s="284"/>
      <c r="B71" s="65"/>
      <c r="C71" s="65"/>
      <c r="D71" s="65"/>
      <c r="E71" s="65" t="s">
        <v>705</v>
      </c>
      <c r="F71" s="65"/>
      <c r="G71" s="65"/>
      <c r="H71" s="65"/>
      <c r="I71" s="258" t="s">
        <v>710</v>
      </c>
      <c r="J71" s="259"/>
      <c r="K71" s="259"/>
      <c r="L71" s="259"/>
      <c r="M71" s="258" t="s">
        <v>711</v>
      </c>
    </row>
    <row r="72" spans="1:29" ht="57.6" x14ac:dyDescent="0.25">
      <c r="A72" s="284" t="s">
        <v>719</v>
      </c>
      <c r="B72" s="65"/>
      <c r="C72" s="65"/>
      <c r="D72" s="65"/>
      <c r="E72" s="65" t="s">
        <v>712</v>
      </c>
      <c r="F72" s="65"/>
      <c r="G72" s="65"/>
      <c r="H72" s="65"/>
      <c r="I72" s="258" t="s">
        <v>720</v>
      </c>
      <c r="J72" s="259"/>
      <c r="K72" s="259"/>
      <c r="L72" s="259"/>
      <c r="M72" s="258" t="s">
        <v>721</v>
      </c>
    </row>
    <row r="73" spans="1:29" ht="43.2" x14ac:dyDescent="0.25">
      <c r="A73" s="284"/>
      <c r="B73" s="65"/>
      <c r="C73" s="65"/>
      <c r="D73" s="65"/>
      <c r="E73" s="65" t="s">
        <v>713</v>
      </c>
      <c r="F73" s="65"/>
      <c r="G73" s="65"/>
      <c r="H73" s="65"/>
      <c r="I73" s="258" t="s">
        <v>722</v>
      </c>
      <c r="J73" s="259"/>
      <c r="K73" s="259"/>
      <c r="L73" s="259"/>
      <c r="M73" s="258" t="s">
        <v>723</v>
      </c>
    </row>
    <row r="74" spans="1:29" ht="72" x14ac:dyDescent="0.25">
      <c r="A74" s="284"/>
      <c r="B74" s="65"/>
      <c r="C74" s="65"/>
      <c r="D74" s="65"/>
      <c r="E74" s="65" t="s">
        <v>714</v>
      </c>
      <c r="F74" s="65"/>
      <c r="G74" s="65"/>
      <c r="H74" s="65"/>
      <c r="I74" s="258" t="s">
        <v>724</v>
      </c>
      <c r="J74" s="259"/>
      <c r="K74" s="259"/>
      <c r="L74" s="259"/>
      <c r="M74" s="258" t="s">
        <v>725</v>
      </c>
    </row>
    <row r="75" spans="1:29" ht="72" x14ac:dyDescent="0.25">
      <c r="A75" s="284"/>
      <c r="B75" s="65"/>
      <c r="C75" s="65"/>
      <c r="D75" s="65"/>
      <c r="E75" s="65" t="s">
        <v>715</v>
      </c>
      <c r="F75" s="65"/>
      <c r="G75" s="65"/>
      <c r="H75" s="65"/>
      <c r="I75" s="258" t="s">
        <v>726</v>
      </c>
      <c r="J75" s="259"/>
      <c r="K75" s="259"/>
      <c r="L75" s="259"/>
      <c r="M75" s="258" t="s">
        <v>727</v>
      </c>
    </row>
    <row r="76" spans="1:29" x14ac:dyDescent="0.25">
      <c r="A76" s="284"/>
      <c r="B76" s="65"/>
      <c r="C76" s="65"/>
      <c r="D76" s="65"/>
      <c r="E76" s="65" t="s">
        <v>716</v>
      </c>
      <c r="F76" s="65"/>
      <c r="G76" s="65"/>
      <c r="H76" s="65"/>
      <c r="I76" s="258" t="s">
        <v>728</v>
      </c>
      <c r="J76" s="259"/>
      <c r="K76" s="259"/>
      <c r="L76" s="259"/>
      <c r="M76" s="258" t="s">
        <v>729</v>
      </c>
    </row>
    <row r="77" spans="1:29" ht="57.6" x14ac:dyDescent="0.25">
      <c r="A77" s="284"/>
      <c r="B77" s="65"/>
      <c r="C77" s="65"/>
      <c r="D77" s="65"/>
      <c r="E77" s="65" t="s">
        <v>717</v>
      </c>
      <c r="F77" s="65"/>
      <c r="G77" s="65"/>
      <c r="H77" s="65"/>
      <c r="I77" s="258" t="s">
        <v>730</v>
      </c>
      <c r="J77" s="259"/>
      <c r="K77" s="259"/>
      <c r="L77" s="259"/>
      <c r="M77" s="258" t="s">
        <v>731</v>
      </c>
    </row>
    <row r="78" spans="1:29" ht="57.6" x14ac:dyDescent="0.25">
      <c r="A78" s="284"/>
      <c r="B78" s="65"/>
      <c r="C78" s="65"/>
      <c r="D78" s="65"/>
      <c r="E78" s="65" t="s">
        <v>718</v>
      </c>
      <c r="F78" s="65"/>
      <c r="G78" s="65"/>
      <c r="H78" s="65"/>
      <c r="I78" s="258" t="s">
        <v>732</v>
      </c>
      <c r="J78" s="259"/>
      <c r="K78" s="259"/>
      <c r="L78" s="259"/>
      <c r="M78" s="258"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2" width="19.33203125" bestFit="1" customWidth="1"/>
    <col min="43" max="43" width="20.44140625" bestFit="1" customWidth="1"/>
    <col min="44" max="44" width="20.44140625" hidden="1" customWidth="1"/>
    <col min="45"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2651377735.9200015</v>
      </c>
      <c r="F2" s="26">
        <f>股权价值增加表!F42</f>
        <v>1932515700.519999</v>
      </c>
      <c r="G2" s="26">
        <f>股权价值增加表!G42</f>
        <v>1224541405.2700005</v>
      </c>
      <c r="H2" s="26">
        <f>股权价值增加表!H42</f>
        <v>387067290.68999982</v>
      </c>
      <c r="I2" s="26">
        <f>股权价值增加表!I42</f>
        <v>2686018036.440001</v>
      </c>
      <c r="J2" s="26">
        <f>股权价值增加表!J42</f>
        <v>1369395003.3599994</v>
      </c>
      <c r="K2" s="26">
        <f>股权价值增加表!K42</f>
        <v>849092998.30000031</v>
      </c>
      <c r="L2" s="26">
        <f>股权价值增加表!L42</f>
        <v>336453008.92999983</v>
      </c>
      <c r="M2" s="26">
        <f>股权价值增加表!M42</f>
        <v>1877135159.2499995</v>
      </c>
      <c r="N2" s="26">
        <f>股权价值增加表!N42</f>
        <v>1367552079.73</v>
      </c>
      <c r="O2" s="26">
        <f>股权价值增加表!O42</f>
        <v>847451212.48999965</v>
      </c>
      <c r="P2" s="26">
        <f>股权价值增加表!P42</f>
        <v>331161520.3499999</v>
      </c>
      <c r="Q2" s="26">
        <f>股权价值增加表!Q42</f>
        <v>1928648752.0199993</v>
      </c>
      <c r="R2" s="26">
        <f>股权价值增加表!R42</f>
        <v>1431479764.8900003</v>
      </c>
      <c r="S2" s="26">
        <f>股权价值增加表!S42</f>
        <v>878904325.17000055</v>
      </c>
      <c r="T2" s="26">
        <f>股权价值增加表!T42</f>
        <v>326480655.06999981</v>
      </c>
      <c r="U2" s="26">
        <f>股权价值增加表!U42</f>
        <v>1669068330.9199989</v>
      </c>
      <c r="V2" s="26">
        <f>股权价值增加表!V42</f>
        <v>1208374948.7</v>
      </c>
      <c r="W2" s="26">
        <f>股权价值增加表!W42</f>
        <v>729672291.19999969</v>
      </c>
      <c r="X2" s="26">
        <f>股权价值增加表!X42</f>
        <v>262089289.81000003</v>
      </c>
      <c r="Y2" s="26">
        <f>股权价值增加表!Y42</f>
        <v>1395438427.2999995</v>
      </c>
      <c r="Z2" s="26">
        <f>股权价值增加表!Z42</f>
        <v>1016219666.2099987</v>
      </c>
      <c r="AA2" s="26">
        <f>股权价值增加表!AA42</f>
        <v>532891768.21999997</v>
      </c>
      <c r="AB2" s="26">
        <f>股权价值增加表!AB42</f>
        <v>215981900.94999999</v>
      </c>
      <c r="AC2" s="26">
        <f>股权价值增加表!AC42</f>
        <v>893134907.07000017</v>
      </c>
      <c r="AD2" s="26">
        <f>股权价值增加表!AD42</f>
        <v>682483293.7099998</v>
      </c>
      <c r="AE2" s="26">
        <f>股权价值增加表!AE42</f>
        <v>441764616.95000005</v>
      </c>
      <c r="AF2" s="26">
        <f>股权价值增加表!AF42</f>
        <v>182755203.25999996</v>
      </c>
      <c r="AG2" s="26">
        <f>股权价值增加表!AG42</f>
        <v>695526845.31000018</v>
      </c>
      <c r="AH2" s="26">
        <f>股权价值增加表!AH42</f>
        <v>610432154.76000035</v>
      </c>
      <c r="AI2" s="26">
        <f>股权价值增加表!AI42</f>
        <v>400667388.60000014</v>
      </c>
      <c r="AJ2" s="26">
        <f>股权价值增加表!AJ42</f>
        <v>168209809.16000009</v>
      </c>
      <c r="AK2" s="26">
        <f>股权价值增加表!AK42</f>
        <v>570488753.41999984</v>
      </c>
      <c r="AL2" s="26">
        <f>股权价值增加表!AL42</f>
        <v>518307975.35000032</v>
      </c>
      <c r="AM2" s="26">
        <f>股权价值增加表!AM42</f>
        <v>371877228.92999989</v>
      </c>
      <c r="AN2" s="26">
        <f>股权价值增加表!AN42</f>
        <v>127409347.79000002</v>
      </c>
      <c r="AO2" s="26">
        <f>股权价值增加表!AO42</f>
        <v>436503739.91999984</v>
      </c>
      <c r="AP2" s="26">
        <f>股权价值增加表!AP42</f>
        <v>385929838.26000035</v>
      </c>
      <c r="AQ2" s="26">
        <f>股权价值增加表!AQ42</f>
        <v>197586995.35000014</v>
      </c>
      <c r="AR2" s="26">
        <f>股权价值增加表!AR42</f>
        <v>0</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20570414417.549999</v>
      </c>
      <c r="F3" s="26">
        <f>资产资本表!F107</f>
        <v>19848640947.82</v>
      </c>
      <c r="G3" s="26">
        <f>资产资本表!G107</f>
        <v>18920048090.759998</v>
      </c>
      <c r="H3" s="26">
        <f>资产资本表!H107</f>
        <v>18780724371.199997</v>
      </c>
      <c r="I3" s="26">
        <f>资产资本表!I107</f>
        <v>14054513199.74</v>
      </c>
      <c r="J3" s="26">
        <f>资产资本表!J107</f>
        <v>7946297144.0199995</v>
      </c>
      <c r="K3" s="26">
        <f>资产资本表!K107</f>
        <v>7838730281.9800005</v>
      </c>
      <c r="L3" s="26">
        <f>资产资本表!L107</f>
        <v>7385256701.54</v>
      </c>
      <c r="M3" s="26">
        <f>资产资本表!M107</f>
        <v>7111052192.6199999</v>
      </c>
      <c r="N3" s="26">
        <f>资产资本表!N107</f>
        <v>7388127375.0200005</v>
      </c>
      <c r="O3" s="26">
        <f>资产资本表!O107</f>
        <v>6861110477.0199995</v>
      </c>
      <c r="P3" s="26">
        <f>资产资本表!P107</f>
        <v>6695162234.8800001</v>
      </c>
      <c r="Q3" s="26">
        <f>资产资本表!Q107</f>
        <v>6442438760.9099998</v>
      </c>
      <c r="R3" s="26">
        <f>资产资本表!R107</f>
        <v>5852007255.0699997</v>
      </c>
      <c r="S3" s="26">
        <f>资产资本表!S107</f>
        <v>5800890494.8899994</v>
      </c>
      <c r="T3" s="26">
        <f>资产资本表!T107</f>
        <v>5908024324.9399996</v>
      </c>
      <c r="U3" s="26">
        <f>资产资本表!U107</f>
        <v>5639080083.75</v>
      </c>
      <c r="V3" s="26">
        <f>资产资本表!V107</f>
        <v>5529730842.5300007</v>
      </c>
      <c r="W3" s="26">
        <f>资产资本表!W107</f>
        <v>5058869229.0199995</v>
      </c>
      <c r="X3" s="26">
        <f>资产资本表!X107</f>
        <v>5247830831.6099997</v>
      </c>
      <c r="Y3" s="26">
        <f>资产资本表!Y107</f>
        <v>5040063585.8000002</v>
      </c>
      <c r="Z3" s="26">
        <f>资产资本表!Z107</f>
        <v>4775896678.3400002</v>
      </c>
      <c r="AA3" s="26">
        <f>资产资本表!AA107</f>
        <v>4504992495.6400003</v>
      </c>
      <c r="AB3" s="26">
        <f>资产资本表!AB107</f>
        <v>4928828136.4800005</v>
      </c>
      <c r="AC3" s="26">
        <f>资产资本表!AC107</f>
        <v>5141762033.9100008</v>
      </c>
      <c r="AD3" s="26">
        <f>资产资本表!AD107</f>
        <v>4539131459.7200003</v>
      </c>
      <c r="AE3" s="26">
        <f>资产资本表!AE107</f>
        <v>4290800822.4099998</v>
      </c>
      <c r="AF3" s="26">
        <f>资产资本表!AF107</f>
        <v>4450350408.7300005</v>
      </c>
      <c r="AG3" s="26">
        <f>资产资本表!AG107</f>
        <v>4305513205.46</v>
      </c>
      <c r="AH3" s="26">
        <f>资产资本表!AH107</f>
        <v>4201988851.5299997</v>
      </c>
      <c r="AI3" s="26">
        <f>资产资本表!AI107</f>
        <v>3992224085.3699999</v>
      </c>
      <c r="AJ3" s="26">
        <f>资产资本表!AJ107</f>
        <v>3973715705.9300003</v>
      </c>
      <c r="AK3" s="26">
        <f>资产资本表!AK107</f>
        <v>1375991760.5700002</v>
      </c>
      <c r="AL3" s="26">
        <f>资产资本表!AL107</f>
        <v>1461524866.74</v>
      </c>
      <c r="AM3" s="26">
        <f>资产资本表!AM107</f>
        <v>1105139752.9100001</v>
      </c>
      <c r="AN3" s="26">
        <f>资产资本表!AN107</f>
        <v>954419679.70000005</v>
      </c>
      <c r="AO3" s="26">
        <f>资产资本表!AO107</f>
        <v>502344352.75</v>
      </c>
      <c r="AP3" s="26">
        <f>资产资本表!AP107</f>
        <v>0</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0.12889277202203245</v>
      </c>
      <c r="F4" s="59">
        <f t="shared" ref="F4:BQ4" si="0">F2/F3</f>
        <v>9.7362620725538876E-2</v>
      </c>
      <c r="G4" s="59">
        <f t="shared" si="0"/>
        <v>6.4721897079533894E-2</v>
      </c>
      <c r="H4" s="59">
        <f t="shared" si="0"/>
        <v>2.0609816907997576E-2</v>
      </c>
      <c r="I4" s="59">
        <f t="shared" si="0"/>
        <v>0.19111427043162837</v>
      </c>
      <c r="J4" s="59">
        <f t="shared" si="0"/>
        <v>0.17233121019021294</v>
      </c>
      <c r="K4" s="59">
        <f t="shared" si="0"/>
        <v>0.1083202212291869</v>
      </c>
      <c r="L4" s="59">
        <f t="shared" si="0"/>
        <v>4.5557388527854618E-2</v>
      </c>
      <c r="M4" s="59">
        <f t="shared" si="0"/>
        <v>0.26397431890573519</v>
      </c>
      <c r="N4" s="59">
        <f t="shared" si="0"/>
        <v>0.18510131327105037</v>
      </c>
      <c r="O4" s="59">
        <f t="shared" si="0"/>
        <v>0.12351516789131706</v>
      </c>
      <c r="P4" s="59">
        <f t="shared" si="0"/>
        <v>4.9462807432019675E-2</v>
      </c>
      <c r="Q4" s="59">
        <f t="shared" si="0"/>
        <v>0.29936625299758007</v>
      </c>
      <c r="R4" s="59">
        <f t="shared" si="0"/>
        <v>0.24461346380762092</v>
      </c>
      <c r="S4" s="59">
        <f t="shared" si="0"/>
        <v>0.15151196629969602</v>
      </c>
      <c r="T4" s="59">
        <f t="shared" si="0"/>
        <v>5.5260546861969032E-2</v>
      </c>
      <c r="U4" s="59">
        <f t="shared" si="0"/>
        <v>0.29598237764519653</v>
      </c>
      <c r="V4" s="59">
        <f t="shared" si="0"/>
        <v>0.21852328496826728</v>
      </c>
      <c r="W4" s="59">
        <f t="shared" si="0"/>
        <v>0.1442362429560867</v>
      </c>
      <c r="X4" s="59">
        <f t="shared" si="0"/>
        <v>4.9942404437147751E-2</v>
      </c>
      <c r="Y4" s="59">
        <f t="shared" si="0"/>
        <v>0.27686921078367788</v>
      </c>
      <c r="Z4" s="59">
        <f t="shared" si="0"/>
        <v>0.21278091521929973</v>
      </c>
      <c r="AA4" s="59">
        <f t="shared" si="0"/>
        <v>0.11828915780342379</v>
      </c>
      <c r="AB4" s="59">
        <f t="shared" si="0"/>
        <v>4.3820132284881581E-2</v>
      </c>
      <c r="AC4" s="59">
        <f t="shared" si="0"/>
        <v>0.1737021085728514</v>
      </c>
      <c r="AD4" s="59">
        <f t="shared" si="0"/>
        <v>0.15035548094747167</v>
      </c>
      <c r="AE4" s="59">
        <f t="shared" si="0"/>
        <v>0.1029562161549777</v>
      </c>
      <c r="AF4" s="59">
        <f t="shared" si="0"/>
        <v>4.1065351371321106E-2</v>
      </c>
      <c r="AG4" s="59">
        <f t="shared" si="0"/>
        <v>0.1615433078751155</v>
      </c>
      <c r="AH4" s="59">
        <f t="shared" si="0"/>
        <v>0.14527219760179372</v>
      </c>
      <c r="AI4" s="59">
        <f t="shared" si="0"/>
        <v>0.10036194863617387</v>
      </c>
      <c r="AJ4" s="59">
        <f t="shared" si="0"/>
        <v>4.2330609839294632E-2</v>
      </c>
      <c r="AK4" s="59">
        <f t="shared" si="0"/>
        <v>0.41460186737141269</v>
      </c>
      <c r="AL4" s="59">
        <f t="shared" si="0"/>
        <v>0.35463507131843103</v>
      </c>
      <c r="AM4" s="59">
        <f t="shared" si="0"/>
        <v>0.33649792069355111</v>
      </c>
      <c r="AN4" s="59">
        <f t="shared" si="0"/>
        <v>0.13349404931596573</v>
      </c>
      <c r="AO4" s="59">
        <f t="shared" si="0"/>
        <v>0.86893330746216857</v>
      </c>
      <c r="AP4" s="59" t="e">
        <f t="shared" si="0"/>
        <v>#DIV/0!</v>
      </c>
      <c r="AQ4" s="59">
        <f t="shared" si="0"/>
        <v>1.8070245187938198E-2</v>
      </c>
      <c r="AR4" s="59">
        <f t="shared" si="0"/>
        <v>0</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1005744582.5160015</v>
      </c>
      <c r="F5" s="26">
        <f>股权价值增加表!F47</f>
        <v>344624424.69439912</v>
      </c>
      <c r="G5" s="26">
        <f>股权价值增加表!G47</f>
        <v>-289062441.99079943</v>
      </c>
      <c r="H5" s="26">
        <f>股权价值增加表!H47</f>
        <v>-1115390659.0060003</v>
      </c>
      <c r="I5" s="26">
        <f>股权价值增加表!I47</f>
        <v>1561656980.4608011</v>
      </c>
      <c r="J5" s="26">
        <f>股权价值增加表!J47</f>
        <v>733691231.83839941</v>
      </c>
      <c r="K5" s="26">
        <f>股权价值增加表!K47</f>
        <v>221994575.74160028</v>
      </c>
      <c r="L5" s="26">
        <f>股权价值增加表!L47</f>
        <v>-254367527.19320023</v>
      </c>
      <c r="M5" s="26">
        <f>股权价值增加表!M47</f>
        <v>1308250983.8403995</v>
      </c>
      <c r="N5" s="26">
        <f>股权价值增加表!N47</f>
        <v>776501889.72839999</v>
      </c>
      <c r="O5" s="26">
        <f>股权价值增加表!O47</f>
        <v>298562374.32839966</v>
      </c>
      <c r="P5" s="26">
        <f>股权价值增加表!P47</f>
        <v>-204451458.44040012</v>
      </c>
      <c r="Q5" s="26">
        <f>股权价值增加表!Q47</f>
        <v>1413253651.1471992</v>
      </c>
      <c r="R5" s="26">
        <f>股权价值增加表!R47</f>
        <v>963319184.48440027</v>
      </c>
      <c r="S5" s="26">
        <f>股权价值增加表!S47</f>
        <v>414833085.5788005</v>
      </c>
      <c r="T5" s="26">
        <f>股权价值增加表!T47</f>
        <v>-146161290.92520016</v>
      </c>
      <c r="U5" s="26">
        <f>股权价值增加表!U47</f>
        <v>1217941924.2199988</v>
      </c>
      <c r="V5" s="26">
        <f>股权价值增加表!V47</f>
        <v>765996481.29760003</v>
      </c>
      <c r="W5" s="26">
        <f>股权价值增加表!W47</f>
        <v>324962752.87839967</v>
      </c>
      <c r="X5" s="26">
        <f>股权价值增加表!X47</f>
        <v>-157737176.71879998</v>
      </c>
      <c r="Y5" s="26">
        <f>股权价值增加表!Y47</f>
        <v>992233340.43599939</v>
      </c>
      <c r="Z5" s="26">
        <f>股权价值增加表!Z47</f>
        <v>634147931.94279873</v>
      </c>
      <c r="AA5" s="26">
        <f>股权价值增加表!AA47</f>
        <v>172492368.56879991</v>
      </c>
      <c r="AB5" s="26">
        <f>股权价值增加表!AB47</f>
        <v>-178324349.9684</v>
      </c>
      <c r="AC5" s="26">
        <f>股权价值增加表!AC47</f>
        <v>481793944.35720015</v>
      </c>
      <c r="AD5" s="26">
        <f>股权价值增加表!AD47</f>
        <v>319352776.93239975</v>
      </c>
      <c r="AE5" s="26">
        <f>股权价值增加表!AE47</f>
        <v>98500551.157200038</v>
      </c>
      <c r="AF5" s="26">
        <f>股权价值增加表!AF47</f>
        <v>-173272829.4384</v>
      </c>
      <c r="AG5" s="26">
        <f>股权价值增加表!AG47</f>
        <v>351085788.87320018</v>
      </c>
      <c r="AH5" s="26">
        <f>股权价值增加表!AH47</f>
        <v>274273046.6376003</v>
      </c>
      <c r="AI5" s="26">
        <f>股权价值增加表!AI47</f>
        <v>81289461.770400167</v>
      </c>
      <c r="AJ5" s="26">
        <f>股权价值增加表!AJ47</f>
        <v>-149687447.3143999</v>
      </c>
      <c r="AK5" s="26">
        <f>股权价值增加表!AK47</f>
        <v>460409412.57439983</v>
      </c>
      <c r="AL5" s="26">
        <f>股权价值增加表!AL47</f>
        <v>401385986.0108003</v>
      </c>
      <c r="AM5" s="26">
        <f>股权价值增加表!AM47</f>
        <v>283466048.69719988</v>
      </c>
      <c r="AN5" s="26">
        <f>股权价值增加表!AN47</f>
        <v>51055773.414000019</v>
      </c>
      <c r="AO5" s="26">
        <f>股权价值增加表!AO47</f>
        <v>396316191.69999981</v>
      </c>
      <c r="AP5" s="26">
        <f>股权价值增加表!AP47</f>
        <v>385929838.26000035</v>
      </c>
      <c r="AQ5" s="26">
        <f>股权价值增加表!AQ47</f>
        <v>197586995.35000014</v>
      </c>
      <c r="AR5" s="26">
        <f>股权价值增加表!AR47</f>
        <v>0</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0.15831707053021055</v>
      </c>
      <c r="F6" s="158">
        <f>股权价值增加表!F31/股权价值增加表!F4</f>
        <v>0.15981485815381832</v>
      </c>
      <c r="G6" s="158">
        <f>股权价值增加表!G31/股权价值增加表!G4</f>
        <v>0.1638266607851821</v>
      </c>
      <c r="H6" s="158">
        <f>股权价值增加表!H31/股权价值增加表!H4</f>
        <v>0.14540472261575568</v>
      </c>
      <c r="I6" s="158">
        <f>股权价值增加表!I31/股权价值增加表!I4</f>
        <v>0.17681262550225113</v>
      </c>
      <c r="J6" s="158">
        <f>股权价值增加表!J31/股权价值增加表!J4</f>
        <v>0.17874439171350592</v>
      </c>
      <c r="K6" s="158">
        <f>股权价值增加表!K31/股权价值增加表!K4</f>
        <v>0.18038367172103881</v>
      </c>
      <c r="L6" s="158">
        <f>股权价值增加表!L31/股权价值增加表!L4</f>
        <v>0.17741185672268706</v>
      </c>
      <c r="M6" s="158">
        <f>股权价值增加表!M31/股权价值增加表!M4</f>
        <v>0.19234255794702501</v>
      </c>
      <c r="N6" s="158">
        <f>股权价值增加表!N31/股权价值增加表!N4</f>
        <v>0.18975222312966455</v>
      </c>
      <c r="O6" s="158">
        <f>股权价值增加表!O31/股权价值增加表!O4</f>
        <v>0.18937327898061956</v>
      </c>
      <c r="P6" s="158">
        <f>股权价值增加表!P31/股权价值增加表!P4</f>
        <v>0.18983880617804422</v>
      </c>
      <c r="Q6" s="158">
        <f>股权价值增加表!Q31/股权价值增加表!Q4</f>
        <v>0.19070822399708912</v>
      </c>
      <c r="R6" s="158">
        <f>股权价值增加表!R31/股权价值增加表!R4</f>
        <v>0.19082627878035402</v>
      </c>
      <c r="S6" s="158">
        <f>股权价值增加表!S31/股权价值增加表!S4</f>
        <v>0.18407023287060847</v>
      </c>
      <c r="T6" s="158">
        <f>股权价值增加表!T31/股权价值增加表!T4</f>
        <v>0.1677760783418478</v>
      </c>
      <c r="U6" s="158">
        <f>股权价值增加表!U31/股权价值增加表!U4</f>
        <v>0.17695870881887688</v>
      </c>
      <c r="V6" s="158">
        <f>股权价值增加表!V31/股权价值增加表!V4</f>
        <v>0.17290686596269714</v>
      </c>
      <c r="W6" s="158">
        <f>股权价值增加表!W31/股权价值增加表!W4</f>
        <v>0.16376173849599718</v>
      </c>
      <c r="X6" s="158">
        <f>股权价值增加表!X31/股权价值增加表!X4</f>
        <v>0.14726845810446459</v>
      </c>
      <c r="Y6" s="158">
        <f>股权价值增加表!Y31/股权价值增加表!Y4</f>
        <v>0.16626193423606631</v>
      </c>
      <c r="Z6" s="158">
        <f>股权价值增加表!Z31/股权价值增加表!Z4</f>
        <v>0.15486001065243513</v>
      </c>
      <c r="AA6" s="158">
        <f>股权价值增加表!AA31/股权价值增加表!AA4</f>
        <v>0.14308347662500145</v>
      </c>
      <c r="AB6" s="158">
        <f>股权价值增加表!AB31/股权价值增加表!AB4</f>
        <v>0.12735065233734036</v>
      </c>
      <c r="AC6" s="158">
        <f>股权价值增加表!AC31/股权价值增加表!AC4</f>
        <v>0.13518238535153701</v>
      </c>
      <c r="AD6" s="158">
        <f>股权价值增加表!AD31/股权价值增加表!AD4</f>
        <v>0.11941645422216841</v>
      </c>
      <c r="AE6" s="158">
        <f>股权价值增加表!AE31/股权价值增加表!AE4</f>
        <v>0.11839878130558941</v>
      </c>
      <c r="AF6" s="158">
        <f>股权价值增加表!AF31/股权价值增加表!AF4</f>
        <v>0.10536581861828635</v>
      </c>
      <c r="AG6" s="158">
        <f>股权价值增加表!AG31/股权价值增加表!AG4</f>
        <v>0.13316360887354403</v>
      </c>
      <c r="AH6" s="158">
        <f>股权价值增加表!AH31/股权价值增加表!AH4</f>
        <v>0.15661035323029127</v>
      </c>
      <c r="AI6" s="158">
        <f>股权价值增加表!AI31/股权价值增加表!AI4</f>
        <v>0.17147196620727267</v>
      </c>
      <c r="AJ6" s="158">
        <f>股权价值增加表!AJ31/股权价值增加表!AJ4</f>
        <v>0.17165390613566622</v>
      </c>
      <c r="AK6" s="158">
        <f>股权价值增加表!AK31/股权价值增加表!AK4</f>
        <v>0.1439949366224435</v>
      </c>
      <c r="AL6" s="158">
        <f>股权价值增加表!AL31/股权价值增加表!AL4</f>
        <v>0.17557965593396033</v>
      </c>
      <c r="AM6" s="158">
        <f>股权价值增加表!AM31/股权价值增加表!AM4</f>
        <v>0.21566171056057665</v>
      </c>
      <c r="AN6" s="158">
        <f>股权价值增加表!AN31/股权价值增加表!AN4</f>
        <v>0.1723776922019179</v>
      </c>
      <c r="AO6" s="158">
        <f>股权价值增加表!AO31/股权价值增加表!AO4</f>
        <v>0.13235681786488424</v>
      </c>
      <c r="AP6" s="158">
        <f>股权价值增加表!AP31/股权价值增加表!AP4</f>
        <v>0.14008941850591769</v>
      </c>
      <c r="AQ6" s="158">
        <f>股权价值增加表!AQ31/股权价值增加表!AQ4</f>
        <v>9.0131388855590994E-2</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0.70352718880469844</v>
      </c>
      <c r="F7" s="61">
        <f>股权价值增加表!F4/资产资本表!F70</f>
        <v>0.49356803678816041</v>
      </c>
      <c r="G7" s="61">
        <f>股权价值增加表!G4/资产资本表!G70</f>
        <v>0.32062030257142399</v>
      </c>
      <c r="H7" s="61">
        <f>股权价值增加表!H4/资产资本表!H70</f>
        <v>0.12601750343349832</v>
      </c>
      <c r="I7" s="61">
        <f>股权价值增加表!I4/资产资本表!I70</f>
        <v>0.75953876725912151</v>
      </c>
      <c r="J7" s="61">
        <f>股权价值增加表!J4/资产资本表!J70</f>
        <v>1.1190819209341587</v>
      </c>
      <c r="K7" s="61">
        <f>股权价值增加表!K4/资产资本表!K70</f>
        <v>0.59264907274389733</v>
      </c>
      <c r="L7" s="61">
        <f>股权价值增加表!L4/资产资本表!L70</f>
        <v>0.26234379243667438</v>
      </c>
      <c r="M7" s="61">
        <f>股权价值增加表!M4/资产资本表!M70</f>
        <v>1.374020120081155</v>
      </c>
      <c r="N7" s="61">
        <f>股权价值增加表!N4/资产资本表!N70</f>
        <v>0.95740333592832449</v>
      </c>
      <c r="O7" s="61">
        <f>股权价值增加表!O4/资产资本表!O70</f>
        <v>0.64251537797672209</v>
      </c>
      <c r="P7" s="61">
        <f>股权价值增加表!P4/资产资本表!P70</f>
        <v>0.26688935867945818</v>
      </c>
      <c r="Q7" s="61">
        <f>股权价值增加表!Q4/资产资本表!Q70</f>
        <v>1.5391311972273698</v>
      </c>
      <c r="R7" s="61">
        <f>股权价值增加表!R4/资产资本表!R70</f>
        <v>1.2039593004522497</v>
      </c>
      <c r="S7" s="61">
        <f>股权价值增加表!S4/资产资本表!S70</f>
        <v>0.74533462449356158</v>
      </c>
      <c r="T7" s="61">
        <f>股权价值增加表!T4/资产资本表!T70</f>
        <v>0.30220807395469368</v>
      </c>
      <c r="U7" s="61">
        <f>股权价值增加表!U4/资产资本表!U70</f>
        <v>1.565959178061632</v>
      </c>
      <c r="V7" s="61">
        <f>股权价值增加表!V4/资产资本表!V70</f>
        <v>1.1365355615851707</v>
      </c>
      <c r="W7" s="61">
        <f>股权价值增加表!W4/资产资本表!W70</f>
        <v>0.76682246207982552</v>
      </c>
      <c r="X7" s="61">
        <f>股权价值增加表!X4/资产资本表!X70</f>
        <v>0.28512073343299843</v>
      </c>
      <c r="Y7" s="61">
        <f>股权价值增加表!Y4/资产资本表!Y70</f>
        <v>1.5488583993740579</v>
      </c>
      <c r="Z7" s="61">
        <f>股权价值增加表!Z4/资产资本表!Z70</f>
        <v>1.1747526342418939</v>
      </c>
      <c r="AA7" s="61">
        <f>股权价值增加表!AA4/资产资本表!AA70</f>
        <v>0.70598836022430023</v>
      </c>
      <c r="AB7" s="61">
        <f>股权价值增加表!AB4/资产资本表!AB70</f>
        <v>0.27272417265484528</v>
      </c>
      <c r="AC7" s="61">
        <f>股权价值增加表!AC4/资产资本表!AC70</f>
        <v>1.1588403289783953</v>
      </c>
      <c r="AD7" s="61">
        <f>股权价值增加表!AD4/资产资本表!AD70</f>
        <v>1.0391529352044726</v>
      </c>
      <c r="AE7" s="61">
        <f>股权价值增加表!AE4/资产资本表!AE70</f>
        <v>0.92349005221378833</v>
      </c>
      <c r="AF7" s="61">
        <f>股权价值增加表!AF4/资产资本表!AF70</f>
        <v>0.36664904766004058</v>
      </c>
      <c r="AG7" s="61">
        <f>股权价值增加表!AG4/资产资本表!AG70</f>
        <v>1.460224042933258</v>
      </c>
      <c r="AH7" s="61">
        <f>股权价值增加表!AH4/资产资本表!AH70</f>
        <v>1.1021747346118465</v>
      </c>
      <c r="AI7" s="61">
        <f>股权价值增加表!AI4/资产资本表!AI70</f>
        <v>0.70726770544798001</v>
      </c>
      <c r="AJ7" s="61">
        <f>股权价值增加表!AJ4/资产资本表!AJ70</f>
        <v>0.29256887798126452</v>
      </c>
      <c r="AK7" s="61">
        <f>股权价值增加表!AK4/资产资本表!AK70</f>
        <v>3.42811603135906</v>
      </c>
      <c r="AL7" s="61">
        <f>股权价值增加表!AL4/资产资本表!AL70</f>
        <v>2.3299126781546304</v>
      </c>
      <c r="AM7" s="61">
        <f>股权价值增加表!AM4/资产资本表!AM70</f>
        <v>1.8714147781892492</v>
      </c>
      <c r="AN7" s="61">
        <f>股权价值增加表!AN4/资产资本表!AN70</f>
        <v>0.72091595265918951</v>
      </c>
      <c r="AO7" s="61">
        <f>股权价值增加表!AO4/资产资本表!AO70</f>
        <v>5.5435501910573421</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0.11138036356991421</v>
      </c>
      <c r="F8" s="63">
        <f>股权价值增加表!F31/资产资本表!F70</f>
        <v>7.8879505788558443E-2</v>
      </c>
      <c r="G8" s="63">
        <f>股权价值增加表!G31/资产资本表!G70</f>
        <v>5.2526153550211133E-2</v>
      </c>
      <c r="H8" s="63">
        <f>股权价值增加表!H31/资产资本表!H70</f>
        <v>1.8323540131477866E-2</v>
      </c>
      <c r="I8" s="63">
        <f>股权价值增加表!I31/资产资本表!I70</f>
        <v>0.13429604360982852</v>
      </c>
      <c r="J8" s="63">
        <f>股权价值增加表!J31/资产资本表!J70</f>
        <v>0.20002961723495791</v>
      </c>
      <c r="K8" s="63">
        <f>股权价值增加表!K31/资产资本表!K70</f>
        <v>0.10690421578361321</v>
      </c>
      <c r="L8" s="63">
        <f>股权价值增加表!L31/资产资本表!L70</f>
        <v>4.6542899315861627E-2</v>
      </c>
      <c r="M8" s="63">
        <f>股权价值增加表!M31/资产资本表!M70</f>
        <v>0.26428254456708783</v>
      </c>
      <c r="N8" s="63">
        <f>股权价值增加表!N31/资产资本表!N70</f>
        <v>0.18166941142415663</v>
      </c>
      <c r="O8" s="63">
        <f>股权价值增加表!O31/资产资本表!O70</f>
        <v>0.12167524392292402</v>
      </c>
      <c r="P8" s="63">
        <f>股权价值增加表!P31/资产资本表!P70</f>
        <v>5.0665957233332184E-2</v>
      </c>
      <c r="Q8" s="63">
        <f>股权价值增加表!Q31/资产资本表!Q70</f>
        <v>0.29352497712174513</v>
      </c>
      <c r="R8" s="63">
        <f>股权价值增加表!R31/资产资本表!R70</f>
        <v>0.22974707310830103</v>
      </c>
      <c r="S8" s="63">
        <f>股权价值增加表!S31/资产资本表!S70</f>
        <v>0.1371939178970574</v>
      </c>
      <c r="T8" s="63">
        <f>股权价值增加表!T31/资产资本表!T70</f>
        <v>5.0703285491361619E-2</v>
      </c>
      <c r="U8" s="63">
        <f>股权价值增加表!U31/资产资本表!U70</f>
        <v>0.27711011421285608</v>
      </c>
      <c r="V8" s="63">
        <f>股权价值增加表!V31/资产资本表!V70</f>
        <v>0.1965148020088458</v>
      </c>
      <c r="W8" s="63">
        <f>股权价值增加表!W31/资产资本表!W70</f>
        <v>0.12557617950797312</v>
      </c>
      <c r="X8" s="63">
        <f>股权价值增加表!X31/资产资本表!X70</f>
        <v>4.1989290786291739E-2</v>
      </c>
      <c r="Y8" s="63">
        <f>股权价值增加表!Y31/资产资本表!Y70</f>
        <v>0.25751619333770853</v>
      </c>
      <c r="Z8" s="63">
        <f>股权价值增加表!Z31/资产资本表!Z70</f>
        <v>0.1819222054526759</v>
      </c>
      <c r="AA8" s="63">
        <f>股权价值增加表!AA31/资产资本表!AA70</f>
        <v>0.10101526903767677</v>
      </c>
      <c r="AB8" s="63">
        <f>股权价值增加表!AB31/资产资本表!AB70</f>
        <v>3.473160129575599E-2</v>
      </c>
      <c r="AC8" s="63">
        <f>股权价值增加表!AC31/资产资本表!AC70</f>
        <v>0.15665479991285935</v>
      </c>
      <c r="AD8" s="63">
        <f>股权价值增加表!AD31/资产资本表!AD70</f>
        <v>0.12409195891667685</v>
      </c>
      <c r="AE8" s="63">
        <f>股权价值增加表!AE31/资产资本表!AE70</f>
        <v>0.10934009672994766</v>
      </c>
      <c r="AF8" s="63">
        <f>股权价值增加表!AF31/资产资本表!AF70</f>
        <v>3.8632277052315263E-2</v>
      </c>
      <c r="AG8" s="63">
        <f>股权价值增加表!AG31/资产资本表!AG70</f>
        <v>0.19444870332090955</v>
      </c>
      <c r="AH8" s="63">
        <f>股权价值增加表!AH31/资产资本表!AH70</f>
        <v>0.17261197450906379</v>
      </c>
      <c r="AI8" s="63">
        <f>股权价值增加表!AI31/资产资本表!AI70</f>
        <v>0.12127658408807131</v>
      </c>
      <c r="AJ8" s="63">
        <f>股权价值增加表!AJ31/资产资本表!AJ70</f>
        <v>5.0220590719213171E-2</v>
      </c>
      <c r="AK8" s="63">
        <f>股权价值增加表!AK31/资产资本表!AK70</f>
        <v>0.49363135066993041</v>
      </c>
      <c r="AL8" s="63">
        <f>股权价值增加表!AL31/资产资本表!AL70</f>
        <v>0.40908526638656206</v>
      </c>
      <c r="AM8" s="63">
        <f>股权价值增加表!AM31/资产资本表!AM70</f>
        <v>0.40359251223263559</v>
      </c>
      <c r="AN8" s="63">
        <f>股权价值增加表!AN31/资产资本表!AN70</f>
        <v>0.12426982819093818</v>
      </c>
      <c r="AO8" s="63">
        <f>股权价值增加表!AO31/资产资本表!AO70</f>
        <v>0.73372666296262079</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0.82269099014057345</v>
      </c>
      <c r="F9" s="158">
        <f>股权价值增加表!F38/股权价值增加表!F31</f>
        <v>0.87318862253091645</v>
      </c>
      <c r="G9" s="158">
        <f>股权价值增加表!G38/股权价值增加表!G31</f>
        <v>0.87605343568378136</v>
      </c>
      <c r="H9" s="158">
        <f>股权价值增加表!H38/股权价值增加表!H31</f>
        <v>0.79868129018456357</v>
      </c>
      <c r="I9" s="158">
        <f>股权价值增加表!I38/股权价值增加表!I31</f>
        <v>0.87037640898599111</v>
      </c>
      <c r="J9" s="158">
        <f>股权价值增加表!J38/股权价值增加表!J31</f>
        <v>0.98605373006577257</v>
      </c>
      <c r="K9" s="158">
        <f>股权价值增加表!K38/股权价值增加表!K31</f>
        <v>0.97443528685554437</v>
      </c>
      <c r="L9" s="158">
        <f>股权价值增加表!L38/股权价值增加表!L31</f>
        <v>0.93742094523713437</v>
      </c>
      <c r="M9" s="158">
        <f>股权价值增加表!M38/股权价值增加表!M31</f>
        <v>0.95164582543849741</v>
      </c>
      <c r="N9" s="158">
        <f>股权价值增加表!N38/股权价值增加表!N31</f>
        <v>0.96395096750533005</v>
      </c>
      <c r="O9" s="158">
        <f>股权价值增加表!O38/股权价值增加表!O31</f>
        <v>0.94154767964700337</v>
      </c>
      <c r="P9" s="158">
        <f>股权价值增加表!P38/股权价值增加表!P31</f>
        <v>0.91382807898433716</v>
      </c>
      <c r="Q9" s="158">
        <f>股权价值增加表!Q38/股权价值增加表!Q31</f>
        <v>0.9386006926863778</v>
      </c>
      <c r="R9" s="158">
        <f>股权价值增加表!R38/股权价值增加表!R31</f>
        <v>0.95288048372034084</v>
      </c>
      <c r="S9" s="158">
        <f>股权价值增加表!S38/股权价值增加表!S31</f>
        <v>0.96229288115926603</v>
      </c>
      <c r="T9" s="158">
        <f>股权价值增加表!T38/股权价值增加表!T31</f>
        <v>0.96072844253042644</v>
      </c>
      <c r="U9" s="158">
        <f>股权价值增加表!U38/股权价值增加表!U31</f>
        <v>0.93557431271108737</v>
      </c>
      <c r="V9" s="158">
        <f>股权价值增加表!V38/股权价值增加表!V31</f>
        <v>0.975466988138879</v>
      </c>
      <c r="W9" s="158">
        <f>股权价值增加表!W38/股权价值增加表!W31</f>
        <v>0.9854509506792497</v>
      </c>
      <c r="X9" s="158">
        <f>股权价值增加表!X38/股权价值增加表!X31</f>
        <v>1.0373127057190319</v>
      </c>
      <c r="Y9" s="158">
        <f>股权价值增加表!Y38/股权价值增加表!Y31</f>
        <v>0.9353668719860746</v>
      </c>
      <c r="Z9" s="158">
        <f>股权价值增加表!Z38/股权价值增加表!Z31</f>
        <v>1.0128776269554998</v>
      </c>
      <c r="AA9" s="158">
        <f>股权价值增加表!AA38/股权价值增加表!AA31</f>
        <v>1.0378153641596992</v>
      </c>
      <c r="AB9" s="158">
        <f>股权价值增加表!AB38/股权价值增加表!AB31</f>
        <v>1.1502732864079313</v>
      </c>
      <c r="AC9" s="158">
        <f>股权价值增加表!AC38/股权价值增加表!AC31</f>
        <v>0.947484909939172</v>
      </c>
      <c r="AD9" s="158">
        <f>股权价值增加表!AD38/股权价值增加表!AD31</f>
        <v>1.0699919852531192</v>
      </c>
      <c r="AE9" s="158">
        <f>股权价值增加表!AE38/股权价值增加表!AE31</f>
        <v>1.1199545561440853</v>
      </c>
      <c r="AF9" s="158">
        <f>股权价值增加表!AF38/股权价值增加表!AF31</f>
        <v>1.2737835644965341</v>
      </c>
      <c r="AG9" s="158">
        <f>股权价值增加表!AG38/股权价值增加表!AG31</f>
        <v>0.98673749543708844</v>
      </c>
      <c r="AH9" s="158">
        <f>股权价值增加表!AH38/股权价值增加表!AH31</f>
        <v>1.0179333098404069</v>
      </c>
      <c r="AI9" s="158">
        <f>股权价值增加表!AI38/股权价值增加表!AI31</f>
        <v>0.99877374602190472</v>
      </c>
      <c r="AJ9" s="158">
        <f>股权价值增加表!AJ38/股权价值增加表!AJ31</f>
        <v>1.0037404199595801</v>
      </c>
      <c r="AK9" s="158">
        <f>股权价值增加表!AK38/股权价值增加表!AK31</f>
        <v>0.99556861076057546</v>
      </c>
      <c r="AL9" s="158">
        <f>股权价值增加表!AL38/股权价值增加表!AL31</f>
        <v>1.0050570610290674</v>
      </c>
      <c r="AM9" s="158">
        <f>股权价值增加表!AM38/股权价值增加表!AM31</f>
        <v>1.0012656282790056</v>
      </c>
      <c r="AN9" s="158">
        <f>股权价值增加表!AN38/股权价值增加表!AN31</f>
        <v>0.98503878849040649</v>
      </c>
      <c r="AO9" s="158">
        <f>股权价值增加表!AO38/股权价值增加表!AO31</f>
        <v>0.97268632899458374</v>
      </c>
      <c r="AP9" s="158">
        <f>股权价值增加表!AP38/股权价值增加表!AP31</f>
        <v>0.96337013737764787</v>
      </c>
      <c r="AQ9" s="158">
        <f>股权价值增加表!AQ38/股权价值增加表!AQ31</f>
        <v>0.92495372126034325</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1.6180762493065166</v>
      </c>
      <c r="F10" s="61">
        <f>资产资本表!F70/资产资本表!F107</f>
        <v>1.6267374838420001</v>
      </c>
      <c r="G10" s="61">
        <f>资产资本表!G70/资产资本表!G107</f>
        <v>1.6329014806615643</v>
      </c>
      <c r="H10" s="61">
        <f>资产资本表!H70/资产资本表!H107</f>
        <v>1.6820690092744022</v>
      </c>
      <c r="I10" s="61">
        <f>资产资本表!I70/资产资本表!I107</f>
        <v>1.8889596418893493</v>
      </c>
      <c r="J10" s="61">
        <f>资产资本表!J70/资产资本表!J107</f>
        <v>1.0242941016766884</v>
      </c>
      <c r="K10" s="61">
        <f>资产资本表!K70/资产资本表!K107</f>
        <v>1.2120144037741036</v>
      </c>
      <c r="L10" s="61">
        <f>资产资本表!L70/资产资本表!L107</f>
        <v>1.2291869319040802</v>
      </c>
      <c r="M10" s="61">
        <f>资产资本表!M70/资产资本表!M107</f>
        <v>1.2308668809735073</v>
      </c>
      <c r="N10" s="61">
        <f>资产资本表!N70/资产资本表!N107</f>
        <v>1.2405555084105717</v>
      </c>
      <c r="O10" s="61">
        <f>资产资本表!O70/资产资本表!O107</f>
        <v>1.2680312036425236</v>
      </c>
      <c r="P10" s="61">
        <f>资产资本表!P70/资产资本表!P107</f>
        <v>1.2655575646542743</v>
      </c>
      <c r="Q10" s="61">
        <f>资产资本表!Q70/资产资本表!Q107</f>
        <v>1.2875696864595907</v>
      </c>
      <c r="R10" s="61">
        <f>资产资本表!R70/资产资本表!R107</f>
        <v>1.3210307970230855</v>
      </c>
      <c r="S10" s="61">
        <f>资产资本表!S70/资产资本表!S107</f>
        <v>1.3529428809875894</v>
      </c>
      <c r="T10" s="61">
        <f>资产资本表!T70/资产资本表!T107</f>
        <v>1.3389854132701695</v>
      </c>
      <c r="U10" s="61">
        <f>资产资本表!U70/资产资本表!U107</f>
        <v>1.353990547015345</v>
      </c>
      <c r="V10" s="61">
        <f>资产资本表!V70/资产资本表!V107</f>
        <v>1.362936454442649</v>
      </c>
      <c r="W10" s="61">
        <f>资产资本表!W70/资产资本表!W107</f>
        <v>1.3957961516111144</v>
      </c>
      <c r="X10" s="61">
        <f>资产资本表!X70/资产资本表!X107</f>
        <v>1.3835482993136974</v>
      </c>
      <c r="Y10" s="61">
        <f>资产资本表!Y70/资产资本表!Y107</f>
        <v>1.3710851397588335</v>
      </c>
      <c r="Z10" s="61">
        <f>资产资本表!Z70/资产资本表!Z107</f>
        <v>1.3843069150436373</v>
      </c>
      <c r="AA10" s="61">
        <f>资产资本表!AA70/资产资本表!AA107</f>
        <v>1.3685792558693504</v>
      </c>
      <c r="AB10" s="61">
        <f>资产资本表!AB70/资产资本表!AB107</f>
        <v>1.3281399287590197</v>
      </c>
      <c r="AC10" s="61">
        <f>资产资本表!AC70/资产资本表!AC107</f>
        <v>1.3909917597919679</v>
      </c>
      <c r="AD10" s="61">
        <f>资产资本表!AD70/资产资本表!AD107</f>
        <v>1.3412911360834567</v>
      </c>
      <c r="AE10" s="61">
        <f>资产资本表!AE70/资产资本表!AE107</f>
        <v>1.0099399105493889</v>
      </c>
      <c r="AF10" s="61">
        <f>资产资本表!AF70/资产资本表!AF107</f>
        <v>1.0080165831863519</v>
      </c>
      <c r="AG10" s="61">
        <f>资产资本表!AG70/资产资本表!AG107</f>
        <v>1.0082862605588474</v>
      </c>
      <c r="AH10" s="61">
        <f>资产资本表!AH70/资产资本表!AH107</f>
        <v>1.0061399496551748</v>
      </c>
      <c r="AI10" s="61">
        <f>资产资本表!AI70/资产资本表!AI107</f>
        <v>1.0062621735316952</v>
      </c>
      <c r="AJ10" s="61">
        <f>资产资本表!AJ70/资产资本表!AJ107</f>
        <v>1.0062913408633365</v>
      </c>
      <c r="AK10" s="61">
        <f>资产资本表!AK70/资产资本表!AK107</f>
        <v>1.0179047893061468</v>
      </c>
      <c r="AL10" s="61">
        <f>资产资本表!AL70/资产资本表!AL107</f>
        <v>1.0361572681400029</v>
      </c>
      <c r="AM10" s="61">
        <f>资产资本表!AM70/资产资本表!AM107</f>
        <v>1.0152135654841197</v>
      </c>
      <c r="AN10" s="61">
        <f>资产资本表!AN70/资产资本表!AN107</f>
        <v>1.2700269166505531</v>
      </c>
      <c r="AO10" s="61">
        <f>资产资本表!AO70/资产资本表!AO107</f>
        <v>1.5951376696550319</v>
      </c>
      <c r="AP10" s="61" t="e">
        <f>资产资本表!AP70/资产资本表!AP107</f>
        <v>#DIV/0!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1.3311767516649236</v>
      </c>
      <c r="F11" s="28">
        <f t="shared" ref="F11:BQ11" si="2">F9*F10</f>
        <v>1.4204486627354049</v>
      </c>
      <c r="G11" s="28">
        <f t="shared" si="2"/>
        <v>1.4305089522666969</v>
      </c>
      <c r="H11" s="28">
        <f t="shared" si="2"/>
        <v>1.3434370465067502</v>
      </c>
      <c r="I11" s="28">
        <f t="shared" si="2"/>
        <v>1.6441059098271156</v>
      </c>
      <c r="J11" s="28">
        <f t="shared" si="2"/>
        <v>1.0100090196426683</v>
      </c>
      <c r="K11" s="28">
        <f t="shared" si="2"/>
        <v>1.1810296032146703</v>
      </c>
      <c r="L11" s="28">
        <f t="shared" si="2"/>
        <v>1.1522655755786559</v>
      </c>
      <c r="M11" s="28">
        <f t="shared" si="2"/>
        <v>1.1713493289489421</v>
      </c>
      <c r="N11" s="28">
        <f t="shared" si="2"/>
        <v>1.1958346825764372</v>
      </c>
      <c r="O11" s="28">
        <f t="shared" si="2"/>
        <v>1.1939118375096149</v>
      </c>
      <c r="P11" s="28">
        <f t="shared" si="2"/>
        <v>1.1565020381521116</v>
      </c>
      <c r="Q11" s="28">
        <f t="shared" si="2"/>
        <v>1.208513799592954</v>
      </c>
      <c r="R11" s="28">
        <f t="shared" si="2"/>
        <v>1.2587844648768252</v>
      </c>
      <c r="S11" s="28">
        <f t="shared" si="2"/>
        <v>1.3019273029894654</v>
      </c>
      <c r="T11" s="28">
        <f t="shared" si="2"/>
        <v>1.2864013706620094</v>
      </c>
      <c r="U11" s="28">
        <f t="shared" si="2"/>
        <v>1.2667587754411906</v>
      </c>
      <c r="V11" s="28">
        <f t="shared" si="2"/>
        <v>1.3294995182398532</v>
      </c>
      <c r="W11" s="28">
        <f t="shared" si="2"/>
        <v>1.3754886445596108</v>
      </c>
      <c r="X11" s="28">
        <f t="shared" si="2"/>
        <v>1.4351722298540563</v>
      </c>
      <c r="Y11" s="28">
        <f t="shared" si="2"/>
        <v>1.2824676184028101</v>
      </c>
      <c r="Z11" s="28">
        <f t="shared" si="2"/>
        <v>1.402133503087488</v>
      </c>
      <c r="AA11" s="28">
        <f t="shared" si="2"/>
        <v>1.42033257881146</v>
      </c>
      <c r="AB11" s="28">
        <f t="shared" si="2"/>
        <v>1.5277238806632332</v>
      </c>
      <c r="AC11" s="28">
        <f t="shared" si="2"/>
        <v>1.317943702252623</v>
      </c>
      <c r="AD11" s="28">
        <f t="shared" si="2"/>
        <v>1.4351707655003496</v>
      </c>
      <c r="AE11" s="28">
        <f t="shared" si="2"/>
        <v>1.1310868042515381</v>
      </c>
      <c r="AF11" s="28">
        <f t="shared" si="2"/>
        <v>1.2839949564027284</v>
      </c>
      <c r="AG11" s="28">
        <f t="shared" si="2"/>
        <v>0.99491385942746469</v>
      </c>
      <c r="AH11" s="28">
        <f t="shared" si="2"/>
        <v>1.0241833691151525</v>
      </c>
      <c r="AI11" s="28">
        <f t="shared" si="2"/>
        <v>1.0050282405383952</v>
      </c>
      <c r="AJ11" s="28">
        <f t="shared" si="2"/>
        <v>1.0100552930798543</v>
      </c>
      <c r="AK11" s="28">
        <f t="shared" si="2"/>
        <v>1.0133940569760569</v>
      </c>
      <c r="AL11" s="28">
        <f t="shared" si="2"/>
        <v>1.0413971786806986</v>
      </c>
      <c r="AM11" s="28">
        <f t="shared" si="2"/>
        <v>1.0164984484818265</v>
      </c>
      <c r="AN11" s="28">
        <f t="shared" si="2"/>
        <v>1.2510257753276672</v>
      </c>
      <c r="AO11" s="28">
        <f t="shared" si="2"/>
        <v>1.5515686041377279</v>
      </c>
      <c r="AP11" s="28" t="e">
        <f t="shared" si="2"/>
        <v>#DIV/0!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0.86932908190986491</v>
      </c>
      <c r="F12" s="158">
        <f>F2/股权价值增加表!F38</f>
        <v>0.8689654958437516</v>
      </c>
      <c r="G12" s="158">
        <f>G2/股权价值增加表!G38</f>
        <v>0.86136071308438411</v>
      </c>
      <c r="H12" s="158">
        <f>H2/股权价值增加表!H38</f>
        <v>0.83723510476824448</v>
      </c>
      <c r="I12" s="158">
        <f>I2/股权价值增加表!I38</f>
        <v>0.86556583908513207</v>
      </c>
      <c r="J12" s="158">
        <f>J2/股权价值增加表!J38</f>
        <v>0.85299086814115521</v>
      </c>
      <c r="K12" s="158">
        <f>K2/股权价值增加表!K38</f>
        <v>0.85793408577032926</v>
      </c>
      <c r="L12" s="158">
        <f>L2/股权价值增加表!L38</f>
        <v>0.84947929973432645</v>
      </c>
      <c r="M12" s="158">
        <f>M2/股权价值增加表!M38</f>
        <v>0.85272062062762588</v>
      </c>
      <c r="N12" s="158">
        <f>N2/股权价值增加表!N38</f>
        <v>0.85203325531038321</v>
      </c>
      <c r="O12" s="158">
        <f>O2/股权价值增加表!O38</f>
        <v>0.85024837246700469</v>
      </c>
      <c r="P12" s="158">
        <f>P2/股权价值增加表!P38</f>
        <v>0.8441431641586965</v>
      </c>
      <c r="Q12" s="158">
        <f>Q2/股权价值增加表!Q38</f>
        <v>0.84392949360920644</v>
      </c>
      <c r="R12" s="158">
        <f>R2/股权价值增加表!R38</f>
        <v>0.84582203613429063</v>
      </c>
      <c r="S12" s="158">
        <f>S2/股权价值增加表!S38</f>
        <v>0.84825287655782877</v>
      </c>
      <c r="T12" s="158">
        <f>T2/股权价值增加表!T38</f>
        <v>0.84723245200041541</v>
      </c>
      <c r="U12" s="158">
        <f>U2/股权价值增加表!U38</f>
        <v>0.84317856145781567</v>
      </c>
      <c r="V12" s="158">
        <f>V2/股权价值增加表!V38</f>
        <v>0.83640046967666337</v>
      </c>
      <c r="W12" s="158">
        <f>W2/股权价值增加表!W38</f>
        <v>0.83504547301633458</v>
      </c>
      <c r="X12" s="158">
        <f>X2/股权价值增加表!X38</f>
        <v>0.82875638172131783</v>
      </c>
      <c r="Y12" s="158">
        <f>Y2/股权价值增加表!Y38</f>
        <v>0.83834679938323031</v>
      </c>
      <c r="Z12" s="158">
        <f>Z2/股权价值增加表!Z38</f>
        <v>0.83417581357399895</v>
      </c>
      <c r="AA12" s="158">
        <f>AA2/股权价值增加表!AA38</f>
        <v>0.82445672735763686</v>
      </c>
      <c r="AB12" s="158">
        <f>AB2/股权价值增加表!AB38</f>
        <v>0.82585539469815783</v>
      </c>
      <c r="AC12" s="158">
        <f>AC2/股权价值增加表!AC38</f>
        <v>0.84132641571412314</v>
      </c>
      <c r="AD12" s="158">
        <f>AD2/股权价值增加表!AD38</f>
        <v>0.84425189591415406</v>
      </c>
      <c r="AE12" s="158">
        <f>AE2/股权价值增加表!AE38</f>
        <v>0.83248646930488879</v>
      </c>
      <c r="AF12" s="158">
        <f>AF2/股权价值增加表!AF38</f>
        <v>0.82786956787754562</v>
      </c>
      <c r="AG12" s="158">
        <f>AG2/股权价值增加表!AG38</f>
        <v>0.83502300284602893</v>
      </c>
      <c r="AH12" s="158">
        <f>AH2/股权价值增加表!AH38</f>
        <v>0.82173893805257814</v>
      </c>
      <c r="AI12" s="158">
        <f>AI2/股权价值增加表!AI38</f>
        <v>0.82340568993384611</v>
      </c>
      <c r="AJ12" s="158">
        <f>AJ2/股权价值增加表!AJ38</f>
        <v>0.83450234146764257</v>
      </c>
      <c r="AK12" s="158">
        <f>AK2/股权价值增加表!AK38</f>
        <v>0.8288008097383095</v>
      </c>
      <c r="AL12" s="158">
        <f>AL2/股权价值增加表!AL38</f>
        <v>0.83243713829522603</v>
      </c>
      <c r="AM12" s="158">
        <f>AM2/股权价值增加表!AM38</f>
        <v>0.82022417350443921</v>
      </c>
      <c r="AN12" s="158">
        <f>AN2/股权价值增加表!AN38</f>
        <v>0.8586772390982188</v>
      </c>
      <c r="AO12" s="158">
        <f>AO2/股权价值增加表!AO38</f>
        <v>0.76327521517233787</v>
      </c>
      <c r="AP12" s="158">
        <f>AP2/股权价值增加表!AP38</f>
        <v>0.68333601092634555</v>
      </c>
      <c r="AQ12" s="158">
        <f>AQ2/股权价值增加表!AQ38</f>
        <v>0.70179581209999864</v>
      </c>
      <c r="AR12" s="158" t="e">
        <f>AR2/股权价值增加表!AR38</f>
        <v>#DIV/0!</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0.13067091809013509</v>
      </c>
      <c r="F13" s="63">
        <f>1-F2/股权价值增加表!F38</f>
        <v>0.1310345041562484</v>
      </c>
      <c r="G13" s="63">
        <f>1-G2/股权价值增加表!G38</f>
        <v>0.13863928691561589</v>
      </c>
      <c r="H13" s="63">
        <f>1-H2/股权价值增加表!H38</f>
        <v>0.16276489523175552</v>
      </c>
      <c r="I13" s="63">
        <f>1-I2/股权价值增加表!I38</f>
        <v>0.13443416091486793</v>
      </c>
      <c r="J13" s="63">
        <f>1-J2/股权价值增加表!J38</f>
        <v>0.14700913185884479</v>
      </c>
      <c r="K13" s="63">
        <f>1-K2/股权价值增加表!K38</f>
        <v>0.14206591422967074</v>
      </c>
      <c r="L13" s="63">
        <f>1-L2/股权价值增加表!L38</f>
        <v>0.15052070026567355</v>
      </c>
      <c r="M13" s="63">
        <f>1-M2/股权价值增加表!M38</f>
        <v>0.14727937937237412</v>
      </c>
      <c r="N13" s="63">
        <f>1-N2/股权价值增加表!N38</f>
        <v>0.14796674468961679</v>
      </c>
      <c r="O13" s="63">
        <f>1-O2/股权价值增加表!O38</f>
        <v>0.14975162753299531</v>
      </c>
      <c r="P13" s="63">
        <f>1-P2/股权价值增加表!P38</f>
        <v>0.1558568358413035</v>
      </c>
      <c r="Q13" s="63">
        <f>1-Q2/股权价值增加表!Q38</f>
        <v>0.15607050639079356</v>
      </c>
      <c r="R13" s="63">
        <f>1-R2/股权价值增加表!R38</f>
        <v>0.15417796386570937</v>
      </c>
      <c r="S13" s="63">
        <f>1-S2/股权价值增加表!S38</f>
        <v>0.15174712344217123</v>
      </c>
      <c r="T13" s="63">
        <f>1-T2/股权价值增加表!T38</f>
        <v>0.15276754799958459</v>
      </c>
      <c r="U13" s="63">
        <f>1-U2/股权价值增加表!U38</f>
        <v>0.15682143854218433</v>
      </c>
      <c r="V13" s="63">
        <f>1-V2/股权价值增加表!V38</f>
        <v>0.16359953032333663</v>
      </c>
      <c r="W13" s="63">
        <f>1-W2/股权价值增加表!W38</f>
        <v>0.16495452698366542</v>
      </c>
      <c r="X13" s="63">
        <f>1-X2/股权价值增加表!X38</f>
        <v>0.17124361827868217</v>
      </c>
      <c r="Y13" s="63">
        <f>1-Y2/股权价值增加表!Y38</f>
        <v>0.16165320061676969</v>
      </c>
      <c r="Z13" s="63">
        <f>1-Z2/股权价值增加表!Z38</f>
        <v>0.16582418642600105</v>
      </c>
      <c r="AA13" s="63">
        <f>1-AA2/股权价值增加表!AA38</f>
        <v>0.17554327264236314</v>
      </c>
      <c r="AB13" s="63">
        <f>1-AB2/股权价值增加表!AB38</f>
        <v>0.17414460530184217</v>
      </c>
      <c r="AC13" s="63">
        <f>1-AC2/股权价值增加表!AC38</f>
        <v>0.15867358428587686</v>
      </c>
      <c r="AD13" s="63">
        <f>1-AD2/股权价值增加表!AD38</f>
        <v>0.15574810408584594</v>
      </c>
      <c r="AE13" s="63">
        <f>1-AE2/股权价值增加表!AE38</f>
        <v>0.16751353069511121</v>
      </c>
      <c r="AF13" s="63">
        <f>1-AF2/股权价值增加表!AF38</f>
        <v>0.17213043212245438</v>
      </c>
      <c r="AG13" s="63">
        <f>1-AG2/股权价值增加表!AG38</f>
        <v>0.16497699715397107</v>
      </c>
      <c r="AH13" s="63">
        <f>1-AH2/股权价值增加表!AH38</f>
        <v>0.17826106194742186</v>
      </c>
      <c r="AI13" s="63">
        <f>1-AI2/股权价值增加表!AI38</f>
        <v>0.17659431006615389</v>
      </c>
      <c r="AJ13" s="63">
        <f>1-AJ2/股权价值增加表!AJ38</f>
        <v>0.16549765853235743</v>
      </c>
      <c r="AK13" s="63">
        <f>1-AK2/股权价值增加表!AK38</f>
        <v>0.1711991902616905</v>
      </c>
      <c r="AL13" s="63">
        <f>1-AL2/股权价值增加表!AL38</f>
        <v>0.16756286170477397</v>
      </c>
      <c r="AM13" s="63">
        <f>1-AM2/股权价值增加表!AM38</f>
        <v>0.17977582649556079</v>
      </c>
      <c r="AN13" s="63">
        <f>1-AN2/股权价值增加表!AN38</f>
        <v>0.1413227609017812</v>
      </c>
      <c r="AO13" s="63">
        <f>1-AO2/股权价值增加表!AO38</f>
        <v>0.23672478482766213</v>
      </c>
      <c r="AP13" s="63">
        <f>1-AP2/股权价值增加表!AP38</f>
        <v>0.31666398907365445</v>
      </c>
      <c r="AQ13" s="63">
        <f>1-AQ2/股权价值增加表!AQ38</f>
        <v>0.29820418790000136</v>
      </c>
      <c r="AR13" s="63" t="e">
        <f>1-AR2/股权价值增加表!AR38</f>
        <v>#DIV/0!</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0.12889277202203245</v>
      </c>
      <c r="F14" s="59">
        <f t="shared" ref="F14:BQ14" si="4">F6*F7*F9*F10*F12</f>
        <v>9.7362620725538876E-2</v>
      </c>
      <c r="G14" s="59">
        <f t="shared" si="4"/>
        <v>6.4721897079533894E-2</v>
      </c>
      <c r="H14" s="59">
        <f t="shared" si="4"/>
        <v>2.0609816907997573E-2</v>
      </c>
      <c r="I14" s="59">
        <f t="shared" si="4"/>
        <v>0.19111427043162835</v>
      </c>
      <c r="J14" s="59">
        <f t="shared" si="4"/>
        <v>0.17233121019021297</v>
      </c>
      <c r="K14" s="59">
        <f t="shared" si="4"/>
        <v>0.10832022122918693</v>
      </c>
      <c r="L14" s="59">
        <f t="shared" si="4"/>
        <v>4.5557388527854611E-2</v>
      </c>
      <c r="M14" s="59">
        <f t="shared" si="4"/>
        <v>0.26397431890573525</v>
      </c>
      <c r="N14" s="59">
        <f t="shared" si="4"/>
        <v>0.18510131327105034</v>
      </c>
      <c r="O14" s="59">
        <f t="shared" si="4"/>
        <v>0.12351516789131704</v>
      </c>
      <c r="P14" s="59">
        <f t="shared" si="4"/>
        <v>4.9462807432019668E-2</v>
      </c>
      <c r="Q14" s="59">
        <f t="shared" si="4"/>
        <v>0.29936625299758013</v>
      </c>
      <c r="R14" s="59">
        <f t="shared" si="4"/>
        <v>0.24461346380762089</v>
      </c>
      <c r="S14" s="59">
        <f t="shared" si="4"/>
        <v>0.15151196629969604</v>
      </c>
      <c r="T14" s="59">
        <f t="shared" si="4"/>
        <v>5.5260546861969038E-2</v>
      </c>
      <c r="U14" s="59">
        <f t="shared" si="4"/>
        <v>0.29598237764519647</v>
      </c>
      <c r="V14" s="59">
        <f t="shared" si="4"/>
        <v>0.21852328496826731</v>
      </c>
      <c r="W14" s="59">
        <f t="shared" si="4"/>
        <v>0.1442362429560867</v>
      </c>
      <c r="X14" s="59">
        <f t="shared" si="4"/>
        <v>4.9942404437147765E-2</v>
      </c>
      <c r="Y14" s="59">
        <f t="shared" si="4"/>
        <v>0.27686921078367788</v>
      </c>
      <c r="Z14" s="59">
        <f t="shared" si="4"/>
        <v>0.21278091521929976</v>
      </c>
      <c r="AA14" s="59">
        <f t="shared" si="4"/>
        <v>0.11828915780342381</v>
      </c>
      <c r="AB14" s="59">
        <f t="shared" si="4"/>
        <v>4.3820132284881581E-2</v>
      </c>
      <c r="AC14" s="59">
        <f t="shared" si="4"/>
        <v>0.1737021085728514</v>
      </c>
      <c r="AD14" s="59">
        <f t="shared" si="4"/>
        <v>0.15035548094747167</v>
      </c>
      <c r="AE14" s="59">
        <f t="shared" si="4"/>
        <v>0.10295621615497773</v>
      </c>
      <c r="AF14" s="59">
        <f t="shared" si="4"/>
        <v>4.1065351371321106E-2</v>
      </c>
      <c r="AG14" s="59">
        <f t="shared" si="4"/>
        <v>0.16154330787511548</v>
      </c>
      <c r="AH14" s="59">
        <f t="shared" si="4"/>
        <v>0.14527219760179372</v>
      </c>
      <c r="AI14" s="59">
        <f t="shared" si="4"/>
        <v>0.1003619486361739</v>
      </c>
      <c r="AJ14" s="59">
        <f t="shared" si="4"/>
        <v>4.2330609839294625E-2</v>
      </c>
      <c r="AK14" s="59">
        <f t="shared" si="4"/>
        <v>0.41460186737141258</v>
      </c>
      <c r="AL14" s="59">
        <f t="shared" si="4"/>
        <v>0.35463507131843114</v>
      </c>
      <c r="AM14" s="59">
        <f t="shared" si="4"/>
        <v>0.33649792069355106</v>
      </c>
      <c r="AN14" s="59">
        <f t="shared" si="4"/>
        <v>0.1334940493159657</v>
      </c>
      <c r="AO14" s="59">
        <f t="shared" si="4"/>
        <v>0.86893330746216868</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39082</v>
      </c>
      <c r="AR18" s="1">
        <v>25569</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23416550017.470001</v>
      </c>
      <c r="F19" s="76">
        <f>股权价值增加表!F4</f>
        <v>15936585490.809999</v>
      </c>
      <c r="G19" s="76">
        <f>股权价值增加表!G4</f>
        <v>9905427837.3400002</v>
      </c>
      <c r="H19" s="76">
        <f>股权价值增加表!H4</f>
        <v>3980952720.77</v>
      </c>
      <c r="I19" s="76">
        <f>股权价值增加表!I4</f>
        <v>20164545252.650002</v>
      </c>
      <c r="J19" s="76">
        <f>股权价值增加表!J4</f>
        <v>9108594167.6399994</v>
      </c>
      <c r="K19" s="76">
        <f>股权价值增加表!K4</f>
        <v>5630553788.9300003</v>
      </c>
      <c r="L19" s="76">
        <f>股权价值增加表!L4</f>
        <v>2381520488.8499999</v>
      </c>
      <c r="M19" s="76">
        <f>股权价值增加表!M4</f>
        <v>12026466467.639999</v>
      </c>
      <c r="N19" s="76">
        <f>股权价值增加表!N4</f>
        <v>8774967409.0100002</v>
      </c>
      <c r="O19" s="76">
        <f>股权价值增加表!O4</f>
        <v>5589949438.3699999</v>
      </c>
      <c r="P19" s="76">
        <f>股权价值增加表!P4</f>
        <v>2261383751.4200001</v>
      </c>
      <c r="Q19" s="76">
        <f>股权价值增加表!Q4</f>
        <v>12767230041.15</v>
      </c>
      <c r="R19" s="76">
        <f>股权价值增加表!R4</f>
        <v>9307426262</v>
      </c>
      <c r="S19" s="76">
        <f>股权价值增加表!S4</f>
        <v>5849589980.8900003</v>
      </c>
      <c r="T19" s="76">
        <f>股权价值增加表!T4</f>
        <v>2390695057.27</v>
      </c>
      <c r="U19" s="76">
        <f>股权价值增加表!U4</f>
        <v>11956507239.129999</v>
      </c>
      <c r="V19" s="76">
        <f>股权价值增加表!V4</f>
        <v>8565695458.21</v>
      </c>
      <c r="W19" s="76">
        <f>股权价值增加表!W4</f>
        <v>5414648582.5299997</v>
      </c>
      <c r="X19" s="76">
        <f>股权价值增加表!X4</f>
        <v>2070155415.79</v>
      </c>
      <c r="Y19" s="76">
        <f>股权价值增加表!Y4</f>
        <v>10703163376.129999</v>
      </c>
      <c r="Z19" s="76">
        <f>股权价值增加表!Z4</f>
        <v>7766650075.9799995</v>
      </c>
      <c r="AA19" s="76">
        <f>股权价值增加表!AA4</f>
        <v>4352728365.5</v>
      </c>
      <c r="AB19" s="76">
        <f>股权价值增加表!AB4</f>
        <v>1785299738.22</v>
      </c>
      <c r="AC19" s="76">
        <f>股权价值增加表!AC4</f>
        <v>8288198259.6800003</v>
      </c>
      <c r="AD19" s="76">
        <f>股权价值增加表!AD4</f>
        <v>6326671482.2600002</v>
      </c>
      <c r="AE19" s="76">
        <f>股权价值增加表!AE4</f>
        <v>4001898889.1199999</v>
      </c>
      <c r="AF19" s="76">
        <f>股权价值增加表!AF4</f>
        <v>1644797532.0899999</v>
      </c>
      <c r="AG19" s="76">
        <f>股权价值增加表!AG4</f>
        <v>6339109735.0900002</v>
      </c>
      <c r="AH19" s="76">
        <f>股权价值增加表!AH4</f>
        <v>4659762055.4300003</v>
      </c>
      <c r="AI19" s="76">
        <f>股权价值增加表!AI4</f>
        <v>2841252861.1300001</v>
      </c>
      <c r="AJ19" s="76">
        <f>股权价值增加表!AJ4</f>
        <v>1169899767.45</v>
      </c>
      <c r="AK19" s="76">
        <f>股权价值增加表!AK4</f>
        <v>4801517368.3699999</v>
      </c>
      <c r="AL19" s="76">
        <f>股权价值增加表!AL4</f>
        <v>3528348961.3000002</v>
      </c>
      <c r="AM19" s="76">
        <f>股权价值增加表!AM4</f>
        <v>2099639179.3099999</v>
      </c>
      <c r="AN19" s="76">
        <f>股权价值增加表!AN4</f>
        <v>873850113.40999997</v>
      </c>
      <c r="AO19" s="76">
        <f>股权价值增加表!AO4</f>
        <v>4442093335.0799999</v>
      </c>
      <c r="AP19" s="76">
        <f>股权价值增加表!AP4</f>
        <v>4184807996.5100002</v>
      </c>
      <c r="AQ19" s="76">
        <f>股权价值增加表!AQ4</f>
        <v>3377159073.3800001</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3456898833.1200018</v>
      </c>
      <c r="F20" s="76">
        <f>股权价值增加表!F15</f>
        <v>2484859784.3799992</v>
      </c>
      <c r="G20" s="76">
        <f>股权价值增加表!G15</f>
        <v>1578842254.7300003</v>
      </c>
      <c r="H20" s="76">
        <f>股权价值增加表!H15</f>
        <v>538036708.6899997</v>
      </c>
      <c r="I20" s="76">
        <f>股权价值增加表!I15</f>
        <v>3273885357.2600007</v>
      </c>
      <c r="J20" s="76">
        <f>股权价值增加表!J15</f>
        <v>1602592485.5899994</v>
      </c>
      <c r="K20" s="76">
        <f>股权价值增加表!K15</f>
        <v>1000137300.0500004</v>
      </c>
      <c r="L20" s="76">
        <f>股权价值增加表!L15</f>
        <v>417808087.23999983</v>
      </c>
      <c r="M20" s="76">
        <f>股权价值增加表!M15</f>
        <v>2217070046.1399994</v>
      </c>
      <c r="N20" s="76">
        <f>股权价值增加表!N15</f>
        <v>1614321174.52</v>
      </c>
      <c r="O20" s="76">
        <f>股权价值增加表!O15</f>
        <v>1029183051.2799997</v>
      </c>
      <c r="P20" s="76">
        <f>股权价值增加表!P15</f>
        <v>416332100.96999997</v>
      </c>
      <c r="Q20" s="76">
        <f>股权价值增加表!Q15</f>
        <v>2376400965.4299994</v>
      </c>
      <c r="R20" s="76">
        <f>股权价值增加表!R15</f>
        <v>1724972053.6000004</v>
      </c>
      <c r="S20" s="76">
        <f>股权价值增加表!S15</f>
        <v>1053741181.8100005</v>
      </c>
      <c r="T20" s="76">
        <f>股权价值增加表!T15</f>
        <v>387627712.89999986</v>
      </c>
      <c r="U20" s="76">
        <f>股权价值增加表!U15</f>
        <v>2019781772.549999</v>
      </c>
      <c r="V20" s="76">
        <f>股权价值增加表!V15</f>
        <v>1450571119.2</v>
      </c>
      <c r="W20" s="76">
        <f>股权价值增加表!W15</f>
        <v>872021317.37999964</v>
      </c>
      <c r="X20" s="76">
        <f>股权价值增加表!X15</f>
        <v>299929058.62000006</v>
      </c>
      <c r="Y20" s="76">
        <f>股权价值增加表!Y15</f>
        <v>1643421237.7899995</v>
      </c>
      <c r="Z20" s="76">
        <f>股权价值增加表!Z15</f>
        <v>1200415965.4699988</v>
      </c>
      <c r="AA20" s="76">
        <f>股权价值增加表!AA15</f>
        <v>619649954.55000007</v>
      </c>
      <c r="AB20" s="76">
        <f>股权价值增加表!AB15</f>
        <v>224674195.06</v>
      </c>
      <c r="AC20" s="76">
        <f>股权价值增加表!AC15</f>
        <v>1009399726.3200002</v>
      </c>
      <c r="AD20" s="76">
        <f>股权价值增加表!AD15</f>
        <v>752604096.27999973</v>
      </c>
      <c r="AE20" s="76">
        <f>股权价值增加表!AE15</f>
        <v>473651501.60000002</v>
      </c>
      <c r="AF20" s="76">
        <f>股权价值增加表!AF15</f>
        <v>174048872.04999995</v>
      </c>
      <c r="AG20" s="76">
        <f>股权价值增加表!AG15</f>
        <v>817603407.63000011</v>
      </c>
      <c r="AH20" s="76">
        <f>股权价值增加表!AH15</f>
        <v>725648016.80000043</v>
      </c>
      <c r="AI20" s="76">
        <f>股权价值增加表!AI15</f>
        <v>484495472.62000012</v>
      </c>
      <c r="AJ20" s="76">
        <f>股权价值增加表!AJ15</f>
        <v>198433911.23000008</v>
      </c>
      <c r="AK20" s="76">
        <f>股权价值增加表!AK15</f>
        <v>684065416.66999996</v>
      </c>
      <c r="AL20" s="76">
        <f>股权价值增加表!AL15</f>
        <v>619982836.6900003</v>
      </c>
      <c r="AM20" s="76">
        <f>股权价值增加表!AM15</f>
        <v>451262686.4799999</v>
      </c>
      <c r="AN20" s="76">
        <f>股权价值增加表!AN15</f>
        <v>151183242.39000002</v>
      </c>
      <c r="AO20" s="76">
        <f>股权价值增加表!AO15</f>
        <v>582862357.62999976</v>
      </c>
      <c r="AP20" s="76">
        <f>股权价值增加表!AP15</f>
        <v>593718151.64000034</v>
      </c>
      <c r="AQ20" s="76">
        <f>股权价值增加表!AQ15</f>
        <v>309942525.06000012</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0.14762630833922888</v>
      </c>
      <c r="F21" s="244">
        <f t="shared" ref="F21:BQ21" si="6">F20/F19</f>
        <v>0.15592171772384492</v>
      </c>
      <c r="G21" s="244">
        <f t="shared" si="6"/>
        <v>0.15939162655633277</v>
      </c>
      <c r="H21" s="244">
        <f t="shared" si="6"/>
        <v>0.13515275021551426</v>
      </c>
      <c r="I21" s="244">
        <f t="shared" si="6"/>
        <v>0.16235850182784312</v>
      </c>
      <c r="J21" s="244">
        <f t="shared" si="6"/>
        <v>0.17594290140662011</v>
      </c>
      <c r="K21" s="244">
        <f t="shared" si="6"/>
        <v>0.1776268085772183</v>
      </c>
      <c r="L21" s="244">
        <f t="shared" si="6"/>
        <v>0.17543753631183456</v>
      </c>
      <c r="M21" s="244">
        <f t="shared" si="6"/>
        <v>0.18434924772837816</v>
      </c>
      <c r="N21" s="244">
        <f t="shared" si="6"/>
        <v>0.18396890829046728</v>
      </c>
      <c r="O21" s="244">
        <f t="shared" si="6"/>
        <v>0.18411312349546119</v>
      </c>
      <c r="P21" s="244">
        <f t="shared" si="6"/>
        <v>0.18410502008275723</v>
      </c>
      <c r="Q21" s="244">
        <f t="shared" si="6"/>
        <v>0.18613285401536844</v>
      </c>
      <c r="R21" s="244">
        <f t="shared" si="6"/>
        <v>0.18533287345424906</v>
      </c>
      <c r="S21" s="244">
        <f t="shared" si="6"/>
        <v>0.18013932348292153</v>
      </c>
      <c r="T21" s="244">
        <f t="shared" si="6"/>
        <v>0.16214017413941639</v>
      </c>
      <c r="U21" s="244">
        <f t="shared" si="6"/>
        <v>0.16892740765797135</v>
      </c>
      <c r="V21" s="244">
        <f t="shared" si="6"/>
        <v>0.1693465669281605</v>
      </c>
      <c r="W21" s="244">
        <f t="shared" si="6"/>
        <v>0.16104855266018886</v>
      </c>
      <c r="X21" s="244">
        <f t="shared" si="6"/>
        <v>0.14488238725088329</v>
      </c>
      <c r="Y21" s="244">
        <f t="shared" si="6"/>
        <v>0.15354537532848725</v>
      </c>
      <c r="Z21" s="244">
        <f t="shared" si="6"/>
        <v>0.15456032571655803</v>
      </c>
      <c r="AA21" s="244">
        <f t="shared" si="6"/>
        <v>0.14235897637476869</v>
      </c>
      <c r="AB21" s="244">
        <f t="shared" si="6"/>
        <v>0.12584676413161144</v>
      </c>
      <c r="AC21" s="244">
        <f t="shared" si="6"/>
        <v>0.12178759420252722</v>
      </c>
      <c r="AD21" s="244">
        <f t="shared" si="6"/>
        <v>0.11895735354527308</v>
      </c>
      <c r="AE21" s="244">
        <f t="shared" si="6"/>
        <v>0.1183566888428193</v>
      </c>
      <c r="AF21" s="244">
        <f t="shared" si="6"/>
        <v>0.10581780958100098</v>
      </c>
      <c r="AG21" s="244">
        <f t="shared" si="6"/>
        <v>0.12897763910035737</v>
      </c>
      <c r="AH21" s="244">
        <f t="shared" si="6"/>
        <v>0.15572641009735808</v>
      </c>
      <c r="AI21" s="244">
        <f t="shared" si="6"/>
        <v>0.17052177201409327</v>
      </c>
      <c r="AJ21" s="244">
        <f t="shared" si="6"/>
        <v>0.16961616435100357</v>
      </c>
      <c r="AK21" s="244">
        <f t="shared" si="6"/>
        <v>0.14246859152822847</v>
      </c>
      <c r="AL21" s="244">
        <f t="shared" si="6"/>
        <v>0.17571471628519736</v>
      </c>
      <c r="AM21" s="244">
        <f t="shared" si="6"/>
        <v>0.21492392165605206</v>
      </c>
      <c r="AN21" s="244">
        <f t="shared" si="6"/>
        <v>0.1730082082384152</v>
      </c>
      <c r="AO21" s="244">
        <f t="shared" si="6"/>
        <v>0.1312134423261736</v>
      </c>
      <c r="AP21" s="244">
        <f t="shared" si="6"/>
        <v>0.14187464565522309</v>
      </c>
      <c r="AQ21" s="244">
        <f t="shared" si="6"/>
        <v>9.1776110726640089E-2</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22505173966.599998</v>
      </c>
      <c r="F22" s="193">
        <f>资产资本表!F69</f>
        <v>21987099139.669998</v>
      </c>
      <c r="G22" s="193">
        <f>资产资本表!G69</f>
        <v>21273755237.990005</v>
      </c>
      <c r="H22" s="193">
        <f>资产资本表!H69</f>
        <v>22174836362.34</v>
      </c>
      <c r="I22" s="193">
        <f>资产资本表!I69</f>
        <v>20638517334.820004</v>
      </c>
      <c r="J22" s="193">
        <f>资产资本表!J69</f>
        <v>6084412963.6700001</v>
      </c>
      <c r="K22" s="193">
        <f>资产资本表!K69</f>
        <v>7011727192.9500008</v>
      </c>
      <c r="L22" s="193">
        <f>资产资本表!L69</f>
        <v>5767868164.9400005</v>
      </c>
      <c r="M22" s="193">
        <f>资产资本表!M69</f>
        <v>6262363808.1699982</v>
      </c>
      <c r="N22" s="193">
        <f>资产资本表!N69</f>
        <v>6301963399.5799999</v>
      </c>
      <c r="O22" s="193">
        <f>资产资本表!O69</f>
        <v>5450247121.1000004</v>
      </c>
      <c r="P22" s="193">
        <f>资产资本表!P69</f>
        <v>5769502161.5200005</v>
      </c>
      <c r="Q22" s="193">
        <f>资产资本表!Q69</f>
        <v>5296827383.0600014</v>
      </c>
      <c r="R22" s="193">
        <f>资产资本表!R69</f>
        <v>5196628957.5100002</v>
      </c>
      <c r="S22" s="193">
        <f>资产资本表!S69</f>
        <v>5236363288.2099991</v>
      </c>
      <c r="T22" s="193">
        <f>资产资本表!T69</f>
        <v>5243870483.4699993</v>
      </c>
      <c r="U22" s="193">
        <f>资产资本表!U69</f>
        <v>5101615397.2800007</v>
      </c>
      <c r="V22" s="193">
        <f>资产资本表!V69</f>
        <v>4852082700.460001</v>
      </c>
      <c r="W22" s="193">
        <f>资产资本表!W69</f>
        <v>4288161259.5</v>
      </c>
      <c r="X22" s="193">
        <f>资产资本表!X69</f>
        <v>4015504709.0200005</v>
      </c>
      <c r="Y22" s="193">
        <f>资产资本表!Y69</f>
        <v>2526019197.0399995</v>
      </c>
      <c r="Z22" s="193">
        <f>资产资本表!Z69</f>
        <v>2966411508.8500004</v>
      </c>
      <c r="AA22" s="193">
        <f>资产资本表!AA69</f>
        <v>1648479804.74</v>
      </c>
      <c r="AB22" s="193">
        <f>资产资本表!AB69</f>
        <v>1744608552.9499998</v>
      </c>
      <c r="AC22" s="193">
        <f>资产资本表!AC69</f>
        <v>2193263396.9700003</v>
      </c>
      <c r="AD22" s="193">
        <f>资产资本表!AD69</f>
        <v>1196658433.9199994</v>
      </c>
      <c r="AE22" s="193">
        <f>资产资本表!AE69</f>
        <v>791189127.16999984</v>
      </c>
      <c r="AF22" s="193">
        <f>资产资本表!AF69</f>
        <v>875173255.8599999</v>
      </c>
      <c r="AG22" s="193">
        <f>资产资本表!AG69</f>
        <v>432073960.13999999</v>
      </c>
      <c r="AH22" s="193">
        <f>资产资本表!AH69</f>
        <v>284064053.06999987</v>
      </c>
      <c r="AI22" s="193">
        <f>资产资本表!AI69</f>
        <v>379463890.61999995</v>
      </c>
      <c r="AJ22" s="193">
        <f>资产资本表!AJ69</f>
        <v>616159075.64999974</v>
      </c>
      <c r="AK22" s="193">
        <f>资产资本表!AK69</f>
        <v>340302640.90000027</v>
      </c>
      <c r="AL22" s="193">
        <f>资产资本表!AL69</f>
        <v>492087540.25</v>
      </c>
      <c r="AM22" s="193">
        <f>资产资本表!AM69</f>
        <v>787128543.68000019</v>
      </c>
      <c r="AN22" s="193">
        <f>资产资本表!AN69</f>
        <v>605560666.15999961</v>
      </c>
      <c r="AO22" s="193">
        <f>资产资本表!AO69</f>
        <v>668897340.28000033</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1.0404962899741446</v>
      </c>
      <c r="F23" s="246">
        <f t="shared" ref="F23:BQ23" si="8">F19/F22</f>
        <v>0.72481528325201294</v>
      </c>
      <c r="G23" s="246">
        <f t="shared" si="8"/>
        <v>0.46561727003661291</v>
      </c>
      <c r="H23" s="246">
        <f t="shared" si="8"/>
        <v>0.17952568649078904</v>
      </c>
      <c r="I23" s="246">
        <f t="shared" si="8"/>
        <v>0.9770345866187613</v>
      </c>
      <c r="J23" s="246">
        <f t="shared" si="8"/>
        <v>1.4970374663960797</v>
      </c>
      <c r="K23" s="246">
        <f t="shared" si="8"/>
        <v>0.80301951772899649</v>
      </c>
      <c r="L23" s="246">
        <f t="shared" si="8"/>
        <v>0.41289440409301958</v>
      </c>
      <c r="M23" s="246">
        <f t="shared" si="8"/>
        <v>1.9204356112224019</v>
      </c>
      <c r="N23" s="246">
        <f t="shared" si="8"/>
        <v>1.3924180215954309</v>
      </c>
      <c r="O23" s="246">
        <f t="shared" si="8"/>
        <v>1.0256322904569148</v>
      </c>
      <c r="P23" s="246">
        <f t="shared" si="8"/>
        <v>0.39195474550688592</v>
      </c>
      <c r="Q23" s="246">
        <f t="shared" si="8"/>
        <v>2.410354183332724</v>
      </c>
      <c r="R23" s="246">
        <f t="shared" si="8"/>
        <v>1.791050763504908</v>
      </c>
      <c r="S23" s="246">
        <f t="shared" si="8"/>
        <v>1.1171092720134066</v>
      </c>
      <c r="T23" s="246">
        <f t="shared" si="8"/>
        <v>0.45590276586846928</v>
      </c>
      <c r="U23" s="246">
        <f t="shared" si="8"/>
        <v>2.3436708391433783</v>
      </c>
      <c r="V23" s="246">
        <f t="shared" si="8"/>
        <v>1.7653646870853892</v>
      </c>
      <c r="W23" s="246">
        <f t="shared" si="8"/>
        <v>1.2626970523868191</v>
      </c>
      <c r="X23" s="246">
        <f t="shared" si="8"/>
        <v>0.515540527480848</v>
      </c>
      <c r="Y23" s="246">
        <f t="shared" si="8"/>
        <v>4.2371662846711589</v>
      </c>
      <c r="Z23" s="246">
        <f t="shared" si="8"/>
        <v>2.618197122283592</v>
      </c>
      <c r="AA23" s="246">
        <f t="shared" si="8"/>
        <v>2.6404499181514187</v>
      </c>
      <c r="AB23" s="246">
        <f t="shared" si="8"/>
        <v>1.0233239629607425</v>
      </c>
      <c r="AC23" s="246">
        <f t="shared" si="8"/>
        <v>3.7789342908517827</v>
      </c>
      <c r="AD23" s="246">
        <f t="shared" si="8"/>
        <v>5.2869484749588613</v>
      </c>
      <c r="AE23" s="246">
        <f t="shared" si="8"/>
        <v>5.0580812497188514</v>
      </c>
      <c r="AF23" s="246">
        <f t="shared" si="8"/>
        <v>1.8793964750142178</v>
      </c>
      <c r="AG23" s="246">
        <f t="shared" si="8"/>
        <v>14.671353332739633</v>
      </c>
      <c r="AH23" s="246">
        <f t="shared" si="8"/>
        <v>16.40391314941116</v>
      </c>
      <c r="AI23" s="246">
        <f t="shared" si="8"/>
        <v>7.4875447476378394</v>
      </c>
      <c r="AJ23" s="246">
        <f t="shared" si="8"/>
        <v>1.8986976150855963</v>
      </c>
      <c r="AK23" s="246">
        <f t="shared" si="8"/>
        <v>14.109550709543131</v>
      </c>
      <c r="AL23" s="246">
        <f t="shared" si="8"/>
        <v>7.1701652098475384</v>
      </c>
      <c r="AM23" s="246">
        <f t="shared" si="8"/>
        <v>2.6674667005387991</v>
      </c>
      <c r="AN23" s="246">
        <f t="shared" si="8"/>
        <v>1.4430430545485819</v>
      </c>
      <c r="AO23" s="246">
        <f t="shared" si="8"/>
        <v>6.6409194170521602</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0.15360462612954676</v>
      </c>
      <c r="F24" s="161">
        <f t="shared" ref="F24:BQ24" si="10">F21*F23</f>
        <v>0.11301444399714906</v>
      </c>
      <c r="G24" s="161">
        <f t="shared" si="10"/>
        <v>7.4215494023854953E-2</v>
      </c>
      <c r="H24" s="161">
        <f t="shared" si="10"/>
        <v>2.4263390263558334E-2</v>
      </c>
      <c r="I24" s="161">
        <f t="shared" si="10"/>
        <v>0.15862987171740811</v>
      </c>
      <c r="J24" s="161">
        <f t="shared" si="10"/>
        <v>0.26339311535214183</v>
      </c>
      <c r="K24" s="161">
        <f t="shared" si="10"/>
        <v>0.1426377941594186</v>
      </c>
      <c r="L24" s="161">
        <f t="shared" si="10"/>
        <v>7.2437177011022411E-2</v>
      </c>
      <c r="M24" s="161">
        <f t="shared" si="10"/>
        <v>0.35403086023963787</v>
      </c>
      <c r="N24" s="161">
        <f t="shared" si="10"/>
        <v>0.25616162331688369</v>
      </c>
      <c r="O24" s="161">
        <f t="shared" si="10"/>
        <v>0.18883236455382668</v>
      </c>
      <c r="P24" s="161">
        <f t="shared" si="10"/>
        <v>7.2160836293077235E-2</v>
      </c>
      <c r="Q24" s="161">
        <f t="shared" si="10"/>
        <v>0.44864610333160254</v>
      </c>
      <c r="R24" s="161">
        <f t="shared" si="10"/>
        <v>0.33194058450279129</v>
      </c>
      <c r="S24" s="161">
        <f t="shared" si="10"/>
        <v>0.20123530851699403</v>
      </c>
      <c r="T24" s="161">
        <f t="shared" si="10"/>
        <v>7.3920153848555187E-2</v>
      </c>
      <c r="U24" s="161">
        <f t="shared" si="10"/>
        <v>0.39591023926007324</v>
      </c>
      <c r="V24" s="161">
        <f t="shared" si="10"/>
        <v>0.29895844913411695</v>
      </c>
      <c r="W24" s="161">
        <f t="shared" si="10"/>
        <v>0.20335553273518389</v>
      </c>
      <c r="X24" s="161">
        <f t="shared" si="10"/>
        <v>7.4692742346004856E-2</v>
      </c>
      <c r="Y24" s="161">
        <f t="shared" si="10"/>
        <v>0.65059728750904489</v>
      </c>
      <c r="Z24" s="161">
        <f t="shared" si="10"/>
        <v>0.40466940001030693</v>
      </c>
      <c r="AA24" s="161">
        <f t="shared" si="10"/>
        <v>0.37589174751687771</v>
      </c>
      <c r="AB24" s="161">
        <f t="shared" si="10"/>
        <v>0.12878200939694645</v>
      </c>
      <c r="AC24" s="161">
        <f t="shared" si="10"/>
        <v>0.46022731593227184</v>
      </c>
      <c r="AD24" s="161">
        <f t="shared" si="10"/>
        <v>0.62892139891132359</v>
      </c>
      <c r="AE24" s="161">
        <f t="shared" si="10"/>
        <v>0.59865774861467269</v>
      </c>
      <c r="AF24" s="161">
        <f t="shared" si="10"/>
        <v>0.19887361832025896</v>
      </c>
      <c r="AG24" s="161">
        <f t="shared" si="10"/>
        <v>1.8922765152639176</v>
      </c>
      <c r="AH24" s="161">
        <f t="shared" si="10"/>
        <v>2.5545225063066468</v>
      </c>
      <c r="AI24" s="161">
        <f t="shared" si="10"/>
        <v>1.2767893984020211</v>
      </c>
      <c r="AJ24" s="161">
        <f t="shared" si="10"/>
        <v>0.32204980673321704</v>
      </c>
      <c r="AK24" s="161">
        <f t="shared" si="10"/>
        <v>2.0101678166847265</v>
      </c>
      <c r="AL24" s="161">
        <f t="shared" si="10"/>
        <v>1.2599035455663528</v>
      </c>
      <c r="AM24" s="161">
        <f t="shared" si="10"/>
        <v>0.57330240416672851</v>
      </c>
      <c r="AN24" s="161">
        <f t="shared" si="10"/>
        <v>0.2496582932783398</v>
      </c>
      <c r="AO24" s="161">
        <f t="shared" si="10"/>
        <v>0.87137789692214007</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39082</v>
      </c>
      <c r="AR25" s="1">
        <v>25569</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98375119.810000002</v>
      </c>
      <c r="F26" s="76">
        <f>利润表!F14</f>
        <v>78114405.870000005</v>
      </c>
      <c r="G26" s="76">
        <f>利润表!G14</f>
        <v>10832281.039999999</v>
      </c>
      <c r="H26" s="76">
        <f>利润表!H14</f>
        <v>20819311.460000001</v>
      </c>
      <c r="I26" s="76">
        <f>利润表!I14</f>
        <v>73867224.670000002</v>
      </c>
      <c r="J26" s="76">
        <f>利润表!J14</f>
        <v>5558083.9699999997</v>
      </c>
      <c r="K26" s="76">
        <f>利润表!K14</f>
        <v>3755394.29</v>
      </c>
      <c r="L26" s="76">
        <f>利润表!L14</f>
        <v>1977960.73</v>
      </c>
      <c r="M26" s="76">
        <f>利润表!M14</f>
        <v>6374373.0099999998</v>
      </c>
      <c r="N26" s="76">
        <f>利润表!N14</f>
        <v>5876433.9199999999</v>
      </c>
      <c r="O26" s="76">
        <f>利润表!O14</f>
        <v>4730197.6399999997</v>
      </c>
      <c r="P26" s="76">
        <f>利润表!P14</f>
        <v>1522955.77</v>
      </c>
      <c r="Q26" s="76">
        <f>利润表!Q14</f>
        <v>8084118.1200000001</v>
      </c>
      <c r="R26" s="76">
        <f>利润表!R14</f>
        <v>5858555.4000000004</v>
      </c>
      <c r="S26" s="76">
        <f>利润表!S14</f>
        <v>3772845.07</v>
      </c>
      <c r="T26" s="76">
        <f>利润表!T14</f>
        <v>1993749.5</v>
      </c>
      <c r="U26" s="76">
        <f>利润表!U14</f>
        <v>8996883.6500000004</v>
      </c>
      <c r="V26" s="76">
        <f>利润表!V14</f>
        <v>6354691.4299999997</v>
      </c>
      <c r="W26" s="76">
        <f>利润表!W14</f>
        <v>3202064.88</v>
      </c>
      <c r="X26" s="76">
        <f>利润表!X14</f>
        <v>186760.31</v>
      </c>
      <c r="Y26" s="76">
        <f>利润表!Y14</f>
        <v>1586580.79</v>
      </c>
      <c r="Z26" s="76">
        <f>利润表!Z14</f>
        <v>1252824.55</v>
      </c>
      <c r="AA26" s="76">
        <f>利润表!AA14</f>
        <v>537005.15</v>
      </c>
      <c r="AB26" s="76">
        <f>利润表!AB14</f>
        <v>-184433.23</v>
      </c>
      <c r="AC26" s="76">
        <f>利润表!AC14</f>
        <v>1413437.28</v>
      </c>
      <c r="AD26" s="76">
        <f>利润表!AD14</f>
        <v>296125.76</v>
      </c>
      <c r="AE26" s="76">
        <f>利润表!AE14</f>
        <v>133281.18</v>
      </c>
      <c r="AF26" s="76">
        <f>利润表!AF14</f>
        <v>-741821.33</v>
      </c>
      <c r="AG26" s="76">
        <f>利润表!AG14</f>
        <v>1674132.64</v>
      </c>
      <c r="AH26" s="76">
        <f>利润表!AH14</f>
        <v>1368964.67</v>
      </c>
      <c r="AI26" s="76">
        <f>利润表!AI14</f>
        <v>-50258.03</v>
      </c>
      <c r="AJ26" s="76">
        <f>利润表!AJ14</f>
        <v>-366046.36</v>
      </c>
      <c r="AK26" s="76">
        <f>利润表!AK14</f>
        <v>-998552.2</v>
      </c>
      <c r="AL26" s="76">
        <f>利润表!AL14</f>
        <v>-476540.05</v>
      </c>
      <c r="AM26" s="76">
        <f>利润表!AM14</f>
        <v>-379863.71</v>
      </c>
      <c r="AN26" s="76">
        <f>利润表!AN14</f>
        <v>-550976.51</v>
      </c>
      <c r="AO26" s="76">
        <f>利润表!AO14</f>
        <v>4646892.58</v>
      </c>
      <c r="AP26" s="76">
        <f>利润表!AP14</f>
        <v>-8814265.8200000003</v>
      </c>
      <c r="AQ26" s="76">
        <f>利润表!AQ14</f>
        <v>-5503336.3899999997</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1693182531.9100001</v>
      </c>
      <c r="F27" s="76">
        <f>资产资本表!F19</f>
        <v>778902588.85000002</v>
      </c>
      <c r="G27" s="76">
        <f>资产资本表!G19</f>
        <v>730480762.20000005</v>
      </c>
      <c r="H27" s="76">
        <f>资产资本表!H19</f>
        <v>739999144.57000005</v>
      </c>
      <c r="I27" s="76">
        <f>资产资本表!I19</f>
        <v>606055478.36000001</v>
      </c>
      <c r="J27" s="76">
        <f>资产资本表!J19</f>
        <v>109862456.66</v>
      </c>
      <c r="K27" s="76">
        <f>资产资本表!K19</f>
        <v>108059766.98</v>
      </c>
      <c r="L27" s="76">
        <f>资产资本表!L19</f>
        <v>106282333.42</v>
      </c>
      <c r="M27" s="76">
        <f>资产资本表!M19</f>
        <v>104304372.69</v>
      </c>
      <c r="N27" s="76">
        <f>资产资本表!N19</f>
        <v>110146517.26000001</v>
      </c>
      <c r="O27" s="76">
        <f>资产资本表!O19</f>
        <v>103340735.97</v>
      </c>
      <c r="P27" s="76">
        <f>资产资本表!P19</f>
        <v>105845182.06999999</v>
      </c>
      <c r="Q27" s="76">
        <f>资产资本表!Q19</f>
        <v>104310538.33</v>
      </c>
      <c r="R27" s="76">
        <f>资产资本表!R19</f>
        <v>99323437.510000005</v>
      </c>
      <c r="S27" s="76">
        <f>资产资本表!S19</f>
        <v>568895893.27999997</v>
      </c>
      <c r="T27" s="76">
        <f>资产资本表!T19</f>
        <v>543116797.71000004</v>
      </c>
      <c r="U27" s="76">
        <f>资产资本表!U19</f>
        <v>541123048.21000004</v>
      </c>
      <c r="V27" s="76">
        <f>资产资本表!V19</f>
        <v>525816787.92000002</v>
      </c>
      <c r="W27" s="76">
        <f>资产资本表!W19</f>
        <v>522665476.44</v>
      </c>
      <c r="X27" s="76">
        <f>资产资本表!X19</f>
        <v>504948856.80000001</v>
      </c>
      <c r="Y27" s="76">
        <f>资产资本表!Y19</f>
        <v>414463411.56</v>
      </c>
      <c r="Z27" s="76">
        <f>资产资本表!Z19</f>
        <v>358541487.23000002</v>
      </c>
      <c r="AA27" s="76">
        <f>资产资本表!AA19</f>
        <v>308971720.89999998</v>
      </c>
      <c r="AB27" s="76">
        <f>资产资本表!AB19</f>
        <v>425072082.31999999</v>
      </c>
      <c r="AC27" s="76">
        <f>资产资本表!AC19</f>
        <v>394003515.55000001</v>
      </c>
      <c r="AD27" s="76">
        <f>资产资本表!AD19</f>
        <v>224139204.03</v>
      </c>
      <c r="AE27" s="76">
        <f>资产资本表!AE19</f>
        <v>223976359.44999999</v>
      </c>
      <c r="AF27" s="76">
        <f>资产资本表!AF19</f>
        <v>206942256.94</v>
      </c>
      <c r="AG27" s="76">
        <f>资产资本表!AG19</f>
        <v>62034078.270000003</v>
      </c>
      <c r="AH27" s="76">
        <f>资产资本表!AH19</f>
        <v>62056908.75</v>
      </c>
      <c r="AI27" s="76">
        <f>资产资本表!AI19</f>
        <v>60309687.600000001</v>
      </c>
      <c r="AJ27" s="76">
        <f>资产资本表!AJ19</f>
        <v>59993899.270000003</v>
      </c>
      <c r="AK27" s="76">
        <f>资产资本表!AK19</f>
        <v>60359945.630000003</v>
      </c>
      <c r="AL27" s="76">
        <f>资产资本表!AL19</f>
        <v>24478634.120000001</v>
      </c>
      <c r="AM27" s="76">
        <f>资产资本表!AM19</f>
        <v>35780592.719999999</v>
      </c>
      <c r="AN27" s="76">
        <f>资产资本表!AN19</f>
        <v>31133700.140000001</v>
      </c>
      <c r="AO27" s="76">
        <f>资产资本表!AO19</f>
        <v>29447965.960000001</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5.8100717409969749E-2</v>
      </c>
      <c r="F28" s="110">
        <f t="shared" ref="F28:BQ28" si="12">F26/F27</f>
        <v>0.10028777280780507</v>
      </c>
      <c r="G28" s="110">
        <f t="shared" si="12"/>
        <v>1.4828975108634282E-2</v>
      </c>
      <c r="H28" s="110">
        <f t="shared" si="12"/>
        <v>2.8134237198473685E-2</v>
      </c>
      <c r="I28" s="110">
        <f t="shared" si="12"/>
        <v>0.12188195191286184</v>
      </c>
      <c r="J28" s="110">
        <f t="shared" si="12"/>
        <v>5.0591295142807885E-2</v>
      </c>
      <c r="K28" s="110">
        <f t="shared" si="12"/>
        <v>3.4752937147227596E-2</v>
      </c>
      <c r="L28" s="110">
        <f t="shared" si="12"/>
        <v>1.8610437561467682E-2</v>
      </c>
      <c r="M28" s="110">
        <f t="shared" si="12"/>
        <v>6.1113190613255389E-2</v>
      </c>
      <c r="N28" s="110">
        <f t="shared" si="12"/>
        <v>5.3351064256791009E-2</v>
      </c>
      <c r="O28" s="110">
        <f t="shared" si="12"/>
        <v>4.5772827100565495E-2</v>
      </c>
      <c r="P28" s="110">
        <f t="shared" si="12"/>
        <v>1.4388522370274761E-2</v>
      </c>
      <c r="Q28" s="110">
        <f t="shared" si="12"/>
        <v>7.7500492753904096E-2</v>
      </c>
      <c r="R28" s="110">
        <f t="shared" si="12"/>
        <v>5.8984621826144043E-2</v>
      </c>
      <c r="S28" s="110">
        <f t="shared" si="12"/>
        <v>6.6318725703000915E-3</v>
      </c>
      <c r="T28" s="110">
        <f t="shared" si="12"/>
        <v>3.6709405940056612E-3</v>
      </c>
      <c r="U28" s="110">
        <f t="shared" si="12"/>
        <v>1.6626317581114144E-2</v>
      </c>
      <c r="V28" s="110">
        <f t="shared" si="12"/>
        <v>1.2085371893768499E-2</v>
      </c>
      <c r="W28" s="110">
        <f t="shared" si="12"/>
        <v>6.1264135940449563E-3</v>
      </c>
      <c r="X28" s="110">
        <f t="shared" si="12"/>
        <v>3.6985985310185971E-4</v>
      </c>
      <c r="Y28" s="110">
        <f t="shared" si="12"/>
        <v>3.8280358307824186E-3</v>
      </c>
      <c r="Z28" s="110">
        <f t="shared" si="12"/>
        <v>3.494224781848825E-3</v>
      </c>
      <c r="AA28" s="110">
        <f t="shared" si="12"/>
        <v>1.7380398064773186E-3</v>
      </c>
      <c r="AB28" s="110">
        <f t="shared" si="12"/>
        <v>-4.3388695158097019E-4</v>
      </c>
      <c r="AC28" s="110">
        <f t="shared" si="12"/>
        <v>3.5873722548565214E-3</v>
      </c>
      <c r="AD28" s="110">
        <f t="shared" si="12"/>
        <v>1.3211689640887853E-3</v>
      </c>
      <c r="AE28" s="110">
        <f t="shared" si="12"/>
        <v>5.950680702520902E-4</v>
      </c>
      <c r="AF28" s="110">
        <f t="shared" si="12"/>
        <v>-3.5846778756988265E-3</v>
      </c>
      <c r="AG28" s="110">
        <f t="shared" si="12"/>
        <v>2.6987305795266713E-2</v>
      </c>
      <c r="AH28" s="110">
        <f t="shared" si="12"/>
        <v>2.2059826980988639E-2</v>
      </c>
      <c r="AI28" s="110">
        <f t="shared" si="12"/>
        <v>-8.3333262034671854E-4</v>
      </c>
      <c r="AJ28" s="110">
        <f t="shared" si="12"/>
        <v>-6.1013930491936163E-3</v>
      </c>
      <c r="AK28" s="110">
        <f t="shared" si="12"/>
        <v>-1.6543291906209092E-2</v>
      </c>
      <c r="AL28" s="110">
        <f t="shared" si="12"/>
        <v>-1.946759151935884E-2</v>
      </c>
      <c r="AM28" s="110">
        <f t="shared" si="12"/>
        <v>-1.0616473376296827E-2</v>
      </c>
      <c r="AN28" s="110">
        <f t="shared" si="12"/>
        <v>-1.7697109804565618E-2</v>
      </c>
      <c r="AO28" s="110">
        <f t="shared" si="12"/>
        <v>0.15780012060296472</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39082</v>
      </c>
      <c r="AR31" s="1">
        <v>25569</v>
      </c>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125669823.58254153</v>
      </c>
      <c r="F32" s="76">
        <f>股权价值增加表!F29</f>
        <v>-20338180.75667607</v>
      </c>
      <c r="G32" s="76">
        <f>股权价值增加表!G29</f>
        <v>23362554.866756171</v>
      </c>
      <c r="H32" s="76">
        <f>股权价值增加表!H29</f>
        <v>16861683.201518223</v>
      </c>
      <c r="I32" s="76">
        <f>股权价值增加表!I29</f>
        <v>186780840.72089338</v>
      </c>
      <c r="J32" s="76">
        <f>股权价值增加表!J29</f>
        <v>16029439.061266135</v>
      </c>
      <c r="K32" s="76">
        <f>股权价值增加表!K29</f>
        <v>9378368.4251171835</v>
      </c>
      <c r="L32" s="76">
        <f>股权价值增加表!L29</f>
        <v>1411781.2142898608</v>
      </c>
      <c r="M32" s="76">
        <f>股权价值增加表!M29</f>
        <v>77889990.971647665</v>
      </c>
      <c r="N32" s="76">
        <f>股权价值增加表!N29</f>
        <v>38211642.302216485</v>
      </c>
      <c r="O32" s="76">
        <f>股权价值增加表!O29</f>
        <v>20663850.457550343</v>
      </c>
      <c r="P32" s="76">
        <f>股权价值增加表!P29</f>
        <v>9421127.4427373875</v>
      </c>
      <c r="Q32" s="76">
        <f>股权价值增加表!Q29</f>
        <v>42205994.904946506</v>
      </c>
      <c r="R32" s="76">
        <f>股权价值增加表!R29</f>
        <v>38330221.472729146</v>
      </c>
      <c r="S32" s="76">
        <f>股权价值增加表!S29</f>
        <v>16109805.796877244</v>
      </c>
      <c r="T32" s="76">
        <f>股权价值增加表!T29</f>
        <v>9832471.6397147924</v>
      </c>
      <c r="U32" s="76">
        <f>股权价值增加表!U29</f>
        <v>73434225.708656102</v>
      </c>
      <c r="V32" s="76">
        <f>股权价值增加表!V29</f>
        <v>19783547.495942906</v>
      </c>
      <c r="W32" s="76">
        <f>股权价值增加表!W29</f>
        <v>9359893.9660202451</v>
      </c>
      <c r="X32" s="76">
        <f>股权价值增加表!X29</f>
        <v>3943475.1579398075</v>
      </c>
      <c r="Y32" s="76">
        <f>股权价值增加表!Y29</f>
        <v>112608953.15092748</v>
      </c>
      <c r="Z32" s="76">
        <f>股权价值增加表!Z29</f>
        <v>706961.50624240283</v>
      </c>
      <c r="AA32" s="76">
        <f>股权价值增加表!AA29</f>
        <v>2067206.9111748051</v>
      </c>
      <c r="AB32" s="76">
        <f>股权价值增加表!AB29</f>
        <v>2324360.675783548</v>
      </c>
      <c r="AC32" s="76">
        <f>股权价值增加表!AC29</f>
        <v>92125139.153420478</v>
      </c>
      <c r="AD32" s="76">
        <f>股权价值增加表!AD29</f>
        <v>2121059.1767763556</v>
      </c>
      <c r="AE32" s="76">
        <f>股权价值增加表!AE29</f>
        <v>35168.6</v>
      </c>
      <c r="AF32" s="76">
        <f>股权价值增加表!AF29</f>
        <v>-1612.29</v>
      </c>
      <c r="AG32" s="76">
        <f>股权价值增加表!AG29</f>
        <v>21195775.547557056</v>
      </c>
      <c r="AH32" s="76">
        <f>股权价值增加表!AH29</f>
        <v>2750000</v>
      </c>
      <c r="AI32" s="76">
        <f>股权价值增加表!AI29</f>
        <v>2750000</v>
      </c>
      <c r="AJ32" s="76">
        <f>股权价值增加表!AJ29</f>
        <v>2750000</v>
      </c>
      <c r="AK32" s="76">
        <f>股权价值增加表!AK29</f>
        <v>6901693.4377378095</v>
      </c>
      <c r="AL32" s="76">
        <f>股权价值增加表!AL29</f>
        <v>0</v>
      </c>
      <c r="AM32" s="76">
        <f>股权价值增加表!AM29</f>
        <v>1582174.8644229167</v>
      </c>
      <c r="AN32" s="76">
        <f>股权价值增加表!AN29</f>
        <v>0</v>
      </c>
      <c r="AO32" s="76">
        <f>股权价值增加表!AO29</f>
        <v>329802.27489044552</v>
      </c>
      <c r="AP32" s="76">
        <f>股权价值增加表!AP29</f>
        <v>918016.1266667333</v>
      </c>
      <c r="AQ32" s="76">
        <f>股权价值增加表!AQ29</f>
        <v>-35897.55758472703</v>
      </c>
      <c r="AR32" s="76" t="e">
        <f>股权价值增加表!AR29</f>
        <v>#DIV/0!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6829992911.9399996</v>
      </c>
      <c r="F34" s="76">
        <f>资产资本表!F4</f>
        <v>7654387503.7600002</v>
      </c>
      <c r="G34" s="76">
        <f>资产资本表!G4</f>
        <v>7044627370.4499998</v>
      </c>
      <c r="H34" s="76">
        <f>资产资本表!H4</f>
        <v>7041810087.2399998</v>
      </c>
      <c r="I34" s="76">
        <f>资产资本表!I4</f>
        <v>3674825674.4200001</v>
      </c>
      <c r="J34" s="76">
        <f>资产资本表!J4</f>
        <v>1277412150.8800001</v>
      </c>
      <c r="K34" s="76">
        <f>资产资本表!K4</f>
        <v>1705002086.8399999</v>
      </c>
      <c r="L34" s="76">
        <f>资产资本表!L4</f>
        <v>2520224370.3200002</v>
      </c>
      <c r="M34" s="76">
        <f>资产资本表!M4</f>
        <v>1768620015.1700001</v>
      </c>
      <c r="N34" s="76">
        <f>资产资本表!N4</f>
        <v>2119660140.5999999</v>
      </c>
      <c r="O34" s="76">
        <f>资产资本表!O4</f>
        <v>2631213714.1100001</v>
      </c>
      <c r="P34" s="76">
        <f>资产资本表!P4</f>
        <v>2104289189.3299999</v>
      </c>
      <c r="Q34" s="76">
        <f>资产资本表!Q4</f>
        <v>2450368179.3000002</v>
      </c>
      <c r="R34" s="76">
        <f>资产资本表!R4</f>
        <v>1971342713.9000001</v>
      </c>
      <c r="S34" s="76">
        <f>资产资本表!S4</f>
        <v>2037323170.8299999</v>
      </c>
      <c r="T34" s="76">
        <f>资产资本表!T4</f>
        <v>2117903890.3199999</v>
      </c>
      <c r="U34" s="76">
        <f>资产资本表!U4</f>
        <v>1986479386.23</v>
      </c>
      <c r="V34" s="76">
        <f>资产资本表!V4</f>
        <v>2155489106.2600002</v>
      </c>
      <c r="W34" s="76">
        <f>资产资本表!W4</f>
        <v>2244946439.2800002</v>
      </c>
      <c r="X34" s="76">
        <f>资产资本表!X4</f>
        <v>2727202957.9400001</v>
      </c>
      <c r="Y34" s="76">
        <f>资产资本表!Y4</f>
        <v>3966308906.6799998</v>
      </c>
      <c r="Z34" s="76">
        <f>资产资本表!Z4</f>
        <v>3282712333.8699999</v>
      </c>
      <c r="AA34" s="76">
        <f>资产资本表!AA4</f>
        <v>4205075203.1999998</v>
      </c>
      <c r="AB34" s="76">
        <f>资产资本表!AB4</f>
        <v>4373486393.9899998</v>
      </c>
      <c r="AC34" s="76">
        <f>资产资本表!AC4</f>
        <v>4561781414.4200001</v>
      </c>
      <c r="AD34" s="76">
        <f>资产资本表!AD4</f>
        <v>4664304989.1999998</v>
      </c>
      <c r="AE34" s="76">
        <f>资产资本表!AE4</f>
        <v>3314997474.6100001</v>
      </c>
      <c r="AF34" s="76">
        <f>资产资本表!AF4</f>
        <v>3400529590.4000001</v>
      </c>
      <c r="AG34" s="76">
        <f>资产资本表!AG4</f>
        <v>3843605989.27</v>
      </c>
      <c r="AH34" s="76">
        <f>资产资本表!AH4</f>
        <v>3878098235.4200001</v>
      </c>
      <c r="AI34" s="76">
        <f>资产资本表!AI4</f>
        <v>3573786980.6100001</v>
      </c>
      <c r="AJ34" s="76">
        <f>资产资本表!AJ4</f>
        <v>3318805332.2199998</v>
      </c>
      <c r="AK34" s="76">
        <f>资产资本表!AK4</f>
        <v>996114745.55999994</v>
      </c>
      <c r="AL34" s="76">
        <f>资产资本表!AL4</f>
        <v>993882210.94000006</v>
      </c>
      <c r="AM34" s="76">
        <f>资产资本表!AM4</f>
        <v>294729709.85000002</v>
      </c>
      <c r="AN34" s="76">
        <f>资产资本表!AN4</f>
        <v>570681776.80999994</v>
      </c>
      <c r="AO34" s="76">
        <f>资产资本表!AO4</f>
        <v>102751798.97</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787969.38</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72180.490000000005</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52500</v>
      </c>
      <c r="AL35" s="76">
        <f>利润表!AL12</f>
        <v>0</v>
      </c>
      <c r="AM35" s="76">
        <f>利润表!AM12</f>
        <v>0</v>
      </c>
      <c r="AN35" s="76">
        <f>利润表!AN12</f>
        <v>0</v>
      </c>
      <c r="AO35" s="76">
        <f>利润表!AO12</f>
        <v>-52500</v>
      </c>
      <c r="AP35" s="76">
        <f>利润表!AP12</f>
        <v>140750</v>
      </c>
      <c r="AQ35" s="76">
        <f>利润表!AQ12</f>
        <v>-96500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12404685.720000001</v>
      </c>
      <c r="F36" s="76">
        <f>资产资本表!F13</f>
        <v>17351259.440000001</v>
      </c>
      <c r="G36" s="76">
        <f>资产资本表!G13</f>
        <v>11291568.859999999</v>
      </c>
      <c r="H36" s="76">
        <f>资产资本表!H13</f>
        <v>13930884.34</v>
      </c>
      <c r="I36" s="76">
        <f>资产资本表!I13</f>
        <v>32877350.920000002</v>
      </c>
      <c r="J36" s="76">
        <f>资产资本表!J13</f>
        <v>0</v>
      </c>
      <c r="K36" s="76">
        <f>资产资本表!K13</f>
        <v>0</v>
      </c>
      <c r="L36" s="76">
        <f>资产资本表!L13</f>
        <v>478453.62</v>
      </c>
      <c r="M36" s="76">
        <f>资产资本表!M13</f>
        <v>233770.83</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2000000</v>
      </c>
      <c r="X36" s="76">
        <f>资产资本表!X13</f>
        <v>9500000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170724094.61000001</v>
      </c>
      <c r="F37" s="76">
        <f>资产资本表!F11</f>
        <v>10557141.130000001</v>
      </c>
      <c r="G37" s="76">
        <f>资产资本表!G11</f>
        <v>10557141.130000001</v>
      </c>
      <c r="H37" s="76">
        <f>资产资本表!H11</f>
        <v>10557141.130000001</v>
      </c>
      <c r="I37" s="76">
        <f>资产资本表!I11</f>
        <v>14662256.279999999</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1379351197.6199999</v>
      </c>
      <c r="F38" s="76">
        <f>资产资本表!F8</f>
        <v>1771090329.23</v>
      </c>
      <c r="G38" s="76">
        <f>资产资本表!G8</f>
        <v>1753429863.8099999</v>
      </c>
      <c r="H38" s="76">
        <f>资产资本表!H8</f>
        <v>1537615893.6600001</v>
      </c>
      <c r="I38" s="76">
        <f>资产资本表!I8</f>
        <v>1508452876.5799999</v>
      </c>
      <c r="J38" s="76">
        <f>资产资本表!J8</f>
        <v>663551249.78999996</v>
      </c>
      <c r="K38" s="76">
        <f>资产资本表!K8</f>
        <v>671582413.78999996</v>
      </c>
      <c r="L38" s="76">
        <f>资产资本表!L8</f>
        <v>678549080.78999996</v>
      </c>
      <c r="M38" s="76">
        <f>资产资本表!M8</f>
        <v>612601968</v>
      </c>
      <c r="N38" s="76">
        <f>资产资本表!N8</f>
        <v>628801281.87</v>
      </c>
      <c r="O38" s="76">
        <f>资产资本表!O8</f>
        <v>510313758</v>
      </c>
      <c r="P38" s="76">
        <f>资产资本表!P8</f>
        <v>488313758</v>
      </c>
      <c r="Q38" s="76">
        <f>资产资本表!Q8</f>
        <v>438243758</v>
      </c>
      <c r="R38" s="76">
        <f>资产资本表!R8</f>
        <v>457871628</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192126451.90000001</v>
      </c>
      <c r="F40" s="76">
        <f>资产资本表!F10</f>
        <v>69140271.060000002</v>
      </c>
      <c r="G40" s="76">
        <f>资产资本表!G10</f>
        <v>70432597.150000006</v>
      </c>
      <c r="H40" s="76">
        <f>资产资本表!H10</f>
        <v>71724923.239999995</v>
      </c>
      <c r="I40" s="76">
        <f>资产资本表!I10</f>
        <v>73017249.329999998</v>
      </c>
      <c r="J40" s="76">
        <f>资产资本表!J10</f>
        <v>4106473.79</v>
      </c>
      <c r="K40" s="76">
        <f>资产资本表!K10</f>
        <v>4282548.5</v>
      </c>
      <c r="L40" s="76">
        <f>资产资本表!L10</f>
        <v>4458623.2</v>
      </c>
      <c r="M40" s="76">
        <f>资产资本表!M10</f>
        <v>4634697.91</v>
      </c>
      <c r="N40" s="76">
        <f>资产资本表!N10</f>
        <v>4810772.6100000003</v>
      </c>
      <c r="O40" s="76">
        <f>资产资本表!O10</f>
        <v>4986847.32</v>
      </c>
      <c r="P40" s="76">
        <f>资产资本表!P10</f>
        <v>5162922.0199999996</v>
      </c>
      <c r="Q40" s="76">
        <f>资产资本表!Q10</f>
        <v>5338996.7300000004</v>
      </c>
      <c r="R40" s="76">
        <f>资产资本表!R10</f>
        <v>5515071.4299999997</v>
      </c>
      <c r="S40" s="76">
        <f>资产资本表!S10</f>
        <v>5691146.1299999999</v>
      </c>
      <c r="T40" s="76">
        <f>资产资本表!T10</f>
        <v>5867220.8399999999</v>
      </c>
      <c r="U40" s="76">
        <f>资产资本表!U10</f>
        <v>6043295.54</v>
      </c>
      <c r="V40" s="76">
        <f>资产资本表!V10</f>
        <v>2443187.29</v>
      </c>
      <c r="W40" s="76">
        <f>资产资本表!W10</f>
        <v>2537059.54</v>
      </c>
      <c r="X40" s="76">
        <f>资产资本表!X10</f>
        <v>2630931.79</v>
      </c>
      <c r="Y40" s="76">
        <f>资产资本表!Y10</f>
        <v>2724804.04</v>
      </c>
      <c r="Z40" s="76">
        <f>资产资本表!Z10</f>
        <v>2818676.29</v>
      </c>
      <c r="AA40" s="76">
        <f>资产资本表!AA10</f>
        <v>2912548.54</v>
      </c>
      <c r="AB40" s="76">
        <f>资产资本表!AB10</f>
        <v>3006420.79</v>
      </c>
      <c r="AC40" s="76">
        <f>资产资本表!AC10</f>
        <v>3100293.04</v>
      </c>
      <c r="AD40" s="76">
        <f>资产资本表!AD10</f>
        <v>3194165.29</v>
      </c>
      <c r="AE40" s="76">
        <f>资产资本表!AE10</f>
        <v>3288037.54</v>
      </c>
      <c r="AF40" s="76">
        <f>资产资本表!AF10</f>
        <v>3381909.79</v>
      </c>
      <c r="AG40" s="76">
        <f>资产资本表!AG10</f>
        <v>3475782.04</v>
      </c>
      <c r="AH40" s="76">
        <f>资产资本表!AH10</f>
        <v>3569654.29</v>
      </c>
      <c r="AI40" s="76">
        <f>资产资本表!AI10</f>
        <v>3663526.54</v>
      </c>
      <c r="AJ40" s="76">
        <f>资产资本表!AJ10</f>
        <v>3757398.79</v>
      </c>
      <c r="AK40" s="76">
        <f>资产资本表!AK10</f>
        <v>3851271.04</v>
      </c>
      <c r="AL40" s="76">
        <f>资产资本表!AL10</f>
        <v>3921227.93</v>
      </c>
      <c r="AM40" s="76">
        <f>资产资本表!AM10</f>
        <v>4226760.16</v>
      </c>
      <c r="AN40" s="76">
        <f>资产资本表!AN10</f>
        <v>4532292.3899999997</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8585387311.1699991</v>
      </c>
      <c r="F43" s="76">
        <f t="shared" ref="F43:BQ43" si="14">SUM(F34:F42)</f>
        <v>9522526504.6199989</v>
      </c>
      <c r="G43" s="76">
        <f t="shared" si="14"/>
        <v>8890338541.3999996</v>
      </c>
      <c r="H43" s="76">
        <f t="shared" si="14"/>
        <v>8675638929.6100006</v>
      </c>
      <c r="I43" s="76">
        <f t="shared" si="14"/>
        <v>5303835407.5300007</v>
      </c>
      <c r="J43" s="76">
        <f t="shared" si="14"/>
        <v>1945069874.46</v>
      </c>
      <c r="K43" s="76">
        <f t="shared" si="14"/>
        <v>2380867049.1300001</v>
      </c>
      <c r="L43" s="76">
        <f t="shared" si="14"/>
        <v>3203710527.9299998</v>
      </c>
      <c r="M43" s="76">
        <f t="shared" si="14"/>
        <v>2386090451.9099998</v>
      </c>
      <c r="N43" s="76">
        <f t="shared" si="14"/>
        <v>2753272195.0799999</v>
      </c>
      <c r="O43" s="76">
        <f t="shared" si="14"/>
        <v>3146514319.4300003</v>
      </c>
      <c r="P43" s="76">
        <f t="shared" si="14"/>
        <v>2597765869.3499999</v>
      </c>
      <c r="Q43" s="76">
        <f t="shared" si="14"/>
        <v>2893950934.0300002</v>
      </c>
      <c r="R43" s="76">
        <f t="shared" si="14"/>
        <v>2434729413.3299999</v>
      </c>
      <c r="S43" s="76">
        <f t="shared" si="14"/>
        <v>2043014316.96</v>
      </c>
      <c r="T43" s="76">
        <f t="shared" si="14"/>
        <v>2123771111.1599998</v>
      </c>
      <c r="U43" s="76">
        <f t="shared" si="14"/>
        <v>1992522681.77</v>
      </c>
      <c r="V43" s="76">
        <f t="shared" si="14"/>
        <v>2157932293.5500002</v>
      </c>
      <c r="W43" s="76">
        <f t="shared" si="14"/>
        <v>2249483498.8200002</v>
      </c>
      <c r="X43" s="76">
        <f t="shared" si="14"/>
        <v>2739333889.73</v>
      </c>
      <c r="Y43" s="76">
        <f t="shared" si="14"/>
        <v>3969105891.2099996</v>
      </c>
      <c r="Z43" s="76">
        <f t="shared" si="14"/>
        <v>3285531010.1599998</v>
      </c>
      <c r="AA43" s="76">
        <f t="shared" si="14"/>
        <v>4207987751.7399998</v>
      </c>
      <c r="AB43" s="76">
        <f t="shared" si="14"/>
        <v>4376492814.7799997</v>
      </c>
      <c r="AC43" s="76">
        <f t="shared" si="14"/>
        <v>4564881707.46</v>
      </c>
      <c r="AD43" s="76">
        <f t="shared" si="14"/>
        <v>4667499154.4899998</v>
      </c>
      <c r="AE43" s="76">
        <f t="shared" si="14"/>
        <v>3318285512.1500001</v>
      </c>
      <c r="AF43" s="76">
        <f t="shared" si="14"/>
        <v>3403911500.1900001</v>
      </c>
      <c r="AG43" s="76">
        <f t="shared" si="14"/>
        <v>3847081771.3099999</v>
      </c>
      <c r="AH43" s="76">
        <f t="shared" si="14"/>
        <v>3881667889.71</v>
      </c>
      <c r="AI43" s="76">
        <f t="shared" si="14"/>
        <v>3577450507.1500001</v>
      </c>
      <c r="AJ43" s="76">
        <f t="shared" si="14"/>
        <v>3322562731.0099998</v>
      </c>
      <c r="AK43" s="76">
        <f t="shared" si="14"/>
        <v>1000018516.5999999</v>
      </c>
      <c r="AL43" s="76">
        <f t="shared" si="14"/>
        <v>997803438.87</v>
      </c>
      <c r="AM43" s="76">
        <f t="shared" si="14"/>
        <v>298956470.01000005</v>
      </c>
      <c r="AN43" s="76">
        <f t="shared" si="14"/>
        <v>575214069.19999993</v>
      </c>
      <c r="AO43" s="76">
        <f t="shared" si="14"/>
        <v>102699298.97</v>
      </c>
      <c r="AP43" s="76">
        <f t="shared" si="14"/>
        <v>140750</v>
      </c>
      <c r="AQ43" s="76">
        <f t="shared" si="14"/>
        <v>-96500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1.4637641730972239E-2</v>
      </c>
      <c r="F44" s="110">
        <f t="shared" ref="F44:BQ44" si="16">F32/F43</f>
        <v>-2.13579670760787E-3</v>
      </c>
      <c r="G44" s="110">
        <f t="shared" si="16"/>
        <v>2.6278588557637952E-3</v>
      </c>
      <c r="H44" s="110">
        <f t="shared" si="16"/>
        <v>1.9435667318944327E-3</v>
      </c>
      <c r="I44" s="110">
        <f t="shared" si="16"/>
        <v>3.5216183453904981E-2</v>
      </c>
      <c r="J44" s="110">
        <f t="shared" si="16"/>
        <v>8.2410607823106136E-3</v>
      </c>
      <c r="K44" s="110">
        <f t="shared" si="16"/>
        <v>3.9390559118133717E-3</v>
      </c>
      <c r="L44" s="110">
        <f t="shared" si="16"/>
        <v>4.4067065422482134E-4</v>
      </c>
      <c r="M44" s="110">
        <f t="shared" si="16"/>
        <v>3.2643352186962932E-2</v>
      </c>
      <c r="N44" s="110">
        <f t="shared" si="16"/>
        <v>1.3878628626148675E-2</v>
      </c>
      <c r="O44" s="110">
        <f t="shared" si="16"/>
        <v>6.5672195832541629E-3</v>
      </c>
      <c r="P44" s="110">
        <f t="shared" si="16"/>
        <v>3.6266268465120358E-3</v>
      </c>
      <c r="Q44" s="110">
        <f t="shared" si="16"/>
        <v>1.4584212333611381E-2</v>
      </c>
      <c r="R44" s="110">
        <f t="shared" si="16"/>
        <v>1.5743113490506767E-2</v>
      </c>
      <c r="S44" s="110">
        <f t="shared" si="16"/>
        <v>7.8853122384617419E-3</v>
      </c>
      <c r="T44" s="110">
        <f t="shared" si="16"/>
        <v>4.6297228491559593E-3</v>
      </c>
      <c r="U44" s="110">
        <f t="shared" si="16"/>
        <v>3.6854900765005562E-2</v>
      </c>
      <c r="V44" s="110">
        <f t="shared" si="16"/>
        <v>9.1678258651002997E-3</v>
      </c>
      <c r="W44" s="110">
        <f t="shared" si="16"/>
        <v>4.1609080355246506E-3</v>
      </c>
      <c r="X44" s="110">
        <f t="shared" si="16"/>
        <v>1.4395744793010584E-3</v>
      </c>
      <c r="Y44" s="110">
        <f t="shared" si="16"/>
        <v>2.8371365299250845E-2</v>
      </c>
      <c r="Z44" s="110">
        <f t="shared" si="16"/>
        <v>2.1517419986487207E-4</v>
      </c>
      <c r="AA44" s="110">
        <f t="shared" si="16"/>
        <v>4.9125782514932857E-4</v>
      </c>
      <c r="AB44" s="110">
        <f t="shared" si="16"/>
        <v>5.3110122057869536E-4</v>
      </c>
      <c r="AC44" s="110">
        <f t="shared" si="16"/>
        <v>2.0181276330308442E-2</v>
      </c>
      <c r="AD44" s="110">
        <f t="shared" si="16"/>
        <v>4.5443161456943336E-4</v>
      </c>
      <c r="AE44" s="110">
        <f t="shared" si="16"/>
        <v>1.0598424961091845E-5</v>
      </c>
      <c r="AF44" s="110">
        <f t="shared" si="16"/>
        <v>-4.7365802545395344E-7</v>
      </c>
      <c r="AG44" s="110">
        <f t="shared" si="16"/>
        <v>5.5095723999491484E-3</v>
      </c>
      <c r="AH44" s="110">
        <f t="shared" si="16"/>
        <v>7.0845834268563684E-4</v>
      </c>
      <c r="AI44" s="110">
        <f t="shared" si="16"/>
        <v>7.6870385614106118E-4</v>
      </c>
      <c r="AJ44" s="110">
        <f t="shared" si="16"/>
        <v>8.2767436543298891E-4</v>
      </c>
      <c r="AK44" s="110">
        <f t="shared" si="16"/>
        <v>6.9015656442074028E-3</v>
      </c>
      <c r="AL44" s="110">
        <f t="shared" si="16"/>
        <v>0</v>
      </c>
      <c r="AM44" s="110">
        <f t="shared" si="16"/>
        <v>5.2923252150053586E-3</v>
      </c>
      <c r="AN44" s="110">
        <f t="shared" si="16"/>
        <v>0</v>
      </c>
      <c r="AO44" s="110">
        <f t="shared" si="16"/>
        <v>3.211339105506316E-3</v>
      </c>
      <c r="AP44" s="110">
        <f t="shared" si="16"/>
        <v>6.5223170633515686</v>
      </c>
      <c r="AQ44" s="110">
        <f t="shared" si="16"/>
        <v>0.37199541538577235</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0.2579395083955901</v>
      </c>
      <c r="F46" s="57">
        <f>F43/资产资本表!F70</f>
        <v>0.29491980668373596</v>
      </c>
      <c r="G46" s="57">
        <f>G43/资产资本表!G70</f>
        <v>0.28776374730235899</v>
      </c>
      <c r="H46" s="57">
        <f>H43/资产资本表!H70</f>
        <v>0.2746283202249275</v>
      </c>
      <c r="I46" s="57">
        <f>I43/资产资本表!I70</f>
        <v>0.19977978956164161</v>
      </c>
      <c r="J46" s="57">
        <f>J43/资产资本表!J70</f>
        <v>0.23897129363771316</v>
      </c>
      <c r="K46" s="57">
        <f>K43/资产资本表!K70</f>
        <v>0.25060033202551746</v>
      </c>
      <c r="L46" s="57">
        <f>L43/资产资本表!L70</f>
        <v>0.35291469197995784</v>
      </c>
      <c r="M46" s="57">
        <f>M43/资产资本表!M70</f>
        <v>0.27261010522746132</v>
      </c>
      <c r="N46" s="57">
        <f>N43/资产资本表!N70</f>
        <v>0.30039906263146882</v>
      </c>
      <c r="O46" s="57">
        <f>O43/资产资本表!O70</f>
        <v>0.36166406504156995</v>
      </c>
      <c r="P46" s="57">
        <f>P43/资产资本表!P70</f>
        <v>0.30658930242814814</v>
      </c>
      <c r="Q46" s="57">
        <f>Q43/资产资本表!Q70</f>
        <v>0.34887521815261757</v>
      </c>
      <c r="R46" s="57">
        <f>R43/资产资本表!R70</f>
        <v>0.31494368461785865</v>
      </c>
      <c r="S46" s="57">
        <f>S43/资产资本表!S70</f>
        <v>0.26031385340527274</v>
      </c>
      <c r="T46" s="57">
        <f>T43/资产资本表!T70</f>
        <v>0.26846618311797399</v>
      </c>
      <c r="U46" s="57">
        <f>U43/资产资本表!U70</f>
        <v>0.26096326616206239</v>
      </c>
      <c r="V46" s="57">
        <f>V43/资产资本表!V70</f>
        <v>0.28632430408927301</v>
      </c>
      <c r="W46" s="57">
        <f>W43/资产资本表!W70</f>
        <v>0.31857182394782602</v>
      </c>
      <c r="X46" s="57">
        <f>X43/资产资本表!X70</f>
        <v>0.37728611185437494</v>
      </c>
      <c r="Y46" s="57">
        <f>Y43/资产资本表!Y70</f>
        <v>0.57437065861443271</v>
      </c>
      <c r="Z46" s="57">
        <f>Z43/资产资本表!Z70</f>
        <v>0.49695636745703048</v>
      </c>
      <c r="AA46" s="57">
        <f>AA43/资产资本表!AA70</f>
        <v>0.6825122367482277</v>
      </c>
      <c r="AB46" s="57">
        <f>AB43/资产资本表!AB70</f>
        <v>0.66855741727200524</v>
      </c>
      <c r="AC46" s="57">
        <f>AC43/资产资本表!AC70</f>
        <v>0.63825319495007427</v>
      </c>
      <c r="AD46" s="57">
        <f>AD43/资产资本表!AD70</f>
        <v>0.76663462929168613</v>
      </c>
      <c r="AE46" s="57">
        <f>AE43/资产资本表!AE70</f>
        <v>0.76573740261326539</v>
      </c>
      <c r="AF46" s="57">
        <f>AF43/资产资本表!AF70</f>
        <v>0.75878087455412924</v>
      </c>
      <c r="AG46" s="57">
        <f>AG43/资产资本表!AG70</f>
        <v>0.88618142489331297</v>
      </c>
      <c r="AH46" s="57">
        <f>AH43/资产资本表!AH70</f>
        <v>0.91813191860451082</v>
      </c>
      <c r="AI46" s="57">
        <f>AI43/资产资本表!AI70</f>
        <v>0.8905279942382166</v>
      </c>
      <c r="AJ46" s="57">
        <f>AJ43/资产资本表!AJ70</f>
        <v>0.83090746513504798</v>
      </c>
      <c r="AK46" s="57">
        <f>AK43/资产资本表!AK70</f>
        <v>0.71397836254753588</v>
      </c>
      <c r="AL46" s="57">
        <f>AL43/资产资本表!AL70</f>
        <v>0.6588902934569556</v>
      </c>
      <c r="AM46" s="57">
        <f>AM43/资产资本表!AM70</f>
        <v>0.26646080980250286</v>
      </c>
      <c r="AN46" s="57">
        <f>AN43/资产资本表!AN70</f>
        <v>0.47454476725086098</v>
      </c>
      <c r="AO46" s="57">
        <f>AO43/资产资本表!AO70</f>
        <v>0.12816451062173492</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39082</v>
      </c>
      <c r="AR48" s="1">
        <v>25569</v>
      </c>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23416550017.470001</v>
      </c>
      <c r="F49" s="76">
        <f>利润表!F4</f>
        <v>15936585490.809999</v>
      </c>
      <c r="G49" s="76">
        <f>利润表!G4</f>
        <v>9905427837.3400002</v>
      </c>
      <c r="H49" s="76">
        <f>利润表!H4</f>
        <v>3980952720.77</v>
      </c>
      <c r="I49" s="76">
        <f>利润表!I4</f>
        <v>20164545252.650002</v>
      </c>
      <c r="J49" s="76">
        <f>利润表!J4</f>
        <v>9108594167.6399994</v>
      </c>
      <c r="K49" s="76">
        <f>利润表!K4</f>
        <v>5630553788.9300003</v>
      </c>
      <c r="L49" s="76">
        <f>利润表!L4</f>
        <v>2381520488.8499999</v>
      </c>
      <c r="M49" s="76">
        <f>利润表!M4</f>
        <v>12026466467.639999</v>
      </c>
      <c r="N49" s="76">
        <f>利润表!N4</f>
        <v>8774967409.0100002</v>
      </c>
      <c r="O49" s="76">
        <f>利润表!O4</f>
        <v>5589949438.3699999</v>
      </c>
      <c r="P49" s="76">
        <f>利润表!P4</f>
        <v>2261383751.4200001</v>
      </c>
      <c r="Q49" s="76">
        <f>利润表!Q4</f>
        <v>12767230041.15</v>
      </c>
      <c r="R49" s="76">
        <f>利润表!R4</f>
        <v>9307426262</v>
      </c>
      <c r="S49" s="76">
        <f>利润表!S4</f>
        <v>5849589980.8900003</v>
      </c>
      <c r="T49" s="76">
        <f>利润表!T4</f>
        <v>2390695057.27</v>
      </c>
      <c r="U49" s="76">
        <f>利润表!U4</f>
        <v>11956507239.129999</v>
      </c>
      <c r="V49" s="76">
        <f>利润表!V4</f>
        <v>8565695458.21</v>
      </c>
      <c r="W49" s="76">
        <f>利润表!W4</f>
        <v>5414648582.5299997</v>
      </c>
      <c r="X49" s="76">
        <f>利润表!X4</f>
        <v>2070155415.79</v>
      </c>
      <c r="Y49" s="76">
        <f>利润表!Y4</f>
        <v>10703163376.129999</v>
      </c>
      <c r="Z49" s="76">
        <f>利润表!Z4</f>
        <v>7766650075.9799995</v>
      </c>
      <c r="AA49" s="76">
        <f>利润表!AA4</f>
        <v>4352728365.5</v>
      </c>
      <c r="AB49" s="76">
        <f>利润表!AB4</f>
        <v>1785299738.22</v>
      </c>
      <c r="AC49" s="76">
        <f>利润表!AC4</f>
        <v>8288198259.6800003</v>
      </c>
      <c r="AD49" s="76">
        <f>利润表!AD4</f>
        <v>6326671482.2600002</v>
      </c>
      <c r="AE49" s="76">
        <f>利润表!AE4</f>
        <v>4001898889.1199999</v>
      </c>
      <c r="AF49" s="76">
        <f>利润表!AF4</f>
        <v>1644797532.0899999</v>
      </c>
      <c r="AG49" s="76">
        <f>利润表!AG4</f>
        <v>6339109735.0900002</v>
      </c>
      <c r="AH49" s="76">
        <f>利润表!AH4</f>
        <v>4659762055.4300003</v>
      </c>
      <c r="AI49" s="76">
        <f>利润表!AI4</f>
        <v>2841252861.1300001</v>
      </c>
      <c r="AJ49" s="76">
        <f>利润表!AJ4</f>
        <v>1169899767.45</v>
      </c>
      <c r="AK49" s="76">
        <f>利润表!AK4</f>
        <v>4801517368.3699999</v>
      </c>
      <c r="AL49" s="76">
        <f>利润表!AL4</f>
        <v>3528348961.3000002</v>
      </c>
      <c r="AM49" s="76">
        <f>利润表!AM4</f>
        <v>2099639179.3099999</v>
      </c>
      <c r="AN49" s="76">
        <f>利润表!AN4</f>
        <v>873850113.40999997</v>
      </c>
      <c r="AO49" s="76">
        <f>利润表!AO4</f>
        <v>4442093335.0799999</v>
      </c>
      <c r="AP49" s="76">
        <f>利润表!AP4</f>
        <v>4184807996.5100002</v>
      </c>
      <c r="AQ49" s="76">
        <f>利润表!AQ4</f>
        <v>3377159073.3800001</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3499528527.2600021</v>
      </c>
      <c r="F50" s="76">
        <f>资产资本表!F50</f>
        <v>3318344848.5799999</v>
      </c>
      <c r="G50" s="76">
        <f>资产资本表!G50</f>
        <v>3298541998.460001</v>
      </c>
      <c r="H50" s="76">
        <f>资产资本表!H50</f>
        <v>5554944074.3600006</v>
      </c>
      <c r="I50" s="76">
        <f>资产资本表!I50</f>
        <v>4620798332.9700012</v>
      </c>
      <c r="J50" s="76">
        <f>资产资本表!J50</f>
        <v>3388862973.4599996</v>
      </c>
      <c r="K50" s="76">
        <f>资产资本表!K50</f>
        <v>4279387917.7600002</v>
      </c>
      <c r="L50" s="76">
        <f>资产资本表!L50</f>
        <v>3132470077.5700002</v>
      </c>
      <c r="M50" s="76">
        <f>资产资本表!M50</f>
        <v>3558537409.8399992</v>
      </c>
      <c r="N50" s="76">
        <f>资产资本表!N50</f>
        <v>3632153054.4399996</v>
      </c>
      <c r="O50" s="76">
        <f>资产资本表!O50</f>
        <v>2655622300.5</v>
      </c>
      <c r="P50" s="76">
        <f>资产资本表!P50</f>
        <v>3239927776.4899998</v>
      </c>
      <c r="Q50" s="76">
        <f>资产资本表!Q50</f>
        <v>2832442036.4100018</v>
      </c>
      <c r="R50" s="76">
        <f>资产资本表!R50</f>
        <v>2805899486.71</v>
      </c>
      <c r="S50" s="76">
        <f>资产资本表!S50</f>
        <v>2864235521.1499996</v>
      </c>
      <c r="T50" s="76">
        <f>资产资本表!T50</f>
        <v>2932851670.5099998</v>
      </c>
      <c r="U50" s="76">
        <f>资产资本表!U50</f>
        <v>2866406448.4300003</v>
      </c>
      <c r="V50" s="76">
        <f>资产资本表!V50</f>
        <v>2693603271.9700007</v>
      </c>
      <c r="W50" s="76">
        <f>资产资本表!W50</f>
        <v>2201195254.3699999</v>
      </c>
      <c r="X50" s="76">
        <f>资产资本表!X50</f>
        <v>1982860903.1700001</v>
      </c>
      <c r="Y50" s="76">
        <f>资产资本表!Y50</f>
        <v>542140316.42999935</v>
      </c>
      <c r="Z50" s="76">
        <f>资产资本表!Z50</f>
        <v>1179579488.7500005</v>
      </c>
      <c r="AA50" s="76">
        <f>资产资本表!AA50</f>
        <v>578272488.26999998</v>
      </c>
      <c r="AB50" s="76">
        <f>资产资本表!AB50</f>
        <v>874078937.33999968</v>
      </c>
      <c r="AC50" s="76">
        <f>资产资本表!AC50</f>
        <v>1159040017.9200001</v>
      </c>
      <c r="AD50" s="76">
        <f>资产资本表!AD50</f>
        <v>531091385.82999945</v>
      </c>
      <c r="AE50" s="76">
        <f>资产资本表!AE50</f>
        <v>162683515.96999979</v>
      </c>
      <c r="AF50" s="76">
        <f>资产资本表!AF50</f>
        <v>287253829.56999993</v>
      </c>
      <c r="AG50" s="76">
        <f>资产资本表!AG50</f>
        <v>-145701568.69000006</v>
      </c>
      <c r="AH50" s="76">
        <f>资产资本表!AH50</f>
        <v>-245960061.62000012</v>
      </c>
      <c r="AI50" s="76">
        <f>资产资本表!AI50</f>
        <v>-125078493.74000001</v>
      </c>
      <c r="AJ50" s="76">
        <f>资产资本表!AJ50</f>
        <v>144250388.26999974</v>
      </c>
      <c r="AK50" s="76">
        <f>资产资本表!AK50</f>
        <v>-138853862.82999969</v>
      </c>
      <c r="AL50" s="76">
        <f>资产资本表!AL50</f>
        <v>41974075.350000024</v>
      </c>
      <c r="AM50" s="76">
        <f>资产资本表!AM50</f>
        <v>315528155.94000018</v>
      </c>
      <c r="AN50" s="76">
        <f>资产资本表!AN50</f>
        <v>177953906.08999968</v>
      </c>
      <c r="AO50" s="76">
        <f>资产资本表!AO50</f>
        <v>224895465.88000035</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6.6913442296766386</v>
      </c>
      <c r="F51" s="44">
        <f t="shared" ref="F51:BQ51" si="18">F49/F50</f>
        <v>4.8025706242163624</v>
      </c>
      <c r="G51" s="44">
        <f t="shared" si="18"/>
        <v>3.0029715680335656</v>
      </c>
      <c r="H51" s="44">
        <f t="shared" si="18"/>
        <v>0.7166503690189997</v>
      </c>
      <c r="I51" s="44">
        <f t="shared" si="18"/>
        <v>4.3638661113542501</v>
      </c>
      <c r="J51" s="44">
        <f t="shared" si="18"/>
        <v>2.687802439630719</v>
      </c>
      <c r="K51" s="44">
        <f t="shared" si="18"/>
        <v>1.3157381142201414</v>
      </c>
      <c r="L51" s="44">
        <f t="shared" si="18"/>
        <v>0.76026919008830685</v>
      </c>
      <c r="M51" s="44">
        <f t="shared" si="18"/>
        <v>3.3796093963729721</v>
      </c>
      <c r="N51" s="44">
        <f t="shared" si="18"/>
        <v>2.415913447888256</v>
      </c>
      <c r="O51" s="44">
        <f t="shared" si="18"/>
        <v>2.1049489746028738</v>
      </c>
      <c r="P51" s="44">
        <f t="shared" si="18"/>
        <v>0.6979735066409064</v>
      </c>
      <c r="Q51" s="44">
        <f t="shared" si="18"/>
        <v>4.5074991392699122</v>
      </c>
      <c r="R51" s="44">
        <f t="shared" si="18"/>
        <v>3.3170918295841139</v>
      </c>
      <c r="S51" s="44">
        <f t="shared" si="18"/>
        <v>2.0422866547445691</v>
      </c>
      <c r="T51" s="44">
        <f t="shared" si="18"/>
        <v>0.81514352781921529</v>
      </c>
      <c r="U51" s="44">
        <f t="shared" si="18"/>
        <v>4.1712532588247786</v>
      </c>
      <c r="V51" s="44">
        <f t="shared" si="18"/>
        <v>3.1800137560515251</v>
      </c>
      <c r="W51" s="44">
        <f t="shared" si="18"/>
        <v>2.459867461453217</v>
      </c>
      <c r="X51" s="44">
        <f t="shared" si="18"/>
        <v>1.0440245266223376</v>
      </c>
      <c r="Y51" s="44">
        <f t="shared" si="18"/>
        <v>19.742422859473837</v>
      </c>
      <c r="Z51" s="44">
        <f t="shared" si="18"/>
        <v>6.5842532445272619</v>
      </c>
      <c r="AA51" s="44">
        <f t="shared" si="18"/>
        <v>7.5271233783262348</v>
      </c>
      <c r="AB51" s="44">
        <f t="shared" si="18"/>
        <v>2.0424925735575221</v>
      </c>
      <c r="AC51" s="44">
        <f t="shared" si="18"/>
        <v>7.1509163890250367</v>
      </c>
      <c r="AD51" s="44">
        <f t="shared" si="18"/>
        <v>11.912585387489502</v>
      </c>
      <c r="AE51" s="44">
        <f t="shared" si="18"/>
        <v>24.599289394863973</v>
      </c>
      <c r="AF51" s="44">
        <f t="shared" si="18"/>
        <v>5.7259376996023112</v>
      </c>
      <c r="AG51" s="44">
        <f t="shared" si="18"/>
        <v>-43.507491319996149</v>
      </c>
      <c r="AH51" s="44">
        <f t="shared" si="18"/>
        <v>-18.945197950995691</v>
      </c>
      <c r="AI51" s="44">
        <f t="shared" si="18"/>
        <v>-22.715758530288166</v>
      </c>
      <c r="AJ51" s="44">
        <f t="shared" si="18"/>
        <v>8.1102018613651676</v>
      </c>
      <c r="AK51" s="44">
        <f t="shared" si="18"/>
        <v>-34.579645610929461</v>
      </c>
      <c r="AL51" s="44">
        <f t="shared" si="18"/>
        <v>84.060195057995443</v>
      </c>
      <c r="AM51" s="44">
        <f t="shared" si="18"/>
        <v>6.6543639284896674</v>
      </c>
      <c r="AN51" s="44">
        <f t="shared" si="18"/>
        <v>4.9105419072287901</v>
      </c>
      <c r="AO51" s="44">
        <f t="shared" si="18"/>
        <v>19.75181366017495</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19005645439.339996</v>
      </c>
      <c r="F52" s="76">
        <f>资产资本表!F68</f>
        <v>18668754291.09</v>
      </c>
      <c r="G52" s="76">
        <f>资产资本表!G68</f>
        <v>17975213239.530003</v>
      </c>
      <c r="H52" s="76">
        <f>资产资本表!H68</f>
        <v>16619892287.98</v>
      </c>
      <c r="I52" s="76">
        <f>资产资本表!I68</f>
        <v>16017719001.850002</v>
      </c>
      <c r="J52" s="76">
        <f>资产资本表!J68</f>
        <v>2695549990.21</v>
      </c>
      <c r="K52" s="76">
        <f>资产资本表!K68</f>
        <v>2732339275.1900005</v>
      </c>
      <c r="L52" s="76">
        <f>资产资本表!L68</f>
        <v>2635398087.3700004</v>
      </c>
      <c r="M52" s="76">
        <f>资产资本表!M68</f>
        <v>2703826398.3299994</v>
      </c>
      <c r="N52" s="76">
        <f>资产资本表!N68</f>
        <v>2669810345.1400008</v>
      </c>
      <c r="O52" s="76">
        <f>资产资本表!O68</f>
        <v>2794624820.6000009</v>
      </c>
      <c r="P52" s="76">
        <f>资产资本表!P68</f>
        <v>2529574385.0300002</v>
      </c>
      <c r="Q52" s="76">
        <f>资产资本表!Q68</f>
        <v>2464385346.6499996</v>
      </c>
      <c r="R52" s="76">
        <f>资产资本表!R68</f>
        <v>2390729470.7999997</v>
      </c>
      <c r="S52" s="76">
        <f>资产资本表!S68</f>
        <v>2372127767.0599995</v>
      </c>
      <c r="T52" s="76">
        <f>资产资本表!T68</f>
        <v>2311018812.9599996</v>
      </c>
      <c r="U52" s="76">
        <f>资产资本表!U68</f>
        <v>2235208948.8499999</v>
      </c>
      <c r="V52" s="76">
        <f>资产资本表!V68</f>
        <v>2158479428.4900002</v>
      </c>
      <c r="W52" s="76">
        <f>资产资本表!W68</f>
        <v>2086966005.1300001</v>
      </c>
      <c r="X52" s="76">
        <f>资产资本表!X68</f>
        <v>2032643805.8500001</v>
      </c>
      <c r="Y52" s="76">
        <f>资产资本表!Y68</f>
        <v>1983878880.6100001</v>
      </c>
      <c r="Z52" s="76">
        <f>资产资本表!Z68</f>
        <v>1786832020.0999999</v>
      </c>
      <c r="AA52" s="76">
        <f>资产资本表!AA68</f>
        <v>1070207316.47</v>
      </c>
      <c r="AB52" s="76">
        <f>资产资本表!AB68</f>
        <v>870529615.61000001</v>
      </c>
      <c r="AC52" s="76">
        <f>资产资本表!AC68</f>
        <v>1034223379.05</v>
      </c>
      <c r="AD52" s="76">
        <f>资产资本表!AD68</f>
        <v>665567048.08999991</v>
      </c>
      <c r="AE52" s="76">
        <f>资产资本表!AE68</f>
        <v>628505611.20000005</v>
      </c>
      <c r="AF52" s="76">
        <f>资产资本表!AF68</f>
        <v>587919426.28999996</v>
      </c>
      <c r="AG52" s="76">
        <f>资产资本表!AG68</f>
        <v>577775528.83000004</v>
      </c>
      <c r="AH52" s="76">
        <f>资产资本表!AH68</f>
        <v>530024114.69</v>
      </c>
      <c r="AI52" s="76">
        <f>资产资本表!AI68</f>
        <v>504542384.35999995</v>
      </c>
      <c r="AJ52" s="76">
        <f>资产资本表!AJ68</f>
        <v>471908687.38</v>
      </c>
      <c r="AK52" s="76">
        <f>资产资本表!AK68</f>
        <v>479156503.72999996</v>
      </c>
      <c r="AL52" s="76">
        <f>资产资本表!AL68</f>
        <v>450113464.89999998</v>
      </c>
      <c r="AM52" s="76">
        <f>资产资本表!AM68</f>
        <v>471600387.74000001</v>
      </c>
      <c r="AN52" s="76">
        <f>资产资本表!AN68</f>
        <v>427606760.06999999</v>
      </c>
      <c r="AO52" s="76">
        <f>资产资本表!AO68</f>
        <v>444001874.39999998</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1.2320839138143567</v>
      </c>
      <c r="F53" s="44">
        <f t="shared" ref="F53:BQ53" si="20">F49/F52</f>
        <v>0.85365018159867379</v>
      </c>
      <c r="G53" s="44">
        <f t="shared" si="20"/>
        <v>0.55106037994345358</v>
      </c>
      <c r="H53" s="44">
        <f t="shared" si="20"/>
        <v>0.23952939355985739</v>
      </c>
      <c r="I53" s="44">
        <f t="shared" si="20"/>
        <v>1.2588899362213217</v>
      </c>
      <c r="J53" s="44">
        <f t="shared" si="20"/>
        <v>3.3791227024991599</v>
      </c>
      <c r="K53" s="44">
        <f t="shared" si="20"/>
        <v>2.0607081412093176</v>
      </c>
      <c r="L53" s="44">
        <f t="shared" si="20"/>
        <v>0.903666319051875</v>
      </c>
      <c r="M53" s="44">
        <f t="shared" si="20"/>
        <v>4.4479432832921768</v>
      </c>
      <c r="N53" s="44">
        <f t="shared" si="20"/>
        <v>3.286738110436775</v>
      </c>
      <c r="O53" s="44">
        <f t="shared" si="20"/>
        <v>2.0002504082712069</v>
      </c>
      <c r="P53" s="44">
        <f t="shared" si="20"/>
        <v>0.89397796119491479</v>
      </c>
      <c r="Q53" s="44">
        <f t="shared" si="20"/>
        <v>5.1806954859982959</v>
      </c>
      <c r="R53" s="44">
        <f t="shared" si="20"/>
        <v>3.8931323580018007</v>
      </c>
      <c r="S53" s="44">
        <f t="shared" si="20"/>
        <v>2.4659675006207387</v>
      </c>
      <c r="T53" s="44">
        <f t="shared" si="20"/>
        <v>1.0344766749033727</v>
      </c>
      <c r="U53" s="44">
        <f t="shared" si="20"/>
        <v>5.3491675779490517</v>
      </c>
      <c r="V53" s="44">
        <f t="shared" si="20"/>
        <v>3.9683933722742371</v>
      </c>
      <c r="W53" s="44">
        <f t="shared" si="20"/>
        <v>2.5945073226972442</v>
      </c>
      <c r="X53" s="44">
        <f t="shared" si="20"/>
        <v>1.0184545909283469</v>
      </c>
      <c r="Y53" s="44">
        <f t="shared" si="20"/>
        <v>5.3950689635039648</v>
      </c>
      <c r="Z53" s="44">
        <f t="shared" si="20"/>
        <v>4.3466033676435574</v>
      </c>
      <c r="AA53" s="44">
        <f t="shared" si="20"/>
        <v>4.06718240336569</v>
      </c>
      <c r="AB53" s="44">
        <f t="shared" si="20"/>
        <v>2.0508202204803792</v>
      </c>
      <c r="AC53" s="44">
        <f t="shared" si="20"/>
        <v>8.0139343468460726</v>
      </c>
      <c r="AD53" s="44">
        <f t="shared" si="20"/>
        <v>9.5056861670298449</v>
      </c>
      <c r="AE53" s="44">
        <f t="shared" si="20"/>
        <v>6.3673240426274171</v>
      </c>
      <c r="AF53" s="44">
        <f t="shared" si="20"/>
        <v>2.7976580778582392</v>
      </c>
      <c r="AG53" s="44">
        <f t="shared" si="20"/>
        <v>10.971578785842222</v>
      </c>
      <c r="AH53" s="44">
        <f t="shared" si="20"/>
        <v>8.7916038653361976</v>
      </c>
      <c r="AI53" s="44">
        <f t="shared" si="20"/>
        <v>5.6313462440505608</v>
      </c>
      <c r="AJ53" s="44">
        <f t="shared" si="20"/>
        <v>2.4790808025704969</v>
      </c>
      <c r="AK53" s="44">
        <f t="shared" si="20"/>
        <v>10.020770522767668</v>
      </c>
      <c r="AL53" s="44">
        <f t="shared" si="20"/>
        <v>7.8387989616882052</v>
      </c>
      <c r="AM53" s="44">
        <f t="shared" si="20"/>
        <v>4.4521574491740257</v>
      </c>
      <c r="AN53" s="44">
        <f t="shared" si="20"/>
        <v>2.0435834860677815</v>
      </c>
      <c r="AO53" s="44">
        <f t="shared" si="20"/>
        <v>10.00467248270698</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9086142508.9199982</v>
      </c>
      <c r="F54" s="76">
        <f>资产资本表!F17</f>
        <v>9522526504.6199989</v>
      </c>
      <c r="G54" s="76">
        <f>资产资本表!G17</f>
        <v>8890338541.3999996</v>
      </c>
      <c r="H54" s="76">
        <f>资产资本表!H17</f>
        <v>8675638929.6099987</v>
      </c>
      <c r="I54" s="76">
        <f>资产资本表!I17</f>
        <v>5303835407.5299997</v>
      </c>
      <c r="J54" s="76">
        <f>资产资本表!J17</f>
        <v>1945069874.46</v>
      </c>
      <c r="K54" s="76">
        <f>资产资本表!K17</f>
        <v>2380867049.1300001</v>
      </c>
      <c r="L54" s="76">
        <f>资产资本表!L17</f>
        <v>3203710527.9299998</v>
      </c>
      <c r="M54" s="76">
        <f>资产资本表!M17</f>
        <v>2386090451.9099998</v>
      </c>
      <c r="N54" s="76">
        <f>资产资本表!N17</f>
        <v>2753272195.0799999</v>
      </c>
      <c r="O54" s="76">
        <f>资产资本表!O17</f>
        <v>3146514319.4300003</v>
      </c>
      <c r="P54" s="76">
        <f>资产资本表!P17</f>
        <v>2597765869.3499999</v>
      </c>
      <c r="Q54" s="76">
        <f>资产资本表!Q17</f>
        <v>2893950934.0300002</v>
      </c>
      <c r="R54" s="76">
        <f>资产资本表!R17</f>
        <v>2434729413.3299999</v>
      </c>
      <c r="S54" s="76">
        <f>资产资本表!S17</f>
        <v>2043014316.96</v>
      </c>
      <c r="T54" s="76">
        <f>资产资本表!T17</f>
        <v>2123771111.1599998</v>
      </c>
      <c r="U54" s="76">
        <f>资产资本表!U17</f>
        <v>1992522681.77</v>
      </c>
      <c r="V54" s="76">
        <f>资产资本表!V17</f>
        <v>2158772260.1600003</v>
      </c>
      <c r="W54" s="76">
        <f>资产资本表!W17</f>
        <v>2250323465.4300003</v>
      </c>
      <c r="X54" s="76">
        <f>资产资本表!X17</f>
        <v>2740173856.3400002</v>
      </c>
      <c r="Y54" s="76">
        <f>资产资本表!Y17</f>
        <v>3969873677.3299999</v>
      </c>
      <c r="Z54" s="76">
        <f>资产资本表!Z17</f>
        <v>3286353801.2799997</v>
      </c>
      <c r="AA54" s="76">
        <f>资产资本表!AA17</f>
        <v>4207987751.7399998</v>
      </c>
      <c r="AB54" s="76">
        <f>资产资本表!AB17</f>
        <v>4376492814.7799997</v>
      </c>
      <c r="AC54" s="76">
        <f>资产资本表!AC17</f>
        <v>4564881707.46</v>
      </c>
      <c r="AD54" s="76">
        <f>资产资本表!AD17</f>
        <v>4667499154.4899998</v>
      </c>
      <c r="AE54" s="76">
        <f>资产资本表!AE17</f>
        <v>3318285512.1500001</v>
      </c>
      <c r="AF54" s="76">
        <f>资产资本表!AF17</f>
        <v>3403911500.1900001</v>
      </c>
      <c r="AG54" s="76">
        <f>资产资本表!AG17</f>
        <v>3847081771.3099999</v>
      </c>
      <c r="AH54" s="76">
        <f>资产资本表!AH17</f>
        <v>3881667889.71</v>
      </c>
      <c r="AI54" s="76">
        <f>资产资本表!AI17</f>
        <v>3577450507.1500001</v>
      </c>
      <c r="AJ54" s="76">
        <f>资产资本表!AJ17</f>
        <v>3322562731.0099998</v>
      </c>
      <c r="AK54" s="76">
        <f>资产资本表!AK17</f>
        <v>999966016.5999999</v>
      </c>
      <c r="AL54" s="76">
        <f>资产资本表!AL17</f>
        <v>997803438.87</v>
      </c>
      <c r="AM54" s="76">
        <f>资产资本表!AM17</f>
        <v>299043732.51000005</v>
      </c>
      <c r="AN54" s="76">
        <f>资产资本表!AN17</f>
        <v>575444316.69999993</v>
      </c>
      <c r="AO54" s="76">
        <f>资产资本表!AO17</f>
        <v>102963093.97</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2.5771717749838983</v>
      </c>
      <c r="F55" s="44">
        <f t="shared" ref="F55:BQ55" si="22">F49/F54</f>
        <v>1.6735669344766981</v>
      </c>
      <c r="G55" s="44">
        <f t="shared" si="22"/>
        <v>1.1141789248196785</v>
      </c>
      <c r="H55" s="44">
        <f t="shared" si="22"/>
        <v>0.45886565278587016</v>
      </c>
      <c r="I55" s="44">
        <f t="shared" si="22"/>
        <v>3.8018799044973846</v>
      </c>
      <c r="J55" s="44">
        <f t="shared" si="22"/>
        <v>4.6829135997845697</v>
      </c>
      <c r="K55" s="44">
        <f t="shared" si="22"/>
        <v>2.3649173484875932</v>
      </c>
      <c r="L55" s="44">
        <f t="shared" si="22"/>
        <v>0.74336319342458257</v>
      </c>
      <c r="M55" s="44">
        <f t="shared" si="22"/>
        <v>5.0402391317618083</v>
      </c>
      <c r="N55" s="44">
        <f t="shared" si="22"/>
        <v>3.1871049381497976</v>
      </c>
      <c r="O55" s="44">
        <f t="shared" si="22"/>
        <v>1.7765529951195755</v>
      </c>
      <c r="P55" s="44">
        <f t="shared" si="22"/>
        <v>0.87051099489032557</v>
      </c>
      <c r="Q55" s="44">
        <f t="shared" si="22"/>
        <v>4.4116954061038163</v>
      </c>
      <c r="R55" s="44">
        <f t="shared" si="22"/>
        <v>3.822776449424889</v>
      </c>
      <c r="S55" s="44">
        <f t="shared" si="22"/>
        <v>2.8632153638522588</v>
      </c>
      <c r="T55" s="44">
        <f t="shared" si="22"/>
        <v>1.1256839518662662</v>
      </c>
      <c r="U55" s="44">
        <f t="shared" si="22"/>
        <v>6.0006881470020614</v>
      </c>
      <c r="V55" s="44">
        <f t="shared" si="22"/>
        <v>3.9678550703514888</v>
      </c>
      <c r="W55" s="44">
        <f t="shared" si="22"/>
        <v>2.4061645650996879</v>
      </c>
      <c r="X55" s="44">
        <f t="shared" si="22"/>
        <v>0.75548323731366029</v>
      </c>
      <c r="Y55" s="44">
        <f t="shared" si="22"/>
        <v>2.6960967139207757</v>
      </c>
      <c r="Z55" s="44">
        <f t="shared" si="22"/>
        <v>2.3633030846998189</v>
      </c>
      <c r="AA55" s="44">
        <f t="shared" si="22"/>
        <v>1.0343966338067763</v>
      </c>
      <c r="AB55" s="44">
        <f t="shared" si="22"/>
        <v>0.40792932006898419</v>
      </c>
      <c r="AC55" s="44">
        <f t="shared" si="22"/>
        <v>1.815643600607503</v>
      </c>
      <c r="AD55" s="44">
        <f t="shared" si="22"/>
        <v>1.3554735143709506</v>
      </c>
      <c r="AE55" s="44">
        <f t="shared" si="22"/>
        <v>1.206014031784465</v>
      </c>
      <c r="AF55" s="44">
        <f t="shared" si="22"/>
        <v>0.48320807753027373</v>
      </c>
      <c r="AG55" s="44">
        <f t="shared" si="22"/>
        <v>1.6477709890038079</v>
      </c>
      <c r="AH55" s="44">
        <f t="shared" si="22"/>
        <v>1.2004535647634016</v>
      </c>
      <c r="AI55" s="44">
        <f t="shared" si="22"/>
        <v>0.79421164749907425</v>
      </c>
      <c r="AJ55" s="44">
        <f t="shared" si="22"/>
        <v>0.35210765368886549</v>
      </c>
      <c r="AK55" s="44">
        <f t="shared" si="22"/>
        <v>4.8016805458006608</v>
      </c>
      <c r="AL55" s="44">
        <f t="shared" si="22"/>
        <v>3.5361162568208941</v>
      </c>
      <c r="AM55" s="44">
        <f t="shared" si="22"/>
        <v>7.0211776775485095</v>
      </c>
      <c r="AN55" s="44">
        <f t="shared" si="22"/>
        <v>1.5185658943010638</v>
      </c>
      <c r="AO55" s="44">
        <f t="shared" si="22"/>
        <v>43.142578217145235</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1693182531.9100001</v>
      </c>
      <c r="F56" s="76">
        <f>资产资本表!F19</f>
        <v>778902588.85000002</v>
      </c>
      <c r="G56" s="76">
        <f>资产资本表!G19</f>
        <v>730480762.20000005</v>
      </c>
      <c r="H56" s="76">
        <f>资产资本表!H19</f>
        <v>739999144.57000005</v>
      </c>
      <c r="I56" s="76">
        <f>资产资本表!I19</f>
        <v>606055478.36000001</v>
      </c>
      <c r="J56" s="76">
        <f>资产资本表!J19</f>
        <v>109862456.66</v>
      </c>
      <c r="K56" s="76">
        <f>资产资本表!K19</f>
        <v>108059766.98</v>
      </c>
      <c r="L56" s="76">
        <f>资产资本表!L19</f>
        <v>106282333.42</v>
      </c>
      <c r="M56" s="76">
        <f>资产资本表!M19</f>
        <v>104304372.69</v>
      </c>
      <c r="N56" s="76">
        <f>资产资本表!N19</f>
        <v>110146517.26000001</v>
      </c>
      <c r="O56" s="76">
        <f>资产资本表!O19</f>
        <v>103340735.97</v>
      </c>
      <c r="P56" s="76">
        <f>资产资本表!P19</f>
        <v>105845182.06999999</v>
      </c>
      <c r="Q56" s="76">
        <f>资产资本表!Q19</f>
        <v>104310538.33</v>
      </c>
      <c r="R56" s="76">
        <f>资产资本表!R19</f>
        <v>99323437.510000005</v>
      </c>
      <c r="S56" s="76">
        <f>资产资本表!S19</f>
        <v>568895893.27999997</v>
      </c>
      <c r="T56" s="76">
        <f>资产资本表!T19</f>
        <v>543116797.71000004</v>
      </c>
      <c r="U56" s="76">
        <f>资产资本表!U19</f>
        <v>541123048.21000004</v>
      </c>
      <c r="V56" s="76">
        <f>资产资本表!V19</f>
        <v>525816787.92000002</v>
      </c>
      <c r="W56" s="76">
        <f>资产资本表!W19</f>
        <v>522665476.44</v>
      </c>
      <c r="X56" s="76">
        <f>资产资本表!X19</f>
        <v>504948856.80000001</v>
      </c>
      <c r="Y56" s="76">
        <f>资产资本表!Y19</f>
        <v>414463411.56</v>
      </c>
      <c r="Z56" s="76">
        <f>资产资本表!Z19</f>
        <v>358541487.23000002</v>
      </c>
      <c r="AA56" s="76">
        <f>资产资本表!AA19</f>
        <v>308971720.89999998</v>
      </c>
      <c r="AB56" s="76">
        <f>资产资本表!AB19</f>
        <v>425072082.31999999</v>
      </c>
      <c r="AC56" s="76">
        <f>资产资本表!AC19</f>
        <v>394003515.55000001</v>
      </c>
      <c r="AD56" s="76">
        <f>资产资本表!AD19</f>
        <v>224139204.03</v>
      </c>
      <c r="AE56" s="76">
        <f>资产资本表!AE19</f>
        <v>223976359.44999999</v>
      </c>
      <c r="AF56" s="76">
        <f>资产资本表!AF19</f>
        <v>206942256.94</v>
      </c>
      <c r="AG56" s="76">
        <f>资产资本表!AG19</f>
        <v>62034078.270000003</v>
      </c>
      <c r="AH56" s="76">
        <f>资产资本表!AH19</f>
        <v>62056908.75</v>
      </c>
      <c r="AI56" s="76">
        <f>资产资本表!AI19</f>
        <v>60309687.600000001</v>
      </c>
      <c r="AJ56" s="76">
        <f>资产资本表!AJ19</f>
        <v>59993899.270000003</v>
      </c>
      <c r="AK56" s="76">
        <f>资产资本表!AK19</f>
        <v>60359945.630000003</v>
      </c>
      <c r="AL56" s="76">
        <f>资产资本表!AL19</f>
        <v>24478634.120000001</v>
      </c>
      <c r="AM56" s="76">
        <f>资产资本表!AM19</f>
        <v>35780592.719999999</v>
      </c>
      <c r="AN56" s="76">
        <f>资产资本表!AN19</f>
        <v>31133700.140000001</v>
      </c>
      <c r="AO56" s="76">
        <f>资产资本表!AO19</f>
        <v>29447965.960000001</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13.829902905420886</v>
      </c>
      <c r="F57" s="117">
        <f t="shared" ref="F57:BQ57" si="24">F49/F56</f>
        <v>20.46030622948545</v>
      </c>
      <c r="G57" s="117">
        <f t="shared" si="24"/>
        <v>13.560148808721085</v>
      </c>
      <c r="H57" s="117">
        <f t="shared" si="24"/>
        <v>5.3796720577065784</v>
      </c>
      <c r="I57" s="117">
        <f t="shared" si="24"/>
        <v>33.271781169631076</v>
      </c>
      <c r="J57" s="117">
        <f t="shared" si="24"/>
        <v>82.909070528334198</v>
      </c>
      <c r="K57" s="117">
        <f t="shared" si="24"/>
        <v>52.105921993817724</v>
      </c>
      <c r="L57" s="117">
        <f t="shared" si="24"/>
        <v>22.407491557781796</v>
      </c>
      <c r="M57" s="117">
        <f t="shared" si="24"/>
        <v>115.30165186251119</v>
      </c>
      <c r="N57" s="117">
        <f t="shared" si="24"/>
        <v>79.666317440584677</v>
      </c>
      <c r="O57" s="117">
        <f t="shared" si="24"/>
        <v>54.092409792714967</v>
      </c>
      <c r="P57" s="117">
        <f t="shared" si="24"/>
        <v>21.365013571656473</v>
      </c>
      <c r="Q57" s="117">
        <f t="shared" si="24"/>
        <v>122.39635846532784</v>
      </c>
      <c r="R57" s="117">
        <f t="shared" si="24"/>
        <v>93.708257540551969</v>
      </c>
      <c r="S57" s="117">
        <f t="shared" si="24"/>
        <v>10.282355787741539</v>
      </c>
      <c r="T57" s="117">
        <f t="shared" si="24"/>
        <v>4.4018065126141135</v>
      </c>
      <c r="U57" s="117">
        <f t="shared" si="24"/>
        <v>22.09572717089274</v>
      </c>
      <c r="V57" s="117">
        <f t="shared" si="24"/>
        <v>16.290266220091134</v>
      </c>
      <c r="W57" s="117">
        <f t="shared" si="24"/>
        <v>10.359682869070426</v>
      </c>
      <c r="X57" s="117">
        <f t="shared" si="24"/>
        <v>4.0997328499942451</v>
      </c>
      <c r="Y57" s="117">
        <f t="shared" si="24"/>
        <v>25.824145334914686</v>
      </c>
      <c r="Z57" s="117">
        <f t="shared" si="24"/>
        <v>21.661789088853162</v>
      </c>
      <c r="AA57" s="117">
        <f t="shared" si="24"/>
        <v>14.087788852717622</v>
      </c>
      <c r="AB57" s="117">
        <f t="shared" si="24"/>
        <v>4.199992924672955</v>
      </c>
      <c r="AC57" s="117">
        <f t="shared" si="24"/>
        <v>21.03584849518483</v>
      </c>
      <c r="AD57" s="117">
        <f t="shared" si="24"/>
        <v>28.226527838535574</v>
      </c>
      <c r="AE57" s="117">
        <f t="shared" si="24"/>
        <v>17.86750574456665</v>
      </c>
      <c r="AF57" s="117">
        <f t="shared" si="24"/>
        <v>7.9480989354768941</v>
      </c>
      <c r="AG57" s="117">
        <f t="shared" si="24"/>
        <v>102.18753807382072</v>
      </c>
      <c r="AH57" s="117">
        <f t="shared" si="24"/>
        <v>75.088530016893571</v>
      </c>
      <c r="AI57" s="117">
        <f t="shared" si="24"/>
        <v>47.111052538929087</v>
      </c>
      <c r="AJ57" s="117">
        <f t="shared" si="24"/>
        <v>19.500312226496824</v>
      </c>
      <c r="AK57" s="117">
        <f t="shared" si="24"/>
        <v>79.54807311793796</v>
      </c>
      <c r="AL57" s="117">
        <f t="shared" si="24"/>
        <v>144.13994441042774</v>
      </c>
      <c r="AM57" s="117">
        <f t="shared" si="24"/>
        <v>58.680950193884883</v>
      </c>
      <c r="AN57" s="117">
        <f t="shared" si="24"/>
        <v>28.067660107231955</v>
      </c>
      <c r="AO57" s="117">
        <f t="shared" si="24"/>
        <v>150.84550631149941</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39082</v>
      </c>
      <c r="AR61" s="1">
        <v>25569</v>
      </c>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23416550017.470001</v>
      </c>
      <c r="F63" s="76">
        <f t="shared" ref="F63:BQ63" si="26">F49</f>
        <v>15936585490.809999</v>
      </c>
      <c r="G63" s="76">
        <f t="shared" si="26"/>
        <v>9905427837.3400002</v>
      </c>
      <c r="H63" s="76">
        <f t="shared" si="26"/>
        <v>3980952720.77</v>
      </c>
      <c r="I63" s="76">
        <f t="shared" si="26"/>
        <v>20164545252.650002</v>
      </c>
      <c r="J63" s="76">
        <f t="shared" si="26"/>
        <v>9108594167.6399994</v>
      </c>
      <c r="K63" s="76">
        <f t="shared" si="26"/>
        <v>5630553788.9300003</v>
      </c>
      <c r="L63" s="76">
        <f t="shared" si="26"/>
        <v>2381520488.8499999</v>
      </c>
      <c r="M63" s="76">
        <f t="shared" si="26"/>
        <v>12026466467.639999</v>
      </c>
      <c r="N63" s="76">
        <f t="shared" si="26"/>
        <v>8774967409.0100002</v>
      </c>
      <c r="O63" s="76">
        <f t="shared" si="26"/>
        <v>5589949438.3699999</v>
      </c>
      <c r="P63" s="76">
        <f t="shared" si="26"/>
        <v>2261383751.4200001</v>
      </c>
      <c r="Q63" s="76">
        <f t="shared" si="26"/>
        <v>12767230041.15</v>
      </c>
      <c r="R63" s="76">
        <f t="shared" si="26"/>
        <v>9307426262</v>
      </c>
      <c r="S63" s="76">
        <f t="shared" si="26"/>
        <v>5849589980.8900003</v>
      </c>
      <c r="T63" s="76">
        <f t="shared" si="26"/>
        <v>2390695057.27</v>
      </c>
      <c r="U63" s="76">
        <f t="shared" si="26"/>
        <v>11956507239.129999</v>
      </c>
      <c r="V63" s="76">
        <f t="shared" si="26"/>
        <v>8565695458.21</v>
      </c>
      <c r="W63" s="76">
        <f t="shared" si="26"/>
        <v>5414648582.5299997</v>
      </c>
      <c r="X63" s="76">
        <f t="shared" si="26"/>
        <v>2070155415.79</v>
      </c>
      <c r="Y63" s="76">
        <f t="shared" si="26"/>
        <v>10703163376.129999</v>
      </c>
      <c r="Z63" s="76">
        <f t="shared" si="26"/>
        <v>7766650075.9799995</v>
      </c>
      <c r="AA63" s="76">
        <f t="shared" si="26"/>
        <v>4352728365.5</v>
      </c>
      <c r="AB63" s="76">
        <f t="shared" si="26"/>
        <v>1785299738.22</v>
      </c>
      <c r="AC63" s="76">
        <f t="shared" si="26"/>
        <v>8288198259.6800003</v>
      </c>
      <c r="AD63" s="76">
        <f t="shared" si="26"/>
        <v>6326671482.2600002</v>
      </c>
      <c r="AE63" s="76">
        <f t="shared" si="26"/>
        <v>4001898889.1199999</v>
      </c>
      <c r="AF63" s="76">
        <f t="shared" si="26"/>
        <v>1644797532.0899999</v>
      </c>
      <c r="AG63" s="76">
        <f t="shared" si="26"/>
        <v>6339109735.0900002</v>
      </c>
      <c r="AH63" s="76">
        <f t="shared" si="26"/>
        <v>4659762055.4300003</v>
      </c>
      <c r="AI63" s="76">
        <f t="shared" si="26"/>
        <v>2841252861.1300001</v>
      </c>
      <c r="AJ63" s="76">
        <f t="shared" si="26"/>
        <v>1169899767.45</v>
      </c>
      <c r="AK63" s="76">
        <f t="shared" si="26"/>
        <v>4801517368.3699999</v>
      </c>
      <c r="AL63" s="76">
        <f t="shared" si="26"/>
        <v>3528348961.3000002</v>
      </c>
      <c r="AM63" s="76">
        <f t="shared" si="26"/>
        <v>2099639179.3099999</v>
      </c>
      <c r="AN63" s="76">
        <f t="shared" si="26"/>
        <v>873850113.40999997</v>
      </c>
      <c r="AO63" s="76">
        <f t="shared" si="26"/>
        <v>4442093335.0799999</v>
      </c>
      <c r="AP63" s="76">
        <f t="shared" si="26"/>
        <v>4184807996.5100002</v>
      </c>
      <c r="AQ63" s="76">
        <f t="shared" si="26"/>
        <v>3377159073.3800001</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8565397457.5400019</v>
      </c>
      <c r="F64" s="76">
        <f>资产资本表!F22+资产资本表!F23-资产资本表!F37</f>
        <v>7658627005.7800007</v>
      </c>
      <c r="G64" s="76">
        <f>资产资本表!G22+资产资本表!G23-资产资本表!G37</f>
        <v>7547496792.7699995</v>
      </c>
      <c r="H64" s="76">
        <f>资产资本表!H22+资产资本表!H23-资产资本表!H37</f>
        <v>7310816799.3500004</v>
      </c>
      <c r="I64" s="76">
        <f>资产资本表!I22+资产资本表!I23-资产资本表!I37</f>
        <v>7202965529.3600006</v>
      </c>
      <c r="J64" s="76">
        <f>资产资本表!J22+资产资本表!J23-资产资本表!J37</f>
        <v>4348457968.79</v>
      </c>
      <c r="K64" s="76">
        <f>资产资本表!K22+资产资本表!K23-资产资本表!K37</f>
        <v>4248314860.4699998</v>
      </c>
      <c r="L64" s="76">
        <f>资产资本表!L22+资产资本表!L23-资产资本表!L37</f>
        <v>4094849025.4999995</v>
      </c>
      <c r="M64" s="76">
        <f>资产资本表!M22+资产资本表!M23-资产资本表!M37</f>
        <v>3975757340.1599998</v>
      </c>
      <c r="N64" s="76">
        <f>资产资本表!N22+资产资本表!N23-资产资本表!N37</f>
        <v>4557424987.2600002</v>
      </c>
      <c r="O64" s="76">
        <f>资产资本表!O22+资产资本表!O23-资产资本表!O37</f>
        <v>4124939562.98</v>
      </c>
      <c r="P64" s="76">
        <f>资产资本表!P22+资产资本表!P23-资产资本表!P37</f>
        <v>3855502079.6900001</v>
      </c>
      <c r="Q64" s="76">
        <f>资产资本表!Q22+资产资本表!Q23-资产资本表!Q37</f>
        <v>4215486628.1900005</v>
      </c>
      <c r="R64" s="76">
        <f>资产资本表!R22+资产资本表!R23-资产资本表!R37</f>
        <v>4456915195.710001</v>
      </c>
      <c r="S64" s="76">
        <f>资产资本表!S22+资产资本表!S23-资产资本表!S37</f>
        <v>4246381740.3799996</v>
      </c>
      <c r="T64" s="76">
        <f>资产资本表!T22+资产资本表!T23-资产资本表!T37</f>
        <v>3917445876.6200004</v>
      </c>
      <c r="U64" s="76">
        <f>资产资本表!U22+资产资本表!U23-资产资本表!U37</f>
        <v>3916606886.5300002</v>
      </c>
      <c r="V64" s="76">
        <f>资产资本表!V22+资产资本表!V23-资产资本表!V37</f>
        <v>3817139730.8000002</v>
      </c>
      <c r="W64" s="76">
        <f>资产资本表!W22+资产资本表!W23-资产资本表!W37</f>
        <v>3311593378.96</v>
      </c>
      <c r="X64" s="76">
        <f>资产资本表!X22+资产资本表!X23-资产资本表!X37</f>
        <v>2681480695.1900001</v>
      </c>
      <c r="Y64" s="76">
        <f>资产资本表!Y22+资产资本表!Y23-资产资本表!Y37</f>
        <v>2328603554.4699998</v>
      </c>
      <c r="Z64" s="76">
        <f>资产资本表!Z22+资产资本表!Z23-资产资本表!Z37</f>
        <v>2691638050.3499999</v>
      </c>
      <c r="AA64" s="76">
        <f>资产资本表!AA22+资产资本表!AA23-资产资本表!AA37</f>
        <v>1975004823.97</v>
      </c>
      <c r="AB64" s="76">
        <f>资产资本表!AB22+资产资本表!AB23-资产资本表!AB37</f>
        <v>1679630930.1699998</v>
      </c>
      <c r="AC64" s="76">
        <f>资产资本表!AC22+资产资本表!AC23-资产资本表!AC37</f>
        <v>2059532943.9199998</v>
      </c>
      <c r="AD64" s="76">
        <f>资产资本表!AD22+资产资本表!AD23-资产资本表!AD37</f>
        <v>1737149700.27</v>
      </c>
      <c r="AE64" s="76">
        <f>资产资本表!AE22+资产资本表!AE23-资产资本表!AE37</f>
        <v>1461543355.8399999</v>
      </c>
      <c r="AF64" s="76">
        <f>资产资本表!AF22+资产资本表!AF23-资产资本表!AF37</f>
        <v>1076946242.77</v>
      </c>
      <c r="AG64" s="76">
        <f>资产资本表!AG22+资产资本表!AG23-资产资本表!AG37</f>
        <v>841245086.89999998</v>
      </c>
      <c r="AH64" s="76">
        <f>资产资本表!AH22+资产资本表!AH23-资产资本表!AH37</f>
        <v>887129611.10000002</v>
      </c>
      <c r="AI64" s="76">
        <f>资产资本表!AI22+资产资本表!AI23-资产资本表!AI37</f>
        <v>772983183.45000005</v>
      </c>
      <c r="AJ64" s="76">
        <f>资产资本表!AJ22+资产资本表!AJ23-资产资本表!AJ37</f>
        <v>661238834.63999999</v>
      </c>
      <c r="AK64" s="76">
        <f>资产资本表!AK22+资产资本表!AK23-资产资本表!AK37</f>
        <v>582458405.47000003</v>
      </c>
      <c r="AL64" s="76">
        <f>资产资本表!AL22+资产资本表!AL23-资产资本表!AL37</f>
        <v>640997932.84000003</v>
      </c>
      <c r="AM64" s="76">
        <f>资产资本表!AM22+资产资本表!AM23-资产资本表!AM37</f>
        <v>627225454.38</v>
      </c>
      <c r="AN64" s="76">
        <f>资产资本表!AN22+资产资本表!AN23-资产资本表!AN37</f>
        <v>674329287.17000008</v>
      </c>
      <c r="AO64" s="76">
        <f>资产资本表!AO22+资产资本表!AO23-资产资本表!AO37</f>
        <v>683354752.10000014</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2.9700673477549877</v>
      </c>
      <c r="F65" s="155">
        <f t="shared" ref="F65:BQ65" si="28">F63/(F64+J64)*2</f>
        <v>2.6545303084907541</v>
      </c>
      <c r="G65" s="155">
        <f t="shared" si="28"/>
        <v>1.6794821973304803</v>
      </c>
      <c r="H65" s="155">
        <f t="shared" si="28"/>
        <v>0.6980658177967185</v>
      </c>
      <c r="I65" s="155">
        <f t="shared" si="28"/>
        <v>3.6076652920041199</v>
      </c>
      <c r="J65" s="155">
        <f t="shared" si="28"/>
        <v>2.0455229902729171</v>
      </c>
      <c r="K65" s="155">
        <f t="shared" si="28"/>
        <v>1.3448901715350159</v>
      </c>
      <c r="L65" s="155">
        <f t="shared" si="28"/>
        <v>0.59909819260569264</v>
      </c>
      <c r="M65" s="155">
        <f t="shared" si="28"/>
        <v>2.9364200392782456</v>
      </c>
      <c r="N65" s="155">
        <f t="shared" si="28"/>
        <v>1.9468906721731609</v>
      </c>
      <c r="O65" s="155">
        <f t="shared" si="28"/>
        <v>1.3354999135265206</v>
      </c>
      <c r="P65" s="155">
        <f t="shared" si="28"/>
        <v>0.58186000064087184</v>
      </c>
      <c r="Q65" s="155">
        <f t="shared" si="28"/>
        <v>3.1399614424108333</v>
      </c>
      <c r="R65" s="155">
        <f t="shared" si="28"/>
        <v>2.2497859500978379</v>
      </c>
      <c r="S65" s="155">
        <f t="shared" si="28"/>
        <v>1.5479251753347438</v>
      </c>
      <c r="T65" s="155">
        <f t="shared" si="28"/>
        <v>0.72457089232749661</v>
      </c>
      <c r="U65" s="155">
        <f t="shared" si="28"/>
        <v>3.8290166046720087</v>
      </c>
      <c r="V65" s="155">
        <f t="shared" si="28"/>
        <v>2.6320442166629245</v>
      </c>
      <c r="W65" s="155">
        <f t="shared" si="28"/>
        <v>2.0484433939121871</v>
      </c>
      <c r="X65" s="155">
        <f t="shared" si="28"/>
        <v>0.94937052459376725</v>
      </c>
      <c r="Y65" s="155">
        <f t="shared" si="28"/>
        <v>4.8782271837063291</v>
      </c>
      <c r="Z65" s="155">
        <f t="shared" si="28"/>
        <v>3.5073480660222303</v>
      </c>
      <c r="AA65" s="155">
        <f t="shared" si="28"/>
        <v>2.5331979287080175</v>
      </c>
      <c r="AB65" s="155">
        <f t="shared" si="28"/>
        <v>1.2953018371808591</v>
      </c>
      <c r="AC65" s="155">
        <f t="shared" si="28"/>
        <v>5.7144656858402021</v>
      </c>
      <c r="AD65" s="155">
        <f t="shared" si="28"/>
        <v>4.8216449025444428</v>
      </c>
      <c r="AE65" s="155">
        <f t="shared" si="28"/>
        <v>3.5818763561354396</v>
      </c>
      <c r="AF65" s="155">
        <f t="shared" si="28"/>
        <v>1.8925459129367823</v>
      </c>
      <c r="AG65" s="155">
        <f t="shared" si="28"/>
        <v>8.9050982442101887</v>
      </c>
      <c r="AH65" s="155">
        <f t="shared" si="28"/>
        <v>6.0986559321032168</v>
      </c>
      <c r="AI65" s="155">
        <f t="shared" si="28"/>
        <v>4.0583278582444482</v>
      </c>
      <c r="AJ65" s="155">
        <f t="shared" si="28"/>
        <v>1.7519132844598275</v>
      </c>
      <c r="AK65" s="155">
        <f t="shared" si="28"/>
        <v>7.5864551409586269</v>
      </c>
      <c r="AL65" s="155">
        <f t="shared" si="28"/>
        <v>11.008924617486135</v>
      </c>
      <c r="AM65" s="155">
        <f t="shared" si="28"/>
        <v>6.6950062840974844</v>
      </c>
      <c r="AN65" s="155">
        <f t="shared" si="28"/>
        <v>2.5917608208219503</v>
      </c>
      <c r="AO65" s="155">
        <f t="shared" si="28"/>
        <v>13.000841280254848</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122.89283617622203</v>
      </c>
      <c r="F66" s="83">
        <f t="shared" ref="F66:BQ66" si="30">F62/F65</f>
        <v>137.5007845389878</v>
      </c>
      <c r="G66" s="83">
        <f t="shared" si="30"/>
        <v>217.32888897552098</v>
      </c>
      <c r="H66" s="83">
        <f t="shared" si="30"/>
        <v>522.87333184718477</v>
      </c>
      <c r="I66" s="83">
        <f t="shared" si="30"/>
        <v>101.17346551216126</v>
      </c>
      <c r="J66" s="83">
        <f t="shared" si="30"/>
        <v>178.43847355208709</v>
      </c>
      <c r="K66" s="83">
        <f t="shared" si="30"/>
        <v>271.39762615961445</v>
      </c>
      <c r="L66" s="83">
        <f t="shared" si="30"/>
        <v>609.24904215197887</v>
      </c>
      <c r="M66" s="83">
        <f t="shared" si="30"/>
        <v>124.30101794623184</v>
      </c>
      <c r="N66" s="83">
        <f t="shared" si="30"/>
        <v>187.47842660963556</v>
      </c>
      <c r="O66" s="83">
        <f t="shared" si="30"/>
        <v>273.30589564486087</v>
      </c>
      <c r="P66" s="83">
        <f t="shared" si="30"/>
        <v>627.29866221768452</v>
      </c>
      <c r="Q66" s="83">
        <f t="shared" si="30"/>
        <v>116.24346562668501</v>
      </c>
      <c r="R66" s="83">
        <f t="shared" si="30"/>
        <v>162.23765642421537</v>
      </c>
      <c r="S66" s="83">
        <f t="shared" si="30"/>
        <v>235.7995113821103</v>
      </c>
      <c r="T66" s="83">
        <f t="shared" si="30"/>
        <v>503.74642959715356</v>
      </c>
      <c r="U66" s="83">
        <f t="shared" si="30"/>
        <v>95.324736788720628</v>
      </c>
      <c r="V66" s="83">
        <f t="shared" si="30"/>
        <v>138.67548185142974</v>
      </c>
      <c r="W66" s="83">
        <f t="shared" si="30"/>
        <v>178.18407923047877</v>
      </c>
      <c r="X66" s="83">
        <f t="shared" si="30"/>
        <v>384.46527519503769</v>
      </c>
      <c r="Y66" s="83">
        <f t="shared" si="30"/>
        <v>74.822263550809879</v>
      </c>
      <c r="Z66" s="83">
        <f t="shared" si="30"/>
        <v>104.06723060536032</v>
      </c>
      <c r="AA66" s="83">
        <f t="shared" si="30"/>
        <v>144.08664868368871</v>
      </c>
      <c r="AB66" s="83">
        <f t="shared" si="30"/>
        <v>281.78760310754978</v>
      </c>
      <c r="AC66" s="83">
        <f t="shared" si="30"/>
        <v>63.872988318825435</v>
      </c>
      <c r="AD66" s="83">
        <f t="shared" si="30"/>
        <v>75.700307131158681</v>
      </c>
      <c r="AE66" s="83">
        <f t="shared" si="30"/>
        <v>101.90189825363096</v>
      </c>
      <c r="AF66" s="83">
        <f t="shared" si="30"/>
        <v>192.86189967967888</v>
      </c>
      <c r="AG66" s="83">
        <f t="shared" si="30"/>
        <v>40.987756674926231</v>
      </c>
      <c r="AH66" s="83">
        <f t="shared" si="30"/>
        <v>59.849252698229208</v>
      </c>
      <c r="AI66" s="83">
        <f t="shared" si="30"/>
        <v>89.938519693155527</v>
      </c>
      <c r="AJ66" s="83">
        <f t="shared" si="30"/>
        <v>208.34364533775511</v>
      </c>
      <c r="AK66" s="83">
        <f t="shared" si="30"/>
        <v>48.11206198655232</v>
      </c>
      <c r="AL66" s="83">
        <f t="shared" si="30"/>
        <v>33.154918639396314</v>
      </c>
      <c r="AM66" s="83">
        <f t="shared" si="30"/>
        <v>54.518246064529805</v>
      </c>
      <c r="AN66" s="83">
        <f t="shared" si="30"/>
        <v>140.83089653475201</v>
      </c>
      <c r="AO66" s="83">
        <f t="shared" si="30"/>
        <v>28.075106228267494</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16550869196.219999</v>
      </c>
      <c r="F67" s="76">
        <f>股权价值增加表!F5</f>
        <v>11165450332.620001</v>
      </c>
      <c r="G67" s="76">
        <f>股权价值增加表!G5</f>
        <v>6977459678.54</v>
      </c>
      <c r="H67" s="76">
        <f>股权价值增加表!H5</f>
        <v>2850748064.7600002</v>
      </c>
      <c r="I67" s="76">
        <f>股权价值增加表!I5</f>
        <v>14133408263.85</v>
      </c>
      <c r="J67" s="76">
        <f>股权价值增加表!J5</f>
        <v>6056785146.3400002</v>
      </c>
      <c r="K67" s="76">
        <f>股权价值增加表!K5</f>
        <v>3706679737.6399999</v>
      </c>
      <c r="L67" s="76">
        <f>股权价值增加表!L5</f>
        <v>1581859069.72</v>
      </c>
      <c r="M67" s="76">
        <f>股权价值增加表!M5</f>
        <v>7834815227.1300001</v>
      </c>
      <c r="N67" s="76">
        <f>股权价值增加表!N5</f>
        <v>5772001657.5900002</v>
      </c>
      <c r="O67" s="76">
        <f>股权价值增加表!O5</f>
        <v>3697041344.4400001</v>
      </c>
      <c r="P67" s="76">
        <f>股权价值增加表!P5</f>
        <v>1503157164.6400001</v>
      </c>
      <c r="Q67" s="76">
        <f>股权价值增加表!Q5</f>
        <v>8530428903.8100004</v>
      </c>
      <c r="R67" s="76">
        <f>股权价值增加表!R5</f>
        <v>6318306894.7399998</v>
      </c>
      <c r="S67" s="76">
        <f>股权价值增加表!S5</f>
        <v>3988494937.8899999</v>
      </c>
      <c r="T67" s="76">
        <f>股权价值增加表!T5</f>
        <v>1649556180.6500001</v>
      </c>
      <c r="U67" s="76">
        <f>股权价值增加表!U5</f>
        <v>8178719989.4300003</v>
      </c>
      <c r="V67" s="76">
        <f>股权价值增加表!V5</f>
        <v>5967713193.1999998</v>
      </c>
      <c r="W67" s="76">
        <f>股权价值增加表!W5</f>
        <v>3799988539.3400002</v>
      </c>
      <c r="X67" s="76">
        <f>股权价值增加表!X5</f>
        <v>1466120463.5599999</v>
      </c>
      <c r="Y67" s="76">
        <f>股权价值增加表!Y5</f>
        <v>7498731689.9099998</v>
      </c>
      <c r="Z67" s="76">
        <f>股权价值增加表!Z5</f>
        <v>5538830502.7700005</v>
      </c>
      <c r="AA67" s="76">
        <f>股权价值增加表!AA5</f>
        <v>3184574104.1799998</v>
      </c>
      <c r="AB67" s="76">
        <f>股权价值增加表!AB5</f>
        <v>1301604761.22</v>
      </c>
      <c r="AC67" s="76">
        <f>股权价值增加表!AC5</f>
        <v>6296733197.0900002</v>
      </c>
      <c r="AD67" s="76">
        <f>股权价值增加表!AD5</f>
        <v>4898410276.7700005</v>
      </c>
      <c r="AE67" s="76">
        <f>股权价值增加表!AE5</f>
        <v>3104943543.1399999</v>
      </c>
      <c r="AF67" s="76">
        <f>股权价值增加表!AF5</f>
        <v>1275846191.04</v>
      </c>
      <c r="AG67" s="76">
        <f>股权价值增加表!AG5</f>
        <v>4696761911.8800001</v>
      </c>
      <c r="AH67" s="76">
        <f>股权价值增加表!AH5</f>
        <v>3390889481.8699999</v>
      </c>
      <c r="AI67" s="76">
        <f>股权价值增加表!AI5</f>
        <v>2061871902.01</v>
      </c>
      <c r="AJ67" s="76">
        <f>股权价值增加表!AJ5</f>
        <v>841969122.13999999</v>
      </c>
      <c r="AK67" s="76">
        <f>股权价值增加表!AK5</f>
        <v>3449294141.2199998</v>
      </c>
      <c r="AL67" s="76">
        <f>股权价值增加表!AL5</f>
        <v>2463110319.4499998</v>
      </c>
      <c r="AM67" s="76">
        <f>股权价值增加表!AM5</f>
        <v>1463794341.21</v>
      </c>
      <c r="AN67" s="76">
        <f>股权价值增加表!AN5</f>
        <v>615881525.79999995</v>
      </c>
      <c r="AO67" s="76">
        <f>股权价值增加表!AO5</f>
        <v>3323817825.8200002</v>
      </c>
      <c r="AP67" s="76">
        <f>股权价值增加表!AP5</f>
        <v>3206716574.3499999</v>
      </c>
      <c r="AQ67" s="76">
        <f>股权价值增加表!AQ5</f>
        <v>2664705297.6700001</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3271288901.5</v>
      </c>
      <c r="F68" s="76">
        <f>资产资本表!F26</f>
        <v>2875142174.0300002</v>
      </c>
      <c r="G68" s="76">
        <f>资产资本表!G26</f>
        <v>2418143266.1900001</v>
      </c>
      <c r="H68" s="76">
        <f>资产资本表!H26</f>
        <v>2246890472.79</v>
      </c>
      <c r="I68" s="76">
        <f>资产资本表!I26</f>
        <v>2044936614.21</v>
      </c>
      <c r="J68" s="76">
        <f>资产资本表!J26</f>
        <v>1295774324.1199999</v>
      </c>
      <c r="K68" s="76">
        <f>资产资本表!K26</f>
        <v>1230291303.6600001</v>
      </c>
      <c r="L68" s="76">
        <f>资产资本表!L26</f>
        <v>1103406309.4200001</v>
      </c>
      <c r="M68" s="76">
        <f>资产资本表!M26</f>
        <v>1175490814.45</v>
      </c>
      <c r="N68" s="76">
        <f>资产资本表!N26</f>
        <v>1275031709.3199999</v>
      </c>
      <c r="O68" s="76">
        <f>资产资本表!O26</f>
        <v>1196691256.6600001</v>
      </c>
      <c r="P68" s="76">
        <f>资产资本表!P26</f>
        <v>1314617606.5599999</v>
      </c>
      <c r="Q68" s="76">
        <f>资产资本表!Q26</f>
        <v>1277687175.72</v>
      </c>
      <c r="R68" s="76">
        <f>资产资本表!R26</f>
        <v>1269698509.5</v>
      </c>
      <c r="S68" s="76">
        <f>资产资本表!S26</f>
        <v>1168444154.46</v>
      </c>
      <c r="T68" s="76">
        <f>资产资本表!T26</f>
        <v>1162541925.8399999</v>
      </c>
      <c r="U68" s="76">
        <f>资产资本表!U26</f>
        <v>1150579059.6300001</v>
      </c>
      <c r="V68" s="76">
        <f>资产资本表!V26</f>
        <v>1112049071.75</v>
      </c>
      <c r="W68" s="76">
        <f>资产资本表!W26</f>
        <v>900511248.94000006</v>
      </c>
      <c r="X68" s="76">
        <f>资产资本表!X26</f>
        <v>886342876.52999997</v>
      </c>
      <c r="Y68" s="76">
        <f>资产资本表!Y26</f>
        <v>992545161.17999995</v>
      </c>
      <c r="Z68" s="76">
        <f>资产资本表!Z26</f>
        <v>1002705954.0700001</v>
      </c>
      <c r="AA68" s="76">
        <f>资产资本表!AA26</f>
        <v>617056994.35000002</v>
      </c>
      <c r="AB68" s="76">
        <f>资产资本表!AB26</f>
        <v>783442696.48000002</v>
      </c>
      <c r="AC68" s="76">
        <f>资产资本表!AC26</f>
        <v>1061595304.75</v>
      </c>
      <c r="AD68" s="76">
        <f>资产资本表!AD26</f>
        <v>811362299.47000003</v>
      </c>
      <c r="AE68" s="76">
        <f>资产资本表!AE26</f>
        <v>747940161.96000004</v>
      </c>
      <c r="AF68" s="76">
        <f>资产资本表!AF26</f>
        <v>664450057.13</v>
      </c>
      <c r="AG68" s="76">
        <f>资产资本表!AG26</f>
        <v>675557541.40999997</v>
      </c>
      <c r="AH68" s="76">
        <f>资产资本表!AH26</f>
        <v>478461459.85000002</v>
      </c>
      <c r="AI68" s="76">
        <f>资产资本表!AI26</f>
        <v>477343701.45999998</v>
      </c>
      <c r="AJ68" s="76">
        <f>资产资本表!AJ26</f>
        <v>492079373.79000002</v>
      </c>
      <c r="AK68" s="76">
        <f>资产资本表!AK26</f>
        <v>470024764.35000002</v>
      </c>
      <c r="AL68" s="76">
        <f>资产资本表!AL26</f>
        <v>366853036.13999999</v>
      </c>
      <c r="AM68" s="76">
        <f>资产资本表!AM26</f>
        <v>461559440.04000002</v>
      </c>
      <c r="AN68" s="76">
        <f>资产资本表!AN26</f>
        <v>570241622.25999999</v>
      </c>
      <c r="AO68" s="76">
        <f>资产资本表!AO26</f>
        <v>490172304.18000001</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6.2265489480498735</v>
      </c>
      <c r="F69" s="155">
        <f t="shared" ref="F69:BQ69" si="32">F67/(F68+J68)*2</f>
        <v>5.353955341744391</v>
      </c>
      <c r="G69" s="155">
        <f t="shared" si="32"/>
        <v>3.8249060219966435</v>
      </c>
      <c r="H69" s="155">
        <f t="shared" si="32"/>
        <v>1.7017883788071599</v>
      </c>
      <c r="I69" s="155">
        <f t="shared" si="32"/>
        <v>8.7773493282727539</v>
      </c>
      <c r="J69" s="155">
        <f t="shared" si="32"/>
        <v>4.7119736514974697</v>
      </c>
      <c r="K69" s="155">
        <f t="shared" si="32"/>
        <v>3.0545581976915979</v>
      </c>
      <c r="L69" s="155">
        <f t="shared" si="32"/>
        <v>1.3083899288720551</v>
      </c>
      <c r="M69" s="155">
        <f t="shared" si="32"/>
        <v>6.3874820812223767</v>
      </c>
      <c r="N69" s="155">
        <f t="shared" si="32"/>
        <v>4.5364350333895098</v>
      </c>
      <c r="O69" s="155">
        <f t="shared" si="32"/>
        <v>3.126283025536607</v>
      </c>
      <c r="P69" s="155">
        <f t="shared" si="32"/>
        <v>1.2136135319340244</v>
      </c>
      <c r="Q69" s="155">
        <f t="shared" si="32"/>
        <v>7.0259420319127068</v>
      </c>
      <c r="R69" s="155">
        <f t="shared" si="32"/>
        <v>5.3056058034697333</v>
      </c>
      <c r="S69" s="155">
        <f t="shared" si="32"/>
        <v>3.8555639539987578</v>
      </c>
      <c r="T69" s="155">
        <f t="shared" si="32"/>
        <v>1.6101990494945488</v>
      </c>
      <c r="U69" s="155">
        <f t="shared" si="32"/>
        <v>7.6325207003995592</v>
      </c>
      <c r="V69" s="155">
        <f t="shared" si="32"/>
        <v>5.6438813199046614</v>
      </c>
      <c r="W69" s="155">
        <f t="shared" si="32"/>
        <v>5.0079969136700502</v>
      </c>
      <c r="X69" s="155">
        <f t="shared" si="32"/>
        <v>1.756058367323335</v>
      </c>
      <c r="Y69" s="155">
        <f t="shared" si="32"/>
        <v>7.3010894963456101</v>
      </c>
      <c r="Z69" s="155">
        <f t="shared" si="32"/>
        <v>6.1065293347826834</v>
      </c>
      <c r="AA69" s="155">
        <f t="shared" si="32"/>
        <v>4.6660523642245035</v>
      </c>
      <c r="AB69" s="155">
        <f t="shared" si="32"/>
        <v>1.7979297955248918</v>
      </c>
      <c r="AC69" s="155">
        <f t="shared" si="32"/>
        <v>7.2494866655044374</v>
      </c>
      <c r="AD69" s="155">
        <f t="shared" si="32"/>
        <v>7.595472236226227</v>
      </c>
      <c r="AE69" s="155">
        <f t="shared" si="32"/>
        <v>5.0681211690383527</v>
      </c>
      <c r="AF69" s="155">
        <f t="shared" si="32"/>
        <v>2.2063358820451033</v>
      </c>
      <c r="AG69" s="155">
        <f t="shared" si="32"/>
        <v>8.1997808245896113</v>
      </c>
      <c r="AH69" s="155">
        <f t="shared" si="32"/>
        <v>8.0227879634282626</v>
      </c>
      <c r="AI69" s="155">
        <f t="shared" si="32"/>
        <v>4.3920864908726047</v>
      </c>
      <c r="AJ69" s="155">
        <f t="shared" si="32"/>
        <v>1.5851501105045867</v>
      </c>
      <c r="AK69" s="155">
        <f t="shared" si="32"/>
        <v>7.1845546175237702</v>
      </c>
      <c r="AL69" s="155">
        <f t="shared" si="32"/>
        <v>13.428321844445728</v>
      </c>
      <c r="AM69" s="155">
        <f t="shared" si="32"/>
        <v>6.3428205090254188</v>
      </c>
      <c r="AN69" s="155">
        <f t="shared" si="32"/>
        <v>2.1600721580410718</v>
      </c>
      <c r="AO69" s="155">
        <f t="shared" si="32"/>
        <v>13.561834471167654</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58.619951926069149</v>
      </c>
      <c r="F70" s="83">
        <f t="shared" ref="F70:BQ70" si="34">F62/F69</f>
        <v>68.173896998004849</v>
      </c>
      <c r="G70" s="83">
        <f t="shared" si="34"/>
        <v>95.427181191099152</v>
      </c>
      <c r="H70" s="83">
        <f t="shared" si="34"/>
        <v>214.48025180183723</v>
      </c>
      <c r="I70" s="83">
        <f t="shared" si="34"/>
        <v>41.584308240335965</v>
      </c>
      <c r="J70" s="83">
        <f t="shared" si="34"/>
        <v>77.462232812783796</v>
      </c>
      <c r="K70" s="83">
        <f t="shared" si="34"/>
        <v>119.49354910829302</v>
      </c>
      <c r="L70" s="83">
        <f t="shared" si="34"/>
        <v>278.96882415982935</v>
      </c>
      <c r="M70" s="83">
        <f t="shared" si="34"/>
        <v>57.143017445482947</v>
      </c>
      <c r="N70" s="83">
        <f t="shared" si="34"/>
        <v>80.459655503383502</v>
      </c>
      <c r="O70" s="83">
        <f t="shared" si="34"/>
        <v>116.75206531799853</v>
      </c>
      <c r="P70" s="83">
        <f t="shared" si="34"/>
        <v>300.75472166030733</v>
      </c>
      <c r="Q70" s="83">
        <f t="shared" si="34"/>
        <v>51.950328986792712</v>
      </c>
      <c r="R70" s="83">
        <f t="shared" si="34"/>
        <v>68.795159972363408</v>
      </c>
      <c r="S70" s="83">
        <f t="shared" si="34"/>
        <v>94.668381682903757</v>
      </c>
      <c r="T70" s="83">
        <f t="shared" si="34"/>
        <v>226.68004934829375</v>
      </c>
      <c r="U70" s="83">
        <f t="shared" si="34"/>
        <v>47.821684909533545</v>
      </c>
      <c r="V70" s="83">
        <f t="shared" si="34"/>
        <v>64.67180638840324</v>
      </c>
      <c r="W70" s="83">
        <f t="shared" si="34"/>
        <v>72.883431498066585</v>
      </c>
      <c r="X70" s="83">
        <f t="shared" si="34"/>
        <v>207.85186118633962</v>
      </c>
      <c r="Y70" s="83">
        <f t="shared" si="34"/>
        <v>49.992538809816295</v>
      </c>
      <c r="Z70" s="83">
        <f t="shared" si="34"/>
        <v>59.772086563306331</v>
      </c>
      <c r="AA70" s="83">
        <f t="shared" si="34"/>
        <v>78.224582904067532</v>
      </c>
      <c r="AB70" s="83">
        <f t="shared" si="34"/>
        <v>203.01126379266719</v>
      </c>
      <c r="AC70" s="83">
        <f t="shared" si="34"/>
        <v>50.348392491953412</v>
      </c>
      <c r="AD70" s="83">
        <f t="shared" si="34"/>
        <v>48.054944926156224</v>
      </c>
      <c r="AE70" s="83">
        <f t="shared" si="34"/>
        <v>72.01879904328662</v>
      </c>
      <c r="AF70" s="83">
        <f t="shared" si="34"/>
        <v>165.43265373614517</v>
      </c>
      <c r="AG70" s="83">
        <f t="shared" si="34"/>
        <v>44.513384907244493</v>
      </c>
      <c r="AH70" s="83">
        <f t="shared" si="34"/>
        <v>45.495406542444606</v>
      </c>
      <c r="AI70" s="83">
        <f t="shared" si="34"/>
        <v>83.104010077789482</v>
      </c>
      <c r="AJ70" s="83">
        <f t="shared" si="34"/>
        <v>230.26210425195177</v>
      </c>
      <c r="AK70" s="83">
        <f t="shared" si="34"/>
        <v>50.803427551338032</v>
      </c>
      <c r="AL70" s="83">
        <f t="shared" si="34"/>
        <v>27.181356257928286</v>
      </c>
      <c r="AM70" s="83">
        <f t="shared" si="34"/>
        <v>57.545377404362753</v>
      </c>
      <c r="AN70" s="83">
        <f t="shared" si="34"/>
        <v>168.97583659011258</v>
      </c>
      <c r="AO70" s="83">
        <f t="shared" si="34"/>
        <v>26.913763088318689</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6941262138.46</v>
      </c>
      <c r="F71" s="76">
        <f>资产资本表!F35+资产资本表!F36-资产资本表!F24</f>
        <v>6055290453.1300011</v>
      </c>
      <c r="G71" s="76">
        <f>资产资本表!G35+资产资本表!G36-资产资本表!G24</f>
        <v>5777333580.1800003</v>
      </c>
      <c r="H71" s="76">
        <f>资产资本表!H35+资产资本表!H36-资产资本表!H24</f>
        <v>4626562949.1099997</v>
      </c>
      <c r="I71" s="76">
        <f>资产资本表!I35+资产资本表!I36-资产资本表!I24</f>
        <v>5445036181.5299997</v>
      </c>
      <c r="J71" s="76">
        <f>资产资本表!J35+资产资本表!J36-资产资本表!J24</f>
        <v>2651853960.0599999</v>
      </c>
      <c r="K71" s="76">
        <f>资产资本表!K35+资产资本表!K36-资产资本表!K24</f>
        <v>2747766268.3099999</v>
      </c>
      <c r="L71" s="76">
        <f>资产资本表!L35+资产资本表!L36-资产资本表!L24</f>
        <v>2114850246.6199999</v>
      </c>
      <c r="M71" s="76">
        <f>资产资本表!M35+资产资本表!M36-资产资本表!M24</f>
        <v>1756009976.74</v>
      </c>
      <c r="N71" s="76">
        <f>资产资本表!N35+资产资本表!N36-资产资本表!N24</f>
        <v>2417724835.6399999</v>
      </c>
      <c r="O71" s="76">
        <f>资产资本表!O35+资产资本表!O36-资产资本表!O24</f>
        <v>2496215492.1299996</v>
      </c>
      <c r="P71" s="76">
        <f>资产资本表!P35+资产资本表!P36-资产资本表!P24</f>
        <v>1822320858.02</v>
      </c>
      <c r="Q71" s="76">
        <f>资产资本表!Q35+资产资本表!Q36-资产资本表!Q24</f>
        <v>2226499043.2999997</v>
      </c>
      <c r="R71" s="76">
        <f>资产资本表!R35+资产资本表!R36-资产资本表!R24</f>
        <v>1956748405.3299999</v>
      </c>
      <c r="S71" s="76">
        <f>资产资本表!S35+资产资本表!S36-资产资本表!S24</f>
        <v>2002791324.05</v>
      </c>
      <c r="T71" s="76">
        <f>资产资本表!T35+资产资本表!T36-资产资本表!T24</f>
        <v>1579713954.8900001</v>
      </c>
      <c r="U71" s="76">
        <f>资产资本表!U35+资产资本表!U36-资产资本表!U24</f>
        <v>2109703389.0900004</v>
      </c>
      <c r="V71" s="76">
        <f>资产资本表!V35+资产资本表!V36-资产资本表!V24</f>
        <v>2032789516.4800003</v>
      </c>
      <c r="W71" s="76">
        <f>资产资本表!W35+资产资本表!W36-资产资本表!W24</f>
        <v>2013091195.8</v>
      </c>
      <c r="X71" s="76">
        <f>资产资本表!X35+资产资本表!X36-资产资本表!X24</f>
        <v>1368514833.8800001</v>
      </c>
      <c r="Y71" s="76">
        <f>资产资本表!Y35+资产资本表!Y36-资产资本表!Y24</f>
        <v>1782059313.9100001</v>
      </c>
      <c r="Z71" s="76">
        <f>资产资本表!Z35+资产资本表!Z36-资产资本表!Z24</f>
        <v>1645159575.1900001</v>
      </c>
      <c r="AA71" s="76">
        <f>资产资本表!AA35+资产资本表!AA36-资产资本表!AA24</f>
        <v>1343289720.3699999</v>
      </c>
      <c r="AB71" s="76">
        <f>资产资本表!AB35+资产资本表!AB36-资产资本表!AB24</f>
        <v>1058250165.38</v>
      </c>
      <c r="AC71" s="76">
        <f>资产资本表!AC35+资产资本表!AC36-资产资本表!AC24</f>
        <v>1410642102.8099999</v>
      </c>
      <c r="AD71" s="76">
        <f>资产资本表!AD35+资产资本表!AD36-资产资本表!AD24</f>
        <v>1480547588.1100001</v>
      </c>
      <c r="AE71" s="76">
        <f>资产资本表!AE35+资产资本表!AE36-资产资本表!AE24</f>
        <v>1590615301.0599999</v>
      </c>
      <c r="AF71" s="76">
        <f>资产资本表!AF35+资产资本表!AF36-资产资本表!AF24</f>
        <v>1082341393.8</v>
      </c>
      <c r="AG71" s="76">
        <f>资产资本表!AG35+资产资本表!AG36-资产资本表!AG24</f>
        <v>1189442100.21</v>
      </c>
      <c r="AH71" s="76">
        <f>资产资本表!AH35+资产资本表!AH36-资产资本表!AH24</f>
        <v>1121826413.0699999</v>
      </c>
      <c r="AI71" s="76">
        <f>资产资本表!AI35+资产资本表!AI36-资产资本表!AI24</f>
        <v>977398966.75</v>
      </c>
      <c r="AJ71" s="76">
        <f>资产资本表!AJ35+资产资本表!AJ36-资产资本表!AJ24</f>
        <v>684975664.87</v>
      </c>
      <c r="AK71" s="76">
        <f>资产资本表!AK35+资产资本表!AK36-资产资本表!AK24</f>
        <v>858206394.23000002</v>
      </c>
      <c r="AL71" s="76">
        <f>资产资本表!AL35+资产资本表!AL36-资产资本表!AL24</f>
        <v>680667097.63</v>
      </c>
      <c r="AM71" s="76">
        <f>资产资本表!AM35+资产资本表!AM36-资产资本表!AM24</f>
        <v>491080605.76999998</v>
      </c>
      <c r="AN71" s="76">
        <f>资产资本表!AN35+资产资本表!AN36-资产资本表!AN24</f>
        <v>762512881.00000012</v>
      </c>
      <c r="AO71" s="76">
        <f>资产资本表!AO35+资产资本表!AO36-资产资本表!AO24</f>
        <v>642181535.38</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2.6724480177437484</v>
      </c>
      <c r="F72" s="155">
        <f t="shared" ref="F72:BQ72" si="36">F67/(F71+J71)*2</f>
        <v>2.5646640971536065</v>
      </c>
      <c r="G72" s="155">
        <f t="shared" si="36"/>
        <v>1.6369215147141944</v>
      </c>
      <c r="H72" s="155">
        <f t="shared" si="36"/>
        <v>0.84574197782911731</v>
      </c>
      <c r="I72" s="155">
        <f t="shared" si="36"/>
        <v>3.9253763837129609</v>
      </c>
      <c r="J72" s="155">
        <f t="shared" si="36"/>
        <v>2.389462868780083</v>
      </c>
      <c r="K72" s="155">
        <f t="shared" si="36"/>
        <v>1.4136890275259038</v>
      </c>
      <c r="L72" s="155">
        <f t="shared" si="36"/>
        <v>0.8035510917245946</v>
      </c>
      <c r="M72" s="155">
        <f t="shared" si="36"/>
        <v>3.9346126714115051</v>
      </c>
      <c r="N72" s="155">
        <f t="shared" si="36"/>
        <v>2.6389470638572758</v>
      </c>
      <c r="O72" s="155">
        <f t="shared" si="36"/>
        <v>1.6434922175019377</v>
      </c>
      <c r="P72" s="155">
        <f t="shared" si="36"/>
        <v>0.88368123626239081</v>
      </c>
      <c r="Q72" s="155">
        <f t="shared" si="36"/>
        <v>3.9345159903469975</v>
      </c>
      <c r="R72" s="155">
        <f t="shared" si="36"/>
        <v>3.1674379432260005</v>
      </c>
      <c r="S72" s="155">
        <f t="shared" si="36"/>
        <v>1.9863603669556433</v>
      </c>
      <c r="T72" s="155">
        <f t="shared" si="36"/>
        <v>1.1190150417995166</v>
      </c>
      <c r="U72" s="155">
        <f t="shared" si="36"/>
        <v>4.2030928469124591</v>
      </c>
      <c r="V72" s="155">
        <f t="shared" si="36"/>
        <v>3.245130938172021</v>
      </c>
      <c r="W72" s="155">
        <f t="shared" si="36"/>
        <v>2.2643368760874765</v>
      </c>
      <c r="X72" s="155">
        <f t="shared" si="36"/>
        <v>1.2082920793789822</v>
      </c>
      <c r="Y72" s="155">
        <f t="shared" si="36"/>
        <v>4.6974212186830613</v>
      </c>
      <c r="Z72" s="155">
        <f t="shared" si="36"/>
        <v>3.5440495308090973</v>
      </c>
      <c r="AA72" s="155">
        <f t="shared" si="36"/>
        <v>2.1708774353082654</v>
      </c>
      <c r="AB72" s="155">
        <f t="shared" si="36"/>
        <v>1.2161168772604225</v>
      </c>
      <c r="AC72" s="155">
        <f t="shared" si="36"/>
        <v>4.843484060844137</v>
      </c>
      <c r="AD72" s="155">
        <f t="shared" si="36"/>
        <v>3.7645705609946174</v>
      </c>
      <c r="AE72" s="155">
        <f t="shared" si="36"/>
        <v>2.4181668942111392</v>
      </c>
      <c r="AF72" s="155">
        <f t="shared" si="36"/>
        <v>1.443822640404028</v>
      </c>
      <c r="AG72" s="155">
        <f t="shared" si="36"/>
        <v>4.58746891825737</v>
      </c>
      <c r="AH72" s="155">
        <f t="shared" si="36"/>
        <v>3.762442928910346</v>
      </c>
      <c r="AI72" s="155">
        <f t="shared" si="36"/>
        <v>2.8081723989823062</v>
      </c>
      <c r="AJ72" s="155">
        <f t="shared" si="36"/>
        <v>1.1633516887471353</v>
      </c>
      <c r="AK72" s="155">
        <f t="shared" si="36"/>
        <v>4.5978697550793868</v>
      </c>
      <c r="AL72" s="155">
        <f t="shared" si="36"/>
        <v>7.2373420957947001</v>
      </c>
      <c r="AM72" s="155">
        <f t="shared" si="36"/>
        <v>5.9615237254780746</v>
      </c>
      <c r="AN72" s="155">
        <f t="shared" si="36"/>
        <v>1.6153996637861383</v>
      </c>
      <c r="AO72" s="155">
        <f t="shared" si="36"/>
        <v>10.351645579012756</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136.57889604459223</v>
      </c>
      <c r="F73" s="83">
        <f t="shared" ref="F73:BQ73" si="38">F62/F72</f>
        <v>142.31883247599379</v>
      </c>
      <c r="G73" s="83">
        <f t="shared" si="38"/>
        <v>222.97953611033623</v>
      </c>
      <c r="H73" s="83">
        <f t="shared" si="38"/>
        <v>431.57370636478976</v>
      </c>
      <c r="I73" s="83">
        <f t="shared" si="38"/>
        <v>92.984713902708961</v>
      </c>
      <c r="J73" s="83">
        <f t="shared" si="38"/>
        <v>152.75399537233537</v>
      </c>
      <c r="K73" s="83">
        <f t="shared" si="38"/>
        <v>258.18973826145219</v>
      </c>
      <c r="L73" s="83">
        <f t="shared" si="38"/>
        <v>454.23371800370649</v>
      </c>
      <c r="M73" s="83">
        <f t="shared" si="38"/>
        <v>92.766437380749778</v>
      </c>
      <c r="N73" s="83">
        <f t="shared" si="38"/>
        <v>138.3127403345824</v>
      </c>
      <c r="O73" s="83">
        <f t="shared" si="38"/>
        <v>222.08806108908126</v>
      </c>
      <c r="P73" s="83">
        <f t="shared" si="38"/>
        <v>413.04486846840871</v>
      </c>
      <c r="Q73" s="83">
        <f t="shared" si="38"/>
        <v>92.768716888048402</v>
      </c>
      <c r="R73" s="83">
        <f t="shared" si="38"/>
        <v>115.23509111854976</v>
      </c>
      <c r="S73" s="83">
        <f t="shared" si="38"/>
        <v>183.75316285604819</v>
      </c>
      <c r="T73" s="83">
        <f t="shared" si="38"/>
        <v>326.17970837374463</v>
      </c>
      <c r="U73" s="83">
        <f t="shared" si="38"/>
        <v>86.840813014188953</v>
      </c>
      <c r="V73" s="83">
        <f t="shared" si="38"/>
        <v>112.47620110071864</v>
      </c>
      <c r="W73" s="83">
        <f t="shared" si="38"/>
        <v>161.19509594821403</v>
      </c>
      <c r="X73" s="83">
        <f t="shared" si="38"/>
        <v>302.07927886740481</v>
      </c>
      <c r="Y73" s="83">
        <f t="shared" si="38"/>
        <v>77.702207872754713</v>
      </c>
      <c r="Z73" s="83">
        <f t="shared" si="38"/>
        <v>102.98953127685871</v>
      </c>
      <c r="AA73" s="83">
        <f t="shared" si="38"/>
        <v>168.13478000344588</v>
      </c>
      <c r="AB73" s="83">
        <f t="shared" si="38"/>
        <v>300.13562579794535</v>
      </c>
      <c r="AC73" s="83">
        <f t="shared" si="38"/>
        <v>75.358976186325407</v>
      </c>
      <c r="AD73" s="83">
        <f t="shared" si="38"/>
        <v>96.956610079733835</v>
      </c>
      <c r="AE73" s="83">
        <f t="shared" si="38"/>
        <v>150.9407811651773</v>
      </c>
      <c r="AF73" s="83">
        <f t="shared" si="38"/>
        <v>252.80113345352535</v>
      </c>
      <c r="AG73" s="83">
        <f t="shared" si="38"/>
        <v>79.564571772325294</v>
      </c>
      <c r="AH73" s="83">
        <f t="shared" si="38"/>
        <v>97.011438285313446</v>
      </c>
      <c r="AI73" s="83">
        <f t="shared" si="38"/>
        <v>129.97777491591242</v>
      </c>
      <c r="AJ73" s="83">
        <f t="shared" si="38"/>
        <v>313.74863124416362</v>
      </c>
      <c r="AK73" s="83">
        <f t="shared" si="38"/>
        <v>79.384588829810795</v>
      </c>
      <c r="AL73" s="83">
        <f t="shared" si="38"/>
        <v>50.432879248873064</v>
      </c>
      <c r="AM73" s="83">
        <f t="shared" si="38"/>
        <v>61.225957793320603</v>
      </c>
      <c r="AN73" s="83">
        <f t="shared" si="38"/>
        <v>225.95027607256088</v>
      </c>
      <c r="AO73" s="83">
        <f t="shared" si="38"/>
        <v>35.260094369924353</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181.51278810229118</v>
      </c>
      <c r="F74" s="256">
        <f t="shared" ref="F74:BQ74" si="40">F66+F70</f>
        <v>205.67468153699264</v>
      </c>
      <c r="G74" s="256">
        <f t="shared" si="40"/>
        <v>312.75607016662013</v>
      </c>
      <c r="H74" s="256">
        <f t="shared" si="40"/>
        <v>737.35358364902197</v>
      </c>
      <c r="I74" s="256">
        <f t="shared" si="40"/>
        <v>142.75777375249723</v>
      </c>
      <c r="J74" s="256">
        <f t="shared" si="40"/>
        <v>255.90070636487087</v>
      </c>
      <c r="K74" s="256">
        <f t="shared" si="40"/>
        <v>390.89117526790744</v>
      </c>
      <c r="L74" s="256">
        <f t="shared" si="40"/>
        <v>888.21786631180817</v>
      </c>
      <c r="M74" s="256">
        <f t="shared" si="40"/>
        <v>181.44403539171478</v>
      </c>
      <c r="N74" s="256">
        <f t="shared" si="40"/>
        <v>267.93808211301905</v>
      </c>
      <c r="O74" s="256">
        <f t="shared" si="40"/>
        <v>390.0579609628594</v>
      </c>
      <c r="P74" s="256">
        <f t="shared" si="40"/>
        <v>928.05338387799179</v>
      </c>
      <c r="Q74" s="256">
        <f t="shared" si="40"/>
        <v>168.19379461347773</v>
      </c>
      <c r="R74" s="256">
        <f t="shared" si="40"/>
        <v>231.03281639657877</v>
      </c>
      <c r="S74" s="256">
        <f t="shared" si="40"/>
        <v>330.46789306501404</v>
      </c>
      <c r="T74" s="256">
        <f t="shared" si="40"/>
        <v>730.42647894544734</v>
      </c>
      <c r="U74" s="256">
        <f t="shared" si="40"/>
        <v>143.14642169825419</v>
      </c>
      <c r="V74" s="256">
        <f t="shared" si="40"/>
        <v>203.34728823983298</v>
      </c>
      <c r="W74" s="256">
        <f t="shared" si="40"/>
        <v>251.06751072854536</v>
      </c>
      <c r="X74" s="256">
        <f t="shared" si="40"/>
        <v>592.31713638137728</v>
      </c>
      <c r="Y74" s="256">
        <f t="shared" si="40"/>
        <v>124.81480236062617</v>
      </c>
      <c r="Z74" s="256">
        <f t="shared" si="40"/>
        <v>163.83931716866664</v>
      </c>
      <c r="AA74" s="256">
        <f t="shared" si="40"/>
        <v>222.31123158775625</v>
      </c>
      <c r="AB74" s="256">
        <f t="shared" si="40"/>
        <v>484.79886690021698</v>
      </c>
      <c r="AC74" s="256">
        <f t="shared" si="40"/>
        <v>114.22138081077884</v>
      </c>
      <c r="AD74" s="256">
        <f t="shared" si="40"/>
        <v>123.75525205731491</v>
      </c>
      <c r="AE74" s="256">
        <f t="shared" si="40"/>
        <v>173.92069729691758</v>
      </c>
      <c r="AF74" s="256">
        <f t="shared" si="40"/>
        <v>358.29455341582405</v>
      </c>
      <c r="AG74" s="256">
        <f t="shared" si="40"/>
        <v>85.501141582170732</v>
      </c>
      <c r="AH74" s="256">
        <f t="shared" si="40"/>
        <v>105.34465924067382</v>
      </c>
      <c r="AI74" s="256">
        <f t="shared" si="40"/>
        <v>173.04252977094501</v>
      </c>
      <c r="AJ74" s="256">
        <f t="shared" si="40"/>
        <v>438.60574958970687</v>
      </c>
      <c r="AK74" s="256">
        <f t="shared" si="40"/>
        <v>98.915489537890352</v>
      </c>
      <c r="AL74" s="256">
        <f t="shared" si="40"/>
        <v>60.3362748973246</v>
      </c>
      <c r="AM74" s="256">
        <f t="shared" si="40"/>
        <v>112.06362346889256</v>
      </c>
      <c r="AN74" s="256">
        <f t="shared" si="40"/>
        <v>309.80673312486459</v>
      </c>
      <c r="AO74" s="256">
        <f t="shared" si="40"/>
        <v>54.988869316586182</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44.933892057698955</v>
      </c>
      <c r="F75" s="256">
        <f t="shared" ref="F75:BQ75" si="42">F74-F73</f>
        <v>63.35584906099885</v>
      </c>
      <c r="G75" s="256">
        <f t="shared" si="42"/>
        <v>89.776534056283907</v>
      </c>
      <c r="H75" s="256">
        <f t="shared" si="42"/>
        <v>305.77987728423221</v>
      </c>
      <c r="I75" s="256">
        <f t="shared" si="42"/>
        <v>49.773059849788268</v>
      </c>
      <c r="J75" s="256">
        <f t="shared" si="42"/>
        <v>103.1467109925355</v>
      </c>
      <c r="K75" s="256">
        <f t="shared" si="42"/>
        <v>132.70143700645525</v>
      </c>
      <c r="L75" s="256">
        <f t="shared" si="42"/>
        <v>433.98414830810168</v>
      </c>
      <c r="M75" s="256">
        <f t="shared" si="42"/>
        <v>88.677598010964999</v>
      </c>
      <c r="N75" s="256">
        <f t="shared" si="42"/>
        <v>129.62534177843665</v>
      </c>
      <c r="O75" s="256">
        <f t="shared" si="42"/>
        <v>167.96989987377813</v>
      </c>
      <c r="P75" s="256">
        <f t="shared" si="42"/>
        <v>515.00851540958308</v>
      </c>
      <c r="Q75" s="256">
        <f t="shared" si="42"/>
        <v>75.425077725429333</v>
      </c>
      <c r="R75" s="256">
        <f t="shared" si="42"/>
        <v>115.79772527802901</v>
      </c>
      <c r="S75" s="256">
        <f t="shared" si="42"/>
        <v>146.71473020896585</v>
      </c>
      <c r="T75" s="256">
        <f t="shared" si="42"/>
        <v>404.24677057170271</v>
      </c>
      <c r="U75" s="256">
        <f t="shared" si="42"/>
        <v>56.305608684065234</v>
      </c>
      <c r="V75" s="256">
        <f t="shared" si="42"/>
        <v>90.871087139114337</v>
      </c>
      <c r="W75" s="256">
        <f t="shared" si="42"/>
        <v>89.872414780331326</v>
      </c>
      <c r="X75" s="256">
        <f t="shared" si="42"/>
        <v>290.23785751397247</v>
      </c>
      <c r="Y75" s="256">
        <f t="shared" si="42"/>
        <v>47.112594487871462</v>
      </c>
      <c r="Z75" s="256">
        <f t="shared" si="42"/>
        <v>60.849785891807926</v>
      </c>
      <c r="AA75" s="256">
        <f t="shared" si="42"/>
        <v>54.176451584310371</v>
      </c>
      <c r="AB75" s="256">
        <f t="shared" si="42"/>
        <v>184.66324110227163</v>
      </c>
      <c r="AC75" s="256">
        <f t="shared" si="42"/>
        <v>38.862404624453433</v>
      </c>
      <c r="AD75" s="256">
        <f t="shared" si="42"/>
        <v>26.79864197758107</v>
      </c>
      <c r="AE75" s="256">
        <f t="shared" si="42"/>
        <v>22.979916131740282</v>
      </c>
      <c r="AF75" s="256">
        <f t="shared" si="42"/>
        <v>105.4934199622987</v>
      </c>
      <c r="AG75" s="256">
        <f t="shared" si="42"/>
        <v>5.9365698098454374</v>
      </c>
      <c r="AH75" s="256">
        <f t="shared" si="42"/>
        <v>8.3332209553603747</v>
      </c>
      <c r="AI75" s="256">
        <f t="shared" si="42"/>
        <v>43.064754855032589</v>
      </c>
      <c r="AJ75" s="256">
        <f t="shared" si="42"/>
        <v>124.85711834554326</v>
      </c>
      <c r="AK75" s="256">
        <f t="shared" si="42"/>
        <v>19.530900708079557</v>
      </c>
      <c r="AL75" s="256">
        <f t="shared" si="42"/>
        <v>9.9033956484515357</v>
      </c>
      <c r="AM75" s="256">
        <f t="shared" si="42"/>
        <v>50.837665675571955</v>
      </c>
      <c r="AN75" s="256">
        <f t="shared" si="42"/>
        <v>83.85645705230371</v>
      </c>
      <c r="AO75" s="256">
        <f t="shared" si="42"/>
        <v>19.728774946661829</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-4895424220.5800018</v>
      </c>
      <c r="F76" s="120">
        <f t="shared" ref="F76:BQ76" si="44">F71-F64-F68</f>
        <v>-4478478726.6800003</v>
      </c>
      <c r="G76" s="120">
        <f t="shared" si="44"/>
        <v>-4188306478.7799993</v>
      </c>
      <c r="H76" s="120">
        <f t="shared" si="44"/>
        <v>-4931144323.0300007</v>
      </c>
      <c r="I76" s="120">
        <f t="shared" si="44"/>
        <v>-3802865962.0400009</v>
      </c>
      <c r="J76" s="120">
        <f t="shared" si="44"/>
        <v>-2992378332.8499999</v>
      </c>
      <c r="K76" s="120">
        <f t="shared" si="44"/>
        <v>-2730839895.8199997</v>
      </c>
      <c r="L76" s="120">
        <f t="shared" si="44"/>
        <v>-3083405088.2999997</v>
      </c>
      <c r="M76" s="120">
        <f t="shared" si="44"/>
        <v>-3395238177.8699999</v>
      </c>
      <c r="N76" s="120">
        <f t="shared" si="44"/>
        <v>-3414731860.9400005</v>
      </c>
      <c r="O76" s="120">
        <f t="shared" si="44"/>
        <v>-2825415327.5100002</v>
      </c>
      <c r="P76" s="120">
        <f t="shared" si="44"/>
        <v>-3347798828.23</v>
      </c>
      <c r="Q76" s="120">
        <f t="shared" si="44"/>
        <v>-3266674760.6100006</v>
      </c>
      <c r="R76" s="120">
        <f t="shared" si="44"/>
        <v>-3769865299.8800011</v>
      </c>
      <c r="S76" s="120">
        <f t="shared" si="44"/>
        <v>-3412034570.79</v>
      </c>
      <c r="T76" s="120">
        <f t="shared" si="44"/>
        <v>-3500273847.5700006</v>
      </c>
      <c r="U76" s="120">
        <f t="shared" si="44"/>
        <v>-2957482557.0699997</v>
      </c>
      <c r="V76" s="120">
        <f t="shared" si="44"/>
        <v>-2896399286.0699997</v>
      </c>
      <c r="W76" s="120">
        <f t="shared" si="44"/>
        <v>-2199013432.1000004</v>
      </c>
      <c r="X76" s="120">
        <f t="shared" si="44"/>
        <v>-2199308737.8400002</v>
      </c>
      <c r="Y76" s="120">
        <f t="shared" si="44"/>
        <v>-1539089401.7399998</v>
      </c>
      <c r="Z76" s="120">
        <f t="shared" si="44"/>
        <v>-2049184429.23</v>
      </c>
      <c r="AA76" s="120">
        <f t="shared" si="44"/>
        <v>-1248772097.9500003</v>
      </c>
      <c r="AB76" s="120">
        <f t="shared" si="44"/>
        <v>-1404823461.27</v>
      </c>
      <c r="AC76" s="120">
        <f t="shared" si="44"/>
        <v>-1710486145.8599999</v>
      </c>
      <c r="AD76" s="120">
        <f t="shared" si="44"/>
        <v>-1067964411.6299999</v>
      </c>
      <c r="AE76" s="120">
        <f t="shared" si="44"/>
        <v>-618868216.74000001</v>
      </c>
      <c r="AF76" s="120">
        <f t="shared" si="44"/>
        <v>-659054906.10000002</v>
      </c>
      <c r="AG76" s="120">
        <f t="shared" si="44"/>
        <v>-327360528.0999999</v>
      </c>
      <c r="AH76" s="120">
        <f t="shared" si="44"/>
        <v>-243764657.88000011</v>
      </c>
      <c r="AI76" s="120">
        <f t="shared" si="44"/>
        <v>-272927918.16000003</v>
      </c>
      <c r="AJ76" s="120">
        <f t="shared" si="44"/>
        <v>-468342543.56</v>
      </c>
      <c r="AK76" s="120">
        <f t="shared" si="44"/>
        <v>-194276775.59000003</v>
      </c>
      <c r="AL76" s="120">
        <f t="shared" si="44"/>
        <v>-327183871.35000002</v>
      </c>
      <c r="AM76" s="120">
        <f t="shared" si="44"/>
        <v>-597704288.6500001</v>
      </c>
      <c r="AN76" s="120">
        <f t="shared" si="44"/>
        <v>-482058028.42999995</v>
      </c>
      <c r="AO76" s="120">
        <f t="shared" si="44"/>
        <v>-531345520.90000015</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39082</v>
      </c>
      <c r="AR80" s="1">
        <v>25569</v>
      </c>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23416550017.470001</v>
      </c>
      <c r="F81" s="76">
        <f>股权价值增加表!F4</f>
        <v>15936585490.809999</v>
      </c>
      <c r="G81" s="76">
        <f>股权价值增加表!G4</f>
        <v>9905427837.3400002</v>
      </c>
      <c r="H81" s="76">
        <f>股权价值增加表!H4</f>
        <v>3980952720.77</v>
      </c>
      <c r="I81" s="76">
        <f>股权价值增加表!I4</f>
        <v>20164545252.650002</v>
      </c>
      <c r="J81" s="76">
        <f>股权价值增加表!J4</f>
        <v>9108594167.6399994</v>
      </c>
      <c r="K81" s="76">
        <f>股权价值增加表!K4</f>
        <v>5630553788.9300003</v>
      </c>
      <c r="L81" s="76">
        <f>股权价值增加表!L4</f>
        <v>2381520488.8499999</v>
      </c>
      <c r="M81" s="76">
        <f>股权价值增加表!M4</f>
        <v>12026466467.639999</v>
      </c>
      <c r="N81" s="76">
        <f>股权价值增加表!N4</f>
        <v>8774967409.0100002</v>
      </c>
      <c r="O81" s="76">
        <f>股权价值增加表!O4</f>
        <v>5589949438.3699999</v>
      </c>
      <c r="P81" s="76">
        <f>股权价值增加表!P4</f>
        <v>2261383751.4200001</v>
      </c>
      <c r="Q81" s="76">
        <f>股权价值增加表!Q4</f>
        <v>12767230041.15</v>
      </c>
      <c r="R81" s="76">
        <f>股权价值增加表!R4</f>
        <v>9307426262</v>
      </c>
      <c r="S81" s="76">
        <f>股权价值增加表!S4</f>
        <v>5849589980.8900003</v>
      </c>
      <c r="T81" s="76">
        <f>股权价值增加表!T4</f>
        <v>2390695057.27</v>
      </c>
      <c r="U81" s="76">
        <f>股权价值增加表!U4</f>
        <v>11956507239.129999</v>
      </c>
      <c r="V81" s="76">
        <f>股权价值增加表!V4</f>
        <v>8565695458.21</v>
      </c>
      <c r="W81" s="76">
        <f>股权价值增加表!W4</f>
        <v>5414648582.5299997</v>
      </c>
      <c r="X81" s="76">
        <f>股权价值增加表!X4</f>
        <v>2070155415.79</v>
      </c>
      <c r="Y81" s="76">
        <f>股权价值增加表!Y4</f>
        <v>10703163376.129999</v>
      </c>
      <c r="Z81" s="76">
        <f>股权价值增加表!Z4</f>
        <v>7766650075.9799995</v>
      </c>
      <c r="AA81" s="76">
        <f>股权价值增加表!AA4</f>
        <v>4352728365.5</v>
      </c>
      <c r="AB81" s="76">
        <f>股权价值增加表!AB4</f>
        <v>1785299738.22</v>
      </c>
      <c r="AC81" s="76">
        <f>股权价值增加表!AC4</f>
        <v>8288198259.6800003</v>
      </c>
      <c r="AD81" s="76">
        <f>股权价值增加表!AD4</f>
        <v>6326671482.2600002</v>
      </c>
      <c r="AE81" s="76">
        <f>股权价值增加表!AE4</f>
        <v>4001898889.1199999</v>
      </c>
      <c r="AF81" s="76">
        <f>股权价值增加表!AF4</f>
        <v>1644797532.0899999</v>
      </c>
      <c r="AG81" s="76">
        <f>股权价值增加表!AG4</f>
        <v>6339109735.0900002</v>
      </c>
      <c r="AH81" s="76">
        <f>股权价值增加表!AH4</f>
        <v>4659762055.4300003</v>
      </c>
      <c r="AI81" s="76">
        <f>股权价值增加表!AI4</f>
        <v>2841252861.1300001</v>
      </c>
      <c r="AJ81" s="76">
        <f>股权价值增加表!AJ4</f>
        <v>1169899767.45</v>
      </c>
      <c r="AK81" s="76">
        <f>股权价值增加表!AK4</f>
        <v>4801517368.3699999</v>
      </c>
      <c r="AL81" s="76">
        <f>股权价值增加表!AL4</f>
        <v>3528348961.3000002</v>
      </c>
      <c r="AM81" s="76">
        <f>股权价值增加表!AM4</f>
        <v>2099639179.3099999</v>
      </c>
      <c r="AN81" s="76">
        <f>股权价值增加表!AN4</f>
        <v>873850113.40999997</v>
      </c>
      <c r="AO81" s="76">
        <f>股权价值增加表!AO4</f>
        <v>4442093335.0799999</v>
      </c>
      <c r="AP81" s="76">
        <f>股权价值增加表!AP4</f>
        <v>4184807996.5100002</v>
      </c>
      <c r="AQ81" s="76">
        <f>股权价值增加表!AQ4</f>
        <v>3377159073.3800001</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21697826085.07</v>
      </c>
      <c r="F82" s="76">
        <f>投资和筹资活动现金流表!F34</f>
        <v>20098271457.57</v>
      </c>
      <c r="G82" s="76">
        <f>投资和筹资活动现金流表!G34</f>
        <v>19350868040.369995</v>
      </c>
      <c r="H82" s="76">
        <f>投资和筹资活动现金流表!H34</f>
        <v>18003803681.16</v>
      </c>
      <c r="I82" s="76">
        <f>投资和筹资活动现金流表!I34</f>
        <v>17259274345.759995</v>
      </c>
      <c r="J82" s="76">
        <f>投资和筹资活动现金流表!J34</f>
        <v>2798892258.3599997</v>
      </c>
      <c r="K82" s="76">
        <f>投资和筹资活动现金流表!K34</f>
        <v>2834054928.3699999</v>
      </c>
      <c r="L82" s="76">
        <f>投资和筹资活动现金流表!L34</f>
        <v>2735512381.6900001</v>
      </c>
      <c r="M82" s="76">
        <f>投资和筹资活动现金流表!M34</f>
        <v>2802138806.6299996</v>
      </c>
      <c r="N82" s="76">
        <f>投资和筹资活动现金流表!N34</f>
        <v>2774140972.71</v>
      </c>
      <c r="O82" s="76">
        <f>投资和筹资活动现金流表!O34</f>
        <v>2892325741.5899997</v>
      </c>
      <c r="P82" s="76">
        <f>投资和筹资活动现金流表!P34</f>
        <v>2629955826.8199997</v>
      </c>
      <c r="Q82" s="76">
        <f>投资和筹资活动现金流表!Q34</f>
        <v>2571371504.9900002</v>
      </c>
      <c r="R82" s="76">
        <f>投资和筹资活动现金流表!R34</f>
        <v>2492904603.02</v>
      </c>
      <c r="S82" s="76">
        <f>投资和筹资活动现金流表!S34</f>
        <v>2944051429.75</v>
      </c>
      <c r="T82" s="76">
        <f>投资和筹资活动现金流表!T34</f>
        <v>2857339454.7900004</v>
      </c>
      <c r="U82" s="76">
        <f>投资和筹资活动现金流表!U34</f>
        <v>2779711915.8800001</v>
      </c>
      <c r="V82" s="76">
        <f>投资和筹资活动现金流表!V34</f>
        <v>2685696781.5599999</v>
      </c>
      <c r="W82" s="76">
        <f>投资和筹资活动现金流表!W34</f>
        <v>2611125918.9700003</v>
      </c>
      <c r="X82" s="76">
        <f>投资和筹资活动现金流表!X34</f>
        <v>2539180972.3000002</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0</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1.0792118033235889</v>
      </c>
      <c r="F83" s="155">
        <f t="shared" ref="F83:BQ83" si="46">F81/F82</f>
        <v>0.79293313977045998</v>
      </c>
      <c r="G83" s="155">
        <f t="shared" si="46"/>
        <v>0.51188545220168868</v>
      </c>
      <c r="H83" s="155">
        <f t="shared" si="46"/>
        <v>0.22111731450037139</v>
      </c>
      <c r="I83" s="155">
        <f t="shared" si="46"/>
        <v>1.168330999825826</v>
      </c>
      <c r="J83" s="155">
        <f t="shared" si="46"/>
        <v>3.2543568407942738</v>
      </c>
      <c r="K83" s="155">
        <f t="shared" si="46"/>
        <v>1.9867482921964397</v>
      </c>
      <c r="L83" s="155">
        <f t="shared" si="46"/>
        <v>0.8705939350852786</v>
      </c>
      <c r="M83" s="155">
        <f t="shared" si="46"/>
        <v>4.2918881959683022</v>
      </c>
      <c r="N83" s="155">
        <f t="shared" si="46"/>
        <v>3.1631295941092419</v>
      </c>
      <c r="O83" s="155">
        <f t="shared" si="46"/>
        <v>1.9326832237426461</v>
      </c>
      <c r="P83" s="155">
        <f t="shared" si="46"/>
        <v>0.85985617262413983</v>
      </c>
      <c r="Q83" s="155">
        <f t="shared" si="46"/>
        <v>4.9651440938712783</v>
      </c>
      <c r="R83" s="155">
        <f t="shared" si="46"/>
        <v>3.7335669606950175</v>
      </c>
      <c r="S83" s="155">
        <f t="shared" si="46"/>
        <v>1.9869184083468032</v>
      </c>
      <c r="T83" s="155">
        <f t="shared" si="46"/>
        <v>0.83668569839060425</v>
      </c>
      <c r="U83" s="155">
        <f t="shared" si="46"/>
        <v>4.3013476219692404</v>
      </c>
      <c r="V83" s="155">
        <f t="shared" si="46"/>
        <v>3.1893754786549562</v>
      </c>
      <c r="W83" s="155">
        <f t="shared" si="46"/>
        <v>2.0736834417644223</v>
      </c>
      <c r="X83" s="155">
        <f t="shared" si="46"/>
        <v>0.81528470730262481</v>
      </c>
      <c r="Y83" s="155">
        <f t="shared" si="46"/>
        <v>1.9840577879350569</v>
      </c>
      <c r="Z83" s="155">
        <f t="shared" si="46"/>
        <v>1.4117786348972825</v>
      </c>
      <c r="AA83" s="155">
        <f t="shared" si="46"/>
        <v>0.78035707887525019</v>
      </c>
      <c r="AB83" s="155">
        <f t="shared" si="46"/>
        <v>0.31341481042458402</v>
      </c>
      <c r="AC83" s="155">
        <f t="shared" si="46"/>
        <v>1.4340427700891942</v>
      </c>
      <c r="AD83" s="155">
        <f t="shared" si="46"/>
        <v>1.0831500136479943</v>
      </c>
      <c r="AE83" s="155">
        <f t="shared" si="46"/>
        <v>0.73641252572396554</v>
      </c>
      <c r="AF83" s="155">
        <f t="shared" si="46"/>
        <v>0.29798935016328132</v>
      </c>
      <c r="AG83" s="155">
        <f t="shared" si="46"/>
        <v>1.1344531305359813</v>
      </c>
      <c r="AH83" s="155">
        <f t="shared" si="46"/>
        <v>0.83395340395141637</v>
      </c>
      <c r="AI83" s="155">
        <f t="shared" si="46"/>
        <v>0.54900937395396576</v>
      </c>
      <c r="AJ83" s="155">
        <f t="shared" si="46"/>
        <v>0.25748666893760874</v>
      </c>
      <c r="AK83" s="155">
        <f t="shared" si="46"/>
        <v>1.0720927898694659</v>
      </c>
      <c r="AL83" s="155">
        <f t="shared" si="46"/>
        <v>0.78047409290534187</v>
      </c>
      <c r="AM83" s="155">
        <f t="shared" si="46"/>
        <v>0.57987059755257819</v>
      </c>
      <c r="AN83" s="155">
        <f t="shared" si="46"/>
        <v>0.23713752201303845</v>
      </c>
      <c r="AO83" s="155">
        <f t="shared" si="46"/>
        <v>1.2606554404079564</v>
      </c>
      <c r="AP83" s="155" t="e">
        <f t="shared" si="46"/>
        <v>#DIV/0!</v>
      </c>
      <c r="AQ83" s="155" t="e">
        <f t="shared" si="46"/>
        <v>#DIV/0!</v>
      </c>
      <c r="AR83" s="155" t="e">
        <f t="shared" si="46"/>
        <v>#DIV/0!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16092731979.01</v>
      </c>
      <c r="F84" s="76">
        <f>资产资本表!F52</f>
        <v>14934298369.110001</v>
      </c>
      <c r="G84" s="76">
        <f>资产资本表!G52</f>
        <v>14224190548.700001</v>
      </c>
      <c r="H84" s="76">
        <f>资产资本表!H52</f>
        <v>13590780451.950001</v>
      </c>
      <c r="I84" s="76">
        <f>资产资本表!I52</f>
        <v>13458027230.74</v>
      </c>
      <c r="J84" s="76">
        <f>资产资本表!J52</f>
        <v>2073746743.54</v>
      </c>
      <c r="K84" s="76">
        <f>资产资本表!K52</f>
        <v>2103821941.51</v>
      </c>
      <c r="L84" s="76">
        <f>资产资本表!L52</f>
        <v>2137503197.9300001</v>
      </c>
      <c r="M84" s="76">
        <f>资产资本表!M52</f>
        <v>2179153600.3499999</v>
      </c>
      <c r="N84" s="76">
        <f>资产资本表!N52</f>
        <v>2205174738.4400001</v>
      </c>
      <c r="O84" s="76">
        <f>资产资本表!O52</f>
        <v>2312507303.48</v>
      </c>
      <c r="P84" s="76">
        <f>资产资本表!P52</f>
        <v>1373458771.9200001</v>
      </c>
      <c r="Q84" s="76">
        <f>资产资本表!Q52</f>
        <v>1375339421.3299999</v>
      </c>
      <c r="R84" s="76">
        <f>资产资本表!R52</f>
        <v>1136783176.8199999</v>
      </c>
      <c r="S84" s="76">
        <f>资产资本表!S52</f>
        <v>1089717750.45</v>
      </c>
      <c r="T84" s="76">
        <f>资产资本表!T52</f>
        <v>1113766193.6500001</v>
      </c>
      <c r="U84" s="76">
        <f>资产资本表!U52</f>
        <v>1129562071.6199999</v>
      </c>
      <c r="V84" s="76">
        <f>资产资本表!V52</f>
        <v>917364170.58000004</v>
      </c>
      <c r="W84" s="76">
        <f>资产资本表!W52</f>
        <v>909180834.30999994</v>
      </c>
      <c r="X84" s="76">
        <f>资产资本表!X52</f>
        <v>931949373.02999997</v>
      </c>
      <c r="Y84" s="76">
        <f>资产资本表!Y52</f>
        <v>953934829.98000002</v>
      </c>
      <c r="Z84" s="76">
        <f>资产资本表!Z52</f>
        <v>922874919.89999998</v>
      </c>
      <c r="AA84" s="76">
        <f>资产资本表!AA52</f>
        <v>394474927.30000001</v>
      </c>
      <c r="AB84" s="76">
        <f>资产资本表!AB52</f>
        <v>382576574.16000003</v>
      </c>
      <c r="AC84" s="76">
        <f>资产资本表!AC52</f>
        <v>505924782.44999999</v>
      </c>
      <c r="AD84" s="76">
        <f>资产资本表!AD52</f>
        <v>367405101.52999997</v>
      </c>
      <c r="AE84" s="76">
        <f>资产资本表!AE52</f>
        <v>354684925.49000001</v>
      </c>
      <c r="AF84" s="76">
        <f>资产资本表!AF52</f>
        <v>345653637.62</v>
      </c>
      <c r="AG84" s="76">
        <f>资产资本表!AG52</f>
        <v>347883135.31</v>
      </c>
      <c r="AH84" s="76">
        <f>资产资本表!AH52</f>
        <v>345786586.81</v>
      </c>
      <c r="AI84" s="76">
        <f>资产资本表!AI52</f>
        <v>339712284.38999999</v>
      </c>
      <c r="AJ84" s="76">
        <f>资产资本表!AJ52</f>
        <v>348464022.55000001</v>
      </c>
      <c r="AK84" s="76">
        <f>资产资本表!AK52</f>
        <v>359336548.94</v>
      </c>
      <c r="AL84" s="76">
        <f>资产资本表!AL52</f>
        <v>364723393.83999997</v>
      </c>
      <c r="AM84" s="76">
        <f>资产资本表!AM52</f>
        <v>381552531.54000002</v>
      </c>
      <c r="AN84" s="76">
        <f>资产资本表!AN52</f>
        <v>380038562.97000003</v>
      </c>
      <c r="AO84" s="76">
        <f>资产资本表!AO52</f>
        <v>393304609.39999998</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1.4551009765161422</v>
      </c>
      <c r="F85" s="155">
        <f t="shared" ref="F85:BQ85" si="48">F81/F84</f>
        <v>1.0671131041397379</v>
      </c>
      <c r="G85" s="155">
        <f t="shared" si="48"/>
        <v>0.69637901738073194</v>
      </c>
      <c r="H85" s="155">
        <f t="shared" si="48"/>
        <v>0.29291568168911258</v>
      </c>
      <c r="I85" s="155">
        <f t="shared" si="48"/>
        <v>1.4983284627773219</v>
      </c>
      <c r="J85" s="155">
        <f t="shared" si="48"/>
        <v>4.3923368154836142</v>
      </c>
      <c r="K85" s="155">
        <f t="shared" si="48"/>
        <v>2.6763452162157408</v>
      </c>
      <c r="L85" s="155">
        <f t="shared" si="48"/>
        <v>1.114159965307332</v>
      </c>
      <c r="M85" s="155">
        <f t="shared" si="48"/>
        <v>5.5188704759996705</v>
      </c>
      <c r="N85" s="155">
        <f t="shared" si="48"/>
        <v>3.9792617138438873</v>
      </c>
      <c r="O85" s="155">
        <f t="shared" si="48"/>
        <v>2.4172677984445317</v>
      </c>
      <c r="P85" s="155">
        <f t="shared" si="48"/>
        <v>1.6464882657225615</v>
      </c>
      <c r="Q85" s="155">
        <f t="shared" si="48"/>
        <v>9.2829666939988194</v>
      </c>
      <c r="R85" s="155">
        <f t="shared" si="48"/>
        <v>8.1875123170245097</v>
      </c>
      <c r="S85" s="155">
        <f t="shared" si="48"/>
        <v>5.3679863234992791</v>
      </c>
      <c r="T85" s="155">
        <f t="shared" si="48"/>
        <v>2.1464963390882676</v>
      </c>
      <c r="U85" s="155">
        <f t="shared" si="48"/>
        <v>10.58508207697003</v>
      </c>
      <c r="V85" s="155">
        <f t="shared" si="48"/>
        <v>9.3372901764785201</v>
      </c>
      <c r="W85" s="155">
        <f t="shared" si="48"/>
        <v>5.955524333769433</v>
      </c>
      <c r="X85" s="155">
        <f t="shared" si="48"/>
        <v>2.2213174617623359</v>
      </c>
      <c r="Y85" s="155">
        <f t="shared" si="48"/>
        <v>11.220015287998656</v>
      </c>
      <c r="Z85" s="155">
        <f t="shared" si="48"/>
        <v>8.415712583046</v>
      </c>
      <c r="AA85" s="155">
        <f t="shared" si="48"/>
        <v>11.034233266211441</v>
      </c>
      <c r="AB85" s="155">
        <f t="shared" si="48"/>
        <v>4.6665160880272749</v>
      </c>
      <c r="AC85" s="155">
        <f t="shared" si="48"/>
        <v>16.382273703896121</v>
      </c>
      <c r="AD85" s="155">
        <f t="shared" si="48"/>
        <v>17.219879244772557</v>
      </c>
      <c r="AE85" s="155">
        <f t="shared" si="48"/>
        <v>11.282968633615722</v>
      </c>
      <c r="AF85" s="155">
        <f t="shared" si="48"/>
        <v>4.7585135901223614</v>
      </c>
      <c r="AG85" s="155">
        <f t="shared" si="48"/>
        <v>18.221951832879725</v>
      </c>
      <c r="AH85" s="155">
        <f t="shared" si="48"/>
        <v>13.475832299968328</v>
      </c>
      <c r="AI85" s="155">
        <f t="shared" si="48"/>
        <v>8.3637036153457309</v>
      </c>
      <c r="AJ85" s="155">
        <f t="shared" si="48"/>
        <v>3.357304317641959</v>
      </c>
      <c r="AK85" s="155">
        <f t="shared" si="48"/>
        <v>13.362173657352429</v>
      </c>
      <c r="AL85" s="155">
        <f t="shared" si="48"/>
        <v>9.6740407138453168</v>
      </c>
      <c r="AM85" s="155">
        <f t="shared" si="48"/>
        <v>5.5028836287248808</v>
      </c>
      <c r="AN85" s="155">
        <f t="shared" si="48"/>
        <v>2.2993722178635356</v>
      </c>
      <c r="AO85" s="155">
        <f t="shared" si="48"/>
        <v>11.294282418547215</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1029917780.4</v>
      </c>
      <c r="F86" s="76">
        <f>资产资本表!F53</f>
        <v>1486585130.95</v>
      </c>
      <c r="G86" s="76">
        <f>资产资本表!G53</f>
        <v>1779703833.55</v>
      </c>
      <c r="H86" s="76">
        <f>资产资本表!H53</f>
        <v>1263224886.79</v>
      </c>
      <c r="I86" s="76">
        <f>资产资本表!I53</f>
        <v>819268860.46000004</v>
      </c>
      <c r="J86" s="76">
        <f>资产资本表!J53</f>
        <v>43462460.280000001</v>
      </c>
      <c r="K86" s="76">
        <f>资产资本表!K53</f>
        <v>41614759.560000002</v>
      </c>
      <c r="L86" s="76">
        <f>资产资本表!L53</f>
        <v>38247525.159999996</v>
      </c>
      <c r="M86" s="76">
        <f>资产资本表!M53</f>
        <v>42339307.579999998</v>
      </c>
      <c r="N86" s="76">
        <f>资产资本表!N53</f>
        <v>41384098.299999997</v>
      </c>
      <c r="O86" s="76">
        <f>资产资本表!O53</f>
        <v>52269816.32</v>
      </c>
      <c r="P86" s="76">
        <f>资产资本表!P53</f>
        <v>711573983.59000003</v>
      </c>
      <c r="Q86" s="76">
        <f>资产资本表!Q53</f>
        <v>651816681.73000002</v>
      </c>
      <c r="R86" s="76">
        <f>资产资本表!R53</f>
        <v>800847121.76999998</v>
      </c>
      <c r="S86" s="76">
        <f>资产资本表!S53</f>
        <v>822538270.91999996</v>
      </c>
      <c r="T86" s="76">
        <f>资产资本表!T53</f>
        <v>765404278.53999996</v>
      </c>
      <c r="U86" s="76">
        <f>资产资本表!U53</f>
        <v>680197211.17999995</v>
      </c>
      <c r="V86" s="76">
        <f>资产资本表!V53</f>
        <v>795580505.10000002</v>
      </c>
      <c r="W86" s="76">
        <f>资产资本表!W53</f>
        <v>731594289.51999998</v>
      </c>
      <c r="X86" s="76">
        <f>资产资本表!X53</f>
        <v>635451373.71000004</v>
      </c>
      <c r="Y86" s="76">
        <f>资产资本表!Y53</f>
        <v>561839053.14999998</v>
      </c>
      <c r="Z86" s="76">
        <f>资产资本表!Z53</f>
        <v>425177115.63</v>
      </c>
      <c r="AA86" s="76">
        <f>资产资本表!AA53</f>
        <v>354147857.72000003</v>
      </c>
      <c r="AB86" s="76">
        <f>资产资本表!AB53</f>
        <v>236563652.41999999</v>
      </c>
      <c r="AC86" s="76">
        <f>资产资本表!AC53</f>
        <v>233342244.43000001</v>
      </c>
      <c r="AD86" s="76">
        <f>资产资本表!AD53</f>
        <v>131506908.77</v>
      </c>
      <c r="AE86" s="76">
        <f>资产资本表!AE53</f>
        <v>105474769.68000001</v>
      </c>
      <c r="AF86" s="76">
        <f>资产资本表!AF53</f>
        <v>73981335.530000001</v>
      </c>
      <c r="AG86" s="76">
        <f>资产资本表!AG53</f>
        <v>60311953.530000001</v>
      </c>
      <c r="AH86" s="76">
        <f>资产资本表!AH53</f>
        <v>33756973.859999999</v>
      </c>
      <c r="AI86" s="76">
        <f>资产资本表!AI53</f>
        <v>12522524.619999999</v>
      </c>
      <c r="AJ86" s="76">
        <f>资产资本表!AJ53</f>
        <v>11165518.890000001</v>
      </c>
      <c r="AK86" s="76">
        <f>资产资本表!AK53</f>
        <v>8340251.5199999996</v>
      </c>
      <c r="AL86" s="76">
        <f>资产资本表!AL53</f>
        <v>6754222.8700000001</v>
      </c>
      <c r="AM86" s="76">
        <f>资产资本表!AM53</f>
        <v>6708956.79</v>
      </c>
      <c r="AN86" s="76">
        <f>资产资本表!AN53</f>
        <v>11572117.82</v>
      </c>
      <c r="AO86" s="76">
        <f>资产资本表!AO53</f>
        <v>2743495.31</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22.736329504259526</v>
      </c>
      <c r="F87" s="54">
        <f t="shared" ref="F87:BQ87" si="50">F81/F86</f>
        <v>10.720264288279102</v>
      </c>
      <c r="G87" s="54">
        <f t="shared" si="50"/>
        <v>5.5657731643930362</v>
      </c>
      <c r="H87" s="54">
        <f t="shared" si="50"/>
        <v>3.1514204338437786</v>
      </c>
      <c r="I87" s="54">
        <f t="shared" si="50"/>
        <v>24.612854492392263</v>
      </c>
      <c r="J87" s="54">
        <f t="shared" si="50"/>
        <v>209.57382782657325</v>
      </c>
      <c r="K87" s="54">
        <f t="shared" si="50"/>
        <v>135.30184599076895</v>
      </c>
      <c r="L87" s="54">
        <f t="shared" si="50"/>
        <v>62.266002280864967</v>
      </c>
      <c r="M87" s="54">
        <f t="shared" si="50"/>
        <v>284.04967286996902</v>
      </c>
      <c r="N87" s="54">
        <f t="shared" si="50"/>
        <v>212.03717779227296</v>
      </c>
      <c r="O87" s="54">
        <f t="shared" si="50"/>
        <v>106.94411865057803</v>
      </c>
      <c r="P87" s="54">
        <f t="shared" si="50"/>
        <v>3.178002292904206</v>
      </c>
      <c r="Q87" s="54">
        <f t="shared" si="50"/>
        <v>19.587148348618868</v>
      </c>
      <c r="R87" s="54">
        <f t="shared" si="50"/>
        <v>11.621976291091741</v>
      </c>
      <c r="S87" s="54">
        <f t="shared" si="50"/>
        <v>7.111632598380254</v>
      </c>
      <c r="T87" s="54">
        <f t="shared" si="50"/>
        <v>3.123440937422278</v>
      </c>
      <c r="U87" s="54">
        <f t="shared" si="50"/>
        <v>17.578000971788693</v>
      </c>
      <c r="V87" s="54">
        <f t="shared" si="50"/>
        <v>10.766597978834763</v>
      </c>
      <c r="W87" s="54">
        <f t="shared" si="50"/>
        <v>7.4011629944276329</v>
      </c>
      <c r="X87" s="54">
        <f t="shared" si="50"/>
        <v>3.2577715643349188</v>
      </c>
      <c r="Y87" s="54">
        <f t="shared" si="50"/>
        <v>19.050230339314744</v>
      </c>
      <c r="Z87" s="54">
        <f t="shared" si="50"/>
        <v>18.266858187962161</v>
      </c>
      <c r="AA87" s="54">
        <f t="shared" si="50"/>
        <v>12.290709291658057</v>
      </c>
      <c r="AB87" s="54">
        <f t="shared" si="50"/>
        <v>7.5468049294840194</v>
      </c>
      <c r="AC87" s="54">
        <f t="shared" si="50"/>
        <v>35.51949318018309</v>
      </c>
      <c r="AD87" s="54">
        <f t="shared" si="50"/>
        <v>48.109042646003338</v>
      </c>
      <c r="AE87" s="54">
        <f t="shared" si="50"/>
        <v>37.941764663353752</v>
      </c>
      <c r="AF87" s="54">
        <f t="shared" si="50"/>
        <v>22.232601240660514</v>
      </c>
      <c r="AG87" s="54">
        <f t="shared" si="50"/>
        <v>105.10536243759438</v>
      </c>
      <c r="AH87" s="54">
        <f t="shared" si="50"/>
        <v>138.03850057044184</v>
      </c>
      <c r="AI87" s="54">
        <f t="shared" si="50"/>
        <v>226.89137752559677</v>
      </c>
      <c r="AJ87" s="54">
        <f t="shared" si="50"/>
        <v>104.77791305317473</v>
      </c>
      <c r="AK87" s="54">
        <f t="shared" si="50"/>
        <v>575.70414475581674</v>
      </c>
      <c r="AL87" s="54">
        <f t="shared" si="50"/>
        <v>522.39155106529677</v>
      </c>
      <c r="AM87" s="54">
        <f t="shared" si="50"/>
        <v>312.96060550570337</v>
      </c>
      <c r="AN87" s="54">
        <f t="shared" si="50"/>
        <v>75.513413102287259</v>
      </c>
      <c r="AO87" s="54">
        <f t="shared" si="50"/>
        <v>1619.136478523814</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6180855.1699999999</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344248693.23000002</v>
      </c>
      <c r="F92" s="76">
        <f>资产资本表!F58</f>
        <v>548842593.21000004</v>
      </c>
      <c r="G92" s="76">
        <f>资产资本表!G58</f>
        <v>530863354.52999997</v>
      </c>
      <c r="H92" s="76">
        <f>资产资本表!H58</f>
        <v>524462293.81999999</v>
      </c>
      <c r="I92" s="76">
        <f>资产资本表!I58</f>
        <v>530349904.79000002</v>
      </c>
      <c r="J92" s="76">
        <f>资产资本表!J58</f>
        <v>418604118.30000001</v>
      </c>
      <c r="K92" s="76">
        <f>资产资本表!K58</f>
        <v>428760234.94999999</v>
      </c>
      <c r="L92" s="76">
        <f>资产资本表!L58</f>
        <v>224977376.34999999</v>
      </c>
      <c r="M92" s="76">
        <f>资产资本表!M58</f>
        <v>229533410.63999999</v>
      </c>
      <c r="N92" s="76">
        <f>资产资本表!N58</f>
        <v>233844487.13</v>
      </c>
      <c r="O92" s="76">
        <f>资产资本表!O58</f>
        <v>238165554.30000001</v>
      </c>
      <c r="P92" s="76">
        <f>资产资本表!P58</f>
        <v>243062342.69999999</v>
      </c>
      <c r="Q92" s="76">
        <f>资产资本表!Q58</f>
        <v>247755664.41</v>
      </c>
      <c r="R92" s="76">
        <f>资产资本表!R58</f>
        <v>281296189.88999999</v>
      </c>
      <c r="S92" s="76">
        <f>资产资本表!S58</f>
        <v>286876111.19999999</v>
      </c>
      <c r="T92" s="76">
        <f>资产资本表!T58</f>
        <v>292865890.91000003</v>
      </c>
      <c r="U92" s="76">
        <f>资产资本表!U58</f>
        <v>288131513.64999998</v>
      </c>
      <c r="V92" s="76">
        <f>资产资本表!V58</f>
        <v>320027169.68000001</v>
      </c>
      <c r="W92" s="76">
        <f>资产资本表!W58</f>
        <v>319900878.16000003</v>
      </c>
      <c r="X92" s="76">
        <f>资产资本表!X58</f>
        <v>328010395.62</v>
      </c>
      <c r="Y92" s="76">
        <f>资产资本表!Y58</f>
        <v>333115179.85000002</v>
      </c>
      <c r="Z92" s="76">
        <f>资产资本表!Z58</f>
        <v>296249569.74000001</v>
      </c>
      <c r="AA92" s="76">
        <f>资产资本表!AA58</f>
        <v>218028441.5</v>
      </c>
      <c r="AB92" s="76">
        <f>资产资本表!AB58</f>
        <v>163507116.47</v>
      </c>
      <c r="AC92" s="76">
        <f>资产资本表!AC58</f>
        <v>190205113.77000001</v>
      </c>
      <c r="AD92" s="76">
        <f>资产资本表!AD58</f>
        <v>96006483.079999998</v>
      </c>
      <c r="AE92" s="76">
        <f>资产资本表!AE58</f>
        <v>97322119.010000005</v>
      </c>
      <c r="AF92" s="76">
        <f>资产资本表!AF58</f>
        <v>98141359.569999993</v>
      </c>
      <c r="AG92" s="76">
        <f>资产资本表!AG58</f>
        <v>99507778.819999993</v>
      </c>
      <c r="AH92" s="76">
        <f>资产资本表!AH58</f>
        <v>103667318.05</v>
      </c>
      <c r="AI92" s="76">
        <f>资产资本表!AI58</f>
        <v>104782170.33</v>
      </c>
      <c r="AJ92" s="76">
        <f>资产资本表!AJ58</f>
        <v>67479174.379999995</v>
      </c>
      <c r="AK92" s="76">
        <f>资产资本表!AK58</f>
        <v>67787646.680000007</v>
      </c>
      <c r="AL92" s="76">
        <f>资产资本表!AL58</f>
        <v>69116433.140000001</v>
      </c>
      <c r="AM92" s="76">
        <f>资产资本表!AM58</f>
        <v>70346336.310000002</v>
      </c>
      <c r="AN92" s="76">
        <f>资产资本表!AN58</f>
        <v>26456158.260000002</v>
      </c>
      <c r="AO92" s="76">
        <f>资产资本表!AO58</f>
        <v>27824228.940000001</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68.022189998045675</v>
      </c>
      <c r="F93" s="155">
        <f t="shared" ref="F93:BQ93" si="52">F81/F92</f>
        <v>29.036714147133054</v>
      </c>
      <c r="G93" s="155">
        <f t="shared" si="52"/>
        <v>18.659091370339123</v>
      </c>
      <c r="H93" s="155">
        <f t="shared" si="52"/>
        <v>7.5905413366786236</v>
      </c>
      <c r="I93" s="155">
        <f t="shared" si="52"/>
        <v>38.021210281228306</v>
      </c>
      <c r="J93" s="155">
        <f t="shared" si="52"/>
        <v>21.759447099161516</v>
      </c>
      <c r="K93" s="155">
        <f t="shared" si="52"/>
        <v>13.132173485226794</v>
      </c>
      <c r="L93" s="155">
        <f t="shared" si="52"/>
        <v>10.58559988336356</v>
      </c>
      <c r="M93" s="155">
        <f t="shared" si="52"/>
        <v>52.395276287260415</v>
      </c>
      <c r="N93" s="155">
        <f t="shared" si="52"/>
        <v>37.524799137692632</v>
      </c>
      <c r="O93" s="155">
        <f t="shared" si="52"/>
        <v>23.47085603877353</v>
      </c>
      <c r="P93" s="155">
        <f t="shared" si="52"/>
        <v>9.3037190635947908</v>
      </c>
      <c r="Q93" s="155">
        <f t="shared" si="52"/>
        <v>51.531536409282936</v>
      </c>
      <c r="R93" s="155">
        <f t="shared" si="52"/>
        <v>33.087637147305976</v>
      </c>
      <c r="S93" s="155">
        <f t="shared" si="52"/>
        <v>20.390648619786507</v>
      </c>
      <c r="T93" s="155">
        <f t="shared" si="52"/>
        <v>8.1631051326652422</v>
      </c>
      <c r="U93" s="155">
        <f t="shared" si="52"/>
        <v>41.496700890739241</v>
      </c>
      <c r="V93" s="155">
        <f t="shared" si="52"/>
        <v>26.765525773249092</v>
      </c>
      <c r="W93" s="155">
        <f t="shared" si="52"/>
        <v>16.926019752349152</v>
      </c>
      <c r="X93" s="155">
        <f t="shared" si="52"/>
        <v>6.3112494098762486</v>
      </c>
      <c r="Y93" s="155">
        <f t="shared" si="52"/>
        <v>32.130518281843464</v>
      </c>
      <c r="Z93" s="155">
        <f t="shared" si="52"/>
        <v>26.216578416624571</v>
      </c>
      <c r="AA93" s="155">
        <f t="shared" si="52"/>
        <v>19.964039258153392</v>
      </c>
      <c r="AB93" s="155">
        <f t="shared" si="52"/>
        <v>10.918789204796255</v>
      </c>
      <c r="AC93" s="155">
        <f t="shared" si="52"/>
        <v>43.575054820567352</v>
      </c>
      <c r="AD93" s="155">
        <f t="shared" si="52"/>
        <v>65.898377685474955</v>
      </c>
      <c r="AE93" s="155">
        <f t="shared" si="52"/>
        <v>41.12013722912053</v>
      </c>
      <c r="AF93" s="155">
        <f t="shared" si="52"/>
        <v>16.759473674468886</v>
      </c>
      <c r="AG93" s="155">
        <f t="shared" si="52"/>
        <v>63.704665205690503</v>
      </c>
      <c r="AH93" s="155">
        <f t="shared" si="52"/>
        <v>44.949190767938461</v>
      </c>
      <c r="AI93" s="155">
        <f t="shared" si="52"/>
        <v>27.11580464674271</v>
      </c>
      <c r="AJ93" s="155">
        <f t="shared" si="52"/>
        <v>17.337197412372966</v>
      </c>
      <c r="AK93" s="155">
        <f t="shared" si="52"/>
        <v>70.831745952712566</v>
      </c>
      <c r="AL93" s="155">
        <f t="shared" si="52"/>
        <v>51.049349640961523</v>
      </c>
      <c r="AM93" s="155">
        <f t="shared" si="52"/>
        <v>29.847171714208066</v>
      </c>
      <c r="AN93" s="155">
        <f t="shared" si="52"/>
        <v>33.030121184722603</v>
      </c>
      <c r="AO93" s="155">
        <f t="shared" si="52"/>
        <v>159.64838934652613</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0</v>
      </c>
      <c r="F94" s="76">
        <f>资产资本表!F59</f>
        <v>812427.68</v>
      </c>
      <c r="G94" s="76">
        <f>资产资本表!G59</f>
        <v>441269.06</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17303594.719999999</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38071978.200000003</v>
      </c>
      <c r="F95" s="76">
        <f>资产资本表!F60</f>
        <v>7963285.5800000001</v>
      </c>
      <c r="G95" s="76">
        <f>资产资本表!G60</f>
        <v>7963285.5800000001</v>
      </c>
      <c r="H95" s="76">
        <f>资产资本表!H60</f>
        <v>7963285.5800000001</v>
      </c>
      <c r="I95" s="76">
        <f>资产资本表!I60</f>
        <v>7963285.5800000001</v>
      </c>
      <c r="J95" s="76">
        <f>资产资本表!J60</f>
        <v>10626662.300000001</v>
      </c>
      <c r="K95" s="76">
        <f>资产资本表!K60</f>
        <v>10626662.300000001</v>
      </c>
      <c r="L95" s="76">
        <f>资产资本表!L60</f>
        <v>10626662.300000001</v>
      </c>
      <c r="M95" s="76">
        <f>资产资本表!M60</f>
        <v>10626662.300000001</v>
      </c>
      <c r="N95" s="76">
        <f>资产资本表!N60</f>
        <v>10626662.300000001</v>
      </c>
      <c r="O95" s="76">
        <f>资产资本表!O60</f>
        <v>10626662.300000001</v>
      </c>
      <c r="P95" s="76">
        <f>资产资本表!P60</f>
        <v>10626662.300000001</v>
      </c>
      <c r="Q95" s="76">
        <f>资产资本表!Q60</f>
        <v>2663376.7200000002</v>
      </c>
      <c r="R95" s="76">
        <f>资产资本表!R60</f>
        <v>2663376.7200000002</v>
      </c>
      <c r="S95" s="76">
        <f>资产资本表!S60</f>
        <v>2663376.7200000002</v>
      </c>
      <c r="T95" s="76">
        <f>资产资本表!T60</f>
        <v>2663376.7200000002</v>
      </c>
      <c r="U95" s="76">
        <f>资产资本表!U60</f>
        <v>2663376.7200000002</v>
      </c>
      <c r="V95" s="76">
        <f>资产资本表!V60</f>
        <v>1042622.14</v>
      </c>
      <c r="W95" s="76">
        <f>资产资本表!W60</f>
        <v>1042622.14</v>
      </c>
      <c r="X95" s="76">
        <f>资产资本表!X60</f>
        <v>1042622.14</v>
      </c>
      <c r="Y95" s="76">
        <f>资产资本表!Y60</f>
        <v>1042622.14</v>
      </c>
      <c r="Z95" s="76">
        <f>资产资本表!Z60</f>
        <v>1379263.62</v>
      </c>
      <c r="AA95" s="76">
        <f>资产资本表!AA60</f>
        <v>1379263.62</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227377088.87</v>
      </c>
      <c r="F96" s="76">
        <f>资产资本表!F61</f>
        <v>182667273.66</v>
      </c>
      <c r="G96" s="76">
        <f>资产资本表!G61</f>
        <v>138405721.59</v>
      </c>
      <c r="H96" s="76">
        <f>资产资本表!H61</f>
        <v>147932358.71000001</v>
      </c>
      <c r="I96" s="76">
        <f>资产资本表!I61</f>
        <v>136100015.86000001</v>
      </c>
      <c r="J96" s="76">
        <f>资产资本表!J61</f>
        <v>30261043.100000001</v>
      </c>
      <c r="K96" s="76">
        <f>资产资本表!K61</f>
        <v>28694219.530000001</v>
      </c>
      <c r="L96" s="76">
        <f>资产资本表!L61</f>
        <v>26915015.440000001</v>
      </c>
      <c r="M96" s="76">
        <f>资产资本表!M61</f>
        <v>27176396.539999999</v>
      </c>
      <c r="N96" s="76">
        <f>资产资本表!N61</f>
        <v>17490873.149999999</v>
      </c>
      <c r="O96" s="76">
        <f>资产资本表!O61</f>
        <v>22819561.050000001</v>
      </c>
      <c r="P96" s="76">
        <f>资产资本表!P61</f>
        <v>22055540.09</v>
      </c>
      <c r="Q96" s="76">
        <f>资产资本表!Q61</f>
        <v>18395444.280000001</v>
      </c>
      <c r="R96" s="76">
        <f>资产资本表!R61</f>
        <v>12632019.93</v>
      </c>
      <c r="S96" s="76">
        <f>资产资本表!S61</f>
        <v>13576744.92</v>
      </c>
      <c r="T96" s="76">
        <f>资产资本表!T61</f>
        <v>14978913.33</v>
      </c>
      <c r="U96" s="76">
        <f>资产资本表!U61</f>
        <v>15537633.16</v>
      </c>
      <c r="V96" s="76">
        <f>资产资本表!V61</f>
        <v>23159954.329999998</v>
      </c>
      <c r="W96" s="76">
        <f>资产资本表!W61</f>
        <v>23789759.030000001</v>
      </c>
      <c r="X96" s="76">
        <f>资产资本表!X61</f>
        <v>23596310.02</v>
      </c>
      <c r="Y96" s="76">
        <f>资产资本表!Y61</f>
        <v>25777309.870000001</v>
      </c>
      <c r="Z96" s="76">
        <f>资产资本表!Z61</f>
        <v>25209104.34</v>
      </c>
      <c r="AA96" s="76">
        <f>资产资本表!AA61</f>
        <v>11230229.85</v>
      </c>
      <c r="AB96" s="76">
        <f>资产资本表!AB61</f>
        <v>11602866.15</v>
      </c>
      <c r="AC96" s="76">
        <f>资产资本表!AC61</f>
        <v>20709911.59</v>
      </c>
      <c r="AD96" s="76">
        <f>资产资本表!AD61</f>
        <v>12067176.65</v>
      </c>
      <c r="AE96" s="76">
        <f>资产资本表!AE61</f>
        <v>12451563.35</v>
      </c>
      <c r="AF96" s="76">
        <f>资产资本表!AF61</f>
        <v>13217224.82</v>
      </c>
      <c r="AG96" s="76">
        <f>资产资本表!AG61</f>
        <v>13264252.779999999</v>
      </c>
      <c r="AH96" s="76">
        <f>资产资本表!AH61</f>
        <v>11878831.32</v>
      </c>
      <c r="AI96" s="76">
        <f>资产资本表!AI61</f>
        <v>12147347.9</v>
      </c>
      <c r="AJ96" s="76">
        <f>资产资本表!AJ61</f>
        <v>12618506.369999999</v>
      </c>
      <c r="AK96" s="76">
        <f>资产资本表!AK61</f>
        <v>12684381</v>
      </c>
      <c r="AL96" s="76">
        <f>资产资本表!AL61</f>
        <v>570913.63</v>
      </c>
      <c r="AM96" s="76">
        <f>资产资本表!AM61</f>
        <v>702662.89</v>
      </c>
      <c r="AN96" s="76">
        <f>资产资本表!AN61</f>
        <v>0</v>
      </c>
      <c r="AO96" s="76">
        <f>资产资本表!AO61</f>
        <v>2814005.12</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281618590.17000002</v>
      </c>
      <c r="F97" s="76">
        <f>资产资本表!F62</f>
        <v>225209775.71000001</v>
      </c>
      <c r="G97" s="76">
        <f>资产资本表!G62</f>
        <v>231695589.28999999</v>
      </c>
      <c r="H97" s="76">
        <f>资产资本表!H62</f>
        <v>224225243.97999999</v>
      </c>
      <c r="I97" s="76">
        <f>资产资本表!I62</f>
        <v>231502014.28999999</v>
      </c>
      <c r="J97" s="76">
        <f>资产资本表!J62</f>
        <v>117233625.88</v>
      </c>
      <c r="K97" s="76">
        <f>资产资本表!K62</f>
        <v>117206120.53</v>
      </c>
      <c r="L97" s="76">
        <f>资产资本表!L62</f>
        <v>144682467.88</v>
      </c>
      <c r="M97" s="76">
        <f>资产资本表!M62</f>
        <v>148137578.74000001</v>
      </c>
      <c r="N97" s="76">
        <f>资产资本表!N62</f>
        <v>161289485.81999999</v>
      </c>
      <c r="O97" s="76">
        <f>资产资本表!O62</f>
        <v>158235923.15000001</v>
      </c>
      <c r="P97" s="76">
        <f>资产资本表!P62</f>
        <v>168797084.43000001</v>
      </c>
      <c r="Q97" s="76">
        <f>资产资本表!Q62</f>
        <v>168414758.18000001</v>
      </c>
      <c r="R97" s="76">
        <f>资产资本表!R62</f>
        <v>156507585.66999999</v>
      </c>
      <c r="S97" s="76">
        <f>资产资本表!S62</f>
        <v>156755512.84999999</v>
      </c>
      <c r="T97" s="76">
        <f>资产资本表!T62</f>
        <v>121340159.81</v>
      </c>
      <c r="U97" s="76">
        <f>资产资本表!U62</f>
        <v>119117142.52</v>
      </c>
      <c r="V97" s="76">
        <f>资产资本表!V62</f>
        <v>101305006.66</v>
      </c>
      <c r="W97" s="76">
        <f>资产资本表!W62</f>
        <v>101457621.97</v>
      </c>
      <c r="X97" s="76">
        <f>资产资本表!X62</f>
        <v>112593731.33</v>
      </c>
      <c r="Y97" s="76">
        <f>资产资本表!Y62</f>
        <v>108169885.62</v>
      </c>
      <c r="Z97" s="76">
        <f>资产资本表!Z62</f>
        <v>98638452.150000006</v>
      </c>
      <c r="AA97" s="76">
        <f>资产资本表!AA62</f>
        <v>90946596.480000004</v>
      </c>
      <c r="AB97" s="76">
        <f>资产资本表!AB62</f>
        <v>76279406.409999996</v>
      </c>
      <c r="AC97" s="76">
        <f>资产资本表!AC62</f>
        <v>84041326.810000002</v>
      </c>
      <c r="AD97" s="76">
        <f>资产资本表!AD62</f>
        <v>58581378.060000002</v>
      </c>
      <c r="AE97" s="76">
        <f>资产资本表!AE62</f>
        <v>58572233.670000002</v>
      </c>
      <c r="AF97" s="76">
        <f>资产资本表!AF62</f>
        <v>56925868.75</v>
      </c>
      <c r="AG97" s="76">
        <f>资产资本表!AG62</f>
        <v>56808408.390000001</v>
      </c>
      <c r="AH97" s="76">
        <f>资产资本表!AH62</f>
        <v>34934404.649999999</v>
      </c>
      <c r="AI97" s="76">
        <f>资产资本表!AI62</f>
        <v>35378057.119999997</v>
      </c>
      <c r="AJ97" s="76">
        <f>资产资本表!AJ62</f>
        <v>32181465.190000001</v>
      </c>
      <c r="AK97" s="76">
        <f>资产资本表!AK62</f>
        <v>31007675.59</v>
      </c>
      <c r="AL97" s="76">
        <f>资产资本表!AL62</f>
        <v>8948501.4199999999</v>
      </c>
      <c r="AM97" s="76">
        <f>资产资本表!AM62</f>
        <v>12289900.210000001</v>
      </c>
      <c r="AN97" s="76">
        <f>资产资本表!AN62</f>
        <v>9539921.0199999996</v>
      </c>
      <c r="AO97" s="76">
        <f>资产资本表!AO62</f>
        <v>17315535.629999999</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8347253.0099999998</v>
      </c>
      <c r="F98" s="76">
        <f>资产资本表!F63</f>
        <v>13553443.5</v>
      </c>
      <c r="G98" s="76">
        <f>资产资本表!G63</f>
        <v>13756155.93</v>
      </c>
      <c r="H98" s="76">
        <f>资产资本表!H63</f>
        <v>9218590.7300000004</v>
      </c>
      <c r="I98" s="76">
        <f>资产资本表!I63</f>
        <v>13560491.880000001</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1000026582.47</v>
      </c>
      <c r="F99" s="93">
        <f>资产资本表!F64</f>
        <v>1295928878.6900001</v>
      </c>
      <c r="G99" s="93">
        <f>资产资本表!G64</f>
        <v>1075705793.1600001</v>
      </c>
      <c r="H99" s="93">
        <f>资产资本表!H64</f>
        <v>864341502.71000004</v>
      </c>
      <c r="I99" s="93">
        <f>资产资本表!I64</f>
        <v>848068182.00999999</v>
      </c>
      <c r="J99" s="93">
        <f>资产资本表!J64</f>
        <v>1615336.81</v>
      </c>
      <c r="K99" s="93">
        <f>资产资本表!K64</f>
        <v>1615336.81</v>
      </c>
      <c r="L99" s="93">
        <f>资产资本表!L64</f>
        <v>52445842.310000002</v>
      </c>
      <c r="M99" s="93">
        <f>资产资本表!M64</f>
        <v>66859442.18</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14775379604.875</v>
      </c>
      <c r="F100" s="197">
        <f t="shared" ref="F100:BQ100" si="54">(F84+J84)/2</f>
        <v>8504022556.3250008</v>
      </c>
      <c r="G100" s="197">
        <f t="shared" si="54"/>
        <v>8164006245.1050005</v>
      </c>
      <c r="H100" s="197">
        <f t="shared" si="54"/>
        <v>7864141824.9400005</v>
      </c>
      <c r="I100" s="197">
        <f t="shared" si="54"/>
        <v>7818590415.5450001</v>
      </c>
      <c r="J100" s="197">
        <f t="shared" si="54"/>
        <v>2139460740.99</v>
      </c>
      <c r="K100" s="197">
        <f t="shared" si="54"/>
        <v>2208164622.4949999</v>
      </c>
      <c r="L100" s="197">
        <f t="shared" si="54"/>
        <v>1755480984.9250002</v>
      </c>
      <c r="M100" s="197">
        <f t="shared" si="54"/>
        <v>1777246510.8399999</v>
      </c>
      <c r="N100" s="197">
        <f t="shared" si="54"/>
        <v>1670978957.6300001</v>
      </c>
      <c r="O100" s="197">
        <f t="shared" si="54"/>
        <v>1701112526.9650002</v>
      </c>
      <c r="P100" s="197">
        <f t="shared" si="54"/>
        <v>1243612482.7850001</v>
      </c>
      <c r="Q100" s="197">
        <f t="shared" si="54"/>
        <v>1252450746.4749999</v>
      </c>
      <c r="R100" s="197">
        <f t="shared" si="54"/>
        <v>1027073673.7</v>
      </c>
      <c r="S100" s="197">
        <f t="shared" si="54"/>
        <v>999449292.38</v>
      </c>
      <c r="T100" s="197">
        <f t="shared" si="54"/>
        <v>1022857783.34</v>
      </c>
      <c r="U100" s="197">
        <f t="shared" si="54"/>
        <v>1041748450.8</v>
      </c>
      <c r="V100" s="197">
        <f t="shared" si="54"/>
        <v>920119545.24000001</v>
      </c>
      <c r="W100" s="197">
        <f t="shared" si="54"/>
        <v>651827880.80499995</v>
      </c>
      <c r="X100" s="197">
        <f t="shared" si="54"/>
        <v>657262973.59500003</v>
      </c>
      <c r="Y100" s="197">
        <f t="shared" si="54"/>
        <v>729929806.21500003</v>
      </c>
      <c r="Z100" s="197">
        <f t="shared" si="54"/>
        <v>645140010.71499991</v>
      </c>
      <c r="AA100" s="197">
        <f t="shared" si="54"/>
        <v>374579926.39499998</v>
      </c>
      <c r="AB100" s="197">
        <f t="shared" si="54"/>
        <v>364115105.88999999</v>
      </c>
      <c r="AC100" s="197">
        <f t="shared" si="54"/>
        <v>426903958.88</v>
      </c>
      <c r="AD100" s="197">
        <f t="shared" si="54"/>
        <v>356595844.16999996</v>
      </c>
      <c r="AE100" s="197">
        <f t="shared" si="54"/>
        <v>347198604.94</v>
      </c>
      <c r="AF100" s="197">
        <f t="shared" si="54"/>
        <v>347058830.08500004</v>
      </c>
      <c r="AG100" s="197">
        <f t="shared" si="54"/>
        <v>353609842.125</v>
      </c>
      <c r="AH100" s="197">
        <f t="shared" si="54"/>
        <v>355254990.32499999</v>
      </c>
      <c r="AI100" s="197">
        <f t="shared" si="54"/>
        <v>360632407.96500003</v>
      </c>
      <c r="AJ100" s="197">
        <f t="shared" si="54"/>
        <v>364251292.75999999</v>
      </c>
      <c r="AK100" s="197">
        <f t="shared" si="54"/>
        <v>376320579.16999996</v>
      </c>
      <c r="AL100" s="197">
        <f t="shared" si="54"/>
        <v>182361696.91999999</v>
      </c>
      <c r="AM100" s="197">
        <f t="shared" si="54"/>
        <v>190776265.77000001</v>
      </c>
      <c r="AN100" s="197">
        <f t="shared" si="54"/>
        <v>190019281.48500001</v>
      </c>
      <c r="AO100" s="197">
        <f t="shared" si="54"/>
        <v>196652304.69999999</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0.91813991708472853</v>
      </c>
      <c r="F101" s="252">
        <f t="shared" ref="F101:BQ101" si="56">F100/F84</f>
        <v>0.56942899801136038</v>
      </c>
      <c r="G101" s="252">
        <f t="shared" si="56"/>
        <v>0.57395225529027649</v>
      </c>
      <c r="H101" s="252">
        <f t="shared" si="56"/>
        <v>0.57863798570976521</v>
      </c>
      <c r="I101" s="252">
        <f t="shared" si="56"/>
        <v>0.5809611083031736</v>
      </c>
      <c r="J101" s="252">
        <f t="shared" si="56"/>
        <v>1.0316885355720065</v>
      </c>
      <c r="K101" s="252">
        <f t="shared" si="56"/>
        <v>1.0495967262847867</v>
      </c>
      <c r="L101" s="252">
        <f t="shared" si="56"/>
        <v>0.82127642504817877</v>
      </c>
      <c r="M101" s="252">
        <f t="shared" si="56"/>
        <v>0.81556734254737773</v>
      </c>
      <c r="N101" s="252">
        <f t="shared" si="56"/>
        <v>0.75775353694287995</v>
      </c>
      <c r="O101" s="252">
        <f t="shared" si="56"/>
        <v>0.73561390461559351</v>
      </c>
      <c r="P101" s="252">
        <f t="shared" si="56"/>
        <v>0.90546036634686611</v>
      </c>
      <c r="Q101" s="252">
        <f t="shared" si="56"/>
        <v>0.91064847487890477</v>
      </c>
      <c r="R101" s="252">
        <f t="shared" si="56"/>
        <v>0.9034912678538245</v>
      </c>
      <c r="S101" s="252">
        <f t="shared" si="56"/>
        <v>0.91716345078097183</v>
      </c>
      <c r="T101" s="252">
        <f t="shared" si="56"/>
        <v>0.91837747381065871</v>
      </c>
      <c r="U101" s="252">
        <f t="shared" si="56"/>
        <v>0.92225870270762633</v>
      </c>
      <c r="V101" s="252">
        <f t="shared" si="56"/>
        <v>1.0030035778029764</v>
      </c>
      <c r="W101" s="252">
        <f t="shared" si="56"/>
        <v>0.71693975082491523</v>
      </c>
      <c r="X101" s="252">
        <f t="shared" si="56"/>
        <v>0.7052560928906193</v>
      </c>
      <c r="Y101" s="252">
        <f t="shared" si="56"/>
        <v>0.76517785416253603</v>
      </c>
      <c r="Z101" s="252">
        <f t="shared" si="56"/>
        <v>0.69905465714130077</v>
      </c>
      <c r="AA101" s="252">
        <f t="shared" si="56"/>
        <v>0.9495658671105609</v>
      </c>
      <c r="AB101" s="252">
        <f t="shared" si="56"/>
        <v>0.95174438395624517</v>
      </c>
      <c r="AC101" s="252">
        <f t="shared" si="56"/>
        <v>0.84380914651515504</v>
      </c>
      <c r="AD101" s="252">
        <f t="shared" si="56"/>
        <v>0.97057945762052134</v>
      </c>
      <c r="AE101" s="252">
        <f t="shared" si="56"/>
        <v>0.97889303995748456</v>
      </c>
      <c r="AF101" s="252">
        <f t="shared" si="56"/>
        <v>1.004065319476096</v>
      </c>
      <c r="AG101" s="252">
        <f t="shared" si="56"/>
        <v>1.0164615821629206</v>
      </c>
      <c r="AH101" s="252">
        <f t="shared" si="56"/>
        <v>1.0273822174606286</v>
      </c>
      <c r="AI101" s="252">
        <f t="shared" si="56"/>
        <v>1.0615818871918776</v>
      </c>
      <c r="AJ101" s="252">
        <f t="shared" si="56"/>
        <v>1.0453053089798809</v>
      </c>
      <c r="AK101" s="252">
        <f t="shared" si="56"/>
        <v>1.0472649672851282</v>
      </c>
      <c r="AL101" s="252">
        <f t="shared" si="56"/>
        <v>0.5</v>
      </c>
      <c r="AM101" s="252">
        <f t="shared" si="56"/>
        <v>0.5</v>
      </c>
      <c r="AN101" s="252">
        <f t="shared" si="56"/>
        <v>0.5</v>
      </c>
      <c r="AO101" s="252">
        <f t="shared" si="56"/>
        <v>0.5</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CA19" workbookViewId="0">
      <selection activeCell="E27" sqref="E27:CL27"/>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8" width="19.33203125" hidden="1" customWidth="1"/>
    <col min="9" max="9" width="21.44140625" bestFit="1" customWidth="1"/>
    <col min="10" max="11" width="21.44140625" hidden="1" customWidth="1"/>
    <col min="12" max="12" width="19.33203125" hidden="1" customWidth="1"/>
    <col min="13" max="13" width="21.44140625" bestFit="1" customWidth="1"/>
    <col min="14" max="14" width="21.44140625" hidden="1" customWidth="1"/>
    <col min="15" max="16" width="19.33203125" hidden="1" customWidth="1"/>
    <col min="17" max="17" width="21.44140625" bestFit="1" customWidth="1"/>
    <col min="18" max="18" width="21.44140625" hidden="1" customWidth="1"/>
    <col min="19" max="19" width="19.33203125" hidden="1" customWidth="1"/>
    <col min="20" max="20" width="20.21875" hidden="1" customWidth="1"/>
    <col min="21" max="21" width="20.44140625" bestFit="1" customWidth="1"/>
    <col min="22" max="23" width="19.33203125" hidden="1" customWidth="1"/>
    <col min="24" max="24" width="20.21875" hidden="1" customWidth="1"/>
    <col min="25" max="25" width="21.44140625" bestFit="1" customWidth="1"/>
    <col min="26" max="26" width="21.44140625" hidden="1" customWidth="1"/>
    <col min="27" max="28" width="19.33203125" hidden="1" customWidth="1"/>
    <col min="29" max="29" width="19.33203125" bestFit="1" customWidth="1"/>
    <col min="30" max="31" width="19.33203125" hidden="1" customWidth="1"/>
    <col min="32" max="32" width="20.21875" hidden="1" customWidth="1"/>
    <col min="33" max="33" width="19.33203125" bestFit="1" customWidth="1"/>
    <col min="34" max="35" width="19.33203125" hidden="1" customWidth="1"/>
    <col min="36" max="36" width="20.21875" hidden="1" customWidth="1"/>
    <col min="37" max="37" width="21.44140625" bestFit="1" customWidth="1"/>
    <col min="38" max="38" width="21.44140625" hidden="1" customWidth="1"/>
    <col min="39" max="40" width="19.33203125" hidden="1" customWidth="1"/>
    <col min="41" max="43" width="19.33203125" bestFit="1" customWidth="1"/>
    <col min="44" max="44" width="9.554687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23730780569.279999</v>
      </c>
      <c r="F2" s="26">
        <f>现金流量表!F4</f>
        <v>15126417460.85</v>
      </c>
      <c r="G2" s="26">
        <f>现金流量表!G4</f>
        <v>9723330088.9099998</v>
      </c>
      <c r="H2" s="26">
        <f>现金流量表!H4</f>
        <v>3996433424.71</v>
      </c>
      <c r="I2" s="26">
        <f>现金流量表!I4</f>
        <v>21441950637.720001</v>
      </c>
      <c r="J2" s="26">
        <f>现金流量表!J4</f>
        <v>9307783907.5300007</v>
      </c>
      <c r="K2" s="26">
        <f>现金流量表!K4</f>
        <v>5851896191.6300001</v>
      </c>
      <c r="L2" s="26">
        <f>现金流量表!L4</f>
        <v>2526075472.6399999</v>
      </c>
      <c r="M2" s="26">
        <f>现金流量表!M4</f>
        <v>12100622403.98</v>
      </c>
      <c r="N2" s="26">
        <f>现金流量表!N4</f>
        <v>8465180687.4899998</v>
      </c>
      <c r="O2" s="26">
        <f>现金流量表!O4</f>
        <v>5726959741.8299999</v>
      </c>
      <c r="P2" s="26">
        <f>现金流量表!P4</f>
        <v>2591347582.7600002</v>
      </c>
      <c r="Q2" s="26">
        <f>现金流量表!Q4</f>
        <v>14735320346.299999</v>
      </c>
      <c r="R2" s="26">
        <f>现金流量表!R4</f>
        <v>9940722338.4099998</v>
      </c>
      <c r="S2" s="26">
        <f>现金流量表!S4</f>
        <v>6335613720.4899998</v>
      </c>
      <c r="T2" s="26">
        <f>现金流量表!T4</f>
        <v>2713905274.6999998</v>
      </c>
      <c r="U2" s="26">
        <f>现金流量表!U4</f>
        <v>12413188034.73</v>
      </c>
      <c r="V2" s="26">
        <f>现金流量表!V4</f>
        <v>8167610639.6700001</v>
      </c>
      <c r="W2" s="26">
        <f>现金流量表!W4</f>
        <v>5045877367.0699997</v>
      </c>
      <c r="X2" s="26">
        <f>现金流量表!X4</f>
        <v>1899445534.8699999</v>
      </c>
      <c r="Y2" s="26">
        <f>现金流量表!Y4</f>
        <v>12283600410.940001</v>
      </c>
      <c r="Z2" s="26">
        <f>现金流量表!Z4</f>
        <v>8361764493.3199997</v>
      </c>
      <c r="AA2" s="26">
        <f>现金流量表!AA4</f>
        <v>4674539154.3500004</v>
      </c>
      <c r="AB2" s="26">
        <f>现金流量表!AB4</f>
        <v>2106931828.0899999</v>
      </c>
      <c r="AC2" s="26">
        <f>现金流量表!AC4</f>
        <v>8931141854.5699997</v>
      </c>
      <c r="AD2" s="26">
        <f>现金流量表!AD4</f>
        <v>6564885081.4099998</v>
      </c>
      <c r="AE2" s="26">
        <f>现金流量表!AE4</f>
        <v>4089331425.1700001</v>
      </c>
      <c r="AF2" s="26">
        <f>现金流量表!AF4</f>
        <v>1699965244.9100001</v>
      </c>
      <c r="AG2" s="26">
        <f>现金流量表!AG4</f>
        <v>7123961486</v>
      </c>
      <c r="AH2" s="26">
        <f>现金流量表!AH4</f>
        <v>5244457207.6700001</v>
      </c>
      <c r="AI2" s="26">
        <f>现金流量表!AI4</f>
        <v>3189307949.6900001</v>
      </c>
      <c r="AJ2" s="26">
        <f>现金流量表!AJ4</f>
        <v>1310660818.75</v>
      </c>
      <c r="AK2" s="26">
        <f>现金流量表!AK4</f>
        <v>5612837650.8900003</v>
      </c>
      <c r="AL2" s="26">
        <f>现金流量表!AL4</f>
        <v>4124059289.0500002</v>
      </c>
      <c r="AM2" s="26">
        <f>现金流量表!AM4</f>
        <v>2469313789.0500002</v>
      </c>
      <c r="AN2" s="26">
        <f>现金流量表!AN4</f>
        <v>1093895664.5999999</v>
      </c>
      <c r="AO2" s="26">
        <f>现金流量表!AO4</f>
        <v>5192703411.8299999</v>
      </c>
      <c r="AP2" s="26">
        <f>现金流量表!AP4</f>
        <v>4872695246.6999998</v>
      </c>
      <c r="AQ2" s="26">
        <f>现金流量表!AQ4</f>
        <v>3842744012.9099998</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23416550017.470001</v>
      </c>
      <c r="F3" s="26">
        <f>利润表!F3</f>
        <v>15936585490.809999</v>
      </c>
      <c r="G3" s="26">
        <f>利润表!G3</f>
        <v>9905427837.3400002</v>
      </c>
      <c r="H3" s="26">
        <f>利润表!H3</f>
        <v>3980952720.77</v>
      </c>
      <c r="I3" s="26">
        <f>利润表!I3</f>
        <v>20164545252.650002</v>
      </c>
      <c r="J3" s="26">
        <f>利润表!J3</f>
        <v>9108594167.6399994</v>
      </c>
      <c r="K3" s="26">
        <f>利润表!K3</f>
        <v>5630553788.9300003</v>
      </c>
      <c r="L3" s="26">
        <f>利润表!L3</f>
        <v>2381520488.8499999</v>
      </c>
      <c r="M3" s="26">
        <f>利润表!M3</f>
        <v>12026466467.639999</v>
      </c>
      <c r="N3" s="26">
        <f>利润表!N3</f>
        <v>8774967409.0100002</v>
      </c>
      <c r="O3" s="26">
        <f>利润表!O3</f>
        <v>5589949438.3699999</v>
      </c>
      <c r="P3" s="26">
        <f>利润表!P3</f>
        <v>2261383751.4200001</v>
      </c>
      <c r="Q3" s="26">
        <f>利润表!Q3</f>
        <v>12767230041.15</v>
      </c>
      <c r="R3" s="26">
        <f>利润表!R3</f>
        <v>9307426262</v>
      </c>
      <c r="S3" s="26">
        <f>利润表!S3</f>
        <v>5849589980.8900003</v>
      </c>
      <c r="T3" s="26">
        <f>利润表!T3</f>
        <v>2390695057.27</v>
      </c>
      <c r="U3" s="26">
        <f>利润表!U3</f>
        <v>11956507239.129999</v>
      </c>
      <c r="V3" s="26">
        <f>利润表!V3</f>
        <v>8565695458.21</v>
      </c>
      <c r="W3" s="26">
        <f>利润表!W3</f>
        <v>5414648582.5299997</v>
      </c>
      <c r="X3" s="26">
        <f>利润表!X3</f>
        <v>2070155415.79</v>
      </c>
      <c r="Y3" s="26">
        <f>利润表!Y3</f>
        <v>10703163376.129999</v>
      </c>
      <c r="Z3" s="26">
        <f>利润表!Z3</f>
        <v>7766650075.9799995</v>
      </c>
      <c r="AA3" s="26">
        <f>利润表!AA3</f>
        <v>4352728365.5</v>
      </c>
      <c r="AB3" s="26">
        <f>利润表!AB3</f>
        <v>1785299738.22</v>
      </c>
      <c r="AC3" s="26">
        <f>利润表!AC3</f>
        <v>8288198259.6800003</v>
      </c>
      <c r="AD3" s="26">
        <f>利润表!AD3</f>
        <v>6326671482.2600002</v>
      </c>
      <c r="AE3" s="26">
        <f>利润表!AE3</f>
        <v>4001898889.1199999</v>
      </c>
      <c r="AF3" s="26">
        <f>利润表!AF3</f>
        <v>1644797532.0899999</v>
      </c>
      <c r="AG3" s="26">
        <f>利润表!AG3</f>
        <v>6339109735.0900002</v>
      </c>
      <c r="AH3" s="26">
        <f>利润表!AH3</f>
        <v>4659762055.4300003</v>
      </c>
      <c r="AI3" s="26">
        <f>利润表!AI3</f>
        <v>2841252861.1300001</v>
      </c>
      <c r="AJ3" s="26">
        <f>利润表!AJ3</f>
        <v>1169899767.45</v>
      </c>
      <c r="AK3" s="26">
        <f>利润表!AK3</f>
        <v>4801517368.3699999</v>
      </c>
      <c r="AL3" s="26">
        <f>利润表!AL3</f>
        <v>3528348961.3000002</v>
      </c>
      <c r="AM3" s="26">
        <f>利润表!AM3</f>
        <v>2099639179.3099999</v>
      </c>
      <c r="AN3" s="26">
        <f>利润表!AN3</f>
        <v>873850113.40999997</v>
      </c>
      <c r="AO3" s="26">
        <f>利润表!AO3</f>
        <v>4442093335.0799999</v>
      </c>
      <c r="AP3" s="26">
        <f>利润表!AP3</f>
        <v>4184807996.5100002</v>
      </c>
      <c r="AQ3" s="26">
        <f>利润表!AQ3</f>
        <v>3377159073.3800001</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0.86617022661963683</v>
      </c>
      <c r="F5" s="28">
        <f t="shared" ref="F5:BQ5" si="2">(F2/(1+F4))/F3</f>
        <v>0.81125043628736027</v>
      </c>
      <c r="G5" s="28">
        <f t="shared" si="2"/>
        <v>0.83898834800472621</v>
      </c>
      <c r="H5" s="28">
        <f t="shared" si="2"/>
        <v>0.85802452413803654</v>
      </c>
      <c r="I5" s="28">
        <f t="shared" si="2"/>
        <v>0.90884536729656129</v>
      </c>
      <c r="J5" s="28">
        <f t="shared" si="2"/>
        <v>0.87339173474208676</v>
      </c>
      <c r="K5" s="28">
        <f t="shared" si="2"/>
        <v>0.88829995487128077</v>
      </c>
      <c r="L5" s="28">
        <f t="shared" si="2"/>
        <v>0.90658000870143285</v>
      </c>
      <c r="M5" s="28">
        <f t="shared" si="2"/>
        <v>0.85997099305292035</v>
      </c>
      <c r="N5" s="28">
        <f t="shared" si="2"/>
        <v>0.82452695623300942</v>
      </c>
      <c r="O5" s="28">
        <f t="shared" si="2"/>
        <v>0.87564967092203183</v>
      </c>
      <c r="P5" s="28">
        <f t="shared" si="2"/>
        <v>0.97941227021782584</v>
      </c>
      <c r="Q5" s="28">
        <f t="shared" si="2"/>
        <v>0.98645445047053304</v>
      </c>
      <c r="R5" s="28">
        <f t="shared" si="2"/>
        <v>0.91285642666560252</v>
      </c>
      <c r="S5" s="28">
        <f t="shared" si="2"/>
        <v>0.92571521758750308</v>
      </c>
      <c r="T5" s="28">
        <f t="shared" si="2"/>
        <v>0.97025220795496869</v>
      </c>
      <c r="U5" s="28">
        <f t="shared" si="2"/>
        <v>0.88734629692894706</v>
      </c>
      <c r="V5" s="28">
        <f t="shared" si="2"/>
        <v>0.81497921898434578</v>
      </c>
      <c r="W5" s="28">
        <f t="shared" si="2"/>
        <v>0.79649041532725051</v>
      </c>
      <c r="X5" s="28">
        <f t="shared" si="2"/>
        <v>0.78422021348169035</v>
      </c>
      <c r="Y5" s="28">
        <f t="shared" si="2"/>
        <v>0.98090661621109432</v>
      </c>
      <c r="Z5" s="28">
        <f t="shared" si="2"/>
        <v>0.92019174152713146</v>
      </c>
      <c r="AA5" s="28">
        <f t="shared" si="2"/>
        <v>0.91789155560976765</v>
      </c>
      <c r="AB5" s="28">
        <f t="shared" si="2"/>
        <v>1.0086801648559069</v>
      </c>
      <c r="AC5" s="28">
        <f t="shared" si="2"/>
        <v>0.92100289319699213</v>
      </c>
      <c r="AD5" s="28">
        <f t="shared" si="2"/>
        <v>0.88688228965694027</v>
      </c>
      <c r="AE5" s="28">
        <f t="shared" si="2"/>
        <v>0.873374155891388</v>
      </c>
      <c r="AF5" s="28">
        <f t="shared" si="2"/>
        <v>0.88336814680168296</v>
      </c>
      <c r="AG5" s="28">
        <f t="shared" si="2"/>
        <v>0.96052225397447299</v>
      </c>
      <c r="AH5" s="28">
        <f t="shared" si="2"/>
        <v>0.96194655532126094</v>
      </c>
      <c r="AI5" s="28">
        <f t="shared" si="2"/>
        <v>0.95940219464315801</v>
      </c>
      <c r="AJ5" s="28">
        <f t="shared" si="2"/>
        <v>0.95753752003068404</v>
      </c>
      <c r="AK5" s="28">
        <f t="shared" si="2"/>
        <v>0.99912106308622783</v>
      </c>
      <c r="AL5" s="28">
        <f t="shared" si="2"/>
        <v>0.99900464433918357</v>
      </c>
      <c r="AM5" s="28">
        <f t="shared" si="2"/>
        <v>1.0051844273163251</v>
      </c>
      <c r="AN5" s="28">
        <f t="shared" si="2"/>
        <v>1.0699244013813047</v>
      </c>
      <c r="AO5" s="28">
        <f t="shared" si="2"/>
        <v>0.99912534688315269</v>
      </c>
      <c r="AP5" s="28">
        <f t="shared" si="2"/>
        <v>0.99519423484291503</v>
      </c>
      <c r="AQ5" s="28">
        <f t="shared" si="2"/>
        <v>0.97253239212792231</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15393062973.190001</v>
      </c>
      <c r="F6" s="26">
        <f>现金流量表!F8</f>
        <v>9982896002.7000008</v>
      </c>
      <c r="G6" s="26">
        <f>现金流量表!G8</f>
        <v>6341070942.0600004</v>
      </c>
      <c r="H6" s="26">
        <f>现金流量表!H8</f>
        <v>3100106145.1500001</v>
      </c>
      <c r="I6" s="26">
        <f>现金流量表!I8</f>
        <v>12750964439.379999</v>
      </c>
      <c r="J6" s="26">
        <f>现金流量表!J8</f>
        <v>4844178853.5</v>
      </c>
      <c r="K6" s="26">
        <f>现金流量表!K8</f>
        <v>2694350802.54</v>
      </c>
      <c r="L6" s="26">
        <f>现金流量表!L8</f>
        <v>1180156222.6300001</v>
      </c>
      <c r="M6" s="26">
        <f>现金流量表!M8</f>
        <v>6773479887.4499998</v>
      </c>
      <c r="N6" s="26">
        <f>现金流量表!N8</f>
        <v>4714844441.6400003</v>
      </c>
      <c r="O6" s="26">
        <f>现金流量表!O8</f>
        <v>2984927717.3499999</v>
      </c>
      <c r="P6" s="26">
        <f>现金流量表!P8</f>
        <v>1611583493.01</v>
      </c>
      <c r="Q6" s="26">
        <f>现金流量表!Q8</f>
        <v>9172571169.1900005</v>
      </c>
      <c r="R6" s="26">
        <f>现金流量表!R8</f>
        <v>6269729372.7700005</v>
      </c>
      <c r="S6" s="26">
        <f>现金流量表!S8</f>
        <v>3954653604.8099999</v>
      </c>
      <c r="T6" s="26">
        <f>现金流量表!T8</f>
        <v>2150846787.3800001</v>
      </c>
      <c r="U6" s="26">
        <f>现金流量表!U8</f>
        <v>8810123140.3700008</v>
      </c>
      <c r="V6" s="26">
        <f>现金流量表!V8</f>
        <v>5807044608.4200001</v>
      </c>
      <c r="W6" s="26">
        <f>现金流量表!W8</f>
        <v>3424313317.8600001</v>
      </c>
      <c r="X6" s="26">
        <f>现金流量表!X8</f>
        <v>1771327737.6800001</v>
      </c>
      <c r="Y6" s="26">
        <f>现金流量表!Y8</f>
        <v>7351050069.1599998</v>
      </c>
      <c r="Z6" s="26">
        <f>现金流量表!Z8</f>
        <v>5114390475.8900003</v>
      </c>
      <c r="AA6" s="26">
        <f>现金流量表!AA8</f>
        <v>2813038769.5999999</v>
      </c>
      <c r="AB6" s="26">
        <f>现金流量表!AB8</f>
        <v>1485687892.3199999</v>
      </c>
      <c r="AC6" s="26">
        <f>现金流量表!AC8</f>
        <v>6997254515.1300001</v>
      </c>
      <c r="AD6" s="26">
        <f>现金流量表!AD8</f>
        <v>5074131429.0299997</v>
      </c>
      <c r="AE6" s="26">
        <f>现金流量表!AE8</f>
        <v>3003080296.9299998</v>
      </c>
      <c r="AF6" s="26">
        <f>现金流量表!AF8</f>
        <v>1510814972.48</v>
      </c>
      <c r="AG6" s="26">
        <f>现金流量表!AG8</f>
        <v>4909651449.5299997</v>
      </c>
      <c r="AH6" s="26">
        <f>现金流量表!AH8</f>
        <v>3462262863.6900001</v>
      </c>
      <c r="AI6" s="26">
        <f>现金流量表!AI8</f>
        <v>2145776111.3900001</v>
      </c>
      <c r="AJ6" s="26">
        <f>现金流量表!AJ8</f>
        <v>1134240624.71</v>
      </c>
      <c r="AK6" s="26">
        <f>现金流量表!AK8</f>
        <v>3243097872.0300002</v>
      </c>
      <c r="AL6" s="26">
        <f>现金流量表!AL8</f>
        <v>2183799341.6799998</v>
      </c>
      <c r="AM6" s="26">
        <f>现金流量表!AM8</f>
        <v>1286525013.1600001</v>
      </c>
      <c r="AN6" s="26">
        <f>现金流量表!AN8</f>
        <v>608207677.75</v>
      </c>
      <c r="AO6" s="26">
        <f>现金流量表!AO8</f>
        <v>3663600770.9299998</v>
      </c>
      <c r="AP6" s="26">
        <f>现金流量表!AP8</f>
        <v>3438282688.9200001</v>
      </c>
      <c r="AQ6" s="26">
        <f>现金流量表!AQ8</f>
        <v>2948737771.9299998</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2546039841.4000001</v>
      </c>
      <c r="F7" s="26">
        <f>现金流量表!F9</f>
        <v>1684579738.55</v>
      </c>
      <c r="G7" s="26">
        <f>现金流量表!G9</f>
        <v>1141668509.5899999</v>
      </c>
      <c r="H7" s="26">
        <f>现金流量表!H9</f>
        <v>642030475.67999995</v>
      </c>
      <c r="I7" s="26">
        <f>现金流量表!I9</f>
        <v>2032144499.9400001</v>
      </c>
      <c r="J7" s="26">
        <f>现金流量表!J9</f>
        <v>1205314856.8</v>
      </c>
      <c r="K7" s="26">
        <f>现金流量表!K9</f>
        <v>862006251.30999994</v>
      </c>
      <c r="L7" s="26">
        <f>现金流量表!L9</f>
        <v>491959804.08999997</v>
      </c>
      <c r="M7" s="26">
        <f>现金流量表!M9</f>
        <v>1306416646.3499999</v>
      </c>
      <c r="N7" s="26">
        <f>现金流量表!N9</f>
        <v>1169875181.7</v>
      </c>
      <c r="O7" s="26">
        <f>现金流量表!O9</f>
        <v>824464896.63999999</v>
      </c>
      <c r="P7" s="26">
        <f>现金流量表!P9</f>
        <v>467534793.05000001</v>
      </c>
      <c r="Q7" s="26">
        <f>现金流量表!Q9</f>
        <v>1214706861.0999999</v>
      </c>
      <c r="R7" s="26">
        <f>现金流量表!R9</f>
        <v>1071673637.25</v>
      </c>
      <c r="S7" s="26">
        <f>现金流量表!S9</f>
        <v>742296351.24000001</v>
      </c>
      <c r="T7" s="26">
        <f>现金流量表!T9</f>
        <v>424726129.25999999</v>
      </c>
      <c r="U7" s="26">
        <f>现金流量表!U9</f>
        <v>1285052577.8800001</v>
      </c>
      <c r="V7" s="26">
        <f>现金流量表!V9</f>
        <v>1015337027.15</v>
      </c>
      <c r="W7" s="26">
        <f>现金流量表!W9</f>
        <v>712161955.38</v>
      </c>
      <c r="X7" s="26">
        <f>现金流量表!X9</f>
        <v>418402891.37</v>
      </c>
      <c r="Y7" s="26">
        <f>现金流量表!Y9</f>
        <v>1253988738.54</v>
      </c>
      <c r="Z7" s="26">
        <f>现金流量表!Z9</f>
        <v>982471220.47000003</v>
      </c>
      <c r="AA7" s="26">
        <f>现金流量表!AA9</f>
        <v>559886631.42999995</v>
      </c>
      <c r="AB7" s="26">
        <f>现金流量表!AB9</f>
        <v>316615788.29000002</v>
      </c>
      <c r="AC7" s="26">
        <f>现金流量表!AC9</f>
        <v>894238655.50999999</v>
      </c>
      <c r="AD7" s="26">
        <f>现金流量表!AD9</f>
        <v>676619478.22000003</v>
      </c>
      <c r="AE7" s="26">
        <f>现金流量表!AE9</f>
        <v>455833150.88</v>
      </c>
      <c r="AF7" s="26">
        <f>现金流量表!AF9</f>
        <v>247210466.03</v>
      </c>
      <c r="AG7" s="26">
        <f>现金流量表!AG9</f>
        <v>663396480.85000002</v>
      </c>
      <c r="AH7" s="26">
        <f>现金流量表!AH9</f>
        <v>467078926.63999999</v>
      </c>
      <c r="AI7" s="26">
        <f>现金流量表!AI9</f>
        <v>306073269.94</v>
      </c>
      <c r="AJ7" s="26">
        <f>现金流量表!AJ9</f>
        <v>161299469.91999999</v>
      </c>
      <c r="AK7" s="26">
        <f>现金流量表!AK9</f>
        <v>490217420.56</v>
      </c>
      <c r="AL7" s="26">
        <f>现金流量表!AL9</f>
        <v>329674899.18000001</v>
      </c>
      <c r="AM7" s="26">
        <f>现金流量表!AM9</f>
        <v>228423292.16</v>
      </c>
      <c r="AN7" s="26">
        <f>现金流量表!AN9</f>
        <v>132098503.55</v>
      </c>
      <c r="AO7" s="26">
        <f>现金流量表!AO9</f>
        <v>360462506.81</v>
      </c>
      <c r="AP7" s="26">
        <f>现金流量表!AP9</f>
        <v>320127515.11000001</v>
      </c>
      <c r="AQ7" s="26">
        <f>现金流量表!AQ9</f>
        <v>273710896.36000001</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16550869196.219999</v>
      </c>
      <c r="F8" s="58">
        <f>利润表!F6</f>
        <v>11165450332.620001</v>
      </c>
      <c r="G8" s="58">
        <f>利润表!G6</f>
        <v>6977459678.54</v>
      </c>
      <c r="H8" s="58">
        <f>利润表!H6</f>
        <v>2850748064.7600002</v>
      </c>
      <c r="I8" s="58">
        <f>利润表!I6</f>
        <v>14133408263.85</v>
      </c>
      <c r="J8" s="58">
        <f>利润表!J6</f>
        <v>6056785146.3400002</v>
      </c>
      <c r="K8" s="58">
        <f>利润表!K6</f>
        <v>3706679737.6399999</v>
      </c>
      <c r="L8" s="58">
        <f>利润表!L6</f>
        <v>1581859069.72</v>
      </c>
      <c r="M8" s="58">
        <f>利润表!M6</f>
        <v>7834815227.1300001</v>
      </c>
      <c r="N8" s="58">
        <f>利润表!N6</f>
        <v>5772001657.5900002</v>
      </c>
      <c r="O8" s="58">
        <f>利润表!O6</f>
        <v>3697041344.4400001</v>
      </c>
      <c r="P8" s="58">
        <f>利润表!P6</f>
        <v>1503157164.6400001</v>
      </c>
      <c r="Q8" s="58">
        <f>利润表!Q6</f>
        <v>8530428903.8100004</v>
      </c>
      <c r="R8" s="58">
        <f>利润表!R6</f>
        <v>6318306894.7399998</v>
      </c>
      <c r="S8" s="58">
        <f>利润表!S6</f>
        <v>3988494937.8899999</v>
      </c>
      <c r="T8" s="58">
        <f>利润表!T6</f>
        <v>1649556180.6500001</v>
      </c>
      <c r="U8" s="58">
        <f>利润表!U6</f>
        <v>8178719989.4300003</v>
      </c>
      <c r="V8" s="58">
        <f>利润表!V6</f>
        <v>5967713193.1999998</v>
      </c>
      <c r="W8" s="58">
        <f>利润表!W6</f>
        <v>3799988539.3400002</v>
      </c>
      <c r="X8" s="58">
        <f>利润表!X6</f>
        <v>1466120463.5599999</v>
      </c>
      <c r="Y8" s="58">
        <f>利润表!Y6</f>
        <v>7498731689.9099998</v>
      </c>
      <c r="Z8" s="58">
        <f>利润表!Z6</f>
        <v>5538830502.7700005</v>
      </c>
      <c r="AA8" s="58">
        <f>利润表!AA6</f>
        <v>3184574104.1799998</v>
      </c>
      <c r="AB8" s="58">
        <f>利润表!AB6</f>
        <v>1301604761.22</v>
      </c>
      <c r="AC8" s="58">
        <f>利润表!AC6</f>
        <v>6296733197.0900002</v>
      </c>
      <c r="AD8" s="58">
        <f>利润表!AD6</f>
        <v>4898410276.7700005</v>
      </c>
      <c r="AE8" s="58">
        <f>利润表!AE6</f>
        <v>3104943543.1399999</v>
      </c>
      <c r="AF8" s="58">
        <f>利润表!AF6</f>
        <v>1275846191.04</v>
      </c>
      <c r="AG8" s="58">
        <f>利润表!AG6</f>
        <v>4696761911.8800001</v>
      </c>
      <c r="AH8" s="58">
        <f>利润表!AH6</f>
        <v>3390889481.8699999</v>
      </c>
      <c r="AI8" s="58">
        <f>利润表!AI6</f>
        <v>2061871902.01</v>
      </c>
      <c r="AJ8" s="58">
        <f>利润表!AJ6</f>
        <v>841969122.13999999</v>
      </c>
      <c r="AK8" s="58">
        <f>利润表!AK6</f>
        <v>3449294141.2199998</v>
      </c>
      <c r="AL8" s="58">
        <f>利润表!AL6</f>
        <v>2463110319.4499998</v>
      </c>
      <c r="AM8" s="58">
        <f>利润表!AM6</f>
        <v>1463794341.21</v>
      </c>
      <c r="AN8" s="58">
        <f>利润表!AN6</f>
        <v>615881525.79999995</v>
      </c>
      <c r="AO8" s="58">
        <f>利润表!AO6</f>
        <v>3323817825.8200002</v>
      </c>
      <c r="AP8" s="58">
        <f>利润表!AP6</f>
        <v>3206716574.3499999</v>
      </c>
      <c r="AQ8" s="58">
        <f>利润表!AQ6</f>
        <v>2664705297.6700001</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172847931.47</v>
      </c>
      <c r="F9" s="58">
        <f>利润表!F7</f>
        <v>125643147.61</v>
      </c>
      <c r="G9" s="58">
        <f>利润表!G7</f>
        <v>84730729.579999998</v>
      </c>
      <c r="H9" s="58">
        <f>利润表!H7</f>
        <v>39298428.310000002</v>
      </c>
      <c r="I9" s="58">
        <f>利润表!I7</f>
        <v>140953420.24000001</v>
      </c>
      <c r="J9" s="58">
        <f>利润表!J7</f>
        <v>61554838.520000003</v>
      </c>
      <c r="K9" s="58">
        <f>利润表!K7</f>
        <v>36864689.57</v>
      </c>
      <c r="L9" s="58">
        <f>利润表!L7</f>
        <v>16224190.449999999</v>
      </c>
      <c r="M9" s="58">
        <f>利润表!M7</f>
        <v>80065876.439999998</v>
      </c>
      <c r="N9" s="58">
        <f>利润表!N7</f>
        <v>59992069.630000003</v>
      </c>
      <c r="O9" s="58">
        <f>利润表!O7</f>
        <v>40117131.350000001</v>
      </c>
      <c r="P9" s="58">
        <f>利润表!P7</f>
        <v>16597056.779999999</v>
      </c>
      <c r="Q9" s="58">
        <f>利润表!Q7</f>
        <v>86817539.200000003</v>
      </c>
      <c r="R9" s="58">
        <f>利润表!R7</f>
        <v>64685794.259999998</v>
      </c>
      <c r="S9" s="58">
        <f>利润表!S7</f>
        <v>40273195.219999999</v>
      </c>
      <c r="T9" s="58">
        <f>利润表!T7</f>
        <v>16456102.74</v>
      </c>
      <c r="U9" s="58">
        <f>利润表!U7</f>
        <v>72341776.040000007</v>
      </c>
      <c r="V9" s="58">
        <f>利润表!V7</f>
        <v>52726185.840000004</v>
      </c>
      <c r="W9" s="58">
        <f>利润表!W7</f>
        <v>34688736.259999998</v>
      </c>
      <c r="X9" s="58">
        <f>利润表!X7</f>
        <v>14139226.84</v>
      </c>
      <c r="Y9" s="58">
        <f>利润表!Y7</f>
        <v>70865876.530000001</v>
      </c>
      <c r="Z9" s="58">
        <f>利润表!Z7</f>
        <v>49925721.030000001</v>
      </c>
      <c r="AA9" s="58">
        <f>利润表!AA7</f>
        <v>29606147.609999999</v>
      </c>
      <c r="AB9" s="58">
        <f>利润表!AB7</f>
        <v>11299821.58</v>
      </c>
      <c r="AC9" s="58">
        <f>利润表!AC7</f>
        <v>39387688.710000001</v>
      </c>
      <c r="AD9" s="58">
        <f>利润表!AD7</f>
        <v>32588454.109999999</v>
      </c>
      <c r="AE9" s="58">
        <f>利润表!AE7</f>
        <v>21109252.890000001</v>
      </c>
      <c r="AF9" s="58">
        <f>利润表!AF7</f>
        <v>10094291.289999999</v>
      </c>
      <c r="AG9" s="58">
        <f>利润表!AG7</f>
        <v>34480350.68</v>
      </c>
      <c r="AH9" s="58">
        <f>利润表!AH7</f>
        <v>27875527.77</v>
      </c>
      <c r="AI9" s="58">
        <f>利润表!AI7</f>
        <v>17644207.02</v>
      </c>
      <c r="AJ9" s="58">
        <f>利润表!AJ7</f>
        <v>8234488.3600000003</v>
      </c>
      <c r="AK9" s="58">
        <f>利润表!AK7</f>
        <v>31444873.27</v>
      </c>
      <c r="AL9" s="58">
        <f>利润表!AL7</f>
        <v>25497631.59</v>
      </c>
      <c r="AM9" s="58">
        <f>利润表!AM7</f>
        <v>16872103.5</v>
      </c>
      <c r="AN9" s="58">
        <f>利润表!AN7</f>
        <v>7947650.8099999996</v>
      </c>
      <c r="AO9" s="58">
        <f>利润表!AO7</f>
        <v>26668060.41</v>
      </c>
      <c r="AP9" s="58">
        <f>利润表!AP7</f>
        <v>20135095.489999998</v>
      </c>
      <c r="AQ9" s="58">
        <f>利润表!AQ7</f>
        <v>14632984.1</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1341469811.8800001</v>
      </c>
      <c r="F10" s="58">
        <f>利润表!F8</f>
        <v>943220685.75</v>
      </c>
      <c r="G10" s="58">
        <f>利润表!G8</f>
        <v>536793153.63</v>
      </c>
      <c r="H10" s="58">
        <f>利润表!H8</f>
        <v>238114840.24000001</v>
      </c>
      <c r="I10" s="58">
        <f>利润表!I8</f>
        <v>1012287977.97</v>
      </c>
      <c r="J10" s="58">
        <f>利润表!J8</f>
        <v>585917334.28999996</v>
      </c>
      <c r="K10" s="58">
        <f>利润表!K8</f>
        <v>376718506.63999999</v>
      </c>
      <c r="L10" s="58">
        <f>利润表!L8</f>
        <v>155185785.18000001</v>
      </c>
      <c r="M10" s="58">
        <f>利润表!M8</f>
        <v>799960742.79999995</v>
      </c>
      <c r="N10" s="58">
        <f>利润表!N8</f>
        <v>557077371.64999998</v>
      </c>
      <c r="O10" s="58">
        <f>利润表!O8</f>
        <v>347629173.56999999</v>
      </c>
      <c r="P10" s="58">
        <f>利润表!P8</f>
        <v>132177782.84999999</v>
      </c>
      <c r="Q10" s="58">
        <f>利润表!Q8</f>
        <v>799110210.19000006</v>
      </c>
      <c r="R10" s="58">
        <f>利润表!R8</f>
        <v>519117602.83999997</v>
      </c>
      <c r="S10" s="58">
        <f>利润表!S8</f>
        <v>338400874.31</v>
      </c>
      <c r="T10" s="58">
        <f>利润表!T8</f>
        <v>134787666.25</v>
      </c>
      <c r="U10" s="58">
        <f>利润表!U8</f>
        <v>700102393.12</v>
      </c>
      <c r="V10" s="58">
        <f>利润表!V8</f>
        <v>442424799.10000002</v>
      </c>
      <c r="W10" s="58">
        <f>利润表!W8</f>
        <v>286737260.63999999</v>
      </c>
      <c r="X10" s="58">
        <f>利润表!X8</f>
        <v>111119736.79000001</v>
      </c>
      <c r="Y10" s="58">
        <f>利润表!Y8</f>
        <v>640488295.13999999</v>
      </c>
      <c r="Z10" s="58">
        <f>利润表!Z8</f>
        <v>376397658.36000001</v>
      </c>
      <c r="AA10" s="58">
        <f>利润表!AA8</f>
        <v>192487414.75999999</v>
      </c>
      <c r="AB10" s="58">
        <f>利润表!AB8</f>
        <v>90503685.140000001</v>
      </c>
      <c r="AC10" s="58">
        <f>利润表!AC8</f>
        <v>339492443.41000003</v>
      </c>
      <c r="AD10" s="58">
        <f>利润表!AD8</f>
        <v>226688355.41</v>
      </c>
      <c r="AE10" s="58">
        <f>利润表!AE8</f>
        <v>144583266.66</v>
      </c>
      <c r="AF10" s="58">
        <f>利润表!AF8</f>
        <v>61573455.109999999</v>
      </c>
      <c r="AG10" s="58">
        <f>利润表!AG8</f>
        <v>304087272.88</v>
      </c>
      <c r="AH10" s="58">
        <f>利润表!AH8</f>
        <v>173048403.86000001</v>
      </c>
      <c r="AI10" s="58">
        <f>利润表!AI8</f>
        <v>109804959.87</v>
      </c>
      <c r="AJ10" s="58">
        <f>利润表!AJ8</f>
        <v>46256843.770000003</v>
      </c>
      <c r="AK10" s="58">
        <f>利润表!AK8</f>
        <v>242378250.05000001</v>
      </c>
      <c r="AL10" s="58">
        <f>利润表!AL8</f>
        <v>172863377.22999999</v>
      </c>
      <c r="AM10" s="58">
        <f>利润表!AM8</f>
        <v>98365299.659999996</v>
      </c>
      <c r="AN10" s="58">
        <f>利润表!AN8</f>
        <v>45868554.920000002</v>
      </c>
      <c r="AO10" s="58">
        <f>利润表!AO8</f>
        <v>235948325.06</v>
      </c>
      <c r="AP10" s="58">
        <f>利润表!AP8</f>
        <v>205162394.99000001</v>
      </c>
      <c r="AQ10" s="58">
        <f>利润表!AQ8</f>
        <v>208491220.16999999</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1809757827.79</v>
      </c>
      <c r="F11" s="58">
        <f>利润表!F9</f>
        <v>1195795900.72</v>
      </c>
      <c r="G11" s="58">
        <f>利润表!G9</f>
        <v>710007855.64999998</v>
      </c>
      <c r="H11" s="58">
        <f>利润表!H9</f>
        <v>331002346.07999998</v>
      </c>
      <c r="I11" s="58">
        <f>利润表!I9</f>
        <v>1599436189.22</v>
      </c>
      <c r="J11" s="58">
        <f>利润表!J9</f>
        <v>789091353.80999994</v>
      </c>
      <c r="K11" s="58">
        <f>利润表!K9</f>
        <v>495371249.25999999</v>
      </c>
      <c r="L11" s="58">
        <f>利润表!L9</f>
        <v>205491976.12</v>
      </c>
      <c r="M11" s="58">
        <f>利润表!M9</f>
        <v>1021786675.23</v>
      </c>
      <c r="N11" s="58">
        <f>利润表!N9</f>
        <v>689967405.90999997</v>
      </c>
      <c r="O11" s="58">
        <f>利润表!O9</f>
        <v>417311348.56999999</v>
      </c>
      <c r="P11" s="58">
        <f>利润表!P9</f>
        <v>183118439.18000001</v>
      </c>
      <c r="Q11" s="58">
        <f>利润表!Q9</f>
        <v>914875070.05999994</v>
      </c>
      <c r="R11" s="58">
        <f>利润表!R9</f>
        <v>648228184.92999995</v>
      </c>
      <c r="S11" s="58">
        <f>利润表!S9</f>
        <v>405635770.99000001</v>
      </c>
      <c r="T11" s="58">
        <f>利润表!T9</f>
        <v>184726394.09999999</v>
      </c>
      <c r="U11" s="58">
        <f>利润表!U9</f>
        <v>876437478.94000006</v>
      </c>
      <c r="V11" s="58">
        <f>利润表!V9</f>
        <v>625296419.80999994</v>
      </c>
      <c r="W11" s="58">
        <f>利润表!W9</f>
        <v>390891059.19999999</v>
      </c>
      <c r="X11" s="58">
        <f>利润表!X9</f>
        <v>168010196.88</v>
      </c>
      <c r="Y11" s="58">
        <f>利润表!Y9</f>
        <v>823881754.29999995</v>
      </c>
      <c r="Z11" s="58">
        <f>利润表!Z9</f>
        <v>589429908.96000004</v>
      </c>
      <c r="AA11" s="58">
        <f>利润表!AA9</f>
        <v>301768185.20999998</v>
      </c>
      <c r="AB11" s="58">
        <f>利润表!AB9</f>
        <v>144657164.99000001</v>
      </c>
      <c r="AC11" s="58">
        <f>利润表!AC9</f>
        <v>587905120.27999997</v>
      </c>
      <c r="AD11" s="58">
        <f>利润表!AD9</f>
        <v>401396291.48000002</v>
      </c>
      <c r="AE11" s="58">
        <f>利润表!AE9</f>
        <v>244177208.99000001</v>
      </c>
      <c r="AF11" s="58">
        <f>利润表!AF9</f>
        <v>114344750.41</v>
      </c>
      <c r="AG11" s="58">
        <f>利润表!AG9</f>
        <v>493330199.16000003</v>
      </c>
      <c r="AH11" s="58">
        <f>利润表!AH9</f>
        <v>335619169.76999998</v>
      </c>
      <c r="AI11" s="58">
        <f>利润表!AI9</f>
        <v>164304271.16</v>
      </c>
      <c r="AJ11" s="58">
        <f>利润表!AJ9</f>
        <v>74178353.920000002</v>
      </c>
      <c r="AK11" s="58">
        <f>利润表!AK9</f>
        <v>364095361.85000002</v>
      </c>
      <c r="AL11" s="58">
        <f>利润表!AL9</f>
        <v>234897856.68000001</v>
      </c>
      <c r="AM11" s="58">
        <f>利润表!AM9</f>
        <v>121176259.28</v>
      </c>
      <c r="AN11" s="58">
        <f>利润表!AN9</f>
        <v>52272916.82</v>
      </c>
      <c r="AO11" s="58">
        <f>利润表!AO9</f>
        <v>243091183.40000001</v>
      </c>
      <c r="AP11" s="58">
        <f>利润表!AP9</f>
        <v>164890658.56</v>
      </c>
      <c r="AQ11" s="58">
        <f>利润表!AQ9</f>
        <v>168473850.03999999</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19874944767.360001</v>
      </c>
      <c r="F12" s="58">
        <f t="shared" ref="F12:BQ12" si="4">SUM(F8:F11)</f>
        <v>13430110066.700001</v>
      </c>
      <c r="G12" s="58">
        <f t="shared" si="4"/>
        <v>8308991417.3999996</v>
      </c>
      <c r="H12" s="58">
        <f t="shared" si="4"/>
        <v>3459163679.3900003</v>
      </c>
      <c r="I12" s="58">
        <f t="shared" si="4"/>
        <v>16886085851.279999</v>
      </c>
      <c r="J12" s="58">
        <f t="shared" si="4"/>
        <v>7493348672.960001</v>
      </c>
      <c r="K12" s="58">
        <f t="shared" si="4"/>
        <v>4615634183.1099997</v>
      </c>
      <c r="L12" s="58">
        <f t="shared" si="4"/>
        <v>1958761021.4700003</v>
      </c>
      <c r="M12" s="58">
        <f t="shared" si="4"/>
        <v>9736628521.5999985</v>
      </c>
      <c r="N12" s="58">
        <f t="shared" si="4"/>
        <v>7079038504.7799997</v>
      </c>
      <c r="O12" s="58">
        <f t="shared" si="4"/>
        <v>4502098997.9300003</v>
      </c>
      <c r="P12" s="58">
        <f t="shared" si="4"/>
        <v>1835050443.45</v>
      </c>
      <c r="Q12" s="58">
        <f t="shared" si="4"/>
        <v>10331231723.26</v>
      </c>
      <c r="R12" s="58">
        <f t="shared" si="4"/>
        <v>7550338476.7700005</v>
      </c>
      <c r="S12" s="58">
        <f t="shared" si="4"/>
        <v>4772804778.4099998</v>
      </c>
      <c r="T12" s="58">
        <f t="shared" si="4"/>
        <v>1985526343.74</v>
      </c>
      <c r="U12" s="58">
        <f t="shared" si="4"/>
        <v>9827601637.5300007</v>
      </c>
      <c r="V12" s="58">
        <f t="shared" si="4"/>
        <v>7088160597.9500008</v>
      </c>
      <c r="W12" s="58">
        <f t="shared" si="4"/>
        <v>4512305595.4400005</v>
      </c>
      <c r="X12" s="58">
        <f t="shared" si="4"/>
        <v>1759389624.0699997</v>
      </c>
      <c r="Y12" s="58">
        <f t="shared" si="4"/>
        <v>9033967615.8799992</v>
      </c>
      <c r="Z12" s="58">
        <f t="shared" si="4"/>
        <v>6554583791.1199999</v>
      </c>
      <c r="AA12" s="58">
        <f t="shared" si="4"/>
        <v>3708435851.7600002</v>
      </c>
      <c r="AB12" s="58">
        <f t="shared" si="4"/>
        <v>1548065432.9300001</v>
      </c>
      <c r="AC12" s="58">
        <f t="shared" si="4"/>
        <v>7263518449.4899998</v>
      </c>
      <c r="AD12" s="58">
        <f t="shared" si="4"/>
        <v>5559083377.7700005</v>
      </c>
      <c r="AE12" s="58">
        <f t="shared" si="4"/>
        <v>3514813271.6799994</v>
      </c>
      <c r="AF12" s="58">
        <f t="shared" si="4"/>
        <v>1461858687.8499999</v>
      </c>
      <c r="AG12" s="58">
        <f t="shared" si="4"/>
        <v>5528659734.6000004</v>
      </c>
      <c r="AH12" s="58">
        <f t="shared" si="4"/>
        <v>3927432583.27</v>
      </c>
      <c r="AI12" s="58">
        <f t="shared" si="4"/>
        <v>2353625340.0599999</v>
      </c>
      <c r="AJ12" s="58">
        <f t="shared" si="4"/>
        <v>970638808.18999994</v>
      </c>
      <c r="AK12" s="58">
        <f t="shared" si="4"/>
        <v>4087212626.3899999</v>
      </c>
      <c r="AL12" s="58">
        <f t="shared" si="4"/>
        <v>2896369184.9499998</v>
      </c>
      <c r="AM12" s="58">
        <f t="shared" si="4"/>
        <v>1700208003.6500001</v>
      </c>
      <c r="AN12" s="58">
        <f t="shared" si="4"/>
        <v>721970648.3499999</v>
      </c>
      <c r="AO12" s="58">
        <f t="shared" si="4"/>
        <v>3829525394.6900001</v>
      </c>
      <c r="AP12" s="58">
        <f t="shared" si="4"/>
        <v>3596904723.3899999</v>
      </c>
      <c r="AQ12" s="58">
        <f t="shared" si="4"/>
        <v>3056303351.98</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0.79006528595930015</v>
      </c>
      <c r="F13" s="28">
        <f t="shared" ref="F13:BQ13" si="6">(F6/(1+F4)+F7)/F12</f>
        <v>0.76075098667883922</v>
      </c>
      <c r="G13" s="28">
        <f t="shared" si="6"/>
        <v>0.78967313045324905</v>
      </c>
      <c r="H13" s="28">
        <f t="shared" si="6"/>
        <v>0.95158661245643761</v>
      </c>
      <c r="I13" s="28">
        <f t="shared" si="6"/>
        <v>0.76574315791235548</v>
      </c>
      <c r="J13" s="28">
        <f t="shared" si="6"/>
        <v>0.713384482227575</v>
      </c>
      <c r="K13" s="28">
        <f t="shared" si="6"/>
        <v>0.68568479640047908</v>
      </c>
      <c r="L13" s="28">
        <f t="shared" si="6"/>
        <v>0.76611711168634589</v>
      </c>
      <c r="M13" s="28">
        <f t="shared" si="6"/>
        <v>0.72876516544831071</v>
      </c>
      <c r="N13" s="28">
        <f t="shared" si="6"/>
        <v>0.73451454632437774</v>
      </c>
      <c r="O13" s="28">
        <f t="shared" si="6"/>
        <v>0.74980251865438929</v>
      </c>
      <c r="P13" s="28">
        <f t="shared" si="6"/>
        <v>1.0053982922010642</v>
      </c>
      <c r="Q13" s="28">
        <f t="shared" si="6"/>
        <v>0.87642127499914191</v>
      </c>
      <c r="R13" s="28">
        <f t="shared" si="6"/>
        <v>0.85167263834382101</v>
      </c>
      <c r="S13" s="28">
        <f t="shared" si="6"/>
        <v>0.86371480894515651</v>
      </c>
      <c r="T13" s="28">
        <f t="shared" si="6"/>
        <v>1.139776726659546</v>
      </c>
      <c r="U13" s="28">
        <f t="shared" si="6"/>
        <v>0.89697086645338786</v>
      </c>
      <c r="V13" s="28">
        <f t="shared" si="6"/>
        <v>0.84346607764243786</v>
      </c>
      <c r="W13" s="28">
        <f t="shared" si="6"/>
        <v>0.80644482027011866</v>
      </c>
      <c r="X13" s="28">
        <f t="shared" si="6"/>
        <v>1.098311707812792</v>
      </c>
      <c r="Y13" s="28">
        <f t="shared" si="6"/>
        <v>0.83428874621504345</v>
      </c>
      <c r="Z13" s="28">
        <f t="shared" si="6"/>
        <v>0.81679406383365272</v>
      </c>
      <c r="AA13" s="28">
        <f t="shared" si="6"/>
        <v>0.79931091991438197</v>
      </c>
      <c r="AB13" s="28">
        <f t="shared" si="6"/>
        <v>1.0247851711745768</v>
      </c>
      <c r="AC13" s="28">
        <f t="shared" si="6"/>
        <v>0.94648318414249133</v>
      </c>
      <c r="AD13" s="28">
        <f t="shared" si="6"/>
        <v>0.90185442577181596</v>
      </c>
      <c r="AE13" s="28">
        <f t="shared" si="6"/>
        <v>0.85995135837092418</v>
      </c>
      <c r="AF13" s="28">
        <f t="shared" si="6"/>
        <v>1.0524309408908947</v>
      </c>
      <c r="AG13" s="28">
        <f t="shared" si="6"/>
        <v>0.87899780495320712</v>
      </c>
      <c r="AH13" s="28">
        <f t="shared" si="6"/>
        <v>0.87239637671441217</v>
      </c>
      <c r="AI13" s="28">
        <f t="shared" si="6"/>
        <v>0.9092653405436032</v>
      </c>
      <c r="AJ13" s="28">
        <f t="shared" si="6"/>
        <v>1.1649399259077737</v>
      </c>
      <c r="AK13" s="28">
        <f t="shared" si="6"/>
        <v>0.79812239828192799</v>
      </c>
      <c r="AL13" s="28">
        <f t="shared" si="6"/>
        <v>0.75824935385333914</v>
      </c>
      <c r="AM13" s="28">
        <f t="shared" si="6"/>
        <v>0.7810910886496818</v>
      </c>
      <c r="AN13" s="28">
        <f t="shared" si="6"/>
        <v>0.90299256216092005</v>
      </c>
      <c r="AO13" s="28">
        <f t="shared" si="6"/>
        <v>0.91179581204715787</v>
      </c>
      <c r="AP13" s="28">
        <f t="shared" si="6"/>
        <v>0.90600972743078512</v>
      </c>
      <c r="AQ13" s="28">
        <f t="shared" si="6"/>
        <v>0.91417613651053198</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2567621371.1799998</v>
      </c>
      <c r="F14" s="26">
        <f>现金流量表!F13</f>
        <v>1759646053.4000001</v>
      </c>
      <c r="G14" s="26">
        <f>现金流量表!G13</f>
        <v>812414521.89999998</v>
      </c>
      <c r="H14" s="26">
        <f>现金流量表!H13</f>
        <v>-56093681.409999996</v>
      </c>
      <c r="I14" s="26">
        <f>现金流量表!I13</f>
        <v>4898198299.3299999</v>
      </c>
      <c r="J14" s="26">
        <f>现金流量表!J13</f>
        <v>1855418982.24</v>
      </c>
      <c r="K14" s="26">
        <f>现金流量表!K13</f>
        <v>1465855084.8199999</v>
      </c>
      <c r="L14" s="26">
        <f>现金流量表!L13</f>
        <v>397292102.38999999</v>
      </c>
      <c r="M14" s="26">
        <f>现金流量表!M13</f>
        <v>1925609938.27</v>
      </c>
      <c r="N14" s="26">
        <f>现金流量表!N13</f>
        <v>1108837110.6900001</v>
      </c>
      <c r="O14" s="26">
        <f>现金流量表!O13</f>
        <v>979524078.72000003</v>
      </c>
      <c r="P14" s="26">
        <f>现金流量表!P13</f>
        <v>147639066.25999999</v>
      </c>
      <c r="Q14" s="26">
        <f>现金流量表!Q13</f>
        <v>2344058849.4000001</v>
      </c>
      <c r="R14" s="26">
        <f>现金流量表!R13</f>
        <v>1187134249.0699999</v>
      </c>
      <c r="S14" s="26">
        <f>现金流量表!S13</f>
        <v>747926972.51999998</v>
      </c>
      <c r="T14" s="26">
        <f>现金流量表!T13</f>
        <v>-234476101.72999999</v>
      </c>
      <c r="U14" s="26">
        <f>现金流量表!U13</f>
        <v>637711952.63</v>
      </c>
      <c r="V14" s="26">
        <f>现金流量表!V13</f>
        <v>5428603.9800000004</v>
      </c>
      <c r="W14" s="26">
        <f>现金流量表!W13</f>
        <v>20180369.059999999</v>
      </c>
      <c r="X14" s="26">
        <f>现金流量表!X13</f>
        <v>-655267549.44000006</v>
      </c>
      <c r="Y14" s="26">
        <f>现金流量表!Y13</f>
        <v>2548426317.3699999</v>
      </c>
      <c r="Z14" s="26">
        <f>现金流量表!Z13</f>
        <v>1176759546.4200001</v>
      </c>
      <c r="AA14" s="26">
        <f>现金流量表!AA13</f>
        <v>696450920.50999999</v>
      </c>
      <c r="AB14" s="26">
        <f>现金流量表!AB13</f>
        <v>47254943.850000001</v>
      </c>
      <c r="AC14" s="26">
        <f>现金流量表!AC13</f>
        <v>117177359.66</v>
      </c>
      <c r="AD14" s="26">
        <f>现金流量表!AD13</f>
        <v>67589790.359999999</v>
      </c>
      <c r="AE14" s="26">
        <f>现金流量表!AE13</f>
        <v>153709288.53999999</v>
      </c>
      <c r="AF14" s="26">
        <f>现金流量表!AF13</f>
        <v>-210844768.84</v>
      </c>
      <c r="AG14" s="26">
        <f>现金流量表!AG13</f>
        <v>692573057.20000005</v>
      </c>
      <c r="AH14" s="26">
        <f>现金流量表!AH13</f>
        <v>726274095.45000005</v>
      </c>
      <c r="AI14" s="26">
        <f>现金流量表!AI13</f>
        <v>379748165.04000002</v>
      </c>
      <c r="AJ14" s="26">
        <f>现金流量表!AJ13</f>
        <v>-120582796.98</v>
      </c>
      <c r="AK14" s="26">
        <f>现金流量表!AK13</f>
        <v>1103801231.95</v>
      </c>
      <c r="AL14" s="26">
        <f>现金流量表!AL13</f>
        <v>1032315001.29</v>
      </c>
      <c r="AM14" s="26">
        <f>现金流量表!AM13</f>
        <v>678938700.12</v>
      </c>
      <c r="AN14" s="26">
        <f>现金流量表!AN13</f>
        <v>174717030.16</v>
      </c>
      <c r="AO14" s="26">
        <f>现金流量表!AO13</f>
        <v>367828258.45999998</v>
      </c>
      <c r="AP14" s="26">
        <f>现金流量表!AP13</f>
        <v>546468577.73000002</v>
      </c>
      <c r="AQ14" s="26">
        <f>现金流量表!AQ13</f>
        <v>254693635.24000001</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3005182688.8514948</v>
      </c>
      <c r="F15" s="26">
        <f>股权价值增加表!F17</f>
        <v>2159257414.6359639</v>
      </c>
      <c r="G15" s="26">
        <f>股权价值增加表!G17</f>
        <v>1359952690.3819897</v>
      </c>
      <c r="H15" s="26">
        <f>股权价值增加表!H17</f>
        <v>450463220.16923332</v>
      </c>
      <c r="I15" s="26">
        <f>股权价值增加表!I17</f>
        <v>2833763326.3252797</v>
      </c>
      <c r="J15" s="26">
        <f>股权价值增加表!J17</f>
        <v>1366996755.5599055</v>
      </c>
      <c r="K15" s="26">
        <f>股权价值增加表!K17</f>
        <v>858051880.16320252</v>
      </c>
      <c r="L15" s="26">
        <f>股权价值增加表!L17</f>
        <v>354919321.3719734</v>
      </c>
      <c r="M15" s="26">
        <f>股权价值增加表!M17</f>
        <v>1890541345.7194195</v>
      </c>
      <c r="N15" s="26">
        <f>股权价值增加表!N17</f>
        <v>1375455325.4427567</v>
      </c>
      <c r="O15" s="26">
        <f>股权价值增加表!O17</f>
        <v>875061214.3214457</v>
      </c>
      <c r="P15" s="26">
        <f>股权价值增加表!P17</f>
        <v>351443897.05365372</v>
      </c>
      <c r="Q15" s="26">
        <f>股权价值增加表!Q17</f>
        <v>2005514863.3677685</v>
      </c>
      <c r="R15" s="26">
        <f>股权价值增加表!R17</f>
        <v>1459019374.6507008</v>
      </c>
      <c r="S15" s="26">
        <f>股权价值增加表!S17</f>
        <v>893838988.61777902</v>
      </c>
      <c r="T15" s="26">
        <f>股权价值增加表!T17</f>
        <v>328410777.66357994</v>
      </c>
      <c r="U15" s="26">
        <f>股权价值增加表!U17</f>
        <v>1703036689.4374251</v>
      </c>
      <c r="V15" s="26">
        <f>股权价值增加表!V17</f>
        <v>1213258365.3982832</v>
      </c>
      <c r="W15" s="26">
        <f>股权价值增加表!W17</f>
        <v>728177453.45190895</v>
      </c>
      <c r="X15" s="26">
        <f>股权价值增加表!X17</f>
        <v>248568121.39499229</v>
      </c>
      <c r="Y15" s="26">
        <f>股权价值增加表!Y17</f>
        <v>1377756934.7396727</v>
      </c>
      <c r="Z15" s="26">
        <f>股权价值增加表!Z17</f>
        <v>1001357964.6231538</v>
      </c>
      <c r="AA15" s="26">
        <f>股权价值增加表!AA17</f>
        <v>510874573.63560152</v>
      </c>
      <c r="AB15" s="26">
        <f>股权价值增加表!AB17</f>
        <v>185548396.03976721</v>
      </c>
      <c r="AC15" s="26">
        <f>股权价值增加表!AC17</f>
        <v>849234653.76762271</v>
      </c>
      <c r="AD15" s="26">
        <f>股权价值增加表!AD17</f>
        <v>635387435.15714824</v>
      </c>
      <c r="AE15" s="26">
        <f>股权价值增加表!AE17</f>
        <v>394308466.24794292</v>
      </c>
      <c r="AF15" s="26">
        <f>股权价值增加表!AF17</f>
        <v>144089764.4936077</v>
      </c>
      <c r="AG15" s="26">
        <f>股权价值增加表!AG17</f>
        <v>682717652.57634842</v>
      </c>
      <c r="AH15" s="26">
        <f>股权价值增加表!AH17</f>
        <v>596293230.72519171</v>
      </c>
      <c r="AI15" s="26">
        <f>股权价值增加表!AI17</f>
        <v>398936328.90249604</v>
      </c>
      <c r="AJ15" s="26">
        <f>股权价值增加表!AJ17</f>
        <v>165593563.54801738</v>
      </c>
      <c r="AK15" s="26">
        <f>股权价值增加表!AK17</f>
        <v>566953971.2500701</v>
      </c>
      <c r="AL15" s="26">
        <f>股权价值增加表!AL17</f>
        <v>516096738.36638033</v>
      </c>
      <c r="AM15" s="26">
        <f>股权价值增加表!AM17</f>
        <v>370136564.05145079</v>
      </c>
      <c r="AN15" s="26">
        <f>股权价值增加表!AN17</f>
        <v>129817609.17336202</v>
      </c>
      <c r="AO15" s="26">
        <f>股权价值增加表!AO17</f>
        <v>444884391.43589419</v>
      </c>
      <c r="AP15" s="26">
        <f>股权价值增加表!AP17</f>
        <v>405708993.35624093</v>
      </c>
      <c r="AQ15" s="26">
        <f>股权价值增加表!AQ17</f>
        <v>217516366.07880697</v>
      </c>
      <c r="AR15" s="26" t="e">
        <f>股权价值增加表!AR17</f>
        <v>#DIV/0!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0.85439776447044558</v>
      </c>
      <c r="F16" s="28">
        <f t="shared" ref="F16:BQ16" si="8">F14/F15</f>
        <v>0.81493111542546881</v>
      </c>
      <c r="G16" s="28">
        <f t="shared" si="8"/>
        <v>0.5973843999468873</v>
      </c>
      <c r="H16" s="28">
        <f t="shared" si="8"/>
        <v>-0.1245244426147074</v>
      </c>
      <c r="I16" s="28">
        <f t="shared" si="8"/>
        <v>1.728513547277007</v>
      </c>
      <c r="J16" s="28">
        <f t="shared" si="8"/>
        <v>1.3572958199743808</v>
      </c>
      <c r="K16" s="28">
        <f t="shared" si="8"/>
        <v>1.7083525119031178</v>
      </c>
      <c r="L16" s="28">
        <f t="shared" si="8"/>
        <v>1.1193870788838169</v>
      </c>
      <c r="M16" s="28">
        <f t="shared" si="8"/>
        <v>1.0185494978091767</v>
      </c>
      <c r="N16" s="28">
        <f t="shared" si="8"/>
        <v>0.80616003310254181</v>
      </c>
      <c r="O16" s="28">
        <f t="shared" si="8"/>
        <v>1.1193777791643509</v>
      </c>
      <c r="P16" s="28">
        <f t="shared" si="8"/>
        <v>0.42009284411463388</v>
      </c>
      <c r="Q16" s="28">
        <f t="shared" si="8"/>
        <v>1.1688065205678557</v>
      </c>
      <c r="R16" s="28">
        <f t="shared" si="8"/>
        <v>0.81365214862496804</v>
      </c>
      <c r="S16" s="28">
        <f t="shared" si="8"/>
        <v>0.83675805379286994</v>
      </c>
      <c r="T16" s="28">
        <f t="shared" si="8"/>
        <v>-0.71397200602896926</v>
      </c>
      <c r="U16" s="28">
        <f t="shared" si="8"/>
        <v>0.37445579216538161</v>
      </c>
      <c r="V16" s="28">
        <f t="shared" si="8"/>
        <v>4.4744006180562554E-3</v>
      </c>
      <c r="W16" s="28">
        <f t="shared" si="8"/>
        <v>2.7713531865530043E-2</v>
      </c>
      <c r="X16" s="28">
        <f t="shared" si="8"/>
        <v>-2.6361688931089184</v>
      </c>
      <c r="Y16" s="28">
        <f t="shared" si="8"/>
        <v>1.8496922447728601</v>
      </c>
      <c r="Z16" s="28">
        <f t="shared" si="8"/>
        <v>1.1751637156677093</v>
      </c>
      <c r="AA16" s="28">
        <f t="shared" si="8"/>
        <v>1.3632522667036606</v>
      </c>
      <c r="AB16" s="28">
        <f t="shared" si="8"/>
        <v>0.25467718858573263</v>
      </c>
      <c r="AC16" s="28">
        <f t="shared" si="8"/>
        <v>0.13797995541060834</v>
      </c>
      <c r="AD16" s="28">
        <f t="shared" si="8"/>
        <v>0.10637571129067612</v>
      </c>
      <c r="AE16" s="28">
        <f t="shared" si="8"/>
        <v>0.38981990420501622</v>
      </c>
      <c r="AF16" s="28">
        <f t="shared" si="8"/>
        <v>-1.4632876219972848</v>
      </c>
      <c r="AG16" s="28">
        <f t="shared" si="8"/>
        <v>1.0144355497275639</v>
      </c>
      <c r="AH16" s="28">
        <f t="shared" si="8"/>
        <v>1.217981452794173</v>
      </c>
      <c r="AI16" s="28">
        <f t="shared" si="8"/>
        <v>0.95190168838399825</v>
      </c>
      <c r="AJ16" s="28">
        <f t="shared" si="8"/>
        <v>-0.72818528930947524</v>
      </c>
      <c r="AK16" s="28">
        <f t="shared" si="8"/>
        <v>1.9468974342242313</v>
      </c>
      <c r="AL16" s="28">
        <f t="shared" si="8"/>
        <v>2.0002354685627814</v>
      </c>
      <c r="AM16" s="28">
        <f t="shared" si="8"/>
        <v>1.8342924370628355</v>
      </c>
      <c r="AN16" s="28">
        <f t="shared" si="8"/>
        <v>1.345865412809121</v>
      </c>
      <c r="AO16" s="28">
        <f t="shared" si="8"/>
        <v>0.82679515294481254</v>
      </c>
      <c r="AP16" s="28">
        <f t="shared" si="8"/>
        <v>1.3469471633086583</v>
      </c>
      <c r="AQ16" s="28">
        <f t="shared" si="8"/>
        <v>1.1709171122678814</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2651377735.9200015</v>
      </c>
      <c r="F17" s="26">
        <f>股权价值增加表!F42</f>
        <v>1932515700.519999</v>
      </c>
      <c r="G17" s="26">
        <f>股权价值增加表!G42</f>
        <v>1224541405.2700005</v>
      </c>
      <c r="H17" s="26">
        <f>股权价值增加表!H42</f>
        <v>387067290.68999982</v>
      </c>
      <c r="I17" s="26">
        <f>股权价值增加表!I42</f>
        <v>2686018036.440001</v>
      </c>
      <c r="J17" s="26">
        <f>股权价值增加表!J42</f>
        <v>1369395003.3599994</v>
      </c>
      <c r="K17" s="26">
        <f>股权价值增加表!K42</f>
        <v>849092998.30000031</v>
      </c>
      <c r="L17" s="26">
        <f>股权价值增加表!L42</f>
        <v>336453008.92999983</v>
      </c>
      <c r="M17" s="26">
        <f>股权价值增加表!M42</f>
        <v>1877135159.2499995</v>
      </c>
      <c r="N17" s="26">
        <f>股权价值增加表!N42</f>
        <v>1367552079.73</v>
      </c>
      <c r="O17" s="26">
        <f>股权价值增加表!O42</f>
        <v>847451212.48999965</v>
      </c>
      <c r="P17" s="26">
        <f>股权价值增加表!P42</f>
        <v>331161520.3499999</v>
      </c>
      <c r="Q17" s="26">
        <f>股权价值增加表!Q42</f>
        <v>1928648752.0199993</v>
      </c>
      <c r="R17" s="26">
        <f>股权价值增加表!R42</f>
        <v>1431479764.8900003</v>
      </c>
      <c r="S17" s="26">
        <f>股权价值增加表!S42</f>
        <v>878904325.17000055</v>
      </c>
      <c r="T17" s="26">
        <f>股权价值增加表!T42</f>
        <v>326480655.06999981</v>
      </c>
      <c r="U17" s="26">
        <f>股权价值增加表!U42</f>
        <v>1669068330.9199989</v>
      </c>
      <c r="V17" s="26">
        <f>股权价值增加表!V42</f>
        <v>1208374948.7</v>
      </c>
      <c r="W17" s="26">
        <f>股权价值增加表!W42</f>
        <v>729672291.19999969</v>
      </c>
      <c r="X17" s="26">
        <f>股权价值增加表!X42</f>
        <v>262089289.81000003</v>
      </c>
      <c r="Y17" s="26">
        <f>股权价值增加表!Y42</f>
        <v>1395438427.2999995</v>
      </c>
      <c r="Z17" s="26">
        <f>股权价值增加表!Z42</f>
        <v>1016219666.2099987</v>
      </c>
      <c r="AA17" s="26">
        <f>股权价值增加表!AA42</f>
        <v>532891768.21999997</v>
      </c>
      <c r="AB17" s="26">
        <f>股权价值增加表!AB42</f>
        <v>215981900.94999999</v>
      </c>
      <c r="AC17" s="26">
        <f>股权价值增加表!AC42</f>
        <v>893134907.07000017</v>
      </c>
      <c r="AD17" s="26">
        <f>股权价值增加表!AD42</f>
        <v>682483293.7099998</v>
      </c>
      <c r="AE17" s="26">
        <f>股权价值增加表!AE42</f>
        <v>441764616.95000005</v>
      </c>
      <c r="AF17" s="26">
        <f>股权价值增加表!AF42</f>
        <v>182755203.25999996</v>
      </c>
      <c r="AG17" s="26">
        <f>股权价值增加表!AG42</f>
        <v>695526845.31000018</v>
      </c>
      <c r="AH17" s="26">
        <f>股权价值增加表!AH42</f>
        <v>610432154.76000035</v>
      </c>
      <c r="AI17" s="26">
        <f>股权价值增加表!AI42</f>
        <v>400667388.60000014</v>
      </c>
      <c r="AJ17" s="26">
        <f>股权价值增加表!AJ42</f>
        <v>168209809.16000009</v>
      </c>
      <c r="AK17" s="26">
        <f>股权价值增加表!AK42</f>
        <v>570488753.41999984</v>
      </c>
      <c r="AL17" s="26">
        <f>股权价值增加表!AL42</f>
        <v>518307975.35000032</v>
      </c>
      <c r="AM17" s="26">
        <f>股权价值增加表!AM42</f>
        <v>371877228.92999989</v>
      </c>
      <c r="AN17" s="26">
        <f>股权价值增加表!AN42</f>
        <v>127409347.79000002</v>
      </c>
      <c r="AO17" s="26">
        <f>股权价值增加表!AO42</f>
        <v>436503739.91999984</v>
      </c>
      <c r="AP17" s="26">
        <f>股权价值增加表!AP42</f>
        <v>385929838.26000035</v>
      </c>
      <c r="AQ17" s="26">
        <f>股权价值增加表!AQ42</f>
        <v>197586995.35000014</v>
      </c>
      <c r="AR17" s="26">
        <f>股权价值增加表!AR42</f>
        <v>0</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0.9684102481493686</v>
      </c>
      <c r="F18" s="28">
        <f t="shared" ref="F18:BQ18" si="10">F14/F17</f>
        <v>0.91054683432922001</v>
      </c>
      <c r="G18" s="28">
        <f t="shared" si="10"/>
        <v>0.66344389695901695</v>
      </c>
      <c r="H18" s="28">
        <f t="shared" si="10"/>
        <v>-0.14491971488989788</v>
      </c>
      <c r="I18" s="28">
        <f t="shared" si="10"/>
        <v>1.8235909933881091</v>
      </c>
      <c r="J18" s="28">
        <f t="shared" si="10"/>
        <v>1.354918761706793</v>
      </c>
      <c r="K18" s="28">
        <f t="shared" si="10"/>
        <v>1.7263775437494375</v>
      </c>
      <c r="L18" s="28">
        <f t="shared" si="10"/>
        <v>1.1808249349693227</v>
      </c>
      <c r="M18" s="28">
        <f t="shared" si="10"/>
        <v>1.0258238085740019</v>
      </c>
      <c r="N18" s="28">
        <f t="shared" si="10"/>
        <v>0.81081892757526364</v>
      </c>
      <c r="O18" s="28">
        <f t="shared" si="10"/>
        <v>1.1558471617993689</v>
      </c>
      <c r="P18" s="28">
        <f t="shared" si="10"/>
        <v>0.44582192431041612</v>
      </c>
      <c r="Q18" s="28">
        <f t="shared" si="10"/>
        <v>1.2153891925343663</v>
      </c>
      <c r="R18" s="28">
        <f t="shared" si="10"/>
        <v>0.82930564454134859</v>
      </c>
      <c r="S18" s="28">
        <f t="shared" si="10"/>
        <v>0.85097655239702397</v>
      </c>
      <c r="T18" s="28">
        <f t="shared" si="10"/>
        <v>-0.71819294064981165</v>
      </c>
      <c r="U18" s="28">
        <f t="shared" si="10"/>
        <v>0.382076599751006</v>
      </c>
      <c r="V18" s="28">
        <f t="shared" si="10"/>
        <v>4.4924830540721055E-3</v>
      </c>
      <c r="W18" s="28">
        <f t="shared" si="10"/>
        <v>2.7656756743238666E-2</v>
      </c>
      <c r="X18" s="28">
        <f t="shared" si="10"/>
        <v>-2.5001691214281672</v>
      </c>
      <c r="Y18" s="28">
        <f t="shared" si="10"/>
        <v>1.8262549371675891</v>
      </c>
      <c r="Z18" s="28">
        <f t="shared" si="10"/>
        <v>1.1579775372865362</v>
      </c>
      <c r="AA18" s="28">
        <f t="shared" si="10"/>
        <v>1.306927526458761</v>
      </c>
      <c r="AB18" s="28">
        <f t="shared" si="10"/>
        <v>0.21879122112616078</v>
      </c>
      <c r="AC18" s="28">
        <f t="shared" si="10"/>
        <v>0.13119782771049629</v>
      </c>
      <c r="AD18" s="28">
        <f t="shared" si="10"/>
        <v>9.9035084056900285E-2</v>
      </c>
      <c r="AE18" s="28">
        <f t="shared" si="10"/>
        <v>0.34794386567495778</v>
      </c>
      <c r="AF18" s="28">
        <f t="shared" si="10"/>
        <v>-1.1537004970525404</v>
      </c>
      <c r="AG18" s="28">
        <f t="shared" si="10"/>
        <v>0.99575316448255335</v>
      </c>
      <c r="AH18" s="28">
        <f t="shared" si="10"/>
        <v>1.1897703778981703</v>
      </c>
      <c r="AI18" s="28">
        <f t="shared" si="10"/>
        <v>0.947789053576096</v>
      </c>
      <c r="AJ18" s="28">
        <f t="shared" si="10"/>
        <v>-0.71685948389194365</v>
      </c>
      <c r="AK18" s="28">
        <f t="shared" si="10"/>
        <v>1.9348343421896872</v>
      </c>
      <c r="AL18" s="28">
        <f t="shared" si="10"/>
        <v>1.991701942446291</v>
      </c>
      <c r="AM18" s="28">
        <f t="shared" si="10"/>
        <v>1.8257065700782655</v>
      </c>
      <c r="AN18" s="28">
        <f t="shared" si="10"/>
        <v>1.3713046427957072</v>
      </c>
      <c r="AO18" s="28">
        <f t="shared" si="10"/>
        <v>0.84266920262221268</v>
      </c>
      <c r="AP18" s="28">
        <f t="shared" si="10"/>
        <v>1.4159790810521495</v>
      </c>
      <c r="AQ18" s="28">
        <f t="shared" si="10"/>
        <v>1.2890202353087192</v>
      </c>
      <c r="AR18" s="28" t="e">
        <f t="shared" si="10"/>
        <v>#DIV/0!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79416827.400000006</v>
      </c>
      <c r="F19" s="26">
        <f>现金流量表!F48</f>
        <v>0</v>
      </c>
      <c r="G19" s="26">
        <f>现金流量表!G48</f>
        <v>54427001.840000004</v>
      </c>
      <c r="H19" s="26">
        <f>现金流量表!H48</f>
        <v>0</v>
      </c>
      <c r="I19" s="26">
        <f>现金流量表!I48</f>
        <v>143909070.41999999</v>
      </c>
      <c r="J19" s="26">
        <f>现金流量表!J48</f>
        <v>0</v>
      </c>
      <c r="K19" s="26">
        <f>现金流量表!K48</f>
        <v>20261842.149999999</v>
      </c>
      <c r="L19" s="26">
        <f>现金流量表!L48</f>
        <v>0</v>
      </c>
      <c r="M19" s="26">
        <f>现金流量表!M48</f>
        <v>75947956.810000002</v>
      </c>
      <c r="N19" s="26">
        <f>现金流量表!N48</f>
        <v>0</v>
      </c>
      <c r="O19" s="26">
        <f>现金流量表!O48</f>
        <v>45585700.079999998</v>
      </c>
      <c r="P19" s="26">
        <f>现金流量表!P48</f>
        <v>0</v>
      </c>
      <c r="Q19" s="26">
        <f>现金流量表!Q48</f>
        <v>69437394.159999996</v>
      </c>
      <c r="R19" s="26">
        <f>现金流量表!R48</f>
        <v>0</v>
      </c>
      <c r="S19" s="26">
        <f>现金流量表!S48</f>
        <v>22367059.449999999</v>
      </c>
      <c r="T19" s="26">
        <f>现金流量表!T48</f>
        <v>0</v>
      </c>
      <c r="U19" s="26">
        <f>现金流量表!U48</f>
        <v>125128091.59999999</v>
      </c>
      <c r="V19" s="26">
        <f>现金流量表!V48</f>
        <v>0</v>
      </c>
      <c r="W19" s="26">
        <f>现金流量表!W48</f>
        <v>25984898.969999999</v>
      </c>
      <c r="X19" s="26">
        <f>现金流量表!X48</f>
        <v>0</v>
      </c>
      <c r="Y19" s="26">
        <f>现金流量表!Y48</f>
        <v>26000027.32</v>
      </c>
      <c r="Z19" s="26">
        <f>现金流量表!Z48</f>
        <v>0</v>
      </c>
      <c r="AA19" s="26">
        <f>现金流量表!AA48</f>
        <v>20654923.629999999</v>
      </c>
      <c r="AB19" s="26">
        <f>现金流量表!AB48</f>
        <v>0</v>
      </c>
      <c r="AC19" s="26">
        <f>现金流量表!AC48</f>
        <v>5807525.2999999998</v>
      </c>
      <c r="AD19" s="26">
        <f>现金流量表!AD48</f>
        <v>0</v>
      </c>
      <c r="AE19" s="26">
        <f>现金流量表!AE48</f>
        <v>9176437.6199999992</v>
      </c>
      <c r="AF19" s="26">
        <f>现金流量表!AF48</f>
        <v>0</v>
      </c>
      <c r="AG19" s="26">
        <f>现金流量表!AG48</f>
        <v>-5911659.8899999997</v>
      </c>
      <c r="AH19" s="26">
        <f>现金流量表!AH48</f>
        <v>0</v>
      </c>
      <c r="AI19" s="26">
        <f>现金流量表!AI48</f>
        <v>498710.47</v>
      </c>
      <c r="AJ19" s="26">
        <f>现金流量表!AJ48</f>
        <v>0</v>
      </c>
      <c r="AK19" s="26">
        <f>现金流量表!AK48</f>
        <v>18512250.579999998</v>
      </c>
      <c r="AL19" s="26">
        <f>现金流量表!AL48</f>
        <v>0</v>
      </c>
      <c r="AM19" s="26">
        <f>现金流量表!AM48</f>
        <v>10539710.140000001</v>
      </c>
      <c r="AN19" s="26">
        <f>现金流量表!AN48</f>
        <v>0</v>
      </c>
      <c r="AO19" s="26">
        <f>现金流量表!AO48</f>
        <v>9716599.2300000004</v>
      </c>
      <c r="AP19" s="26">
        <f>现金流量表!AP48</f>
        <v>-11495957.26</v>
      </c>
      <c r="AQ19" s="26">
        <f>现金流量表!AQ48</f>
        <v>7790134.0199999996</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1043475059.79</v>
      </c>
      <c r="F20" s="26">
        <f>现金流量表!F49</f>
        <v>0</v>
      </c>
      <c r="G20" s="26">
        <f>现金流量表!G49</f>
        <v>496575982.13</v>
      </c>
      <c r="H20" s="26">
        <f>现金流量表!H49</f>
        <v>0</v>
      </c>
      <c r="I20" s="26">
        <f>现金流量表!I49</f>
        <v>801026576.38999999</v>
      </c>
      <c r="J20" s="26">
        <f>现金流量表!J49</f>
        <v>0</v>
      </c>
      <c r="K20" s="26">
        <f>现金流量表!K49</f>
        <v>102634097.53</v>
      </c>
      <c r="L20" s="26">
        <f>现金流量表!L49</f>
        <v>0</v>
      </c>
      <c r="M20" s="26">
        <f>现金流量表!M49</f>
        <v>192309665.59</v>
      </c>
      <c r="N20" s="26">
        <f>现金流量表!N49</f>
        <v>0</v>
      </c>
      <c r="O20" s="26">
        <f>现金流量表!O49</f>
        <v>76900141.560000002</v>
      </c>
      <c r="P20" s="26">
        <f>现金流量表!P49</f>
        <v>0</v>
      </c>
      <c r="Q20" s="26">
        <f>现金流量表!Q49</f>
        <v>155612483.99000001</v>
      </c>
      <c r="R20" s="26">
        <f>现金流量表!R49</f>
        <v>0</v>
      </c>
      <c r="S20" s="26">
        <f>现金流量表!S49</f>
        <v>79735542.790000007</v>
      </c>
      <c r="T20" s="26">
        <f>现金流量表!T49</f>
        <v>0</v>
      </c>
      <c r="U20" s="26">
        <f>现金流量表!U49</f>
        <v>136884310.62</v>
      </c>
      <c r="V20" s="26">
        <f>现金流量表!V49</f>
        <v>0</v>
      </c>
      <c r="W20" s="26">
        <f>现金流量表!W49</f>
        <v>72677287.719999999</v>
      </c>
      <c r="X20" s="26">
        <f>现金流量表!X49</f>
        <v>0</v>
      </c>
      <c r="Y20" s="26">
        <f>现金流量表!Y49</f>
        <v>126455011.06999999</v>
      </c>
      <c r="Z20" s="26">
        <f>现金流量表!Z49</f>
        <v>0</v>
      </c>
      <c r="AA20" s="26">
        <f>现金流量表!AA49</f>
        <v>38576605.810000002</v>
      </c>
      <c r="AB20" s="26">
        <f>现金流量表!AB49</f>
        <v>0</v>
      </c>
      <c r="AC20" s="26">
        <f>现金流量表!AC49</f>
        <v>69898757.359999999</v>
      </c>
      <c r="AD20" s="26">
        <f>现金流量表!AD49</f>
        <v>0</v>
      </c>
      <c r="AE20" s="26">
        <f>现金流量表!AE49</f>
        <v>33601644.409999996</v>
      </c>
      <c r="AF20" s="26">
        <f>现金流量表!AF49</f>
        <v>0</v>
      </c>
      <c r="AG20" s="26">
        <f>现金流量表!AG49</f>
        <v>66585542.469999999</v>
      </c>
      <c r="AH20" s="26">
        <f>现金流量表!AH49</f>
        <v>0</v>
      </c>
      <c r="AI20" s="26">
        <f>现金流量表!AI49</f>
        <v>32897381.359999999</v>
      </c>
      <c r="AJ20" s="26">
        <f>现金流量表!AJ49</f>
        <v>0</v>
      </c>
      <c r="AK20" s="26">
        <f>现金流量表!AK49</f>
        <v>71455036.890000001</v>
      </c>
      <c r="AL20" s="26">
        <f>现金流量表!AL49</f>
        <v>0</v>
      </c>
      <c r="AM20" s="26">
        <f>现金流量表!AM49</f>
        <v>33399415.449999999</v>
      </c>
      <c r="AN20" s="26">
        <f>现金流量表!AN49</f>
        <v>0</v>
      </c>
      <c r="AO20" s="26">
        <f>现金流量表!AO49</f>
        <v>61127567.609999999</v>
      </c>
      <c r="AP20" s="26">
        <f>现金流量表!AP49</f>
        <v>56310797.18</v>
      </c>
      <c r="AQ20" s="26">
        <f>现金流量表!AQ49</f>
        <v>54122801.670000002</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45636820.869999997</v>
      </c>
      <c r="F21" s="26">
        <f>现金流量表!F50</f>
        <v>0</v>
      </c>
      <c r="G21" s="26">
        <f>现金流量表!G50</f>
        <v>26586793.859999999</v>
      </c>
      <c r="H21" s="26">
        <f>现金流量表!H50</f>
        <v>0</v>
      </c>
      <c r="I21" s="26">
        <f>现金流量表!I50</f>
        <v>43392230.850000001</v>
      </c>
      <c r="J21" s="26">
        <f>现金流量表!J50</f>
        <v>0</v>
      </c>
      <c r="K21" s="26">
        <f>现金流量表!K50</f>
        <v>14086437.17</v>
      </c>
      <c r="L21" s="26">
        <f>现金流量表!L50</f>
        <v>0</v>
      </c>
      <c r="M21" s="26">
        <f>现金流量表!M50</f>
        <v>21918007.100000001</v>
      </c>
      <c r="N21" s="26">
        <f>现金流量表!N50</f>
        <v>0</v>
      </c>
      <c r="O21" s="26">
        <f>现金流量表!O50</f>
        <v>10137219.08</v>
      </c>
      <c r="P21" s="26">
        <f>现金流量表!P50</f>
        <v>0</v>
      </c>
      <c r="Q21" s="26">
        <f>现金流量表!Q50</f>
        <v>25531189.530000001</v>
      </c>
      <c r="R21" s="26">
        <f>现金流量表!R50</f>
        <v>0</v>
      </c>
      <c r="S21" s="26">
        <f>现金流量表!S50</f>
        <v>12704351.289999999</v>
      </c>
      <c r="T21" s="26">
        <f>现金流量表!T50</f>
        <v>0</v>
      </c>
      <c r="U21" s="26">
        <f>现金流量表!U50</f>
        <v>28428928.43</v>
      </c>
      <c r="V21" s="26">
        <f>现金流量表!V50</f>
        <v>0</v>
      </c>
      <c r="W21" s="26">
        <f>现金流量表!W50</f>
        <v>13331422.58</v>
      </c>
      <c r="X21" s="26">
        <f>现金流量表!X50</f>
        <v>0</v>
      </c>
      <c r="Y21" s="26">
        <f>现金流量表!Y50</f>
        <v>26726372.02</v>
      </c>
      <c r="Z21" s="26">
        <f>现金流量表!Z50</f>
        <v>0</v>
      </c>
      <c r="AA21" s="26">
        <f>现金流量表!AA50</f>
        <v>4114342.7</v>
      </c>
      <c r="AB21" s="26">
        <f>现金流量表!AB50</f>
        <v>0</v>
      </c>
      <c r="AC21" s="26">
        <f>现金流量表!AC50</f>
        <v>5699189.2300000004</v>
      </c>
      <c r="AD21" s="26">
        <f>现金流量表!AD50</f>
        <v>0</v>
      </c>
      <c r="AE21" s="26">
        <f>现金流量表!AE50</f>
        <v>7779602.0300000003</v>
      </c>
      <c r="AF21" s="26">
        <f>现金流量表!AF50</f>
        <v>0</v>
      </c>
      <c r="AG21" s="26">
        <f>现金流量表!AG50</f>
        <v>4691297.66</v>
      </c>
      <c r="AH21" s="26">
        <f>现金流量表!AH50</f>
        <v>0</v>
      </c>
      <c r="AI21" s="26">
        <f>现金流量表!AI50</f>
        <v>1512590.24</v>
      </c>
      <c r="AJ21" s="26">
        <f>现金流量表!AJ50</f>
        <v>0</v>
      </c>
      <c r="AK21" s="26">
        <f>现金流量表!AK50</f>
        <v>3146040.04</v>
      </c>
      <c r="AL21" s="26">
        <f>现金流量表!AL50</f>
        <v>0</v>
      </c>
      <c r="AM21" s="26">
        <f>现金流量表!AM50</f>
        <v>1612125.38</v>
      </c>
      <c r="AN21" s="26">
        <f>现金流量表!AN50</f>
        <v>0</v>
      </c>
      <c r="AO21" s="26">
        <f>现金流量表!AO50</f>
        <v>7168117.9699999997</v>
      </c>
      <c r="AP21" s="26">
        <f>现金流量表!AP50</f>
        <v>4189289.26</v>
      </c>
      <c r="AQ21" s="26">
        <f>现金流量表!AQ50</f>
        <v>2019846.69</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25403781.109999999</v>
      </c>
      <c r="F22" s="26">
        <f>现金流量表!F51</f>
        <v>0</v>
      </c>
      <c r="G22" s="26">
        <f>现金流量表!G51</f>
        <v>13768921.24</v>
      </c>
      <c r="H22" s="26">
        <f>现金流量表!H51</f>
        <v>0</v>
      </c>
      <c r="I22" s="26">
        <f>现金流量表!I51</f>
        <v>20233090.210000001</v>
      </c>
      <c r="J22" s="26">
        <f>现金流量表!J51</f>
        <v>0</v>
      </c>
      <c r="K22" s="26">
        <f>现金流量表!K51</f>
        <v>4578422.01</v>
      </c>
      <c r="L22" s="26">
        <f>现金流量表!L51</f>
        <v>0</v>
      </c>
      <c r="M22" s="26">
        <f>现金流量表!M51</f>
        <v>8037430.8200000003</v>
      </c>
      <c r="N22" s="26">
        <f>现金流量表!N51</f>
        <v>0</v>
      </c>
      <c r="O22" s="26">
        <f>现金流量表!O51</f>
        <v>3258477.68</v>
      </c>
      <c r="P22" s="26">
        <f>现金流量表!P51</f>
        <v>0</v>
      </c>
      <c r="Q22" s="26">
        <f>现金流量表!Q51</f>
        <v>4639916.8899999997</v>
      </c>
      <c r="R22" s="26">
        <f>现金流量表!R51</f>
        <v>0</v>
      </c>
      <c r="S22" s="26">
        <f>现金流量表!S51</f>
        <v>2463630.16</v>
      </c>
      <c r="T22" s="26">
        <f>现金流量表!T51</f>
        <v>0</v>
      </c>
      <c r="U22" s="26">
        <f>现金流量表!U51</f>
        <v>16337306</v>
      </c>
      <c r="V22" s="26">
        <f>现金流量表!V51</f>
        <v>0</v>
      </c>
      <c r="W22" s="26">
        <f>现金流量表!W51</f>
        <v>5571473.0099999998</v>
      </c>
      <c r="X22" s="26">
        <f>现金流量表!X51</f>
        <v>0</v>
      </c>
      <c r="Y22" s="26">
        <f>现金流量表!Y51</f>
        <v>9724118.9299999997</v>
      </c>
      <c r="Z22" s="26">
        <f>现金流量表!Z51</f>
        <v>0</v>
      </c>
      <c r="AA22" s="26">
        <f>现金流量表!AA51</f>
        <v>723234.6</v>
      </c>
      <c r="AB22" s="26">
        <f>现金流量表!AB51</f>
        <v>0</v>
      </c>
      <c r="AC22" s="26">
        <f>现金流量表!AC51</f>
        <v>1570303.79</v>
      </c>
      <c r="AD22" s="26">
        <f>现金流量表!AD51</f>
        <v>0</v>
      </c>
      <c r="AE22" s="26">
        <f>现金流量表!AE51</f>
        <v>812689.44</v>
      </c>
      <c r="AF22" s="26">
        <f>现金流量表!AF51</f>
        <v>0</v>
      </c>
      <c r="AG22" s="26">
        <f>现金流量表!AG51</f>
        <v>1074066.22</v>
      </c>
      <c r="AH22" s="26">
        <f>现金流量表!AH51</f>
        <v>0</v>
      </c>
      <c r="AI22" s="26">
        <f>现金流量表!AI51</f>
        <v>537033.1</v>
      </c>
      <c r="AJ22" s="26">
        <f>现金流量表!AJ51</f>
        <v>0</v>
      </c>
      <c r="AK22" s="26">
        <f>现金流量表!AK51</f>
        <v>307082.44</v>
      </c>
      <c r="AL22" s="26">
        <f>现金流量表!AL51</f>
        <v>0</v>
      </c>
      <c r="AM22" s="26">
        <f>现金流量表!AM51</f>
        <v>131749.26</v>
      </c>
      <c r="AN22" s="26">
        <f>现金流量表!AN51</f>
        <v>0</v>
      </c>
      <c r="AO22" s="26">
        <f>现金流量表!AO51</f>
        <v>1428842.84</v>
      </c>
      <c r="AP22" s="26">
        <f>现金流量表!AP51</f>
        <v>802485.12</v>
      </c>
      <c r="AQ22" s="26">
        <f>现金流量表!AQ51</f>
        <v>1381438.31</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-58791038.140000001</v>
      </c>
      <c r="F23" s="26">
        <f>现金流量表!F54</f>
        <v>0</v>
      </c>
      <c r="G23" s="26">
        <f>现金流量表!G54</f>
        <v>-147435.17000000001</v>
      </c>
      <c r="H23" s="26">
        <f>现金流量表!H54</f>
        <v>0</v>
      </c>
      <c r="I23" s="26">
        <f>现金流量表!I54</f>
        <v>8429045.4100000001</v>
      </c>
      <c r="J23" s="26">
        <f>现金流量表!J54</f>
        <v>0</v>
      </c>
      <c r="K23" s="26">
        <f>现金流量表!K54</f>
        <v>119035.78</v>
      </c>
      <c r="L23" s="26">
        <f>现金流量表!L54</f>
        <v>0</v>
      </c>
      <c r="M23" s="26">
        <f>现金流量表!M54</f>
        <v>-4410764.01</v>
      </c>
      <c r="N23" s="26">
        <f>现金流量表!N54</f>
        <v>0</v>
      </c>
      <c r="O23" s="26">
        <f>现金流量表!O54</f>
        <v>0</v>
      </c>
      <c r="P23" s="26">
        <f>现金流量表!P54</f>
        <v>0</v>
      </c>
      <c r="Q23" s="26">
        <f>现金流量表!Q54</f>
        <v>-848179.68</v>
      </c>
      <c r="R23" s="26">
        <f>现金流量表!R54</f>
        <v>0</v>
      </c>
      <c r="S23" s="26">
        <f>现金流量表!S54</f>
        <v>-488484.92</v>
      </c>
      <c r="T23" s="26">
        <f>现金流量表!T54</f>
        <v>0</v>
      </c>
      <c r="U23" s="26">
        <f>现金流量表!U54</f>
        <v>-1795056.37</v>
      </c>
      <c r="V23" s="26">
        <f>现金流量表!V54</f>
        <v>0</v>
      </c>
      <c r="W23" s="26">
        <f>现金流量表!W54</f>
        <v>463204.19</v>
      </c>
      <c r="X23" s="26">
        <f>现金流量表!X54</f>
        <v>0</v>
      </c>
      <c r="Y23" s="26">
        <f>现金流量表!Y54</f>
        <v>5263783.33</v>
      </c>
      <c r="Z23" s="26">
        <f>现金流量表!Z54</f>
        <v>0</v>
      </c>
      <c r="AA23" s="26">
        <f>现金流量表!AA54</f>
        <v>-779670.26</v>
      </c>
      <c r="AB23" s="26">
        <f>现金流量表!AB54</f>
        <v>0</v>
      </c>
      <c r="AC23" s="26">
        <f>现金流量表!AC54</f>
        <v>972976.97</v>
      </c>
      <c r="AD23" s="26">
        <f>现金流量表!AD54</f>
        <v>0</v>
      </c>
      <c r="AE23" s="26">
        <f>现金流量表!AE54</f>
        <v>486402.25</v>
      </c>
      <c r="AF23" s="26">
        <f>现金流量表!AF54</f>
        <v>0</v>
      </c>
      <c r="AG23" s="26">
        <f>现金流量表!AG54</f>
        <v>-75998.86</v>
      </c>
      <c r="AH23" s="26">
        <f>现金流量表!AH54</f>
        <v>0</v>
      </c>
      <c r="AI23" s="26">
        <f>现金流量表!AI54</f>
        <v>-813117.51</v>
      </c>
      <c r="AJ23" s="26">
        <f>现金流量表!AJ54</f>
        <v>0</v>
      </c>
      <c r="AK23" s="26">
        <f>现金流量表!AK54</f>
        <v>1851086.05</v>
      </c>
      <c r="AL23" s="26">
        <f>现金流量表!AL54</f>
        <v>0</v>
      </c>
      <c r="AM23" s="26">
        <f>现金流量表!AM54</f>
        <v>67240.78</v>
      </c>
      <c r="AN23" s="26">
        <f>现金流量表!AN54</f>
        <v>0</v>
      </c>
      <c r="AO23" s="26">
        <f>现金流量表!AO54</f>
        <v>-255564.67</v>
      </c>
      <c r="AP23" s="26">
        <f>现金流量表!AP54</f>
        <v>-1747975.99</v>
      </c>
      <c r="AQ23" s="26">
        <f>现金流量表!AQ54</f>
        <v>632263.41</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4575991.97</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-27244.04</v>
      </c>
      <c r="P24" s="26">
        <f>现金流量表!P55</f>
        <v>0</v>
      </c>
      <c r="Q24" s="26">
        <f>现金流量表!Q55</f>
        <v>0</v>
      </c>
      <c r="R24" s="26">
        <f>现金流量表!R55</f>
        <v>0</v>
      </c>
      <c r="S24" s="26">
        <f>现金流量表!S55</f>
        <v>136205.95000000001</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395948.79999999999</v>
      </c>
      <c r="AJ24" s="26">
        <f>现金流量表!AJ55</f>
        <v>0</v>
      </c>
      <c r="AK24" s="26">
        <f>现金流量表!AK55</f>
        <v>0</v>
      </c>
      <c r="AL24" s="26">
        <f>现金流量表!AL55</f>
        <v>0</v>
      </c>
      <c r="AM24" s="26">
        <f>现金流量表!AM55</f>
        <v>975</v>
      </c>
      <c r="AN24" s="26">
        <f>现金流量表!AN55</f>
        <v>0</v>
      </c>
      <c r="AO24" s="26">
        <f>现金流量表!AO55</f>
        <v>0</v>
      </c>
      <c r="AP24" s="26">
        <f>现金流量表!AP55</f>
        <v>11501</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1139717442.9999998</v>
      </c>
      <c r="F25" s="28">
        <f t="shared" ref="F25:BQ25" si="12">SUM(F19:F24)</f>
        <v>0</v>
      </c>
      <c r="G25" s="28">
        <f t="shared" si="12"/>
        <v>591211263.9000001</v>
      </c>
      <c r="H25" s="28">
        <f t="shared" si="12"/>
        <v>0</v>
      </c>
      <c r="I25" s="28">
        <f t="shared" si="12"/>
        <v>1016990013.28</v>
      </c>
      <c r="J25" s="28">
        <f t="shared" si="12"/>
        <v>0</v>
      </c>
      <c r="K25" s="28">
        <f t="shared" si="12"/>
        <v>141679834.63999999</v>
      </c>
      <c r="L25" s="28">
        <f t="shared" si="12"/>
        <v>0</v>
      </c>
      <c r="M25" s="28">
        <f t="shared" si="12"/>
        <v>293802296.31</v>
      </c>
      <c r="N25" s="28">
        <f t="shared" si="12"/>
        <v>0</v>
      </c>
      <c r="O25" s="28">
        <f t="shared" si="12"/>
        <v>135854294.36000001</v>
      </c>
      <c r="P25" s="28">
        <f t="shared" si="12"/>
        <v>0</v>
      </c>
      <c r="Q25" s="28">
        <f t="shared" si="12"/>
        <v>254372804.88999999</v>
      </c>
      <c r="R25" s="28">
        <f t="shared" si="12"/>
        <v>0</v>
      </c>
      <c r="S25" s="28">
        <f t="shared" si="12"/>
        <v>116918304.72</v>
      </c>
      <c r="T25" s="28">
        <f t="shared" si="12"/>
        <v>0</v>
      </c>
      <c r="U25" s="28">
        <f t="shared" si="12"/>
        <v>304983580.27999997</v>
      </c>
      <c r="V25" s="28">
        <f t="shared" si="12"/>
        <v>0</v>
      </c>
      <c r="W25" s="28">
        <f t="shared" si="12"/>
        <v>118028286.47</v>
      </c>
      <c r="X25" s="28">
        <f t="shared" si="12"/>
        <v>0</v>
      </c>
      <c r="Y25" s="28">
        <f t="shared" si="12"/>
        <v>194169312.67000002</v>
      </c>
      <c r="Z25" s="28">
        <f t="shared" si="12"/>
        <v>0</v>
      </c>
      <c r="AA25" s="28">
        <f t="shared" si="12"/>
        <v>63289436.480000004</v>
      </c>
      <c r="AB25" s="28">
        <f t="shared" si="12"/>
        <v>0</v>
      </c>
      <c r="AC25" s="28">
        <f t="shared" si="12"/>
        <v>83948752.650000006</v>
      </c>
      <c r="AD25" s="28">
        <f t="shared" si="12"/>
        <v>0</v>
      </c>
      <c r="AE25" s="28">
        <f t="shared" si="12"/>
        <v>51856775.749999993</v>
      </c>
      <c r="AF25" s="28">
        <f t="shared" si="12"/>
        <v>0</v>
      </c>
      <c r="AG25" s="28">
        <f t="shared" si="12"/>
        <v>66363247.599999994</v>
      </c>
      <c r="AH25" s="28">
        <f t="shared" si="12"/>
        <v>0</v>
      </c>
      <c r="AI25" s="28">
        <f t="shared" si="12"/>
        <v>35028546.460000001</v>
      </c>
      <c r="AJ25" s="28">
        <f t="shared" si="12"/>
        <v>0</v>
      </c>
      <c r="AK25" s="28">
        <f t="shared" si="12"/>
        <v>95271496</v>
      </c>
      <c r="AL25" s="28">
        <f t="shared" si="12"/>
        <v>0</v>
      </c>
      <c r="AM25" s="28">
        <f t="shared" si="12"/>
        <v>45751216.010000005</v>
      </c>
      <c r="AN25" s="28">
        <f t="shared" si="12"/>
        <v>0</v>
      </c>
      <c r="AO25" s="28">
        <f t="shared" si="12"/>
        <v>79185562.980000004</v>
      </c>
      <c r="AP25" s="28">
        <f t="shared" si="12"/>
        <v>48070139.309999995</v>
      </c>
      <c r="AQ25" s="28">
        <f t="shared" si="12"/>
        <v>65946484.099999994</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1427903928.1800001</v>
      </c>
      <c r="F26" s="28">
        <f t="shared" ref="F26:BQ26" si="14">F14-F25</f>
        <v>1759646053.4000001</v>
      </c>
      <c r="G26" s="28">
        <f t="shared" si="14"/>
        <v>221203257.99999988</v>
      </c>
      <c r="H26" s="28">
        <f t="shared" si="14"/>
        <v>-56093681.409999996</v>
      </c>
      <c r="I26" s="28">
        <f t="shared" si="14"/>
        <v>3881208286.0500002</v>
      </c>
      <c r="J26" s="28">
        <f t="shared" si="14"/>
        <v>1855418982.24</v>
      </c>
      <c r="K26" s="28">
        <f t="shared" si="14"/>
        <v>1324175250.1799998</v>
      </c>
      <c r="L26" s="28">
        <f t="shared" si="14"/>
        <v>397292102.38999999</v>
      </c>
      <c r="M26" s="28">
        <f t="shared" si="14"/>
        <v>1631807641.96</v>
      </c>
      <c r="N26" s="28">
        <f t="shared" si="14"/>
        <v>1108837110.6900001</v>
      </c>
      <c r="O26" s="28">
        <f t="shared" si="14"/>
        <v>843669784.36000001</v>
      </c>
      <c r="P26" s="28">
        <f t="shared" si="14"/>
        <v>147639066.25999999</v>
      </c>
      <c r="Q26" s="28">
        <f t="shared" si="14"/>
        <v>2089686044.5100002</v>
      </c>
      <c r="R26" s="28">
        <f t="shared" si="14"/>
        <v>1187134249.0699999</v>
      </c>
      <c r="S26" s="28">
        <f t="shared" si="14"/>
        <v>631008667.79999995</v>
      </c>
      <c r="T26" s="28">
        <f t="shared" si="14"/>
        <v>-234476101.72999999</v>
      </c>
      <c r="U26" s="28">
        <f t="shared" si="14"/>
        <v>332728372.35000002</v>
      </c>
      <c r="V26" s="28">
        <f t="shared" si="14"/>
        <v>5428603.9800000004</v>
      </c>
      <c r="W26" s="28">
        <f t="shared" si="14"/>
        <v>-97847917.409999996</v>
      </c>
      <c r="X26" s="28">
        <f t="shared" si="14"/>
        <v>-655267549.44000006</v>
      </c>
      <c r="Y26" s="28">
        <f t="shared" si="14"/>
        <v>2354257004.6999998</v>
      </c>
      <c r="Z26" s="28">
        <f t="shared" si="14"/>
        <v>1176759546.4200001</v>
      </c>
      <c r="AA26" s="28">
        <f t="shared" si="14"/>
        <v>633161484.02999997</v>
      </c>
      <c r="AB26" s="28">
        <f t="shared" si="14"/>
        <v>47254943.850000001</v>
      </c>
      <c r="AC26" s="28">
        <f t="shared" si="14"/>
        <v>33228607.00999999</v>
      </c>
      <c r="AD26" s="28">
        <f t="shared" si="14"/>
        <v>67589790.359999999</v>
      </c>
      <c r="AE26" s="28">
        <f t="shared" si="14"/>
        <v>101852512.78999999</v>
      </c>
      <c r="AF26" s="28">
        <f t="shared" si="14"/>
        <v>-210844768.84</v>
      </c>
      <c r="AG26" s="28">
        <f t="shared" si="14"/>
        <v>626209809.60000002</v>
      </c>
      <c r="AH26" s="28">
        <f t="shared" si="14"/>
        <v>726274095.45000005</v>
      </c>
      <c r="AI26" s="28">
        <f t="shared" si="14"/>
        <v>344719618.58000004</v>
      </c>
      <c r="AJ26" s="28">
        <f t="shared" si="14"/>
        <v>-120582796.98</v>
      </c>
      <c r="AK26" s="28">
        <f t="shared" si="14"/>
        <v>1008529735.95</v>
      </c>
      <c r="AL26" s="28">
        <f t="shared" si="14"/>
        <v>1032315001.29</v>
      </c>
      <c r="AM26" s="28">
        <f t="shared" si="14"/>
        <v>633187484.11000001</v>
      </c>
      <c r="AN26" s="28">
        <f t="shared" si="14"/>
        <v>174717030.16</v>
      </c>
      <c r="AO26" s="28">
        <f t="shared" si="14"/>
        <v>288642695.47999996</v>
      </c>
      <c r="AP26" s="28">
        <f t="shared" si="14"/>
        <v>498398438.42000002</v>
      </c>
      <c r="AQ26" s="28">
        <f t="shared" si="14"/>
        <v>188747151.14000002</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1427903928.1800001</v>
      </c>
      <c r="F27" s="193">
        <f t="shared" ref="F27:BQ27" si="16">F26</f>
        <v>1759646053.4000001</v>
      </c>
      <c r="G27" s="193">
        <f t="shared" si="16"/>
        <v>221203257.99999988</v>
      </c>
      <c r="H27" s="193">
        <f t="shared" si="16"/>
        <v>-56093681.409999996</v>
      </c>
      <c r="I27" s="193">
        <f t="shared" si="16"/>
        <v>3881208286.0500002</v>
      </c>
      <c r="J27" s="193">
        <f t="shared" si="16"/>
        <v>1855418982.24</v>
      </c>
      <c r="K27" s="193">
        <f t="shared" si="16"/>
        <v>1324175250.1799998</v>
      </c>
      <c r="L27" s="193">
        <f t="shared" si="16"/>
        <v>397292102.38999999</v>
      </c>
      <c r="M27" s="193">
        <f t="shared" si="16"/>
        <v>1631807641.96</v>
      </c>
      <c r="N27" s="193">
        <f t="shared" si="16"/>
        <v>1108837110.6900001</v>
      </c>
      <c r="O27" s="193">
        <f t="shared" si="16"/>
        <v>843669784.36000001</v>
      </c>
      <c r="P27" s="193">
        <f t="shared" si="16"/>
        <v>147639066.25999999</v>
      </c>
      <c r="Q27" s="193">
        <f t="shared" si="16"/>
        <v>2089686044.5100002</v>
      </c>
      <c r="R27" s="193">
        <f t="shared" si="16"/>
        <v>1187134249.0699999</v>
      </c>
      <c r="S27" s="193">
        <f t="shared" si="16"/>
        <v>631008667.79999995</v>
      </c>
      <c r="T27" s="193">
        <f t="shared" si="16"/>
        <v>-234476101.72999999</v>
      </c>
      <c r="U27" s="193">
        <f t="shared" si="16"/>
        <v>332728372.35000002</v>
      </c>
      <c r="V27" s="193">
        <f t="shared" si="16"/>
        <v>5428603.9800000004</v>
      </c>
      <c r="W27" s="193">
        <f t="shared" si="16"/>
        <v>-97847917.409999996</v>
      </c>
      <c r="X27" s="193">
        <f t="shared" si="16"/>
        <v>-655267549.44000006</v>
      </c>
      <c r="Y27" s="193">
        <f t="shared" si="16"/>
        <v>2354257004.6999998</v>
      </c>
      <c r="Z27" s="193">
        <f t="shared" si="16"/>
        <v>1176759546.4200001</v>
      </c>
      <c r="AA27" s="193">
        <f t="shared" si="16"/>
        <v>633161484.02999997</v>
      </c>
      <c r="AB27" s="193">
        <f t="shared" si="16"/>
        <v>47254943.850000001</v>
      </c>
      <c r="AC27" s="193">
        <f t="shared" si="16"/>
        <v>33228607.00999999</v>
      </c>
      <c r="AD27" s="193">
        <f t="shared" si="16"/>
        <v>67589790.359999999</v>
      </c>
      <c r="AE27" s="193">
        <f t="shared" si="16"/>
        <v>101852512.78999999</v>
      </c>
      <c r="AF27" s="193">
        <f t="shared" si="16"/>
        <v>-210844768.84</v>
      </c>
      <c r="AG27" s="193">
        <f t="shared" si="16"/>
        <v>626209809.60000002</v>
      </c>
      <c r="AH27" s="193">
        <f t="shared" si="16"/>
        <v>726274095.45000005</v>
      </c>
      <c r="AI27" s="193">
        <f t="shared" si="16"/>
        <v>344719618.58000004</v>
      </c>
      <c r="AJ27" s="193">
        <f t="shared" si="16"/>
        <v>-120582796.98</v>
      </c>
      <c r="AK27" s="193">
        <f t="shared" si="16"/>
        <v>1008529735.95</v>
      </c>
      <c r="AL27" s="193">
        <f t="shared" si="16"/>
        <v>1032315001.29</v>
      </c>
      <c r="AM27" s="193">
        <f t="shared" si="16"/>
        <v>633187484.11000001</v>
      </c>
      <c r="AN27" s="193">
        <f t="shared" si="16"/>
        <v>174717030.16</v>
      </c>
      <c r="AO27" s="193">
        <f t="shared" si="16"/>
        <v>288642695.47999996</v>
      </c>
      <c r="AP27" s="193">
        <f t="shared" si="16"/>
        <v>498398438.42000002</v>
      </c>
      <c r="AQ27" s="193">
        <f t="shared" si="16"/>
        <v>188747151.14000002</v>
      </c>
      <c r="AR27" s="193">
        <f t="shared" si="16"/>
        <v>0</v>
      </c>
      <c r="AS27" s="193">
        <f t="shared" si="16"/>
        <v>0</v>
      </c>
      <c r="AT27" s="193">
        <f t="shared" si="16"/>
        <v>0</v>
      </c>
      <c r="AU27" s="193">
        <f t="shared" si="16"/>
        <v>0</v>
      </c>
      <c r="AV27" s="193">
        <f t="shared" si="16"/>
        <v>0</v>
      </c>
      <c r="AW27" s="193">
        <f t="shared" si="16"/>
        <v>0</v>
      </c>
      <c r="AX27" s="193">
        <f t="shared" si="16"/>
        <v>0</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509</v>
      </c>
      <c r="E28" s="63">
        <f>(E27-I27)/I27</f>
        <v>-0.63209809344367529</v>
      </c>
      <c r="F28" s="63">
        <f t="shared" ref="F28:BQ28" si="18">(F27-J27)/J27</f>
        <v>-5.1617952471508993E-2</v>
      </c>
      <c r="G28" s="63">
        <f t="shared" si="18"/>
        <v>-0.83295016428533075</v>
      </c>
      <c r="H28" s="63">
        <f t="shared" si="18"/>
        <v>-1.1411900238453163</v>
      </c>
      <c r="I28" s="63">
        <f t="shared" si="18"/>
        <v>1.3784716937519643</v>
      </c>
      <c r="J28" s="63">
        <f t="shared" si="18"/>
        <v>0.67330166383538681</v>
      </c>
      <c r="K28" s="63">
        <f t="shared" si="18"/>
        <v>0.56954210607946187</v>
      </c>
      <c r="L28" s="63">
        <f t="shared" si="18"/>
        <v>1.6909686741742742</v>
      </c>
      <c r="M28" s="63">
        <f t="shared" si="18"/>
        <v>-0.2191134901594109</v>
      </c>
      <c r="N28" s="63">
        <f t="shared" si="18"/>
        <v>-6.5954746433554409E-2</v>
      </c>
      <c r="O28" s="63">
        <f t="shared" si="18"/>
        <v>0.33701774224661463</v>
      </c>
      <c r="P28" s="63">
        <f t="shared" si="18"/>
        <v>-1.6296550700506225</v>
      </c>
      <c r="Q28" s="63">
        <f t="shared" si="18"/>
        <v>5.2804564268172491</v>
      </c>
      <c r="R28" s="63">
        <f t="shared" si="18"/>
        <v>217.6813135464709</v>
      </c>
      <c r="S28" s="63">
        <f t="shared" si="18"/>
        <v>-7.4488717236153583</v>
      </c>
      <c r="T28" s="63">
        <f t="shared" si="18"/>
        <v>-0.64216738349032199</v>
      </c>
      <c r="U28" s="63">
        <f t="shared" si="18"/>
        <v>-0.85866947759494971</v>
      </c>
      <c r="V28" s="63">
        <f t="shared" si="18"/>
        <v>-0.99538681968077913</v>
      </c>
      <c r="W28" s="63">
        <f t="shared" si="18"/>
        <v>-1.1545386443711156</v>
      </c>
      <c r="X28" s="63">
        <f t="shared" si="18"/>
        <v>-14.86664539312536</v>
      </c>
      <c r="Y28" s="63">
        <f t="shared" si="18"/>
        <v>69.850306905477481</v>
      </c>
      <c r="Z28" s="63">
        <f t="shared" si="18"/>
        <v>16.410315080906255</v>
      </c>
      <c r="AA28" s="63">
        <f t="shared" si="18"/>
        <v>5.2164542305937553</v>
      </c>
      <c r="AB28" s="63">
        <f t="shared" si="18"/>
        <v>-1.2241219647515158</v>
      </c>
      <c r="AC28" s="63">
        <f t="shared" si="18"/>
        <v>-0.94693694269780726</v>
      </c>
      <c r="AD28" s="63">
        <f t="shared" si="18"/>
        <v>-0.90693625067527528</v>
      </c>
      <c r="AE28" s="63">
        <f t="shared" si="18"/>
        <v>-0.70453520107280232</v>
      </c>
      <c r="AF28" s="63">
        <f t="shared" si="18"/>
        <v>0.74854767114890319</v>
      </c>
      <c r="AG28" s="63">
        <f t="shared" si="18"/>
        <v>-0.37908641929121495</v>
      </c>
      <c r="AH28" s="63">
        <f t="shared" si="18"/>
        <v>-0.2964607754973681</v>
      </c>
      <c r="AI28" s="63">
        <f t="shared" si="18"/>
        <v>-0.45558049198566614</v>
      </c>
      <c r="AJ28" s="63">
        <f t="shared" si="18"/>
        <v>-1.6901605233878707</v>
      </c>
      <c r="AK28" s="63">
        <f t="shared" si="18"/>
        <v>2.4940421210828148</v>
      </c>
      <c r="AL28" s="63">
        <f t="shared" si="18"/>
        <v>1.0712645179278608</v>
      </c>
      <c r="AM28" s="63">
        <f t="shared" si="18"/>
        <v>2.3546863106842015</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0.33820248052994284</v>
      </c>
      <c r="F31" s="112"/>
      <c r="G31" s="112"/>
      <c r="H31" s="112"/>
      <c r="I31" s="112">
        <f>POWER(E27/Y27,1/6)-1</f>
        <v>-7.9958283592746593E-2</v>
      </c>
      <c r="M31" s="112">
        <f>POWER(E27/AC27,1/7)-1</f>
        <v>0.71124584857875162</v>
      </c>
      <c r="Q31" s="115" t="s">
        <v>602</v>
      </c>
      <c r="R31" s="115"/>
      <c r="S31" s="115"/>
      <c r="T31" s="115"/>
      <c r="U31" s="115">
        <f>POWER(E14/U14,1/5)-1</f>
        <v>0.32123869683642869</v>
      </c>
      <c r="V31" s="115"/>
      <c r="W31" s="115"/>
      <c r="X31" s="115"/>
      <c r="Y31" s="115">
        <f>POWER(E14/Y14,1/6)-1</f>
        <v>1.2514316552743043E-3</v>
      </c>
      <c r="Z31" s="115"/>
      <c r="AA31" s="115"/>
      <c r="AB31" s="115"/>
      <c r="AC31" s="115">
        <f>POWER(E14/AC14,1/7)-1</f>
        <v>0.5542710340561483</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6" width="19.33203125" bestFit="1" customWidth="1"/>
    <col min="17" max="19" width="20.44140625" bestFit="1" customWidth="1"/>
    <col min="20" max="74" width="9.44140625" bestFit="1" customWidth="1"/>
  </cols>
  <sheetData>
    <row r="1" spans="1:10" ht="16.2" customHeight="1" x14ac:dyDescent="0.25">
      <c r="A1" s="68" t="s">
        <v>513</v>
      </c>
      <c r="B1" s="69">
        <f>自由现金流分析表!E1</f>
        <v>43100</v>
      </c>
      <c r="C1" s="191" t="s">
        <v>749</v>
      </c>
      <c r="D1" s="274">
        <v>0.08</v>
      </c>
      <c r="E1" s="262" t="s">
        <v>750</v>
      </c>
      <c r="F1" s="63">
        <f>平均资本成本表!E13</f>
        <v>6.4536327044079189E-2</v>
      </c>
    </row>
    <row r="2" spans="1:10" x14ac:dyDescent="0.25">
      <c r="A2" s="70" t="s">
        <v>514</v>
      </c>
      <c r="B2" s="71">
        <f>(自由现金流分析表!E27+自由现金流分析表!I27+自由现金流分析表!M27)/3</f>
        <v>2313639952.0633335</v>
      </c>
      <c r="C2" t="s">
        <v>547</v>
      </c>
      <c r="D2" s="63"/>
      <c r="E2" s="63"/>
      <c r="F2" s="56"/>
    </row>
    <row r="3" spans="1:10" s="63" customFormat="1" x14ac:dyDescent="0.25">
      <c r="A3" s="72" t="s">
        <v>515</v>
      </c>
      <c r="B3" s="98">
        <v>0.05</v>
      </c>
      <c r="D3" s="190"/>
      <c r="E3" s="190"/>
      <c r="F3" s="260"/>
    </row>
    <row r="4" spans="1:10" s="63" customFormat="1" x14ac:dyDescent="0.25">
      <c r="A4" s="72" t="s">
        <v>516</v>
      </c>
      <c r="B4" s="98">
        <f>F1</f>
        <v>6.4536327044079189E-2</v>
      </c>
      <c r="D4" s="190"/>
      <c r="E4" s="190"/>
      <c r="F4" s="261"/>
    </row>
    <row r="5" spans="1:10" x14ac:dyDescent="0.25">
      <c r="A5" s="70" t="s">
        <v>517</v>
      </c>
      <c r="B5" s="71">
        <f>B2*(1+B3)/(B4-B3)</f>
        <v>167120754940.36102</v>
      </c>
      <c r="D5" s="63"/>
      <c r="E5" s="63"/>
    </row>
    <row r="6" spans="1:10" x14ac:dyDescent="0.25">
      <c r="A6" s="70" t="s">
        <v>518</v>
      </c>
      <c r="B6" s="71">
        <f>资产资本表!E17</f>
        <v>9086142508.9199982</v>
      </c>
      <c r="D6" s="190"/>
      <c r="E6" s="190"/>
      <c r="F6" s="190"/>
      <c r="G6" s="190"/>
    </row>
    <row r="7" spans="1:10" x14ac:dyDescent="0.25">
      <c r="A7" s="70" t="s">
        <v>519</v>
      </c>
      <c r="B7" s="71">
        <f>资产资本表!E19</f>
        <v>1693182531.9100001</v>
      </c>
      <c r="D7" s="190"/>
      <c r="E7" s="190"/>
      <c r="F7" s="190"/>
      <c r="G7" s="190"/>
    </row>
    <row r="8" spans="1:10" x14ac:dyDescent="0.25">
      <c r="A8" s="70" t="s">
        <v>520</v>
      </c>
      <c r="B8" s="197">
        <f>资产资本表!E89</f>
        <v>12526587241.380001</v>
      </c>
      <c r="C8" s="272" t="s">
        <v>747</v>
      </c>
      <c r="D8" s="273">
        <f>B2/B4</f>
        <v>35850195665.506126</v>
      </c>
      <c r="E8" s="63"/>
      <c r="F8" s="190"/>
      <c r="G8" s="190"/>
    </row>
    <row r="9" spans="1:10" x14ac:dyDescent="0.25">
      <c r="A9" s="70" t="s">
        <v>521</v>
      </c>
      <c r="B9" s="197">
        <f>B5+B6+B7-B8</f>
        <v>165373492739.811</v>
      </c>
      <c r="C9" s="272" t="s">
        <v>748</v>
      </c>
      <c r="D9" s="273">
        <f>(D8+资产资本结构分析表!$E$2+资产资本结构分析表!$E$3)/B55</f>
        <v>21.845952734696873</v>
      </c>
      <c r="E9" s="190"/>
      <c r="F9" s="190"/>
      <c r="G9" s="190"/>
    </row>
    <row r="10" spans="1:10" x14ac:dyDescent="0.25">
      <c r="A10" s="70" t="s">
        <v>522</v>
      </c>
      <c r="B10" s="73">
        <f>资产资本表!E103/资产资本表!E107</f>
        <v>2.8388112562369609E-2</v>
      </c>
      <c r="D10" s="190"/>
      <c r="E10" s="190"/>
      <c r="F10" s="190"/>
      <c r="G10" s="190"/>
    </row>
    <row r="11" spans="1:10" x14ac:dyDescent="0.25">
      <c r="A11" s="70" t="s">
        <v>548</v>
      </c>
      <c r="B11" s="197">
        <f>B9*(1-B10)</f>
        <v>160678851413.08102</v>
      </c>
      <c r="C11" s="269" t="s">
        <v>744</v>
      </c>
      <c r="D11" s="270">
        <f>资产资本结构分析表!E2</f>
        <v>9086142508.9199982</v>
      </c>
      <c r="E11" s="63"/>
      <c r="F11" s="190"/>
      <c r="G11" s="190"/>
    </row>
    <row r="12" spans="1:10" x14ac:dyDescent="0.25">
      <c r="A12" s="70" t="s">
        <v>523</v>
      </c>
      <c r="B12" s="268">
        <f>B55</f>
        <v>2134469541</v>
      </c>
      <c r="C12" s="269" t="s">
        <v>745</v>
      </c>
      <c r="D12" s="271">
        <f>D11/B55</f>
        <v>4.2568621076050288</v>
      </c>
      <c r="E12" s="190"/>
      <c r="F12" s="190"/>
      <c r="G12" s="190"/>
    </row>
    <row r="13" spans="1:10" ht="15" thickBot="1" x14ac:dyDescent="0.3">
      <c r="A13" s="74" t="s">
        <v>524</v>
      </c>
      <c r="B13" s="75">
        <f>B11/B12</f>
        <v>75.278118673833546</v>
      </c>
      <c r="D13" s="190"/>
      <c r="E13" s="190"/>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0.02</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2313639952.0633335</v>
      </c>
      <c r="D19" s="89">
        <f>C19*(1+$D$17)</f>
        <v>2545003947.2696671</v>
      </c>
      <c r="E19" s="89">
        <f>D19*(1+$D$17)</f>
        <v>2799504341.996634</v>
      </c>
      <c r="F19" s="89">
        <f>E19*(1+$D$17)</f>
        <v>3079454776.1962976</v>
      </c>
      <c r="G19" s="89">
        <f>F19*(1+$D$17)</f>
        <v>3387400253.8159275</v>
      </c>
      <c r="H19" s="89">
        <f>G19*(1+$D$17)</f>
        <v>3726140279.1975207</v>
      </c>
      <c r="I19" s="89">
        <f>H19*(1+I17)</f>
        <v>3800663084.7814713</v>
      </c>
      <c r="J19" s="76"/>
    </row>
    <row r="20" spans="1:10" s="26" customFormat="1" x14ac:dyDescent="0.25">
      <c r="A20" s="99" t="s">
        <v>527</v>
      </c>
      <c r="B20" s="95">
        <f>B4</f>
        <v>6.4536327044079189E-2</v>
      </c>
      <c r="C20" s="89"/>
      <c r="D20" s="89">
        <f t="shared" ref="D20:I20" si="0">(1+$B$20)^D18</f>
        <v>1.0645363270440793</v>
      </c>
      <c r="E20" s="89">
        <f t="shared" si="0"/>
        <v>1.1332375915964989</v>
      </c>
      <c r="F20" s="89">
        <f t="shared" si="0"/>
        <v>1.2063725834264154</v>
      </c>
      <c r="G20" s="89">
        <f t="shared" si="0"/>
        <v>1.2842274390074333</v>
      </c>
      <c r="H20" s="89">
        <f t="shared" si="0"/>
        <v>1.3671067610101975</v>
      </c>
      <c r="I20" s="89">
        <f t="shared" si="0"/>
        <v>1.4553348100429235</v>
      </c>
      <c r="J20" s="76"/>
    </row>
    <row r="21" spans="1:10" s="26" customFormat="1" x14ac:dyDescent="0.25">
      <c r="A21" s="301" t="s">
        <v>528</v>
      </c>
      <c r="B21" s="301"/>
      <c r="C21" s="89"/>
      <c r="D21" s="89">
        <f>D19/D20</f>
        <v>2390715922.6180978</v>
      </c>
      <c r="E21" s="89">
        <f>E19/E20</f>
        <v>2470359581.0413485</v>
      </c>
      <c r="F21" s="89">
        <f>F19/F20</f>
        <v>2552656466.5866628</v>
      </c>
      <c r="G21" s="89">
        <f>G19/G20</f>
        <v>2637694968.1389894</v>
      </c>
      <c r="H21" s="89">
        <f>H19/H20</f>
        <v>2725566419.1464906</v>
      </c>
      <c r="I21" s="89">
        <f>I19/((B20-I17)*I20)</f>
        <v>58638392731.439865</v>
      </c>
      <c r="J21" s="76"/>
    </row>
    <row r="22" spans="1:10" s="26" customFormat="1" x14ac:dyDescent="0.25">
      <c r="A22" s="301" t="s">
        <v>546</v>
      </c>
      <c r="B22" s="301"/>
      <c r="C22" s="89"/>
      <c r="D22" s="297">
        <f>SUM(D21:H21)</f>
        <v>12776993357.531588</v>
      </c>
      <c r="E22" s="298"/>
      <c r="F22" s="298"/>
      <c r="G22" s="298"/>
      <c r="H22" s="299"/>
      <c r="I22" s="89">
        <f>I21</f>
        <v>58638392731.439865</v>
      </c>
      <c r="J22" s="76"/>
    </row>
    <row r="23" spans="1:10" x14ac:dyDescent="0.25">
      <c r="A23" s="92" t="s">
        <v>529</v>
      </c>
      <c r="B23" s="76">
        <f>D22+I22</f>
        <v>71415386088.971451</v>
      </c>
      <c r="C23" s="77"/>
      <c r="D23" s="77"/>
      <c r="E23" s="77"/>
      <c r="F23" s="77"/>
      <c r="G23" s="77"/>
      <c r="H23" s="77"/>
      <c r="I23" s="79"/>
      <c r="J23" s="77"/>
    </row>
    <row r="24" spans="1:10" x14ac:dyDescent="0.25">
      <c r="A24" s="92" t="s">
        <v>530</v>
      </c>
      <c r="B24" s="76">
        <f>B23</f>
        <v>71415386088.971451</v>
      </c>
      <c r="C24" s="77"/>
      <c r="D24" s="77"/>
      <c r="E24" s="77"/>
      <c r="F24" s="77"/>
      <c r="G24" s="77"/>
      <c r="H24" s="77"/>
      <c r="I24" s="79"/>
      <c r="J24" s="77"/>
    </row>
    <row r="25" spans="1:10" x14ac:dyDescent="0.25">
      <c r="A25" s="70" t="s">
        <v>531</v>
      </c>
      <c r="B25" s="71">
        <f>资产资本表!E17</f>
        <v>9086142508.9199982</v>
      </c>
      <c r="C25" s="77"/>
      <c r="D25" s="77"/>
      <c r="E25" s="77"/>
      <c r="F25" s="77"/>
      <c r="G25" s="77"/>
      <c r="H25" s="77"/>
      <c r="I25" s="79"/>
      <c r="J25" s="77"/>
    </row>
    <row r="26" spans="1:10" x14ac:dyDescent="0.25">
      <c r="A26" s="70" t="s">
        <v>532</v>
      </c>
      <c r="B26" s="71">
        <f>资产资本表!E19</f>
        <v>1693182531.9100001</v>
      </c>
      <c r="C26" s="77"/>
      <c r="D26" s="77"/>
      <c r="E26" s="77"/>
      <c r="F26" s="77"/>
      <c r="G26" s="77"/>
      <c r="H26" s="77"/>
      <c r="I26" s="79"/>
      <c r="J26" s="77"/>
    </row>
    <row r="27" spans="1:10" x14ac:dyDescent="0.25">
      <c r="A27" s="70" t="s">
        <v>533</v>
      </c>
      <c r="B27" s="71">
        <f>资产资本表!E89</f>
        <v>12526587241.380001</v>
      </c>
      <c r="C27" s="77"/>
      <c r="D27" s="77"/>
      <c r="E27" s="77"/>
      <c r="F27" s="77"/>
      <c r="G27" s="77"/>
      <c r="H27" s="77"/>
      <c r="I27" s="79"/>
      <c r="J27" s="77"/>
    </row>
    <row r="28" spans="1:10" s="2" customFormat="1" x14ac:dyDescent="0.25">
      <c r="A28" s="82" t="s">
        <v>534</v>
      </c>
      <c r="B28" s="83">
        <f>B24+B25+B26-B27</f>
        <v>69668123888.421448</v>
      </c>
      <c r="C28" s="80"/>
      <c r="D28" s="80"/>
      <c r="E28" s="80"/>
      <c r="F28" s="80"/>
      <c r="G28" s="80"/>
      <c r="H28" s="80"/>
      <c r="I28" s="81"/>
      <c r="J28" s="80"/>
    </row>
    <row r="29" spans="1:10" x14ac:dyDescent="0.25">
      <c r="A29" s="70" t="s">
        <v>535</v>
      </c>
      <c r="B29" s="78">
        <f>资产资本表!E103/资产资本表!E107</f>
        <v>2.8388112562369609E-2</v>
      </c>
      <c r="C29" s="302" t="s">
        <v>542</v>
      </c>
      <c r="D29" s="302"/>
      <c r="E29" s="302"/>
      <c r="F29" s="77"/>
      <c r="G29" s="77"/>
      <c r="H29" s="77"/>
      <c r="I29" s="79"/>
      <c r="J29" s="77"/>
    </row>
    <row r="30" spans="1:10" s="2" customFormat="1" x14ac:dyDescent="0.25">
      <c r="A30" s="82" t="s">
        <v>536</v>
      </c>
      <c r="B30" s="83">
        <f>B28*(1-B29)</f>
        <v>67690377345.467827</v>
      </c>
      <c r="C30" s="91">
        <v>0.4</v>
      </c>
      <c r="D30" s="91">
        <v>0.3</v>
      </c>
      <c r="E30" s="91">
        <v>0.2</v>
      </c>
      <c r="F30" s="80"/>
      <c r="G30" s="80"/>
      <c r="H30" s="80"/>
      <c r="I30" s="81"/>
      <c r="J30" s="80"/>
    </row>
    <row r="31" spans="1:10" x14ac:dyDescent="0.25">
      <c r="A31" s="70" t="s">
        <v>746</v>
      </c>
      <c r="B31" s="101">
        <f>B55</f>
        <v>2134469541</v>
      </c>
      <c r="C31" s="215">
        <f>$B$32*(1-C30)</f>
        <v>19.027784480940831</v>
      </c>
      <c r="D31" s="215">
        <f>$B$32*(1-D30)</f>
        <v>22.199081894430968</v>
      </c>
      <c r="E31" s="215">
        <f>$B$32*(1-E30)</f>
        <v>25.370379307921109</v>
      </c>
      <c r="F31" s="77"/>
      <c r="G31" s="77"/>
      <c r="H31" s="77"/>
      <c r="I31" s="79"/>
      <c r="J31" s="77"/>
    </row>
    <row r="32" spans="1:10" s="2" customFormat="1" ht="15" thickBot="1" x14ac:dyDescent="0.3">
      <c r="A32" s="84" t="s">
        <v>537</v>
      </c>
      <c r="B32" s="85">
        <f>B30/B31</f>
        <v>31.712974134901383</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11" t="s">
        <v>543</v>
      </c>
      <c r="B38" s="312"/>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2313639952.0633335</v>
      </c>
      <c r="D39" s="89">
        <f>$C$39*(1+$D$37)^D38</f>
        <v>2660685944.8728333</v>
      </c>
      <c r="E39" s="89">
        <f>$C$39*(1+$D$37)^E38</f>
        <v>3059788836.6037579</v>
      </c>
      <c r="F39" s="89">
        <f>$C$39*(1+$D$37)^F38</f>
        <v>3518757162.0943213</v>
      </c>
      <c r="G39" s="89">
        <f>$C$39*(1+$D$37)^G38</f>
        <v>4046570736.4084692</v>
      </c>
      <c r="H39" s="89">
        <f>$C$39*(1+$D$37)^H38</f>
        <v>4653556346.8697395</v>
      </c>
      <c r="I39" s="89">
        <f>H39*(1+$I$37)</f>
        <v>5072376418.0880165</v>
      </c>
      <c r="J39" s="89">
        <f t="shared" ref="J39:N39" si="1">I39*(1+$I$37)</f>
        <v>5528890295.7159386</v>
      </c>
      <c r="K39" s="89">
        <f t="shared" si="1"/>
        <v>6026490422.3303738</v>
      </c>
      <c r="L39" s="89">
        <f t="shared" si="1"/>
        <v>6568874560.3401079</v>
      </c>
      <c r="M39" s="89">
        <f t="shared" si="1"/>
        <v>7160073270.7707186</v>
      </c>
      <c r="N39" s="89">
        <f t="shared" si="1"/>
        <v>7804479865.1400843</v>
      </c>
      <c r="O39" s="89">
        <f t="shared" ref="O39" si="2">N39*(1+$I$37)</f>
        <v>8506883053.0026922</v>
      </c>
      <c r="P39" s="89">
        <f t="shared" ref="P39" si="3">O39*(1+$I$37)</f>
        <v>9272502527.7729359</v>
      </c>
      <c r="Q39" s="89">
        <f t="shared" ref="Q39" si="4">P39*(1+$I$37)</f>
        <v>10107027755.272501</v>
      </c>
      <c r="R39" s="89">
        <f t="shared" ref="R39" si="5">Q39*(1+$I$37)</f>
        <v>11016660253.247026</v>
      </c>
      <c r="S39" s="89">
        <f>R39*(1+S37)</f>
        <v>11236993458.311968</v>
      </c>
    </row>
    <row r="40" spans="1:19" s="23" customFormat="1" x14ac:dyDescent="0.25">
      <c r="A40" s="210" t="s">
        <v>527</v>
      </c>
      <c r="B40" s="209">
        <f>B4</f>
        <v>6.4536327044079189E-2</v>
      </c>
      <c r="C40" s="215"/>
      <c r="D40" s="215">
        <f>(1+$B$40)^D38</f>
        <v>1.0645363270440793</v>
      </c>
      <c r="E40" s="215">
        <f t="shared" ref="E40:R40" si="6">(1+$B$40)^E38</f>
        <v>1.1332375915964989</v>
      </c>
      <c r="F40" s="215">
        <f t="shared" si="6"/>
        <v>1.2063725834264154</v>
      </c>
      <c r="G40" s="215">
        <f t="shared" si="6"/>
        <v>1.2842274390074333</v>
      </c>
      <c r="H40" s="215">
        <f t="shared" si="6"/>
        <v>1.3671067610101975</v>
      </c>
      <c r="I40" s="215">
        <f t="shared" si="6"/>
        <v>1.4553348100429235</v>
      </c>
      <c r="J40" s="215">
        <f t="shared" si="6"/>
        <v>1.5492567733024867</v>
      </c>
      <c r="K40" s="215">
        <f t="shared" si="6"/>
        <v>1.6492401150995908</v>
      </c>
      <c r="L40" s="215">
        <f t="shared" si="6"/>
        <v>1.7556760145418731</v>
      </c>
      <c r="M40" s="215">
        <f t="shared" si="6"/>
        <v>1.8689808959997929</v>
      </c>
      <c r="N40" s="215">
        <f t="shared" si="6"/>
        <v>1.989598058343172</v>
      </c>
      <c r="O40" s="215">
        <f t="shared" si="6"/>
        <v>2.1179994093226719</v>
      </c>
      <c r="P40" s="215">
        <f t="shared" si="6"/>
        <v>2.2546873118818866</v>
      </c>
      <c r="Q40" s="215">
        <f t="shared" si="6"/>
        <v>2.4001965496236322</v>
      </c>
      <c r="R40" s="215">
        <f t="shared" si="6"/>
        <v>2.5550964191202139</v>
      </c>
      <c r="S40" s="183">
        <f>(1+$B$40)^S38</f>
        <v>2.7199929572537114</v>
      </c>
    </row>
    <row r="41" spans="1:19" s="193" customFormat="1" x14ac:dyDescent="0.25">
      <c r="A41" s="313" t="s">
        <v>528</v>
      </c>
      <c r="B41" s="314"/>
      <c r="C41" s="89"/>
      <c r="D41" s="89">
        <f t="shared" ref="D41:R41" si="7">D39/D40</f>
        <v>2499384828.1916471</v>
      </c>
      <c r="E41" s="89">
        <f t="shared" si="7"/>
        <v>2700041773.4935389</v>
      </c>
      <c r="F41" s="89">
        <f t="shared" si="7"/>
        <v>2916807966.6566405</v>
      </c>
      <c r="G41" s="89">
        <f t="shared" si="7"/>
        <v>3150976698.9062495</v>
      </c>
      <c r="H41" s="89">
        <f t="shared" si="7"/>
        <v>3403945090.1633191</v>
      </c>
      <c r="I41" s="89">
        <f t="shared" si="7"/>
        <v>3485367341.6486287</v>
      </c>
      <c r="J41" s="89">
        <f t="shared" si="7"/>
        <v>3568737210.6369634</v>
      </c>
      <c r="K41" s="89">
        <f t="shared" si="7"/>
        <v>3654101284.0731559</v>
      </c>
      <c r="L41" s="89">
        <f t="shared" si="7"/>
        <v>3741507263.2601824</v>
      </c>
      <c r="M41" s="89">
        <f t="shared" si="7"/>
        <v>3831003990.5145783</v>
      </c>
      <c r="N41" s="89">
        <f t="shared" si="7"/>
        <v>3922641476.4594345</v>
      </c>
      <c r="O41" s="89">
        <f t="shared" si="7"/>
        <v>4016470927.9702587</v>
      </c>
      <c r="P41" s="89">
        <f t="shared" si="7"/>
        <v>4112544776.789289</v>
      </c>
      <c r="Q41" s="89">
        <f t="shared" si="7"/>
        <v>4210916708.8242645</v>
      </c>
      <c r="R41" s="89">
        <f t="shared" si="7"/>
        <v>4311641694.1480236</v>
      </c>
      <c r="S41" s="89">
        <f>S39/((B40-S37)*S40)</f>
        <v>92761540207.805832</v>
      </c>
    </row>
    <row r="42" spans="1:19" s="23" customFormat="1" x14ac:dyDescent="0.25">
      <c r="A42" s="315" t="s">
        <v>546</v>
      </c>
      <c r="B42" s="316"/>
      <c r="C42" s="215"/>
      <c r="D42" s="308">
        <f>SUM(D41:H41)</f>
        <v>14671156357.411396</v>
      </c>
      <c r="E42" s="309"/>
      <c r="F42" s="309"/>
      <c r="G42" s="309"/>
      <c r="H42" s="310"/>
      <c r="I42" s="308">
        <f>SUM(I41:R41)</f>
        <v>38854932674.324783</v>
      </c>
      <c r="J42" s="309"/>
      <c r="K42" s="309"/>
      <c r="L42" s="309"/>
      <c r="M42" s="309"/>
      <c r="N42" s="309"/>
      <c r="O42" s="309"/>
      <c r="P42" s="309"/>
      <c r="Q42" s="309"/>
      <c r="R42" s="310"/>
      <c r="S42" s="215">
        <f>S41</f>
        <v>92761540207.805832</v>
      </c>
    </row>
    <row r="43" spans="1:19" x14ac:dyDescent="0.25">
      <c r="A43" s="206" t="s">
        <v>544</v>
      </c>
      <c r="B43" s="197">
        <f>D42+I42+S42</f>
        <v>146287629239.54199</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146287629239.54199</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9086142508.9199982</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1693182531.9100001</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12526587241.380001</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144540367038.99197</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2.8388112562369609E-2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140437138829.68286</v>
      </c>
      <c r="C50" s="305" t="s">
        <v>542</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2134469541</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65.794866655200892</v>
      </c>
      <c r="C52" s="208">
        <f>$B$52*(1-C51)</f>
        <v>39.476919993120532</v>
      </c>
      <c r="D52" s="208">
        <f>$B$52*(1-D51)</f>
        <v>46.056406658640618</v>
      </c>
      <c r="E52" s="208">
        <f>$B$52*(1-E51)</f>
        <v>52.635893324160719</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601877</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549</v>
      </c>
      <c r="B55" s="100">
        <v>2134469541</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6" customFormat="1" ht="51" customHeight="1" x14ac:dyDescent="0.25">
      <c r="A60" s="293" t="s">
        <v>607</v>
      </c>
      <c r="B60" s="294"/>
      <c r="C60" s="294"/>
      <c r="D60" s="294"/>
      <c r="E60" s="294"/>
      <c r="F60" s="294"/>
      <c r="G60" s="294"/>
      <c r="H60" s="294"/>
      <c r="I60" s="294"/>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18.771351592499997</v>
      </c>
      <c r="F64" s="168">
        <v>0</v>
      </c>
      <c r="G64" s="166">
        <v>16.47</v>
      </c>
      <c r="H64" s="168">
        <f>G64*D64</f>
        <v>55.997999999999998</v>
      </c>
      <c r="I64" s="168">
        <f>C64*D64</f>
        <v>59.125999999999998</v>
      </c>
      <c r="J64" s="168">
        <f>H64/E64</f>
        <v>2.9831629184535506</v>
      </c>
      <c r="K64" s="168">
        <f>I64/E64</f>
        <v>3.1497998270739069</v>
      </c>
      <c r="L64" s="263">
        <v>0</v>
      </c>
    </row>
    <row r="65" spans="1:12" s="26" customFormat="1" x14ac:dyDescent="0.25">
      <c r="A65" s="179">
        <f>股权价值增加表!I1</f>
        <v>42735</v>
      </c>
      <c r="B65" s="167">
        <v>42543</v>
      </c>
      <c r="C65" s="166">
        <v>23.13</v>
      </c>
      <c r="D65" s="166">
        <v>3.64</v>
      </c>
      <c r="E65" s="168">
        <f>股权价值增加表!I42/100000000</f>
        <v>26.860180364400009</v>
      </c>
      <c r="F65" s="168">
        <f>(E65-E64)/E64*100</f>
        <v>43.091349773299562</v>
      </c>
      <c r="G65" s="166">
        <v>23.11</v>
      </c>
      <c r="H65" s="168">
        <f t="shared" ref="H65:H66" si="8">G65*D65</f>
        <v>84.120400000000004</v>
      </c>
      <c r="I65" s="168">
        <f t="shared" ref="I65:I66" si="9">C65*D65</f>
        <v>84.193200000000004</v>
      </c>
      <c r="J65" s="168">
        <f t="shared" ref="J65:J66" si="10">H65/E65</f>
        <v>3.1317883520801537</v>
      </c>
      <c r="K65" s="168">
        <f t="shared" ref="K65:K66" si="11">I65/E65</f>
        <v>3.1344986838430962</v>
      </c>
      <c r="L65" s="263">
        <f>K65/F65</f>
        <v>7.2740786731756241E-2</v>
      </c>
    </row>
    <row r="66" spans="1:12" s="26" customFormat="1" x14ac:dyDescent="0.25">
      <c r="A66" s="179">
        <f>股权价值增加表!E1</f>
        <v>43100</v>
      </c>
      <c r="B66" s="167">
        <v>42872</v>
      </c>
      <c r="C66" s="166">
        <v>16.399999999999999</v>
      </c>
      <c r="D66" s="166">
        <v>9.09</v>
      </c>
      <c r="E66" s="168">
        <f>股权价值增加表!E42/100000000</f>
        <v>26.513777359200017</v>
      </c>
      <c r="F66" s="168">
        <f t="shared" ref="F66" si="12">(E66-E65)/E65*100</f>
        <v>-1.2896525656212949</v>
      </c>
      <c r="G66" s="166">
        <v>15.76</v>
      </c>
      <c r="H66" s="168">
        <f t="shared" si="8"/>
        <v>143.25839999999999</v>
      </c>
      <c r="I66" s="168">
        <f t="shared" si="9"/>
        <v>149.07599999999999</v>
      </c>
      <c r="J66" s="168">
        <f t="shared" si="10"/>
        <v>5.4031682494418609</v>
      </c>
      <c r="K66" s="168">
        <f t="shared" si="11"/>
        <v>5.6225862494191947</v>
      </c>
      <c r="L66" s="263">
        <f t="shared" ref="L66" si="13">K66/F66</f>
        <v>-4.3597682037025942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9" t="s">
        <v>626</v>
      </c>
      <c r="B69" s="170">
        <v>43305</v>
      </c>
      <c r="C69" s="171">
        <v>11.65</v>
      </c>
      <c r="D69" s="171">
        <v>9.09</v>
      </c>
      <c r="E69" s="171">
        <v>4.33</v>
      </c>
      <c r="F69" s="172">
        <f>(E69-E66)/E66*100</f>
        <v>-83.668867919728768</v>
      </c>
      <c r="G69" s="171">
        <v>10.119999999999999</v>
      </c>
      <c r="H69" s="172">
        <f>G69*D69</f>
        <v>91.990799999999993</v>
      </c>
      <c r="I69" s="172">
        <f>C69*D69</f>
        <v>105.8985</v>
      </c>
      <c r="J69" s="172">
        <f>H69/E69</f>
        <v>21.244988452655885</v>
      </c>
      <c r="K69" s="172">
        <f>I69/E69</f>
        <v>24.456928406466513</v>
      </c>
      <c r="L69" s="266">
        <f>K69/F69</f>
        <v>-0.29230619481944337</v>
      </c>
    </row>
    <row r="70" spans="1:12" s="26" customFormat="1" ht="15" thickBot="1" x14ac:dyDescent="0.3">
      <c r="A70" s="173" t="s">
        <v>625</v>
      </c>
      <c r="B70" s="174">
        <v>43305</v>
      </c>
      <c r="C70" s="175">
        <v>11.65</v>
      </c>
      <c r="D70" s="175">
        <v>9.09</v>
      </c>
      <c r="E70" s="175">
        <v>3.86</v>
      </c>
      <c r="F70" s="176">
        <f>(E70-E66)/E66*100</f>
        <v>-85.44153121712543</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-0.32109495427776935</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2019-02-14T01:36:21Z</dcterms:modified>
</cp:coreProperties>
</file>